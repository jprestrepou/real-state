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cion/Library/CloudStorage/GoogleDrive-alejor799@gmail.com/.shortcut-targets-by-id/1Dr5TbBDN-LPX0JNUVRQDkM4UeSrZFX61/Varios_Casa_Taxi/Data histórica/"/>
    </mc:Choice>
  </mc:AlternateContent>
  <xr:revisionPtr revIDLastSave="0" documentId="13_ncr:1_{1913DF3F-BF2A-AD43-9702-0CF674F389FE}" xr6:coauthVersionLast="47" xr6:coauthVersionMax="47" xr10:uidLastSave="{00000000-0000-0000-0000-000000000000}"/>
  <bookViews>
    <workbookView xWindow="0" yWindow="500" windowWidth="40960" windowHeight="20820" tabRatio="893" activeTab="10" xr2:uid="{0DEBA91A-7EF7-444F-8683-32C6A7450675}"/>
  </bookViews>
  <sheets>
    <sheet name="wallet_records" sheetId="6" r:id="rId1"/>
    <sheet name="Activos" sheetId="1" r:id="rId2"/>
    <sheet name="Saldos" sheetId="14" r:id="rId3"/>
    <sheet name="Presupuesto" sheetId="2" r:id="rId4"/>
    <sheet name="Tablero" sheetId="3" r:id="rId5"/>
    <sheet name="EEFF Anuales" sheetId="9" r:id="rId6"/>
    <sheet name="EEFF 2022" sheetId="16" r:id="rId7"/>
    <sheet name="EEFF 2023" sheetId="24" r:id="rId8"/>
    <sheet name="EEFF 2024" sheetId="28" r:id="rId9"/>
    <sheet name="EEFF 2025" sheetId="29" r:id="rId10"/>
    <sheet name="EEFF 2026" sheetId="30" r:id="rId11"/>
    <sheet name="EEFF 2026 Proyectado" sheetId="32" r:id="rId12"/>
  </sheets>
  <definedNames>
    <definedName name="_xlnm._FilterDatabase" localSheetId="4" hidden="1">Tablero!$A$1:$J$59</definedName>
    <definedName name="DatosExternos_1" localSheetId="0" hidden="1">wallet_records!$A$1:$O$1303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40" i="30" l="1"/>
  <c r="CU40" i="30"/>
  <c r="CV40" i="30"/>
  <c r="CW40" i="30"/>
  <c r="CX40" i="30"/>
  <c r="CY40" i="30"/>
  <c r="CZ40" i="30"/>
  <c r="DA40" i="30"/>
  <c r="DB40" i="30"/>
  <c r="DC40" i="30"/>
  <c r="CT41" i="30"/>
  <c r="CU41" i="30"/>
  <c r="CV41" i="30"/>
  <c r="CW41" i="30"/>
  <c r="CX41" i="30"/>
  <c r="CY41" i="30"/>
  <c r="CZ41" i="30"/>
  <c r="DA41" i="30"/>
  <c r="DB41" i="30"/>
  <c r="DC41" i="30"/>
  <c r="CS40" i="30"/>
  <c r="CS41" i="30"/>
  <c r="CR40" i="30"/>
  <c r="CR41" i="30"/>
  <c r="J111" i="30"/>
  <c r="J73" i="30"/>
  <c r="Q112" i="30"/>
  <c r="J142" i="30"/>
  <c r="Q142" i="30"/>
  <c r="J141" i="30"/>
  <c r="J143" i="30"/>
  <c r="J123" i="30"/>
  <c r="J48" i="9"/>
  <c r="C59" i="3"/>
  <c r="C57" i="3"/>
  <c r="C55" i="3"/>
  <c r="C54" i="3"/>
  <c r="C52" i="3"/>
  <c r="C50" i="3"/>
  <c r="C49" i="3"/>
  <c r="C48" i="3"/>
  <c r="C47" i="3"/>
  <c r="C45" i="3"/>
  <c r="C43" i="3"/>
  <c r="C42" i="3"/>
  <c r="C40" i="3"/>
  <c r="C38" i="3"/>
  <c r="C37" i="3"/>
  <c r="C36" i="3"/>
  <c r="C35" i="3"/>
  <c r="C33" i="3"/>
  <c r="C31" i="3"/>
  <c r="C30" i="3"/>
  <c r="C28" i="3"/>
  <c r="C26" i="3"/>
  <c r="C24" i="3"/>
  <c r="C23" i="3"/>
  <c r="C21" i="3"/>
  <c r="C19" i="3"/>
  <c r="C18" i="3"/>
  <c r="C17" i="3"/>
  <c r="C16" i="3"/>
  <c r="C14" i="3"/>
  <c r="C25" i="3"/>
  <c r="C13" i="3"/>
  <c r="C12" i="3"/>
  <c r="C11" i="3"/>
  <c r="C9" i="3"/>
  <c r="C7" i="3"/>
  <c r="C6" i="3"/>
  <c r="C4" i="3"/>
  <c r="C3" i="3"/>
  <c r="C2" i="3"/>
  <c r="C5" i="3"/>
  <c r="C8" i="3"/>
  <c r="C10" i="3"/>
  <c r="C15" i="3"/>
  <c r="C20" i="3"/>
  <c r="C22" i="3"/>
  <c r="C27" i="3"/>
  <c r="C29" i="3"/>
  <c r="C32" i="3"/>
  <c r="C34" i="3"/>
  <c r="C39" i="3"/>
  <c r="C41" i="3"/>
  <c r="C44" i="3"/>
  <c r="C46" i="3"/>
  <c r="C51" i="3"/>
  <c r="C53" i="3"/>
  <c r="C56" i="3"/>
  <c r="C58" i="3"/>
  <c r="J2" i="3"/>
  <c r="T8" i="2"/>
  <c r="O8" i="2"/>
  <c r="CI47" i="32"/>
  <c r="CB47" i="32"/>
  <c r="BU47" i="32"/>
  <c r="BG47" i="32"/>
  <c r="AZ47" i="32"/>
  <c r="AS47" i="32"/>
  <c r="AL47" i="32"/>
  <c r="AL16" i="32"/>
  <c r="AL46" i="32" s="1"/>
  <c r="AE47" i="32"/>
  <c r="AE16" i="32"/>
  <c r="AE46" i="32" s="1"/>
  <c r="X47" i="32"/>
  <c r="X16" i="32"/>
  <c r="X46" i="32" s="1"/>
  <c r="CO164" i="32"/>
  <c r="CO165" i="32" s="1"/>
  <c r="CN164" i="32"/>
  <c r="CN165" i="32" s="1"/>
  <c r="CM164" i="32"/>
  <c r="CL164" i="32"/>
  <c r="CL165" i="32" s="1"/>
  <c r="CK164" i="32"/>
  <c r="CK165" i="32" s="1"/>
  <c r="CJ164" i="32"/>
  <c r="CI157" i="32"/>
  <c r="CB157" i="32"/>
  <c r="BU157" i="32"/>
  <c r="BN157" i="32"/>
  <c r="BG157" i="32"/>
  <c r="AZ157" i="32"/>
  <c r="AS157" i="32"/>
  <c r="AL157" i="32"/>
  <c r="AE157" i="32"/>
  <c r="X157" i="32"/>
  <c r="Q157" i="32"/>
  <c r="J157" i="32"/>
  <c r="CO156" i="32"/>
  <c r="CM156" i="32"/>
  <c r="CL156" i="32"/>
  <c r="CJ156" i="32"/>
  <c r="CN155" i="32"/>
  <c r="CK155" i="32"/>
  <c r="CN154" i="32"/>
  <c r="CN156" i="32" s="1"/>
  <c r="CK154" i="32"/>
  <c r="CK156" i="32" s="1"/>
  <c r="CN153" i="32"/>
  <c r="CK153" i="32"/>
  <c r="CN152" i="32"/>
  <c r="CK152" i="32"/>
  <c r="CN151" i="32"/>
  <c r="CN157" i="32" s="1"/>
  <c r="CN158" i="32" s="1"/>
  <c r="CK151" i="32"/>
  <c r="CO149" i="32"/>
  <c r="CO150" i="32" s="1"/>
  <c r="CO157" i="32" s="1"/>
  <c r="CO158" i="32" s="1"/>
  <c r="CN149" i="32"/>
  <c r="CN150" i="32" s="1"/>
  <c r="CK149" i="32"/>
  <c r="CK150" i="32" s="1"/>
  <c r="CO144" i="32"/>
  <c r="CO146" i="32" s="1"/>
  <c r="CN144" i="32"/>
  <c r="CN146" i="32" s="1"/>
  <c r="CM144" i="32"/>
  <c r="CM146" i="32" s="1"/>
  <c r="CL144" i="32"/>
  <c r="CL146" i="32" s="1"/>
  <c r="CK144" i="32"/>
  <c r="CK146" i="32" s="1"/>
  <c r="CJ144" i="32"/>
  <c r="CJ146" i="32" s="1"/>
  <c r="CO143" i="32"/>
  <c r="CO147" i="32" s="1"/>
  <c r="CO148" i="32" s="1"/>
  <c r="CN143" i="32"/>
  <c r="CN147" i="32" s="1"/>
  <c r="CN148" i="32" s="1"/>
  <c r="CM143" i="32"/>
  <c r="CM147" i="32" s="1"/>
  <c r="CM148" i="32" s="1"/>
  <c r="CL143" i="32"/>
  <c r="CL147" i="32" s="1"/>
  <c r="CL148" i="32" s="1"/>
  <c r="CK143" i="32"/>
  <c r="CK147" i="32" s="1"/>
  <c r="CK148" i="32" s="1"/>
  <c r="CJ143" i="32"/>
  <c r="CJ147" i="32" s="1"/>
  <c r="CJ148" i="32" s="1"/>
  <c r="CO139" i="32"/>
  <c r="CN139" i="32"/>
  <c r="CM139" i="32"/>
  <c r="CM150" i="32" s="1"/>
  <c r="CM157" i="32" s="1"/>
  <c r="CM158" i="32" s="1"/>
  <c r="CL139" i="32"/>
  <c r="CK139" i="32"/>
  <c r="CJ139" i="32"/>
  <c r="CJ140" i="32" s="1"/>
  <c r="CO130" i="32"/>
  <c r="CN130" i="32"/>
  <c r="CM130" i="32"/>
  <c r="CL130" i="32"/>
  <c r="CK130" i="32"/>
  <c r="CJ130" i="32"/>
  <c r="CO129" i="32"/>
  <c r="CN129" i="32"/>
  <c r="CM129" i="32"/>
  <c r="CL129" i="32"/>
  <c r="CK129" i="32"/>
  <c r="CJ129" i="32"/>
  <c r="CO126" i="32"/>
  <c r="CN126" i="32"/>
  <c r="CM126" i="32"/>
  <c r="CL126" i="32"/>
  <c r="CK126" i="32"/>
  <c r="CJ126" i="32"/>
  <c r="CO125" i="32"/>
  <c r="CN125" i="32"/>
  <c r="CM125" i="32"/>
  <c r="CL125" i="32"/>
  <c r="CK125" i="32"/>
  <c r="CJ125" i="32"/>
  <c r="CO116" i="32"/>
  <c r="CN116" i="32"/>
  <c r="CM116" i="32"/>
  <c r="CL116" i="32"/>
  <c r="CK116" i="32"/>
  <c r="CJ116" i="32"/>
  <c r="CO115" i="32"/>
  <c r="CN115" i="32"/>
  <c r="CM115" i="32"/>
  <c r="CL115" i="32"/>
  <c r="CK115" i="32"/>
  <c r="CJ115" i="32"/>
  <c r="CI112" i="32"/>
  <c r="CB112" i="32"/>
  <c r="BU112" i="32"/>
  <c r="BN112" i="32"/>
  <c r="BG112" i="32"/>
  <c r="AZ112" i="32"/>
  <c r="AS112" i="32"/>
  <c r="AL112" i="32"/>
  <c r="AE112" i="32"/>
  <c r="X112" i="32"/>
  <c r="Q112" i="32"/>
  <c r="J112" i="32"/>
  <c r="CO111" i="32"/>
  <c r="CN111" i="32"/>
  <c r="CM111" i="32"/>
  <c r="CL111" i="32"/>
  <c r="CK111" i="32"/>
  <c r="CJ111" i="32"/>
  <c r="CO110" i="32"/>
  <c r="CN110" i="32"/>
  <c r="CM110" i="32"/>
  <c r="CL110" i="32"/>
  <c r="CK110" i="32"/>
  <c r="CJ110" i="32"/>
  <c r="CO109" i="32"/>
  <c r="CN109" i="32"/>
  <c r="CM109" i="32"/>
  <c r="CL109" i="32"/>
  <c r="CK109" i="32"/>
  <c r="CJ109" i="32"/>
  <c r="CO108" i="32"/>
  <c r="CN108" i="32"/>
  <c r="CM108" i="32"/>
  <c r="CL108" i="32"/>
  <c r="CK108" i="32"/>
  <c r="CJ108" i="32"/>
  <c r="CI95" i="32"/>
  <c r="CB95" i="32"/>
  <c r="BU95" i="32"/>
  <c r="BN95" i="32"/>
  <c r="BG95" i="32"/>
  <c r="AZ95" i="32"/>
  <c r="AS95" i="32"/>
  <c r="AL95" i="32"/>
  <c r="AE95" i="32"/>
  <c r="X95" i="32"/>
  <c r="Q95" i="32"/>
  <c r="J95" i="32"/>
  <c r="CI94" i="32"/>
  <c r="CB94" i="32"/>
  <c r="BU94" i="32"/>
  <c r="BN94" i="32"/>
  <c r="BG94" i="32"/>
  <c r="AZ94" i="32"/>
  <c r="AS94" i="32"/>
  <c r="AL94" i="32"/>
  <c r="AE94" i="32"/>
  <c r="X94" i="32"/>
  <c r="Q94" i="32"/>
  <c r="J94" i="32"/>
  <c r="CI93" i="32"/>
  <c r="CB93" i="32"/>
  <c r="BU93" i="32"/>
  <c r="BN93" i="32"/>
  <c r="BG93" i="32"/>
  <c r="AZ93" i="32"/>
  <c r="AS93" i="32"/>
  <c r="AL93" i="32"/>
  <c r="AE93" i="32"/>
  <c r="X93" i="32"/>
  <c r="Q93" i="32"/>
  <c r="J93" i="32"/>
  <c r="CI92" i="32"/>
  <c r="CB92" i="32"/>
  <c r="BU92" i="32"/>
  <c r="BN92" i="32"/>
  <c r="BG92" i="32"/>
  <c r="AZ92" i="32"/>
  <c r="AS92" i="32"/>
  <c r="AL92" i="32"/>
  <c r="AE92" i="32"/>
  <c r="X92" i="32"/>
  <c r="Q92" i="32"/>
  <c r="J92" i="32"/>
  <c r="CI91" i="32"/>
  <c r="CB91" i="32"/>
  <c r="BU91" i="32"/>
  <c r="BN91" i="32"/>
  <c r="BG91" i="32"/>
  <c r="AZ91" i="32"/>
  <c r="AS91" i="32"/>
  <c r="AL91" i="32"/>
  <c r="AE91" i="32"/>
  <c r="X91" i="32"/>
  <c r="Q91" i="32"/>
  <c r="J91" i="32"/>
  <c r="CI90" i="32"/>
  <c r="CB90" i="32"/>
  <c r="BU90" i="32"/>
  <c r="BN90" i="32"/>
  <c r="BG90" i="32"/>
  <c r="AZ90" i="32"/>
  <c r="AS90" i="32"/>
  <c r="AL90" i="32"/>
  <c r="AE90" i="32"/>
  <c r="X90" i="32"/>
  <c r="Q90" i="32"/>
  <c r="J90" i="32"/>
  <c r="CI89" i="32"/>
  <c r="CB89" i="32"/>
  <c r="BU89" i="32"/>
  <c r="BN89" i="32"/>
  <c r="BG89" i="32"/>
  <c r="AZ89" i="32"/>
  <c r="AS89" i="32"/>
  <c r="AL89" i="32"/>
  <c r="AE89" i="32"/>
  <c r="X89" i="32"/>
  <c r="Q89" i="32"/>
  <c r="J89" i="32"/>
  <c r="CI88" i="32"/>
  <c r="CB88" i="32"/>
  <c r="BU88" i="32"/>
  <c r="BN88" i="32"/>
  <c r="BG88" i="32"/>
  <c r="AZ88" i="32"/>
  <c r="AS88" i="32"/>
  <c r="AL88" i="32"/>
  <c r="AE88" i="32"/>
  <c r="X88" i="32"/>
  <c r="Q88" i="32"/>
  <c r="J88" i="32"/>
  <c r="P80" i="32"/>
  <c r="O80" i="32"/>
  <c r="N80" i="32"/>
  <c r="M80" i="32"/>
  <c r="L80" i="32"/>
  <c r="K80" i="32"/>
  <c r="X72" i="32"/>
  <c r="J72" i="32"/>
  <c r="X70" i="32"/>
  <c r="Q70" i="32"/>
  <c r="Q72" i="32" s="1"/>
  <c r="CO64" i="32"/>
  <c r="CN64" i="32"/>
  <c r="CM64" i="32"/>
  <c r="CL64" i="32"/>
  <c r="CK64" i="32"/>
  <c r="CJ64" i="32"/>
  <c r="CH64" i="32"/>
  <c r="CG64" i="32"/>
  <c r="CF64" i="32"/>
  <c r="CE64" i="32"/>
  <c r="CI64" i="32" s="1"/>
  <c r="CD64" i="32"/>
  <c r="CC64" i="32"/>
  <c r="CA64" i="32"/>
  <c r="BZ64" i="32"/>
  <c r="BY64" i="32"/>
  <c r="BX64" i="32"/>
  <c r="BW64" i="32"/>
  <c r="CB64" i="32" s="1"/>
  <c r="BV64" i="32"/>
  <c r="BT64" i="32"/>
  <c r="BS64" i="32"/>
  <c r="BR64" i="32"/>
  <c r="BQ64" i="32"/>
  <c r="BP64" i="32"/>
  <c r="BO64" i="32"/>
  <c r="BU64" i="32" s="1"/>
  <c r="BM64" i="32"/>
  <c r="BL64" i="32"/>
  <c r="BK64" i="32"/>
  <c r="BJ64" i="32"/>
  <c r="BI64" i="32"/>
  <c r="BH64" i="32"/>
  <c r="BF64" i="32"/>
  <c r="BE64" i="32"/>
  <c r="BD64" i="32"/>
  <c r="BC64" i="32"/>
  <c r="BB64" i="32"/>
  <c r="BA64" i="32"/>
  <c r="BG64" i="32" s="1"/>
  <c r="AY64" i="32"/>
  <c r="AX64" i="32"/>
  <c r="AW64" i="32"/>
  <c r="AV64" i="32"/>
  <c r="AU64" i="32"/>
  <c r="AZ64" i="32" s="1"/>
  <c r="AT64" i="32"/>
  <c r="AR64" i="32"/>
  <c r="AQ64" i="32"/>
  <c r="AP64" i="32"/>
  <c r="AO64" i="32"/>
  <c r="AS64" i="32" s="1"/>
  <c r="AN64" i="32"/>
  <c r="AM64" i="32"/>
  <c r="AK64" i="32"/>
  <c r="AJ64" i="32"/>
  <c r="AI64" i="32"/>
  <c r="AH64" i="32"/>
  <c r="AG64" i="32"/>
  <c r="AF64" i="32"/>
  <c r="AL64" i="32" s="1"/>
  <c r="AD64" i="32"/>
  <c r="AC64" i="32"/>
  <c r="AB64" i="32"/>
  <c r="AA64" i="32"/>
  <c r="Z64" i="32"/>
  <c r="Y64" i="32"/>
  <c r="AE64" i="32" s="1"/>
  <c r="W64" i="32"/>
  <c r="V64" i="32"/>
  <c r="U64" i="32"/>
  <c r="T64" i="32"/>
  <c r="X64" i="32" s="1"/>
  <c r="S64" i="32"/>
  <c r="R64" i="32"/>
  <c r="P64" i="32"/>
  <c r="O64" i="32"/>
  <c r="N64" i="32"/>
  <c r="M64" i="32"/>
  <c r="L64" i="32"/>
  <c r="Q64" i="32" s="1"/>
  <c r="K64" i="32"/>
  <c r="I64" i="32"/>
  <c r="H64" i="32"/>
  <c r="G64" i="32"/>
  <c r="F64" i="32"/>
  <c r="E64" i="32"/>
  <c r="D64" i="32"/>
  <c r="CI59" i="32"/>
  <c r="CB59" i="32"/>
  <c r="BU59" i="32"/>
  <c r="BN59" i="32"/>
  <c r="BG59" i="32"/>
  <c r="AZ59" i="32"/>
  <c r="AS59" i="32"/>
  <c r="AL59" i="32"/>
  <c r="AE59" i="32"/>
  <c r="X59" i="32"/>
  <c r="W59" i="32"/>
  <c r="V59" i="32"/>
  <c r="U59" i="32"/>
  <c r="T59" i="32"/>
  <c r="S59" i="32"/>
  <c r="R59" i="32"/>
  <c r="Q59" i="32"/>
  <c r="J59" i="32"/>
  <c r="CI58" i="32"/>
  <c r="CB58" i="32"/>
  <c r="BU58" i="32"/>
  <c r="BN58" i="32"/>
  <c r="BG58" i="32"/>
  <c r="AZ58" i="32"/>
  <c r="AS58" i="32"/>
  <c r="AL58" i="32"/>
  <c r="AE58" i="32"/>
  <c r="X58" i="32"/>
  <c r="Q58" i="32"/>
  <c r="J58" i="32"/>
  <c r="CI57" i="32"/>
  <c r="CB57" i="32"/>
  <c r="BU57" i="32"/>
  <c r="BN57" i="32"/>
  <c r="BG57" i="32"/>
  <c r="AZ57" i="32"/>
  <c r="AS57" i="32"/>
  <c r="AL57" i="32"/>
  <c r="AE57" i="32"/>
  <c r="X57" i="32"/>
  <c r="Q57" i="32"/>
  <c r="J57" i="32"/>
  <c r="CI56" i="32"/>
  <c r="CB56" i="32"/>
  <c r="BU56" i="32"/>
  <c r="BN56" i="32"/>
  <c r="BG56" i="32"/>
  <c r="AZ56" i="32"/>
  <c r="AS56" i="32"/>
  <c r="AL56" i="32"/>
  <c r="AE56" i="32"/>
  <c r="X56" i="32"/>
  <c r="Q56" i="32"/>
  <c r="J56" i="32"/>
  <c r="CI55" i="32"/>
  <c r="CB55" i="32"/>
  <c r="BU55" i="32"/>
  <c r="BN55" i="32"/>
  <c r="BG55" i="32"/>
  <c r="AZ55" i="32"/>
  <c r="AS55" i="32"/>
  <c r="AL55" i="32"/>
  <c r="AE55" i="32"/>
  <c r="X55" i="32"/>
  <c r="Q55" i="32"/>
  <c r="J55" i="32"/>
  <c r="CI54" i="32"/>
  <c r="CB54" i="32"/>
  <c r="BU54" i="32"/>
  <c r="BN54" i="32"/>
  <c r="BG54" i="32"/>
  <c r="AZ54" i="32"/>
  <c r="AS54" i="32"/>
  <c r="AL54" i="32"/>
  <c r="AE54" i="32"/>
  <c r="X54" i="32"/>
  <c r="Q54" i="32"/>
  <c r="J54" i="32"/>
  <c r="CI52" i="32"/>
  <c r="CI63" i="32" s="1"/>
  <c r="CB52" i="32"/>
  <c r="BU52" i="32"/>
  <c r="CB103" i="32" s="1"/>
  <c r="BN52" i="32"/>
  <c r="BU103" i="32" s="1"/>
  <c r="BG52" i="32"/>
  <c r="BN103" i="32" s="1"/>
  <c r="AZ52" i="32"/>
  <c r="AS52" i="32"/>
  <c r="AZ103" i="32" s="1"/>
  <c r="AL52" i="32"/>
  <c r="AS103" i="32" s="1"/>
  <c r="AE52" i="32"/>
  <c r="AL103" i="32" s="1"/>
  <c r="X52" i="32"/>
  <c r="Q52" i="32"/>
  <c r="X103" i="32" s="1"/>
  <c r="J52" i="32"/>
  <c r="Q103" i="32" s="1"/>
  <c r="Q47" i="32"/>
  <c r="J47" i="32"/>
  <c r="CO14" i="32"/>
  <c r="CO163" i="32" s="1"/>
  <c r="CN14" i="32"/>
  <c r="CN163" i="32" s="1"/>
  <c r="CM14" i="32"/>
  <c r="CL14" i="32"/>
  <c r="CL163" i="32" s="1"/>
  <c r="CK14" i="32"/>
  <c r="CK163" i="32" s="1"/>
  <c r="CJ14" i="32"/>
  <c r="CI164" i="32"/>
  <c r="CB164" i="32"/>
  <c r="BU164" i="32"/>
  <c r="BG164" i="32"/>
  <c r="AZ164" i="32"/>
  <c r="AS164" i="32"/>
  <c r="AL164" i="32"/>
  <c r="AE164" i="32"/>
  <c r="X164" i="32"/>
  <c r="Q14" i="32"/>
  <c r="Q164" i="32" s="1"/>
  <c r="CO13" i="32"/>
  <c r="CN13" i="32"/>
  <c r="CM13" i="32"/>
  <c r="CL13" i="32"/>
  <c r="CK13" i="32"/>
  <c r="CJ13" i="32"/>
  <c r="CH13" i="32"/>
  <c r="CG13" i="32"/>
  <c r="CF13" i="32"/>
  <c r="CE13" i="32"/>
  <c r="CD13" i="32"/>
  <c r="CC13" i="32"/>
  <c r="CA13" i="32"/>
  <c r="BZ13" i="32"/>
  <c r="BY13" i="32"/>
  <c r="BX13" i="32"/>
  <c r="BW13" i="32"/>
  <c r="BV13" i="32"/>
  <c r="BT13" i="32"/>
  <c r="BS13" i="32"/>
  <c r="BR13" i="32"/>
  <c r="BQ13" i="32"/>
  <c r="BP13" i="32"/>
  <c r="BO13" i="32"/>
  <c r="BM13" i="32"/>
  <c r="BL13" i="32"/>
  <c r="BK13" i="32"/>
  <c r="BJ13" i="32"/>
  <c r="BI13" i="32"/>
  <c r="BH13" i="32"/>
  <c r="BF13" i="32"/>
  <c r="BE13" i="32"/>
  <c r="BD13" i="32"/>
  <c r="BC13" i="32"/>
  <c r="BB13" i="32"/>
  <c r="BA13" i="32"/>
  <c r="AY13" i="32"/>
  <c r="AX13" i="32"/>
  <c r="AW13" i="32"/>
  <c r="AV13" i="32"/>
  <c r="AU13" i="32"/>
  <c r="AT13" i="32"/>
  <c r="AR13" i="32"/>
  <c r="AQ13" i="32"/>
  <c r="AP13" i="32"/>
  <c r="AO13" i="32"/>
  <c r="AN13" i="32"/>
  <c r="AM13" i="32"/>
  <c r="AK13" i="32"/>
  <c r="AJ13" i="32"/>
  <c r="AI13" i="32"/>
  <c r="AH13" i="32"/>
  <c r="AG13" i="32"/>
  <c r="AF13" i="32"/>
  <c r="AD13" i="32"/>
  <c r="AC13" i="32"/>
  <c r="AB13" i="32"/>
  <c r="AA13" i="32"/>
  <c r="Z13" i="32"/>
  <c r="Y13" i="32"/>
  <c r="W13" i="32"/>
  <c r="V13" i="32"/>
  <c r="U13" i="32"/>
  <c r="T13" i="32"/>
  <c r="S13" i="32"/>
  <c r="R13" i="32"/>
  <c r="P13" i="32"/>
  <c r="O13" i="32"/>
  <c r="N13" i="32"/>
  <c r="M13" i="32"/>
  <c r="L13" i="32"/>
  <c r="K13" i="32"/>
  <c r="I13" i="32"/>
  <c r="H13" i="32"/>
  <c r="G13" i="32"/>
  <c r="F13" i="32"/>
  <c r="E13" i="32"/>
  <c r="D13" i="32"/>
  <c r="CO12" i="32"/>
  <c r="CN12" i="32"/>
  <c r="CM12" i="32"/>
  <c r="CL12" i="32"/>
  <c r="CK12" i="32"/>
  <c r="CJ12" i="32"/>
  <c r="CH12" i="32"/>
  <c r="CG12" i="32"/>
  <c r="CF12" i="32"/>
  <c r="CE12" i="32"/>
  <c r="CD12" i="32"/>
  <c r="CC12" i="32"/>
  <c r="CA12" i="32"/>
  <c r="BZ12" i="32"/>
  <c r="BY12" i="32"/>
  <c r="BX12" i="32"/>
  <c r="BW12" i="32"/>
  <c r="BV12" i="32"/>
  <c r="BT12" i="32"/>
  <c r="BS12" i="32"/>
  <c r="BR12" i="32"/>
  <c r="BQ12" i="32"/>
  <c r="BP12" i="32"/>
  <c r="BO12" i="32"/>
  <c r="BM12" i="32"/>
  <c r="BL12" i="32"/>
  <c r="BK12" i="32"/>
  <c r="BJ12" i="32"/>
  <c r="BI12" i="32"/>
  <c r="BH12" i="32"/>
  <c r="BF12" i="32"/>
  <c r="BE12" i="32"/>
  <c r="BD12" i="32"/>
  <c r="BC12" i="32"/>
  <c r="BB12" i="32"/>
  <c r="BA12" i="32"/>
  <c r="AY12" i="32"/>
  <c r="AX12" i="32"/>
  <c r="AW12" i="32"/>
  <c r="AV12" i="32"/>
  <c r="AU12" i="32"/>
  <c r="AT12" i="32"/>
  <c r="AR12" i="32"/>
  <c r="AQ12" i="32"/>
  <c r="AP12" i="32"/>
  <c r="AO12" i="32"/>
  <c r="AN12" i="32"/>
  <c r="AM12" i="32"/>
  <c r="AK12" i="32"/>
  <c r="AJ12" i="32"/>
  <c r="AI12" i="32"/>
  <c r="AH12" i="32"/>
  <c r="AG12" i="32"/>
  <c r="AF12" i="32"/>
  <c r="AD12" i="32"/>
  <c r="AC12" i="32"/>
  <c r="AB12" i="32"/>
  <c r="AA12" i="32"/>
  <c r="Z12" i="32"/>
  <c r="Y12" i="32"/>
  <c r="W12" i="32"/>
  <c r="V12" i="32"/>
  <c r="U12" i="32"/>
  <c r="T12" i="32"/>
  <c r="S12" i="32"/>
  <c r="R12" i="32"/>
  <c r="P12" i="32"/>
  <c r="O12" i="32"/>
  <c r="N12" i="32"/>
  <c r="M12" i="32"/>
  <c r="L12" i="32"/>
  <c r="K12" i="32"/>
  <c r="I12" i="32"/>
  <c r="H12" i="32"/>
  <c r="G12" i="32"/>
  <c r="F12" i="32"/>
  <c r="E12" i="32"/>
  <c r="D12" i="32"/>
  <c r="CO11" i="32"/>
  <c r="CN11" i="32"/>
  <c r="CM11" i="32"/>
  <c r="CL11" i="32"/>
  <c r="CK11" i="32"/>
  <c r="CJ11" i="32"/>
  <c r="CH11" i="32"/>
  <c r="CG11" i="32"/>
  <c r="CF11" i="32"/>
  <c r="CE11" i="32"/>
  <c r="CD11" i="32"/>
  <c r="CC11" i="32"/>
  <c r="CA11" i="32"/>
  <c r="BZ11" i="32"/>
  <c r="BY11" i="32"/>
  <c r="BX11" i="32"/>
  <c r="BW11" i="32"/>
  <c r="BV11" i="32"/>
  <c r="BT11" i="32"/>
  <c r="BS11" i="32"/>
  <c r="BR11" i="32"/>
  <c r="BQ11" i="32"/>
  <c r="BP11" i="32"/>
  <c r="BO11" i="32"/>
  <c r="BM11" i="32"/>
  <c r="BL11" i="32"/>
  <c r="BK11" i="32"/>
  <c r="BJ11" i="32"/>
  <c r="BI11" i="32"/>
  <c r="BH11" i="32"/>
  <c r="CZ11" i="32" s="1"/>
  <c r="BF11" i="32"/>
  <c r="BE11" i="32"/>
  <c r="BD11" i="32"/>
  <c r="BC11" i="32"/>
  <c r="BB11" i="32"/>
  <c r="BA11" i="32"/>
  <c r="AY11" i="32"/>
  <c r="AX11" i="32"/>
  <c r="AW11" i="32"/>
  <c r="AV11" i="32"/>
  <c r="AU11" i="32"/>
  <c r="AT11" i="32"/>
  <c r="AR11" i="32"/>
  <c r="AQ11" i="32"/>
  <c r="AP11" i="32"/>
  <c r="AO11" i="32"/>
  <c r="AN11" i="32"/>
  <c r="AM11" i="32"/>
  <c r="AK11" i="32"/>
  <c r="AJ11" i="32"/>
  <c r="AI11" i="32"/>
  <c r="AH11" i="32"/>
  <c r="AG11" i="32"/>
  <c r="AF11" i="32"/>
  <c r="AD11" i="32"/>
  <c r="AC11" i="32"/>
  <c r="AB11" i="32"/>
  <c r="AA11" i="32"/>
  <c r="Z11" i="32"/>
  <c r="Y11" i="32"/>
  <c r="W11" i="32"/>
  <c r="V11" i="32"/>
  <c r="U11" i="32"/>
  <c r="T11" i="32"/>
  <c r="S11" i="32"/>
  <c r="R11" i="32"/>
  <c r="P11" i="32"/>
  <c r="O11" i="32"/>
  <c r="N11" i="32"/>
  <c r="M11" i="32"/>
  <c r="L11" i="32"/>
  <c r="K11" i="32"/>
  <c r="I11" i="32"/>
  <c r="H11" i="32"/>
  <c r="G11" i="32"/>
  <c r="F11" i="32"/>
  <c r="E11" i="32"/>
  <c r="D11" i="32"/>
  <c r="CO10" i="32"/>
  <c r="CN10" i="32"/>
  <c r="CM10" i="32"/>
  <c r="CL10" i="32"/>
  <c r="CK10" i="32"/>
  <c r="CJ10" i="32"/>
  <c r="CH10" i="32"/>
  <c r="CG10" i="32"/>
  <c r="CF10" i="32"/>
  <c r="CE10" i="32"/>
  <c r="CD10" i="32"/>
  <c r="CC10" i="32"/>
  <c r="CA10" i="32"/>
  <c r="BZ10" i="32"/>
  <c r="BY10" i="32"/>
  <c r="BX10" i="32"/>
  <c r="BW10" i="32"/>
  <c r="BV10" i="32"/>
  <c r="BT10" i="32"/>
  <c r="BS10" i="32"/>
  <c r="BR10" i="32"/>
  <c r="BQ10" i="32"/>
  <c r="BP10" i="32"/>
  <c r="BO10" i="32"/>
  <c r="DA10" i="32" s="1"/>
  <c r="BM10" i="32"/>
  <c r="BL10" i="32"/>
  <c r="BK10" i="32"/>
  <c r="BJ10" i="32"/>
  <c r="CZ10" i="32" s="1"/>
  <c r="BI10" i="32"/>
  <c r="BH10" i="32"/>
  <c r="BF10" i="32"/>
  <c r="BE10" i="32"/>
  <c r="BD10" i="32"/>
  <c r="BC10" i="32"/>
  <c r="BB10" i="32"/>
  <c r="BA10" i="32"/>
  <c r="AY10" i="32"/>
  <c r="AX10" i="32"/>
  <c r="AW10" i="32"/>
  <c r="AV10" i="32"/>
  <c r="AU10" i="32"/>
  <c r="AT10" i="32"/>
  <c r="AR10" i="32"/>
  <c r="AQ10" i="32"/>
  <c r="AP10" i="32"/>
  <c r="AO10" i="32"/>
  <c r="AN10" i="32"/>
  <c r="AM10" i="32"/>
  <c r="AK10" i="32"/>
  <c r="AJ10" i="32"/>
  <c r="AI10" i="32"/>
  <c r="AH10" i="32"/>
  <c r="AG10" i="32"/>
  <c r="AF10" i="32"/>
  <c r="AD10" i="32"/>
  <c r="AC10" i="32"/>
  <c r="AB10" i="32"/>
  <c r="AA10" i="32"/>
  <c r="Z10" i="32"/>
  <c r="Y10" i="32"/>
  <c r="W10" i="32"/>
  <c r="V10" i="32"/>
  <c r="U10" i="32"/>
  <c r="T10" i="32"/>
  <c r="S10" i="32"/>
  <c r="R10" i="32"/>
  <c r="P10" i="32"/>
  <c r="O10" i="32"/>
  <c r="N10" i="32"/>
  <c r="M10" i="32"/>
  <c r="L10" i="32"/>
  <c r="K10" i="32"/>
  <c r="I10" i="32"/>
  <c r="H10" i="32"/>
  <c r="G10" i="32"/>
  <c r="F10" i="32"/>
  <c r="E10" i="32"/>
  <c r="D10" i="32"/>
  <c r="CO9" i="32"/>
  <c r="CN9" i="32"/>
  <c r="CM9" i="32"/>
  <c r="CL9" i="32"/>
  <c r="CK9" i="32"/>
  <c r="CJ9" i="32"/>
  <c r="CH9" i="32"/>
  <c r="CG9" i="32"/>
  <c r="CF9" i="32"/>
  <c r="CE9" i="32"/>
  <c r="CD9" i="32"/>
  <c r="CC9" i="32"/>
  <c r="CA9" i="32"/>
  <c r="BZ9" i="32"/>
  <c r="BY9" i="32"/>
  <c r="BX9" i="32"/>
  <c r="BW9" i="32"/>
  <c r="BV9" i="32"/>
  <c r="BT9" i="32"/>
  <c r="BS9" i="32"/>
  <c r="BR9" i="32"/>
  <c r="BQ9" i="32"/>
  <c r="DA9" i="32" s="1"/>
  <c r="BP9" i="32"/>
  <c r="BO9" i="32"/>
  <c r="BM9" i="32"/>
  <c r="BL9" i="32"/>
  <c r="BK9" i="32"/>
  <c r="BJ9" i="32"/>
  <c r="BI9" i="32"/>
  <c r="BH9" i="32"/>
  <c r="BF9" i="32"/>
  <c r="BE9" i="32"/>
  <c r="BD9" i="32"/>
  <c r="BC9" i="32"/>
  <c r="BB9" i="32"/>
  <c r="BA9" i="32"/>
  <c r="AY9" i="32"/>
  <c r="AX9" i="32"/>
  <c r="AW9" i="32"/>
  <c r="AV9" i="32"/>
  <c r="AU9" i="32"/>
  <c r="AT9" i="32"/>
  <c r="AR9" i="32"/>
  <c r="AQ9" i="32"/>
  <c r="AP9" i="32"/>
  <c r="AO9" i="32"/>
  <c r="CW9" i="32" s="1"/>
  <c r="AN9" i="32"/>
  <c r="AM9" i="32"/>
  <c r="AK9" i="32"/>
  <c r="AJ9" i="32"/>
  <c r="AI9" i="32"/>
  <c r="AH9" i="32"/>
  <c r="AG9" i="32"/>
  <c r="CV9" i="32" s="1"/>
  <c r="AF9" i="32"/>
  <c r="AD9" i="32"/>
  <c r="AC9" i="32"/>
  <c r="AB9" i="32"/>
  <c r="AA9" i="32"/>
  <c r="Z9" i="32"/>
  <c r="Y9" i="32"/>
  <c r="W9" i="32"/>
  <c r="V9" i="32"/>
  <c r="U9" i="32"/>
  <c r="T9" i="32"/>
  <c r="S9" i="32"/>
  <c r="R9" i="32"/>
  <c r="P9" i="32"/>
  <c r="O9" i="32"/>
  <c r="N9" i="32"/>
  <c r="M9" i="32"/>
  <c r="L9" i="32"/>
  <c r="K9" i="32"/>
  <c r="I9" i="32"/>
  <c r="H9" i="32"/>
  <c r="G9" i="32"/>
  <c r="F9" i="32"/>
  <c r="E9" i="32"/>
  <c r="D9" i="32"/>
  <c r="CI7" i="32"/>
  <c r="CB7" i="32"/>
  <c r="BU7" i="32"/>
  <c r="BN7" i="32"/>
  <c r="BG7" i="32"/>
  <c r="AZ7" i="32"/>
  <c r="AS7" i="32"/>
  <c r="AL7" i="32"/>
  <c r="AE7" i="32"/>
  <c r="X7" i="32"/>
  <c r="Q7" i="32"/>
  <c r="J7" i="32"/>
  <c r="CO6" i="32"/>
  <c r="CN6" i="32"/>
  <c r="CN8" i="32" s="1"/>
  <c r="CM6" i="32"/>
  <c r="CL6" i="32"/>
  <c r="CK6" i="32"/>
  <c r="CK8" i="32" s="1"/>
  <c r="CJ6" i="32"/>
  <c r="CJ8" i="32" s="1"/>
  <c r="CH6" i="32"/>
  <c r="CH8" i="32" s="1"/>
  <c r="CG6" i="32"/>
  <c r="CG8" i="32" s="1"/>
  <c r="CF6" i="32"/>
  <c r="CF8" i="32" s="1"/>
  <c r="CE6" i="32"/>
  <c r="CE8" i="32" s="1"/>
  <c r="CD6" i="32"/>
  <c r="CD8" i="32" s="1"/>
  <c r="CC6" i="32"/>
  <c r="CA6" i="32"/>
  <c r="CA8" i="32" s="1"/>
  <c r="BZ6" i="32"/>
  <c r="BZ8" i="32" s="1"/>
  <c r="BY6" i="32"/>
  <c r="BY8" i="32" s="1"/>
  <c r="BX6" i="32"/>
  <c r="BX8" i="32" s="1"/>
  <c r="BW6" i="32"/>
  <c r="BW8" i="32" s="1"/>
  <c r="BV6" i="32"/>
  <c r="BV8" i="32" s="1"/>
  <c r="BT6" i="32"/>
  <c r="BT8" i="32" s="1"/>
  <c r="BS6" i="32"/>
  <c r="BS8" i="32" s="1"/>
  <c r="BR6" i="32"/>
  <c r="BR8" i="32" s="1"/>
  <c r="BQ6" i="32"/>
  <c r="BQ8" i="32" s="1"/>
  <c r="BP6" i="32"/>
  <c r="BP8" i="32" s="1"/>
  <c r="BO6" i="32"/>
  <c r="BO8" i="32" s="1"/>
  <c r="BM6" i="32"/>
  <c r="BM8" i="32" s="1"/>
  <c r="BL6" i="32"/>
  <c r="BL8" i="32" s="1"/>
  <c r="BK6" i="32"/>
  <c r="BK8" i="32" s="1"/>
  <c r="BJ6" i="32"/>
  <c r="BJ8" i="32" s="1"/>
  <c r="BI6" i="32"/>
  <c r="BI8" i="32" s="1"/>
  <c r="BH6" i="32"/>
  <c r="BF6" i="32"/>
  <c r="BF8" i="32" s="1"/>
  <c r="BE6" i="32"/>
  <c r="BE8" i="32" s="1"/>
  <c r="BD6" i="32"/>
  <c r="BD8" i="32" s="1"/>
  <c r="BC6" i="32"/>
  <c r="BC8" i="32" s="1"/>
  <c r="BB6" i="32"/>
  <c r="BB8" i="32" s="1"/>
  <c r="BA6" i="32"/>
  <c r="AY6" i="32"/>
  <c r="AY8" i="32" s="1"/>
  <c r="AX6" i="32"/>
  <c r="AX8" i="32" s="1"/>
  <c r="AW6" i="32"/>
  <c r="AW8" i="32" s="1"/>
  <c r="AV6" i="32"/>
  <c r="AV8" i="32" s="1"/>
  <c r="AU6" i="32"/>
  <c r="AU8" i="32" s="1"/>
  <c r="AT6" i="32"/>
  <c r="AT8" i="32" s="1"/>
  <c r="AR6" i="32"/>
  <c r="AR8" i="32" s="1"/>
  <c r="AQ6" i="32"/>
  <c r="AQ8" i="32" s="1"/>
  <c r="AP6" i="32"/>
  <c r="AP8" i="32" s="1"/>
  <c r="AO6" i="32"/>
  <c r="AO8" i="32" s="1"/>
  <c r="AN6" i="32"/>
  <c r="AM6" i="32"/>
  <c r="AM8" i="32" s="1"/>
  <c r="AK6" i="32"/>
  <c r="AK8" i="32" s="1"/>
  <c r="AJ6" i="32"/>
  <c r="AJ8" i="32" s="1"/>
  <c r="AI6" i="32"/>
  <c r="AI8" i="32" s="1"/>
  <c r="AH6" i="32"/>
  <c r="AH8" i="32" s="1"/>
  <c r="AG6" i="32"/>
  <c r="AG8" i="32" s="1"/>
  <c r="AF6" i="32"/>
  <c r="AD6" i="32"/>
  <c r="AD8" i="32" s="1"/>
  <c r="AC6" i="32"/>
  <c r="AC8" i="32" s="1"/>
  <c r="AB6" i="32"/>
  <c r="AB8" i="32" s="1"/>
  <c r="AA6" i="32"/>
  <c r="AA8" i="32" s="1"/>
  <c r="Z6" i="32"/>
  <c r="Z8" i="32" s="1"/>
  <c r="Y6" i="32"/>
  <c r="W6" i="32"/>
  <c r="W8" i="32" s="1"/>
  <c r="V6" i="32"/>
  <c r="V8" i="32" s="1"/>
  <c r="U6" i="32"/>
  <c r="U8" i="32" s="1"/>
  <c r="T6" i="32"/>
  <c r="T8" i="32" s="1"/>
  <c r="S6" i="32"/>
  <c r="S8" i="32" s="1"/>
  <c r="R6" i="32"/>
  <c r="R8" i="32" s="1"/>
  <c r="P6" i="32"/>
  <c r="P8" i="32" s="1"/>
  <c r="O6" i="32"/>
  <c r="O8" i="32" s="1"/>
  <c r="N6" i="32"/>
  <c r="N8" i="32" s="1"/>
  <c r="M6" i="32"/>
  <c r="M8" i="32" s="1"/>
  <c r="L6" i="32"/>
  <c r="CS6" i="32" s="1"/>
  <c r="K6" i="32"/>
  <c r="K8" i="32" s="1"/>
  <c r="I6" i="32"/>
  <c r="I8" i="32" s="1"/>
  <c r="H6" i="32"/>
  <c r="H8" i="32" s="1"/>
  <c r="G6" i="32"/>
  <c r="G8" i="32" s="1"/>
  <c r="F6" i="32"/>
  <c r="F8" i="32" s="1"/>
  <c r="E6" i="32"/>
  <c r="E8" i="32" s="1"/>
  <c r="D6" i="32"/>
  <c r="CP62" i="29"/>
  <c r="CP63" i="29" s="1"/>
  <c r="CP57" i="29"/>
  <c r="CP56" i="29"/>
  <c r="CP55" i="29"/>
  <c r="CP54" i="29"/>
  <c r="CP52" i="29"/>
  <c r="CP62" i="28"/>
  <c r="CP63" i="28" s="1"/>
  <c r="CP57" i="28"/>
  <c r="CP56" i="28"/>
  <c r="CP55" i="28"/>
  <c r="CP54" i="28"/>
  <c r="CP52" i="28"/>
  <c r="CP74" i="24"/>
  <c r="CP63" i="24"/>
  <c r="CP52" i="24"/>
  <c r="CP54" i="24"/>
  <c r="CP55" i="24"/>
  <c r="CP56" i="24"/>
  <c r="CP57" i="24"/>
  <c r="CP62" i="24"/>
  <c r="J7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2" i="9"/>
  <c r="J43" i="9"/>
  <c r="J44" i="9"/>
  <c r="J45" i="9"/>
  <c r="J47" i="9"/>
  <c r="J54" i="9"/>
  <c r="J52" i="9" s="1"/>
  <c r="J63" i="9" s="1"/>
  <c r="J66" i="9" s="1"/>
  <c r="J55" i="9"/>
  <c r="J56" i="9"/>
  <c r="J57" i="9"/>
  <c r="J58" i="9"/>
  <c r="J59" i="9"/>
  <c r="J64" i="9"/>
  <c r="J65" i="9"/>
  <c r="J72" i="9"/>
  <c r="J76" i="9"/>
  <c r="CP74" i="16"/>
  <c r="CP63" i="16"/>
  <c r="CP62" i="16"/>
  <c r="CP52" i="16"/>
  <c r="CP54" i="16"/>
  <c r="CP55" i="16"/>
  <c r="CP56" i="16"/>
  <c r="CP57" i="16"/>
  <c r="J116" i="30"/>
  <c r="Q70" i="30"/>
  <c r="X70" i="30" s="1"/>
  <c r="AE70" i="30" s="1"/>
  <c r="AL70" i="30" s="1"/>
  <c r="AS70" i="30" s="1"/>
  <c r="AZ70" i="30" s="1"/>
  <c r="BG70" i="30" s="1"/>
  <c r="BN70" i="30" s="1"/>
  <c r="BU70" i="30" s="1"/>
  <c r="CB70" i="30" s="1"/>
  <c r="CI70" i="30" s="1"/>
  <c r="I16" i="32" l="1"/>
  <c r="S16" i="32"/>
  <c r="AB16" i="32"/>
  <c r="AU16" i="32"/>
  <c r="BD16" i="32"/>
  <c r="BM16" i="32"/>
  <c r="BW16" i="32"/>
  <c r="CF16" i="32"/>
  <c r="E16" i="32"/>
  <c r="N16" i="32"/>
  <c r="W16" i="32"/>
  <c r="AP16" i="32"/>
  <c r="AY16" i="32"/>
  <c r="BI16" i="32"/>
  <c r="BR16" i="32"/>
  <c r="CA16" i="32"/>
  <c r="BT16" i="32"/>
  <c r="CD16" i="32"/>
  <c r="BP16" i="32"/>
  <c r="BY16" i="32"/>
  <c r="CH16" i="32"/>
  <c r="V16" i="32"/>
  <c r="AA16" i="32"/>
  <c r="AJ16" i="32"/>
  <c r="AO16" i="32"/>
  <c r="AT16" i="32"/>
  <c r="AX16" i="32"/>
  <c r="BC16" i="32"/>
  <c r="BL16" i="32"/>
  <c r="BV16" i="32"/>
  <c r="BZ16" i="32"/>
  <c r="CE16" i="32"/>
  <c r="K16" i="32"/>
  <c r="T16" i="32"/>
  <c r="AC16" i="32"/>
  <c r="AM16" i="32"/>
  <c r="AV16" i="32"/>
  <c r="BE16" i="32"/>
  <c r="BO16" i="32"/>
  <c r="BX16" i="32"/>
  <c r="CG16" i="32"/>
  <c r="Q9" i="32"/>
  <c r="CS9" i="32" s="1"/>
  <c r="F16" i="32"/>
  <c r="O16" i="32"/>
  <c r="AH16" i="32"/>
  <c r="AQ16" i="32"/>
  <c r="BJ16" i="32"/>
  <c r="BS16" i="32"/>
  <c r="G16" i="32"/>
  <c r="P16" i="32"/>
  <c r="U16" i="32"/>
  <c r="Z16" i="32"/>
  <c r="AD16" i="32"/>
  <c r="AI16" i="32"/>
  <c r="AR16" i="32"/>
  <c r="AW16" i="32"/>
  <c r="BB16" i="32"/>
  <c r="BF16" i="32"/>
  <c r="BK16" i="32"/>
  <c r="Q12" i="32"/>
  <c r="Q11" i="32"/>
  <c r="Q13" i="32"/>
  <c r="AE48" i="32"/>
  <c r="H16" i="32"/>
  <c r="M16" i="32"/>
  <c r="R16" i="32"/>
  <c r="Q10" i="32"/>
  <c r="CS10" i="32" s="1"/>
  <c r="X48" i="32"/>
  <c r="X79" i="32" s="1"/>
  <c r="AL48" i="32"/>
  <c r="CJ120" i="32"/>
  <c r="CJ16" i="32"/>
  <c r="X137" i="32"/>
  <c r="X115" i="32"/>
  <c r="CT44" i="32"/>
  <c r="CT39" i="32"/>
  <c r="CT35" i="32"/>
  <c r="CT31" i="32"/>
  <c r="CT27" i="32"/>
  <c r="CT23" i="32"/>
  <c r="CT19" i="32"/>
  <c r="CT42" i="32"/>
  <c r="CT37" i="32"/>
  <c r="CT33" i="32"/>
  <c r="CT29" i="32"/>
  <c r="CT25" i="32"/>
  <c r="CT21" i="32"/>
  <c r="CT6" i="32"/>
  <c r="X8" i="32"/>
  <c r="CN120" i="32"/>
  <c r="CN16" i="32"/>
  <c r="BG137" i="32"/>
  <c r="BG115" i="32"/>
  <c r="CY43" i="32"/>
  <c r="CY38" i="32"/>
  <c r="CY34" i="32"/>
  <c r="CY30" i="32"/>
  <c r="CY26" i="32"/>
  <c r="CY22" i="32"/>
  <c r="CY18" i="32"/>
  <c r="CY14" i="32"/>
  <c r="BG8" i="32"/>
  <c r="BG16" i="32" s="1"/>
  <c r="BG46" i="32" s="1"/>
  <c r="BG48" i="32" s="1"/>
  <c r="CY36" i="32"/>
  <c r="CY32" i="32"/>
  <c r="CY28" i="32"/>
  <c r="CY24" i="32"/>
  <c r="CY20" i="32"/>
  <c r="CY6" i="32"/>
  <c r="CR10" i="32"/>
  <c r="CV10" i="32"/>
  <c r="CW10" i="32"/>
  <c r="CR11" i="32"/>
  <c r="CU11" i="32"/>
  <c r="CV11" i="32"/>
  <c r="CY11" i="32"/>
  <c r="CU12" i="32"/>
  <c r="CY12" i="32"/>
  <c r="CT13" i="32"/>
  <c r="AL137" i="32"/>
  <c r="AL115" i="32"/>
  <c r="CV42" i="32"/>
  <c r="CV37" i="32"/>
  <c r="CV33" i="32"/>
  <c r="CV29" i="32"/>
  <c r="CV25" i="32"/>
  <c r="CV21" i="32"/>
  <c r="CV6" i="32"/>
  <c r="CV44" i="32"/>
  <c r="CV39" i="32"/>
  <c r="CV35" i="32"/>
  <c r="CV31" i="32"/>
  <c r="CV27" i="32"/>
  <c r="CV23" i="32"/>
  <c r="CV19" i="32"/>
  <c r="AL8" i="32"/>
  <c r="BU137" i="32"/>
  <c r="BU115" i="32"/>
  <c r="DA45" i="32"/>
  <c r="DA43" i="32"/>
  <c r="DA38" i="32"/>
  <c r="DA34" i="32"/>
  <c r="DA30" i="32"/>
  <c r="DA26" i="32"/>
  <c r="DA22" i="32"/>
  <c r="DA18" i="32"/>
  <c r="DA36" i="32"/>
  <c r="DA32" i="32"/>
  <c r="DA28" i="32"/>
  <c r="DA24" i="32"/>
  <c r="DA20" i="32"/>
  <c r="DA14" i="32"/>
  <c r="BU8" i="32"/>
  <c r="BU16" i="32" s="1"/>
  <c r="BU46" i="32" s="1"/>
  <c r="BU48" i="32" s="1"/>
  <c r="DC11" i="32"/>
  <c r="Q117" i="32"/>
  <c r="Q116" i="32"/>
  <c r="CS7" i="32"/>
  <c r="AS117" i="32"/>
  <c r="AS116" i="32"/>
  <c r="CW7" i="32"/>
  <c r="BU117" i="32"/>
  <c r="BU116" i="32"/>
  <c r="DA7" i="32"/>
  <c r="AN8" i="32"/>
  <c r="AN16" i="32" s="1"/>
  <c r="CU9" i="32"/>
  <c r="CZ9" i="32"/>
  <c r="CU10" i="32"/>
  <c r="CY10" i="32"/>
  <c r="CT11" i="32"/>
  <c r="CS12" i="32"/>
  <c r="CW12" i="32"/>
  <c r="DA12" i="32"/>
  <c r="CV13" i="32"/>
  <c r="CZ13" i="32"/>
  <c r="DB13" i="32"/>
  <c r="AS137" i="32"/>
  <c r="AS115" i="32"/>
  <c r="CW36" i="32"/>
  <c r="CW32" i="32"/>
  <c r="CW28" i="32"/>
  <c r="CW24" i="32"/>
  <c r="CW20" i="32"/>
  <c r="CW45" i="32"/>
  <c r="CW43" i="32"/>
  <c r="CW38" i="32"/>
  <c r="CW34" i="32"/>
  <c r="CW30" i="32"/>
  <c r="CW26" i="32"/>
  <c r="CW22" i="32"/>
  <c r="CW18" i="32"/>
  <c r="CW14" i="32"/>
  <c r="AS8" i="32"/>
  <c r="AS16" i="32" s="1"/>
  <c r="AS46" i="32" s="1"/>
  <c r="AS48" i="32" s="1"/>
  <c r="CK120" i="32"/>
  <c r="CK16" i="32"/>
  <c r="D8" i="32"/>
  <c r="D16" i="32" s="1"/>
  <c r="AG16" i="32"/>
  <c r="AK16" i="32"/>
  <c r="BN115" i="32"/>
  <c r="CZ44" i="32"/>
  <c r="CZ39" i="32"/>
  <c r="CZ35" i="32"/>
  <c r="CZ31" i="32"/>
  <c r="CZ27" i="32"/>
  <c r="CZ23" i="32"/>
  <c r="CZ19" i="32"/>
  <c r="CZ6" i="32"/>
  <c r="CZ42" i="32"/>
  <c r="CZ37" i="32"/>
  <c r="CZ33" i="32"/>
  <c r="CZ29" i="32"/>
  <c r="CZ25" i="32"/>
  <c r="CZ21" i="32"/>
  <c r="BN8" i="32"/>
  <c r="BN16" i="32" s="1"/>
  <c r="BN46" i="32" s="1"/>
  <c r="BN48" i="32" s="1"/>
  <c r="BQ16" i="32"/>
  <c r="CW6" i="32"/>
  <c r="CV7" i="32"/>
  <c r="L8" i="32"/>
  <c r="L16" i="32" s="1"/>
  <c r="BH8" i="32"/>
  <c r="BH16" i="32" s="1"/>
  <c r="CY9" i="32"/>
  <c r="CT10" i="32"/>
  <c r="CS11" i="32"/>
  <c r="CW11" i="32"/>
  <c r="DA11" i="32"/>
  <c r="CT12" i="32"/>
  <c r="CV12" i="32"/>
  <c r="CZ12" i="32"/>
  <c r="DB12" i="32"/>
  <c r="CS13" i="32"/>
  <c r="CU13" i="32"/>
  <c r="CW13" i="32"/>
  <c r="CY13" i="32"/>
  <c r="DA13" i="32"/>
  <c r="DC13" i="32"/>
  <c r="Q137" i="32"/>
  <c r="Q115" i="32"/>
  <c r="Q118" i="32" s="1"/>
  <c r="CS43" i="32"/>
  <c r="CS38" i="32"/>
  <c r="CS34" i="32"/>
  <c r="CS30" i="32"/>
  <c r="CS26" i="32"/>
  <c r="CS22" i="32"/>
  <c r="CS18" i="32"/>
  <c r="CS45" i="32"/>
  <c r="CS36" i="32"/>
  <c r="CS32" i="32"/>
  <c r="CS28" i="32"/>
  <c r="CS24" i="32"/>
  <c r="CS20" i="32"/>
  <c r="CS14" i="32"/>
  <c r="Q8" i="32"/>
  <c r="AE137" i="32"/>
  <c r="AE115" i="32"/>
  <c r="AE118" i="32" s="1"/>
  <c r="CU36" i="32"/>
  <c r="CU32" i="32"/>
  <c r="CU28" i="32"/>
  <c r="CU24" i="32"/>
  <c r="CU20" i="32"/>
  <c r="CU14" i="32"/>
  <c r="AE8" i="32"/>
  <c r="CU43" i="32"/>
  <c r="CU38" i="32"/>
  <c r="CU34" i="32"/>
  <c r="CU30" i="32"/>
  <c r="CU26" i="32"/>
  <c r="CU22" i="32"/>
  <c r="CU18" i="32"/>
  <c r="CU6" i="32"/>
  <c r="CX9" i="32"/>
  <c r="CJ136" i="32"/>
  <c r="CJ121" i="32"/>
  <c r="CJ124" i="32"/>
  <c r="CJ114" i="32"/>
  <c r="CJ117" i="32" s="1"/>
  <c r="CN136" i="32"/>
  <c r="CN124" i="32"/>
  <c r="CN114" i="32"/>
  <c r="CN117" i="32" s="1"/>
  <c r="DA6" i="32"/>
  <c r="CZ7" i="32"/>
  <c r="AF8" i="32"/>
  <c r="AF16" i="32" s="1"/>
  <c r="CR9" i="32"/>
  <c r="CT9" i="32"/>
  <c r="CO136" i="32"/>
  <c r="CO124" i="32"/>
  <c r="CO114" i="32"/>
  <c r="CO117" i="32" s="1"/>
  <c r="X116" i="32"/>
  <c r="X117" i="32"/>
  <c r="AZ116" i="32"/>
  <c r="AZ117" i="32"/>
  <c r="CB116" i="32"/>
  <c r="CB117" i="32"/>
  <c r="Y8" i="32"/>
  <c r="Y16" i="32" s="1"/>
  <c r="BA8" i="32"/>
  <c r="BA16" i="32" s="1"/>
  <c r="CC8" i="32"/>
  <c r="CC16" i="32" s="1"/>
  <c r="CO8" i="32"/>
  <c r="CL136" i="32"/>
  <c r="CL124" i="32"/>
  <c r="CL114" i="32"/>
  <c r="CL117" i="32" s="1"/>
  <c r="AE116" i="32"/>
  <c r="AE117" i="32"/>
  <c r="BG116" i="32"/>
  <c r="BG117" i="32"/>
  <c r="CI116" i="32"/>
  <c r="CI117" i="32"/>
  <c r="CT7" i="32"/>
  <c r="CX7" i="32"/>
  <c r="CL8" i="32"/>
  <c r="J164" i="32"/>
  <c r="CJ163" i="32"/>
  <c r="CJ122" i="32"/>
  <c r="CT18" i="32"/>
  <c r="CX18" i="32"/>
  <c r="CU19" i="32"/>
  <c r="CY19" i="32"/>
  <c r="DC19" i="32"/>
  <c r="CV20" i="32"/>
  <c r="CZ20" i="32"/>
  <c r="CS21" i="32"/>
  <c r="CW21" i="32"/>
  <c r="DA21" i="32"/>
  <c r="CT22" i="32"/>
  <c r="CX22" i="32"/>
  <c r="CU23" i="32"/>
  <c r="CY23" i="32"/>
  <c r="DC23" i="32"/>
  <c r="CV24" i="32"/>
  <c r="CZ24" i="32"/>
  <c r="CS25" i="32"/>
  <c r="CW25" i="32"/>
  <c r="DA25" i="32"/>
  <c r="CT26" i="32"/>
  <c r="CX26" i="32"/>
  <c r="CU27" i="32"/>
  <c r="CY27" i="32"/>
  <c r="DC27" i="32"/>
  <c r="CV28" i="32"/>
  <c r="CZ28" i="32"/>
  <c r="CS29" i="32"/>
  <c r="CW29" i="32"/>
  <c r="DA29" i="32"/>
  <c r="CT30" i="32"/>
  <c r="CX30" i="32"/>
  <c r="CU31" i="32"/>
  <c r="CY31" i="32"/>
  <c r="DC31" i="32"/>
  <c r="CR32" i="32"/>
  <c r="CV32" i="32"/>
  <c r="CZ32" i="32"/>
  <c r="CS33" i="32"/>
  <c r="CW33" i="32"/>
  <c r="DA33" i="32"/>
  <c r="CT34" i="32"/>
  <c r="CX34" i="32"/>
  <c r="CU35" i="32"/>
  <c r="CY35" i="32"/>
  <c r="DC35" i="32"/>
  <c r="CR36" i="32"/>
  <c r="CV36" i="32"/>
  <c r="CZ36" i="32"/>
  <c r="CS37" i="32"/>
  <c r="CW37" i="32"/>
  <c r="DA37" i="32"/>
  <c r="CT38" i="32"/>
  <c r="CX38" i="32"/>
  <c r="CU39" i="32"/>
  <c r="CY39" i="32"/>
  <c r="DC39" i="32"/>
  <c r="CS42" i="32"/>
  <c r="CW42" i="32"/>
  <c r="DA42" i="32"/>
  <c r="CT43" i="32"/>
  <c r="DB43" i="32"/>
  <c r="CU44" i="32"/>
  <c r="CY44" i="32"/>
  <c r="CR45" i="32"/>
  <c r="CV45" i="32"/>
  <c r="CZ45" i="32"/>
  <c r="CT47" i="32"/>
  <c r="CX47" i="32"/>
  <c r="Q76" i="32"/>
  <c r="Q97" i="32"/>
  <c r="Q98" i="32" s="1"/>
  <c r="Q65" i="32"/>
  <c r="CK136" i="32"/>
  <c r="CK124" i="32"/>
  <c r="CK114" i="32"/>
  <c r="CK117" i="32" s="1"/>
  <c r="CM136" i="32"/>
  <c r="CM124" i="32"/>
  <c r="CM114" i="32"/>
  <c r="CM117" i="32" s="1"/>
  <c r="CM121" i="32"/>
  <c r="J117" i="32"/>
  <c r="J116" i="32"/>
  <c r="AL117" i="32"/>
  <c r="AL116" i="32"/>
  <c r="BN117" i="32"/>
  <c r="BN116" i="32"/>
  <c r="CU7" i="32"/>
  <c r="CY7" i="32"/>
  <c r="CM8" i="32"/>
  <c r="CT14" i="32"/>
  <c r="CX14" i="32"/>
  <c r="AS76" i="32"/>
  <c r="AS97" i="32"/>
  <c r="AS98" i="32" s="1"/>
  <c r="AS65" i="32"/>
  <c r="CI97" i="32"/>
  <c r="CI98" i="32" s="1"/>
  <c r="CI76" i="32"/>
  <c r="CI65" i="32"/>
  <c r="CR18" i="32"/>
  <c r="CV18" i="32"/>
  <c r="CZ18" i="32"/>
  <c r="CS19" i="32"/>
  <c r="CW19" i="32"/>
  <c r="DA19" i="32"/>
  <c r="CT20" i="32"/>
  <c r="CX20" i="32"/>
  <c r="DB20" i="32"/>
  <c r="CU21" i="32"/>
  <c r="CY21" i="32"/>
  <c r="DC21" i="32"/>
  <c r="CR22" i="32"/>
  <c r="CV22" i="32"/>
  <c r="CZ22" i="32"/>
  <c r="CS23" i="32"/>
  <c r="CW23" i="32"/>
  <c r="DA23" i="32"/>
  <c r="CT24" i="32"/>
  <c r="CX24" i="32"/>
  <c r="DB24" i="32"/>
  <c r="CU25" i="32"/>
  <c r="CY25" i="32"/>
  <c r="DC25" i="32"/>
  <c r="CR26" i="32"/>
  <c r="CV26" i="32"/>
  <c r="CZ26" i="32"/>
  <c r="CS27" i="32"/>
  <c r="CW27" i="32"/>
  <c r="DA27" i="32"/>
  <c r="CT28" i="32"/>
  <c r="CX28" i="32"/>
  <c r="DB28" i="32"/>
  <c r="CU29" i="32"/>
  <c r="CY29" i="32"/>
  <c r="DC29" i="32"/>
  <c r="CR30" i="32"/>
  <c r="CV30" i="32"/>
  <c r="CZ30" i="32"/>
  <c r="CS31" i="32"/>
  <c r="CW31" i="32"/>
  <c r="DA31" i="32"/>
  <c r="CT32" i="32"/>
  <c r="CX32" i="32"/>
  <c r="DB32" i="32"/>
  <c r="CU33" i="32"/>
  <c r="CY33" i="32"/>
  <c r="DC33" i="32"/>
  <c r="CR34" i="32"/>
  <c r="CV34" i="32"/>
  <c r="CZ34" i="32"/>
  <c r="CS35" i="32"/>
  <c r="CW35" i="32"/>
  <c r="DA35" i="32"/>
  <c r="CT36" i="32"/>
  <c r="CX36" i="32"/>
  <c r="DB36" i="32"/>
  <c r="CU37" i="32"/>
  <c r="CY37" i="32"/>
  <c r="DC37" i="32"/>
  <c r="CR38" i="32"/>
  <c r="CV38" i="32"/>
  <c r="CZ38" i="32"/>
  <c r="CS39" i="32"/>
  <c r="CW39" i="32"/>
  <c r="DA39" i="32"/>
  <c r="CU42" i="32"/>
  <c r="CY42" i="32"/>
  <c r="DC42" i="32"/>
  <c r="CR43" i="32"/>
  <c r="CV43" i="32"/>
  <c r="CZ43" i="32"/>
  <c r="CS44" i="32"/>
  <c r="CW44" i="32"/>
  <c r="DA44" i="32"/>
  <c r="CT45" i="32"/>
  <c r="CX45" i="32"/>
  <c r="DB45" i="32"/>
  <c r="CR47" i="32"/>
  <c r="CI66" i="32"/>
  <c r="DC64" i="32" s="1"/>
  <c r="AZ97" i="32"/>
  <c r="AZ98" i="32" s="1"/>
  <c r="AZ76" i="32"/>
  <c r="AZ65" i="32"/>
  <c r="CB97" i="32"/>
  <c r="CB98" i="32" s="1"/>
  <c r="CB76" i="32"/>
  <c r="CB65" i="32"/>
  <c r="CM163" i="32"/>
  <c r="CM122" i="32"/>
  <c r="CR14" i="32"/>
  <c r="CV14" i="32"/>
  <c r="CZ14" i="32"/>
  <c r="X97" i="32"/>
  <c r="X98" i="32" s="1"/>
  <c r="X76" i="32"/>
  <c r="X65" i="32"/>
  <c r="AE97" i="32"/>
  <c r="AE98" i="32" s="1"/>
  <c r="AE76" i="32"/>
  <c r="AE65" i="32"/>
  <c r="BG97" i="32"/>
  <c r="BG98" i="32" s="1"/>
  <c r="BG76" i="32"/>
  <c r="BG65" i="32"/>
  <c r="BU76" i="32"/>
  <c r="BU65" i="32"/>
  <c r="Q63" i="32"/>
  <c r="BG63" i="32"/>
  <c r="AL65" i="32"/>
  <c r="AL76" i="32"/>
  <c r="AL97" i="32"/>
  <c r="AL98" i="32" s="1"/>
  <c r="CU47" i="32"/>
  <c r="CY47" i="32"/>
  <c r="DC47" i="32"/>
  <c r="AE103" i="32"/>
  <c r="X63" i="32"/>
  <c r="BG103" i="32"/>
  <c r="AZ63" i="32"/>
  <c r="CI103" i="32"/>
  <c r="CB63" i="32"/>
  <c r="AE63" i="32"/>
  <c r="BN63" i="32"/>
  <c r="J64" i="32"/>
  <c r="CV47" i="32"/>
  <c r="CZ47" i="32"/>
  <c r="AL63" i="32"/>
  <c r="BU63" i="32"/>
  <c r="AE70" i="32"/>
  <c r="CU45" i="32"/>
  <c r="CY45" i="32"/>
  <c r="DC45" i="32"/>
  <c r="CS47" i="32"/>
  <c r="CW47" i="32"/>
  <c r="DA47" i="32"/>
  <c r="J63" i="32"/>
  <c r="AS63" i="32"/>
  <c r="BN64" i="32"/>
  <c r="BN137" i="32" s="1"/>
  <c r="CM141" i="32"/>
  <c r="CM135" i="32"/>
  <c r="Q142" i="32"/>
  <c r="Q136" i="32"/>
  <c r="AS142" i="32"/>
  <c r="CB136" i="32"/>
  <c r="CI136" i="32"/>
  <c r="CL141" i="32"/>
  <c r="CL135" i="32"/>
  <c r="J142" i="32"/>
  <c r="AL142" i="32"/>
  <c r="J136" i="32"/>
  <c r="AL136" i="32"/>
  <c r="BN136" i="32"/>
  <c r="CK157" i="32"/>
  <c r="CK158" i="32" s="1"/>
  <c r="BU142" i="32"/>
  <c r="BU136" i="32"/>
  <c r="AS136" i="32"/>
  <c r="CJ141" i="32"/>
  <c r="CN141" i="32"/>
  <c r="X142" i="32"/>
  <c r="AZ142" i="32"/>
  <c r="CB142" i="32"/>
  <c r="CJ135" i="32"/>
  <c r="CN135" i="32"/>
  <c r="X136" i="32"/>
  <c r="AZ136" i="32"/>
  <c r="CK141" i="32"/>
  <c r="CO141" i="32"/>
  <c r="AE142" i="32"/>
  <c r="BG142" i="32"/>
  <c r="CI142" i="32"/>
  <c r="CK135" i="32"/>
  <c r="CO135" i="32"/>
  <c r="AE136" i="32"/>
  <c r="BG136" i="32"/>
  <c r="CJ142" i="32"/>
  <c r="CJ145" i="32"/>
  <c r="CJ159" i="32" s="1"/>
  <c r="CN145" i="32"/>
  <c r="CN159" i="32" s="1"/>
  <c r="CJ150" i="32"/>
  <c r="CJ157" i="32" s="1"/>
  <c r="CJ158" i="32" s="1"/>
  <c r="CM140" i="32"/>
  <c r="CK145" i="32"/>
  <c r="CK159" i="32" s="1"/>
  <c r="CO145" i="32"/>
  <c r="CO159" i="32" s="1"/>
  <c r="CL149" i="32"/>
  <c r="CL150" i="32" s="1"/>
  <c r="CL157" i="32" s="1"/>
  <c r="CL158" i="32" s="1"/>
  <c r="CL145" i="32"/>
  <c r="CL159" i="32" s="1"/>
  <c r="CM145" i="32"/>
  <c r="CM159" i="32" s="1"/>
  <c r="CP74" i="29"/>
  <c r="CP74" i="28"/>
  <c r="DC63" i="32" l="1"/>
  <c r="DC76" i="32"/>
  <c r="BN164" i="32"/>
  <c r="CX12" i="32"/>
  <c r="CX10" i="32"/>
  <c r="BN118" i="32"/>
  <c r="CX11" i="32"/>
  <c r="BG121" i="32"/>
  <c r="CY8" i="32"/>
  <c r="X118" i="32"/>
  <c r="CJ160" i="32"/>
  <c r="CJ161" i="32" s="1"/>
  <c r="AZ137" i="32"/>
  <c r="AZ115" i="32"/>
  <c r="AZ118" i="32" s="1"/>
  <c r="CX42" i="32"/>
  <c r="CX37" i="32"/>
  <c r="CX33" i="32"/>
  <c r="CX29" i="32"/>
  <c r="CX25" i="32"/>
  <c r="CX21" i="32"/>
  <c r="CX44" i="32"/>
  <c r="CX39" i="32"/>
  <c r="CX35" i="32"/>
  <c r="CX31" i="32"/>
  <c r="CX27" i="32"/>
  <c r="CX23" i="32"/>
  <c r="CX19" i="32"/>
  <c r="CX6" i="32"/>
  <c r="AZ8" i="32"/>
  <c r="AZ16" i="32" s="1"/>
  <c r="AZ46" i="32" s="1"/>
  <c r="AZ48" i="32" s="1"/>
  <c r="BN121" i="32"/>
  <c r="CZ8" i="32"/>
  <c r="CI137" i="32"/>
  <c r="CI115" i="32"/>
  <c r="CI118" i="32" s="1"/>
  <c r="DC36" i="32"/>
  <c r="DC32" i="32"/>
  <c r="DC28" i="32"/>
  <c r="DC24" i="32"/>
  <c r="DC20" i="32"/>
  <c r="DC14" i="32"/>
  <c r="CI8" i="32"/>
  <c r="CI16" i="32" s="1"/>
  <c r="CI46" i="32" s="1"/>
  <c r="CI48" i="32" s="1"/>
  <c r="DC43" i="32"/>
  <c r="DC38" i="32"/>
  <c r="DC34" i="32"/>
  <c r="DC30" i="32"/>
  <c r="DC26" i="32"/>
  <c r="DC22" i="32"/>
  <c r="DC18" i="32"/>
  <c r="DC6" i="32"/>
  <c r="BU118" i="32"/>
  <c r="CB137" i="32"/>
  <c r="CB115" i="32"/>
  <c r="CB118" i="32" s="1"/>
  <c r="DB44" i="32"/>
  <c r="DB39" i="32"/>
  <c r="DB35" i="32"/>
  <c r="DB31" i="32"/>
  <c r="DB27" i="32"/>
  <c r="DB23" i="32"/>
  <c r="DB19" i="32"/>
  <c r="DB42" i="32"/>
  <c r="DB37" i="32"/>
  <c r="DB33" i="32"/>
  <c r="DB29" i="32"/>
  <c r="DB25" i="32"/>
  <c r="DB21" i="32"/>
  <c r="DB6" i="32"/>
  <c r="CB8" i="32"/>
  <c r="CB16" i="32" s="1"/>
  <c r="CB46" i="32" s="1"/>
  <c r="CB48" i="32" s="1"/>
  <c r="DC12" i="32"/>
  <c r="DB9" i="32"/>
  <c r="BG118" i="32"/>
  <c r="X121" i="32"/>
  <c r="CT8" i="32"/>
  <c r="BU66" i="32"/>
  <c r="DA65" i="32" s="1"/>
  <c r="CB66" i="32"/>
  <c r="DB76" i="32" s="1"/>
  <c r="AL66" i="32"/>
  <c r="CW65" i="32"/>
  <c r="CM120" i="32"/>
  <c r="CM16" i="32"/>
  <c r="CJ131" i="32"/>
  <c r="CJ123" i="32"/>
  <c r="CJ132" i="32"/>
  <c r="CL120" i="32"/>
  <c r="CL16" i="32"/>
  <c r="AE121" i="32"/>
  <c r="CU8" i="32"/>
  <c r="DC9" i="32"/>
  <c r="AS118" i="32"/>
  <c r="DC10" i="32"/>
  <c r="BU121" i="32"/>
  <c r="DA8" i="32"/>
  <c r="AL118" i="32"/>
  <c r="J137" i="32"/>
  <c r="J115" i="32"/>
  <c r="J118" i="32" s="1"/>
  <c r="CR44" i="32"/>
  <c r="CR39" i="32"/>
  <c r="CR35" i="32"/>
  <c r="CR31" i="32"/>
  <c r="CR27" i="32"/>
  <c r="CR23" i="32"/>
  <c r="CR19" i="32"/>
  <c r="CR6" i="32"/>
  <c r="CR42" i="32"/>
  <c r="CR37" i="32"/>
  <c r="CR33" i="32"/>
  <c r="CR29" i="32"/>
  <c r="CR25" i="32"/>
  <c r="CR21" i="32"/>
  <c r="J8" i="32"/>
  <c r="CR7" i="32"/>
  <c r="CK140" i="32"/>
  <c r="CK142" i="32" s="1"/>
  <c r="CK160" i="32" s="1"/>
  <c r="CK161" i="32" s="1"/>
  <c r="CK121" i="32"/>
  <c r="CK122" i="32"/>
  <c r="BN65" i="32"/>
  <c r="BN66" i="32" s="1"/>
  <c r="BN76" i="32"/>
  <c r="BN97" i="32"/>
  <c r="BN98" i="32" s="1"/>
  <c r="AL70" i="32"/>
  <c r="AE72" i="32"/>
  <c r="AS66" i="32"/>
  <c r="CW63" i="32"/>
  <c r="AE110" i="32"/>
  <c r="AE109" i="32"/>
  <c r="AE111" i="32"/>
  <c r="AE66" i="32"/>
  <c r="X110" i="32"/>
  <c r="X111" i="32"/>
  <c r="X109" i="32"/>
  <c r="X66" i="32"/>
  <c r="J111" i="32"/>
  <c r="J109" i="32"/>
  <c r="J110" i="32"/>
  <c r="BG66" i="32"/>
  <c r="CY76" i="32" s="1"/>
  <c r="BU97" i="32"/>
  <c r="BU98" i="32" s="1"/>
  <c r="CU76" i="32"/>
  <c r="DC78" i="32"/>
  <c r="DC77" i="32"/>
  <c r="DC69" i="32"/>
  <c r="DC71" i="32"/>
  <c r="DC68" i="32"/>
  <c r="DC62" i="32"/>
  <c r="DC67" i="32"/>
  <c r="DC60" i="32"/>
  <c r="DC66" i="32"/>
  <c r="CM142" i="32"/>
  <c r="CM160" i="32" s="1"/>
  <c r="CM161" i="32" s="1"/>
  <c r="BN142" i="32"/>
  <c r="DC52" i="32"/>
  <c r="J65" i="32"/>
  <c r="J76" i="32"/>
  <c r="J97" i="32"/>
  <c r="J98" i="32" s="1"/>
  <c r="AZ66" i="32"/>
  <c r="Q111" i="32"/>
  <c r="Q110" i="32"/>
  <c r="Q109" i="32"/>
  <c r="Q66" i="32"/>
  <c r="CS76" i="32" s="1"/>
  <c r="CS63" i="32"/>
  <c r="DA76" i="32"/>
  <c r="CM132" i="32"/>
  <c r="CM131" i="32"/>
  <c r="CM123" i="32"/>
  <c r="CX76" i="32"/>
  <c r="DC65" i="32"/>
  <c r="DB14" i="32"/>
  <c r="DC7" i="32"/>
  <c r="DB47" i="32"/>
  <c r="DC44" i="32"/>
  <c r="CX43" i="32"/>
  <c r="DB38" i="32"/>
  <c r="DB34" i="32"/>
  <c r="DB30" i="32"/>
  <c r="CR28" i="32"/>
  <c r="DB26" i="32"/>
  <c r="CR24" i="32"/>
  <c r="DB22" i="32"/>
  <c r="CR20" i="32"/>
  <c r="DB18" i="32"/>
  <c r="DB7" i="32"/>
  <c r="CO120" i="32"/>
  <c r="CO16" i="32"/>
  <c r="Q121" i="32"/>
  <c r="Q16" i="32"/>
  <c r="CS8" i="32"/>
  <c r="CR12" i="32"/>
  <c r="DB10" i="32"/>
  <c r="AS121" i="32"/>
  <c r="CW8" i="32"/>
  <c r="CR13" i="32"/>
  <c r="DB11" i="32"/>
  <c r="AL121" i="32"/>
  <c r="CV8" i="32"/>
  <c r="CX13" i="32"/>
  <c r="CI17" i="24"/>
  <c r="BN62" i="16"/>
  <c r="BG62" i="16"/>
  <c r="AZ62" i="16"/>
  <c r="AS62" i="16"/>
  <c r="AL62" i="16"/>
  <c r="AE62" i="16"/>
  <c r="X62" i="16"/>
  <c r="BT62" i="16"/>
  <c r="BS62" i="16"/>
  <c r="BR62" i="16"/>
  <c r="BQ62" i="16"/>
  <c r="BP62" i="16"/>
  <c r="BO62" i="16"/>
  <c r="BM62" i="16"/>
  <c r="BL62" i="16"/>
  <c r="BK62" i="16"/>
  <c r="BJ62" i="16"/>
  <c r="BI62" i="16"/>
  <c r="BH62" i="16"/>
  <c r="BF62" i="16"/>
  <c r="BE62" i="16"/>
  <c r="BD62" i="16"/>
  <c r="BC62" i="16"/>
  <c r="BB62" i="16"/>
  <c r="BA62" i="16"/>
  <c r="AY62" i="16"/>
  <c r="AX62" i="16"/>
  <c r="AW62" i="16"/>
  <c r="AV62" i="16"/>
  <c r="AU62" i="16"/>
  <c r="AT62" i="16"/>
  <c r="AR62" i="16"/>
  <c r="AQ62" i="16"/>
  <c r="AP62" i="16"/>
  <c r="AO62" i="16"/>
  <c r="AN62" i="16"/>
  <c r="AM62" i="16"/>
  <c r="AK62" i="16"/>
  <c r="AJ62" i="16"/>
  <c r="AI62" i="16"/>
  <c r="AH62" i="16"/>
  <c r="AG62" i="16"/>
  <c r="AF62" i="16"/>
  <c r="AD62" i="16"/>
  <c r="AC62" i="16"/>
  <c r="AB62" i="16"/>
  <c r="AA62" i="16"/>
  <c r="Z62" i="16"/>
  <c r="Y62" i="16"/>
  <c r="W62" i="16"/>
  <c r="V62" i="16"/>
  <c r="U62" i="16"/>
  <c r="T62" i="16"/>
  <c r="S62" i="16"/>
  <c r="R62" i="16"/>
  <c r="AL52" i="9"/>
  <c r="X52" i="9"/>
  <c r="AE54" i="9"/>
  <c r="AE52" i="9" s="1"/>
  <c r="AE63" i="9" s="1"/>
  <c r="AE66" i="9" s="1"/>
  <c r="AL59" i="9"/>
  <c r="AL58" i="9"/>
  <c r="AL57" i="9"/>
  <c r="AL56" i="9"/>
  <c r="AL55" i="9"/>
  <c r="AL54" i="9"/>
  <c r="AE59" i="9"/>
  <c r="AE58" i="9"/>
  <c r="AE57" i="9"/>
  <c r="AE56" i="9"/>
  <c r="AE55" i="9"/>
  <c r="X59" i="9"/>
  <c r="X58" i="9"/>
  <c r="X57" i="9"/>
  <c r="X56" i="9"/>
  <c r="X55" i="9"/>
  <c r="X54" i="9"/>
  <c r="Q59" i="9"/>
  <c r="Q58" i="9"/>
  <c r="Q57" i="9"/>
  <c r="Q56" i="9"/>
  <c r="Q55" i="9"/>
  <c r="Q54" i="9"/>
  <c r="Q52" i="9" s="1"/>
  <c r="AL19" i="9"/>
  <c r="AS157" i="9"/>
  <c r="AS122" i="9"/>
  <c r="AS115" i="9"/>
  <c r="AS112" i="9"/>
  <c r="AS95" i="9"/>
  <c r="AS94" i="9"/>
  <c r="AS93" i="9"/>
  <c r="AS92" i="9"/>
  <c r="AS91" i="9"/>
  <c r="AS90" i="9"/>
  <c r="AS89" i="9"/>
  <c r="AS72" i="9"/>
  <c r="AR64" i="9"/>
  <c r="AQ64" i="9"/>
  <c r="AP64" i="9"/>
  <c r="AO64" i="9"/>
  <c r="AN64" i="9"/>
  <c r="AM64" i="9"/>
  <c r="AS64" i="9" s="1"/>
  <c r="AS59" i="9"/>
  <c r="AS58" i="9"/>
  <c r="AS57" i="9"/>
  <c r="AS56" i="9"/>
  <c r="AS55" i="9"/>
  <c r="AS54" i="9"/>
  <c r="AL157" i="9"/>
  <c r="AL122" i="9"/>
  <c r="AL115" i="9"/>
  <c r="AL112" i="9"/>
  <c r="AL95" i="9"/>
  <c r="AL94" i="9"/>
  <c r="AL93" i="9"/>
  <c r="AL92" i="9"/>
  <c r="AL91" i="9"/>
  <c r="AL90" i="9"/>
  <c r="AL89" i="9"/>
  <c r="AL72" i="9"/>
  <c r="AK64" i="9"/>
  <c r="AJ64" i="9"/>
  <c r="AI64" i="9"/>
  <c r="AH64" i="9"/>
  <c r="AG64" i="9"/>
  <c r="AF64" i="9"/>
  <c r="AL64" i="9" s="1"/>
  <c r="AE157" i="9"/>
  <c r="AE122" i="9"/>
  <c r="AE115" i="9"/>
  <c r="AE112" i="9"/>
  <c r="AE95" i="9"/>
  <c r="AE94" i="9"/>
  <c r="AE93" i="9"/>
  <c r="AE92" i="9"/>
  <c r="AE91" i="9"/>
  <c r="AE90" i="9"/>
  <c r="AE89" i="9"/>
  <c r="AE72" i="9"/>
  <c r="AD64" i="9"/>
  <c r="AC64" i="9"/>
  <c r="AB64" i="9"/>
  <c r="AA64" i="9"/>
  <c r="Z64" i="9"/>
  <c r="Y64" i="9"/>
  <c r="AE64" i="9" s="1"/>
  <c r="X157" i="9"/>
  <c r="X122" i="9"/>
  <c r="X115" i="9"/>
  <c r="X112" i="9"/>
  <c r="X95" i="9"/>
  <c r="X94" i="9"/>
  <c r="X93" i="9"/>
  <c r="X92" i="9"/>
  <c r="X91" i="9"/>
  <c r="X90" i="9"/>
  <c r="X89" i="9"/>
  <c r="W80" i="9"/>
  <c r="AD80" i="9" s="1"/>
  <c r="AK80" i="9" s="1"/>
  <c r="AR80" i="9" s="1"/>
  <c r="V80" i="9"/>
  <c r="AC80" i="9" s="1"/>
  <c r="AJ80" i="9" s="1"/>
  <c r="AQ80" i="9" s="1"/>
  <c r="U80" i="9"/>
  <c r="AB80" i="9" s="1"/>
  <c r="AI80" i="9" s="1"/>
  <c r="AP80" i="9" s="1"/>
  <c r="T80" i="9"/>
  <c r="AA80" i="9" s="1"/>
  <c r="AH80" i="9" s="1"/>
  <c r="AO80" i="9" s="1"/>
  <c r="S80" i="9"/>
  <c r="Z80" i="9" s="1"/>
  <c r="AG80" i="9" s="1"/>
  <c r="AN80" i="9" s="1"/>
  <c r="R80" i="9"/>
  <c r="Y80" i="9" s="1"/>
  <c r="AF80" i="9" s="1"/>
  <c r="AM80" i="9" s="1"/>
  <c r="X72" i="9"/>
  <c r="W64" i="9"/>
  <c r="V64" i="9"/>
  <c r="U64" i="9"/>
  <c r="T64" i="9"/>
  <c r="S64" i="9"/>
  <c r="R64" i="9"/>
  <c r="X64" i="9" s="1"/>
  <c r="Q157" i="9"/>
  <c r="J157" i="9"/>
  <c r="Q122" i="9"/>
  <c r="J122" i="9"/>
  <c r="Q115" i="9"/>
  <c r="J115" i="9"/>
  <c r="Q112" i="9"/>
  <c r="J112" i="9"/>
  <c r="Q95" i="9"/>
  <c r="Q94" i="9"/>
  <c r="Q93" i="9"/>
  <c r="Q92" i="9"/>
  <c r="Q91" i="9"/>
  <c r="Q90" i="9"/>
  <c r="Q89" i="9"/>
  <c r="P80" i="9"/>
  <c r="O80" i="9"/>
  <c r="N80" i="9"/>
  <c r="M80" i="9"/>
  <c r="L80" i="9"/>
  <c r="K80" i="9"/>
  <c r="Q72" i="9"/>
  <c r="P64" i="9"/>
  <c r="O64" i="9"/>
  <c r="N64" i="9"/>
  <c r="M64" i="9"/>
  <c r="L64" i="9"/>
  <c r="K64" i="9"/>
  <c r="Q64" i="9" s="1"/>
  <c r="I64" i="9"/>
  <c r="H64" i="9"/>
  <c r="G64" i="9"/>
  <c r="F64" i="9"/>
  <c r="E64" i="9"/>
  <c r="D64" i="9"/>
  <c r="CI57" i="30"/>
  <c r="CB57" i="30"/>
  <c r="BU57" i="30"/>
  <c r="BN57" i="30"/>
  <c r="BG57" i="30"/>
  <c r="AZ57" i="30"/>
  <c r="AS57" i="30"/>
  <c r="AL57" i="30"/>
  <c r="AE57" i="30"/>
  <c r="X57" i="30"/>
  <c r="Q57" i="30"/>
  <c r="O101" i="2"/>
  <c r="Q41" i="30"/>
  <c r="Q19" i="30"/>
  <c r="J93" i="30"/>
  <c r="BC78" i="16"/>
  <c r="AV78" i="16" s="1"/>
  <c r="AO78" i="16" s="1"/>
  <c r="AH78" i="16" s="1"/>
  <c r="BJ78" i="16"/>
  <c r="BK78" i="16"/>
  <c r="BD78" i="16" s="1"/>
  <c r="AW78" i="16" s="1"/>
  <c r="AP78" i="16" s="1"/>
  <c r="AI78" i="16" s="1"/>
  <c r="BO78" i="16"/>
  <c r="BH78" i="16" s="1"/>
  <c r="BA78" i="16" s="1"/>
  <c r="AT78" i="16" s="1"/>
  <c r="AM78" i="16" s="1"/>
  <c r="AF78" i="16" s="1"/>
  <c r="BQ78" i="16"/>
  <c r="BR78" i="16"/>
  <c r="BS78" i="16"/>
  <c r="BL78" i="16" s="1"/>
  <c r="BE78" i="16" s="1"/>
  <c r="AX78" i="16" s="1"/>
  <c r="AQ78" i="16" s="1"/>
  <c r="AJ78" i="16" s="1"/>
  <c r="BV78" i="16"/>
  <c r="BW78" i="16"/>
  <c r="BP78" i="16" s="1"/>
  <c r="BI78" i="16" s="1"/>
  <c r="BB78" i="16" s="1"/>
  <c r="AU78" i="16" s="1"/>
  <c r="AN78" i="16" s="1"/>
  <c r="AG78" i="16" s="1"/>
  <c r="BX78" i="16"/>
  <c r="BY78" i="16"/>
  <c r="BZ78" i="16"/>
  <c r="CA78" i="16"/>
  <c r="BT78" i="16" s="1"/>
  <c r="BM78" i="16" s="1"/>
  <c r="BF78" i="16" s="1"/>
  <c r="AY78" i="16" s="1"/>
  <c r="AR78" i="16" s="1"/>
  <c r="AK78" i="16" s="1"/>
  <c r="R78" i="28"/>
  <c r="S78" i="28"/>
  <c r="Z78" i="28" s="1"/>
  <c r="AG78" i="28" s="1"/>
  <c r="AN78" i="28" s="1"/>
  <c r="AU78" i="28" s="1"/>
  <c r="BB78" i="28" s="1"/>
  <c r="BI78" i="28" s="1"/>
  <c r="BP78" i="28" s="1"/>
  <c r="BW78" i="28" s="1"/>
  <c r="T78" i="28"/>
  <c r="AA78" i="28" s="1"/>
  <c r="AH78" i="28" s="1"/>
  <c r="AO78" i="28" s="1"/>
  <c r="AV78" i="28" s="1"/>
  <c r="BC78" i="28" s="1"/>
  <c r="BJ78" i="28" s="1"/>
  <c r="BQ78" i="28" s="1"/>
  <c r="BX78" i="28" s="1"/>
  <c r="U78" i="28"/>
  <c r="AB78" i="28" s="1"/>
  <c r="AI78" i="28" s="1"/>
  <c r="AP78" i="28" s="1"/>
  <c r="AW78" i="28" s="1"/>
  <c r="BD78" i="28" s="1"/>
  <c r="BK78" i="28" s="1"/>
  <c r="BR78" i="28" s="1"/>
  <c r="BY78" i="28" s="1"/>
  <c r="V78" i="28"/>
  <c r="W78" i="28"/>
  <c r="AD78" i="28" s="1"/>
  <c r="AK78" i="28" s="1"/>
  <c r="AR78" i="28" s="1"/>
  <c r="AY78" i="28" s="1"/>
  <c r="BF78" i="28" s="1"/>
  <c r="BM78" i="28" s="1"/>
  <c r="BT78" i="28" s="1"/>
  <c r="CA78" i="28" s="1"/>
  <c r="Y78" i="28"/>
  <c r="AF78" i="28" s="1"/>
  <c r="AM78" i="28" s="1"/>
  <c r="AT78" i="28" s="1"/>
  <c r="BA78" i="28" s="1"/>
  <c r="BH78" i="28" s="1"/>
  <c r="BO78" i="28" s="1"/>
  <c r="BV78" i="28" s="1"/>
  <c r="AC78" i="28"/>
  <c r="AJ78" i="28" s="1"/>
  <c r="AQ78" i="28" s="1"/>
  <c r="AX78" i="28" s="1"/>
  <c r="BE78" i="28" s="1"/>
  <c r="BL78" i="28" s="1"/>
  <c r="BS78" i="28" s="1"/>
  <c r="BZ78" i="28" s="1"/>
  <c r="R78" i="24"/>
  <c r="S78" i="24"/>
  <c r="Z78" i="24" s="1"/>
  <c r="AG78" i="24" s="1"/>
  <c r="AN78" i="24" s="1"/>
  <c r="AU78" i="24" s="1"/>
  <c r="BB78" i="24" s="1"/>
  <c r="BI78" i="24" s="1"/>
  <c r="BP78" i="24" s="1"/>
  <c r="BW78" i="24" s="1"/>
  <c r="T78" i="24"/>
  <c r="AA78" i="24" s="1"/>
  <c r="AH78" i="24" s="1"/>
  <c r="AO78" i="24" s="1"/>
  <c r="AV78" i="24" s="1"/>
  <c r="BC78" i="24" s="1"/>
  <c r="BJ78" i="24" s="1"/>
  <c r="BQ78" i="24" s="1"/>
  <c r="BX78" i="24" s="1"/>
  <c r="U78" i="24"/>
  <c r="AB78" i="24" s="1"/>
  <c r="AI78" i="24" s="1"/>
  <c r="AP78" i="24" s="1"/>
  <c r="AW78" i="24" s="1"/>
  <c r="BD78" i="24" s="1"/>
  <c r="BK78" i="24" s="1"/>
  <c r="BR78" i="24" s="1"/>
  <c r="BY78" i="24" s="1"/>
  <c r="V78" i="24"/>
  <c r="W78" i="24"/>
  <c r="AD78" i="24" s="1"/>
  <c r="AK78" i="24" s="1"/>
  <c r="AR78" i="24" s="1"/>
  <c r="AY78" i="24" s="1"/>
  <c r="BF78" i="24" s="1"/>
  <c r="BM78" i="24" s="1"/>
  <c r="BT78" i="24" s="1"/>
  <c r="CA78" i="24" s="1"/>
  <c r="Y78" i="24"/>
  <c r="AF78" i="24" s="1"/>
  <c r="AM78" i="24" s="1"/>
  <c r="AT78" i="24" s="1"/>
  <c r="BA78" i="24" s="1"/>
  <c r="BH78" i="24" s="1"/>
  <c r="BO78" i="24" s="1"/>
  <c r="BV78" i="24" s="1"/>
  <c r="AC78" i="24"/>
  <c r="AJ78" i="24" s="1"/>
  <c r="AQ78" i="24" s="1"/>
  <c r="AX78" i="24" s="1"/>
  <c r="BE78" i="24" s="1"/>
  <c r="BL78" i="24" s="1"/>
  <c r="BS78" i="24" s="1"/>
  <c r="BZ78" i="24" s="1"/>
  <c r="CY63" i="32" l="1"/>
  <c r="DB65" i="32"/>
  <c r="CY65" i="32"/>
  <c r="CZ69" i="32"/>
  <c r="CZ68" i="32"/>
  <c r="CZ67" i="32"/>
  <c r="CZ66" i="32"/>
  <c r="CZ78" i="32"/>
  <c r="CZ77" i="32"/>
  <c r="CZ60" i="32"/>
  <c r="CZ71" i="32"/>
  <c r="CZ62" i="32"/>
  <c r="CZ52" i="32"/>
  <c r="CZ64" i="32"/>
  <c r="CZ63" i="32"/>
  <c r="CO140" i="32"/>
  <c r="CO142" i="32" s="1"/>
  <c r="CO160" i="32" s="1"/>
  <c r="CO161" i="32" s="1"/>
  <c r="CO121" i="32"/>
  <c r="CO122" i="32"/>
  <c r="CX62" i="32"/>
  <c r="CX60" i="32"/>
  <c r="CX78" i="32"/>
  <c r="CX77" i="32"/>
  <c r="CX69" i="32"/>
  <c r="CX71" i="32"/>
  <c r="CX68" i="32"/>
  <c r="CX67" i="32"/>
  <c r="CX66" i="32"/>
  <c r="CX52" i="32"/>
  <c r="CX64" i="32"/>
  <c r="CT62" i="32"/>
  <c r="CT60" i="32"/>
  <c r="CT78" i="32"/>
  <c r="CT77" i="32"/>
  <c r="CT71" i="32"/>
  <c r="CT68" i="32"/>
  <c r="CT67" i="32"/>
  <c r="CT66" i="32"/>
  <c r="CT69" i="32"/>
  <c r="CT70" i="32"/>
  <c r="CT72" i="32"/>
  <c r="CT64" i="32"/>
  <c r="CT52" i="32"/>
  <c r="AS70" i="32"/>
  <c r="AL72" i="32"/>
  <c r="CV70" i="32"/>
  <c r="CZ76" i="32"/>
  <c r="AE122" i="32"/>
  <c r="AE123" i="32"/>
  <c r="CU16" i="32"/>
  <c r="CV69" i="32"/>
  <c r="CV68" i="32"/>
  <c r="CV67" i="32"/>
  <c r="CV66" i="32"/>
  <c r="CV78" i="32"/>
  <c r="CV77" i="32"/>
  <c r="CV71" i="32"/>
  <c r="CV62" i="32"/>
  <c r="CV60" i="32"/>
  <c r="CV52" i="32"/>
  <c r="CV64" i="32"/>
  <c r="BG122" i="32"/>
  <c r="BG123" i="32"/>
  <c r="CY16" i="32"/>
  <c r="CS65" i="32"/>
  <c r="J66" i="32"/>
  <c r="CU78" i="32"/>
  <c r="CU77" i="32"/>
  <c r="CU67" i="32"/>
  <c r="CU60" i="32"/>
  <c r="CU66" i="32"/>
  <c r="CU69" i="32"/>
  <c r="CU71" i="32"/>
  <c r="CU68" i="32"/>
  <c r="CU62" i="32"/>
  <c r="CU52" i="32"/>
  <c r="CU64" i="32"/>
  <c r="CU70" i="32"/>
  <c r="DB62" i="32"/>
  <c r="DB60" i="32"/>
  <c r="DB78" i="32"/>
  <c r="DB77" i="32"/>
  <c r="DB66" i="32"/>
  <c r="DB69" i="32"/>
  <c r="DB71" i="32"/>
  <c r="DB68" i="32"/>
  <c r="DB67" i="32"/>
  <c r="DB52" i="32"/>
  <c r="DB64" i="32"/>
  <c r="CI121" i="32"/>
  <c r="DC8" i="32"/>
  <c r="AZ121" i="32"/>
  <c r="CX8" i="32"/>
  <c r="AL123" i="32"/>
  <c r="AL122" i="32"/>
  <c r="CV16" i="32"/>
  <c r="Q123" i="32"/>
  <c r="Q122" i="32"/>
  <c r="CS16" i="32"/>
  <c r="Q46" i="32"/>
  <c r="CR76" i="32"/>
  <c r="CU65" i="32"/>
  <c r="CZ65" i="32"/>
  <c r="BU123" i="32"/>
  <c r="BU122" i="32"/>
  <c r="DA16" i="32"/>
  <c r="CN140" i="32"/>
  <c r="CN142" i="32" s="1"/>
  <c r="CN160" i="32" s="1"/>
  <c r="CN161" i="32" s="1"/>
  <c r="CN121" i="32"/>
  <c r="CN122" i="32"/>
  <c r="CT76" i="32"/>
  <c r="CV63" i="32"/>
  <c r="DA78" i="32"/>
  <c r="DA77" i="32"/>
  <c r="DA71" i="32"/>
  <c r="DA67" i="32"/>
  <c r="DA66" i="32"/>
  <c r="DA69" i="32"/>
  <c r="DA62" i="32"/>
  <c r="DA68" i="32"/>
  <c r="DA60" i="32"/>
  <c r="DA52" i="32"/>
  <c r="DA64" i="32"/>
  <c r="X122" i="32"/>
  <c r="X123" i="32"/>
  <c r="CT16" i="32"/>
  <c r="AS123" i="32"/>
  <c r="AS122" i="32"/>
  <c r="CW16" i="32"/>
  <c r="CS78" i="32"/>
  <c r="CS77" i="32"/>
  <c r="CS71" i="32"/>
  <c r="CS69" i="32"/>
  <c r="CS62" i="32"/>
  <c r="CS68" i="32"/>
  <c r="CS60" i="32"/>
  <c r="CS67" i="32"/>
  <c r="CS66" i="32"/>
  <c r="CS64" i="32"/>
  <c r="CS72" i="32"/>
  <c r="CS52" i="32"/>
  <c r="CS70" i="32"/>
  <c r="CT63" i="32"/>
  <c r="CU63" i="32"/>
  <c r="CL140" i="32"/>
  <c r="CL142" i="32" s="1"/>
  <c r="CL160" i="32" s="1"/>
  <c r="CL161" i="32" s="1"/>
  <c r="CL122" i="32"/>
  <c r="CL121" i="32"/>
  <c r="DB63" i="32"/>
  <c r="CV76" i="32"/>
  <c r="CX63" i="32"/>
  <c r="CX65" i="32"/>
  <c r="CY78" i="32"/>
  <c r="CY77" i="32"/>
  <c r="CY71" i="32"/>
  <c r="CY68" i="32"/>
  <c r="CY62" i="32"/>
  <c r="CY67" i="32"/>
  <c r="CY60" i="32"/>
  <c r="CY66" i="32"/>
  <c r="CY69" i="32"/>
  <c r="CY52" i="32"/>
  <c r="CY64" i="32"/>
  <c r="CV65" i="32"/>
  <c r="CW78" i="32"/>
  <c r="CW77" i="32"/>
  <c r="CW71" i="32"/>
  <c r="CW66" i="32"/>
  <c r="CW69" i="32"/>
  <c r="CW62" i="32"/>
  <c r="CW68" i="32"/>
  <c r="CW60" i="32"/>
  <c r="CW67" i="32"/>
  <c r="CW64" i="32"/>
  <c r="CW52" i="32"/>
  <c r="CU72" i="32"/>
  <c r="CK131" i="32"/>
  <c r="CK123" i="32"/>
  <c r="CK132" i="32"/>
  <c r="J121" i="32"/>
  <c r="J16" i="32"/>
  <c r="CR8" i="32"/>
  <c r="CT65" i="32"/>
  <c r="DA63" i="32"/>
  <c r="CB121" i="32"/>
  <c r="DB8" i="32"/>
  <c r="BN123" i="32"/>
  <c r="BN122" i="32"/>
  <c r="CZ16" i="32"/>
  <c r="CW76" i="32"/>
  <c r="Q63" i="9"/>
  <c r="X103" i="9"/>
  <c r="AS142" i="9"/>
  <c r="AS136" i="9"/>
  <c r="AS76" i="9"/>
  <c r="AS137" i="9"/>
  <c r="AS65" i="9"/>
  <c r="AL142" i="9"/>
  <c r="AL136" i="9"/>
  <c r="AL76" i="9"/>
  <c r="AL65" i="9"/>
  <c r="AL137" i="9"/>
  <c r="AL103" i="9"/>
  <c r="AE142" i="9"/>
  <c r="AE136" i="9"/>
  <c r="AE65" i="9"/>
  <c r="AE76" i="9"/>
  <c r="AE137" i="9"/>
  <c r="X63" i="9"/>
  <c r="AE103" i="9"/>
  <c r="X142" i="9"/>
  <c r="X136" i="9"/>
  <c r="X137" i="9"/>
  <c r="X76" i="9"/>
  <c r="X65" i="9"/>
  <c r="Q142" i="9"/>
  <c r="Q136" i="9"/>
  <c r="J142" i="9"/>
  <c r="J136" i="9"/>
  <c r="J165" i="9"/>
  <c r="Q76" i="9"/>
  <c r="Q65" i="9"/>
  <c r="Q137" i="9"/>
  <c r="J137" i="9"/>
  <c r="Q103" i="9"/>
  <c r="J41" i="30"/>
  <c r="J19" i="30"/>
  <c r="D1306" i="6"/>
  <c r="J37" i="30"/>
  <c r="J95" i="30"/>
  <c r="J94" i="30"/>
  <c r="J92" i="30"/>
  <c r="J91" i="30"/>
  <c r="J90" i="30"/>
  <c r="J89" i="30"/>
  <c r="J88" i="30"/>
  <c r="L52" i="14"/>
  <c r="J57" i="30"/>
  <c r="J54" i="30"/>
  <c r="J53" i="14"/>
  <c r="J54" i="14"/>
  <c r="J55" i="14"/>
  <c r="J56" i="14"/>
  <c r="J57" i="14"/>
  <c r="J58" i="14"/>
  <c r="J59" i="14"/>
  <c r="J60" i="14"/>
  <c r="J61" i="14"/>
  <c r="J62" i="14"/>
  <c r="J63" i="14"/>
  <c r="J52" i="14"/>
  <c r="J59" i="30"/>
  <c r="R59" i="30"/>
  <c r="S59" i="30"/>
  <c r="T59" i="30"/>
  <c r="U59" i="30"/>
  <c r="V59" i="30"/>
  <c r="W59" i="30"/>
  <c r="K80" i="30"/>
  <c r="L80" i="30"/>
  <c r="M80" i="30"/>
  <c r="N80" i="30"/>
  <c r="O80" i="30"/>
  <c r="P80" i="30"/>
  <c r="J38" i="30"/>
  <c r="J39" i="29"/>
  <c r="K36" i="1"/>
  <c r="X46" i="16"/>
  <c r="AR14" i="9"/>
  <c r="AQ14" i="9"/>
  <c r="AP14" i="9"/>
  <c r="AO14" i="9"/>
  <c r="AN14" i="9"/>
  <c r="AM14" i="9"/>
  <c r="AR13" i="9"/>
  <c r="AQ13" i="9"/>
  <c r="AP13" i="9"/>
  <c r="AO13" i="9"/>
  <c r="AN13" i="9"/>
  <c r="AM13" i="9"/>
  <c r="AR12" i="9"/>
  <c r="AQ12" i="9"/>
  <c r="AP12" i="9"/>
  <c r="AO12" i="9"/>
  <c r="AN12" i="9"/>
  <c r="AM12" i="9"/>
  <c r="AR11" i="9"/>
  <c r="AQ11" i="9"/>
  <c r="AP11" i="9"/>
  <c r="AO11" i="9"/>
  <c r="AN11" i="9"/>
  <c r="AM11" i="9"/>
  <c r="AR10" i="9"/>
  <c r="AQ10" i="9"/>
  <c r="AP10" i="9"/>
  <c r="AO10" i="9"/>
  <c r="AN10" i="9"/>
  <c r="AM10" i="9"/>
  <c r="AR9" i="9"/>
  <c r="AQ9" i="9"/>
  <c r="AP9" i="9"/>
  <c r="AO9" i="9"/>
  <c r="AN9" i="9"/>
  <c r="AM9" i="9"/>
  <c r="AR6" i="9"/>
  <c r="AR8" i="9" s="1"/>
  <c r="AQ6" i="9"/>
  <c r="AQ8" i="9" s="1"/>
  <c r="AP6" i="9"/>
  <c r="AP8" i="9" s="1"/>
  <c r="AO6" i="9"/>
  <c r="AO8" i="9" s="1"/>
  <c r="AN6" i="9"/>
  <c r="AN8" i="9" s="1"/>
  <c r="AM6" i="9"/>
  <c r="AK14" i="9"/>
  <c r="AJ14" i="9"/>
  <c r="AI14" i="9"/>
  <c r="AH14" i="9"/>
  <c r="AG14" i="9"/>
  <c r="AF14" i="9"/>
  <c r="AK13" i="9"/>
  <c r="AJ13" i="9"/>
  <c r="AI13" i="9"/>
  <c r="AH13" i="9"/>
  <c r="AG13" i="9"/>
  <c r="AF13" i="9"/>
  <c r="AK12" i="9"/>
  <c r="AJ12" i="9"/>
  <c r="AI12" i="9"/>
  <c r="AH12" i="9"/>
  <c r="AG12" i="9"/>
  <c r="AF12" i="9"/>
  <c r="AK11" i="9"/>
  <c r="AJ11" i="9"/>
  <c r="AI11" i="9"/>
  <c r="AH11" i="9"/>
  <c r="AG11" i="9"/>
  <c r="AF11" i="9"/>
  <c r="AK10" i="9"/>
  <c r="AJ10" i="9"/>
  <c r="AI10" i="9"/>
  <c r="AH10" i="9"/>
  <c r="AG10" i="9"/>
  <c r="AF10" i="9"/>
  <c r="AK9" i="9"/>
  <c r="AJ9" i="9"/>
  <c r="AI9" i="9"/>
  <c r="AH9" i="9"/>
  <c r="AG9" i="9"/>
  <c r="AF9" i="9"/>
  <c r="AK6" i="9"/>
  <c r="AK8" i="9" s="1"/>
  <c r="AJ6" i="9"/>
  <c r="AJ8" i="9" s="1"/>
  <c r="AI6" i="9"/>
  <c r="AI8" i="9" s="1"/>
  <c r="AH6" i="9"/>
  <c r="AH8" i="9" s="1"/>
  <c r="AG6" i="9"/>
  <c r="AG8" i="9" s="1"/>
  <c r="AF6" i="9"/>
  <c r="AF8" i="9" s="1"/>
  <c r="AD14" i="9"/>
  <c r="AC14" i="9"/>
  <c r="AB14" i="9"/>
  <c r="AA14" i="9"/>
  <c r="Z14" i="9"/>
  <c r="Y14" i="9"/>
  <c r="AD13" i="9"/>
  <c r="AC13" i="9"/>
  <c r="AB13" i="9"/>
  <c r="AA13" i="9"/>
  <c r="Z13" i="9"/>
  <c r="Y13" i="9"/>
  <c r="AD12" i="9"/>
  <c r="AC12" i="9"/>
  <c r="AB12" i="9"/>
  <c r="AA12" i="9"/>
  <c r="Z12" i="9"/>
  <c r="Y12" i="9"/>
  <c r="AD11" i="9"/>
  <c r="AC11" i="9"/>
  <c r="AB11" i="9"/>
  <c r="AA11" i="9"/>
  <c r="Z11" i="9"/>
  <c r="Y11" i="9"/>
  <c r="AD10" i="9"/>
  <c r="AC10" i="9"/>
  <c r="AB10" i="9"/>
  <c r="AA10" i="9"/>
  <c r="Z10" i="9"/>
  <c r="Y10" i="9"/>
  <c r="AD9" i="9"/>
  <c r="AC9" i="9"/>
  <c r="AB9" i="9"/>
  <c r="AA9" i="9"/>
  <c r="Z9" i="9"/>
  <c r="Y9" i="9"/>
  <c r="AD6" i="9"/>
  <c r="AD8" i="9" s="1"/>
  <c r="AC6" i="9"/>
  <c r="AC8" i="9" s="1"/>
  <c r="AB6" i="9"/>
  <c r="AB8" i="9" s="1"/>
  <c r="AA6" i="9"/>
  <c r="AA8" i="9" s="1"/>
  <c r="Z6" i="9"/>
  <c r="Z8" i="9" s="1"/>
  <c r="Y6" i="9"/>
  <c r="Y8" i="9" s="1"/>
  <c r="W14" i="9"/>
  <c r="V14" i="9"/>
  <c r="U14" i="9"/>
  <c r="T14" i="9"/>
  <c r="S14" i="9"/>
  <c r="R14" i="9"/>
  <c r="W13" i="9"/>
  <c r="V13" i="9"/>
  <c r="U13" i="9"/>
  <c r="T13" i="9"/>
  <c r="S13" i="9"/>
  <c r="R13" i="9"/>
  <c r="W12" i="9"/>
  <c r="V12" i="9"/>
  <c r="U12" i="9"/>
  <c r="T12" i="9"/>
  <c r="S12" i="9"/>
  <c r="R12" i="9"/>
  <c r="W11" i="9"/>
  <c r="V11" i="9"/>
  <c r="U11" i="9"/>
  <c r="T11" i="9"/>
  <c r="S11" i="9"/>
  <c r="R11" i="9"/>
  <c r="W10" i="9"/>
  <c r="V10" i="9"/>
  <c r="U10" i="9"/>
  <c r="T10" i="9"/>
  <c r="S10" i="9"/>
  <c r="R10" i="9"/>
  <c r="W9" i="9"/>
  <c r="V9" i="9"/>
  <c r="U9" i="9"/>
  <c r="T9" i="9"/>
  <c r="S9" i="9"/>
  <c r="R9" i="9"/>
  <c r="W6" i="9"/>
  <c r="W8" i="9" s="1"/>
  <c r="V6" i="9"/>
  <c r="V8" i="9" s="1"/>
  <c r="U6" i="9"/>
  <c r="U8" i="9" s="1"/>
  <c r="T6" i="9"/>
  <c r="T8" i="9" s="1"/>
  <c r="S6" i="9"/>
  <c r="S8" i="9" s="1"/>
  <c r="R6" i="9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13" i="14"/>
  <c r="J12" i="14"/>
  <c r="J11" i="14"/>
  <c r="J10" i="14"/>
  <c r="J9" i="14"/>
  <c r="J8" i="14"/>
  <c r="J7" i="14"/>
  <c r="J6" i="14"/>
  <c r="J5" i="14"/>
  <c r="J4" i="14"/>
  <c r="AE53" i="16"/>
  <c r="AS47" i="9"/>
  <c r="AS45" i="9"/>
  <c r="AS44" i="9"/>
  <c r="AS43" i="9"/>
  <c r="AS42" i="9"/>
  <c r="AS40" i="9"/>
  <c r="AS39" i="9"/>
  <c r="AS38" i="9"/>
  <c r="AS37" i="9"/>
  <c r="AS36" i="9"/>
  <c r="AS35" i="9"/>
  <c r="AS34" i="9"/>
  <c r="AS33" i="9"/>
  <c r="AS32" i="9"/>
  <c r="AS31" i="9"/>
  <c r="AS30" i="9"/>
  <c r="AS29" i="9"/>
  <c r="AS28" i="9"/>
  <c r="AS27" i="9"/>
  <c r="AS26" i="9"/>
  <c r="AS25" i="9"/>
  <c r="AS24" i="9"/>
  <c r="AS23" i="9"/>
  <c r="AS22" i="9"/>
  <c r="AS21" i="9"/>
  <c r="AS20" i="9"/>
  <c r="AS19" i="9"/>
  <c r="AS18" i="9"/>
  <c r="AS17" i="9"/>
  <c r="AS7" i="9"/>
  <c r="AS121" i="9" s="1"/>
  <c r="AL47" i="9"/>
  <c r="AL45" i="9"/>
  <c r="AL44" i="9"/>
  <c r="AL43" i="9"/>
  <c r="AL42" i="9"/>
  <c r="AL40" i="9"/>
  <c r="AL39" i="9"/>
  <c r="AL38" i="9"/>
  <c r="AL37" i="9"/>
  <c r="AL36" i="9"/>
  <c r="AL35" i="9"/>
  <c r="AL34" i="9"/>
  <c r="AL33" i="9"/>
  <c r="AL32" i="9"/>
  <c r="AL31" i="9"/>
  <c r="AL30" i="9"/>
  <c r="AL29" i="9"/>
  <c r="AL28" i="9"/>
  <c r="AL27" i="9"/>
  <c r="AL26" i="9"/>
  <c r="AL25" i="9"/>
  <c r="AL24" i="9"/>
  <c r="AL23" i="9"/>
  <c r="AL22" i="9"/>
  <c r="AL21" i="9"/>
  <c r="AL20" i="9"/>
  <c r="AL18" i="9"/>
  <c r="AL17" i="9"/>
  <c r="AL7" i="9"/>
  <c r="AL121" i="9" s="1"/>
  <c r="AE47" i="9"/>
  <c r="AE45" i="9"/>
  <c r="AE44" i="9"/>
  <c r="AE43" i="9"/>
  <c r="AE42" i="9"/>
  <c r="AE40" i="9"/>
  <c r="AE39" i="9"/>
  <c r="AE38" i="9"/>
  <c r="AE37" i="9"/>
  <c r="AE36" i="9"/>
  <c r="AE35" i="9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7" i="9"/>
  <c r="AE121" i="9" s="1"/>
  <c r="X47" i="9"/>
  <c r="X45" i="9"/>
  <c r="X44" i="9"/>
  <c r="X43" i="9"/>
  <c r="X42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7" i="9"/>
  <c r="X121" i="9" s="1"/>
  <c r="Q47" i="9"/>
  <c r="Q45" i="9"/>
  <c r="Q44" i="9"/>
  <c r="Q43" i="9"/>
  <c r="Q42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7" i="9"/>
  <c r="Q121" i="9" s="1"/>
  <c r="P14" i="9"/>
  <c r="K6" i="9"/>
  <c r="K8" i="9" s="1"/>
  <c r="O14" i="9"/>
  <c r="N14" i="9"/>
  <c r="M14" i="9"/>
  <c r="L14" i="9"/>
  <c r="K14" i="9"/>
  <c r="P13" i="9"/>
  <c r="O13" i="9"/>
  <c r="N13" i="9"/>
  <c r="M13" i="9"/>
  <c r="L13" i="9"/>
  <c r="K13" i="9"/>
  <c r="P12" i="9"/>
  <c r="O12" i="9"/>
  <c r="N12" i="9"/>
  <c r="M12" i="9"/>
  <c r="L12" i="9"/>
  <c r="K12" i="9"/>
  <c r="P11" i="9"/>
  <c r="O11" i="9"/>
  <c r="N11" i="9"/>
  <c r="M11" i="9"/>
  <c r="L11" i="9"/>
  <c r="K11" i="9"/>
  <c r="P10" i="9"/>
  <c r="O10" i="9"/>
  <c r="N10" i="9"/>
  <c r="M10" i="9"/>
  <c r="L10" i="9"/>
  <c r="K10" i="9"/>
  <c r="P9" i="9"/>
  <c r="O9" i="9"/>
  <c r="N9" i="9"/>
  <c r="M9" i="9"/>
  <c r="L9" i="9"/>
  <c r="K9" i="9"/>
  <c r="P6" i="9"/>
  <c r="P8" i="9" s="1"/>
  <c r="O6" i="9"/>
  <c r="O8" i="9" s="1"/>
  <c r="N6" i="9"/>
  <c r="N8" i="9" s="1"/>
  <c r="M6" i="9"/>
  <c r="M8" i="9" s="1"/>
  <c r="L6" i="9"/>
  <c r="L8" i="9" s="1"/>
  <c r="I14" i="9"/>
  <c r="H14" i="9"/>
  <c r="G14" i="9"/>
  <c r="F14" i="9"/>
  <c r="E14" i="9"/>
  <c r="I13" i="9"/>
  <c r="H13" i="9"/>
  <c r="G13" i="9"/>
  <c r="F13" i="9"/>
  <c r="E13" i="9"/>
  <c r="I12" i="9"/>
  <c r="H12" i="9"/>
  <c r="G12" i="9"/>
  <c r="F12" i="9"/>
  <c r="E12" i="9"/>
  <c r="I11" i="9"/>
  <c r="H11" i="9"/>
  <c r="G11" i="9"/>
  <c r="F11" i="9"/>
  <c r="E11" i="9"/>
  <c r="I10" i="9"/>
  <c r="H10" i="9"/>
  <c r="G10" i="9"/>
  <c r="F10" i="9"/>
  <c r="E10" i="9"/>
  <c r="I9" i="9"/>
  <c r="H9" i="9"/>
  <c r="G9" i="9"/>
  <c r="F9" i="9"/>
  <c r="E9" i="9"/>
  <c r="D9" i="9"/>
  <c r="D10" i="9"/>
  <c r="D11" i="9"/>
  <c r="D12" i="9"/>
  <c r="D13" i="9"/>
  <c r="D14" i="9"/>
  <c r="E6" i="9"/>
  <c r="F6" i="9"/>
  <c r="F8" i="9" s="1"/>
  <c r="G6" i="9"/>
  <c r="H6" i="9"/>
  <c r="I6" i="9"/>
  <c r="D6" i="9"/>
  <c r="CJ6" i="16"/>
  <c r="J121" i="9"/>
  <c r="BU154" i="29"/>
  <c r="J6" i="9" l="1"/>
  <c r="J8" i="9" s="1"/>
  <c r="J12" i="9"/>
  <c r="J10" i="9"/>
  <c r="J11" i="9"/>
  <c r="J14" i="9"/>
  <c r="J13" i="9"/>
  <c r="J9" i="9"/>
  <c r="AS133" i="32"/>
  <c r="AS124" i="32"/>
  <c r="AS132" i="32"/>
  <c r="CT46" i="32"/>
  <c r="X140" i="32"/>
  <c r="BU124" i="32"/>
  <c r="BU132" i="32"/>
  <c r="CV46" i="32"/>
  <c r="AL140" i="32"/>
  <c r="CY46" i="32"/>
  <c r="BG140" i="32"/>
  <c r="AE124" i="32"/>
  <c r="AE133" i="32"/>
  <c r="AE132" i="32"/>
  <c r="AS72" i="32"/>
  <c r="CW70" i="32"/>
  <c r="AZ70" i="32"/>
  <c r="CO131" i="32"/>
  <c r="CO123" i="32"/>
  <c r="CO132" i="32"/>
  <c r="J123" i="32"/>
  <c r="J122" i="32"/>
  <c r="J46" i="32"/>
  <c r="CR16" i="32"/>
  <c r="X124" i="32"/>
  <c r="X133" i="32"/>
  <c r="X132" i="32"/>
  <c r="DA46" i="32"/>
  <c r="BU140" i="32"/>
  <c r="Q133" i="32"/>
  <c r="Q124" i="32"/>
  <c r="Q132" i="32"/>
  <c r="CR69" i="32"/>
  <c r="CR68" i="32"/>
  <c r="CR67" i="32"/>
  <c r="CR66" i="32"/>
  <c r="CR78" i="32"/>
  <c r="CR77" i="32"/>
  <c r="CR71" i="32"/>
  <c r="CR62" i="32"/>
  <c r="CR70" i="32"/>
  <c r="CR60" i="32"/>
  <c r="CR72" i="32"/>
  <c r="CR52" i="32"/>
  <c r="CR64" i="32"/>
  <c r="CR63" i="32"/>
  <c r="BG124" i="32"/>
  <c r="BG132" i="32"/>
  <c r="BN124" i="32"/>
  <c r="BN132" i="32"/>
  <c r="CZ46" i="32"/>
  <c r="BN140" i="32"/>
  <c r="CL132" i="32"/>
  <c r="CL131" i="32"/>
  <c r="CL123" i="32"/>
  <c r="CN131" i="32"/>
  <c r="CN123" i="32"/>
  <c r="CN132" i="32"/>
  <c r="Q48" i="32"/>
  <c r="CS46" i="32"/>
  <c r="Q140" i="32"/>
  <c r="AL133" i="32"/>
  <c r="AL124" i="32"/>
  <c r="AL132" i="32"/>
  <c r="CI122" i="32"/>
  <c r="CI123" i="32"/>
  <c r="DC16" i="32"/>
  <c r="CV72" i="32"/>
  <c r="AL110" i="32"/>
  <c r="AL111" i="32"/>
  <c r="AL109" i="32"/>
  <c r="CW46" i="32"/>
  <c r="AS140" i="32"/>
  <c r="CB122" i="32"/>
  <c r="CB123" i="32"/>
  <c r="DB16" i="32"/>
  <c r="AZ122" i="32"/>
  <c r="AZ123" i="32"/>
  <c r="CX16" i="32"/>
  <c r="CU46" i="32"/>
  <c r="AE140" i="32"/>
  <c r="CR65" i="32"/>
  <c r="Q66" i="9"/>
  <c r="Q110" i="9"/>
  <c r="Q109" i="9"/>
  <c r="Q111" i="9"/>
  <c r="AE110" i="9"/>
  <c r="AE109" i="9"/>
  <c r="AE111" i="9"/>
  <c r="X109" i="9"/>
  <c r="X110" i="9"/>
  <c r="X111" i="9"/>
  <c r="X66" i="9"/>
  <c r="AL63" i="9"/>
  <c r="AS103" i="9"/>
  <c r="J109" i="9"/>
  <c r="J110" i="9"/>
  <c r="J111" i="9"/>
  <c r="AG16" i="9"/>
  <c r="AK16" i="9"/>
  <c r="AE9" i="9"/>
  <c r="AF16" i="9"/>
  <c r="AJ16" i="9"/>
  <c r="M16" i="9"/>
  <c r="Q11" i="9"/>
  <c r="Q12" i="9"/>
  <c r="Y16" i="9"/>
  <c r="AC16" i="9"/>
  <c r="Q9" i="9"/>
  <c r="Q13" i="9"/>
  <c r="Q164" i="9" s="1"/>
  <c r="T16" i="9"/>
  <c r="AD16" i="9"/>
  <c r="AE13" i="9"/>
  <c r="AE164" i="9" s="1"/>
  <c r="AE14" i="9"/>
  <c r="AL10" i="9"/>
  <c r="AP16" i="9"/>
  <c r="Q10" i="9"/>
  <c r="Q14" i="9"/>
  <c r="V16" i="9"/>
  <c r="X12" i="9"/>
  <c r="AA16" i="9"/>
  <c r="L16" i="9"/>
  <c r="X13" i="9"/>
  <c r="X164" i="9" s="1"/>
  <c r="AB16" i="9"/>
  <c r="AN16" i="9"/>
  <c r="AR16" i="9"/>
  <c r="AS10" i="9"/>
  <c r="AS12" i="9"/>
  <c r="AS13" i="9"/>
  <c r="AS164" i="9" s="1"/>
  <c r="K16" i="9"/>
  <c r="Q6" i="9"/>
  <c r="S16" i="9"/>
  <c r="W16" i="9"/>
  <c r="X10" i="9"/>
  <c r="X14" i="9"/>
  <c r="AL11" i="9"/>
  <c r="AL12" i="9"/>
  <c r="Z16" i="9"/>
  <c r="AO16" i="9"/>
  <c r="N16" i="9"/>
  <c r="U16" i="9"/>
  <c r="X9" i="9"/>
  <c r="X11" i="9"/>
  <c r="AH16" i="9"/>
  <c r="AL9" i="9"/>
  <c r="AL13" i="9"/>
  <c r="AL164" i="9" s="1"/>
  <c r="AL14" i="9"/>
  <c r="AS6" i="9"/>
  <c r="AQ16" i="9"/>
  <c r="O16" i="9"/>
  <c r="X6" i="9"/>
  <c r="AE10" i="9"/>
  <c r="AE11" i="9"/>
  <c r="AE12" i="9"/>
  <c r="AI16" i="9"/>
  <c r="AS9" i="9"/>
  <c r="AS11" i="9"/>
  <c r="AS14" i="9"/>
  <c r="AM8" i="9"/>
  <c r="AM16" i="9" s="1"/>
  <c r="AL6" i="9"/>
  <c r="AE6" i="9"/>
  <c r="R8" i="9"/>
  <c r="R16" i="9" s="1"/>
  <c r="P16" i="9"/>
  <c r="J164" i="9"/>
  <c r="F16" i="9"/>
  <c r="D8" i="9"/>
  <c r="H8" i="9"/>
  <c r="G8" i="9"/>
  <c r="E8" i="9"/>
  <c r="I8" i="9"/>
  <c r="CO164" i="30"/>
  <c r="CO165" i="30" s="1"/>
  <c r="CN164" i="30"/>
  <c r="CN165" i="30" s="1"/>
  <c r="CM164" i="30"/>
  <c r="CL164" i="30"/>
  <c r="CL165" i="30" s="1"/>
  <c r="CK164" i="30"/>
  <c r="CK165" i="30" s="1"/>
  <c r="CJ164" i="30"/>
  <c r="CI157" i="30"/>
  <c r="CB157" i="30"/>
  <c r="BU157" i="30"/>
  <c r="BN157" i="30"/>
  <c r="BG157" i="30"/>
  <c r="AZ157" i="30"/>
  <c r="AS157" i="30"/>
  <c r="AL157" i="30"/>
  <c r="AE157" i="30"/>
  <c r="X157" i="30"/>
  <c r="Q157" i="30"/>
  <c r="J157" i="30"/>
  <c r="CO156" i="30"/>
  <c r="CM156" i="30"/>
  <c r="CL156" i="30"/>
  <c r="CJ156" i="30"/>
  <c r="CN155" i="30"/>
  <c r="CK155" i="30"/>
  <c r="CN154" i="30"/>
  <c r="CK154" i="30"/>
  <c r="CN153" i="30"/>
  <c r="CK153" i="30"/>
  <c r="CN152" i="30"/>
  <c r="CK152" i="30"/>
  <c r="CN151" i="30"/>
  <c r="CK151" i="30"/>
  <c r="CN149" i="30"/>
  <c r="CO149" i="30" s="1"/>
  <c r="CK149" i="30"/>
  <c r="CO144" i="30"/>
  <c r="CN144" i="30"/>
  <c r="CM144" i="30"/>
  <c r="CL144" i="30"/>
  <c r="CK144" i="30"/>
  <c r="CJ144" i="30"/>
  <c r="CO143" i="30"/>
  <c r="CN143" i="30"/>
  <c r="CM143" i="30"/>
  <c r="CM147" i="30" s="1"/>
  <c r="CL143" i="30"/>
  <c r="CL147" i="30" s="1"/>
  <c r="CK143" i="30"/>
  <c r="CJ143" i="30"/>
  <c r="CO139" i="30"/>
  <c r="CN139" i="30"/>
  <c r="CM139" i="30"/>
  <c r="CM140" i="30" s="1"/>
  <c r="CL139" i="30"/>
  <c r="CK139" i="30"/>
  <c r="CJ139" i="30"/>
  <c r="CJ140" i="30" s="1"/>
  <c r="CO130" i="30"/>
  <c r="CN130" i="30"/>
  <c r="CM130" i="30"/>
  <c r="CL130" i="30"/>
  <c r="CK130" i="30"/>
  <c r="CJ130" i="30"/>
  <c r="CO129" i="30"/>
  <c r="CN129" i="30"/>
  <c r="CM129" i="30"/>
  <c r="CL129" i="30"/>
  <c r="CK129" i="30"/>
  <c r="CJ129" i="30"/>
  <c r="CO126" i="30"/>
  <c r="CN126" i="30"/>
  <c r="CM126" i="30"/>
  <c r="CL126" i="30"/>
  <c r="CK126" i="30"/>
  <c r="CJ126" i="30"/>
  <c r="CO125" i="30"/>
  <c r="CN125" i="30"/>
  <c r="CM125" i="30"/>
  <c r="CL125" i="30"/>
  <c r="CK125" i="30"/>
  <c r="CJ125" i="30"/>
  <c r="CO116" i="30"/>
  <c r="CN116" i="30"/>
  <c r="CM116" i="30"/>
  <c r="CL116" i="30"/>
  <c r="CK116" i="30"/>
  <c r="CJ116" i="30"/>
  <c r="CO115" i="30"/>
  <c r="CN115" i="30"/>
  <c r="CM115" i="30"/>
  <c r="CL115" i="30"/>
  <c r="CK115" i="30"/>
  <c r="CJ115" i="30"/>
  <c r="CI112" i="30"/>
  <c r="CB112" i="30"/>
  <c r="BU112" i="30"/>
  <c r="BN112" i="30"/>
  <c r="BG112" i="30"/>
  <c r="AZ112" i="30"/>
  <c r="AS112" i="30"/>
  <c r="AL112" i="30"/>
  <c r="AE112" i="30"/>
  <c r="X112" i="30"/>
  <c r="J112" i="30"/>
  <c r="CO111" i="30"/>
  <c r="CN111" i="30"/>
  <c r="CM111" i="30"/>
  <c r="CL111" i="30"/>
  <c r="CK111" i="30"/>
  <c r="CJ111" i="30"/>
  <c r="CO110" i="30"/>
  <c r="CN110" i="30"/>
  <c r="CM110" i="30"/>
  <c r="CL110" i="30"/>
  <c r="CK110" i="30"/>
  <c r="CJ110" i="30"/>
  <c r="CO109" i="30"/>
  <c r="CN109" i="30"/>
  <c r="CM109" i="30"/>
  <c r="CL109" i="30"/>
  <c r="CK109" i="30"/>
  <c r="CJ109" i="30"/>
  <c r="CO108" i="30"/>
  <c r="CN108" i="30"/>
  <c r="CM108" i="30"/>
  <c r="CL108" i="30"/>
  <c r="CK108" i="30"/>
  <c r="CJ108" i="30"/>
  <c r="CI95" i="30"/>
  <c r="CB95" i="30"/>
  <c r="BU95" i="30"/>
  <c r="BN95" i="30"/>
  <c r="BG95" i="30"/>
  <c r="AZ95" i="30"/>
  <c r="AS95" i="30"/>
  <c r="AL95" i="30"/>
  <c r="AE95" i="30"/>
  <c r="X95" i="30"/>
  <c r="Q95" i="30"/>
  <c r="CI94" i="30"/>
  <c r="CB94" i="30"/>
  <c r="BU94" i="30"/>
  <c r="BN94" i="30"/>
  <c r="BG94" i="30"/>
  <c r="AZ94" i="30"/>
  <c r="AS94" i="30"/>
  <c r="AL94" i="30"/>
  <c r="AE94" i="30"/>
  <c r="X94" i="30"/>
  <c r="Q94" i="30"/>
  <c r="CI93" i="30"/>
  <c r="CB93" i="30"/>
  <c r="BU93" i="30"/>
  <c r="BN93" i="30"/>
  <c r="BG93" i="30"/>
  <c r="AZ93" i="30"/>
  <c r="AS93" i="30"/>
  <c r="AL93" i="30"/>
  <c r="AE93" i="30"/>
  <c r="X93" i="30"/>
  <c r="Q93" i="30"/>
  <c r="CI92" i="30"/>
  <c r="CB92" i="30"/>
  <c r="BU92" i="30"/>
  <c r="BN92" i="30"/>
  <c r="BG92" i="30"/>
  <c r="AZ92" i="30"/>
  <c r="AS92" i="30"/>
  <c r="AL92" i="30"/>
  <c r="AE92" i="30"/>
  <c r="X92" i="30"/>
  <c r="Q92" i="30"/>
  <c r="CI91" i="30"/>
  <c r="CB91" i="30"/>
  <c r="BU91" i="30"/>
  <c r="BN91" i="30"/>
  <c r="BG91" i="30"/>
  <c r="AZ91" i="30"/>
  <c r="AS91" i="30"/>
  <c r="AL91" i="30"/>
  <c r="AE91" i="30"/>
  <c r="X91" i="30"/>
  <c r="Q91" i="30"/>
  <c r="CI90" i="30"/>
  <c r="CB90" i="30"/>
  <c r="BU90" i="30"/>
  <c r="BN90" i="30"/>
  <c r="BG90" i="30"/>
  <c r="AZ90" i="30"/>
  <c r="AS90" i="30"/>
  <c r="AL90" i="30"/>
  <c r="AE90" i="30"/>
  <c r="X90" i="30"/>
  <c r="Q90" i="30"/>
  <c r="CI89" i="30"/>
  <c r="CB89" i="30"/>
  <c r="BU89" i="30"/>
  <c r="BN89" i="30"/>
  <c r="BG89" i="30"/>
  <c r="AZ89" i="30"/>
  <c r="AS89" i="30"/>
  <c r="AL89" i="30"/>
  <c r="AE89" i="30"/>
  <c r="X89" i="30"/>
  <c r="Q89" i="30"/>
  <c r="CI88" i="30"/>
  <c r="CB88" i="30"/>
  <c r="BU88" i="30"/>
  <c r="BN88" i="30"/>
  <c r="BG88" i="30"/>
  <c r="AZ88" i="30"/>
  <c r="AS88" i="30"/>
  <c r="AL88" i="30"/>
  <c r="AE88" i="30"/>
  <c r="X88" i="30"/>
  <c r="Q88" i="30"/>
  <c r="CI72" i="30"/>
  <c r="CB72" i="30"/>
  <c r="BU72" i="30"/>
  <c r="BN72" i="30"/>
  <c r="BG72" i="30"/>
  <c r="AZ72" i="30"/>
  <c r="AS72" i="30"/>
  <c r="AL72" i="30"/>
  <c r="AE72" i="30"/>
  <c r="X72" i="30"/>
  <c r="Q72" i="30"/>
  <c r="J72" i="30"/>
  <c r="CO64" i="30"/>
  <c r="CN64" i="30"/>
  <c r="CM64" i="30"/>
  <c r="CL64" i="30"/>
  <c r="CK64" i="30"/>
  <c r="CJ64" i="30"/>
  <c r="CH64" i="30"/>
  <c r="CG64" i="30"/>
  <c r="CF64" i="30"/>
  <c r="CE64" i="30"/>
  <c r="CD64" i="30"/>
  <c r="CC64" i="30"/>
  <c r="CA64" i="30"/>
  <c r="BZ64" i="30"/>
  <c r="BY64" i="30"/>
  <c r="BX64" i="30"/>
  <c r="BW64" i="30"/>
  <c r="BV64" i="30"/>
  <c r="BT64" i="30"/>
  <c r="BS64" i="30"/>
  <c r="BR64" i="30"/>
  <c r="BQ64" i="30"/>
  <c r="BP64" i="30"/>
  <c r="BO64" i="30"/>
  <c r="BM64" i="30"/>
  <c r="BL64" i="30"/>
  <c r="BK64" i="30"/>
  <c r="BJ64" i="30"/>
  <c r="BI64" i="30"/>
  <c r="BH64" i="30"/>
  <c r="BF64" i="30"/>
  <c r="BE64" i="30"/>
  <c r="BD64" i="30"/>
  <c r="BC64" i="30"/>
  <c r="BB64" i="30"/>
  <c r="BA64" i="30"/>
  <c r="AY64" i="30"/>
  <c r="AX64" i="30"/>
  <c r="AW64" i="30"/>
  <c r="AV64" i="30"/>
  <c r="AU64" i="30"/>
  <c r="AT64" i="30"/>
  <c r="AR64" i="30"/>
  <c r="AQ64" i="30"/>
  <c r="AP64" i="30"/>
  <c r="AO64" i="30"/>
  <c r="AN64" i="30"/>
  <c r="AM64" i="30"/>
  <c r="AK64" i="30"/>
  <c r="AJ64" i="30"/>
  <c r="AI64" i="30"/>
  <c r="AH64" i="30"/>
  <c r="AG64" i="30"/>
  <c r="AF64" i="30"/>
  <c r="AD64" i="30"/>
  <c r="AC64" i="30"/>
  <c r="AB64" i="30"/>
  <c r="AA64" i="30"/>
  <c r="Z64" i="30"/>
  <c r="Y64" i="30"/>
  <c r="W64" i="30"/>
  <c r="V64" i="30"/>
  <c r="U64" i="30"/>
  <c r="T64" i="30"/>
  <c r="S64" i="30"/>
  <c r="R64" i="30"/>
  <c r="P64" i="30"/>
  <c r="O64" i="30"/>
  <c r="N64" i="30"/>
  <c r="M64" i="30"/>
  <c r="L64" i="30"/>
  <c r="K64" i="30"/>
  <c r="I64" i="30"/>
  <c r="H64" i="30"/>
  <c r="G64" i="30"/>
  <c r="F64" i="30"/>
  <c r="E64" i="30"/>
  <c r="D64" i="30"/>
  <c r="CI59" i="30"/>
  <c r="CB59" i="30"/>
  <c r="BU59" i="30"/>
  <c r="BN59" i="30"/>
  <c r="BG59" i="30"/>
  <c r="AZ59" i="30"/>
  <c r="AS59" i="30"/>
  <c r="AL59" i="30"/>
  <c r="AE59" i="30"/>
  <c r="X59" i="30"/>
  <c r="Q59" i="30"/>
  <c r="CI58" i="30"/>
  <c r="CB58" i="30"/>
  <c r="BU58" i="30"/>
  <c r="BN58" i="30"/>
  <c r="BG58" i="30"/>
  <c r="AZ58" i="30"/>
  <c r="AS58" i="30"/>
  <c r="AL58" i="30"/>
  <c r="AE58" i="30"/>
  <c r="X58" i="30"/>
  <c r="Q58" i="30"/>
  <c r="J58" i="30"/>
  <c r="CI56" i="30"/>
  <c r="CB56" i="30"/>
  <c r="BU56" i="30"/>
  <c r="BN56" i="30"/>
  <c r="BG56" i="30"/>
  <c r="AZ56" i="30"/>
  <c r="AS56" i="30"/>
  <c r="AL56" i="30"/>
  <c r="AE56" i="30"/>
  <c r="X56" i="30"/>
  <c r="Q56" i="30"/>
  <c r="J56" i="30"/>
  <c r="CI55" i="30"/>
  <c r="CB55" i="30"/>
  <c r="BU55" i="30"/>
  <c r="BN55" i="30"/>
  <c r="BG55" i="30"/>
  <c r="AZ55" i="30"/>
  <c r="AS55" i="30"/>
  <c r="AL55" i="30"/>
  <c r="AE55" i="30"/>
  <c r="X55" i="30"/>
  <c r="Q55" i="30"/>
  <c r="J55" i="30"/>
  <c r="J52" i="30" s="1"/>
  <c r="J63" i="30" s="1"/>
  <c r="CI54" i="30"/>
  <c r="CI52" i="30" s="1"/>
  <c r="CB54" i="30"/>
  <c r="CB52" i="30" s="1"/>
  <c r="BU54" i="30"/>
  <c r="BN54" i="30"/>
  <c r="BG54" i="30"/>
  <c r="AZ54" i="30"/>
  <c r="AS54" i="30"/>
  <c r="AL54" i="30"/>
  <c r="AE54" i="30"/>
  <c r="AE52" i="30" s="1"/>
  <c r="X54" i="30"/>
  <c r="X52" i="30" s="1"/>
  <c r="Q54" i="30"/>
  <c r="CP47" i="30"/>
  <c r="CI47" i="30"/>
  <c r="CB47" i="30"/>
  <c r="BU47" i="30"/>
  <c r="BN47" i="30"/>
  <c r="BG47" i="30"/>
  <c r="AZ47" i="30"/>
  <c r="AS47" i="30"/>
  <c r="AL47" i="30"/>
  <c r="AE47" i="30"/>
  <c r="X47" i="30"/>
  <c r="Q47" i="30"/>
  <c r="J47" i="30"/>
  <c r="CP45" i="30"/>
  <c r="CI45" i="30"/>
  <c r="CB45" i="30"/>
  <c r="BU45" i="30"/>
  <c r="BN45" i="30"/>
  <c r="BG45" i="30"/>
  <c r="AZ45" i="30"/>
  <c r="AS45" i="30"/>
  <c r="AL45" i="30"/>
  <c r="AE45" i="30"/>
  <c r="X45" i="30"/>
  <c r="Q45" i="30"/>
  <c r="J45" i="30"/>
  <c r="CP44" i="30"/>
  <c r="CI44" i="30"/>
  <c r="CB44" i="30"/>
  <c r="BU44" i="30"/>
  <c r="BN44" i="30"/>
  <c r="BG44" i="30"/>
  <c r="AZ44" i="30"/>
  <c r="AS44" i="30"/>
  <c r="AL44" i="30"/>
  <c r="AE44" i="30"/>
  <c r="X44" i="30"/>
  <c r="Q44" i="30"/>
  <c r="J44" i="30"/>
  <c r="CP43" i="30"/>
  <c r="CI43" i="30"/>
  <c r="CB43" i="30"/>
  <c r="BU43" i="30"/>
  <c r="BN43" i="30"/>
  <c r="BG43" i="30"/>
  <c r="AZ43" i="30"/>
  <c r="AS43" i="30"/>
  <c r="AL43" i="30"/>
  <c r="AE43" i="30"/>
  <c r="X43" i="30"/>
  <c r="Q43" i="30"/>
  <c r="J43" i="30"/>
  <c r="CP42" i="30"/>
  <c r="CI42" i="30"/>
  <c r="CB42" i="30"/>
  <c r="BU42" i="30"/>
  <c r="BN42" i="30"/>
  <c r="BG42" i="30"/>
  <c r="AZ42" i="30"/>
  <c r="AS42" i="30"/>
  <c r="AL42" i="30"/>
  <c r="AE42" i="30"/>
  <c r="X42" i="30"/>
  <c r="Q42" i="30"/>
  <c r="J42" i="30"/>
  <c r="CP40" i="30"/>
  <c r="CI40" i="30"/>
  <c r="CB40" i="30"/>
  <c r="BU40" i="30"/>
  <c r="BN40" i="30"/>
  <c r="BG40" i="30"/>
  <c r="AZ40" i="30"/>
  <c r="AS40" i="30"/>
  <c r="AL40" i="30"/>
  <c r="AE40" i="30"/>
  <c r="X40" i="30"/>
  <c r="Q40" i="30"/>
  <c r="J40" i="30"/>
  <c r="CP39" i="30"/>
  <c r="CI39" i="30"/>
  <c r="CB39" i="30"/>
  <c r="BU39" i="30"/>
  <c r="BN39" i="30"/>
  <c r="BG39" i="30"/>
  <c r="AZ39" i="30"/>
  <c r="AS39" i="30"/>
  <c r="AL39" i="30"/>
  <c r="AE39" i="30"/>
  <c r="X39" i="30"/>
  <c r="Q39" i="30"/>
  <c r="J39" i="30"/>
  <c r="CP38" i="30"/>
  <c r="CI38" i="30"/>
  <c r="CB38" i="30"/>
  <c r="BU38" i="30"/>
  <c r="BN38" i="30"/>
  <c r="BG38" i="30"/>
  <c r="AZ38" i="30"/>
  <c r="AS38" i="30"/>
  <c r="AL38" i="30"/>
  <c r="AE38" i="30"/>
  <c r="X38" i="30"/>
  <c r="Q38" i="30"/>
  <c r="CP37" i="30"/>
  <c r="CI37" i="30"/>
  <c r="CB37" i="30"/>
  <c r="BU37" i="30"/>
  <c r="BN37" i="30"/>
  <c r="BG37" i="30"/>
  <c r="AZ37" i="30"/>
  <c r="AS37" i="30"/>
  <c r="AL37" i="30"/>
  <c r="AE37" i="30"/>
  <c r="X37" i="30"/>
  <c r="Q37" i="30"/>
  <c r="CP36" i="30"/>
  <c r="CI36" i="30"/>
  <c r="CB36" i="30"/>
  <c r="BU36" i="30"/>
  <c r="BN36" i="30"/>
  <c r="BG36" i="30"/>
  <c r="AZ36" i="30"/>
  <c r="AS36" i="30"/>
  <c r="AL36" i="30"/>
  <c r="AE36" i="30"/>
  <c r="X36" i="30"/>
  <c r="Q36" i="30"/>
  <c r="J36" i="30"/>
  <c r="CP35" i="30"/>
  <c r="CI35" i="30"/>
  <c r="CB35" i="30"/>
  <c r="BU35" i="30"/>
  <c r="BN35" i="30"/>
  <c r="BG35" i="30"/>
  <c r="AZ35" i="30"/>
  <c r="AS35" i="30"/>
  <c r="AL35" i="30"/>
  <c r="AE35" i="30"/>
  <c r="X35" i="30"/>
  <c r="Q35" i="30"/>
  <c r="J35" i="30"/>
  <c r="CP34" i="30"/>
  <c r="CI34" i="30"/>
  <c r="CB34" i="30"/>
  <c r="BU34" i="30"/>
  <c r="BN34" i="30"/>
  <c r="BG34" i="30"/>
  <c r="AZ34" i="30"/>
  <c r="AS34" i="30"/>
  <c r="AL34" i="30"/>
  <c r="AE34" i="30"/>
  <c r="X34" i="30"/>
  <c r="Q34" i="30"/>
  <c r="J34" i="30"/>
  <c r="CP33" i="30"/>
  <c r="CI33" i="30"/>
  <c r="CB33" i="30"/>
  <c r="BU33" i="30"/>
  <c r="BN33" i="30"/>
  <c r="BG33" i="30"/>
  <c r="AZ33" i="30"/>
  <c r="AS33" i="30"/>
  <c r="AL33" i="30"/>
  <c r="AE33" i="30"/>
  <c r="X33" i="30"/>
  <c r="Q33" i="30"/>
  <c r="J33" i="30"/>
  <c r="CP32" i="30"/>
  <c r="CI32" i="30"/>
  <c r="CB32" i="30"/>
  <c r="BU32" i="30"/>
  <c r="BN32" i="30"/>
  <c r="BG32" i="30"/>
  <c r="AZ32" i="30"/>
  <c r="AS32" i="30"/>
  <c r="AL32" i="30"/>
  <c r="AE32" i="30"/>
  <c r="X32" i="30"/>
  <c r="Q32" i="30"/>
  <c r="J32" i="30"/>
  <c r="CP31" i="30"/>
  <c r="CI31" i="30"/>
  <c r="CB31" i="30"/>
  <c r="BU31" i="30"/>
  <c r="BN31" i="30"/>
  <c r="BG31" i="30"/>
  <c r="AZ31" i="30"/>
  <c r="AS31" i="30"/>
  <c r="AL31" i="30"/>
  <c r="AE31" i="30"/>
  <c r="X31" i="30"/>
  <c r="Q31" i="30"/>
  <c r="J31" i="30"/>
  <c r="CP30" i="30"/>
  <c r="CI30" i="30"/>
  <c r="CB30" i="30"/>
  <c r="BU30" i="30"/>
  <c r="BN30" i="30"/>
  <c r="BG30" i="30"/>
  <c r="AZ30" i="30"/>
  <c r="AS30" i="30"/>
  <c r="AL30" i="30"/>
  <c r="AE30" i="30"/>
  <c r="X30" i="30"/>
  <c r="Q30" i="30"/>
  <c r="J30" i="30"/>
  <c r="CP29" i="30"/>
  <c r="CI29" i="30"/>
  <c r="CB29" i="30"/>
  <c r="BU29" i="30"/>
  <c r="BN29" i="30"/>
  <c r="BG29" i="30"/>
  <c r="AZ29" i="30"/>
  <c r="AS29" i="30"/>
  <c r="AL29" i="30"/>
  <c r="AE29" i="30"/>
  <c r="X29" i="30"/>
  <c r="Q29" i="30"/>
  <c r="J29" i="30"/>
  <c r="CP28" i="30"/>
  <c r="CI28" i="30"/>
  <c r="CB28" i="30"/>
  <c r="BU28" i="30"/>
  <c r="BN28" i="30"/>
  <c r="BG28" i="30"/>
  <c r="AZ28" i="30"/>
  <c r="AS28" i="30"/>
  <c r="AL28" i="30"/>
  <c r="AE28" i="30"/>
  <c r="X28" i="30"/>
  <c r="Q28" i="30"/>
  <c r="J28" i="30"/>
  <c r="CP27" i="30"/>
  <c r="CI27" i="30"/>
  <c r="CB27" i="30"/>
  <c r="BU27" i="30"/>
  <c r="BN27" i="30"/>
  <c r="BG27" i="30"/>
  <c r="AZ27" i="30"/>
  <c r="AS27" i="30"/>
  <c r="AL27" i="30"/>
  <c r="AE27" i="30"/>
  <c r="X27" i="30"/>
  <c r="Q27" i="30"/>
  <c r="J27" i="30"/>
  <c r="CP26" i="30"/>
  <c r="CI26" i="30"/>
  <c r="CB26" i="30"/>
  <c r="BU26" i="30"/>
  <c r="BN26" i="30"/>
  <c r="BG26" i="30"/>
  <c r="AZ26" i="30"/>
  <c r="AS26" i="30"/>
  <c r="AL26" i="30"/>
  <c r="AE26" i="30"/>
  <c r="X26" i="30"/>
  <c r="Q26" i="30"/>
  <c r="J26" i="30"/>
  <c r="CP25" i="30"/>
  <c r="CI25" i="30"/>
  <c r="CB25" i="30"/>
  <c r="BU25" i="30"/>
  <c r="BN25" i="30"/>
  <c r="BG25" i="30"/>
  <c r="AZ25" i="30"/>
  <c r="AS25" i="30"/>
  <c r="AL25" i="30"/>
  <c r="AE25" i="30"/>
  <c r="X25" i="30"/>
  <c r="Q25" i="30"/>
  <c r="J25" i="30"/>
  <c r="CP24" i="30"/>
  <c r="CI24" i="30"/>
  <c r="CB24" i="30"/>
  <c r="BU24" i="30"/>
  <c r="BN24" i="30"/>
  <c r="BG24" i="30"/>
  <c r="AZ24" i="30"/>
  <c r="AS24" i="30"/>
  <c r="AL24" i="30"/>
  <c r="AE24" i="30"/>
  <c r="X24" i="30"/>
  <c r="Q24" i="30"/>
  <c r="J24" i="30"/>
  <c r="CP23" i="30"/>
  <c r="CI23" i="30"/>
  <c r="CB23" i="30"/>
  <c r="BU23" i="30"/>
  <c r="BN23" i="30"/>
  <c r="BG23" i="30"/>
  <c r="AZ23" i="30"/>
  <c r="AS23" i="30"/>
  <c r="AL23" i="30"/>
  <c r="AE23" i="30"/>
  <c r="X23" i="30"/>
  <c r="Q23" i="30"/>
  <c r="J23" i="30"/>
  <c r="CP22" i="30"/>
  <c r="CI22" i="30"/>
  <c r="CB22" i="30"/>
  <c r="BU22" i="30"/>
  <c r="BN22" i="30"/>
  <c r="BG22" i="30"/>
  <c r="AZ22" i="30"/>
  <c r="AS22" i="30"/>
  <c r="AL22" i="30"/>
  <c r="AE22" i="30"/>
  <c r="X22" i="30"/>
  <c r="Q22" i="30"/>
  <c r="J22" i="30"/>
  <c r="CP21" i="30"/>
  <c r="CI21" i="30"/>
  <c r="CB21" i="30"/>
  <c r="BU21" i="30"/>
  <c r="BN21" i="30"/>
  <c r="BG21" i="30"/>
  <c r="AZ21" i="30"/>
  <c r="AS21" i="30"/>
  <c r="AL21" i="30"/>
  <c r="AE21" i="30"/>
  <c r="X21" i="30"/>
  <c r="Q21" i="30"/>
  <c r="J21" i="30"/>
  <c r="CP20" i="30"/>
  <c r="CI20" i="30"/>
  <c r="CB20" i="30"/>
  <c r="BU20" i="30"/>
  <c r="BN20" i="30"/>
  <c r="BG20" i="30"/>
  <c r="AZ20" i="30"/>
  <c r="AS20" i="30"/>
  <c r="AL20" i="30"/>
  <c r="AE20" i="30"/>
  <c r="X20" i="30"/>
  <c r="Q20" i="30"/>
  <c r="J20" i="30"/>
  <c r="CP19" i="30"/>
  <c r="CI19" i="30"/>
  <c r="CB19" i="30"/>
  <c r="BU19" i="30"/>
  <c r="BN19" i="30"/>
  <c r="BG19" i="30"/>
  <c r="AZ19" i="30"/>
  <c r="AS19" i="30"/>
  <c r="AL19" i="30"/>
  <c r="AE19" i="30"/>
  <c r="X19" i="30"/>
  <c r="CP18" i="30"/>
  <c r="CI18" i="30"/>
  <c r="CB18" i="30"/>
  <c r="BU18" i="30"/>
  <c r="BN18" i="30"/>
  <c r="BG18" i="30"/>
  <c r="AZ18" i="30"/>
  <c r="AS18" i="30"/>
  <c r="AL18" i="30"/>
  <c r="AE18" i="30"/>
  <c r="X18" i="30"/>
  <c r="Q18" i="30"/>
  <c r="J18" i="30"/>
  <c r="CP17" i="30"/>
  <c r="CI17" i="30"/>
  <c r="CB17" i="30"/>
  <c r="BU17" i="30"/>
  <c r="BN17" i="30"/>
  <c r="BG17" i="30"/>
  <c r="AZ17" i="30"/>
  <c r="AS17" i="30"/>
  <c r="AL17" i="30"/>
  <c r="AE17" i="30"/>
  <c r="X17" i="30"/>
  <c r="Q17" i="30"/>
  <c r="J17" i="30"/>
  <c r="CO14" i="30"/>
  <c r="CO163" i="30" s="1"/>
  <c r="CN14" i="30"/>
  <c r="CN163" i="30" s="1"/>
  <c r="CM14" i="30"/>
  <c r="CL14" i="30"/>
  <c r="CL163" i="30" s="1"/>
  <c r="CK14" i="30"/>
  <c r="CK163" i="30" s="1"/>
  <c r="CJ14" i="30"/>
  <c r="CI14" i="30"/>
  <c r="CB14" i="30"/>
  <c r="BU14" i="30"/>
  <c r="BN14" i="30"/>
  <c r="BG14" i="30"/>
  <c r="AZ14" i="30"/>
  <c r="AS14" i="30"/>
  <c r="AL14" i="30"/>
  <c r="AE14" i="30"/>
  <c r="X14" i="30"/>
  <c r="Q14" i="30"/>
  <c r="J14" i="30"/>
  <c r="CO13" i="30"/>
  <c r="CN13" i="30"/>
  <c r="CM13" i="30"/>
  <c r="CL13" i="30"/>
  <c r="CK13" i="30"/>
  <c r="CJ13" i="30"/>
  <c r="CH13" i="30"/>
  <c r="CG13" i="30"/>
  <c r="CF13" i="30"/>
  <c r="CE13" i="30"/>
  <c r="CD13" i="30"/>
  <c r="CC13" i="30"/>
  <c r="CA13" i="30"/>
  <c r="BZ13" i="30"/>
  <c r="BY13" i="30"/>
  <c r="BX13" i="30"/>
  <c r="BW13" i="30"/>
  <c r="BV13" i="30"/>
  <c r="BT13" i="30"/>
  <c r="BS13" i="30"/>
  <c r="BR13" i="30"/>
  <c r="BQ13" i="30"/>
  <c r="BP13" i="30"/>
  <c r="BO13" i="30"/>
  <c r="BM13" i="30"/>
  <c r="BL13" i="30"/>
  <c r="BK13" i="30"/>
  <c r="BJ13" i="30"/>
  <c r="BI13" i="30"/>
  <c r="BH13" i="30"/>
  <c r="BF13" i="30"/>
  <c r="BE13" i="30"/>
  <c r="BD13" i="30"/>
  <c r="BC13" i="30"/>
  <c r="BB13" i="30"/>
  <c r="BA13" i="30"/>
  <c r="AY13" i="30"/>
  <c r="AX13" i="30"/>
  <c r="AW13" i="30"/>
  <c r="AV13" i="30"/>
  <c r="AU13" i="30"/>
  <c r="AT13" i="30"/>
  <c r="AR13" i="30"/>
  <c r="AQ13" i="30"/>
  <c r="AP13" i="30"/>
  <c r="AO13" i="30"/>
  <c r="AN13" i="30"/>
  <c r="AM13" i="30"/>
  <c r="AK13" i="30"/>
  <c r="AJ13" i="30"/>
  <c r="AI13" i="30"/>
  <c r="AH13" i="30"/>
  <c r="AG13" i="30"/>
  <c r="AF13" i="30"/>
  <c r="AD13" i="30"/>
  <c r="AC13" i="30"/>
  <c r="AB13" i="30"/>
  <c r="AA13" i="30"/>
  <c r="Z13" i="30"/>
  <c r="Y13" i="30"/>
  <c r="W13" i="30"/>
  <c r="V13" i="30"/>
  <c r="U13" i="30"/>
  <c r="T13" i="30"/>
  <c r="S13" i="30"/>
  <c r="R13" i="30"/>
  <c r="P13" i="30"/>
  <c r="O13" i="30"/>
  <c r="N13" i="30"/>
  <c r="M13" i="30"/>
  <c r="L13" i="30"/>
  <c r="K13" i="30"/>
  <c r="I13" i="30"/>
  <c r="H13" i="30"/>
  <c r="G13" i="30"/>
  <c r="F13" i="30"/>
  <c r="E13" i="30"/>
  <c r="D13" i="30"/>
  <c r="CO12" i="30"/>
  <c r="CN12" i="30"/>
  <c r="CM12" i="30"/>
  <c r="CL12" i="30"/>
  <c r="CK12" i="30"/>
  <c r="CJ12" i="30"/>
  <c r="CH12" i="30"/>
  <c r="CG12" i="30"/>
  <c r="CF12" i="30"/>
  <c r="CE12" i="30"/>
  <c r="CD12" i="30"/>
  <c r="CC12" i="30"/>
  <c r="CA12" i="30"/>
  <c r="BZ12" i="30"/>
  <c r="BY12" i="30"/>
  <c r="BX12" i="30"/>
  <c r="BW12" i="30"/>
  <c r="BV12" i="30"/>
  <c r="BT12" i="30"/>
  <c r="BS12" i="30"/>
  <c r="BR12" i="30"/>
  <c r="BQ12" i="30"/>
  <c r="BP12" i="30"/>
  <c r="BO12" i="30"/>
  <c r="BM12" i="30"/>
  <c r="BL12" i="30"/>
  <c r="BK12" i="30"/>
  <c r="BJ12" i="30"/>
  <c r="BI12" i="30"/>
  <c r="BH12" i="30"/>
  <c r="BF12" i="30"/>
  <c r="BE12" i="30"/>
  <c r="BD12" i="30"/>
  <c r="BC12" i="30"/>
  <c r="BB12" i="30"/>
  <c r="BA12" i="30"/>
  <c r="AY12" i="30"/>
  <c r="AX12" i="30"/>
  <c r="AW12" i="30"/>
  <c r="AV12" i="30"/>
  <c r="AU12" i="30"/>
  <c r="AT12" i="30"/>
  <c r="AR12" i="30"/>
  <c r="AQ12" i="30"/>
  <c r="AP12" i="30"/>
  <c r="AO12" i="30"/>
  <c r="AN12" i="30"/>
  <c r="AM12" i="30"/>
  <c r="AK12" i="30"/>
  <c r="AJ12" i="30"/>
  <c r="AI12" i="30"/>
  <c r="AH12" i="30"/>
  <c r="AG12" i="30"/>
  <c r="AF12" i="30"/>
  <c r="AD12" i="30"/>
  <c r="AC12" i="30"/>
  <c r="AB12" i="30"/>
  <c r="AA12" i="30"/>
  <c r="Z12" i="30"/>
  <c r="Y12" i="30"/>
  <c r="W12" i="30"/>
  <c r="V12" i="30"/>
  <c r="U12" i="30"/>
  <c r="T12" i="30"/>
  <c r="S12" i="30"/>
  <c r="R12" i="30"/>
  <c r="P12" i="30"/>
  <c r="O12" i="30"/>
  <c r="N12" i="30"/>
  <c r="M12" i="30"/>
  <c r="L12" i="30"/>
  <c r="K12" i="30"/>
  <c r="I12" i="30"/>
  <c r="H12" i="30"/>
  <c r="G12" i="30"/>
  <c r="F12" i="30"/>
  <c r="E12" i="30"/>
  <c r="D12" i="30"/>
  <c r="CO11" i="30"/>
  <c r="CN11" i="30"/>
  <c r="CM11" i="30"/>
  <c r="CL11" i="30"/>
  <c r="CK11" i="30"/>
  <c r="CJ11" i="30"/>
  <c r="CH11" i="30"/>
  <c r="CG11" i="30"/>
  <c r="CF11" i="30"/>
  <c r="CE11" i="30"/>
  <c r="CD11" i="30"/>
  <c r="CC11" i="30"/>
  <c r="CA11" i="30"/>
  <c r="BZ11" i="30"/>
  <c r="BY11" i="30"/>
  <c r="BX11" i="30"/>
  <c r="BW11" i="30"/>
  <c r="BV11" i="30"/>
  <c r="BT11" i="30"/>
  <c r="BS11" i="30"/>
  <c r="BR11" i="30"/>
  <c r="BQ11" i="30"/>
  <c r="BP11" i="30"/>
  <c r="BO11" i="30"/>
  <c r="BM11" i="30"/>
  <c r="BL11" i="30"/>
  <c r="BK11" i="30"/>
  <c r="BJ11" i="30"/>
  <c r="BI11" i="30"/>
  <c r="BH11" i="30"/>
  <c r="BF11" i="30"/>
  <c r="BE11" i="30"/>
  <c r="BD11" i="30"/>
  <c r="BC11" i="30"/>
  <c r="BB11" i="30"/>
  <c r="BA11" i="30"/>
  <c r="AY11" i="30"/>
  <c r="AX11" i="30"/>
  <c r="AW11" i="30"/>
  <c r="AV11" i="30"/>
  <c r="AU11" i="30"/>
  <c r="AT11" i="30"/>
  <c r="AR11" i="30"/>
  <c r="AQ11" i="30"/>
  <c r="AP11" i="30"/>
  <c r="AO11" i="30"/>
  <c r="AN11" i="30"/>
  <c r="AM11" i="30"/>
  <c r="AK11" i="30"/>
  <c r="AJ11" i="30"/>
  <c r="AI11" i="30"/>
  <c r="AH11" i="30"/>
  <c r="AG11" i="30"/>
  <c r="AF11" i="30"/>
  <c r="AD11" i="30"/>
  <c r="AC11" i="30"/>
  <c r="AB11" i="30"/>
  <c r="AA11" i="30"/>
  <c r="Z11" i="30"/>
  <c r="Y11" i="30"/>
  <c r="W11" i="30"/>
  <c r="V11" i="30"/>
  <c r="U11" i="30"/>
  <c r="T11" i="30"/>
  <c r="S11" i="30"/>
  <c r="R11" i="30"/>
  <c r="P11" i="30"/>
  <c r="O11" i="30"/>
  <c r="N11" i="30"/>
  <c r="M11" i="30"/>
  <c r="L11" i="30"/>
  <c r="K11" i="30"/>
  <c r="I11" i="30"/>
  <c r="H11" i="30"/>
  <c r="G11" i="30"/>
  <c r="F11" i="30"/>
  <c r="E11" i="30"/>
  <c r="D11" i="30"/>
  <c r="CO10" i="30"/>
  <c r="CN10" i="30"/>
  <c r="CM10" i="30"/>
  <c r="CL10" i="30"/>
  <c r="CK10" i="30"/>
  <c r="CJ10" i="30"/>
  <c r="CH10" i="30"/>
  <c r="CG10" i="30"/>
  <c r="CF10" i="30"/>
  <c r="CE10" i="30"/>
  <c r="CD10" i="30"/>
  <c r="CC10" i="30"/>
  <c r="CA10" i="30"/>
  <c r="BZ10" i="30"/>
  <c r="BY10" i="30"/>
  <c r="BX10" i="30"/>
  <c r="BW10" i="30"/>
  <c r="BV10" i="30"/>
  <c r="BT10" i="30"/>
  <c r="BS10" i="30"/>
  <c r="BR10" i="30"/>
  <c r="BQ10" i="30"/>
  <c r="BP10" i="30"/>
  <c r="BO10" i="30"/>
  <c r="BM10" i="30"/>
  <c r="BL10" i="30"/>
  <c r="BK10" i="30"/>
  <c r="BJ10" i="30"/>
  <c r="BI10" i="30"/>
  <c r="BH10" i="30"/>
  <c r="BF10" i="30"/>
  <c r="BE10" i="30"/>
  <c r="BD10" i="30"/>
  <c r="BC10" i="30"/>
  <c r="BB10" i="30"/>
  <c r="BA10" i="30"/>
  <c r="AY10" i="30"/>
  <c r="AX10" i="30"/>
  <c r="AW10" i="30"/>
  <c r="AV10" i="30"/>
  <c r="AU10" i="30"/>
  <c r="AT10" i="30"/>
  <c r="AR10" i="30"/>
  <c r="AQ10" i="30"/>
  <c r="AP10" i="30"/>
  <c r="AO10" i="30"/>
  <c r="AN10" i="30"/>
  <c r="AM10" i="30"/>
  <c r="AK10" i="30"/>
  <c r="AJ10" i="30"/>
  <c r="AI10" i="30"/>
  <c r="AH10" i="30"/>
  <c r="AG10" i="30"/>
  <c r="AF10" i="30"/>
  <c r="AD10" i="30"/>
  <c r="AC10" i="30"/>
  <c r="AB10" i="30"/>
  <c r="AA10" i="30"/>
  <c r="Z10" i="30"/>
  <c r="Y10" i="30"/>
  <c r="W10" i="30"/>
  <c r="V10" i="30"/>
  <c r="U10" i="30"/>
  <c r="T10" i="30"/>
  <c r="S10" i="30"/>
  <c r="R10" i="30"/>
  <c r="P10" i="30"/>
  <c r="O10" i="30"/>
  <c r="N10" i="30"/>
  <c r="M10" i="30"/>
  <c r="L10" i="30"/>
  <c r="K10" i="30"/>
  <c r="I10" i="30"/>
  <c r="H10" i="30"/>
  <c r="G10" i="30"/>
  <c r="F10" i="30"/>
  <c r="E10" i="30"/>
  <c r="D10" i="30"/>
  <c r="CO9" i="30"/>
  <c r="CN9" i="30"/>
  <c r="CM9" i="30"/>
  <c r="CL9" i="30"/>
  <c r="CK9" i="30"/>
  <c r="CJ9" i="30"/>
  <c r="CH9" i="30"/>
  <c r="CG9" i="30"/>
  <c r="CF9" i="30"/>
  <c r="CE9" i="30"/>
  <c r="CD9" i="30"/>
  <c r="CC9" i="30"/>
  <c r="CA9" i="30"/>
  <c r="BZ9" i="30"/>
  <c r="BY9" i="30"/>
  <c r="BX9" i="30"/>
  <c r="BW9" i="30"/>
  <c r="BV9" i="30"/>
  <c r="BT9" i="30"/>
  <c r="BS9" i="30"/>
  <c r="BR9" i="30"/>
  <c r="BQ9" i="30"/>
  <c r="BP9" i="30"/>
  <c r="BO9" i="30"/>
  <c r="BM9" i="30"/>
  <c r="BL9" i="30"/>
  <c r="BK9" i="30"/>
  <c r="BJ9" i="30"/>
  <c r="BI9" i="30"/>
  <c r="BH9" i="30"/>
  <c r="BF9" i="30"/>
  <c r="BE9" i="30"/>
  <c r="BD9" i="30"/>
  <c r="BC9" i="30"/>
  <c r="BB9" i="30"/>
  <c r="BA9" i="30"/>
  <c r="AY9" i="30"/>
  <c r="AX9" i="30"/>
  <c r="AW9" i="30"/>
  <c r="AV9" i="30"/>
  <c r="AU9" i="30"/>
  <c r="AT9" i="30"/>
  <c r="AR9" i="30"/>
  <c r="AQ9" i="30"/>
  <c r="AP9" i="30"/>
  <c r="AO9" i="30"/>
  <c r="AN9" i="30"/>
  <c r="AM9" i="30"/>
  <c r="AK9" i="30"/>
  <c r="AJ9" i="30"/>
  <c r="AI9" i="30"/>
  <c r="AH9" i="30"/>
  <c r="AG9" i="30"/>
  <c r="AF9" i="30"/>
  <c r="AD9" i="30"/>
  <c r="AC9" i="30"/>
  <c r="AB9" i="30"/>
  <c r="AA9" i="30"/>
  <c r="Z9" i="30"/>
  <c r="Y9" i="30"/>
  <c r="W9" i="30"/>
  <c r="V9" i="30"/>
  <c r="U9" i="30"/>
  <c r="T9" i="30"/>
  <c r="S9" i="30"/>
  <c r="R9" i="30"/>
  <c r="P9" i="30"/>
  <c r="O9" i="30"/>
  <c r="N9" i="30"/>
  <c r="M9" i="30"/>
  <c r="L9" i="30"/>
  <c r="K9" i="30"/>
  <c r="I9" i="30"/>
  <c r="H9" i="30"/>
  <c r="G9" i="30"/>
  <c r="F9" i="30"/>
  <c r="E9" i="30"/>
  <c r="D9" i="30"/>
  <c r="CP7" i="30"/>
  <c r="CI7" i="30"/>
  <c r="CB7" i="30"/>
  <c r="BU7" i="30"/>
  <c r="BN7" i="30"/>
  <c r="BG7" i="30"/>
  <c r="AZ7" i="30"/>
  <c r="AS7" i="30"/>
  <c r="AL7" i="30"/>
  <c r="AE7" i="30"/>
  <c r="X7" i="30"/>
  <c r="Q7" i="30"/>
  <c r="J7" i="30"/>
  <c r="CO6" i="30"/>
  <c r="CO8" i="30" s="1"/>
  <c r="CN6" i="30"/>
  <c r="CM6" i="30"/>
  <c r="CM8" i="30" s="1"/>
  <c r="CL6" i="30"/>
  <c r="CK6" i="30"/>
  <c r="CK8" i="30" s="1"/>
  <c r="CJ6" i="30"/>
  <c r="CH6" i="30"/>
  <c r="CH8" i="30" s="1"/>
  <c r="CG6" i="30"/>
  <c r="CG8" i="30" s="1"/>
  <c r="CF6" i="30"/>
  <c r="CF8" i="30" s="1"/>
  <c r="CE6" i="30"/>
  <c r="CE8" i="30" s="1"/>
  <c r="CD6" i="30"/>
  <c r="CD8" i="30" s="1"/>
  <c r="CC6" i="30"/>
  <c r="CC8" i="30" s="1"/>
  <c r="CA6" i="30"/>
  <c r="CA8" i="30" s="1"/>
  <c r="BZ6" i="30"/>
  <c r="BZ8" i="30" s="1"/>
  <c r="BY6" i="30"/>
  <c r="BY8" i="30" s="1"/>
  <c r="BX6" i="30"/>
  <c r="BX8" i="30" s="1"/>
  <c r="BW6" i="30"/>
  <c r="BW8" i="30" s="1"/>
  <c r="BV6" i="30"/>
  <c r="BT6" i="30"/>
  <c r="BT8" i="30" s="1"/>
  <c r="BS6" i="30"/>
  <c r="BS8" i="30" s="1"/>
  <c r="BR6" i="30"/>
  <c r="BR8" i="30" s="1"/>
  <c r="BQ6" i="30"/>
  <c r="BQ8" i="30" s="1"/>
  <c r="BP6" i="30"/>
  <c r="BP8" i="30" s="1"/>
  <c r="BO6" i="30"/>
  <c r="BM6" i="30"/>
  <c r="BM8" i="30" s="1"/>
  <c r="BL6" i="30"/>
  <c r="BL8" i="30" s="1"/>
  <c r="BK6" i="30"/>
  <c r="BK8" i="30" s="1"/>
  <c r="BJ6" i="30"/>
  <c r="BJ8" i="30" s="1"/>
  <c r="BI6" i="30"/>
  <c r="BI8" i="30" s="1"/>
  <c r="BH6" i="30"/>
  <c r="BH8" i="30" s="1"/>
  <c r="BF6" i="30"/>
  <c r="BF8" i="30" s="1"/>
  <c r="BE6" i="30"/>
  <c r="BE8" i="30" s="1"/>
  <c r="BD6" i="30"/>
  <c r="BD8" i="30" s="1"/>
  <c r="BC6" i="30"/>
  <c r="BC8" i="30" s="1"/>
  <c r="BB6" i="30"/>
  <c r="BA6" i="30"/>
  <c r="BA8" i="30" s="1"/>
  <c r="AY6" i="30"/>
  <c r="AY8" i="30" s="1"/>
  <c r="AX6" i="30"/>
  <c r="AX8" i="30" s="1"/>
  <c r="AW6" i="30"/>
  <c r="AW8" i="30" s="1"/>
  <c r="AV6" i="30"/>
  <c r="AV8" i="30" s="1"/>
  <c r="AU6" i="30"/>
  <c r="AU8" i="30" s="1"/>
  <c r="AT6" i="30"/>
  <c r="AR6" i="30"/>
  <c r="AR8" i="30" s="1"/>
  <c r="AQ6" i="30"/>
  <c r="AQ8" i="30" s="1"/>
  <c r="AP6" i="30"/>
  <c r="AP8" i="30" s="1"/>
  <c r="AO6" i="30"/>
  <c r="AO8" i="30" s="1"/>
  <c r="AN6" i="30"/>
  <c r="AN8" i="30" s="1"/>
  <c r="AM6" i="30"/>
  <c r="AK6" i="30"/>
  <c r="AK8" i="30" s="1"/>
  <c r="AJ6" i="30"/>
  <c r="AJ8" i="30" s="1"/>
  <c r="AI6" i="30"/>
  <c r="AI8" i="30" s="1"/>
  <c r="AH6" i="30"/>
  <c r="AG6" i="30"/>
  <c r="AG8" i="30" s="1"/>
  <c r="AF6" i="30"/>
  <c r="AF8" i="30" s="1"/>
  <c r="AD6" i="30"/>
  <c r="AD8" i="30" s="1"/>
  <c r="AC6" i="30"/>
  <c r="AC8" i="30" s="1"/>
  <c r="AB6" i="30"/>
  <c r="AB8" i="30" s="1"/>
  <c r="AA6" i="30"/>
  <c r="AA8" i="30" s="1"/>
  <c r="Z6" i="30"/>
  <c r="Y6" i="30"/>
  <c r="Y8" i="30" s="1"/>
  <c r="W6" i="30"/>
  <c r="W8" i="30" s="1"/>
  <c r="V6" i="30"/>
  <c r="V8" i="30" s="1"/>
  <c r="U6" i="30"/>
  <c r="U8" i="30" s="1"/>
  <c r="T6" i="30"/>
  <c r="T8" i="30" s="1"/>
  <c r="S6" i="30"/>
  <c r="S8" i="30" s="1"/>
  <c r="R6" i="30"/>
  <c r="P6" i="30"/>
  <c r="P8" i="30" s="1"/>
  <c r="O6" i="30"/>
  <c r="O8" i="30" s="1"/>
  <c r="N6" i="30"/>
  <c r="N8" i="30" s="1"/>
  <c r="M6" i="30"/>
  <c r="M8" i="30" s="1"/>
  <c r="L6" i="30"/>
  <c r="L8" i="30" s="1"/>
  <c r="K6" i="30"/>
  <c r="I6" i="30"/>
  <c r="I8" i="30" s="1"/>
  <c r="H6" i="30"/>
  <c r="H8" i="30" s="1"/>
  <c r="G6" i="30"/>
  <c r="G8" i="30" s="1"/>
  <c r="F6" i="30"/>
  <c r="E6" i="30"/>
  <c r="E8" i="30" s="1"/>
  <c r="D6" i="30"/>
  <c r="D8" i="30" s="1"/>
  <c r="J95" i="29"/>
  <c r="CK163" i="29"/>
  <c r="CO162" i="29"/>
  <c r="CO163" i="29" s="1"/>
  <c r="CN162" i="29"/>
  <c r="CN163" i="29" s="1"/>
  <c r="CM162" i="29"/>
  <c r="CL162" i="29"/>
  <c r="CL163" i="29" s="1"/>
  <c r="CK162" i="29"/>
  <c r="CJ162" i="29"/>
  <c r="CI155" i="29"/>
  <c r="CB155" i="29"/>
  <c r="BU155" i="29"/>
  <c r="BN155" i="29"/>
  <c r="BG155" i="29"/>
  <c r="AZ155" i="29"/>
  <c r="AS155" i="29"/>
  <c r="AL155" i="29"/>
  <c r="AE155" i="29"/>
  <c r="X155" i="29"/>
  <c r="Q155" i="29"/>
  <c r="J155" i="29"/>
  <c r="CO154" i="29"/>
  <c r="CN154" i="29"/>
  <c r="CM154" i="29"/>
  <c r="CL154" i="29"/>
  <c r="CJ154" i="29"/>
  <c r="CN153" i="29"/>
  <c r="CK153" i="29"/>
  <c r="CN152" i="29"/>
  <c r="CK152" i="29"/>
  <c r="CK154" i="29" s="1"/>
  <c r="CN151" i="29"/>
  <c r="CK151" i="29"/>
  <c r="CN150" i="29"/>
  <c r="CK150" i="29"/>
  <c r="CN149" i="29"/>
  <c r="CK149" i="29"/>
  <c r="CN148" i="29"/>
  <c r="CO147" i="29"/>
  <c r="CO148" i="29" s="1"/>
  <c r="CO155" i="29" s="1"/>
  <c r="CO156" i="29" s="1"/>
  <c r="CN147" i="29"/>
  <c r="CK147" i="29"/>
  <c r="CL146" i="29"/>
  <c r="CN145" i="29"/>
  <c r="CN146" i="29" s="1"/>
  <c r="CO142" i="29"/>
  <c r="CO144" i="29" s="1"/>
  <c r="CN142" i="29"/>
  <c r="CM142" i="29"/>
  <c r="CM144" i="29" s="1"/>
  <c r="CL142" i="29"/>
  <c r="CL144" i="29" s="1"/>
  <c r="CK142" i="29"/>
  <c r="CK144" i="29" s="1"/>
  <c r="CJ142" i="29"/>
  <c r="CO141" i="29"/>
  <c r="CO145" i="29" s="1"/>
  <c r="CO146" i="29" s="1"/>
  <c r="CN141" i="29"/>
  <c r="CN143" i="29" s="1"/>
  <c r="CM141" i="29"/>
  <c r="CM145" i="29" s="1"/>
  <c r="CM146" i="29" s="1"/>
  <c r="CL141" i="29"/>
  <c r="CL145" i="29" s="1"/>
  <c r="CK141" i="29"/>
  <c r="CK145" i="29" s="1"/>
  <c r="CK146" i="29" s="1"/>
  <c r="CJ141" i="29"/>
  <c r="CJ143" i="29" s="1"/>
  <c r="CO137" i="29"/>
  <c r="CN137" i="29"/>
  <c r="CM137" i="29"/>
  <c r="CM148" i="29" s="1"/>
  <c r="CM155" i="29" s="1"/>
  <c r="CM156" i="29" s="1"/>
  <c r="CL137" i="29"/>
  <c r="CK137" i="29"/>
  <c r="CJ137" i="29"/>
  <c r="CJ138" i="29" s="1"/>
  <c r="CO128" i="29"/>
  <c r="CN128" i="29"/>
  <c r="CM128" i="29"/>
  <c r="CL128" i="29"/>
  <c r="CK128" i="29"/>
  <c r="CJ128" i="29"/>
  <c r="CO127" i="29"/>
  <c r="CN127" i="29"/>
  <c r="CM127" i="29"/>
  <c r="CL127" i="29"/>
  <c r="CK127" i="29"/>
  <c r="CJ127" i="29"/>
  <c r="CO124" i="29"/>
  <c r="CN124" i="29"/>
  <c r="CM124" i="29"/>
  <c r="CL124" i="29"/>
  <c r="CK124" i="29"/>
  <c r="CJ124" i="29"/>
  <c r="CO123" i="29"/>
  <c r="CN123" i="29"/>
  <c r="CM123" i="29"/>
  <c r="CL123" i="29"/>
  <c r="CK123" i="29"/>
  <c r="CJ123" i="29"/>
  <c r="CO114" i="29"/>
  <c r="CN114" i="29"/>
  <c r="CM114" i="29"/>
  <c r="CL114" i="29"/>
  <c r="CK114" i="29"/>
  <c r="CJ114" i="29"/>
  <c r="CO113" i="29"/>
  <c r="CN113" i="29"/>
  <c r="CM113" i="29"/>
  <c r="CL113" i="29"/>
  <c r="CK113" i="29"/>
  <c r="CJ113" i="29"/>
  <c r="CI110" i="29"/>
  <c r="CB110" i="29"/>
  <c r="BU110" i="29"/>
  <c r="BN110" i="29"/>
  <c r="BG110" i="29"/>
  <c r="AZ110" i="29"/>
  <c r="AS110" i="29"/>
  <c r="AL110" i="29"/>
  <c r="AE110" i="29"/>
  <c r="X110" i="29"/>
  <c r="Q110" i="29"/>
  <c r="J110" i="29"/>
  <c r="CO109" i="29"/>
  <c r="CN109" i="29"/>
  <c r="CM109" i="29"/>
  <c r="CL109" i="29"/>
  <c r="CK109" i="29"/>
  <c r="CJ109" i="29"/>
  <c r="CO108" i="29"/>
  <c r="CN108" i="29"/>
  <c r="CM108" i="29"/>
  <c r="CL108" i="29"/>
  <c r="CK108" i="29"/>
  <c r="CJ108" i="29"/>
  <c r="CO107" i="29"/>
  <c r="CN107" i="29"/>
  <c r="CM107" i="29"/>
  <c r="CL107" i="29"/>
  <c r="CK107" i="29"/>
  <c r="CJ107" i="29"/>
  <c r="CO106" i="29"/>
  <c r="CN106" i="29"/>
  <c r="CM106" i="29"/>
  <c r="CL106" i="29"/>
  <c r="CK106" i="29"/>
  <c r="CJ106" i="29"/>
  <c r="CI93" i="29"/>
  <c r="CB93" i="29"/>
  <c r="BU93" i="29"/>
  <c r="BN93" i="29"/>
  <c r="BG93" i="29"/>
  <c r="AZ93" i="29"/>
  <c r="AS93" i="29"/>
  <c r="AL93" i="29"/>
  <c r="AE93" i="29"/>
  <c r="X93" i="29"/>
  <c r="Q93" i="29"/>
  <c r="J93" i="29"/>
  <c r="CI92" i="29"/>
  <c r="CB92" i="29"/>
  <c r="BU92" i="29"/>
  <c r="BN92" i="29"/>
  <c r="BG92" i="29"/>
  <c r="AZ92" i="29"/>
  <c r="AS92" i="29"/>
  <c r="AL92" i="29"/>
  <c r="AE92" i="29"/>
  <c r="X92" i="29"/>
  <c r="Q92" i="29"/>
  <c r="J92" i="29"/>
  <c r="CI91" i="29"/>
  <c r="CB91" i="29"/>
  <c r="BU91" i="29"/>
  <c r="BN91" i="29"/>
  <c r="BG91" i="29"/>
  <c r="AZ91" i="29"/>
  <c r="AS91" i="29"/>
  <c r="AL91" i="29"/>
  <c r="AE91" i="29"/>
  <c r="X91" i="29"/>
  <c r="Q91" i="29"/>
  <c r="J91" i="29"/>
  <c r="CI90" i="29"/>
  <c r="CB90" i="29"/>
  <c r="BU90" i="29"/>
  <c r="BN90" i="29"/>
  <c r="BG90" i="29"/>
  <c r="AZ90" i="29"/>
  <c r="AS90" i="29"/>
  <c r="AL90" i="29"/>
  <c r="AE90" i="29"/>
  <c r="X90" i="29"/>
  <c r="Q90" i="29"/>
  <c r="J90" i="29"/>
  <c r="CI89" i="29"/>
  <c r="CB89" i="29"/>
  <c r="BU89" i="29"/>
  <c r="BN89" i="29"/>
  <c r="BG89" i="29"/>
  <c r="AZ89" i="29"/>
  <c r="AS89" i="29"/>
  <c r="AL89" i="29"/>
  <c r="AE89" i="29"/>
  <c r="X89" i="29"/>
  <c r="Q89" i="29"/>
  <c r="J89" i="29"/>
  <c r="CI88" i="29"/>
  <c r="CB88" i="29"/>
  <c r="BU88" i="29"/>
  <c r="BN88" i="29"/>
  <c r="BG88" i="29"/>
  <c r="AZ88" i="29"/>
  <c r="AS88" i="29"/>
  <c r="AL88" i="29"/>
  <c r="AE88" i="29"/>
  <c r="X88" i="29"/>
  <c r="Q88" i="29"/>
  <c r="J88" i="29"/>
  <c r="CI87" i="29"/>
  <c r="CB87" i="29"/>
  <c r="BU87" i="29"/>
  <c r="BN87" i="29"/>
  <c r="BG87" i="29"/>
  <c r="AZ87" i="29"/>
  <c r="AS87" i="29"/>
  <c r="AL87" i="29"/>
  <c r="AE87" i="29"/>
  <c r="X87" i="29"/>
  <c r="Q87" i="29"/>
  <c r="J87" i="29"/>
  <c r="CI86" i="29"/>
  <c r="CB86" i="29"/>
  <c r="BU86" i="29"/>
  <c r="BN86" i="29"/>
  <c r="BG86" i="29"/>
  <c r="AZ86" i="29"/>
  <c r="AS86" i="29"/>
  <c r="AL86" i="29"/>
  <c r="AE86" i="29"/>
  <c r="X86" i="29"/>
  <c r="Q86" i="29"/>
  <c r="J86" i="29"/>
  <c r="CI70" i="29"/>
  <c r="CB70" i="29"/>
  <c r="BU70" i="29"/>
  <c r="BN70" i="29"/>
  <c r="BG70" i="29"/>
  <c r="AZ70" i="29"/>
  <c r="AS70" i="29"/>
  <c r="AL70" i="29"/>
  <c r="AE70" i="29"/>
  <c r="X70" i="29"/>
  <c r="Q70" i="29"/>
  <c r="J70" i="29"/>
  <c r="AE63" i="29"/>
  <c r="CO62" i="29"/>
  <c r="CN62" i="29"/>
  <c r="CM62" i="29"/>
  <c r="CL62" i="29"/>
  <c r="CK62" i="29"/>
  <c r="CJ62" i="29"/>
  <c r="CH62" i="29"/>
  <c r="CG62" i="29"/>
  <c r="CF62" i="29"/>
  <c r="CE62" i="29"/>
  <c r="CD62" i="29"/>
  <c r="CC62" i="29"/>
  <c r="CI62" i="29" s="1"/>
  <c r="CA62" i="29"/>
  <c r="BZ62" i="29"/>
  <c r="BY62" i="29"/>
  <c r="BX62" i="29"/>
  <c r="BW62" i="29"/>
  <c r="BV62" i="29"/>
  <c r="BT62" i="29"/>
  <c r="BS62" i="29"/>
  <c r="BR62" i="29"/>
  <c r="BQ62" i="29"/>
  <c r="BU62" i="29" s="1"/>
  <c r="BP62" i="29"/>
  <c r="BO62" i="29"/>
  <c r="BM62" i="29"/>
  <c r="BL62" i="29"/>
  <c r="BK62" i="29"/>
  <c r="BJ62" i="29"/>
  <c r="BI62" i="29"/>
  <c r="BN62" i="29" s="1"/>
  <c r="BH62" i="29"/>
  <c r="BF62" i="29"/>
  <c r="BE62" i="29"/>
  <c r="BD62" i="29"/>
  <c r="BC62" i="29"/>
  <c r="BB62" i="29"/>
  <c r="BA62" i="29"/>
  <c r="BG62" i="29" s="1"/>
  <c r="AY62" i="29"/>
  <c r="AX62" i="29"/>
  <c r="AW62" i="29"/>
  <c r="AV62" i="29"/>
  <c r="AU62" i="29"/>
  <c r="AT62" i="29"/>
  <c r="AR62" i="29"/>
  <c r="AQ62" i="29"/>
  <c r="AP62" i="29"/>
  <c r="AO62" i="29"/>
  <c r="AS62" i="29" s="1"/>
  <c r="AN62" i="29"/>
  <c r="AM62" i="29"/>
  <c r="AK62" i="29"/>
  <c r="AJ62" i="29"/>
  <c r="AI62" i="29"/>
  <c r="AH62" i="29"/>
  <c r="AG62" i="29"/>
  <c r="AL62" i="29" s="1"/>
  <c r="AF62" i="29"/>
  <c r="AD62" i="29"/>
  <c r="AC62" i="29"/>
  <c r="AB62" i="29"/>
  <c r="AA62" i="29"/>
  <c r="Z62" i="29"/>
  <c r="Y62" i="29"/>
  <c r="AE62" i="29" s="1"/>
  <c r="W62" i="29"/>
  <c r="V62" i="29"/>
  <c r="U62" i="29"/>
  <c r="T62" i="29"/>
  <c r="S62" i="29"/>
  <c r="R62" i="29"/>
  <c r="P62" i="29"/>
  <c r="O62" i="29"/>
  <c r="N62" i="29"/>
  <c r="M62" i="29"/>
  <c r="Q62" i="29" s="1"/>
  <c r="L62" i="29"/>
  <c r="K62" i="29"/>
  <c r="I62" i="29"/>
  <c r="H62" i="29"/>
  <c r="G62" i="29"/>
  <c r="F62" i="29"/>
  <c r="E62" i="29"/>
  <c r="J62" i="29" s="1"/>
  <c r="D62" i="29"/>
  <c r="CI57" i="29"/>
  <c r="CB57" i="29"/>
  <c r="BU57" i="29"/>
  <c r="BN57" i="29"/>
  <c r="BG57" i="29"/>
  <c r="AZ57" i="29"/>
  <c r="AS57" i="29"/>
  <c r="AL57" i="29"/>
  <c r="AE57" i="29"/>
  <c r="X57" i="29"/>
  <c r="Q57" i="29"/>
  <c r="J57" i="29"/>
  <c r="CI56" i="29"/>
  <c r="CB56" i="29"/>
  <c r="BU56" i="29"/>
  <c r="BN56" i="29"/>
  <c r="BG56" i="29"/>
  <c r="AZ56" i="29"/>
  <c r="AS56" i="29"/>
  <c r="AL56" i="29"/>
  <c r="AE56" i="29"/>
  <c r="X56" i="29"/>
  <c r="Q56" i="29"/>
  <c r="J56" i="29"/>
  <c r="CI55" i="29"/>
  <c r="CB55" i="29"/>
  <c r="BU55" i="29"/>
  <c r="BN55" i="29"/>
  <c r="BG55" i="29"/>
  <c r="AZ55" i="29"/>
  <c r="AS55" i="29"/>
  <c r="AL55" i="29"/>
  <c r="AE55" i="29"/>
  <c r="X55" i="29"/>
  <c r="Q55" i="29"/>
  <c r="J55" i="29"/>
  <c r="CI54" i="29"/>
  <c r="CB54" i="29"/>
  <c r="BU54" i="29"/>
  <c r="BN54" i="29"/>
  <c r="BG54" i="29"/>
  <c r="AZ54" i="29"/>
  <c r="AS54" i="29"/>
  <c r="AL54" i="29"/>
  <c r="AE54" i="29"/>
  <c r="X54" i="29"/>
  <c r="Q54" i="29"/>
  <c r="J54" i="29"/>
  <c r="CI53" i="29"/>
  <c r="CP53" i="29" s="1"/>
  <c r="CB53" i="29"/>
  <c r="BU53" i="29"/>
  <c r="BN53" i="29"/>
  <c r="BG53" i="29"/>
  <c r="AZ53" i="29"/>
  <c r="AS53" i="29"/>
  <c r="AL53" i="29"/>
  <c r="AE53" i="29"/>
  <c r="X53" i="29"/>
  <c r="Q53" i="29"/>
  <c r="J53" i="29"/>
  <c r="CP46" i="29"/>
  <c r="CI46" i="29"/>
  <c r="CB46" i="29"/>
  <c r="BU46" i="29"/>
  <c r="BN46" i="29"/>
  <c r="BG46" i="29"/>
  <c r="AZ46" i="29"/>
  <c r="AS46" i="29"/>
  <c r="AL46" i="29"/>
  <c r="AE46" i="29"/>
  <c r="X46" i="29"/>
  <c r="Q46" i="29"/>
  <c r="J46" i="29"/>
  <c r="CP44" i="29"/>
  <c r="CI44" i="29"/>
  <c r="CB44" i="29"/>
  <c r="BU44" i="29"/>
  <c r="BN44" i="29"/>
  <c r="BG44" i="29"/>
  <c r="AZ44" i="29"/>
  <c r="AS44" i="29"/>
  <c r="AL44" i="29"/>
  <c r="AE44" i="29"/>
  <c r="X44" i="29"/>
  <c r="Q44" i="29"/>
  <c r="J44" i="29"/>
  <c r="CP43" i="29"/>
  <c r="CI43" i="29"/>
  <c r="CB43" i="29"/>
  <c r="BU43" i="29"/>
  <c r="BN43" i="29"/>
  <c r="BG43" i="29"/>
  <c r="AZ43" i="29"/>
  <c r="AS43" i="29"/>
  <c r="AL43" i="29"/>
  <c r="AE43" i="29"/>
  <c r="X43" i="29"/>
  <c r="Q43" i="29"/>
  <c r="J43" i="29"/>
  <c r="CP42" i="29"/>
  <c r="CI42" i="29"/>
  <c r="CB42" i="29"/>
  <c r="BU42" i="29"/>
  <c r="BN42" i="29"/>
  <c r="BG42" i="29"/>
  <c r="AZ42" i="29"/>
  <c r="AS42" i="29"/>
  <c r="AL42" i="29"/>
  <c r="AE42" i="29"/>
  <c r="X42" i="29"/>
  <c r="Q42" i="29"/>
  <c r="J42" i="29"/>
  <c r="CP41" i="29"/>
  <c r="CI41" i="29"/>
  <c r="CB41" i="29"/>
  <c r="BU41" i="29"/>
  <c r="BN41" i="29"/>
  <c r="BG41" i="29"/>
  <c r="AZ41" i="29"/>
  <c r="AS41" i="29"/>
  <c r="AL41" i="29"/>
  <c r="AE41" i="29"/>
  <c r="X41" i="29"/>
  <c r="Q41" i="29"/>
  <c r="J41" i="29"/>
  <c r="CP40" i="29"/>
  <c r="CI40" i="29"/>
  <c r="CB40" i="29"/>
  <c r="BU40" i="29"/>
  <c r="BN40" i="29"/>
  <c r="BG40" i="29"/>
  <c r="AZ40" i="29"/>
  <c r="AS40" i="29"/>
  <c r="AL40" i="29"/>
  <c r="AE40" i="29"/>
  <c r="X40" i="29"/>
  <c r="Q40" i="29"/>
  <c r="J40" i="29"/>
  <c r="CP39" i="29"/>
  <c r="CI39" i="29"/>
  <c r="CB39" i="29"/>
  <c r="BU39" i="29"/>
  <c r="BN39" i="29"/>
  <c r="BG39" i="29"/>
  <c r="AZ39" i="29"/>
  <c r="AS39" i="29"/>
  <c r="AL39" i="29"/>
  <c r="AE39" i="29"/>
  <c r="X39" i="29"/>
  <c r="Q39" i="29"/>
  <c r="CP38" i="29"/>
  <c r="CI38" i="29"/>
  <c r="CB38" i="29"/>
  <c r="BU38" i="29"/>
  <c r="BN38" i="29"/>
  <c r="BG38" i="29"/>
  <c r="AZ38" i="29"/>
  <c r="AS38" i="29"/>
  <c r="AL38" i="29"/>
  <c r="AE38" i="29"/>
  <c r="X38" i="29"/>
  <c r="Q38" i="29"/>
  <c r="J38" i="29"/>
  <c r="CP37" i="29"/>
  <c r="CI37" i="29"/>
  <c r="CB37" i="29"/>
  <c r="BU37" i="29"/>
  <c r="BN37" i="29"/>
  <c r="BG37" i="29"/>
  <c r="AZ37" i="29"/>
  <c r="AS37" i="29"/>
  <c r="AL37" i="29"/>
  <c r="AE37" i="29"/>
  <c r="X37" i="29"/>
  <c r="Q37" i="29"/>
  <c r="J37" i="29"/>
  <c r="CP36" i="29"/>
  <c r="CI36" i="29"/>
  <c r="CB36" i="29"/>
  <c r="BU36" i="29"/>
  <c r="BN36" i="29"/>
  <c r="BG36" i="29"/>
  <c r="AZ36" i="29"/>
  <c r="AS36" i="29"/>
  <c r="AL36" i="29"/>
  <c r="AE36" i="29"/>
  <c r="X36" i="29"/>
  <c r="Q36" i="29"/>
  <c r="J36" i="29"/>
  <c r="CP35" i="29"/>
  <c r="CI35" i="29"/>
  <c r="CB35" i="29"/>
  <c r="BU35" i="29"/>
  <c r="BN35" i="29"/>
  <c r="BG35" i="29"/>
  <c r="AZ35" i="29"/>
  <c r="AS35" i="29"/>
  <c r="AL35" i="29"/>
  <c r="AE35" i="29"/>
  <c r="X35" i="29"/>
  <c r="Q35" i="29"/>
  <c r="J35" i="29"/>
  <c r="CP34" i="29"/>
  <c r="CI34" i="29"/>
  <c r="CB34" i="29"/>
  <c r="BU34" i="29"/>
  <c r="BN34" i="29"/>
  <c r="BG34" i="29"/>
  <c r="AZ34" i="29"/>
  <c r="AS34" i="29"/>
  <c r="AL34" i="29"/>
  <c r="AE34" i="29"/>
  <c r="X34" i="29"/>
  <c r="Q34" i="29"/>
  <c r="J34" i="29"/>
  <c r="CP33" i="29"/>
  <c r="CI33" i="29"/>
  <c r="CB33" i="29"/>
  <c r="BU33" i="29"/>
  <c r="BN33" i="29"/>
  <c r="BG33" i="29"/>
  <c r="AZ33" i="29"/>
  <c r="AS33" i="29"/>
  <c r="AL33" i="29"/>
  <c r="AE33" i="29"/>
  <c r="X33" i="29"/>
  <c r="Q33" i="29"/>
  <c r="J33" i="29"/>
  <c r="CP32" i="29"/>
  <c r="CI32" i="29"/>
  <c r="CB32" i="29"/>
  <c r="BU32" i="29"/>
  <c r="BN32" i="29"/>
  <c r="BG32" i="29"/>
  <c r="AZ32" i="29"/>
  <c r="AS32" i="29"/>
  <c r="AL32" i="29"/>
  <c r="AE32" i="29"/>
  <c r="X32" i="29"/>
  <c r="Q32" i="29"/>
  <c r="J32" i="29"/>
  <c r="CP31" i="29"/>
  <c r="CI31" i="29"/>
  <c r="CB31" i="29"/>
  <c r="BU31" i="29"/>
  <c r="BN31" i="29"/>
  <c r="BG31" i="29"/>
  <c r="AZ31" i="29"/>
  <c r="AS31" i="29"/>
  <c r="AL31" i="29"/>
  <c r="AE31" i="29"/>
  <c r="X31" i="29"/>
  <c r="Q31" i="29"/>
  <c r="J31" i="29"/>
  <c r="CP30" i="29"/>
  <c r="CI30" i="29"/>
  <c r="CB30" i="29"/>
  <c r="BU30" i="29"/>
  <c r="BN30" i="29"/>
  <c r="BG30" i="29"/>
  <c r="AZ30" i="29"/>
  <c r="AS30" i="29"/>
  <c r="AL30" i="29"/>
  <c r="AE30" i="29"/>
  <c r="X30" i="29"/>
  <c r="Q30" i="29"/>
  <c r="J30" i="29"/>
  <c r="CP29" i="29"/>
  <c r="CI29" i="29"/>
  <c r="CB29" i="29"/>
  <c r="BU29" i="29"/>
  <c r="BN29" i="29"/>
  <c r="BG29" i="29"/>
  <c r="AZ29" i="29"/>
  <c r="AS29" i="29"/>
  <c r="AL29" i="29"/>
  <c r="AE29" i="29"/>
  <c r="X29" i="29"/>
  <c r="Q29" i="29"/>
  <c r="J29" i="29"/>
  <c r="CP28" i="29"/>
  <c r="CI28" i="29"/>
  <c r="CB28" i="29"/>
  <c r="BU28" i="29"/>
  <c r="BN28" i="29"/>
  <c r="BG28" i="29"/>
  <c r="AZ28" i="29"/>
  <c r="AS28" i="29"/>
  <c r="AL28" i="29"/>
  <c r="AE28" i="29"/>
  <c r="X28" i="29"/>
  <c r="Q28" i="29"/>
  <c r="J28" i="29"/>
  <c r="CP27" i="29"/>
  <c r="CI27" i="29"/>
  <c r="CB27" i="29"/>
  <c r="BU27" i="29"/>
  <c r="BN27" i="29"/>
  <c r="BG27" i="29"/>
  <c r="AZ27" i="29"/>
  <c r="AS27" i="29"/>
  <c r="AL27" i="29"/>
  <c r="AE27" i="29"/>
  <c r="X27" i="29"/>
  <c r="Q27" i="29"/>
  <c r="J27" i="29"/>
  <c r="CP26" i="29"/>
  <c r="CI26" i="29"/>
  <c r="CB26" i="29"/>
  <c r="BU26" i="29"/>
  <c r="BN26" i="29"/>
  <c r="BG26" i="29"/>
  <c r="AZ26" i="29"/>
  <c r="AS26" i="29"/>
  <c r="AL26" i="29"/>
  <c r="AE26" i="29"/>
  <c r="X26" i="29"/>
  <c r="Q26" i="29"/>
  <c r="J26" i="29"/>
  <c r="CP25" i="29"/>
  <c r="CI25" i="29"/>
  <c r="CB25" i="29"/>
  <c r="BU25" i="29"/>
  <c r="BN25" i="29"/>
  <c r="BG25" i="29"/>
  <c r="AZ25" i="29"/>
  <c r="AS25" i="29"/>
  <c r="AL25" i="29"/>
  <c r="AE25" i="29"/>
  <c r="X25" i="29"/>
  <c r="Q25" i="29"/>
  <c r="J25" i="29"/>
  <c r="CP24" i="29"/>
  <c r="CI24" i="29"/>
  <c r="CB24" i="29"/>
  <c r="BU24" i="29"/>
  <c r="BN24" i="29"/>
  <c r="BG24" i="29"/>
  <c r="AZ24" i="29"/>
  <c r="AS24" i="29"/>
  <c r="AL24" i="29"/>
  <c r="AE24" i="29"/>
  <c r="X24" i="29"/>
  <c r="Q24" i="29"/>
  <c r="J24" i="29"/>
  <c r="CP23" i="29"/>
  <c r="CI23" i="29"/>
  <c r="CB23" i="29"/>
  <c r="BU23" i="29"/>
  <c r="BN23" i="29"/>
  <c r="BG23" i="29"/>
  <c r="AZ23" i="29"/>
  <c r="AS23" i="29"/>
  <c r="AL23" i="29"/>
  <c r="AE23" i="29"/>
  <c r="X23" i="29"/>
  <c r="Q23" i="29"/>
  <c r="J23" i="29"/>
  <c r="CP22" i="29"/>
  <c r="CI22" i="29"/>
  <c r="CB22" i="29"/>
  <c r="BU22" i="29"/>
  <c r="BN22" i="29"/>
  <c r="BG22" i="29"/>
  <c r="AZ22" i="29"/>
  <c r="AS22" i="29"/>
  <c r="AL22" i="29"/>
  <c r="AE22" i="29"/>
  <c r="X22" i="29"/>
  <c r="Q22" i="29"/>
  <c r="J22" i="29"/>
  <c r="CP21" i="29"/>
  <c r="CI21" i="29"/>
  <c r="CB21" i="29"/>
  <c r="BU21" i="29"/>
  <c r="BN21" i="29"/>
  <c r="BG21" i="29"/>
  <c r="AZ21" i="29"/>
  <c r="AS21" i="29"/>
  <c r="AL21" i="29"/>
  <c r="AE21" i="29"/>
  <c r="X21" i="29"/>
  <c r="Q21" i="29"/>
  <c r="J21" i="29"/>
  <c r="CP20" i="29"/>
  <c r="CI20" i="29"/>
  <c r="CB20" i="29"/>
  <c r="BU20" i="29"/>
  <c r="BN20" i="29"/>
  <c r="BG20" i="29"/>
  <c r="AZ20" i="29"/>
  <c r="AS20" i="29"/>
  <c r="AL20" i="29"/>
  <c r="AE20" i="29"/>
  <c r="X20" i="29"/>
  <c r="Q20" i="29"/>
  <c r="J20" i="29"/>
  <c r="CP19" i="29"/>
  <c r="CI19" i="29"/>
  <c r="CB19" i="29"/>
  <c r="BU19" i="29"/>
  <c r="BN19" i="29"/>
  <c r="BG19" i="29"/>
  <c r="AZ19" i="29"/>
  <c r="AS19" i="29"/>
  <c r="AL19" i="29"/>
  <c r="AE19" i="29"/>
  <c r="X19" i="29"/>
  <c r="Q19" i="29"/>
  <c r="J19" i="29"/>
  <c r="CP18" i="29"/>
  <c r="CI18" i="29"/>
  <c r="CB18" i="29"/>
  <c r="BU18" i="29"/>
  <c r="BN18" i="29"/>
  <c r="BG18" i="29"/>
  <c r="AZ18" i="29"/>
  <c r="AS18" i="29"/>
  <c r="AL18" i="29"/>
  <c r="AE18" i="29"/>
  <c r="X18" i="29"/>
  <c r="Q18" i="29"/>
  <c r="J18" i="29"/>
  <c r="CP17" i="29"/>
  <c r="CI17" i="29"/>
  <c r="CB17" i="29"/>
  <c r="BU17" i="29"/>
  <c r="BN17" i="29"/>
  <c r="BG17" i="29"/>
  <c r="AZ17" i="29"/>
  <c r="AS17" i="29"/>
  <c r="AL17" i="29"/>
  <c r="AE17" i="29"/>
  <c r="X17" i="29"/>
  <c r="Q17" i="29"/>
  <c r="J17" i="29"/>
  <c r="CO14" i="29"/>
  <c r="CO161" i="29" s="1"/>
  <c r="CN14" i="29"/>
  <c r="CN161" i="29" s="1"/>
  <c r="CM14" i="29"/>
  <c r="CL14" i="29"/>
  <c r="CL161" i="29" s="1"/>
  <c r="CK14" i="29"/>
  <c r="CK161" i="29" s="1"/>
  <c r="CJ14" i="29"/>
  <c r="CI14" i="29"/>
  <c r="CI162" i="29" s="1"/>
  <c r="CB14" i="29"/>
  <c r="BU14" i="29"/>
  <c r="BN14" i="29"/>
  <c r="BN162" i="29" s="1"/>
  <c r="BG14" i="29"/>
  <c r="BG162" i="29" s="1"/>
  <c r="AZ14" i="29"/>
  <c r="AS14" i="29"/>
  <c r="AL14" i="29"/>
  <c r="AL162" i="29" s="1"/>
  <c r="AE14" i="29"/>
  <c r="AE162" i="29" s="1"/>
  <c r="X14" i="29"/>
  <c r="Q14" i="29"/>
  <c r="J14" i="29"/>
  <c r="J162" i="29" s="1"/>
  <c r="CO13" i="29"/>
  <c r="CN13" i="29"/>
  <c r="CM13" i="29"/>
  <c r="CL13" i="29"/>
  <c r="CK13" i="29"/>
  <c r="CJ13" i="29"/>
  <c r="CH13" i="29"/>
  <c r="CG13" i="29"/>
  <c r="CF13" i="29"/>
  <c r="CE13" i="29"/>
  <c r="CD13" i="29"/>
  <c r="CC13" i="29"/>
  <c r="CA13" i="29"/>
  <c r="BZ13" i="29"/>
  <c r="BY13" i="29"/>
  <c r="BX13" i="29"/>
  <c r="BW13" i="29"/>
  <c r="BV13" i="29"/>
  <c r="BT13" i="29"/>
  <c r="BS13" i="29"/>
  <c r="BR13" i="29"/>
  <c r="BQ13" i="29"/>
  <c r="BP13" i="29"/>
  <c r="BO13" i="29"/>
  <c r="BM13" i="29"/>
  <c r="BL13" i="29"/>
  <c r="BK13" i="29"/>
  <c r="BJ13" i="29"/>
  <c r="BI13" i="29"/>
  <c r="BH13" i="29"/>
  <c r="BF13" i="29"/>
  <c r="BE13" i="29"/>
  <c r="BD13" i="29"/>
  <c r="BC13" i="29"/>
  <c r="BB13" i="29"/>
  <c r="BA13" i="29"/>
  <c r="AY13" i="29"/>
  <c r="AX13" i="29"/>
  <c r="AW13" i="29"/>
  <c r="AV13" i="29"/>
  <c r="AU13" i="29"/>
  <c r="AT13" i="29"/>
  <c r="AR13" i="29"/>
  <c r="AQ13" i="29"/>
  <c r="AP13" i="29"/>
  <c r="AO13" i="29"/>
  <c r="AN13" i="29"/>
  <c r="AM13" i="29"/>
  <c r="AK13" i="29"/>
  <c r="AJ13" i="29"/>
  <c r="AI13" i="29"/>
  <c r="AH13" i="29"/>
  <c r="AG13" i="29"/>
  <c r="AF13" i="29"/>
  <c r="AD13" i="29"/>
  <c r="AC13" i="29"/>
  <c r="AB13" i="29"/>
  <c r="AA13" i="29"/>
  <c r="Z13" i="29"/>
  <c r="Y13" i="29"/>
  <c r="W13" i="29"/>
  <c r="V13" i="29"/>
  <c r="U13" i="29"/>
  <c r="T13" i="29"/>
  <c r="S13" i="29"/>
  <c r="R13" i="29"/>
  <c r="P13" i="29"/>
  <c r="O13" i="29"/>
  <c r="N13" i="29"/>
  <c r="M13" i="29"/>
  <c r="L13" i="29"/>
  <c r="K13" i="29"/>
  <c r="I13" i="29"/>
  <c r="H13" i="29"/>
  <c r="G13" i="29"/>
  <c r="F13" i="29"/>
  <c r="E13" i="29"/>
  <c r="D13" i="29"/>
  <c r="CO12" i="29"/>
  <c r="CN12" i="29"/>
  <c r="CM12" i="29"/>
  <c r="CL12" i="29"/>
  <c r="CK12" i="29"/>
  <c r="CJ12" i="29"/>
  <c r="CH12" i="29"/>
  <c r="CG12" i="29"/>
  <c r="CF12" i="29"/>
  <c r="CE12" i="29"/>
  <c r="CD12" i="29"/>
  <c r="CC12" i="29"/>
  <c r="CA12" i="29"/>
  <c r="BZ12" i="29"/>
  <c r="BY12" i="29"/>
  <c r="BX12" i="29"/>
  <c r="BW12" i="29"/>
  <c r="BV12" i="29"/>
  <c r="BT12" i="29"/>
  <c r="BS12" i="29"/>
  <c r="BR12" i="29"/>
  <c r="BQ12" i="29"/>
  <c r="BP12" i="29"/>
  <c r="BO12" i="29"/>
  <c r="BM12" i="29"/>
  <c r="BL12" i="29"/>
  <c r="BK12" i="29"/>
  <c r="BJ12" i="29"/>
  <c r="BI12" i="29"/>
  <c r="BH12" i="29"/>
  <c r="BF12" i="29"/>
  <c r="BE12" i="29"/>
  <c r="BD12" i="29"/>
  <c r="BC12" i="29"/>
  <c r="BB12" i="29"/>
  <c r="BA12" i="29"/>
  <c r="AY12" i="29"/>
  <c r="AX12" i="29"/>
  <c r="AW12" i="29"/>
  <c r="AV12" i="29"/>
  <c r="AU12" i="29"/>
  <c r="AT12" i="29"/>
  <c r="AR12" i="29"/>
  <c r="AQ12" i="29"/>
  <c r="AP12" i="29"/>
  <c r="AO12" i="29"/>
  <c r="AN12" i="29"/>
  <c r="AM12" i="29"/>
  <c r="AK12" i="29"/>
  <c r="AJ12" i="29"/>
  <c r="AI12" i="29"/>
  <c r="AH12" i="29"/>
  <c r="AG12" i="29"/>
  <c r="AF12" i="29"/>
  <c r="AD12" i="29"/>
  <c r="AC12" i="29"/>
  <c r="AB12" i="29"/>
  <c r="AA12" i="29"/>
  <c r="Z12" i="29"/>
  <c r="Y12" i="29"/>
  <c r="W12" i="29"/>
  <c r="V12" i="29"/>
  <c r="U12" i="29"/>
  <c r="T12" i="29"/>
  <c r="S12" i="29"/>
  <c r="R12" i="29"/>
  <c r="P12" i="29"/>
  <c r="O12" i="29"/>
  <c r="N12" i="29"/>
  <c r="M12" i="29"/>
  <c r="L12" i="29"/>
  <c r="K12" i="29"/>
  <c r="I12" i="29"/>
  <c r="H12" i="29"/>
  <c r="G12" i="29"/>
  <c r="F12" i="29"/>
  <c r="E12" i="29"/>
  <c r="D12" i="29"/>
  <c r="CO11" i="29"/>
  <c r="CN11" i="29"/>
  <c r="CM11" i="29"/>
  <c r="CL11" i="29"/>
  <c r="CK11" i="29"/>
  <c r="CJ11" i="29"/>
  <c r="CH11" i="29"/>
  <c r="CG11" i="29"/>
  <c r="CF11" i="29"/>
  <c r="CE11" i="29"/>
  <c r="CD11" i="29"/>
  <c r="CC11" i="29"/>
  <c r="CA11" i="29"/>
  <c r="BZ11" i="29"/>
  <c r="BY11" i="29"/>
  <c r="BX11" i="29"/>
  <c r="BW11" i="29"/>
  <c r="BV11" i="29"/>
  <c r="BT11" i="29"/>
  <c r="BS11" i="29"/>
  <c r="BR11" i="29"/>
  <c r="BQ11" i="29"/>
  <c r="BP11" i="29"/>
  <c r="BO11" i="29"/>
  <c r="BM11" i="29"/>
  <c r="BL11" i="29"/>
  <c r="BK11" i="29"/>
  <c r="BJ11" i="29"/>
  <c r="BI11" i="29"/>
  <c r="BH11" i="29"/>
  <c r="BF11" i="29"/>
  <c r="BE11" i="29"/>
  <c r="BD11" i="29"/>
  <c r="BC11" i="29"/>
  <c r="BB11" i="29"/>
  <c r="BA11" i="29"/>
  <c r="AY11" i="29"/>
  <c r="AX11" i="29"/>
  <c r="AW11" i="29"/>
  <c r="AV11" i="29"/>
  <c r="AU11" i="29"/>
  <c r="AT11" i="29"/>
  <c r="AR11" i="29"/>
  <c r="AQ11" i="29"/>
  <c r="AP11" i="29"/>
  <c r="AO11" i="29"/>
  <c r="AN11" i="29"/>
  <c r="AM11" i="29"/>
  <c r="AK11" i="29"/>
  <c r="AJ11" i="29"/>
  <c r="AI11" i="29"/>
  <c r="AH11" i="29"/>
  <c r="AG11" i="29"/>
  <c r="AF11" i="29"/>
  <c r="AD11" i="29"/>
  <c r="AC11" i="29"/>
  <c r="AB11" i="29"/>
  <c r="AA11" i="29"/>
  <c r="Z11" i="29"/>
  <c r="Y11" i="29"/>
  <c r="W11" i="29"/>
  <c r="V11" i="29"/>
  <c r="U11" i="29"/>
  <c r="T11" i="29"/>
  <c r="S11" i="29"/>
  <c r="R11" i="29"/>
  <c r="P11" i="29"/>
  <c r="O11" i="29"/>
  <c r="N11" i="29"/>
  <c r="M11" i="29"/>
  <c r="L11" i="29"/>
  <c r="K11" i="29"/>
  <c r="I11" i="29"/>
  <c r="H11" i="29"/>
  <c r="G11" i="29"/>
  <c r="F11" i="29"/>
  <c r="E11" i="29"/>
  <c r="D11" i="29"/>
  <c r="CO10" i="29"/>
  <c r="CN10" i="29"/>
  <c r="CM10" i="29"/>
  <c r="CL10" i="29"/>
  <c r="CK10" i="29"/>
  <c r="CJ10" i="29"/>
  <c r="CH10" i="29"/>
  <c r="CG10" i="29"/>
  <c r="CF10" i="29"/>
  <c r="CE10" i="29"/>
  <c r="CD10" i="29"/>
  <c r="CC10" i="29"/>
  <c r="CA10" i="29"/>
  <c r="BZ10" i="29"/>
  <c r="BY10" i="29"/>
  <c r="BX10" i="29"/>
  <c r="BW10" i="29"/>
  <c r="BV10" i="29"/>
  <c r="BT10" i="29"/>
  <c r="BS10" i="29"/>
  <c r="BR10" i="29"/>
  <c r="BQ10" i="29"/>
  <c r="BP10" i="29"/>
  <c r="BO10" i="29"/>
  <c r="BM10" i="29"/>
  <c r="BL10" i="29"/>
  <c r="BK10" i="29"/>
  <c r="BJ10" i="29"/>
  <c r="BI10" i="29"/>
  <c r="BH10" i="29"/>
  <c r="BF10" i="29"/>
  <c r="BE10" i="29"/>
  <c r="BD10" i="29"/>
  <c r="BC10" i="29"/>
  <c r="BB10" i="29"/>
  <c r="BA10" i="29"/>
  <c r="AY10" i="29"/>
  <c r="AX10" i="29"/>
  <c r="AW10" i="29"/>
  <c r="AV10" i="29"/>
  <c r="AU10" i="29"/>
  <c r="AT10" i="29"/>
  <c r="AR10" i="29"/>
  <c r="AQ10" i="29"/>
  <c r="AP10" i="29"/>
  <c r="AO10" i="29"/>
  <c r="AN10" i="29"/>
  <c r="AM10" i="29"/>
  <c r="AK10" i="29"/>
  <c r="AJ10" i="29"/>
  <c r="AI10" i="29"/>
  <c r="AH10" i="29"/>
  <c r="AG10" i="29"/>
  <c r="AF10" i="29"/>
  <c r="AD10" i="29"/>
  <c r="AC10" i="29"/>
  <c r="AB10" i="29"/>
  <c r="AA10" i="29"/>
  <c r="Z10" i="29"/>
  <c r="Y10" i="29"/>
  <c r="W10" i="29"/>
  <c r="V10" i="29"/>
  <c r="U10" i="29"/>
  <c r="T10" i="29"/>
  <c r="S10" i="29"/>
  <c r="R10" i="29"/>
  <c r="P10" i="29"/>
  <c r="O10" i="29"/>
  <c r="N10" i="29"/>
  <c r="M10" i="29"/>
  <c r="L10" i="29"/>
  <c r="K10" i="29"/>
  <c r="I10" i="29"/>
  <c r="H10" i="29"/>
  <c r="G10" i="29"/>
  <c r="F10" i="29"/>
  <c r="E10" i="29"/>
  <c r="D10" i="29"/>
  <c r="CO9" i="29"/>
  <c r="CN9" i="29"/>
  <c r="CM9" i="29"/>
  <c r="CL9" i="29"/>
  <c r="CK9" i="29"/>
  <c r="CJ9" i="29"/>
  <c r="CH9" i="29"/>
  <c r="CG9" i="29"/>
  <c r="CF9" i="29"/>
  <c r="CE9" i="29"/>
  <c r="CD9" i="29"/>
  <c r="CC9" i="29"/>
  <c r="CA9" i="29"/>
  <c r="BZ9" i="29"/>
  <c r="BY9" i="29"/>
  <c r="BX9" i="29"/>
  <c r="BW9" i="29"/>
  <c r="BV9" i="29"/>
  <c r="BT9" i="29"/>
  <c r="BS9" i="29"/>
  <c r="BR9" i="29"/>
  <c r="BQ9" i="29"/>
  <c r="BP9" i="29"/>
  <c r="BO9" i="29"/>
  <c r="BM9" i="29"/>
  <c r="BL9" i="29"/>
  <c r="BK9" i="29"/>
  <c r="BJ9" i="29"/>
  <c r="BI9" i="29"/>
  <c r="BH9" i="29"/>
  <c r="BF9" i="29"/>
  <c r="BE9" i="29"/>
  <c r="BD9" i="29"/>
  <c r="BC9" i="29"/>
  <c r="BB9" i="29"/>
  <c r="BA9" i="29"/>
  <c r="AY9" i="29"/>
  <c r="AX9" i="29"/>
  <c r="AW9" i="29"/>
  <c r="AV9" i="29"/>
  <c r="AU9" i="29"/>
  <c r="AT9" i="29"/>
  <c r="AR9" i="29"/>
  <c r="AQ9" i="29"/>
  <c r="AP9" i="29"/>
  <c r="AO9" i="29"/>
  <c r="AN9" i="29"/>
  <c r="AM9" i="29"/>
  <c r="AK9" i="29"/>
  <c r="AJ9" i="29"/>
  <c r="AI9" i="29"/>
  <c r="AH9" i="29"/>
  <c r="AG9" i="29"/>
  <c r="AF9" i="29"/>
  <c r="AD9" i="29"/>
  <c r="AC9" i="29"/>
  <c r="AB9" i="29"/>
  <c r="AA9" i="29"/>
  <c r="Z9" i="29"/>
  <c r="Y9" i="29"/>
  <c r="W9" i="29"/>
  <c r="V9" i="29"/>
  <c r="U9" i="29"/>
  <c r="T9" i="29"/>
  <c r="S9" i="29"/>
  <c r="R9" i="29"/>
  <c r="P9" i="29"/>
  <c r="O9" i="29"/>
  <c r="N9" i="29"/>
  <c r="M9" i="29"/>
  <c r="L9" i="29"/>
  <c r="K9" i="29"/>
  <c r="I9" i="29"/>
  <c r="H9" i="29"/>
  <c r="G9" i="29"/>
  <c r="F9" i="29"/>
  <c r="E9" i="29"/>
  <c r="D9" i="29"/>
  <c r="CP7" i="29"/>
  <c r="CI7" i="29"/>
  <c r="CB7" i="29"/>
  <c r="BU7" i="29"/>
  <c r="BN7" i="29"/>
  <c r="BG7" i="29"/>
  <c r="AZ7" i="29"/>
  <c r="AS7" i="29"/>
  <c r="AL7" i="29"/>
  <c r="AE7" i="29"/>
  <c r="X7" i="29"/>
  <c r="Q7" i="29"/>
  <c r="J7" i="29"/>
  <c r="CO6" i="29"/>
  <c r="CO8" i="29" s="1"/>
  <c r="CN6" i="29"/>
  <c r="CM6" i="29"/>
  <c r="CM8" i="29" s="1"/>
  <c r="CL6" i="29"/>
  <c r="CK6" i="29"/>
  <c r="CK8" i="29" s="1"/>
  <c r="CJ6" i="29"/>
  <c r="CH6" i="29"/>
  <c r="CH8" i="29" s="1"/>
  <c r="CG6" i="29"/>
  <c r="CG8" i="29" s="1"/>
  <c r="CF6" i="29"/>
  <c r="CF8" i="29" s="1"/>
  <c r="CE6" i="29"/>
  <c r="CE8" i="29" s="1"/>
  <c r="CD6" i="29"/>
  <c r="CD8" i="29" s="1"/>
  <c r="CC6" i="29"/>
  <c r="CA6" i="29"/>
  <c r="CA8" i="29" s="1"/>
  <c r="BZ6" i="29"/>
  <c r="BZ8" i="29" s="1"/>
  <c r="BY6" i="29"/>
  <c r="BY8" i="29" s="1"/>
  <c r="BX6" i="29"/>
  <c r="BX8" i="29" s="1"/>
  <c r="BW6" i="29"/>
  <c r="BW8" i="29" s="1"/>
  <c r="BV6" i="29"/>
  <c r="BV8" i="29" s="1"/>
  <c r="BT6" i="29"/>
  <c r="BT8" i="29" s="1"/>
  <c r="BS6" i="29"/>
  <c r="BS8" i="29" s="1"/>
  <c r="BR6" i="29"/>
  <c r="BR8" i="29" s="1"/>
  <c r="BQ6" i="29"/>
  <c r="BQ8" i="29" s="1"/>
  <c r="BP6" i="29"/>
  <c r="BP8" i="29" s="1"/>
  <c r="BO6" i="29"/>
  <c r="BO8" i="29" s="1"/>
  <c r="BM6" i="29"/>
  <c r="BM8" i="29" s="1"/>
  <c r="BL6" i="29"/>
  <c r="BL8" i="29" s="1"/>
  <c r="BK6" i="29"/>
  <c r="BK8" i="29" s="1"/>
  <c r="BJ6" i="29"/>
  <c r="BJ8" i="29" s="1"/>
  <c r="BI6" i="29"/>
  <c r="BI8" i="29" s="1"/>
  <c r="BH6" i="29"/>
  <c r="BF6" i="29"/>
  <c r="BF8" i="29" s="1"/>
  <c r="BE6" i="29"/>
  <c r="BE8" i="29" s="1"/>
  <c r="BD6" i="29"/>
  <c r="BD8" i="29" s="1"/>
  <c r="BC6" i="29"/>
  <c r="BC8" i="29" s="1"/>
  <c r="BB6" i="29"/>
  <c r="BB8" i="29" s="1"/>
  <c r="BA6" i="29"/>
  <c r="BA8" i="29" s="1"/>
  <c r="AY6" i="29"/>
  <c r="AY8" i="29" s="1"/>
  <c r="AX6" i="29"/>
  <c r="AX8" i="29" s="1"/>
  <c r="AW6" i="29"/>
  <c r="AW8" i="29" s="1"/>
  <c r="AV6" i="29"/>
  <c r="AV8" i="29" s="1"/>
  <c r="AU6" i="29"/>
  <c r="AU8" i="29" s="1"/>
  <c r="AT6" i="29"/>
  <c r="AT8" i="29" s="1"/>
  <c r="AR6" i="29"/>
  <c r="AR8" i="29" s="1"/>
  <c r="AQ6" i="29"/>
  <c r="AQ8" i="29" s="1"/>
  <c r="AP6" i="29"/>
  <c r="AP8" i="29" s="1"/>
  <c r="AO6" i="29"/>
  <c r="AO8" i="29" s="1"/>
  <c r="AN6" i="29"/>
  <c r="AN8" i="29" s="1"/>
  <c r="AM6" i="29"/>
  <c r="AM8" i="29" s="1"/>
  <c r="AK6" i="29"/>
  <c r="AK8" i="29" s="1"/>
  <c r="AJ6" i="29"/>
  <c r="AJ8" i="29" s="1"/>
  <c r="AI6" i="29"/>
  <c r="AI8" i="29" s="1"/>
  <c r="AH6" i="29"/>
  <c r="AH8" i="29" s="1"/>
  <c r="AG6" i="29"/>
  <c r="AG8" i="29" s="1"/>
  <c r="AF6" i="29"/>
  <c r="AD6" i="29"/>
  <c r="AD8" i="29" s="1"/>
  <c r="AC6" i="29"/>
  <c r="AC8" i="29" s="1"/>
  <c r="AB6" i="29"/>
  <c r="AB8" i="29" s="1"/>
  <c r="AA6" i="29"/>
  <c r="AA8" i="29" s="1"/>
  <c r="Z6" i="29"/>
  <c r="Z8" i="29" s="1"/>
  <c r="Y6" i="29"/>
  <c r="Y8" i="29" s="1"/>
  <c r="W6" i="29"/>
  <c r="W8" i="29" s="1"/>
  <c r="V6" i="29"/>
  <c r="V8" i="29" s="1"/>
  <c r="U6" i="29"/>
  <c r="U8" i="29" s="1"/>
  <c r="T6" i="29"/>
  <c r="S6" i="29"/>
  <c r="S8" i="29" s="1"/>
  <c r="R6" i="29"/>
  <c r="R8" i="29" s="1"/>
  <c r="P6" i="29"/>
  <c r="P8" i="29" s="1"/>
  <c r="O6" i="29"/>
  <c r="O8" i="29" s="1"/>
  <c r="N6" i="29"/>
  <c r="N8" i="29" s="1"/>
  <c r="M6" i="29"/>
  <c r="M8" i="29" s="1"/>
  <c r="L6" i="29"/>
  <c r="L8" i="29" s="1"/>
  <c r="K6" i="29"/>
  <c r="I6" i="29"/>
  <c r="I8" i="29" s="1"/>
  <c r="H6" i="29"/>
  <c r="H8" i="29" s="1"/>
  <c r="G6" i="29"/>
  <c r="G8" i="29" s="1"/>
  <c r="F6" i="29"/>
  <c r="F8" i="29" s="1"/>
  <c r="E6" i="29"/>
  <c r="E8" i="29" s="1"/>
  <c r="D6" i="29"/>
  <c r="D8" i="29" s="1"/>
  <c r="CL163" i="28"/>
  <c r="CK163" i="28"/>
  <c r="CO162" i="28"/>
  <c r="CO163" i="28" s="1"/>
  <c r="CN162" i="28"/>
  <c r="CN163" i="28" s="1"/>
  <c r="CM162" i="28"/>
  <c r="CL162" i="28"/>
  <c r="CK162" i="28"/>
  <c r="CJ162" i="28"/>
  <c r="CI155" i="28"/>
  <c r="CB155" i="28"/>
  <c r="BU155" i="28"/>
  <c r="BN155" i="28"/>
  <c r="BG155" i="28"/>
  <c r="AZ155" i="28"/>
  <c r="AS155" i="28"/>
  <c r="AL155" i="28"/>
  <c r="AE155" i="28"/>
  <c r="X155" i="28"/>
  <c r="Q155" i="28"/>
  <c r="J155" i="28"/>
  <c r="CO154" i="28"/>
  <c r="CN154" i="28"/>
  <c r="CM154" i="28"/>
  <c r="CL154" i="28"/>
  <c r="CJ154" i="28"/>
  <c r="CN153" i="28"/>
  <c r="CK153" i="28"/>
  <c r="CN152" i="28"/>
  <c r="CK152" i="28"/>
  <c r="CK154" i="28" s="1"/>
  <c r="CN151" i="28"/>
  <c r="CK151" i="28"/>
  <c r="CN150" i="28"/>
  <c r="CK150" i="28"/>
  <c r="CN149" i="28"/>
  <c r="CK149" i="28"/>
  <c r="CJ148" i="28"/>
  <c r="CJ155" i="28" s="1"/>
  <c r="CJ156" i="28" s="1"/>
  <c r="CO147" i="28"/>
  <c r="CN147" i="28"/>
  <c r="CK147" i="28"/>
  <c r="CM146" i="28"/>
  <c r="CL146" i="28"/>
  <c r="CO145" i="28"/>
  <c r="CO146" i="28" s="1"/>
  <c r="CN145" i="28"/>
  <c r="CN146" i="28" s="1"/>
  <c r="CO142" i="28"/>
  <c r="CN142" i="28"/>
  <c r="CM142" i="28"/>
  <c r="CM144" i="28" s="1"/>
  <c r="CL142" i="28"/>
  <c r="CL144" i="28" s="1"/>
  <c r="CK142" i="28"/>
  <c r="CJ142" i="28"/>
  <c r="CO141" i="28"/>
  <c r="CO143" i="28" s="1"/>
  <c r="CN141" i="28"/>
  <c r="CN143" i="28" s="1"/>
  <c r="CM141" i="28"/>
  <c r="CM145" i="28" s="1"/>
  <c r="CL141" i="28"/>
  <c r="CL145" i="28" s="1"/>
  <c r="CK141" i="28"/>
  <c r="CK145" i="28" s="1"/>
  <c r="CK146" i="28" s="1"/>
  <c r="CJ141" i="28"/>
  <c r="CJ145" i="28" s="1"/>
  <c r="CJ146" i="28" s="1"/>
  <c r="AZ140" i="28"/>
  <c r="CM138" i="28"/>
  <c r="CO137" i="28"/>
  <c r="CO148" i="28" s="1"/>
  <c r="CO155" i="28" s="1"/>
  <c r="CO156" i="28" s="1"/>
  <c r="CN137" i="28"/>
  <c r="CM137" i="28"/>
  <c r="CM148" i="28" s="1"/>
  <c r="CM155" i="28" s="1"/>
  <c r="CM156" i="28" s="1"/>
  <c r="CL137" i="28"/>
  <c r="CK137" i="28"/>
  <c r="CJ137" i="28"/>
  <c r="CJ138" i="28" s="1"/>
  <c r="CO128" i="28"/>
  <c r="CN128" i="28"/>
  <c r="CM128" i="28"/>
  <c r="CL128" i="28"/>
  <c r="CK128" i="28"/>
  <c r="CJ128" i="28"/>
  <c r="CO127" i="28"/>
  <c r="CN127" i="28"/>
  <c r="CM127" i="28"/>
  <c r="CL127" i="28"/>
  <c r="CK127" i="28"/>
  <c r="CJ127" i="28"/>
  <c r="CO124" i="28"/>
  <c r="CN124" i="28"/>
  <c r="CM124" i="28"/>
  <c r="CL124" i="28"/>
  <c r="CK124" i="28"/>
  <c r="CJ124" i="28"/>
  <c r="CO123" i="28"/>
  <c r="CN123" i="28"/>
  <c r="CM123" i="28"/>
  <c r="CL123" i="28"/>
  <c r="CK123" i="28"/>
  <c r="CJ123" i="28"/>
  <c r="CO114" i="28"/>
  <c r="CN114" i="28"/>
  <c r="CM114" i="28"/>
  <c r="CL114" i="28"/>
  <c r="CK114" i="28"/>
  <c r="CJ114" i="28"/>
  <c r="CO113" i="28"/>
  <c r="CN113" i="28"/>
  <c r="CM113" i="28"/>
  <c r="CL113" i="28"/>
  <c r="CK113" i="28"/>
  <c r="CJ113" i="28"/>
  <c r="CI110" i="28"/>
  <c r="CB110" i="28"/>
  <c r="BU110" i="28"/>
  <c r="BN110" i="28"/>
  <c r="BG110" i="28"/>
  <c r="AZ110" i="28"/>
  <c r="AS110" i="28"/>
  <c r="AL110" i="28"/>
  <c r="AE110" i="28"/>
  <c r="X110" i="28"/>
  <c r="Q110" i="28"/>
  <c r="J110" i="28"/>
  <c r="CO109" i="28"/>
  <c r="CN109" i="28"/>
  <c r="CM109" i="28"/>
  <c r="CL109" i="28"/>
  <c r="CK109" i="28"/>
  <c r="CK139" i="28" s="1"/>
  <c r="CJ109" i="28"/>
  <c r="CO108" i="28"/>
  <c r="CN108" i="28"/>
  <c r="CM108" i="28"/>
  <c r="CL108" i="28"/>
  <c r="CK108" i="28"/>
  <c r="CJ108" i="28"/>
  <c r="CO107" i="28"/>
  <c r="CN107" i="28"/>
  <c r="CM107" i="28"/>
  <c r="CL107" i="28"/>
  <c r="CK107" i="28"/>
  <c r="CJ107" i="28"/>
  <c r="CO106" i="28"/>
  <c r="CN106" i="28"/>
  <c r="CM106" i="28"/>
  <c r="CL106" i="28"/>
  <c r="CK106" i="28"/>
  <c r="CJ106" i="28"/>
  <c r="CI93" i="28"/>
  <c r="CB93" i="28"/>
  <c r="BU93" i="28"/>
  <c r="BN93" i="28"/>
  <c r="BG93" i="28"/>
  <c r="AZ93" i="28"/>
  <c r="AS93" i="28"/>
  <c r="AL93" i="28"/>
  <c r="AE93" i="28"/>
  <c r="X93" i="28"/>
  <c r="Q93" i="28"/>
  <c r="J93" i="28"/>
  <c r="CI92" i="28"/>
  <c r="CB92" i="28"/>
  <c r="BU92" i="28"/>
  <c r="BN92" i="28"/>
  <c r="BG92" i="28"/>
  <c r="AZ92" i="28"/>
  <c r="AS92" i="28"/>
  <c r="AL92" i="28"/>
  <c r="AE92" i="28"/>
  <c r="X92" i="28"/>
  <c r="Q92" i="28"/>
  <c r="J92" i="28"/>
  <c r="CI91" i="28"/>
  <c r="CB91" i="28"/>
  <c r="BU91" i="28"/>
  <c r="BN91" i="28"/>
  <c r="BG91" i="28"/>
  <c r="AZ91" i="28"/>
  <c r="AS91" i="28"/>
  <c r="AL91" i="28"/>
  <c r="AE91" i="28"/>
  <c r="X91" i="28"/>
  <c r="Q91" i="28"/>
  <c r="J91" i="28"/>
  <c r="CI90" i="28"/>
  <c r="CB90" i="28"/>
  <c r="BU90" i="28"/>
  <c r="BN90" i="28"/>
  <c r="BG90" i="28"/>
  <c r="AZ90" i="28"/>
  <c r="AS90" i="28"/>
  <c r="AL90" i="28"/>
  <c r="AE90" i="28"/>
  <c r="X90" i="28"/>
  <c r="Q90" i="28"/>
  <c r="J90" i="28"/>
  <c r="CI89" i="28"/>
  <c r="CB89" i="28"/>
  <c r="BU89" i="28"/>
  <c r="BN89" i="28"/>
  <c r="BG89" i="28"/>
  <c r="AZ89" i="28"/>
  <c r="AS89" i="28"/>
  <c r="AL89" i="28"/>
  <c r="AE89" i="28"/>
  <c r="X89" i="28"/>
  <c r="Q89" i="28"/>
  <c r="J89" i="28"/>
  <c r="CI88" i="28"/>
  <c r="CB88" i="28"/>
  <c r="BU88" i="28"/>
  <c r="BN88" i="28"/>
  <c r="BG88" i="28"/>
  <c r="AZ88" i="28"/>
  <c r="AS88" i="28"/>
  <c r="AL88" i="28"/>
  <c r="AE88" i="28"/>
  <c r="X88" i="28"/>
  <c r="Q88" i="28"/>
  <c r="J88" i="28"/>
  <c r="CI87" i="28"/>
  <c r="CB87" i="28"/>
  <c r="BU87" i="28"/>
  <c r="BN87" i="28"/>
  <c r="BG87" i="28"/>
  <c r="AZ87" i="28"/>
  <c r="AS87" i="28"/>
  <c r="AL87" i="28"/>
  <c r="AE87" i="28"/>
  <c r="X87" i="28"/>
  <c r="Q87" i="28"/>
  <c r="J87" i="28"/>
  <c r="CI86" i="28"/>
  <c r="CB86" i="28"/>
  <c r="BU86" i="28"/>
  <c r="BN86" i="28"/>
  <c r="BG86" i="28"/>
  <c r="AZ86" i="28"/>
  <c r="AS86" i="28"/>
  <c r="AL86" i="28"/>
  <c r="AE86" i="28"/>
  <c r="X86" i="28"/>
  <c r="Q86" i="28"/>
  <c r="J86" i="28"/>
  <c r="CI70" i="28"/>
  <c r="CB70" i="28"/>
  <c r="BU70" i="28"/>
  <c r="BN70" i="28"/>
  <c r="BG70" i="28"/>
  <c r="AZ70" i="28"/>
  <c r="AS70" i="28"/>
  <c r="AL70" i="28"/>
  <c r="AE70" i="28"/>
  <c r="X70" i="28"/>
  <c r="Q70" i="28"/>
  <c r="J70" i="28"/>
  <c r="J63" i="28"/>
  <c r="CO62" i="28"/>
  <c r="CO139" i="28" s="1"/>
  <c r="CN62" i="28"/>
  <c r="CN139" i="28" s="1"/>
  <c r="CM62" i="28"/>
  <c r="CL62" i="28"/>
  <c r="CK62" i="28"/>
  <c r="CJ62" i="28"/>
  <c r="CH62" i="28"/>
  <c r="CG62" i="28"/>
  <c r="CF62" i="28"/>
  <c r="CE62" i="28"/>
  <c r="CI62" i="28" s="1"/>
  <c r="CD62" i="28"/>
  <c r="CC62" i="28"/>
  <c r="CA62" i="28"/>
  <c r="BZ62" i="28"/>
  <c r="BY62" i="28"/>
  <c r="BX62" i="28"/>
  <c r="BW62" i="28"/>
  <c r="CB62" i="28" s="1"/>
  <c r="BV62" i="28"/>
  <c r="BT62" i="28"/>
  <c r="BS62" i="28"/>
  <c r="BR62" i="28"/>
  <c r="BQ62" i="28"/>
  <c r="BP62" i="28"/>
  <c r="BO62" i="28"/>
  <c r="BM62" i="28"/>
  <c r="BL62" i="28"/>
  <c r="BK62" i="28"/>
  <c r="BJ62" i="28"/>
  <c r="BN62" i="28" s="1"/>
  <c r="BI62" i="28"/>
  <c r="BH62" i="28"/>
  <c r="BF62" i="28"/>
  <c r="BE62" i="28"/>
  <c r="BD62" i="28"/>
  <c r="BC62" i="28"/>
  <c r="BB62" i="28"/>
  <c r="BG62" i="28" s="1"/>
  <c r="BA62" i="28"/>
  <c r="AY62" i="28"/>
  <c r="AX62" i="28"/>
  <c r="AW62" i="28"/>
  <c r="AV62" i="28"/>
  <c r="AU62" i="28"/>
  <c r="AT62" i="28"/>
  <c r="AZ62" i="28" s="1"/>
  <c r="AR62" i="28"/>
  <c r="AQ62" i="28"/>
  <c r="AP62" i="28"/>
  <c r="AO62" i="28"/>
  <c r="AN62" i="28"/>
  <c r="AM62" i="28"/>
  <c r="AK62" i="28"/>
  <c r="AJ62" i="28"/>
  <c r="AI62" i="28"/>
  <c r="AH62" i="28"/>
  <c r="AL62" i="28" s="1"/>
  <c r="AG62" i="28"/>
  <c r="AF62" i="28"/>
  <c r="AD62" i="28"/>
  <c r="AC62" i="28"/>
  <c r="AB62" i="28"/>
  <c r="AA62" i="28"/>
  <c r="Z62" i="28"/>
  <c r="AE62" i="28" s="1"/>
  <c r="Y62" i="28"/>
  <c r="W62" i="28"/>
  <c r="V62" i="28"/>
  <c r="U62" i="28"/>
  <c r="T62" i="28"/>
  <c r="S62" i="28"/>
  <c r="R62" i="28"/>
  <c r="X62" i="28" s="1"/>
  <c r="P62" i="28"/>
  <c r="O62" i="28"/>
  <c r="N62" i="28"/>
  <c r="M62" i="28"/>
  <c r="L62" i="28"/>
  <c r="K62" i="28"/>
  <c r="I62" i="28"/>
  <c r="H62" i="28"/>
  <c r="G62" i="28"/>
  <c r="F62" i="28"/>
  <c r="E62" i="28"/>
  <c r="D62" i="28"/>
  <c r="J62" i="28" s="1"/>
  <c r="CI57" i="28"/>
  <c r="CB57" i="28"/>
  <c r="BU57" i="28"/>
  <c r="BN57" i="28"/>
  <c r="BG57" i="28"/>
  <c r="AZ57" i="28"/>
  <c r="AS57" i="28"/>
  <c r="AL57" i="28"/>
  <c r="AE57" i="28"/>
  <c r="X57" i="28"/>
  <c r="Q57" i="28"/>
  <c r="J57" i="28"/>
  <c r="CI56" i="28"/>
  <c r="CB56" i="28"/>
  <c r="BU56" i="28"/>
  <c r="BN56" i="28"/>
  <c r="BG56" i="28"/>
  <c r="AZ56" i="28"/>
  <c r="AS56" i="28"/>
  <c r="AL56" i="28"/>
  <c r="AE56" i="28"/>
  <c r="X56" i="28"/>
  <c r="Q56" i="28"/>
  <c r="J56" i="28"/>
  <c r="CI55" i="28"/>
  <c r="CB55" i="28"/>
  <c r="BU55" i="28"/>
  <c r="BN55" i="28"/>
  <c r="BG55" i="28"/>
  <c r="AZ55" i="28"/>
  <c r="AS55" i="28"/>
  <c r="AL55" i="28"/>
  <c r="AE55" i="28"/>
  <c r="X55" i="28"/>
  <c r="Q55" i="28"/>
  <c r="J55" i="28"/>
  <c r="CI54" i="28"/>
  <c r="CB54" i="28"/>
  <c r="BU54" i="28"/>
  <c r="BN54" i="28"/>
  <c r="BG54" i="28"/>
  <c r="AZ54" i="28"/>
  <c r="AS54" i="28"/>
  <c r="AL54" i="28"/>
  <c r="AE54" i="28"/>
  <c r="X54" i="28"/>
  <c r="Q54" i="28"/>
  <c r="J54" i="28"/>
  <c r="CI53" i="28"/>
  <c r="CP53" i="28" s="1"/>
  <c r="CB53" i="28"/>
  <c r="BU53" i="28"/>
  <c r="BN53" i="28"/>
  <c r="BG53" i="28"/>
  <c r="AZ53" i="28"/>
  <c r="AS53" i="28"/>
  <c r="AL53" i="28"/>
  <c r="AE53" i="28"/>
  <c r="X53" i="28"/>
  <c r="Q53" i="28"/>
  <c r="J53" i="28"/>
  <c r="J51" i="28" s="1"/>
  <c r="CP46" i="28"/>
  <c r="CI46" i="28"/>
  <c r="CB46" i="28"/>
  <c r="BU46" i="28"/>
  <c r="BN46" i="28"/>
  <c r="BG46" i="28"/>
  <c r="AZ46" i="28"/>
  <c r="AS46" i="28"/>
  <c r="AL46" i="28"/>
  <c r="AE46" i="28"/>
  <c r="X46" i="28"/>
  <c r="Q46" i="28"/>
  <c r="J46" i="28"/>
  <c r="CP44" i="28"/>
  <c r="CI44" i="28"/>
  <c r="CB44" i="28"/>
  <c r="BU44" i="28"/>
  <c r="BN44" i="28"/>
  <c r="BG44" i="28"/>
  <c r="AZ44" i="28"/>
  <c r="AS44" i="28"/>
  <c r="AL44" i="28"/>
  <c r="AE44" i="28"/>
  <c r="X44" i="28"/>
  <c r="Q44" i="28"/>
  <c r="J44" i="28"/>
  <c r="CP43" i="28"/>
  <c r="CI43" i="28"/>
  <c r="CB43" i="28"/>
  <c r="BU43" i="28"/>
  <c r="BN43" i="28"/>
  <c r="BG43" i="28"/>
  <c r="AZ43" i="28"/>
  <c r="AS43" i="28"/>
  <c r="AL43" i="28"/>
  <c r="AE43" i="28"/>
  <c r="X43" i="28"/>
  <c r="Q43" i="28"/>
  <c r="J43" i="28"/>
  <c r="CP42" i="28"/>
  <c r="CI42" i="28"/>
  <c r="CB42" i="28"/>
  <c r="BU42" i="28"/>
  <c r="BN42" i="28"/>
  <c r="BG42" i="28"/>
  <c r="AZ42" i="28"/>
  <c r="AS42" i="28"/>
  <c r="AL42" i="28"/>
  <c r="AE42" i="28"/>
  <c r="X42" i="28"/>
  <c r="Q42" i="28"/>
  <c r="J42" i="28"/>
  <c r="CP41" i="28"/>
  <c r="CI41" i="28"/>
  <c r="CB41" i="28"/>
  <c r="BU41" i="28"/>
  <c r="BN41" i="28"/>
  <c r="BG41" i="28"/>
  <c r="AZ41" i="28"/>
  <c r="AS41" i="28"/>
  <c r="AL41" i="28"/>
  <c r="AE41" i="28"/>
  <c r="X41" i="28"/>
  <c r="Q41" i="28"/>
  <c r="J41" i="28"/>
  <c r="CP40" i="28"/>
  <c r="CI40" i="28"/>
  <c r="CB40" i="28"/>
  <c r="BU40" i="28"/>
  <c r="BN40" i="28"/>
  <c r="BG40" i="28"/>
  <c r="AZ40" i="28"/>
  <c r="AS40" i="28"/>
  <c r="AL40" i="28"/>
  <c r="AE40" i="28"/>
  <c r="X40" i="28"/>
  <c r="Q40" i="28"/>
  <c r="J40" i="28"/>
  <c r="CP39" i="28"/>
  <c r="CI39" i="28"/>
  <c r="CB39" i="28"/>
  <c r="BU39" i="28"/>
  <c r="BN39" i="28"/>
  <c r="BG39" i="28"/>
  <c r="AZ39" i="28"/>
  <c r="AS39" i="28"/>
  <c r="AL39" i="28"/>
  <c r="AE39" i="28"/>
  <c r="X39" i="28"/>
  <c r="Q39" i="28"/>
  <c r="J39" i="28"/>
  <c r="CP38" i="28"/>
  <c r="CI38" i="28"/>
  <c r="CB38" i="28"/>
  <c r="BU38" i="28"/>
  <c r="BN38" i="28"/>
  <c r="BG38" i="28"/>
  <c r="AZ38" i="28"/>
  <c r="AS38" i="28"/>
  <c r="AL38" i="28"/>
  <c r="AE38" i="28"/>
  <c r="X38" i="28"/>
  <c r="Q38" i="28"/>
  <c r="J38" i="28"/>
  <c r="CP37" i="28"/>
  <c r="CI37" i="28"/>
  <c r="CB37" i="28"/>
  <c r="BU37" i="28"/>
  <c r="BN37" i="28"/>
  <c r="BG37" i="28"/>
  <c r="AZ37" i="28"/>
  <c r="AS37" i="28"/>
  <c r="AL37" i="28"/>
  <c r="AE37" i="28"/>
  <c r="X37" i="28"/>
  <c r="Q37" i="28"/>
  <c r="J37" i="28"/>
  <c r="CP36" i="28"/>
  <c r="CI36" i="28"/>
  <c r="CB36" i="28"/>
  <c r="BU36" i="28"/>
  <c r="BN36" i="28"/>
  <c r="BG36" i="28"/>
  <c r="AZ36" i="28"/>
  <c r="AS36" i="28"/>
  <c r="AL36" i="28"/>
  <c r="AE36" i="28"/>
  <c r="X36" i="28"/>
  <c r="Q36" i="28"/>
  <c r="J36" i="28"/>
  <c r="CP35" i="28"/>
  <c r="CI35" i="28"/>
  <c r="CB35" i="28"/>
  <c r="BU35" i="28"/>
  <c r="BN35" i="28"/>
  <c r="BG35" i="28"/>
  <c r="AZ35" i="28"/>
  <c r="AS35" i="28"/>
  <c r="AL35" i="28"/>
  <c r="AE35" i="28"/>
  <c r="X35" i="28"/>
  <c r="Q35" i="28"/>
  <c r="J35" i="28"/>
  <c r="CP34" i="28"/>
  <c r="CI34" i="28"/>
  <c r="CB34" i="28"/>
  <c r="BU34" i="28"/>
  <c r="BN34" i="28"/>
  <c r="BG34" i="28"/>
  <c r="AZ34" i="28"/>
  <c r="AS34" i="28"/>
  <c r="AL34" i="28"/>
  <c r="AE34" i="28"/>
  <c r="X34" i="28"/>
  <c r="Q34" i="28"/>
  <c r="J34" i="28"/>
  <c r="CP33" i="28"/>
  <c r="CI33" i="28"/>
  <c r="CB33" i="28"/>
  <c r="BU33" i="28"/>
  <c r="BN33" i="28"/>
  <c r="BG33" i="28"/>
  <c r="AZ33" i="28"/>
  <c r="AS33" i="28"/>
  <c r="AL33" i="28"/>
  <c r="AE33" i="28"/>
  <c r="X33" i="28"/>
  <c r="Q33" i="28"/>
  <c r="J33" i="28"/>
  <c r="CP32" i="28"/>
  <c r="CI32" i="28"/>
  <c r="CB32" i="28"/>
  <c r="BU32" i="28"/>
  <c r="BN32" i="28"/>
  <c r="BG32" i="28"/>
  <c r="AZ32" i="28"/>
  <c r="AS32" i="28"/>
  <c r="AL32" i="28"/>
  <c r="AE32" i="28"/>
  <c r="X32" i="28"/>
  <c r="Q32" i="28"/>
  <c r="J32" i="28"/>
  <c r="CP31" i="28"/>
  <c r="CI31" i="28"/>
  <c r="CB31" i="28"/>
  <c r="BU31" i="28"/>
  <c r="BN31" i="28"/>
  <c r="BG31" i="28"/>
  <c r="AZ31" i="28"/>
  <c r="AS31" i="28"/>
  <c r="AL31" i="28"/>
  <c r="AE31" i="28"/>
  <c r="X31" i="28"/>
  <c r="Q31" i="28"/>
  <c r="J31" i="28"/>
  <c r="CP30" i="28"/>
  <c r="CI30" i="28"/>
  <c r="CB30" i="28"/>
  <c r="BU30" i="28"/>
  <c r="BN30" i="28"/>
  <c r="BG30" i="28"/>
  <c r="AZ30" i="28"/>
  <c r="AS30" i="28"/>
  <c r="AL30" i="28"/>
  <c r="AE30" i="28"/>
  <c r="X30" i="28"/>
  <c r="Q30" i="28"/>
  <c r="J30" i="28"/>
  <c r="CP29" i="28"/>
  <c r="CI29" i="28"/>
  <c r="CB29" i="28"/>
  <c r="BU29" i="28"/>
  <c r="BN29" i="28"/>
  <c r="BG29" i="28"/>
  <c r="AZ29" i="28"/>
  <c r="AS29" i="28"/>
  <c r="AL29" i="28"/>
  <c r="AE29" i="28"/>
  <c r="X29" i="28"/>
  <c r="Q29" i="28"/>
  <c r="J29" i="28"/>
  <c r="CP28" i="28"/>
  <c r="CI28" i="28"/>
  <c r="CB28" i="28"/>
  <c r="BU28" i="28"/>
  <c r="BN28" i="28"/>
  <c r="BG28" i="28"/>
  <c r="AZ28" i="28"/>
  <c r="AS28" i="28"/>
  <c r="AL28" i="28"/>
  <c r="AE28" i="28"/>
  <c r="X28" i="28"/>
  <c r="Q28" i="28"/>
  <c r="J28" i="28"/>
  <c r="CP27" i="28"/>
  <c r="CI27" i="28"/>
  <c r="CB27" i="28"/>
  <c r="BU27" i="28"/>
  <c r="BN27" i="28"/>
  <c r="BG27" i="28"/>
  <c r="AZ27" i="28"/>
  <c r="AS27" i="28"/>
  <c r="AL27" i="28"/>
  <c r="AE27" i="28"/>
  <c r="X27" i="28"/>
  <c r="Q27" i="28"/>
  <c r="J27" i="28"/>
  <c r="CP26" i="28"/>
  <c r="CI26" i="28"/>
  <c r="CB26" i="28"/>
  <c r="BU26" i="28"/>
  <c r="BN26" i="28"/>
  <c r="BG26" i="28"/>
  <c r="AZ26" i="28"/>
  <c r="AS26" i="28"/>
  <c r="AL26" i="28"/>
  <c r="AE26" i="28"/>
  <c r="X26" i="28"/>
  <c r="Q26" i="28"/>
  <c r="J26" i="28"/>
  <c r="CP25" i="28"/>
  <c r="CI25" i="28"/>
  <c r="CB25" i="28"/>
  <c r="BU25" i="28"/>
  <c r="BN25" i="28"/>
  <c r="BG25" i="28"/>
  <c r="AZ25" i="28"/>
  <c r="AS25" i="28"/>
  <c r="AL25" i="28"/>
  <c r="AE25" i="28"/>
  <c r="X25" i="28"/>
  <c r="Q25" i="28"/>
  <c r="J25" i="28"/>
  <c r="CP24" i="28"/>
  <c r="CI24" i="28"/>
  <c r="CB24" i="28"/>
  <c r="BU24" i="28"/>
  <c r="BN24" i="28"/>
  <c r="BG24" i="28"/>
  <c r="AZ24" i="28"/>
  <c r="AS24" i="28"/>
  <c r="AL24" i="28"/>
  <c r="AE24" i="28"/>
  <c r="X24" i="28"/>
  <c r="Q24" i="28"/>
  <c r="J24" i="28"/>
  <c r="CP23" i="28"/>
  <c r="CI23" i="28"/>
  <c r="CB23" i="28"/>
  <c r="BU23" i="28"/>
  <c r="BN23" i="28"/>
  <c r="BG23" i="28"/>
  <c r="AZ23" i="28"/>
  <c r="AS23" i="28"/>
  <c r="AL23" i="28"/>
  <c r="AE23" i="28"/>
  <c r="X23" i="28"/>
  <c r="Q23" i="28"/>
  <c r="J23" i="28"/>
  <c r="CP22" i="28"/>
  <c r="CI22" i="28"/>
  <c r="CB22" i="28"/>
  <c r="BU22" i="28"/>
  <c r="BN22" i="28"/>
  <c r="BG22" i="28"/>
  <c r="AZ22" i="28"/>
  <c r="AS22" i="28"/>
  <c r="AL22" i="28"/>
  <c r="AE22" i="28"/>
  <c r="X22" i="28"/>
  <c r="Q22" i="28"/>
  <c r="J22" i="28"/>
  <c r="CP21" i="28"/>
  <c r="CI21" i="28"/>
  <c r="CB21" i="28"/>
  <c r="BU21" i="28"/>
  <c r="BN21" i="28"/>
  <c r="BG21" i="28"/>
  <c r="AZ21" i="28"/>
  <c r="AS21" i="28"/>
  <c r="AL21" i="28"/>
  <c r="AE21" i="28"/>
  <c r="X21" i="28"/>
  <c r="Q21" i="28"/>
  <c r="J21" i="28"/>
  <c r="CP20" i="28"/>
  <c r="CI20" i="28"/>
  <c r="CB20" i="28"/>
  <c r="BU20" i="28"/>
  <c r="BN20" i="28"/>
  <c r="BG20" i="28"/>
  <c r="AZ20" i="28"/>
  <c r="AS20" i="28"/>
  <c r="AL20" i="28"/>
  <c r="AE20" i="28"/>
  <c r="X20" i="28"/>
  <c r="Q20" i="28"/>
  <c r="J20" i="28"/>
  <c r="CP19" i="28"/>
  <c r="CI19" i="28"/>
  <c r="CB19" i="28"/>
  <c r="BU19" i="28"/>
  <c r="BN19" i="28"/>
  <c r="BG19" i="28"/>
  <c r="AZ19" i="28"/>
  <c r="AS19" i="28"/>
  <c r="AL19" i="28"/>
  <c r="AE19" i="28"/>
  <c r="X19" i="28"/>
  <c r="Q19" i="28"/>
  <c r="J19" i="28"/>
  <c r="CP18" i="28"/>
  <c r="CI18" i="28"/>
  <c r="CB18" i="28"/>
  <c r="BU18" i="28"/>
  <c r="BN18" i="28"/>
  <c r="BG18" i="28"/>
  <c r="AZ18" i="28"/>
  <c r="AS18" i="28"/>
  <c r="AL18" i="28"/>
  <c r="AE18" i="28"/>
  <c r="X18" i="28"/>
  <c r="Q18" i="28"/>
  <c r="J18" i="28"/>
  <c r="CP17" i="28"/>
  <c r="CI17" i="28"/>
  <c r="CB17" i="28"/>
  <c r="BU17" i="28"/>
  <c r="BN17" i="28"/>
  <c r="BG17" i="28"/>
  <c r="AZ17" i="28"/>
  <c r="AS17" i="28"/>
  <c r="AL17" i="28"/>
  <c r="AE17" i="28"/>
  <c r="X17" i="28"/>
  <c r="Q17" i="28"/>
  <c r="J17" i="28"/>
  <c r="CO14" i="28"/>
  <c r="CO161" i="28" s="1"/>
  <c r="CN14" i="28"/>
  <c r="CN161" i="28" s="1"/>
  <c r="CM14" i="28"/>
  <c r="CL14" i="28"/>
  <c r="CL161" i="28" s="1"/>
  <c r="CK14" i="28"/>
  <c r="CK161" i="28" s="1"/>
  <c r="CJ14" i="28"/>
  <c r="CI14" i="28"/>
  <c r="CB14" i="28"/>
  <c r="CB162" i="28" s="1"/>
  <c r="BU14" i="28"/>
  <c r="BN14" i="28"/>
  <c r="BG14" i="28"/>
  <c r="AZ14" i="28"/>
  <c r="AZ162" i="28" s="1"/>
  <c r="AS14" i="28"/>
  <c r="AL14" i="28"/>
  <c r="AL162" i="28" s="1"/>
  <c r="AE14" i="28"/>
  <c r="X14" i="28"/>
  <c r="X162" i="28" s="1"/>
  <c r="Q14" i="28"/>
  <c r="J14" i="28"/>
  <c r="J162" i="28" s="1"/>
  <c r="CO13" i="28"/>
  <c r="CN13" i="28"/>
  <c r="CM13" i="28"/>
  <c r="CL13" i="28"/>
  <c r="CK13" i="28"/>
  <c r="CJ13" i="28"/>
  <c r="CH13" i="28"/>
  <c r="CG13" i="28"/>
  <c r="CF13" i="28"/>
  <c r="CE13" i="28"/>
  <c r="CD13" i="28"/>
  <c r="CC13" i="28"/>
  <c r="CA13" i="28"/>
  <c r="BZ13" i="28"/>
  <c r="BY13" i="28"/>
  <c r="BX13" i="28"/>
  <c r="BW13" i="28"/>
  <c r="BV13" i="28"/>
  <c r="BT13" i="28"/>
  <c r="BS13" i="28"/>
  <c r="BR13" i="28"/>
  <c r="BQ13" i="28"/>
  <c r="BP13" i="28"/>
  <c r="BO13" i="28"/>
  <c r="BM13" i="28"/>
  <c r="BL13" i="28"/>
  <c r="BK13" i="28"/>
  <c r="BJ13" i="28"/>
  <c r="BI13" i="28"/>
  <c r="BH13" i="28"/>
  <c r="BF13" i="28"/>
  <c r="BE13" i="28"/>
  <c r="BD13" i="28"/>
  <c r="BC13" i="28"/>
  <c r="BB13" i="28"/>
  <c r="BA13" i="28"/>
  <c r="AY13" i="28"/>
  <c r="AX13" i="28"/>
  <c r="AW13" i="28"/>
  <c r="AV13" i="28"/>
  <c r="AU13" i="28"/>
  <c r="AT13" i="28"/>
  <c r="AR13" i="28"/>
  <c r="AQ13" i="28"/>
  <c r="AP13" i="28"/>
  <c r="AO13" i="28"/>
  <c r="AN13" i="28"/>
  <c r="AM13" i="28"/>
  <c r="AK13" i="28"/>
  <c r="AJ13" i="28"/>
  <c r="AI13" i="28"/>
  <c r="AH13" i="28"/>
  <c r="AG13" i="28"/>
  <c r="AF13" i="28"/>
  <c r="AD13" i="28"/>
  <c r="AC13" i="28"/>
  <c r="AB13" i="28"/>
  <c r="AA13" i="28"/>
  <c r="Z13" i="28"/>
  <c r="Y13" i="28"/>
  <c r="W13" i="28"/>
  <c r="V13" i="28"/>
  <c r="U13" i="28"/>
  <c r="T13" i="28"/>
  <c r="S13" i="28"/>
  <c r="R13" i="28"/>
  <c r="P13" i="28"/>
  <c r="O13" i="28"/>
  <c r="N13" i="28"/>
  <c r="M13" i="28"/>
  <c r="L13" i="28"/>
  <c r="K13" i="28"/>
  <c r="I13" i="28"/>
  <c r="H13" i="28"/>
  <c r="G13" i="28"/>
  <c r="F13" i="28"/>
  <c r="E13" i="28"/>
  <c r="D13" i="28"/>
  <c r="CO12" i="28"/>
  <c r="CN12" i="28"/>
  <c r="CM12" i="28"/>
  <c r="CL12" i="28"/>
  <c r="CK12" i="28"/>
  <c r="CJ12" i="28"/>
  <c r="CH12" i="28"/>
  <c r="CG12" i="28"/>
  <c r="CF12" i="28"/>
  <c r="CE12" i="28"/>
  <c r="CD12" i="28"/>
  <c r="CC12" i="28"/>
  <c r="CA12" i="28"/>
  <c r="BZ12" i="28"/>
  <c r="BY12" i="28"/>
  <c r="BX12" i="28"/>
  <c r="BW12" i="28"/>
  <c r="BV12" i="28"/>
  <c r="BT12" i="28"/>
  <c r="BS12" i="28"/>
  <c r="BR12" i="28"/>
  <c r="BQ12" i="28"/>
  <c r="BP12" i="28"/>
  <c r="BO12" i="28"/>
  <c r="BM12" i="28"/>
  <c r="BL12" i="28"/>
  <c r="BK12" i="28"/>
  <c r="BJ12" i="28"/>
  <c r="BI12" i="28"/>
  <c r="BH12" i="28"/>
  <c r="BF12" i="28"/>
  <c r="BE12" i="28"/>
  <c r="BD12" i="28"/>
  <c r="BC12" i="28"/>
  <c r="BB12" i="28"/>
  <c r="BA12" i="28"/>
  <c r="AY12" i="28"/>
  <c r="AX12" i="28"/>
  <c r="AW12" i="28"/>
  <c r="AV12" i="28"/>
  <c r="AU12" i="28"/>
  <c r="AT12" i="28"/>
  <c r="AR12" i="28"/>
  <c r="AQ12" i="28"/>
  <c r="AP12" i="28"/>
  <c r="AO12" i="28"/>
  <c r="AN12" i="28"/>
  <c r="AM12" i="28"/>
  <c r="AK12" i="28"/>
  <c r="AJ12" i="28"/>
  <c r="AI12" i="28"/>
  <c r="AH12" i="28"/>
  <c r="AG12" i="28"/>
  <c r="AF12" i="28"/>
  <c r="AD12" i="28"/>
  <c r="AC12" i="28"/>
  <c r="AB12" i="28"/>
  <c r="AA12" i="28"/>
  <c r="Z12" i="28"/>
  <c r="Y12" i="28"/>
  <c r="W12" i="28"/>
  <c r="V12" i="28"/>
  <c r="U12" i="28"/>
  <c r="T12" i="28"/>
  <c r="S12" i="28"/>
  <c r="R12" i="28"/>
  <c r="P12" i="28"/>
  <c r="O12" i="28"/>
  <c r="N12" i="28"/>
  <c r="M12" i="28"/>
  <c r="L12" i="28"/>
  <c r="K12" i="28"/>
  <c r="I12" i="28"/>
  <c r="H12" i="28"/>
  <c r="G12" i="28"/>
  <c r="F12" i="28"/>
  <c r="E12" i="28"/>
  <c r="D12" i="28"/>
  <c r="CO11" i="28"/>
  <c r="CN11" i="28"/>
  <c r="CM11" i="28"/>
  <c r="CL11" i="28"/>
  <c r="CK11" i="28"/>
  <c r="CJ11" i="28"/>
  <c r="CH11" i="28"/>
  <c r="CG11" i="28"/>
  <c r="CF11" i="28"/>
  <c r="CE11" i="28"/>
  <c r="CD11" i="28"/>
  <c r="CC11" i="28"/>
  <c r="CA11" i="28"/>
  <c r="BZ11" i="28"/>
  <c r="BY11" i="28"/>
  <c r="BX11" i="28"/>
  <c r="BW11" i="28"/>
  <c r="BV11" i="28"/>
  <c r="BT11" i="28"/>
  <c r="BS11" i="28"/>
  <c r="BR11" i="28"/>
  <c r="BQ11" i="28"/>
  <c r="BP11" i="28"/>
  <c r="BO11" i="28"/>
  <c r="BM11" i="28"/>
  <c r="BL11" i="28"/>
  <c r="BK11" i="28"/>
  <c r="BJ11" i="28"/>
  <c r="BI11" i="28"/>
  <c r="BH11" i="28"/>
  <c r="BF11" i="28"/>
  <c r="BE11" i="28"/>
  <c r="BD11" i="28"/>
  <c r="BC11" i="28"/>
  <c r="BB11" i="28"/>
  <c r="BA11" i="28"/>
  <c r="AY11" i="28"/>
  <c r="AX11" i="28"/>
  <c r="AW11" i="28"/>
  <c r="AV11" i="28"/>
  <c r="AU11" i="28"/>
  <c r="AT11" i="28"/>
  <c r="AR11" i="28"/>
  <c r="AQ11" i="28"/>
  <c r="AP11" i="28"/>
  <c r="AO11" i="28"/>
  <c r="AN11" i="28"/>
  <c r="AM11" i="28"/>
  <c r="AK11" i="28"/>
  <c r="AJ11" i="28"/>
  <c r="AI11" i="28"/>
  <c r="AH11" i="28"/>
  <c r="AG11" i="28"/>
  <c r="AF11" i="28"/>
  <c r="AD11" i="28"/>
  <c r="AC11" i="28"/>
  <c r="AB11" i="28"/>
  <c r="AA11" i="28"/>
  <c r="Z11" i="28"/>
  <c r="Y11" i="28"/>
  <c r="W11" i="28"/>
  <c r="V11" i="28"/>
  <c r="U11" i="28"/>
  <c r="T11" i="28"/>
  <c r="S11" i="28"/>
  <c r="R11" i="28"/>
  <c r="P11" i="28"/>
  <c r="O11" i="28"/>
  <c r="N11" i="28"/>
  <c r="M11" i="28"/>
  <c r="L11" i="28"/>
  <c r="K11" i="28"/>
  <c r="I11" i="28"/>
  <c r="H11" i="28"/>
  <c r="G11" i="28"/>
  <c r="F11" i="28"/>
  <c r="E11" i="28"/>
  <c r="D11" i="28"/>
  <c r="CO10" i="28"/>
  <c r="CN10" i="28"/>
  <c r="CM10" i="28"/>
  <c r="CL10" i="28"/>
  <c r="CK10" i="28"/>
  <c r="CJ10" i="28"/>
  <c r="CH10" i="28"/>
  <c r="CG10" i="28"/>
  <c r="CF10" i="28"/>
  <c r="CE10" i="28"/>
  <c r="CD10" i="28"/>
  <c r="CC10" i="28"/>
  <c r="CA10" i="28"/>
  <c r="BZ10" i="28"/>
  <c r="BY10" i="28"/>
  <c r="BX10" i="28"/>
  <c r="BW10" i="28"/>
  <c r="BV10" i="28"/>
  <c r="BT10" i="28"/>
  <c r="BS10" i="28"/>
  <c r="BR10" i="28"/>
  <c r="BQ10" i="28"/>
  <c r="BP10" i="28"/>
  <c r="BO10" i="28"/>
  <c r="BM10" i="28"/>
  <c r="BL10" i="28"/>
  <c r="BK10" i="28"/>
  <c r="BJ10" i="28"/>
  <c r="BI10" i="28"/>
  <c r="BH10" i="28"/>
  <c r="BF10" i="28"/>
  <c r="BE10" i="28"/>
  <c r="BD10" i="28"/>
  <c r="BC10" i="28"/>
  <c r="BB10" i="28"/>
  <c r="BA10" i="28"/>
  <c r="AY10" i="28"/>
  <c r="AX10" i="28"/>
  <c r="AW10" i="28"/>
  <c r="AV10" i="28"/>
  <c r="AU10" i="28"/>
  <c r="AT10" i="28"/>
  <c r="AR10" i="28"/>
  <c r="AQ10" i="28"/>
  <c r="AP10" i="28"/>
  <c r="AO10" i="28"/>
  <c r="AN10" i="28"/>
  <c r="AM10" i="28"/>
  <c r="AK10" i="28"/>
  <c r="AJ10" i="28"/>
  <c r="AI10" i="28"/>
  <c r="AH10" i="28"/>
  <c r="AG10" i="28"/>
  <c r="AF10" i="28"/>
  <c r="AD10" i="28"/>
  <c r="AC10" i="28"/>
  <c r="AB10" i="28"/>
  <c r="AA10" i="28"/>
  <c r="Z10" i="28"/>
  <c r="Y10" i="28"/>
  <c r="W10" i="28"/>
  <c r="V10" i="28"/>
  <c r="U10" i="28"/>
  <c r="T10" i="28"/>
  <c r="S10" i="28"/>
  <c r="R10" i="28"/>
  <c r="P10" i="28"/>
  <c r="O10" i="28"/>
  <c r="N10" i="28"/>
  <c r="M10" i="28"/>
  <c r="L10" i="28"/>
  <c r="K10" i="28"/>
  <c r="I10" i="28"/>
  <c r="H10" i="28"/>
  <c r="G10" i="28"/>
  <c r="F10" i="28"/>
  <c r="E10" i="28"/>
  <c r="D10" i="28"/>
  <c r="CO9" i="28"/>
  <c r="CN9" i="28"/>
  <c r="CM9" i="28"/>
  <c r="CL9" i="28"/>
  <c r="CK9" i="28"/>
  <c r="CJ9" i="28"/>
  <c r="CH9" i="28"/>
  <c r="CG9" i="28"/>
  <c r="CF9" i="28"/>
  <c r="CE9" i="28"/>
  <c r="CD9" i="28"/>
  <c r="CC9" i="28"/>
  <c r="CA9" i="28"/>
  <c r="BZ9" i="28"/>
  <c r="BY9" i="28"/>
  <c r="BX9" i="28"/>
  <c r="BW9" i="28"/>
  <c r="BV9" i="28"/>
  <c r="BT9" i="28"/>
  <c r="BS9" i="28"/>
  <c r="BR9" i="28"/>
  <c r="BQ9" i="28"/>
  <c r="BP9" i="28"/>
  <c r="BO9" i="28"/>
  <c r="BM9" i="28"/>
  <c r="BL9" i="28"/>
  <c r="BK9" i="28"/>
  <c r="BJ9" i="28"/>
  <c r="BI9" i="28"/>
  <c r="BH9" i="28"/>
  <c r="BF9" i="28"/>
  <c r="BE9" i="28"/>
  <c r="BD9" i="28"/>
  <c r="BC9" i="28"/>
  <c r="BB9" i="28"/>
  <c r="BA9" i="28"/>
  <c r="AY9" i="28"/>
  <c r="AX9" i="28"/>
  <c r="AW9" i="28"/>
  <c r="AV9" i="28"/>
  <c r="AU9" i="28"/>
  <c r="AT9" i="28"/>
  <c r="AR9" i="28"/>
  <c r="AQ9" i="28"/>
  <c r="AP9" i="28"/>
  <c r="AO9" i="28"/>
  <c r="AN9" i="28"/>
  <c r="AM9" i="28"/>
  <c r="AK9" i="28"/>
  <c r="AJ9" i="28"/>
  <c r="AI9" i="28"/>
  <c r="AH9" i="28"/>
  <c r="AG9" i="28"/>
  <c r="AF9" i="28"/>
  <c r="AD9" i="28"/>
  <c r="AC9" i="28"/>
  <c r="AB9" i="28"/>
  <c r="AA9" i="28"/>
  <c r="Z9" i="28"/>
  <c r="Y9" i="28"/>
  <c r="W9" i="28"/>
  <c r="V9" i="28"/>
  <c r="U9" i="28"/>
  <c r="T9" i="28"/>
  <c r="S9" i="28"/>
  <c r="R9" i="28"/>
  <c r="P9" i="28"/>
  <c r="O9" i="28"/>
  <c r="N9" i="28"/>
  <c r="M9" i="28"/>
  <c r="L9" i="28"/>
  <c r="K9" i="28"/>
  <c r="I9" i="28"/>
  <c r="H9" i="28"/>
  <c r="G9" i="28"/>
  <c r="F9" i="28"/>
  <c r="E9" i="28"/>
  <c r="D9" i="28"/>
  <c r="CP7" i="28"/>
  <c r="CI7" i="28"/>
  <c r="CB7" i="28"/>
  <c r="BU7" i="28"/>
  <c r="BN7" i="28"/>
  <c r="BG7" i="28"/>
  <c r="AZ7" i="28"/>
  <c r="AS7" i="28"/>
  <c r="AL7" i="28"/>
  <c r="AE7" i="28"/>
  <c r="X7" i="28"/>
  <c r="Q7" i="28"/>
  <c r="J7" i="28"/>
  <c r="CO6" i="28"/>
  <c r="CN6" i="28"/>
  <c r="CM6" i="28"/>
  <c r="CM8" i="28" s="1"/>
  <c r="CL6" i="28"/>
  <c r="CK6" i="28"/>
  <c r="CJ6" i="28"/>
  <c r="CH6" i="28"/>
  <c r="CH8" i="28" s="1"/>
  <c r="CG6" i="28"/>
  <c r="CG8" i="28" s="1"/>
  <c r="CF6" i="28"/>
  <c r="CF8" i="28" s="1"/>
  <c r="CE6" i="28"/>
  <c r="CE8" i="28" s="1"/>
  <c r="CD6" i="28"/>
  <c r="CD8" i="28" s="1"/>
  <c r="CC6" i="28"/>
  <c r="CC8" i="28" s="1"/>
  <c r="CA6" i="28"/>
  <c r="CA8" i="28" s="1"/>
  <c r="BZ6" i="28"/>
  <c r="BZ8" i="28" s="1"/>
  <c r="BY6" i="28"/>
  <c r="BY8" i="28" s="1"/>
  <c r="BX6" i="28"/>
  <c r="BX8" i="28" s="1"/>
  <c r="BW6" i="28"/>
  <c r="BW8" i="28" s="1"/>
  <c r="BV6" i="28"/>
  <c r="BT6" i="28"/>
  <c r="BT8" i="28" s="1"/>
  <c r="BS6" i="28"/>
  <c r="BS8" i="28" s="1"/>
  <c r="BR6" i="28"/>
  <c r="BR8" i="28" s="1"/>
  <c r="BQ6" i="28"/>
  <c r="BQ8" i="28" s="1"/>
  <c r="BP6" i="28"/>
  <c r="BP8" i="28" s="1"/>
  <c r="BO6" i="28"/>
  <c r="BO8" i="28" s="1"/>
  <c r="BM6" i="28"/>
  <c r="BM8" i="28" s="1"/>
  <c r="BL6" i="28"/>
  <c r="BL8" i="28" s="1"/>
  <c r="BK6" i="28"/>
  <c r="BK8" i="28" s="1"/>
  <c r="BJ6" i="28"/>
  <c r="BJ8" i="28" s="1"/>
  <c r="BI6" i="28"/>
  <c r="BI8" i="28" s="1"/>
  <c r="BH6" i="28"/>
  <c r="BH8" i="28" s="1"/>
  <c r="BF6" i="28"/>
  <c r="BF8" i="28" s="1"/>
  <c r="BE6" i="28"/>
  <c r="BE8" i="28" s="1"/>
  <c r="BD6" i="28"/>
  <c r="BD8" i="28" s="1"/>
  <c r="BC6" i="28"/>
  <c r="BC8" i="28" s="1"/>
  <c r="BB6" i="28"/>
  <c r="BB8" i="28" s="1"/>
  <c r="BA6" i="28"/>
  <c r="AY6" i="28"/>
  <c r="AY8" i="28" s="1"/>
  <c r="AX6" i="28"/>
  <c r="AX8" i="28" s="1"/>
  <c r="AW6" i="28"/>
  <c r="AW8" i="28" s="1"/>
  <c r="AV6" i="28"/>
  <c r="AV8" i="28" s="1"/>
  <c r="AU6" i="28"/>
  <c r="AU8" i="28" s="1"/>
  <c r="AT6" i="28"/>
  <c r="AT8" i="28" s="1"/>
  <c r="AR6" i="28"/>
  <c r="AR8" i="28" s="1"/>
  <c r="AQ6" i="28"/>
  <c r="AQ8" i="28" s="1"/>
  <c r="AP6" i="28"/>
  <c r="AP8" i="28" s="1"/>
  <c r="AO6" i="28"/>
  <c r="AO8" i="28" s="1"/>
  <c r="AN6" i="28"/>
  <c r="AN8" i="28" s="1"/>
  <c r="AM6" i="28"/>
  <c r="AM8" i="28" s="1"/>
  <c r="AK6" i="28"/>
  <c r="AK8" i="28" s="1"/>
  <c r="AJ6" i="28"/>
  <c r="AJ8" i="28" s="1"/>
  <c r="AI6" i="28"/>
  <c r="AI8" i="28" s="1"/>
  <c r="AH6" i="28"/>
  <c r="AH8" i="28" s="1"/>
  <c r="AG6" i="28"/>
  <c r="AG8" i="28" s="1"/>
  <c r="AF6" i="28"/>
  <c r="AF8" i="28" s="1"/>
  <c r="AD6" i="28"/>
  <c r="AD8" i="28" s="1"/>
  <c r="AC6" i="28"/>
  <c r="AC8" i="28" s="1"/>
  <c r="AB6" i="28"/>
  <c r="AB8" i="28" s="1"/>
  <c r="AA6" i="28"/>
  <c r="AA8" i="28" s="1"/>
  <c r="Z6" i="28"/>
  <c r="Z8" i="28" s="1"/>
  <c r="Y6" i="28"/>
  <c r="Y8" i="28" s="1"/>
  <c r="W6" i="28"/>
  <c r="W8" i="28" s="1"/>
  <c r="V6" i="28"/>
  <c r="V8" i="28" s="1"/>
  <c r="U6" i="28"/>
  <c r="U8" i="28" s="1"/>
  <c r="T6" i="28"/>
  <c r="T8" i="28" s="1"/>
  <c r="S6" i="28"/>
  <c r="S8" i="28" s="1"/>
  <c r="R6" i="28"/>
  <c r="P6" i="28"/>
  <c r="P8" i="28" s="1"/>
  <c r="O6" i="28"/>
  <c r="O8" i="28" s="1"/>
  <c r="N6" i="28"/>
  <c r="N8" i="28" s="1"/>
  <c r="M6" i="28"/>
  <c r="M8" i="28" s="1"/>
  <c r="L6" i="28"/>
  <c r="L8" i="28" s="1"/>
  <c r="K6" i="28"/>
  <c r="I6" i="28"/>
  <c r="I8" i="28" s="1"/>
  <c r="H6" i="28"/>
  <c r="H8" i="28" s="1"/>
  <c r="G6" i="28"/>
  <c r="G8" i="28" s="1"/>
  <c r="F6" i="28"/>
  <c r="F8" i="28" s="1"/>
  <c r="E6" i="28"/>
  <c r="E8" i="28" s="1"/>
  <c r="D6" i="28"/>
  <c r="D8" i="28" s="1"/>
  <c r="P62" i="24"/>
  <c r="O62" i="24"/>
  <c r="N62" i="24"/>
  <c r="M62" i="24"/>
  <c r="L62" i="24"/>
  <c r="K62" i="24"/>
  <c r="J155" i="24"/>
  <c r="J110" i="24"/>
  <c r="J93" i="24"/>
  <c r="J92" i="24"/>
  <c r="J91" i="24"/>
  <c r="J90" i="24"/>
  <c r="J89" i="24"/>
  <c r="J88" i="24"/>
  <c r="J87" i="24"/>
  <c r="J86" i="24"/>
  <c r="J70" i="24"/>
  <c r="J57" i="24"/>
  <c r="J56" i="24"/>
  <c r="J55" i="24"/>
  <c r="J54" i="24"/>
  <c r="J53" i="24"/>
  <c r="Q155" i="24"/>
  <c r="Q110" i="24"/>
  <c r="Q93" i="24"/>
  <c r="Q92" i="24"/>
  <c r="Q91" i="24"/>
  <c r="Q90" i="24"/>
  <c r="Q89" i="24"/>
  <c r="Q88" i="24"/>
  <c r="Q87" i="24"/>
  <c r="Q86" i="24"/>
  <c r="Q70" i="24"/>
  <c r="Q62" i="24"/>
  <c r="Q57" i="24"/>
  <c r="Q56" i="24"/>
  <c r="Q55" i="24"/>
  <c r="Q54" i="24"/>
  <c r="Q53" i="24"/>
  <c r="X155" i="24"/>
  <c r="X110" i="24"/>
  <c r="X93" i="24"/>
  <c r="X92" i="24"/>
  <c r="X91" i="24"/>
  <c r="X90" i="24"/>
  <c r="X89" i="24"/>
  <c r="X88" i="24"/>
  <c r="X87" i="24"/>
  <c r="X86" i="24"/>
  <c r="X70" i="24"/>
  <c r="X57" i="24"/>
  <c r="X56" i="24"/>
  <c r="X55" i="24"/>
  <c r="X54" i="24"/>
  <c r="X53" i="24"/>
  <c r="CB17" i="24"/>
  <c r="BN17" i="24"/>
  <c r="CO162" i="24"/>
  <c r="CO163" i="24" s="1"/>
  <c r="CN162" i="24"/>
  <c r="CN163" i="24" s="1"/>
  <c r="CM162" i="24"/>
  <c r="CL162" i="24"/>
  <c r="CL163" i="24" s="1"/>
  <c r="CK162" i="24"/>
  <c r="CK163" i="24" s="1"/>
  <c r="CJ162" i="24"/>
  <c r="CI155" i="24"/>
  <c r="CB155" i="24"/>
  <c r="BU155" i="24"/>
  <c r="BN155" i="24"/>
  <c r="BG155" i="24"/>
  <c r="AZ155" i="24"/>
  <c r="AS155" i="24"/>
  <c r="AL155" i="24"/>
  <c r="AE155" i="24"/>
  <c r="CO154" i="24"/>
  <c r="CM154" i="24"/>
  <c r="CL154" i="24"/>
  <c r="CJ154" i="24"/>
  <c r="CN153" i="24"/>
  <c r="CK153" i="24"/>
  <c r="CK154" i="24" s="1"/>
  <c r="CN152" i="24"/>
  <c r="CN154" i="24" s="1"/>
  <c r="CK152" i="24"/>
  <c r="CN151" i="24"/>
  <c r="CK151" i="24"/>
  <c r="CN150" i="24"/>
  <c r="CK150" i="24"/>
  <c r="CN149" i="24"/>
  <c r="CK149" i="24"/>
  <c r="CO147" i="24"/>
  <c r="CN147" i="24"/>
  <c r="CK147" i="24"/>
  <c r="CO142" i="24"/>
  <c r="CN142" i="24"/>
  <c r="CN144" i="24" s="1"/>
  <c r="CM142" i="24"/>
  <c r="CM144" i="24" s="1"/>
  <c r="CL142" i="24"/>
  <c r="CL144" i="24" s="1"/>
  <c r="CK142" i="24"/>
  <c r="CJ142" i="24"/>
  <c r="CO141" i="24"/>
  <c r="CO143" i="24" s="1"/>
  <c r="CN141" i="24"/>
  <c r="CN143" i="24" s="1"/>
  <c r="CM141" i="24"/>
  <c r="CM145" i="24" s="1"/>
  <c r="CL141" i="24"/>
  <c r="CL145" i="24" s="1"/>
  <c r="CK141" i="24"/>
  <c r="CJ141" i="24"/>
  <c r="CJ143" i="24" s="1"/>
  <c r="CO137" i="24"/>
  <c r="CN137" i="24"/>
  <c r="CM137" i="24"/>
  <c r="CM138" i="24" s="1"/>
  <c r="CL137" i="24"/>
  <c r="CK137" i="24"/>
  <c r="CJ137" i="24"/>
  <c r="CO128" i="24"/>
  <c r="CN128" i="24"/>
  <c r="CM128" i="24"/>
  <c r="CL128" i="24"/>
  <c r="CK128" i="24"/>
  <c r="CJ128" i="24"/>
  <c r="CO127" i="24"/>
  <c r="CN127" i="24"/>
  <c r="CM127" i="24"/>
  <c r="CL127" i="24"/>
  <c r="CK127" i="24"/>
  <c r="CJ127" i="24"/>
  <c r="CO124" i="24"/>
  <c r="CN124" i="24"/>
  <c r="CM124" i="24"/>
  <c r="CL124" i="24"/>
  <c r="CK124" i="24"/>
  <c r="CJ124" i="24"/>
  <c r="CO123" i="24"/>
  <c r="CN123" i="24"/>
  <c r="CM123" i="24"/>
  <c r="CL123" i="24"/>
  <c r="CK123" i="24"/>
  <c r="CJ123" i="24"/>
  <c r="CO114" i="24"/>
  <c r="CN114" i="24"/>
  <c r="CM114" i="24"/>
  <c r="CL114" i="24"/>
  <c r="CK114" i="24"/>
  <c r="CJ114" i="24"/>
  <c r="CO113" i="24"/>
  <c r="CN113" i="24"/>
  <c r="CM113" i="24"/>
  <c r="CL113" i="24"/>
  <c r="CK113" i="24"/>
  <c r="CJ113" i="24"/>
  <c r="CI110" i="24"/>
  <c r="CB110" i="24"/>
  <c r="BU110" i="24"/>
  <c r="BN110" i="24"/>
  <c r="BG110" i="24"/>
  <c r="AZ110" i="24"/>
  <c r="AS110" i="24"/>
  <c r="AL110" i="24"/>
  <c r="AE110" i="24"/>
  <c r="CO109" i="24"/>
  <c r="CN109" i="24"/>
  <c r="CM109" i="24"/>
  <c r="CL109" i="24"/>
  <c r="CK109" i="24"/>
  <c r="CJ109" i="24"/>
  <c r="CO108" i="24"/>
  <c r="CN108" i="24"/>
  <c r="CM108" i="24"/>
  <c r="CL108" i="24"/>
  <c r="CK108" i="24"/>
  <c r="CJ108" i="24"/>
  <c r="CO107" i="24"/>
  <c r="CN107" i="24"/>
  <c r="CM107" i="24"/>
  <c r="CL107" i="24"/>
  <c r="CK107" i="24"/>
  <c r="CJ107" i="24"/>
  <c r="CO106" i="24"/>
  <c r="CN106" i="24"/>
  <c r="CM106" i="24"/>
  <c r="CL106" i="24"/>
  <c r="CK106" i="24"/>
  <c r="CJ106" i="24"/>
  <c r="CI93" i="24"/>
  <c r="CB93" i="24"/>
  <c r="BU93" i="24"/>
  <c r="BN93" i="24"/>
  <c r="BG93" i="24"/>
  <c r="AZ93" i="24"/>
  <c r="AS93" i="24"/>
  <c r="AL93" i="24"/>
  <c r="AE93" i="24"/>
  <c r="CI92" i="24"/>
  <c r="CB92" i="24"/>
  <c r="BU92" i="24"/>
  <c r="BN92" i="24"/>
  <c r="BG92" i="24"/>
  <c r="AZ92" i="24"/>
  <c r="AS92" i="24"/>
  <c r="AL92" i="24"/>
  <c r="AE92" i="24"/>
  <c r="CI91" i="24"/>
  <c r="CB91" i="24"/>
  <c r="BU91" i="24"/>
  <c r="BN91" i="24"/>
  <c r="BG91" i="24"/>
  <c r="AZ91" i="24"/>
  <c r="AS91" i="24"/>
  <c r="AL91" i="24"/>
  <c r="AE91" i="24"/>
  <c r="CI90" i="24"/>
  <c r="CB90" i="24"/>
  <c r="BU90" i="24"/>
  <c r="BN90" i="24"/>
  <c r="BG90" i="24"/>
  <c r="AZ90" i="24"/>
  <c r="AS90" i="24"/>
  <c r="AL90" i="24"/>
  <c r="AE90" i="24"/>
  <c r="CI89" i="24"/>
  <c r="CB89" i="24"/>
  <c r="BU89" i="24"/>
  <c r="BN89" i="24"/>
  <c r="BG89" i="24"/>
  <c r="AZ89" i="24"/>
  <c r="AS89" i="24"/>
  <c r="AL89" i="24"/>
  <c r="AE89" i="24"/>
  <c r="CI88" i="24"/>
  <c r="CB88" i="24"/>
  <c r="BU88" i="24"/>
  <c r="BN88" i="24"/>
  <c r="BG88" i="24"/>
  <c r="AZ88" i="24"/>
  <c r="AS88" i="24"/>
  <c r="AL88" i="24"/>
  <c r="AE88" i="24"/>
  <c r="CI87" i="24"/>
  <c r="CB87" i="24"/>
  <c r="BU87" i="24"/>
  <c r="BN87" i="24"/>
  <c r="BG87" i="24"/>
  <c r="AZ87" i="24"/>
  <c r="AS87" i="24"/>
  <c r="AL87" i="24"/>
  <c r="AE87" i="24"/>
  <c r="CI86" i="24"/>
  <c r="CB86" i="24"/>
  <c r="BU86" i="24"/>
  <c r="BN86" i="24"/>
  <c r="BG86" i="24"/>
  <c r="AZ86" i="24"/>
  <c r="AS86" i="24"/>
  <c r="AL86" i="24"/>
  <c r="AE86" i="24"/>
  <c r="CI70" i="24"/>
  <c r="CB70" i="24"/>
  <c r="BU70" i="24"/>
  <c r="BN70" i="24"/>
  <c r="BG70" i="24"/>
  <c r="AZ70" i="24"/>
  <c r="AS70" i="24"/>
  <c r="AL70" i="24"/>
  <c r="AE70" i="24"/>
  <c r="CO62" i="24"/>
  <c r="CN62" i="24"/>
  <c r="CM62" i="24"/>
  <c r="CL62" i="24"/>
  <c r="CK62" i="24"/>
  <c r="CJ62" i="24"/>
  <c r="CH62" i="24"/>
  <c r="CG62" i="24"/>
  <c r="CF62" i="24"/>
  <c r="CE62" i="24"/>
  <c r="CD62" i="24"/>
  <c r="CC62" i="24"/>
  <c r="CA62" i="24"/>
  <c r="BZ62" i="24"/>
  <c r="BY62" i="24"/>
  <c r="BX62" i="24"/>
  <c r="BW62" i="24"/>
  <c r="BV62" i="24"/>
  <c r="CB62" i="24" s="1"/>
  <c r="CB63" i="24" s="1"/>
  <c r="BT62" i="24"/>
  <c r="BS62" i="24"/>
  <c r="BR62" i="24"/>
  <c r="BQ62" i="24"/>
  <c r="BP62" i="24"/>
  <c r="BO62" i="24"/>
  <c r="BM62" i="24"/>
  <c r="BL62" i="24"/>
  <c r="BK62" i="24"/>
  <c r="BJ62" i="24"/>
  <c r="BI62" i="24"/>
  <c r="BH62" i="24"/>
  <c r="BF62" i="24"/>
  <c r="BE62" i="24"/>
  <c r="BD62" i="24"/>
  <c r="BC62" i="24"/>
  <c r="BB62" i="24"/>
  <c r="BA62" i="24"/>
  <c r="AY62" i="24"/>
  <c r="AX62" i="24"/>
  <c r="AW62" i="24"/>
  <c r="AV62" i="24"/>
  <c r="AU62" i="24"/>
  <c r="AT62" i="24"/>
  <c r="AR62" i="24"/>
  <c r="AQ62" i="24"/>
  <c r="AP62" i="24"/>
  <c r="AO62" i="24"/>
  <c r="AN62" i="24"/>
  <c r="AM62" i="24"/>
  <c r="AK62" i="24"/>
  <c r="AJ62" i="24"/>
  <c r="AI62" i="24"/>
  <c r="AH62" i="24"/>
  <c r="AG62" i="24"/>
  <c r="AF62" i="24"/>
  <c r="AD62" i="24"/>
  <c r="AC62" i="24"/>
  <c r="AB62" i="24"/>
  <c r="AA62" i="24"/>
  <c r="Z62" i="24"/>
  <c r="Y62" i="24"/>
  <c r="W62" i="24"/>
  <c r="V62" i="24"/>
  <c r="U62" i="24"/>
  <c r="T62" i="24"/>
  <c r="S62" i="24"/>
  <c r="R62" i="24"/>
  <c r="X62" i="24" s="1"/>
  <c r="X63" i="24" s="1"/>
  <c r="I62" i="24"/>
  <c r="H62" i="24"/>
  <c r="G62" i="24"/>
  <c r="F62" i="24"/>
  <c r="E62" i="24"/>
  <c r="D62" i="24"/>
  <c r="J62" i="24" s="1"/>
  <c r="CI57" i="24"/>
  <c r="CB57" i="24"/>
  <c r="BU57" i="24"/>
  <c r="BN57" i="24"/>
  <c r="BG57" i="24"/>
  <c r="AZ57" i="24"/>
  <c r="AS57" i="24"/>
  <c r="AL57" i="24"/>
  <c r="AE57" i="24"/>
  <c r="CI56" i="24"/>
  <c r="CB56" i="24"/>
  <c r="BU56" i="24"/>
  <c r="BN56" i="24"/>
  <c r="BG56" i="24"/>
  <c r="AZ56" i="24"/>
  <c r="AS56" i="24"/>
  <c r="AL56" i="24"/>
  <c r="AE56" i="24"/>
  <c r="CI55" i="24"/>
  <c r="CB55" i="24"/>
  <c r="BU55" i="24"/>
  <c r="BN55" i="24"/>
  <c r="BG55" i="24"/>
  <c r="AZ55" i="24"/>
  <c r="AS55" i="24"/>
  <c r="AL55" i="24"/>
  <c r="AE55" i="24"/>
  <c r="CI54" i="24"/>
  <c r="CB54" i="24"/>
  <c r="BU54" i="24"/>
  <c r="BN54" i="24"/>
  <c r="BG54" i="24"/>
  <c r="AZ54" i="24"/>
  <c r="AS54" i="24"/>
  <c r="AL54" i="24"/>
  <c r="AE54" i="24"/>
  <c r="CI53" i="24"/>
  <c r="CP53" i="24" s="1"/>
  <c r="CB53" i="24"/>
  <c r="BU53" i="24"/>
  <c r="BN53" i="24"/>
  <c r="BG53" i="24"/>
  <c r="AZ53" i="24"/>
  <c r="AS53" i="24"/>
  <c r="AL53" i="24"/>
  <c r="AE53" i="24"/>
  <c r="CP46" i="24"/>
  <c r="CI46" i="24"/>
  <c r="CB46" i="24"/>
  <c r="BU46" i="24"/>
  <c r="BN46" i="24"/>
  <c r="BG46" i="24"/>
  <c r="AZ46" i="24"/>
  <c r="AS46" i="24"/>
  <c r="AL46" i="24"/>
  <c r="AE46" i="24"/>
  <c r="X46" i="24"/>
  <c r="Q46" i="24"/>
  <c r="J46" i="24"/>
  <c r="CP44" i="24"/>
  <c r="CI44" i="24"/>
  <c r="CB44" i="24"/>
  <c r="BU44" i="24"/>
  <c r="BN44" i="24"/>
  <c r="BG44" i="24"/>
  <c r="AZ44" i="24"/>
  <c r="AS44" i="24"/>
  <c r="AL44" i="24"/>
  <c r="AE44" i="24"/>
  <c r="X44" i="24"/>
  <c r="Q44" i="24"/>
  <c r="J44" i="24"/>
  <c r="CP43" i="24"/>
  <c r="CI43" i="24"/>
  <c r="CB43" i="24"/>
  <c r="BU43" i="24"/>
  <c r="BN43" i="24"/>
  <c r="BG43" i="24"/>
  <c r="AZ43" i="24"/>
  <c r="AS43" i="24"/>
  <c r="AL43" i="24"/>
  <c r="AE43" i="24"/>
  <c r="X43" i="24"/>
  <c r="Q43" i="24"/>
  <c r="J43" i="24"/>
  <c r="CP42" i="24"/>
  <c r="CI42" i="24"/>
  <c r="CB42" i="24"/>
  <c r="BU42" i="24"/>
  <c r="BN42" i="24"/>
  <c r="BG42" i="24"/>
  <c r="AZ42" i="24"/>
  <c r="AS42" i="24"/>
  <c r="AL42" i="24"/>
  <c r="AE42" i="24"/>
  <c r="X42" i="24"/>
  <c r="Q42" i="24"/>
  <c r="J42" i="24"/>
  <c r="CP41" i="24"/>
  <c r="CI41" i="24"/>
  <c r="CB41" i="24"/>
  <c r="BU41" i="24"/>
  <c r="BN41" i="24"/>
  <c r="BG41" i="24"/>
  <c r="AZ41" i="24"/>
  <c r="AS41" i="24"/>
  <c r="AL41" i="24"/>
  <c r="AE41" i="24"/>
  <c r="X41" i="24"/>
  <c r="Q41" i="24"/>
  <c r="J41" i="24"/>
  <c r="CP40" i="24"/>
  <c r="CI40" i="24"/>
  <c r="CB40" i="24"/>
  <c r="BU40" i="24"/>
  <c r="BN40" i="24"/>
  <c r="BG40" i="24"/>
  <c r="AZ40" i="24"/>
  <c r="AS40" i="24"/>
  <c r="AL40" i="24"/>
  <c r="AE40" i="24"/>
  <c r="X40" i="24"/>
  <c r="Q40" i="24"/>
  <c r="J40" i="24"/>
  <c r="CP39" i="24"/>
  <c r="CI39" i="24"/>
  <c r="CB39" i="24"/>
  <c r="BU39" i="24"/>
  <c r="BN39" i="24"/>
  <c r="BG39" i="24"/>
  <c r="AZ39" i="24"/>
  <c r="AS39" i="24"/>
  <c r="AL39" i="24"/>
  <c r="AE39" i="24"/>
  <c r="X39" i="24"/>
  <c r="Q39" i="24"/>
  <c r="J39" i="24"/>
  <c r="CP38" i="24"/>
  <c r="CI38" i="24"/>
  <c r="CB38" i="24"/>
  <c r="BU38" i="24"/>
  <c r="BN38" i="24"/>
  <c r="BG38" i="24"/>
  <c r="AZ38" i="24"/>
  <c r="AS38" i="24"/>
  <c r="AL38" i="24"/>
  <c r="AE38" i="24"/>
  <c r="X38" i="24"/>
  <c r="Q38" i="24"/>
  <c r="J38" i="24"/>
  <c r="CP37" i="24"/>
  <c r="CI37" i="24"/>
  <c r="CB37" i="24"/>
  <c r="BU37" i="24"/>
  <c r="BN37" i="24"/>
  <c r="BG37" i="24"/>
  <c r="AZ37" i="24"/>
  <c r="AS37" i="24"/>
  <c r="AL37" i="24"/>
  <c r="AE37" i="24"/>
  <c r="X37" i="24"/>
  <c r="Q37" i="24"/>
  <c r="J37" i="24"/>
  <c r="CP36" i="24"/>
  <c r="CI36" i="24"/>
  <c r="CB36" i="24"/>
  <c r="BU36" i="24"/>
  <c r="BN36" i="24"/>
  <c r="BG36" i="24"/>
  <c r="AZ36" i="24"/>
  <c r="AS36" i="24"/>
  <c r="AL36" i="24"/>
  <c r="AE36" i="24"/>
  <c r="X36" i="24"/>
  <c r="Q36" i="24"/>
  <c r="J36" i="24"/>
  <c r="CP35" i="24"/>
  <c r="CI35" i="24"/>
  <c r="CB35" i="24"/>
  <c r="BU35" i="24"/>
  <c r="BN35" i="24"/>
  <c r="BG35" i="24"/>
  <c r="AZ35" i="24"/>
  <c r="AS35" i="24"/>
  <c r="AL35" i="24"/>
  <c r="AE35" i="24"/>
  <c r="X35" i="24"/>
  <c r="Q35" i="24"/>
  <c r="J35" i="24"/>
  <c r="CP34" i="24"/>
  <c r="CI34" i="24"/>
  <c r="CB34" i="24"/>
  <c r="BU34" i="24"/>
  <c r="BN34" i="24"/>
  <c r="BG34" i="24"/>
  <c r="AZ34" i="24"/>
  <c r="AS34" i="24"/>
  <c r="AL34" i="24"/>
  <c r="AE34" i="24"/>
  <c r="X34" i="24"/>
  <c r="Q34" i="24"/>
  <c r="J34" i="24"/>
  <c r="CP33" i="24"/>
  <c r="CI33" i="24"/>
  <c r="CB33" i="24"/>
  <c r="BU33" i="24"/>
  <c r="BN33" i="24"/>
  <c r="BG33" i="24"/>
  <c r="AZ33" i="24"/>
  <c r="AS33" i="24"/>
  <c r="AL33" i="24"/>
  <c r="AE33" i="24"/>
  <c r="X33" i="24"/>
  <c r="Q33" i="24"/>
  <c r="J33" i="24"/>
  <c r="CP32" i="24"/>
  <c r="CI32" i="24"/>
  <c r="CB32" i="24"/>
  <c r="BU32" i="24"/>
  <c r="BN32" i="24"/>
  <c r="BG32" i="24"/>
  <c r="AZ32" i="24"/>
  <c r="AS32" i="24"/>
  <c r="AL32" i="24"/>
  <c r="AE32" i="24"/>
  <c r="X32" i="24"/>
  <c r="Q32" i="24"/>
  <c r="J32" i="24"/>
  <c r="CP31" i="24"/>
  <c r="CI31" i="24"/>
  <c r="CB31" i="24"/>
  <c r="BU31" i="24"/>
  <c r="BN31" i="24"/>
  <c r="BG31" i="24"/>
  <c r="AZ31" i="24"/>
  <c r="AS31" i="24"/>
  <c r="AL31" i="24"/>
  <c r="AE31" i="24"/>
  <c r="X31" i="24"/>
  <c r="Q31" i="24"/>
  <c r="J31" i="24"/>
  <c r="CP30" i="24"/>
  <c r="CI30" i="24"/>
  <c r="CB30" i="24"/>
  <c r="BU30" i="24"/>
  <c r="BN30" i="24"/>
  <c r="BG30" i="24"/>
  <c r="AZ30" i="24"/>
  <c r="AS30" i="24"/>
  <c r="AL30" i="24"/>
  <c r="AE30" i="24"/>
  <c r="X30" i="24"/>
  <c r="Q30" i="24"/>
  <c r="J30" i="24"/>
  <c r="CP29" i="24"/>
  <c r="CI29" i="24"/>
  <c r="CB29" i="24"/>
  <c r="BU29" i="24"/>
  <c r="BN29" i="24"/>
  <c r="BG29" i="24"/>
  <c r="AZ29" i="24"/>
  <c r="AS29" i="24"/>
  <c r="AL29" i="24"/>
  <c r="AE29" i="24"/>
  <c r="X29" i="24"/>
  <c r="Q29" i="24"/>
  <c r="J29" i="24"/>
  <c r="CP28" i="24"/>
  <c r="CI28" i="24"/>
  <c r="CB28" i="24"/>
  <c r="BU28" i="24"/>
  <c r="BN28" i="24"/>
  <c r="BG28" i="24"/>
  <c r="AZ28" i="24"/>
  <c r="AS28" i="24"/>
  <c r="AL28" i="24"/>
  <c r="AE28" i="24"/>
  <c r="X28" i="24"/>
  <c r="Q28" i="24"/>
  <c r="J28" i="24"/>
  <c r="CP27" i="24"/>
  <c r="CI27" i="24"/>
  <c r="CB27" i="24"/>
  <c r="BU27" i="24"/>
  <c r="BN27" i="24"/>
  <c r="BG27" i="24"/>
  <c r="AZ27" i="24"/>
  <c r="AS27" i="24"/>
  <c r="AL27" i="24"/>
  <c r="AE27" i="24"/>
  <c r="X27" i="24"/>
  <c r="Q27" i="24"/>
  <c r="J27" i="24"/>
  <c r="CP26" i="24"/>
  <c r="CI26" i="24"/>
  <c r="CB26" i="24"/>
  <c r="BU26" i="24"/>
  <c r="BN26" i="24"/>
  <c r="BG26" i="24"/>
  <c r="AZ26" i="24"/>
  <c r="AS26" i="24"/>
  <c r="AL26" i="24"/>
  <c r="AE26" i="24"/>
  <c r="X26" i="24"/>
  <c r="Q26" i="24"/>
  <c r="J26" i="24"/>
  <c r="CP25" i="24"/>
  <c r="CI25" i="24"/>
  <c r="CB25" i="24"/>
  <c r="BU25" i="24"/>
  <c r="BN25" i="24"/>
  <c r="BG25" i="24"/>
  <c r="AZ25" i="24"/>
  <c r="AS25" i="24"/>
  <c r="AL25" i="24"/>
  <c r="AE25" i="24"/>
  <c r="X25" i="24"/>
  <c r="Q25" i="24"/>
  <c r="J25" i="24"/>
  <c r="CP24" i="24"/>
  <c r="CI24" i="24"/>
  <c r="CB24" i="24"/>
  <c r="BU24" i="24"/>
  <c r="BN24" i="24"/>
  <c r="BG24" i="24"/>
  <c r="AZ24" i="24"/>
  <c r="AS24" i="24"/>
  <c r="AL24" i="24"/>
  <c r="AE24" i="24"/>
  <c r="X24" i="24"/>
  <c r="Q24" i="24"/>
  <c r="J24" i="24"/>
  <c r="CP23" i="24"/>
  <c r="CI23" i="24"/>
  <c r="CB23" i="24"/>
  <c r="BU23" i="24"/>
  <c r="BN23" i="24"/>
  <c r="BG23" i="24"/>
  <c r="AZ23" i="24"/>
  <c r="AS23" i="24"/>
  <c r="AL23" i="24"/>
  <c r="AE23" i="24"/>
  <c r="X23" i="24"/>
  <c r="Q23" i="24"/>
  <c r="J23" i="24"/>
  <c r="CP22" i="24"/>
  <c r="CI22" i="24"/>
  <c r="CB22" i="24"/>
  <c r="BU22" i="24"/>
  <c r="BN22" i="24"/>
  <c r="BG22" i="24"/>
  <c r="AZ22" i="24"/>
  <c r="AS22" i="24"/>
  <c r="AL22" i="24"/>
  <c r="AE22" i="24"/>
  <c r="X22" i="24"/>
  <c r="Q22" i="24"/>
  <c r="J22" i="24"/>
  <c r="CP21" i="24"/>
  <c r="CI21" i="24"/>
  <c r="CB21" i="24"/>
  <c r="BU21" i="24"/>
  <c r="BN21" i="24"/>
  <c r="BG21" i="24"/>
  <c r="AZ21" i="24"/>
  <c r="AS21" i="24"/>
  <c r="AL21" i="24"/>
  <c r="AE21" i="24"/>
  <c r="X21" i="24"/>
  <c r="Q21" i="24"/>
  <c r="J21" i="24"/>
  <c r="CP20" i="24"/>
  <c r="CI20" i="24"/>
  <c r="CB20" i="24"/>
  <c r="BU20" i="24"/>
  <c r="BN20" i="24"/>
  <c r="BG20" i="24"/>
  <c r="AZ20" i="24"/>
  <c r="AS20" i="24"/>
  <c r="AL20" i="24"/>
  <c r="AE20" i="24"/>
  <c r="X20" i="24"/>
  <c r="Q20" i="24"/>
  <c r="J20" i="24"/>
  <c r="CP19" i="24"/>
  <c r="CI19" i="24"/>
  <c r="CB19" i="24"/>
  <c r="BU19" i="24"/>
  <c r="BN19" i="24"/>
  <c r="BG19" i="24"/>
  <c r="AZ19" i="24"/>
  <c r="AS19" i="24"/>
  <c r="AL19" i="24"/>
  <c r="AE19" i="24"/>
  <c r="X19" i="24"/>
  <c r="Q19" i="24"/>
  <c r="J19" i="24"/>
  <c r="CP18" i="24"/>
  <c r="CI18" i="24"/>
  <c r="CB18" i="24"/>
  <c r="BU18" i="24"/>
  <c r="BN18" i="24"/>
  <c r="BG18" i="24"/>
  <c r="AZ18" i="24"/>
  <c r="AS18" i="24"/>
  <c r="AL18" i="24"/>
  <c r="AE18" i="24"/>
  <c r="X18" i="24"/>
  <c r="Q18" i="24"/>
  <c r="J18" i="24"/>
  <c r="CP17" i="24"/>
  <c r="BU17" i="24"/>
  <c r="BG17" i="24"/>
  <c r="AZ17" i="24"/>
  <c r="AS17" i="24"/>
  <c r="AL17" i="24"/>
  <c r="AE17" i="24"/>
  <c r="X17" i="24"/>
  <c r="Q17" i="24"/>
  <c r="J17" i="24"/>
  <c r="CO14" i="24"/>
  <c r="CO161" i="24" s="1"/>
  <c r="CN14" i="24"/>
  <c r="CN161" i="24" s="1"/>
  <c r="CM14" i="24"/>
  <c r="CL14" i="24"/>
  <c r="CL161" i="24" s="1"/>
  <c r="CK14" i="24"/>
  <c r="CK161" i="24" s="1"/>
  <c r="CJ14" i="24"/>
  <c r="CI14" i="24"/>
  <c r="CB14" i="24"/>
  <c r="CB162" i="24" s="1"/>
  <c r="BU14" i="24"/>
  <c r="BN14" i="24"/>
  <c r="BG14" i="24"/>
  <c r="AZ14" i="24"/>
  <c r="AS14" i="24"/>
  <c r="AL14" i="24"/>
  <c r="AE14" i="24"/>
  <c r="X14" i="24"/>
  <c r="X162" i="24" s="1"/>
  <c r="Q14" i="24"/>
  <c r="J14" i="24"/>
  <c r="CO13" i="24"/>
  <c r="CN13" i="24"/>
  <c r="CM13" i="24"/>
  <c r="CL13" i="24"/>
  <c r="CK13" i="24"/>
  <c r="CJ13" i="24"/>
  <c r="CH13" i="24"/>
  <c r="CG13" i="24"/>
  <c r="CF13" i="24"/>
  <c r="CE13" i="24"/>
  <c r="CD13" i="24"/>
  <c r="CC13" i="24"/>
  <c r="CA13" i="24"/>
  <c r="BZ13" i="24"/>
  <c r="BY13" i="24"/>
  <c r="BX13" i="24"/>
  <c r="BW13" i="24"/>
  <c r="BV13" i="24"/>
  <c r="BT13" i="24"/>
  <c r="BS13" i="24"/>
  <c r="BR13" i="24"/>
  <c r="BQ13" i="24"/>
  <c r="BP13" i="24"/>
  <c r="BO13" i="24"/>
  <c r="BM13" i="24"/>
  <c r="BL13" i="24"/>
  <c r="BK13" i="24"/>
  <c r="BJ13" i="24"/>
  <c r="BI13" i="24"/>
  <c r="BH13" i="24"/>
  <c r="BF13" i="24"/>
  <c r="BE13" i="24"/>
  <c r="BD13" i="24"/>
  <c r="BC13" i="24"/>
  <c r="BB13" i="24"/>
  <c r="BA13" i="24"/>
  <c r="AY13" i="24"/>
  <c r="AX13" i="24"/>
  <c r="AW13" i="24"/>
  <c r="AV13" i="24"/>
  <c r="AU13" i="24"/>
  <c r="AT13" i="24"/>
  <c r="AR13" i="24"/>
  <c r="AQ13" i="24"/>
  <c r="AP13" i="24"/>
  <c r="AO13" i="24"/>
  <c r="AN13" i="24"/>
  <c r="AM13" i="24"/>
  <c r="AK13" i="24"/>
  <c r="AJ13" i="24"/>
  <c r="AI13" i="24"/>
  <c r="AH13" i="24"/>
  <c r="AG13" i="24"/>
  <c r="AF13" i="24"/>
  <c r="AD13" i="24"/>
  <c r="AC13" i="24"/>
  <c r="AB13" i="24"/>
  <c r="AA13" i="24"/>
  <c r="Z13" i="24"/>
  <c r="Y13" i="24"/>
  <c r="W13" i="24"/>
  <c r="V13" i="24"/>
  <c r="U13" i="24"/>
  <c r="T13" i="24"/>
  <c r="S13" i="24"/>
  <c r="R13" i="24"/>
  <c r="P13" i="24"/>
  <c r="O13" i="24"/>
  <c r="N13" i="24"/>
  <c r="M13" i="24"/>
  <c r="L13" i="24"/>
  <c r="K13" i="24"/>
  <c r="I13" i="24"/>
  <c r="H13" i="24"/>
  <c r="G13" i="24"/>
  <c r="F13" i="24"/>
  <c r="E13" i="24"/>
  <c r="D13" i="24"/>
  <c r="CO12" i="24"/>
  <c r="CN12" i="24"/>
  <c r="CM12" i="24"/>
  <c r="CL12" i="24"/>
  <c r="CK12" i="24"/>
  <c r="CJ12" i="24"/>
  <c r="CH12" i="24"/>
  <c r="CG12" i="24"/>
  <c r="CF12" i="24"/>
  <c r="CE12" i="24"/>
  <c r="CD12" i="24"/>
  <c r="CC12" i="24"/>
  <c r="CA12" i="24"/>
  <c r="BZ12" i="24"/>
  <c r="BY12" i="24"/>
  <c r="BX12" i="24"/>
  <c r="BW12" i="24"/>
  <c r="BV12" i="24"/>
  <c r="BT12" i="24"/>
  <c r="BS12" i="24"/>
  <c r="BR12" i="24"/>
  <c r="BQ12" i="24"/>
  <c r="BP12" i="24"/>
  <c r="BO12" i="24"/>
  <c r="BM12" i="24"/>
  <c r="BL12" i="24"/>
  <c r="BK12" i="24"/>
  <c r="BJ12" i="24"/>
  <c r="BI12" i="24"/>
  <c r="BH12" i="24"/>
  <c r="BF12" i="24"/>
  <c r="BE12" i="24"/>
  <c r="BD12" i="24"/>
  <c r="BC12" i="24"/>
  <c r="BB12" i="24"/>
  <c r="BA12" i="24"/>
  <c r="AY12" i="24"/>
  <c r="AX12" i="24"/>
  <c r="AW12" i="24"/>
  <c r="AV12" i="24"/>
  <c r="AU12" i="24"/>
  <c r="AT12" i="24"/>
  <c r="AR12" i="24"/>
  <c r="AQ12" i="24"/>
  <c r="AP12" i="24"/>
  <c r="AO12" i="24"/>
  <c r="AN12" i="24"/>
  <c r="AM12" i="24"/>
  <c r="AK12" i="24"/>
  <c r="AJ12" i="24"/>
  <c r="AI12" i="24"/>
  <c r="AH12" i="24"/>
  <c r="AG12" i="24"/>
  <c r="AF12" i="24"/>
  <c r="AD12" i="24"/>
  <c r="AC12" i="24"/>
  <c r="AB12" i="24"/>
  <c r="AA12" i="24"/>
  <c r="Z12" i="24"/>
  <c r="Y12" i="24"/>
  <c r="W12" i="24"/>
  <c r="V12" i="24"/>
  <c r="U12" i="24"/>
  <c r="T12" i="24"/>
  <c r="S12" i="24"/>
  <c r="R12" i="24"/>
  <c r="P12" i="24"/>
  <c r="O12" i="24"/>
  <c r="N12" i="24"/>
  <c r="M12" i="24"/>
  <c r="L12" i="24"/>
  <c r="K12" i="24"/>
  <c r="I12" i="24"/>
  <c r="H12" i="24"/>
  <c r="G12" i="24"/>
  <c r="F12" i="24"/>
  <c r="E12" i="24"/>
  <c r="D12" i="24"/>
  <c r="CO11" i="24"/>
  <c r="CN11" i="24"/>
  <c r="CM11" i="24"/>
  <c r="CL11" i="24"/>
  <c r="CK11" i="24"/>
  <c r="CJ11" i="24"/>
  <c r="CH11" i="24"/>
  <c r="CG11" i="24"/>
  <c r="CF11" i="24"/>
  <c r="CE11" i="24"/>
  <c r="CD11" i="24"/>
  <c r="CC11" i="24"/>
  <c r="CA11" i="24"/>
  <c r="BZ11" i="24"/>
  <c r="BY11" i="24"/>
  <c r="BX11" i="24"/>
  <c r="BW11" i="24"/>
  <c r="BV11" i="24"/>
  <c r="BT11" i="24"/>
  <c r="BS11" i="24"/>
  <c r="BR11" i="24"/>
  <c r="BQ11" i="24"/>
  <c r="BP11" i="24"/>
  <c r="BO11" i="24"/>
  <c r="BM11" i="24"/>
  <c r="BL11" i="24"/>
  <c r="BK11" i="24"/>
  <c r="BJ11" i="24"/>
  <c r="BI11" i="24"/>
  <c r="BH11" i="24"/>
  <c r="BF11" i="24"/>
  <c r="BE11" i="24"/>
  <c r="BD11" i="24"/>
  <c r="BC11" i="24"/>
  <c r="BB11" i="24"/>
  <c r="BA11" i="24"/>
  <c r="AY11" i="24"/>
  <c r="AX11" i="24"/>
  <c r="AW11" i="24"/>
  <c r="AV11" i="24"/>
  <c r="AU11" i="24"/>
  <c r="AT11" i="24"/>
  <c r="AR11" i="24"/>
  <c r="AQ11" i="24"/>
  <c r="AP11" i="24"/>
  <c r="AO11" i="24"/>
  <c r="AN11" i="24"/>
  <c r="AM11" i="24"/>
  <c r="AK11" i="24"/>
  <c r="AJ11" i="24"/>
  <c r="AI11" i="24"/>
  <c r="AH11" i="24"/>
  <c r="AG11" i="24"/>
  <c r="AF11" i="24"/>
  <c r="AD11" i="24"/>
  <c r="AC11" i="24"/>
  <c r="AB11" i="24"/>
  <c r="AA11" i="24"/>
  <c r="Z11" i="24"/>
  <c r="Y11" i="24"/>
  <c r="W11" i="24"/>
  <c r="V11" i="24"/>
  <c r="U11" i="24"/>
  <c r="T11" i="24"/>
  <c r="S11" i="24"/>
  <c r="R11" i="24"/>
  <c r="P11" i="24"/>
  <c r="O11" i="24"/>
  <c r="N11" i="24"/>
  <c r="M11" i="24"/>
  <c r="L11" i="24"/>
  <c r="K11" i="24"/>
  <c r="I11" i="24"/>
  <c r="H11" i="24"/>
  <c r="G11" i="24"/>
  <c r="F11" i="24"/>
  <c r="E11" i="24"/>
  <c r="D11" i="24"/>
  <c r="CO10" i="24"/>
  <c r="CN10" i="24"/>
  <c r="CM10" i="24"/>
  <c r="CL10" i="24"/>
  <c r="CK10" i="24"/>
  <c r="CJ10" i="24"/>
  <c r="CH10" i="24"/>
  <c r="CG10" i="24"/>
  <c r="CF10" i="24"/>
  <c r="CE10" i="24"/>
  <c r="CD10" i="24"/>
  <c r="CC10" i="24"/>
  <c r="CA10" i="24"/>
  <c r="BZ10" i="24"/>
  <c r="BY10" i="24"/>
  <c r="BX10" i="24"/>
  <c r="BW10" i="24"/>
  <c r="BV10" i="24"/>
  <c r="BT10" i="24"/>
  <c r="BS10" i="24"/>
  <c r="BR10" i="24"/>
  <c r="BQ10" i="24"/>
  <c r="BP10" i="24"/>
  <c r="BO10" i="24"/>
  <c r="BM10" i="24"/>
  <c r="BL10" i="24"/>
  <c r="BK10" i="24"/>
  <c r="BJ10" i="24"/>
  <c r="BI10" i="24"/>
  <c r="BH10" i="24"/>
  <c r="BF10" i="24"/>
  <c r="BE10" i="24"/>
  <c r="BD10" i="24"/>
  <c r="BC10" i="24"/>
  <c r="BB10" i="24"/>
  <c r="BA10" i="24"/>
  <c r="AY10" i="24"/>
  <c r="AX10" i="24"/>
  <c r="AW10" i="24"/>
  <c r="AV10" i="24"/>
  <c r="AU10" i="24"/>
  <c r="AT10" i="24"/>
  <c r="AR10" i="24"/>
  <c r="AQ10" i="24"/>
  <c r="AP10" i="24"/>
  <c r="AO10" i="24"/>
  <c r="AN10" i="24"/>
  <c r="AM10" i="24"/>
  <c r="AK10" i="24"/>
  <c r="AJ10" i="24"/>
  <c r="AI10" i="24"/>
  <c r="AH10" i="24"/>
  <c r="AG10" i="24"/>
  <c r="AF10" i="24"/>
  <c r="AD10" i="24"/>
  <c r="AC10" i="24"/>
  <c r="AB10" i="24"/>
  <c r="AA10" i="24"/>
  <c r="Z10" i="24"/>
  <c r="Y10" i="24"/>
  <c r="W10" i="24"/>
  <c r="V10" i="24"/>
  <c r="U10" i="24"/>
  <c r="T10" i="24"/>
  <c r="S10" i="24"/>
  <c r="R10" i="24"/>
  <c r="P10" i="24"/>
  <c r="O10" i="24"/>
  <c r="N10" i="24"/>
  <c r="M10" i="24"/>
  <c r="L10" i="24"/>
  <c r="K10" i="24"/>
  <c r="I10" i="24"/>
  <c r="H10" i="24"/>
  <c r="G10" i="24"/>
  <c r="F10" i="24"/>
  <c r="E10" i="24"/>
  <c r="D10" i="24"/>
  <c r="CO9" i="24"/>
  <c r="CN9" i="24"/>
  <c r="CM9" i="24"/>
  <c r="CL9" i="24"/>
  <c r="CK9" i="24"/>
  <c r="CJ9" i="24"/>
  <c r="CH9" i="24"/>
  <c r="CG9" i="24"/>
  <c r="CF9" i="24"/>
  <c r="CE9" i="24"/>
  <c r="CD9" i="24"/>
  <c r="CC9" i="24"/>
  <c r="CA9" i="24"/>
  <c r="BZ9" i="24"/>
  <c r="BY9" i="24"/>
  <c r="BX9" i="24"/>
  <c r="BW9" i="24"/>
  <c r="BV9" i="24"/>
  <c r="BT9" i="24"/>
  <c r="BS9" i="24"/>
  <c r="BR9" i="24"/>
  <c r="BQ9" i="24"/>
  <c r="BP9" i="24"/>
  <c r="BO9" i="24"/>
  <c r="BM9" i="24"/>
  <c r="BL9" i="24"/>
  <c r="BK9" i="24"/>
  <c r="BJ9" i="24"/>
  <c r="BI9" i="24"/>
  <c r="BH9" i="24"/>
  <c r="BF9" i="24"/>
  <c r="BE9" i="24"/>
  <c r="BD9" i="24"/>
  <c r="BC9" i="24"/>
  <c r="BB9" i="24"/>
  <c r="BA9" i="24"/>
  <c r="AY9" i="24"/>
  <c r="AX9" i="24"/>
  <c r="AW9" i="24"/>
  <c r="AV9" i="24"/>
  <c r="AU9" i="24"/>
  <c r="AT9" i="24"/>
  <c r="AR9" i="24"/>
  <c r="AQ9" i="24"/>
  <c r="AP9" i="24"/>
  <c r="AO9" i="24"/>
  <c r="AN9" i="24"/>
  <c r="AM9" i="24"/>
  <c r="AK9" i="24"/>
  <c r="AJ9" i="24"/>
  <c r="AI9" i="24"/>
  <c r="AH9" i="24"/>
  <c r="AG9" i="24"/>
  <c r="AF9" i="24"/>
  <c r="AD9" i="24"/>
  <c r="AC9" i="24"/>
  <c r="AB9" i="24"/>
  <c r="AA9" i="24"/>
  <c r="Z9" i="24"/>
  <c r="Y9" i="24"/>
  <c r="W9" i="24"/>
  <c r="V9" i="24"/>
  <c r="U9" i="24"/>
  <c r="T9" i="24"/>
  <c r="S9" i="24"/>
  <c r="R9" i="24"/>
  <c r="P9" i="24"/>
  <c r="O9" i="24"/>
  <c r="N9" i="24"/>
  <c r="M9" i="24"/>
  <c r="L9" i="24"/>
  <c r="K9" i="24"/>
  <c r="I9" i="24"/>
  <c r="H9" i="24"/>
  <c r="G9" i="24"/>
  <c r="F9" i="24"/>
  <c r="E9" i="24"/>
  <c r="D9" i="24"/>
  <c r="CP7" i="24"/>
  <c r="CI7" i="24"/>
  <c r="CB7" i="24"/>
  <c r="BU7" i="24"/>
  <c r="BN7" i="24"/>
  <c r="BG7" i="24"/>
  <c r="AZ7" i="24"/>
  <c r="AS7" i="24"/>
  <c r="AL7" i="24"/>
  <c r="AE7" i="24"/>
  <c r="X7" i="24"/>
  <c r="X114" i="24" s="1"/>
  <c r="Q7" i="24"/>
  <c r="Q114" i="24" s="1"/>
  <c r="J7" i="24"/>
  <c r="J115" i="24" s="1"/>
  <c r="CO6" i="24"/>
  <c r="CN6" i="24"/>
  <c r="CM6" i="24"/>
  <c r="CL6" i="24"/>
  <c r="CL8" i="24" s="1"/>
  <c r="CK6" i="24"/>
  <c r="CK8" i="24" s="1"/>
  <c r="CK118" i="24" s="1"/>
  <c r="CJ6" i="24"/>
  <c r="CH6" i="24"/>
  <c r="CH8" i="24" s="1"/>
  <c r="CG6" i="24"/>
  <c r="CG8" i="24" s="1"/>
  <c r="CF6" i="24"/>
  <c r="CF8" i="24" s="1"/>
  <c r="CE6" i="24"/>
  <c r="CE8" i="24" s="1"/>
  <c r="CD6" i="24"/>
  <c r="CD8" i="24" s="1"/>
  <c r="CC6" i="24"/>
  <c r="CC8" i="24" s="1"/>
  <c r="CA6" i="24"/>
  <c r="CA8" i="24" s="1"/>
  <c r="BZ6" i="24"/>
  <c r="BZ8" i="24" s="1"/>
  <c r="BY6" i="24"/>
  <c r="BY8" i="24" s="1"/>
  <c r="BX6" i="24"/>
  <c r="BX8" i="24" s="1"/>
  <c r="BW6" i="24"/>
  <c r="BW8" i="24" s="1"/>
  <c r="BV6" i="24"/>
  <c r="BV8" i="24" s="1"/>
  <c r="BT6" i="24"/>
  <c r="BT8" i="24" s="1"/>
  <c r="BS6" i="24"/>
  <c r="BS8" i="24" s="1"/>
  <c r="BR6" i="24"/>
  <c r="BR8" i="24" s="1"/>
  <c r="BQ6" i="24"/>
  <c r="BQ8" i="24" s="1"/>
  <c r="BP6" i="24"/>
  <c r="BP8" i="24" s="1"/>
  <c r="BO6" i="24"/>
  <c r="BO8" i="24" s="1"/>
  <c r="BM6" i="24"/>
  <c r="BM8" i="24" s="1"/>
  <c r="BL6" i="24"/>
  <c r="BL8" i="24" s="1"/>
  <c r="BK6" i="24"/>
  <c r="BK8" i="24" s="1"/>
  <c r="BJ6" i="24"/>
  <c r="BI6" i="24"/>
  <c r="BI8" i="24" s="1"/>
  <c r="BH6" i="24"/>
  <c r="BH8" i="24" s="1"/>
  <c r="BF6" i="24"/>
  <c r="BF8" i="24" s="1"/>
  <c r="BE6" i="24"/>
  <c r="BE8" i="24" s="1"/>
  <c r="BD6" i="24"/>
  <c r="BD8" i="24" s="1"/>
  <c r="BC6" i="24"/>
  <c r="BC8" i="24" s="1"/>
  <c r="BB6" i="24"/>
  <c r="BB8" i="24" s="1"/>
  <c r="BA6" i="24"/>
  <c r="AY6" i="24"/>
  <c r="AY8" i="24" s="1"/>
  <c r="AX6" i="24"/>
  <c r="AX8" i="24" s="1"/>
  <c r="AW6" i="24"/>
  <c r="AW8" i="24" s="1"/>
  <c r="AV6" i="24"/>
  <c r="AV8" i="24" s="1"/>
  <c r="AU6" i="24"/>
  <c r="AU8" i="24" s="1"/>
  <c r="AT6" i="24"/>
  <c r="AT8" i="24" s="1"/>
  <c r="AR6" i="24"/>
  <c r="AR8" i="24" s="1"/>
  <c r="AQ6" i="24"/>
  <c r="AQ8" i="24" s="1"/>
  <c r="AP6" i="24"/>
  <c r="AP8" i="24" s="1"/>
  <c r="AO6" i="24"/>
  <c r="AO8" i="24" s="1"/>
  <c r="AN6" i="24"/>
  <c r="AM6" i="24"/>
  <c r="AM8" i="24" s="1"/>
  <c r="AK6" i="24"/>
  <c r="AK8" i="24" s="1"/>
  <c r="AJ6" i="24"/>
  <c r="AJ8" i="24" s="1"/>
  <c r="AI6" i="24"/>
  <c r="AI8" i="24" s="1"/>
  <c r="AH6" i="24"/>
  <c r="AG6" i="24"/>
  <c r="AG8" i="24" s="1"/>
  <c r="AF6" i="24"/>
  <c r="AF8" i="24" s="1"/>
  <c r="AD6" i="24"/>
  <c r="AD8" i="24" s="1"/>
  <c r="AC6" i="24"/>
  <c r="AC8" i="24" s="1"/>
  <c r="AB6" i="24"/>
  <c r="AB8" i="24" s="1"/>
  <c r="AA6" i="24"/>
  <c r="AA8" i="24" s="1"/>
  <c r="Z6" i="24"/>
  <c r="Z8" i="24" s="1"/>
  <c r="Y6" i="24"/>
  <c r="W6" i="24"/>
  <c r="W8" i="24" s="1"/>
  <c r="V6" i="24"/>
  <c r="V8" i="24" s="1"/>
  <c r="U6" i="24"/>
  <c r="U8" i="24" s="1"/>
  <c r="T6" i="24"/>
  <c r="S6" i="24"/>
  <c r="S8" i="24" s="1"/>
  <c r="R6" i="24"/>
  <c r="R8" i="24" s="1"/>
  <c r="P6" i="24"/>
  <c r="P8" i="24" s="1"/>
  <c r="O6" i="24"/>
  <c r="O8" i="24" s="1"/>
  <c r="N6" i="24"/>
  <c r="N8" i="24" s="1"/>
  <c r="M6" i="24"/>
  <c r="M8" i="24" s="1"/>
  <c r="L6" i="24"/>
  <c r="L8" i="24" s="1"/>
  <c r="K6" i="24"/>
  <c r="K8" i="24" s="1"/>
  <c r="I6" i="24"/>
  <c r="I8" i="24" s="1"/>
  <c r="H6" i="24"/>
  <c r="H8" i="24" s="1"/>
  <c r="G6" i="24"/>
  <c r="G8" i="24" s="1"/>
  <c r="F6" i="24"/>
  <c r="F8" i="24" s="1"/>
  <c r="E6" i="24"/>
  <c r="E8" i="24" s="1"/>
  <c r="D6" i="24"/>
  <c r="D8" i="24" s="1"/>
  <c r="J16" i="9" l="1"/>
  <c r="J46" i="9" s="1"/>
  <c r="J79" i="9" s="1"/>
  <c r="AE141" i="32"/>
  <c r="AE143" i="32" s="1"/>
  <c r="DB46" i="32"/>
  <c r="CB140" i="32"/>
  <c r="AS141" i="32"/>
  <c r="AS143" i="32" s="1"/>
  <c r="Q141" i="32"/>
  <c r="Q143" i="32" s="1"/>
  <c r="BN141" i="32"/>
  <c r="BN143" i="32" s="1"/>
  <c r="BU125" i="32"/>
  <c r="BU126" i="32"/>
  <c r="BU79" i="32"/>
  <c r="BU87" i="32"/>
  <c r="BU96" i="32" s="1"/>
  <c r="DA48" i="32"/>
  <c r="AZ72" i="32"/>
  <c r="CX70" i="32"/>
  <c r="BG70" i="32"/>
  <c r="CX46" i="32"/>
  <c r="AZ140" i="32"/>
  <c r="CB124" i="32"/>
  <c r="CB132" i="32"/>
  <c r="DC46" i="32"/>
  <c r="CI140" i="32"/>
  <c r="J48" i="32"/>
  <c r="CR46" i="32"/>
  <c r="J140" i="32"/>
  <c r="BG126" i="32"/>
  <c r="BG125" i="32"/>
  <c r="BG87" i="32"/>
  <c r="BG96" i="32" s="1"/>
  <c r="BG79" i="32"/>
  <c r="CY48" i="32"/>
  <c r="AL125" i="32"/>
  <c r="AL126" i="32"/>
  <c r="AL79" i="32"/>
  <c r="AL87" i="32"/>
  <c r="AL96" i="32" s="1"/>
  <c r="CV48" i="32"/>
  <c r="X141" i="32"/>
  <c r="X143" i="32" s="1"/>
  <c r="AE126" i="32"/>
  <c r="AE125" i="32"/>
  <c r="AE87" i="32"/>
  <c r="AE96" i="32" s="1"/>
  <c r="AE79" i="32"/>
  <c r="CU48" i="32"/>
  <c r="AZ124" i="32"/>
  <c r="AZ133" i="32"/>
  <c r="AZ132" i="32"/>
  <c r="AS125" i="32"/>
  <c r="AS126" i="32"/>
  <c r="AS79" i="32"/>
  <c r="AS87" i="32"/>
  <c r="AS96" i="32" s="1"/>
  <c r="CW48" i="32"/>
  <c r="CI124" i="32"/>
  <c r="CI132" i="32"/>
  <c r="Q125" i="32"/>
  <c r="Q126" i="32"/>
  <c r="Q79" i="32"/>
  <c r="Q87" i="32"/>
  <c r="Q96" i="32" s="1"/>
  <c r="CS48" i="32"/>
  <c r="BN125" i="32"/>
  <c r="BN126" i="32"/>
  <c r="BN79" i="32"/>
  <c r="BN87" i="32"/>
  <c r="BN96" i="32" s="1"/>
  <c r="CZ48" i="32"/>
  <c r="BU141" i="32"/>
  <c r="BU143" i="32" s="1"/>
  <c r="X126" i="32"/>
  <c r="X125" i="32"/>
  <c r="X87" i="32"/>
  <c r="X96" i="32" s="1"/>
  <c r="CT48" i="32"/>
  <c r="J133" i="32"/>
  <c r="J124" i="32"/>
  <c r="J132" i="32"/>
  <c r="CW72" i="32"/>
  <c r="AS111" i="32"/>
  <c r="AS109" i="32"/>
  <c r="AS110" i="32"/>
  <c r="BG141" i="32"/>
  <c r="BG143" i="32" s="1"/>
  <c r="AL141" i="32"/>
  <c r="AL143" i="32" s="1"/>
  <c r="J95" i="24"/>
  <c r="J74" i="24"/>
  <c r="J63" i="24"/>
  <c r="AE62" i="24"/>
  <c r="AE162" i="24" s="1"/>
  <c r="BG62" i="24"/>
  <c r="CI62" i="24"/>
  <c r="J95" i="28" s="1"/>
  <c r="J96" i="28" s="1"/>
  <c r="CL143" i="24"/>
  <c r="CN145" i="24"/>
  <c r="CN146" i="24" s="1"/>
  <c r="CM148" i="24"/>
  <c r="CM155" i="24" s="1"/>
  <c r="CM156" i="24" s="1"/>
  <c r="BG162" i="24"/>
  <c r="CI162" i="24"/>
  <c r="CM143" i="24"/>
  <c r="CL146" i="24"/>
  <c r="X140" i="24"/>
  <c r="AL62" i="24"/>
  <c r="BN62" i="24"/>
  <c r="CM146" i="24"/>
  <c r="J140" i="24"/>
  <c r="J110" i="30"/>
  <c r="AL111" i="9"/>
  <c r="AL66" i="9"/>
  <c r="AL110" i="9"/>
  <c r="AL109" i="9"/>
  <c r="AE88" i="9"/>
  <c r="AE97" i="9"/>
  <c r="AE98" i="9" s="1"/>
  <c r="AE123" i="9"/>
  <c r="Q88" i="9"/>
  <c r="Q97" i="9"/>
  <c r="Q98" i="9" s="1"/>
  <c r="Q123" i="9"/>
  <c r="Q8" i="9"/>
  <c r="Q16" i="9" s="1"/>
  <c r="Q46" i="9" s="1"/>
  <c r="Q48" i="9" s="1"/>
  <c r="Q117" i="9"/>
  <c r="Q116" i="9"/>
  <c r="X97" i="9"/>
  <c r="X98" i="9" s="1"/>
  <c r="X123" i="9"/>
  <c r="X88" i="9"/>
  <c r="AL97" i="9"/>
  <c r="AL98" i="9" s="1"/>
  <c r="AL123" i="9"/>
  <c r="AL88" i="9"/>
  <c r="AS8" i="9"/>
  <c r="AS16" i="9" s="1"/>
  <c r="AS46" i="9" s="1"/>
  <c r="AS116" i="9"/>
  <c r="AS117" i="9"/>
  <c r="X8" i="9"/>
  <c r="X16" i="9" s="1"/>
  <c r="X117" i="9"/>
  <c r="X116" i="9"/>
  <c r="AS88" i="9"/>
  <c r="AS97" i="9"/>
  <c r="AS98" i="9" s="1"/>
  <c r="AS123" i="9"/>
  <c r="AL116" i="9"/>
  <c r="AL117" i="9"/>
  <c r="AE117" i="9"/>
  <c r="AE116" i="9"/>
  <c r="J123" i="9"/>
  <c r="J117" i="9"/>
  <c r="J116" i="9"/>
  <c r="Q6" i="30"/>
  <c r="D49" i="3" s="1"/>
  <c r="J64" i="30"/>
  <c r="CN141" i="30"/>
  <c r="CO141" i="30"/>
  <c r="J10" i="30"/>
  <c r="CO146" i="30"/>
  <c r="CK156" i="30"/>
  <c r="CL148" i="30"/>
  <c r="CN156" i="30"/>
  <c r="CM148" i="30"/>
  <c r="BN51" i="28"/>
  <c r="Q11" i="30"/>
  <c r="AS52" i="30"/>
  <c r="AZ103" i="30" s="1"/>
  <c r="AZ52" i="30"/>
  <c r="BG103" i="30" s="1"/>
  <c r="CB51" i="29"/>
  <c r="CI101" i="29" s="1"/>
  <c r="BN52" i="30"/>
  <c r="BU103" i="30" s="1"/>
  <c r="AL52" i="30"/>
  <c r="AS103" i="30" s="1"/>
  <c r="BG52" i="30"/>
  <c r="BN103" i="30" s="1"/>
  <c r="CI51" i="29"/>
  <c r="Q52" i="30"/>
  <c r="X103" i="30" s="1"/>
  <c r="BU52" i="30"/>
  <c r="BU63" i="30" s="1"/>
  <c r="BU110" i="30" s="1"/>
  <c r="CL145" i="30"/>
  <c r="CK150" i="30"/>
  <c r="CK157" i="30" s="1"/>
  <c r="CK158" i="30" s="1"/>
  <c r="AE64" i="30"/>
  <c r="AE164" i="30" s="1"/>
  <c r="BG64" i="30"/>
  <c r="CI64" i="30"/>
  <c r="CI76" i="30" s="1"/>
  <c r="CK146" i="30"/>
  <c r="X64" i="30"/>
  <c r="X164" i="30" s="1"/>
  <c r="AZ64" i="30"/>
  <c r="AZ164" i="30" s="1"/>
  <c r="CB64" i="30"/>
  <c r="Q64" i="30"/>
  <c r="AS64" i="30"/>
  <c r="AS65" i="30" s="1"/>
  <c r="BU64" i="30"/>
  <c r="BU65" i="30" s="1"/>
  <c r="CB164" i="30"/>
  <c r="AL64" i="30"/>
  <c r="AL164" i="30" s="1"/>
  <c r="CI103" i="30"/>
  <c r="AS51" i="28"/>
  <c r="AZ101" i="28" s="1"/>
  <c r="BN51" i="29"/>
  <c r="BN61" i="29" s="1"/>
  <c r="BN107" i="29" s="1"/>
  <c r="X63" i="30"/>
  <c r="X109" i="30" s="1"/>
  <c r="BU51" i="29"/>
  <c r="CB101" i="29" s="1"/>
  <c r="CI63" i="30"/>
  <c r="J61" i="28"/>
  <c r="AE51" i="29"/>
  <c r="AL101" i="29" s="1"/>
  <c r="Q51" i="29"/>
  <c r="X101" i="29" s="1"/>
  <c r="AL103" i="30"/>
  <c r="BU51" i="24"/>
  <c r="CB101" i="24" s="1"/>
  <c r="X51" i="29"/>
  <c r="AE101" i="29" s="1"/>
  <c r="Q51" i="28"/>
  <c r="X101" i="28" s="1"/>
  <c r="BU51" i="28"/>
  <c r="CB101" i="28" s="1"/>
  <c r="AL51" i="29"/>
  <c r="AL61" i="29" s="1"/>
  <c r="AL107" i="29" s="1"/>
  <c r="CI51" i="28"/>
  <c r="AL51" i="28"/>
  <c r="AS101" i="28" s="1"/>
  <c r="BG51" i="29"/>
  <c r="BN101" i="29" s="1"/>
  <c r="Q103" i="30"/>
  <c r="CB51" i="28"/>
  <c r="CI101" i="28" s="1"/>
  <c r="AS51" i="29"/>
  <c r="AZ101" i="29" s="1"/>
  <c r="AZ51" i="28"/>
  <c r="BG101" i="28" s="1"/>
  <c r="X51" i="28"/>
  <c r="AE101" i="28" s="1"/>
  <c r="AE51" i="28"/>
  <c r="AL101" i="28" s="1"/>
  <c r="BG51" i="28"/>
  <c r="BG61" i="28" s="1"/>
  <c r="BG108" i="28" s="1"/>
  <c r="AZ51" i="29"/>
  <c r="BG101" i="29" s="1"/>
  <c r="J51" i="29"/>
  <c r="Q101" i="29" s="1"/>
  <c r="X51" i="24"/>
  <c r="X61" i="24" s="1"/>
  <c r="X107" i="24" s="1"/>
  <c r="AE51" i="24"/>
  <c r="AL101" i="24" s="1"/>
  <c r="BG51" i="24"/>
  <c r="BG61" i="24" s="1"/>
  <c r="AL51" i="24"/>
  <c r="AL61" i="24" s="1"/>
  <c r="BN51" i="24"/>
  <c r="BU101" i="24" s="1"/>
  <c r="AS51" i="24"/>
  <c r="AZ101" i="24" s="1"/>
  <c r="Q51" i="24"/>
  <c r="Q61" i="24" s="1"/>
  <c r="G16" i="28"/>
  <c r="L16" i="28"/>
  <c r="U16" i="28"/>
  <c r="Z16" i="28"/>
  <c r="AD16" i="28"/>
  <c r="AI16" i="28"/>
  <c r="AN16" i="28"/>
  <c r="AR16" i="28"/>
  <c r="AW16" i="28"/>
  <c r="BB16" i="28"/>
  <c r="BP16" i="28"/>
  <c r="BT16" i="28"/>
  <c r="BY16" i="28"/>
  <c r="BE16" i="29"/>
  <c r="AL8" i="9"/>
  <c r="AL16" i="9" s="1"/>
  <c r="AL46" i="9" s="1"/>
  <c r="X115" i="24"/>
  <c r="Q115" i="24"/>
  <c r="J114" i="24"/>
  <c r="CB13" i="29"/>
  <c r="AE8" i="9"/>
  <c r="I16" i="9"/>
  <c r="E16" i="9"/>
  <c r="H16" i="9"/>
  <c r="G16" i="9"/>
  <c r="D16" i="9"/>
  <c r="D16" i="30"/>
  <c r="H16" i="30"/>
  <c r="M16" i="30"/>
  <c r="V16" i="30"/>
  <c r="AA16" i="30"/>
  <c r="AF16" i="30"/>
  <c r="AJ16" i="30"/>
  <c r="AO16" i="30"/>
  <c r="AX16" i="30"/>
  <c r="BC16" i="30"/>
  <c r="BH16" i="30"/>
  <c r="BL16" i="30"/>
  <c r="BQ16" i="30"/>
  <c r="BZ16" i="30"/>
  <c r="CE16" i="30"/>
  <c r="CG16" i="29"/>
  <c r="F16" i="28"/>
  <c r="O16" i="28"/>
  <c r="Y16" i="28"/>
  <c r="AC16" i="28"/>
  <c r="AH16" i="28"/>
  <c r="AM16" i="28"/>
  <c r="AQ16" i="28"/>
  <c r="AV16" i="28"/>
  <c r="BE16" i="28"/>
  <c r="E16" i="29"/>
  <c r="I16" i="29"/>
  <c r="N16" i="29"/>
  <c r="S16" i="29"/>
  <c r="W16" i="29"/>
  <c r="AB16" i="29"/>
  <c r="AG16" i="29"/>
  <c r="AK16" i="29"/>
  <c r="AP16" i="29"/>
  <c r="AU16" i="29"/>
  <c r="AY16" i="29"/>
  <c r="BD16" i="29"/>
  <c r="BI16" i="29"/>
  <c r="BM16" i="29"/>
  <c r="BR16" i="29"/>
  <c r="BW16" i="29"/>
  <c r="CA16" i="29"/>
  <c r="CF16" i="29"/>
  <c r="BW16" i="28"/>
  <c r="CF16" i="28"/>
  <c r="AC16" i="29"/>
  <c r="AV16" i="29"/>
  <c r="BO16" i="29"/>
  <c r="U16" i="29"/>
  <c r="AI16" i="29"/>
  <c r="BY16" i="29"/>
  <c r="H16" i="28"/>
  <c r="M16" i="28"/>
  <c r="V16" i="28"/>
  <c r="AA16" i="28"/>
  <c r="AJ16" i="28"/>
  <c r="AT16" i="28"/>
  <c r="AX16" i="28"/>
  <c r="BC16" i="28"/>
  <c r="BH16" i="28"/>
  <c r="BL16" i="28"/>
  <c r="BQ16" i="28"/>
  <c r="CE16" i="28"/>
  <c r="M16" i="29"/>
  <c r="BQ16" i="29"/>
  <c r="CE16" i="29"/>
  <c r="BG13" i="29"/>
  <c r="BN13" i="29"/>
  <c r="CI13" i="29"/>
  <c r="E16" i="30"/>
  <c r="I16" i="30"/>
  <c r="N16" i="30"/>
  <c r="S16" i="30"/>
  <c r="W16" i="30"/>
  <c r="AB16" i="30"/>
  <c r="AG16" i="30"/>
  <c r="AK16" i="30"/>
  <c r="AP16" i="30"/>
  <c r="AU16" i="30"/>
  <c r="AY16" i="30"/>
  <c r="BD16" i="30"/>
  <c r="BI16" i="30"/>
  <c r="BM16" i="30"/>
  <c r="BR16" i="30"/>
  <c r="BW16" i="30"/>
  <c r="CA16" i="30"/>
  <c r="CF16" i="30"/>
  <c r="Q6" i="28"/>
  <c r="BJ16" i="28"/>
  <c r="BO16" i="28"/>
  <c r="BS16" i="28"/>
  <c r="BX16" i="28"/>
  <c r="CC16" i="28"/>
  <c r="CG16" i="28"/>
  <c r="AO16" i="28"/>
  <c r="J9" i="29"/>
  <c r="AZ9" i="29"/>
  <c r="CB9" i="29"/>
  <c r="Q10" i="29"/>
  <c r="BU10" i="29"/>
  <c r="J11" i="29"/>
  <c r="AL11" i="29"/>
  <c r="BN11" i="29"/>
  <c r="CP11" i="29"/>
  <c r="AE12" i="29"/>
  <c r="BG12" i="29"/>
  <c r="CB12" i="29"/>
  <c r="CI12" i="29"/>
  <c r="Q13" i="29"/>
  <c r="X13" i="29"/>
  <c r="AS13" i="29"/>
  <c r="AZ13" i="29"/>
  <c r="J9" i="30"/>
  <c r="X9" i="30"/>
  <c r="AZ9" i="30"/>
  <c r="BG9" i="30"/>
  <c r="CI9" i="30"/>
  <c r="CP9" i="30"/>
  <c r="X10" i="30"/>
  <c r="AE10" i="30"/>
  <c r="BG10" i="30"/>
  <c r="BU10" i="30"/>
  <c r="V16" i="24"/>
  <c r="BQ16" i="24"/>
  <c r="BU12" i="28"/>
  <c r="J13" i="28"/>
  <c r="AL13" i="28"/>
  <c r="AS13" i="28"/>
  <c r="BN13" i="28"/>
  <c r="BU13" i="28"/>
  <c r="CP13" i="28"/>
  <c r="G16" i="29"/>
  <c r="L16" i="29"/>
  <c r="P16" i="29"/>
  <c r="Z16" i="29"/>
  <c r="AD16" i="29"/>
  <c r="AN16" i="29"/>
  <c r="AR16" i="29"/>
  <c r="AW16" i="29"/>
  <c r="BB16" i="29"/>
  <c r="BF16" i="29"/>
  <c r="BK16" i="29"/>
  <c r="BP16" i="29"/>
  <c r="BT16" i="29"/>
  <c r="X6" i="30"/>
  <c r="AZ6" i="30"/>
  <c r="CB6" i="30"/>
  <c r="Q6" i="29"/>
  <c r="Y16" i="29"/>
  <c r="AM16" i="29"/>
  <c r="BA16" i="29"/>
  <c r="BS16" i="29"/>
  <c r="F16" i="29"/>
  <c r="X6" i="29"/>
  <c r="AH16" i="29"/>
  <c r="BX16" i="29"/>
  <c r="X9" i="29"/>
  <c r="AZ11" i="29"/>
  <c r="J12" i="29"/>
  <c r="Q12" i="29"/>
  <c r="AL12" i="29"/>
  <c r="AS12" i="29"/>
  <c r="BN12" i="29"/>
  <c r="BU12" i="29"/>
  <c r="CP12" i="29"/>
  <c r="J13" i="29"/>
  <c r="O16" i="29"/>
  <c r="AQ16" i="29"/>
  <c r="CI6" i="29"/>
  <c r="H16" i="29"/>
  <c r="AA16" i="29"/>
  <c r="CC8" i="29"/>
  <c r="CC16" i="29" s="1"/>
  <c r="AL9" i="29"/>
  <c r="BG9" i="29"/>
  <c r="BN9" i="29"/>
  <c r="CP9" i="29"/>
  <c r="AE10" i="29"/>
  <c r="AZ10" i="29"/>
  <c r="BG10" i="29"/>
  <c r="CB10" i="29"/>
  <c r="CI10" i="29"/>
  <c r="DC10" i="29" s="1"/>
  <c r="Q11" i="29"/>
  <c r="X11" i="29"/>
  <c r="AS11" i="29"/>
  <c r="BU11" i="29"/>
  <c r="CB11" i="29"/>
  <c r="AE13" i="29"/>
  <c r="AL13" i="29"/>
  <c r="D16" i="29"/>
  <c r="R16" i="29"/>
  <c r="V16" i="29"/>
  <c r="AE6" i="29"/>
  <c r="AL6" i="29"/>
  <c r="AJ16" i="29"/>
  <c r="AO16" i="29"/>
  <c r="BC16" i="29"/>
  <c r="BL16" i="29"/>
  <c r="BV16" i="29"/>
  <c r="BZ16" i="29"/>
  <c r="Q9" i="29"/>
  <c r="CS9" i="29" s="1"/>
  <c r="BU9" i="29"/>
  <c r="J10" i="29"/>
  <c r="AL10" i="29"/>
  <c r="BG11" i="29"/>
  <c r="CI11" i="29"/>
  <c r="DC11" i="29" s="1"/>
  <c r="X12" i="29"/>
  <c r="CT12" i="29" s="1"/>
  <c r="AZ12" i="29"/>
  <c r="BU13" i="29"/>
  <c r="CP13" i="29"/>
  <c r="J6" i="30"/>
  <c r="O16" i="30"/>
  <c r="Y16" i="30"/>
  <c r="AL6" i="30"/>
  <c r="AQ16" i="30"/>
  <c r="BA16" i="30"/>
  <c r="BE16" i="30"/>
  <c r="BJ16" i="30"/>
  <c r="BS16" i="30"/>
  <c r="CC16" i="30"/>
  <c r="AL9" i="30"/>
  <c r="BN9" i="30"/>
  <c r="BU9" i="30"/>
  <c r="CB9" i="30"/>
  <c r="Q10" i="30"/>
  <c r="AS10" i="30"/>
  <c r="CI10" i="30"/>
  <c r="X11" i="30"/>
  <c r="BN11" i="30"/>
  <c r="CB11" i="30"/>
  <c r="Q12" i="30"/>
  <c r="BG12" i="30"/>
  <c r="BU12" i="30"/>
  <c r="J13" i="30"/>
  <c r="AL13" i="30"/>
  <c r="BN13" i="30"/>
  <c r="CI13" i="30"/>
  <c r="CP13" i="30"/>
  <c r="T16" i="30"/>
  <c r="AC16" i="30"/>
  <c r="AS6" i="30"/>
  <c r="AV16" i="30"/>
  <c r="BU6" i="30"/>
  <c r="BX16" i="30"/>
  <c r="CG16" i="30"/>
  <c r="G16" i="30"/>
  <c r="L16" i="30"/>
  <c r="P16" i="30"/>
  <c r="U16" i="30"/>
  <c r="AE6" i="30"/>
  <c r="AD16" i="30"/>
  <c r="AI16" i="30"/>
  <c r="AN16" i="30"/>
  <c r="AR16" i="30"/>
  <c r="AW16" i="30"/>
  <c r="BG6" i="30"/>
  <c r="D55" i="3" s="1"/>
  <c r="BF16" i="30"/>
  <c r="BK16" i="30"/>
  <c r="BP16" i="30"/>
  <c r="BT16" i="30"/>
  <c r="BY16" i="30"/>
  <c r="CD16" i="30"/>
  <c r="CH16" i="30"/>
  <c r="AE9" i="30"/>
  <c r="AZ10" i="30"/>
  <c r="CB10" i="30"/>
  <c r="BG11" i="30"/>
  <c r="AZ12" i="30"/>
  <c r="AS13" i="30"/>
  <c r="J11" i="30"/>
  <c r="AL11" i="30"/>
  <c r="AZ11" i="30"/>
  <c r="CP11" i="30"/>
  <c r="AE12" i="30"/>
  <c r="AS12" i="30"/>
  <c r="CI12" i="30"/>
  <c r="X13" i="30"/>
  <c r="AZ13" i="30"/>
  <c r="BU13" i="30"/>
  <c r="CB13" i="30"/>
  <c r="CK120" i="30"/>
  <c r="CK16" i="30"/>
  <c r="BU115" i="30"/>
  <c r="CM120" i="30"/>
  <c r="CM16" i="30"/>
  <c r="BN6" i="30"/>
  <c r="D56" i="3" s="1"/>
  <c r="CL136" i="30"/>
  <c r="CL124" i="30"/>
  <c r="CL114" i="30"/>
  <c r="CL117" i="30" s="1"/>
  <c r="CP6" i="30"/>
  <c r="CP8" i="30" s="1"/>
  <c r="AE117" i="30"/>
  <c r="AE116" i="30"/>
  <c r="BG117" i="30"/>
  <c r="BG116" i="30"/>
  <c r="CI117" i="30"/>
  <c r="CI116" i="30"/>
  <c r="F8" i="30"/>
  <c r="F16" i="30" s="1"/>
  <c r="R8" i="30"/>
  <c r="R16" i="30" s="1"/>
  <c r="Z8" i="30"/>
  <c r="Z16" i="30" s="1"/>
  <c r="AH8" i="30"/>
  <c r="AH16" i="30" s="1"/>
  <c r="AT8" i="30"/>
  <c r="AT16" i="30" s="1"/>
  <c r="BB8" i="30"/>
  <c r="BB16" i="30" s="1"/>
  <c r="BV8" i="30"/>
  <c r="BV16" i="30" s="1"/>
  <c r="AL10" i="30"/>
  <c r="CI6" i="30"/>
  <c r="BU11" i="30"/>
  <c r="J12" i="30"/>
  <c r="BN12" i="30"/>
  <c r="BG142" i="30"/>
  <c r="BG76" i="30"/>
  <c r="BG65" i="30"/>
  <c r="BG97" i="30"/>
  <c r="BG98" i="30" s="1"/>
  <c r="CI65" i="30"/>
  <c r="CI97" i="30"/>
  <c r="CI98" i="30" s="1"/>
  <c r="CM121" i="30"/>
  <c r="CM136" i="30"/>
  <c r="CM124" i="30"/>
  <c r="CM114" i="30"/>
  <c r="CM117" i="30" s="1"/>
  <c r="J117" i="30"/>
  <c r="AL116" i="30"/>
  <c r="AL117" i="30"/>
  <c r="BN116" i="30"/>
  <c r="BN117" i="30"/>
  <c r="K8" i="30"/>
  <c r="K16" i="30" s="1"/>
  <c r="AM8" i="30"/>
  <c r="AM16" i="30" s="1"/>
  <c r="BO8" i="30"/>
  <c r="BO16" i="30" s="1"/>
  <c r="CO120" i="30"/>
  <c r="CO16" i="30"/>
  <c r="CJ136" i="30"/>
  <c r="CJ124" i="30"/>
  <c r="CJ114" i="30"/>
  <c r="CJ117" i="30" s="1"/>
  <c r="CJ121" i="30"/>
  <c r="CJ135" i="30"/>
  <c r="CJ8" i="30"/>
  <c r="CN136" i="30"/>
  <c r="CN124" i="30"/>
  <c r="CN114" i="30"/>
  <c r="CN117" i="30" s="1"/>
  <c r="CN8" i="30"/>
  <c r="Q116" i="30"/>
  <c r="Q117" i="30"/>
  <c r="AS116" i="30"/>
  <c r="AS117" i="30"/>
  <c r="BU116" i="30"/>
  <c r="BU117" i="30"/>
  <c r="AS9" i="30"/>
  <c r="CP10" i="30"/>
  <c r="AE11" i="30"/>
  <c r="CP12" i="30"/>
  <c r="AE13" i="30"/>
  <c r="CK136" i="30"/>
  <c r="CK124" i="30"/>
  <c r="CK114" i="30"/>
  <c r="CK117" i="30" s="1"/>
  <c r="CK135" i="30"/>
  <c r="CO136" i="30"/>
  <c r="CO124" i="30"/>
  <c r="CO114" i="30"/>
  <c r="CO117" i="30" s="1"/>
  <c r="X117" i="30"/>
  <c r="X116" i="30"/>
  <c r="AZ117" i="30"/>
  <c r="AZ116" i="30"/>
  <c r="CB117" i="30"/>
  <c r="CB116" i="30"/>
  <c r="CL8" i="30"/>
  <c r="Q9" i="30"/>
  <c r="BN10" i="30"/>
  <c r="AS11" i="30"/>
  <c r="CI11" i="30"/>
  <c r="X12" i="30"/>
  <c r="AL12" i="30"/>
  <c r="CB12" i="30"/>
  <c r="Q13" i="30"/>
  <c r="BG13" i="30"/>
  <c r="BG164" i="30"/>
  <c r="CI164" i="30"/>
  <c r="CM163" i="30"/>
  <c r="CM122" i="30"/>
  <c r="CP14" i="30"/>
  <c r="X97" i="30"/>
  <c r="X98" i="30" s="1"/>
  <c r="X76" i="30"/>
  <c r="X65" i="30"/>
  <c r="AL65" i="30"/>
  <c r="AL76" i="30"/>
  <c r="AZ76" i="30"/>
  <c r="AZ142" i="30"/>
  <c r="AZ65" i="30"/>
  <c r="BN64" i="30"/>
  <c r="CJ122" i="30"/>
  <c r="CJ163" i="30"/>
  <c r="CB97" i="30"/>
  <c r="CB98" i="30" s="1"/>
  <c r="CB76" i="30"/>
  <c r="CB65" i="30"/>
  <c r="BU76" i="30"/>
  <c r="CJ141" i="30"/>
  <c r="CJ142" i="30" s="1"/>
  <c r="CN135" i="30"/>
  <c r="X142" i="30"/>
  <c r="CB142" i="30"/>
  <c r="CJ146" i="30"/>
  <c r="CJ147" i="30"/>
  <c r="CJ148" i="30" s="1"/>
  <c r="CN146" i="30"/>
  <c r="CN147" i="30"/>
  <c r="CN148" i="30" s="1"/>
  <c r="CN145" i="30"/>
  <c r="CK141" i="30"/>
  <c r="CO135" i="30"/>
  <c r="CI142" i="30"/>
  <c r="CB63" i="30"/>
  <c r="CL141" i="30"/>
  <c r="AL142" i="30"/>
  <c r="CJ145" i="30"/>
  <c r="CN150" i="30"/>
  <c r="CN157" i="30" s="1"/>
  <c r="CN158" i="30" s="1"/>
  <c r="CM141" i="30"/>
  <c r="CM142" i="30" s="1"/>
  <c r="BU142" i="30"/>
  <c r="CK145" i="30"/>
  <c r="CO150" i="30"/>
  <c r="CO157" i="30" s="1"/>
  <c r="CO158" i="30" s="1"/>
  <c r="CL146" i="30"/>
  <c r="CJ150" i="30"/>
  <c r="CJ157" i="30" s="1"/>
  <c r="CJ158" i="30" s="1"/>
  <c r="CM150" i="30"/>
  <c r="CM157" i="30" s="1"/>
  <c r="CM158" i="30" s="1"/>
  <c r="CM145" i="30"/>
  <c r="CO145" i="30"/>
  <c r="CM146" i="30"/>
  <c r="CK147" i="30"/>
  <c r="CK148" i="30" s="1"/>
  <c r="CO147" i="30"/>
  <c r="CO148" i="30" s="1"/>
  <c r="CL149" i="30"/>
  <c r="CL150" i="30" s="1"/>
  <c r="CL157" i="30" s="1"/>
  <c r="CL158" i="30" s="1"/>
  <c r="CL135" i="30"/>
  <c r="CM135" i="30"/>
  <c r="BG6" i="29"/>
  <c r="CB6" i="29"/>
  <c r="CJ134" i="29"/>
  <c r="CJ112" i="29"/>
  <c r="CJ115" i="29" s="1"/>
  <c r="CJ122" i="29"/>
  <c r="CJ119" i="29"/>
  <c r="CP6" i="29"/>
  <c r="CP8" i="29" s="1"/>
  <c r="CJ8" i="29"/>
  <c r="CN134" i="29"/>
  <c r="CN112" i="29"/>
  <c r="CN115" i="29" s="1"/>
  <c r="CN122" i="29"/>
  <c r="CN8" i="29"/>
  <c r="Q115" i="29"/>
  <c r="Q114" i="29"/>
  <c r="AS115" i="29"/>
  <c r="AS114" i="29"/>
  <c r="BU115" i="29"/>
  <c r="BU114" i="29"/>
  <c r="CK118" i="29"/>
  <c r="CK16" i="29"/>
  <c r="AZ6" i="29"/>
  <c r="BN6" i="29"/>
  <c r="BH8" i="29"/>
  <c r="BH16" i="29" s="1"/>
  <c r="BU6" i="29"/>
  <c r="CK134" i="29"/>
  <c r="CK122" i="29"/>
  <c r="CK112" i="29"/>
  <c r="CK115" i="29" s="1"/>
  <c r="CO134" i="29"/>
  <c r="CO112" i="29"/>
  <c r="CO115" i="29" s="1"/>
  <c r="CO122" i="29"/>
  <c r="X115" i="29"/>
  <c r="X114" i="29"/>
  <c r="AZ115" i="29"/>
  <c r="AZ114" i="29"/>
  <c r="CB114" i="29"/>
  <c r="CB115" i="29"/>
  <c r="T8" i="29"/>
  <c r="T16" i="29" s="1"/>
  <c r="CM118" i="29"/>
  <c r="CM16" i="29"/>
  <c r="AE9" i="29"/>
  <c r="BN10" i="29"/>
  <c r="Q63" i="29"/>
  <c r="Q95" i="29"/>
  <c r="Q96" i="29" s="1"/>
  <c r="Q74" i="29"/>
  <c r="AS74" i="29"/>
  <c r="AS63" i="29"/>
  <c r="AS95" i="29"/>
  <c r="AS96" i="29" s="1"/>
  <c r="BU95" i="29"/>
  <c r="BU96" i="29" s="1"/>
  <c r="BU74" i="29"/>
  <c r="BU63" i="29"/>
  <c r="AS6" i="29"/>
  <c r="CD16" i="29"/>
  <c r="CH16" i="29"/>
  <c r="K8" i="29"/>
  <c r="K16" i="29" s="1"/>
  <c r="AF8" i="29"/>
  <c r="AF16" i="29" s="1"/>
  <c r="CO118" i="29"/>
  <c r="CO16" i="29"/>
  <c r="AS10" i="29"/>
  <c r="J6" i="29"/>
  <c r="D36" i="3" s="1"/>
  <c r="AT16" i="29"/>
  <c r="AX16" i="29"/>
  <c r="BJ16" i="29"/>
  <c r="CM134" i="29"/>
  <c r="CM122" i="29"/>
  <c r="CM112" i="29"/>
  <c r="CM115" i="29" s="1"/>
  <c r="CM119" i="29"/>
  <c r="J114" i="29"/>
  <c r="J115" i="29"/>
  <c r="AL114" i="29"/>
  <c r="AL115" i="29"/>
  <c r="BN114" i="29"/>
  <c r="BN115" i="29"/>
  <c r="AS9" i="29"/>
  <c r="CI9" i="29"/>
  <c r="X10" i="29"/>
  <c r="CP10" i="29"/>
  <c r="AE11" i="29"/>
  <c r="CS19" i="29"/>
  <c r="Q162" i="29"/>
  <c r="AS162" i="29"/>
  <c r="BU162" i="29"/>
  <c r="BG74" i="29"/>
  <c r="CB162" i="29"/>
  <c r="CP14" i="29"/>
  <c r="J96" i="29"/>
  <c r="J74" i="29"/>
  <c r="J63" i="29"/>
  <c r="X62" i="29"/>
  <c r="CI74" i="29"/>
  <c r="BG63" i="29"/>
  <c r="CM161" i="29"/>
  <c r="CM120" i="29"/>
  <c r="AL95" i="29"/>
  <c r="AL96" i="29" s="1"/>
  <c r="AL74" i="29"/>
  <c r="AL63" i="29"/>
  <c r="AZ62" i="29"/>
  <c r="AZ162" i="29" s="1"/>
  <c r="CI63" i="29"/>
  <c r="CL134" i="29"/>
  <c r="CL112" i="29"/>
  <c r="CL115" i="29" s="1"/>
  <c r="CL122" i="29"/>
  <c r="CL133" i="29"/>
  <c r="AE114" i="29"/>
  <c r="AE115" i="29"/>
  <c r="BG114" i="29"/>
  <c r="BG115" i="29"/>
  <c r="CI114" i="29"/>
  <c r="CI115" i="29"/>
  <c r="CL8" i="29"/>
  <c r="CJ161" i="29"/>
  <c r="CJ120" i="29"/>
  <c r="AE74" i="29"/>
  <c r="BN95" i="29"/>
  <c r="BN96" i="29" s="1"/>
  <c r="BN74" i="29"/>
  <c r="BN63" i="29"/>
  <c r="CB62" i="29"/>
  <c r="CK148" i="29"/>
  <c r="CL147" i="29"/>
  <c r="CL148" i="29" s="1"/>
  <c r="CL155" i="29" s="1"/>
  <c r="CL156" i="29" s="1"/>
  <c r="CM139" i="29"/>
  <c r="CM133" i="29"/>
  <c r="Q140" i="29"/>
  <c r="AS140" i="29"/>
  <c r="BU140" i="29"/>
  <c r="CJ133" i="29"/>
  <c r="CN139" i="29"/>
  <c r="X140" i="29"/>
  <c r="AZ140" i="29"/>
  <c r="CK139" i="29"/>
  <c r="CK133" i="29"/>
  <c r="CO139" i="29"/>
  <c r="CO133" i="29"/>
  <c r="AE140" i="29"/>
  <c r="CN133" i="29"/>
  <c r="CJ139" i="29"/>
  <c r="CM157" i="29"/>
  <c r="CL157" i="29"/>
  <c r="CK155" i="29"/>
  <c r="CK156" i="29" s="1"/>
  <c r="CL139" i="29"/>
  <c r="J140" i="29"/>
  <c r="AL140" i="29"/>
  <c r="BN140" i="29"/>
  <c r="CJ145" i="29"/>
  <c r="CJ146" i="29" s="1"/>
  <c r="CJ148" i="29"/>
  <c r="CJ155" i="29" s="1"/>
  <c r="CJ156" i="29" s="1"/>
  <c r="CJ144" i="29"/>
  <c r="CN144" i="29"/>
  <c r="CN155" i="29"/>
  <c r="CN156" i="29" s="1"/>
  <c r="CN157" i="29" s="1"/>
  <c r="BG140" i="29"/>
  <c r="CI140" i="29"/>
  <c r="CJ140" i="29"/>
  <c r="CM138" i="29"/>
  <c r="CM140" i="29" s="1"/>
  <c r="CK143" i="29"/>
  <c r="CK157" i="29" s="1"/>
  <c r="CO143" i="29"/>
  <c r="CO157" i="29" s="1"/>
  <c r="CL143" i="29"/>
  <c r="CM143" i="29"/>
  <c r="I16" i="28"/>
  <c r="S16" i="28"/>
  <c r="AZ9" i="28"/>
  <c r="J10" i="28"/>
  <c r="CI10" i="28"/>
  <c r="T16" i="28"/>
  <c r="AZ11" i="28"/>
  <c r="BG11" i="28"/>
  <c r="CB11" i="28"/>
  <c r="CI11" i="28"/>
  <c r="Q12" i="28"/>
  <c r="X12" i="28"/>
  <c r="AS12" i="28"/>
  <c r="AL9" i="28"/>
  <c r="BU9" i="28"/>
  <c r="CP9" i="28"/>
  <c r="AE10" i="28"/>
  <c r="AL10" i="28"/>
  <c r="BG10" i="28"/>
  <c r="E16" i="28"/>
  <c r="N16" i="28"/>
  <c r="W16" i="28"/>
  <c r="AB16" i="28"/>
  <c r="AG16" i="28"/>
  <c r="AU16" i="28"/>
  <c r="AY16" i="28"/>
  <c r="BD16" i="28"/>
  <c r="BI16" i="28"/>
  <c r="BM16" i="28"/>
  <c r="BR16" i="28"/>
  <c r="CA16" i="28"/>
  <c r="P16" i="28"/>
  <c r="AE9" i="28"/>
  <c r="X10" i="28"/>
  <c r="AZ10" i="28"/>
  <c r="CB10" i="28"/>
  <c r="Q11" i="28"/>
  <c r="AS11" i="28"/>
  <c r="BU11" i="28"/>
  <c r="J12" i="28"/>
  <c r="AL12" i="28"/>
  <c r="BN12" i="28"/>
  <c r="CP12" i="28"/>
  <c r="AE13" i="28"/>
  <c r="BG13" i="28"/>
  <c r="CI13" i="28"/>
  <c r="BG6" i="28"/>
  <c r="AK16" i="28"/>
  <c r="J9" i="28"/>
  <c r="X9" i="28"/>
  <c r="BN9" i="28"/>
  <c r="CB9" i="28"/>
  <c r="Q10" i="28"/>
  <c r="AS10" i="28"/>
  <c r="BU10" i="28"/>
  <c r="J11" i="28"/>
  <c r="AL11" i="28"/>
  <c r="BN11" i="28"/>
  <c r="CP11" i="28"/>
  <c r="AE12" i="28"/>
  <c r="BG12" i="28"/>
  <c r="AZ13" i="28"/>
  <c r="CB13" i="28"/>
  <c r="CO134" i="28"/>
  <c r="CO122" i="28"/>
  <c r="CO112" i="28"/>
  <c r="CO115" i="28" s="1"/>
  <c r="CM118" i="28"/>
  <c r="CM16" i="28"/>
  <c r="X13" i="28"/>
  <c r="AF16" i="28"/>
  <c r="X6" i="28"/>
  <c r="BU6" i="28"/>
  <c r="CD16" i="28"/>
  <c r="CL134" i="28"/>
  <c r="CL122" i="28"/>
  <c r="CL112" i="28"/>
  <c r="CL115" i="28" s="1"/>
  <c r="CL8" i="28"/>
  <c r="X114" i="28"/>
  <c r="X115" i="28"/>
  <c r="CB114" i="28"/>
  <c r="CB115" i="28"/>
  <c r="AP16" i="28"/>
  <c r="BA8" i="28"/>
  <c r="BA16" i="28" s="1"/>
  <c r="BF16" i="28"/>
  <c r="BK16" i="28"/>
  <c r="CO8" i="28"/>
  <c r="BN10" i="28"/>
  <c r="AZ12" i="28"/>
  <c r="J6" i="28"/>
  <c r="AE6" i="28"/>
  <c r="D27" i="3" s="1"/>
  <c r="CK134" i="28"/>
  <c r="CK112" i="28"/>
  <c r="CK115" i="28" s="1"/>
  <c r="CK122" i="28"/>
  <c r="CI12" i="28"/>
  <c r="CH16" i="28"/>
  <c r="CP6" i="28"/>
  <c r="CP8" i="28" s="1"/>
  <c r="AZ114" i="28"/>
  <c r="AZ115" i="28"/>
  <c r="AS9" i="28"/>
  <c r="X11" i="28"/>
  <c r="D16" i="28"/>
  <c r="AS6" i="28"/>
  <c r="BN6" i="28"/>
  <c r="D32" i="3" s="1"/>
  <c r="CB6" i="28"/>
  <c r="D34" i="3" s="1"/>
  <c r="BV8" i="28"/>
  <c r="BV16" i="28" s="1"/>
  <c r="BZ16" i="28"/>
  <c r="CI6" i="28"/>
  <c r="CM134" i="28"/>
  <c r="CM122" i="28"/>
  <c r="CM112" i="28"/>
  <c r="CM115" i="28" s="1"/>
  <c r="CM119" i="28"/>
  <c r="CM133" i="28"/>
  <c r="AE114" i="28"/>
  <c r="AE115" i="28"/>
  <c r="BG114" i="28"/>
  <c r="BG115" i="28"/>
  <c r="CI114" i="28"/>
  <c r="CI115" i="28"/>
  <c r="K8" i="28"/>
  <c r="K16" i="28" s="1"/>
  <c r="CP10" i="28"/>
  <c r="AE11" i="28"/>
  <c r="CB12" i="28"/>
  <c r="Q13" i="28"/>
  <c r="CI9" i="28"/>
  <c r="AL6" i="28"/>
  <c r="AZ6" i="28"/>
  <c r="J115" i="28"/>
  <c r="J114" i="28"/>
  <c r="AL115" i="28"/>
  <c r="AL114" i="28"/>
  <c r="BN115" i="28"/>
  <c r="BN114" i="28"/>
  <c r="R8" i="28"/>
  <c r="R16" i="28" s="1"/>
  <c r="CK8" i="28"/>
  <c r="Q9" i="28"/>
  <c r="BG9" i="28"/>
  <c r="AE162" i="28"/>
  <c r="BG162" i="28"/>
  <c r="CI162" i="28"/>
  <c r="CM161" i="28"/>
  <c r="CM120" i="28"/>
  <c r="BU101" i="28"/>
  <c r="BN61" i="28"/>
  <c r="BN95" i="28"/>
  <c r="BN96" i="28" s="1"/>
  <c r="BN63" i="28"/>
  <c r="BN74" i="28"/>
  <c r="BN162" i="28"/>
  <c r="CJ161" i="28"/>
  <c r="CJ120" i="28"/>
  <c r="BU162" i="28"/>
  <c r="CI95" i="28"/>
  <c r="CI96" i="28" s="1"/>
  <c r="CI74" i="28"/>
  <c r="CI63" i="28"/>
  <c r="CJ134" i="28"/>
  <c r="CJ119" i="28"/>
  <c r="CJ122" i="28"/>
  <c r="CJ112" i="28"/>
  <c r="CJ115" i="28" s="1"/>
  <c r="CN134" i="28"/>
  <c r="CN112" i="28"/>
  <c r="CN115" i="28" s="1"/>
  <c r="CN122" i="28"/>
  <c r="Q115" i="28"/>
  <c r="Q114" i="28"/>
  <c r="AS115" i="28"/>
  <c r="AS114" i="28"/>
  <c r="BU115" i="28"/>
  <c r="BU114" i="28"/>
  <c r="CJ8" i="28"/>
  <c r="CN8" i="28"/>
  <c r="CP14" i="28"/>
  <c r="AL95" i="28"/>
  <c r="AL96" i="28" s="1"/>
  <c r="AL74" i="28"/>
  <c r="AL63" i="28"/>
  <c r="CB74" i="28"/>
  <c r="AE95" i="28"/>
  <c r="AE96" i="28" s="1"/>
  <c r="AE74" i="28"/>
  <c r="AE63" i="28"/>
  <c r="BG95" i="28"/>
  <c r="BG96" i="28" s="1"/>
  <c r="BG74" i="28"/>
  <c r="BG63" i="28"/>
  <c r="BG140" i="28"/>
  <c r="CL139" i="28"/>
  <c r="CL133" i="28"/>
  <c r="J140" i="28"/>
  <c r="AL140" i="28"/>
  <c r="BN140" i="28"/>
  <c r="CK148" i="28"/>
  <c r="CL147" i="28"/>
  <c r="CL148" i="28" s="1"/>
  <c r="CL155" i="28" s="1"/>
  <c r="CL156" i="28" s="1"/>
  <c r="J74" i="28"/>
  <c r="X74" i="28"/>
  <c r="X63" i="28"/>
  <c r="AZ74" i="28"/>
  <c r="AZ63" i="28"/>
  <c r="CB63" i="28"/>
  <c r="BU62" i="28"/>
  <c r="CB95" i="28" s="1"/>
  <c r="CB96" i="28" s="1"/>
  <c r="AS62" i="28"/>
  <c r="AZ95" i="28" s="1"/>
  <c r="AZ96" i="28" s="1"/>
  <c r="Q62" i="28"/>
  <c r="Q162" i="28" s="1"/>
  <c r="CO133" i="28"/>
  <c r="AE140" i="28"/>
  <c r="CI140" i="28"/>
  <c r="CM139" i="28"/>
  <c r="CM140" i="28" s="1"/>
  <c r="AS140" i="28"/>
  <c r="BU140" i="28"/>
  <c r="CJ144" i="28"/>
  <c r="CJ157" i="28" s="1"/>
  <c r="CN144" i="28"/>
  <c r="CJ143" i="28"/>
  <c r="CJ139" i="28"/>
  <c r="CN133" i="28"/>
  <c r="X140" i="28"/>
  <c r="CB140" i="28"/>
  <c r="CN148" i="28"/>
  <c r="CN155" i="28" s="1"/>
  <c r="CN156" i="28" s="1"/>
  <c r="CN157" i="28" s="1"/>
  <c r="CK157" i="28"/>
  <c r="CK144" i="28"/>
  <c r="CO144" i="28"/>
  <c r="CO157" i="28" s="1"/>
  <c r="CK143" i="28"/>
  <c r="CJ133" i="28"/>
  <c r="CJ140" i="28"/>
  <c r="CK155" i="28"/>
  <c r="CK156" i="28" s="1"/>
  <c r="CK133" i="28"/>
  <c r="CL143" i="28"/>
  <c r="CL157" i="28" s="1"/>
  <c r="CM143" i="28"/>
  <c r="CM157" i="28" s="1"/>
  <c r="Q63" i="24"/>
  <c r="Q140" i="24"/>
  <c r="Q162" i="24"/>
  <c r="Q74" i="24"/>
  <c r="Q95" i="24"/>
  <c r="Q96" i="24" s="1"/>
  <c r="J162" i="24"/>
  <c r="J96" i="24"/>
  <c r="X74" i="24"/>
  <c r="X95" i="24"/>
  <c r="X96" i="24" s="1"/>
  <c r="G16" i="24"/>
  <c r="L16" i="24"/>
  <c r="P16" i="24"/>
  <c r="U16" i="24"/>
  <c r="Z16" i="24"/>
  <c r="AD16" i="24"/>
  <c r="AI16" i="24"/>
  <c r="AR16" i="24"/>
  <c r="AW16" i="24"/>
  <c r="BB16" i="24"/>
  <c r="BF16" i="24"/>
  <c r="BK16" i="24"/>
  <c r="BP16" i="24"/>
  <c r="BT16" i="24"/>
  <c r="BY16" i="24"/>
  <c r="CD16" i="24"/>
  <c r="CH16" i="24"/>
  <c r="E16" i="24"/>
  <c r="I16" i="24"/>
  <c r="N16" i="24"/>
  <c r="S16" i="24"/>
  <c r="W16" i="24"/>
  <c r="AB16" i="24"/>
  <c r="AG16" i="24"/>
  <c r="AK16" i="24"/>
  <c r="AP16" i="24"/>
  <c r="AU16" i="24"/>
  <c r="AY16" i="24"/>
  <c r="BD16" i="24"/>
  <c r="BI16" i="24"/>
  <c r="BM16" i="24"/>
  <c r="BR16" i="24"/>
  <c r="BW16" i="24"/>
  <c r="CA16" i="24"/>
  <c r="CF16" i="24"/>
  <c r="AS9" i="24"/>
  <c r="BU9" i="24"/>
  <c r="AZ10" i="24"/>
  <c r="AL11" i="24"/>
  <c r="AS11" i="24"/>
  <c r="BU11" i="24"/>
  <c r="J12" i="24"/>
  <c r="AL12" i="24"/>
  <c r="F16" i="24"/>
  <c r="BX16" i="24"/>
  <c r="CC16" i="24"/>
  <c r="CG16" i="24"/>
  <c r="CB9" i="24"/>
  <c r="CI9" i="24"/>
  <c r="BU10" i="24"/>
  <c r="BN12" i="24"/>
  <c r="CP12" i="24"/>
  <c r="AE13" i="24"/>
  <c r="BG13" i="24"/>
  <c r="CI13" i="24"/>
  <c r="CP13" i="24"/>
  <c r="X13" i="24"/>
  <c r="X6" i="24"/>
  <c r="AL6" i="24"/>
  <c r="BN6" i="24"/>
  <c r="AS6" i="24"/>
  <c r="J9" i="24"/>
  <c r="AE9" i="24"/>
  <c r="BG9" i="24"/>
  <c r="BN9" i="24"/>
  <c r="J10" i="24"/>
  <c r="BN10" i="24"/>
  <c r="CI10" i="24"/>
  <c r="X11" i="24"/>
  <c r="AZ11" i="24"/>
  <c r="BG11" i="24"/>
  <c r="CB11" i="24"/>
  <c r="CI11" i="24"/>
  <c r="Q12" i="24"/>
  <c r="X12" i="24"/>
  <c r="AZ12" i="24"/>
  <c r="CB12" i="24"/>
  <c r="Q13" i="24"/>
  <c r="AL13" i="24"/>
  <c r="CV13" i="24" s="1"/>
  <c r="AS13" i="24"/>
  <c r="BN13" i="24"/>
  <c r="BU13" i="24"/>
  <c r="BG12" i="24"/>
  <c r="CI12" i="24"/>
  <c r="K16" i="24"/>
  <c r="AE6" i="24"/>
  <c r="Q9" i="24"/>
  <c r="AE10" i="24"/>
  <c r="BG10" i="24"/>
  <c r="D16" i="24"/>
  <c r="H16" i="24"/>
  <c r="M16" i="24"/>
  <c r="R16" i="24"/>
  <c r="AA16" i="24"/>
  <c r="AF16" i="24"/>
  <c r="AJ16" i="24"/>
  <c r="AO16" i="24"/>
  <c r="AT16" i="24"/>
  <c r="AX16" i="24"/>
  <c r="BC16" i="24"/>
  <c r="BV16" i="24"/>
  <c r="BZ16" i="24"/>
  <c r="CE16" i="24"/>
  <c r="X10" i="24"/>
  <c r="CB10" i="24"/>
  <c r="Q11" i="24"/>
  <c r="AZ51" i="24"/>
  <c r="AZ61" i="24" s="1"/>
  <c r="CB51" i="24"/>
  <c r="CB61" i="24" s="1"/>
  <c r="Q10" i="24"/>
  <c r="O16" i="24"/>
  <c r="AC16" i="24"/>
  <c r="BE16" i="24"/>
  <c r="BO16" i="24"/>
  <c r="BS16" i="24"/>
  <c r="BH16" i="24"/>
  <c r="AL9" i="24"/>
  <c r="CP9" i="24"/>
  <c r="CT38" i="24"/>
  <c r="CJ122" i="24"/>
  <c r="CJ112" i="24"/>
  <c r="CJ115" i="24" s="1"/>
  <c r="CJ134" i="24"/>
  <c r="CJ119" i="24"/>
  <c r="AS10" i="24"/>
  <c r="Q6" i="24"/>
  <c r="J6" i="24"/>
  <c r="AM16" i="24"/>
  <c r="AQ16" i="24"/>
  <c r="CB6" i="24"/>
  <c r="CK134" i="24"/>
  <c r="CK122" i="24"/>
  <c r="CK112" i="24"/>
  <c r="CK115" i="24" s="1"/>
  <c r="CO134" i="24"/>
  <c r="CO122" i="24"/>
  <c r="CO112" i="24"/>
  <c r="CO115" i="24" s="1"/>
  <c r="AS115" i="24"/>
  <c r="AS114" i="24"/>
  <c r="BU114" i="24"/>
  <c r="BU115" i="24"/>
  <c r="AH8" i="24"/>
  <c r="AH16" i="24" s="1"/>
  <c r="AN8" i="24"/>
  <c r="AN16" i="24" s="1"/>
  <c r="CJ8" i="24"/>
  <c r="CO8" i="24"/>
  <c r="AZ9" i="24"/>
  <c r="AL162" i="24"/>
  <c r="BN162" i="24"/>
  <c r="CJ161" i="24"/>
  <c r="CJ120" i="24"/>
  <c r="CP14" i="24"/>
  <c r="AZ6" i="24"/>
  <c r="D18" i="3" s="1"/>
  <c r="BU6" i="24"/>
  <c r="CI6" i="24"/>
  <c r="CL134" i="24"/>
  <c r="CL122" i="24"/>
  <c r="CL112" i="24"/>
  <c r="CL115" i="24" s="1"/>
  <c r="CP6" i="24"/>
  <c r="CP8" i="24" s="1"/>
  <c r="AZ114" i="24"/>
  <c r="AZ115" i="24"/>
  <c r="CB114" i="24"/>
  <c r="CB115" i="24"/>
  <c r="T8" i="24"/>
  <c r="T16" i="24" s="1"/>
  <c r="Y8" i="24"/>
  <c r="Y16" i="24" s="1"/>
  <c r="BJ8" i="24"/>
  <c r="BJ16" i="24" s="1"/>
  <c r="X9" i="24"/>
  <c r="AL10" i="24"/>
  <c r="CP10" i="24"/>
  <c r="J11" i="24"/>
  <c r="AE11" i="24"/>
  <c r="BN11" i="24"/>
  <c r="AS12" i="24"/>
  <c r="AZ13" i="24"/>
  <c r="CN134" i="24"/>
  <c r="CN122" i="24"/>
  <c r="CN112" i="24"/>
  <c r="CN115" i="24" s="1"/>
  <c r="CN8" i="24"/>
  <c r="BG6" i="24"/>
  <c r="AE115" i="24"/>
  <c r="AE114" i="24"/>
  <c r="BG115" i="24"/>
  <c r="BG114" i="24"/>
  <c r="CI115" i="24"/>
  <c r="CI114" i="24"/>
  <c r="AV16" i="24"/>
  <c r="BA8" i="24"/>
  <c r="BA16" i="24" s="1"/>
  <c r="BL16" i="24"/>
  <c r="CL118" i="24"/>
  <c r="CL16" i="24"/>
  <c r="CP11" i="24"/>
  <c r="AE12" i="24"/>
  <c r="BU12" i="24"/>
  <c r="J13" i="24"/>
  <c r="CB13" i="24"/>
  <c r="CK16" i="24"/>
  <c r="CM134" i="24"/>
  <c r="CM119" i="24"/>
  <c r="CM122" i="24"/>
  <c r="CM112" i="24"/>
  <c r="CM115" i="24" s="1"/>
  <c r="AL115" i="24"/>
  <c r="AL114" i="24"/>
  <c r="BN115" i="24"/>
  <c r="BN114" i="24"/>
  <c r="CM8" i="24"/>
  <c r="AL140" i="24"/>
  <c r="AL95" i="24"/>
  <c r="AL96" i="24" s="1"/>
  <c r="AL63" i="24"/>
  <c r="AL74" i="24"/>
  <c r="BN95" i="24"/>
  <c r="BN96" i="24" s="1"/>
  <c r="BN63" i="24"/>
  <c r="BN74" i="24"/>
  <c r="CM120" i="24"/>
  <c r="CM161" i="24"/>
  <c r="AE74" i="24"/>
  <c r="AE95" i="24"/>
  <c r="AE96" i="24" s="1"/>
  <c r="AE63" i="24"/>
  <c r="BG74" i="24"/>
  <c r="BG63" i="24"/>
  <c r="BG140" i="24"/>
  <c r="CI74" i="24"/>
  <c r="CI95" i="24"/>
  <c r="CI96" i="24" s="1"/>
  <c r="CI63" i="24"/>
  <c r="AS62" i="24"/>
  <c r="CB74" i="24"/>
  <c r="CJ139" i="24"/>
  <c r="CJ133" i="24"/>
  <c r="CN139" i="24"/>
  <c r="CN133" i="24"/>
  <c r="CI51" i="24"/>
  <c r="AZ62" i="24"/>
  <c r="BU62" i="24"/>
  <c r="CB95" i="24" s="1"/>
  <c r="CB96" i="24" s="1"/>
  <c r="CL133" i="24"/>
  <c r="CK139" i="24"/>
  <c r="CK133" i="24"/>
  <c r="CO139" i="24"/>
  <c r="CO133" i="24"/>
  <c r="CB140" i="24"/>
  <c r="AE140" i="24"/>
  <c r="CI140" i="24"/>
  <c r="CL139" i="24"/>
  <c r="CK143" i="24"/>
  <c r="CK145" i="24"/>
  <c r="CK146" i="24" s="1"/>
  <c r="CO145" i="24"/>
  <c r="CO146" i="24" s="1"/>
  <c r="CM139" i="24"/>
  <c r="CM140" i="24" s="1"/>
  <c r="CM158" i="24" s="1"/>
  <c r="CM159" i="24" s="1"/>
  <c r="BN140" i="24"/>
  <c r="CO148" i="24"/>
  <c r="CO155" i="24" s="1"/>
  <c r="CO156" i="24" s="1"/>
  <c r="CM133" i="24"/>
  <c r="CM157" i="24"/>
  <c r="CK144" i="24"/>
  <c r="CO144" i="24"/>
  <c r="CJ145" i="24"/>
  <c r="CJ146" i="24" s="1"/>
  <c r="CK148" i="24"/>
  <c r="CK155" i="24" s="1"/>
  <c r="CK156" i="24" s="1"/>
  <c r="CJ138" i="24"/>
  <c r="CJ140" i="24" s="1"/>
  <c r="CJ148" i="24"/>
  <c r="CJ155" i="24" s="1"/>
  <c r="CJ156" i="24" s="1"/>
  <c r="CJ144" i="24"/>
  <c r="CN148" i="24"/>
  <c r="CN155" i="24" s="1"/>
  <c r="CN156" i="24" s="1"/>
  <c r="CN157" i="24" s="1"/>
  <c r="CL147" i="24"/>
  <c r="CL148" i="24" s="1"/>
  <c r="CL155" i="24" s="1"/>
  <c r="CL156" i="24" s="1"/>
  <c r="CL157" i="24" s="1"/>
  <c r="Q80" i="9" l="1"/>
  <c r="J81" i="9"/>
  <c r="CR46" i="24"/>
  <c r="D12" i="3"/>
  <c r="CW37" i="24"/>
  <c r="D17" i="3"/>
  <c r="CX26" i="28"/>
  <c r="D30" i="3"/>
  <c r="CW22" i="28"/>
  <c r="D29" i="3"/>
  <c r="CW7" i="29"/>
  <c r="D41" i="3"/>
  <c r="DA14" i="30"/>
  <c r="D57" i="3"/>
  <c r="CR25" i="30"/>
  <c r="D48" i="3"/>
  <c r="CT32" i="29"/>
  <c r="D38" i="3"/>
  <c r="CX39" i="30"/>
  <c r="D54" i="3"/>
  <c r="DB7" i="24"/>
  <c r="D22" i="3"/>
  <c r="Q135" i="24"/>
  <c r="D13" i="3"/>
  <c r="CZ22" i="24"/>
  <c r="D20" i="3"/>
  <c r="CV18" i="28"/>
  <c r="D28" i="3"/>
  <c r="CR38" i="28"/>
  <c r="D24" i="3"/>
  <c r="CZ21" i="29"/>
  <c r="D44" i="3"/>
  <c r="DB24" i="29"/>
  <c r="D46" i="3"/>
  <c r="AE136" i="30"/>
  <c r="D51" i="3"/>
  <c r="AL137" i="30"/>
  <c r="D52" i="3"/>
  <c r="CV29" i="29"/>
  <c r="D40" i="3"/>
  <c r="CI8" i="29"/>
  <c r="D47" i="3"/>
  <c r="CT44" i="30"/>
  <c r="D50" i="3"/>
  <c r="CY44" i="24"/>
  <c r="D19" i="3"/>
  <c r="DC22" i="24"/>
  <c r="D23" i="3"/>
  <c r="AL134" i="24"/>
  <c r="D16" i="3"/>
  <c r="DA37" i="28"/>
  <c r="D33" i="3"/>
  <c r="CX20" i="29"/>
  <c r="D42" i="3"/>
  <c r="CY22" i="29"/>
  <c r="D43" i="3"/>
  <c r="DC28" i="30"/>
  <c r="D59" i="3"/>
  <c r="CW25" i="30"/>
  <c r="D53" i="3"/>
  <c r="AE113" i="29"/>
  <c r="AE116" i="29" s="1"/>
  <c r="D39" i="3"/>
  <c r="Q113" i="29"/>
  <c r="D37" i="3"/>
  <c r="CS23" i="28"/>
  <c r="D25" i="3"/>
  <c r="DA44" i="24"/>
  <c r="D21" i="3"/>
  <c r="CU23" i="24"/>
  <c r="D15" i="3"/>
  <c r="CT27" i="24"/>
  <c r="D14" i="3"/>
  <c r="DC29" i="28"/>
  <c r="D35" i="3"/>
  <c r="CT25" i="28"/>
  <c r="D26" i="3"/>
  <c r="CY38" i="28"/>
  <c r="D31" i="3"/>
  <c r="DA29" i="29"/>
  <c r="D45" i="3"/>
  <c r="CB136" i="30"/>
  <c r="D58" i="3"/>
  <c r="J101" i="28"/>
  <c r="CP51" i="24"/>
  <c r="CP61" i="24" s="1"/>
  <c r="CP64" i="24" s="1"/>
  <c r="J101" i="29"/>
  <c r="CP51" i="28"/>
  <c r="CP61" i="28" s="1"/>
  <c r="CP64" i="28" s="1"/>
  <c r="CI61" i="29"/>
  <c r="CI109" i="29" s="1"/>
  <c r="CP51" i="29"/>
  <c r="CP61" i="29" s="1"/>
  <c r="CP64" i="29" s="1"/>
  <c r="J103" i="32"/>
  <c r="J103" i="30"/>
  <c r="CZ79" i="32"/>
  <c r="CW79" i="32"/>
  <c r="CU79" i="32"/>
  <c r="J141" i="32"/>
  <c r="J143" i="32" s="1"/>
  <c r="CB126" i="32"/>
  <c r="CB125" i="32"/>
  <c r="CB87" i="32"/>
  <c r="CB96" i="32" s="1"/>
  <c r="CB79" i="32"/>
  <c r="DB48" i="32"/>
  <c r="CI126" i="32"/>
  <c r="CI125" i="32"/>
  <c r="CI87" i="32"/>
  <c r="CI96" i="32" s="1"/>
  <c r="CI79" i="32"/>
  <c r="DC48" i="32"/>
  <c r="AZ141" i="32"/>
  <c r="AZ143" i="32" s="1"/>
  <c r="CX72" i="32"/>
  <c r="AZ111" i="32"/>
  <c r="AZ109" i="32"/>
  <c r="AZ110" i="32"/>
  <c r="DA79" i="32"/>
  <c r="CT79" i="32"/>
  <c r="CV79" i="32"/>
  <c r="J125" i="32"/>
  <c r="J126" i="32"/>
  <c r="J79" i="32"/>
  <c r="J87" i="32"/>
  <c r="J96" i="32" s="1"/>
  <c r="CR48" i="32"/>
  <c r="AZ126" i="32"/>
  <c r="AZ125" i="32"/>
  <c r="AZ87" i="32"/>
  <c r="AZ96" i="32" s="1"/>
  <c r="AZ79" i="32"/>
  <c r="CX48" i="32"/>
  <c r="CS79" i="32"/>
  <c r="CY79" i="32"/>
  <c r="CI141" i="32"/>
  <c r="CI143" i="32" s="1"/>
  <c r="CY70" i="32"/>
  <c r="BN70" i="32"/>
  <c r="BG72" i="32"/>
  <c r="BG133" i="32"/>
  <c r="CB141" i="32"/>
  <c r="CB143" i="32" s="1"/>
  <c r="BU162" i="24"/>
  <c r="CJ157" i="24"/>
  <c r="CO157" i="24"/>
  <c r="BU140" i="24"/>
  <c r="CS32" i="29"/>
  <c r="CS44" i="29"/>
  <c r="CS43" i="29"/>
  <c r="CU37" i="29"/>
  <c r="CS21" i="29"/>
  <c r="CS12" i="29"/>
  <c r="CS23" i="29"/>
  <c r="CS28" i="29"/>
  <c r="J118" i="9"/>
  <c r="AE118" i="9"/>
  <c r="X46" i="9"/>
  <c r="CV12" i="29"/>
  <c r="AL118" i="9"/>
  <c r="X118" i="9"/>
  <c r="AS118" i="9"/>
  <c r="Q118" i="9"/>
  <c r="AE132" i="9"/>
  <c r="AE133" i="9"/>
  <c r="AE124" i="9"/>
  <c r="Q132" i="9"/>
  <c r="Q133" i="9"/>
  <c r="Q124" i="9"/>
  <c r="X132" i="9"/>
  <c r="X133" i="9"/>
  <c r="X124" i="9"/>
  <c r="AL132" i="9"/>
  <c r="AL124" i="9"/>
  <c r="AL133" i="9"/>
  <c r="AS132" i="9"/>
  <c r="AS124" i="9"/>
  <c r="AS133" i="9"/>
  <c r="J132" i="9"/>
  <c r="J133" i="9"/>
  <c r="J124" i="9"/>
  <c r="CT14" i="30"/>
  <c r="Q134" i="29"/>
  <c r="CU46" i="29"/>
  <c r="CS31" i="29"/>
  <c r="CS38" i="29"/>
  <c r="CS29" i="29"/>
  <c r="CS24" i="29"/>
  <c r="CU34" i="29"/>
  <c r="CU42" i="29"/>
  <c r="CS27" i="29"/>
  <c r="CS34" i="29"/>
  <c r="CS25" i="29"/>
  <c r="CS20" i="29"/>
  <c r="CS6" i="29"/>
  <c r="AS97" i="30"/>
  <c r="AS98" i="30" s="1"/>
  <c r="AZ97" i="30"/>
  <c r="AZ98" i="30" s="1"/>
  <c r="AE97" i="30"/>
  <c r="AE98" i="30" s="1"/>
  <c r="Q137" i="30"/>
  <c r="CK159" i="30"/>
  <c r="Q65" i="30"/>
  <c r="AS76" i="30"/>
  <c r="Q76" i="30"/>
  <c r="AE76" i="30"/>
  <c r="AS63" i="30"/>
  <c r="AS66" i="30" s="1"/>
  <c r="CW76" i="30" s="1"/>
  <c r="AE65" i="30"/>
  <c r="AS142" i="30"/>
  <c r="AE142" i="30"/>
  <c r="AL97" i="30"/>
  <c r="AL98" i="30" s="1"/>
  <c r="J97" i="30"/>
  <c r="J98" i="30" s="1"/>
  <c r="J65" i="30"/>
  <c r="J66" i="30" s="1"/>
  <c r="CU9" i="29"/>
  <c r="CS33" i="29"/>
  <c r="DA37" i="30"/>
  <c r="CR13" i="30"/>
  <c r="DB11" i="30"/>
  <c r="CS46" i="29"/>
  <c r="CS14" i="29"/>
  <c r="CU44" i="29"/>
  <c r="CU41" i="29"/>
  <c r="CU29" i="29"/>
  <c r="CU21" i="29"/>
  <c r="CU36" i="29"/>
  <c r="CU27" i="29"/>
  <c r="CU19" i="29"/>
  <c r="CU26" i="29"/>
  <c r="CU24" i="29"/>
  <c r="Q8" i="29"/>
  <c r="DA21" i="30"/>
  <c r="CU35" i="29"/>
  <c r="CS30" i="29"/>
  <c r="DA45" i="30"/>
  <c r="CS10" i="29"/>
  <c r="AE134" i="29"/>
  <c r="CU38" i="29"/>
  <c r="CS36" i="29"/>
  <c r="CU33" i="29"/>
  <c r="CU25" i="29"/>
  <c r="CU11" i="29"/>
  <c r="CS42" i="29"/>
  <c r="CU32" i="29"/>
  <c r="CU31" i="29"/>
  <c r="CU23" i="29"/>
  <c r="CS7" i="29"/>
  <c r="CU22" i="29"/>
  <c r="CU39" i="29"/>
  <c r="CS41" i="29"/>
  <c r="DB42" i="30"/>
  <c r="DA31" i="30"/>
  <c r="BG137" i="30"/>
  <c r="Q164" i="30"/>
  <c r="Q97" i="30"/>
  <c r="CT24" i="29"/>
  <c r="DB35" i="30"/>
  <c r="CX34" i="29"/>
  <c r="AE8" i="29"/>
  <c r="CU8" i="29" s="1"/>
  <c r="AE135" i="29"/>
  <c r="DA43" i="30"/>
  <c r="DB32" i="30"/>
  <c r="DA9" i="30"/>
  <c r="CS11" i="29"/>
  <c r="DA26" i="30"/>
  <c r="X136" i="30"/>
  <c r="DA44" i="30"/>
  <c r="CV24" i="30"/>
  <c r="X61" i="29"/>
  <c r="AS61" i="28"/>
  <c r="BU61" i="29"/>
  <c r="BU109" i="29" s="1"/>
  <c r="CB61" i="29"/>
  <c r="CB107" i="29" s="1"/>
  <c r="CX30" i="29"/>
  <c r="DB34" i="30"/>
  <c r="DA46" i="24"/>
  <c r="CX38" i="29"/>
  <c r="CX26" i="29"/>
  <c r="DB25" i="30"/>
  <c r="DB20" i="30"/>
  <c r="DB7" i="30"/>
  <c r="J134" i="28"/>
  <c r="DB33" i="30"/>
  <c r="DB24" i="30"/>
  <c r="DB18" i="30"/>
  <c r="DB23" i="30"/>
  <c r="CB115" i="30"/>
  <c r="CU34" i="30"/>
  <c r="DB36" i="30"/>
  <c r="DB30" i="30"/>
  <c r="DB27" i="30"/>
  <c r="DB10" i="30"/>
  <c r="DB9" i="30"/>
  <c r="DB12" i="30"/>
  <c r="DB37" i="30"/>
  <c r="DB21" i="30"/>
  <c r="DB28" i="30"/>
  <c r="DB6" i="30"/>
  <c r="DB38" i="30"/>
  <c r="DB44" i="30"/>
  <c r="DB13" i="30"/>
  <c r="AS101" i="29"/>
  <c r="BG109" i="28"/>
  <c r="BN108" i="29"/>
  <c r="Q61" i="28"/>
  <c r="Q109" i="28" s="1"/>
  <c r="BG64" i="28"/>
  <c r="CY75" i="28" s="1"/>
  <c r="CB103" i="30"/>
  <c r="BU61" i="28"/>
  <c r="BU109" i="28" s="1"/>
  <c r="BU66" i="30"/>
  <c r="DA52" i="30" s="1"/>
  <c r="BU101" i="29"/>
  <c r="Q101" i="28"/>
  <c r="BN109" i="29"/>
  <c r="BG107" i="28"/>
  <c r="BG63" i="30"/>
  <c r="BG111" i="30" s="1"/>
  <c r="J61" i="29"/>
  <c r="J108" i="29" s="1"/>
  <c r="DA35" i="30"/>
  <c r="CY11" i="30"/>
  <c r="BU136" i="30"/>
  <c r="DA18" i="30"/>
  <c r="DA20" i="30"/>
  <c r="CM159" i="30"/>
  <c r="DA47" i="30"/>
  <c r="DA7" i="30"/>
  <c r="DA24" i="30"/>
  <c r="BU109" i="30"/>
  <c r="DA34" i="30"/>
  <c r="DA29" i="30"/>
  <c r="BU8" i="30"/>
  <c r="BU121" i="30" s="1"/>
  <c r="DA32" i="30"/>
  <c r="DA13" i="30"/>
  <c r="BU164" i="30"/>
  <c r="CL159" i="30"/>
  <c r="BU111" i="30"/>
  <c r="DA11" i="30"/>
  <c r="DA19" i="30"/>
  <c r="DA36" i="30"/>
  <c r="AS164" i="30"/>
  <c r="DA30" i="30"/>
  <c r="DA27" i="30"/>
  <c r="AS61" i="29"/>
  <c r="AS107" i="29" s="1"/>
  <c r="X108" i="24"/>
  <c r="CI107" i="29"/>
  <c r="Q61" i="29"/>
  <c r="Q107" i="29" s="1"/>
  <c r="BN101" i="24"/>
  <c r="AE103" i="30"/>
  <c r="X64" i="24"/>
  <c r="AE61" i="29"/>
  <c r="AE108" i="29" s="1"/>
  <c r="X109" i="24"/>
  <c r="AL63" i="30"/>
  <c r="CI108" i="29"/>
  <c r="BU61" i="24"/>
  <c r="AZ61" i="28"/>
  <c r="AZ109" i="28" s="1"/>
  <c r="AL61" i="28"/>
  <c r="AL109" i="28" s="1"/>
  <c r="BG61" i="29"/>
  <c r="BG108" i="29" s="1"/>
  <c r="AE101" i="24"/>
  <c r="AE63" i="30"/>
  <c r="AE111" i="30" s="1"/>
  <c r="BN61" i="24"/>
  <c r="BN64" i="24" s="1"/>
  <c r="CZ61" i="24" s="1"/>
  <c r="CI61" i="28"/>
  <c r="CI108" i="28" s="1"/>
  <c r="BN63" i="30"/>
  <c r="BN111" i="30" s="1"/>
  <c r="AE61" i="24"/>
  <c r="AE64" i="24" s="1"/>
  <c r="CU74" i="24" s="1"/>
  <c r="CB61" i="28"/>
  <c r="CB64" i="28" s="1"/>
  <c r="AZ63" i="30"/>
  <c r="AZ111" i="30" s="1"/>
  <c r="X61" i="28"/>
  <c r="X109" i="28" s="1"/>
  <c r="X110" i="30"/>
  <c r="X111" i="30"/>
  <c r="AS61" i="24"/>
  <c r="AS109" i="24" s="1"/>
  <c r="X101" i="24"/>
  <c r="AS101" i="24"/>
  <c r="AZ61" i="29"/>
  <c r="AZ109" i="29" s="1"/>
  <c r="Q63" i="30"/>
  <c r="AE61" i="28"/>
  <c r="AE64" i="28" s="1"/>
  <c r="BN101" i="28"/>
  <c r="AL109" i="29"/>
  <c r="AL108" i="29"/>
  <c r="CI101" i="24"/>
  <c r="CS26" i="28"/>
  <c r="CV18" i="29"/>
  <c r="CX11" i="29"/>
  <c r="CT43" i="24"/>
  <c r="CY35" i="28"/>
  <c r="CS24" i="28"/>
  <c r="CI134" i="29"/>
  <c r="CU20" i="24"/>
  <c r="CS46" i="28"/>
  <c r="CS27" i="28"/>
  <c r="CS14" i="28"/>
  <c r="CV47" i="30"/>
  <c r="CX12" i="29"/>
  <c r="CU13" i="29"/>
  <c r="DA10" i="30"/>
  <c r="CX28" i="30"/>
  <c r="CW27" i="24"/>
  <c r="CT10" i="29"/>
  <c r="CX42" i="30"/>
  <c r="CZ21" i="24"/>
  <c r="DA12" i="24"/>
  <c r="CS42" i="28"/>
  <c r="CS10" i="28"/>
  <c r="CS11" i="28"/>
  <c r="CT25" i="29"/>
  <c r="CY43" i="30"/>
  <c r="CU29" i="24"/>
  <c r="CU36" i="24"/>
  <c r="CT43" i="29"/>
  <c r="CT14" i="29"/>
  <c r="CT36" i="29"/>
  <c r="CX45" i="30"/>
  <c r="CU11" i="30"/>
  <c r="CU36" i="30"/>
  <c r="DA12" i="30"/>
  <c r="CT23" i="29"/>
  <c r="CT45" i="30"/>
  <c r="CT43" i="30"/>
  <c r="CT30" i="30"/>
  <c r="CW21" i="28"/>
  <c r="CV43" i="30"/>
  <c r="CV31" i="30"/>
  <c r="CY6" i="30"/>
  <c r="DC12" i="29"/>
  <c r="BU134" i="28"/>
  <c r="CW35" i="28"/>
  <c r="CW25" i="28"/>
  <c r="BU134" i="29"/>
  <c r="CW43" i="29"/>
  <c r="DC9" i="29"/>
  <c r="CV44" i="29"/>
  <c r="BG136" i="30"/>
  <c r="CU45" i="30"/>
  <c r="CU7" i="30"/>
  <c r="CB134" i="24"/>
  <c r="CV46" i="24"/>
  <c r="DB37" i="24"/>
  <c r="CY36" i="28"/>
  <c r="DB35" i="29"/>
  <c r="AZ136" i="30"/>
  <c r="CS45" i="30"/>
  <c r="CS13" i="30"/>
  <c r="CS43" i="30"/>
  <c r="CS38" i="30"/>
  <c r="CX29" i="30"/>
  <c r="CX36" i="30"/>
  <c r="CX19" i="30"/>
  <c r="CU33" i="30"/>
  <c r="AE137" i="30"/>
  <c r="CS36" i="30"/>
  <c r="CS10" i="30"/>
  <c r="CY9" i="30"/>
  <c r="DB43" i="24"/>
  <c r="CV10" i="24"/>
  <c r="DB29" i="24"/>
  <c r="BG134" i="28"/>
  <c r="CS39" i="28"/>
  <c r="CT28" i="28"/>
  <c r="CY25" i="28"/>
  <c r="CY41" i="28"/>
  <c r="CR23" i="28"/>
  <c r="CT24" i="28"/>
  <c r="DA18" i="28"/>
  <c r="CS7" i="28"/>
  <c r="CS28" i="28"/>
  <c r="Q113" i="28"/>
  <c r="Q116" i="28" s="1"/>
  <c r="DB10" i="28"/>
  <c r="CX35" i="29"/>
  <c r="CX22" i="29"/>
  <c r="DC6" i="29"/>
  <c r="CX47" i="30"/>
  <c r="CS47" i="30"/>
  <c r="CV7" i="30"/>
  <c r="CU32" i="30"/>
  <c r="CU20" i="30"/>
  <c r="CY39" i="30"/>
  <c r="CV34" i="30"/>
  <c r="CX35" i="30"/>
  <c r="CU6" i="30"/>
  <c r="CU26" i="30"/>
  <c r="DB35" i="24"/>
  <c r="CW42" i="24"/>
  <c r="Q134" i="28"/>
  <c r="CW31" i="28"/>
  <c r="CY31" i="28"/>
  <c r="CS30" i="28"/>
  <c r="CS6" i="28"/>
  <c r="DC42" i="29"/>
  <c r="CR12" i="29"/>
  <c r="Q136" i="30"/>
  <c r="CY47" i="30"/>
  <c r="DC14" i="30"/>
  <c r="CY13" i="30"/>
  <c r="CU42" i="30"/>
  <c r="CV39" i="30"/>
  <c r="CS22" i="30"/>
  <c r="CY31" i="30"/>
  <c r="CX20" i="30"/>
  <c r="CX38" i="30"/>
  <c r="CY30" i="30"/>
  <c r="CU29" i="30"/>
  <c r="AE115" i="30"/>
  <c r="AE118" i="30" s="1"/>
  <c r="CS27" i="30"/>
  <c r="CX11" i="30"/>
  <c r="CX12" i="30"/>
  <c r="CX10" i="30"/>
  <c r="DB11" i="29"/>
  <c r="DC28" i="28"/>
  <c r="DC14" i="28"/>
  <c r="DC46" i="28"/>
  <c r="DC43" i="28"/>
  <c r="CZ34" i="30"/>
  <c r="CZ26" i="30"/>
  <c r="CZ44" i="30"/>
  <c r="DC41" i="28"/>
  <c r="DC31" i="28"/>
  <c r="CZ18" i="30"/>
  <c r="CW35" i="30"/>
  <c r="CW33" i="30"/>
  <c r="CZ42" i="28"/>
  <c r="CZ30" i="28"/>
  <c r="CZ7" i="28"/>
  <c r="CU19" i="24"/>
  <c r="CU14" i="24"/>
  <c r="CU32" i="24"/>
  <c r="CU46" i="24"/>
  <c r="AE134" i="24"/>
  <c r="AE135" i="24"/>
  <c r="CU37" i="24"/>
  <c r="CU25" i="24"/>
  <c r="CU38" i="24"/>
  <c r="CU39" i="24"/>
  <c r="CU30" i="24"/>
  <c r="X113" i="24"/>
  <c r="X116" i="24" s="1"/>
  <c r="X134" i="24"/>
  <c r="CT34" i="24"/>
  <c r="CT18" i="24"/>
  <c r="CT22" i="24"/>
  <c r="CT24" i="24"/>
  <c r="CT25" i="24"/>
  <c r="CT23" i="24"/>
  <c r="DC33" i="28"/>
  <c r="DC23" i="28"/>
  <c r="CU43" i="28"/>
  <c r="CU19" i="28"/>
  <c r="CU25" i="28"/>
  <c r="CT41" i="24"/>
  <c r="CT33" i="24"/>
  <c r="CZ36" i="28"/>
  <c r="CU27" i="28"/>
  <c r="X134" i="29"/>
  <c r="CT34" i="29"/>
  <c r="CT26" i="29"/>
  <c r="CT27" i="29"/>
  <c r="X137" i="30"/>
  <c r="CT13" i="24"/>
  <c r="CR11" i="28"/>
  <c r="CT38" i="29"/>
  <c r="CT30" i="29"/>
  <c r="CT22" i="29"/>
  <c r="CT41" i="29"/>
  <c r="CT28" i="29"/>
  <c r="CT29" i="29"/>
  <c r="CT12" i="30"/>
  <c r="CV30" i="30"/>
  <c r="CT28" i="30"/>
  <c r="CV18" i="30"/>
  <c r="CV11" i="30"/>
  <c r="CT38" i="30"/>
  <c r="CV36" i="30"/>
  <c r="CW22" i="24"/>
  <c r="CW24" i="24"/>
  <c r="CU11" i="24"/>
  <c r="CT9" i="24"/>
  <c r="CS44" i="28"/>
  <c r="CS41" i="28"/>
  <c r="CS35" i="28"/>
  <c r="CS31" i="28"/>
  <c r="CX44" i="28"/>
  <c r="CX38" i="28"/>
  <c r="CX34" i="28"/>
  <c r="CS29" i="28"/>
  <c r="CS22" i="28"/>
  <c r="CS25" i="28"/>
  <c r="CS21" i="28"/>
  <c r="Q8" i="28"/>
  <c r="CS8" i="28" s="1"/>
  <c r="CS34" i="28"/>
  <c r="CS32" i="28"/>
  <c r="CS19" i="28"/>
  <c r="CS12" i="28"/>
  <c r="DC46" i="29"/>
  <c r="CT35" i="29"/>
  <c r="CT42" i="29"/>
  <c r="AL134" i="29"/>
  <c r="CT33" i="29"/>
  <c r="CV22" i="29"/>
  <c r="CT7" i="29"/>
  <c r="CT6" i="29"/>
  <c r="CT44" i="29"/>
  <c r="CY45" i="30"/>
  <c r="CY14" i="30"/>
  <c r="CT33" i="30"/>
  <c r="CT25" i="30"/>
  <c r="DC20" i="30"/>
  <c r="CV38" i="30"/>
  <c r="CT36" i="30"/>
  <c r="CY23" i="30"/>
  <c r="CV10" i="30"/>
  <c r="CT6" i="30"/>
  <c r="CT27" i="30"/>
  <c r="CY25" i="30"/>
  <c r="CV25" i="30"/>
  <c r="CT10" i="30"/>
  <c r="CX9" i="30"/>
  <c r="CW6" i="24"/>
  <c r="CW39" i="28"/>
  <c r="CR34" i="28"/>
  <c r="CS43" i="28"/>
  <c r="CS37" i="28"/>
  <c r="CS33" i="28"/>
  <c r="CV28" i="28"/>
  <c r="CS9" i="28"/>
  <c r="DC9" i="28"/>
  <c r="CS13" i="28"/>
  <c r="DB11" i="28"/>
  <c r="CS18" i="28"/>
  <c r="CS20" i="28"/>
  <c r="CS38" i="28"/>
  <c r="CS36" i="28"/>
  <c r="CV14" i="29"/>
  <c r="CT39" i="29"/>
  <c r="CV36" i="29"/>
  <c r="CT37" i="29"/>
  <c r="CV30" i="29"/>
  <c r="DC18" i="29"/>
  <c r="CT21" i="29"/>
  <c r="CW11" i="30"/>
  <c r="CT42" i="30"/>
  <c r="CT29" i="30"/>
  <c r="CV23" i="30"/>
  <c r="CY20" i="30"/>
  <c r="CY44" i="30"/>
  <c r="CT32" i="30"/>
  <c r="CV26" i="30"/>
  <c r="CV22" i="30"/>
  <c r="CT20" i="30"/>
  <c r="CT18" i="30"/>
  <c r="CT31" i="30"/>
  <c r="CY18" i="30"/>
  <c r="CV42" i="30"/>
  <c r="CV13" i="30"/>
  <c r="CS12" i="30"/>
  <c r="CT11" i="29"/>
  <c r="AS140" i="9"/>
  <c r="AL140" i="9"/>
  <c r="AE16" i="9"/>
  <c r="CW34" i="24"/>
  <c r="CW18" i="24"/>
  <c r="CV46" i="28"/>
  <c r="CS6" i="30"/>
  <c r="CS39" i="30"/>
  <c r="Q115" i="30"/>
  <c r="Q118" i="30" s="1"/>
  <c r="CW44" i="24"/>
  <c r="CW32" i="24"/>
  <c r="CW21" i="24"/>
  <c r="CW29" i="24"/>
  <c r="CT30" i="28"/>
  <c r="BG113" i="28"/>
  <c r="BG116" i="28" s="1"/>
  <c r="CZ11" i="28"/>
  <c r="DC13" i="28"/>
  <c r="CZ12" i="28"/>
  <c r="CX27" i="29"/>
  <c r="CU47" i="30"/>
  <c r="CU14" i="30"/>
  <c r="CU28" i="30"/>
  <c r="CB137" i="30"/>
  <c r="AE8" i="30"/>
  <c r="AE16" i="30" s="1"/>
  <c r="CU18" i="30"/>
  <c r="CU38" i="30"/>
  <c r="CW19" i="30"/>
  <c r="CS7" i="30"/>
  <c r="CS20" i="30"/>
  <c r="CR6" i="30"/>
  <c r="CW26" i="24"/>
  <c r="CW39" i="24"/>
  <c r="AS113" i="24"/>
  <c r="AS116" i="24" s="1"/>
  <c r="DA30" i="24"/>
  <c r="DA22" i="24"/>
  <c r="CV19" i="24"/>
  <c r="CW36" i="24"/>
  <c r="DA24" i="24"/>
  <c r="CW12" i="24"/>
  <c r="CW14" i="24"/>
  <c r="AL135" i="24"/>
  <c r="CY46" i="28"/>
  <c r="CY29" i="28"/>
  <c r="CX43" i="29"/>
  <c r="CR37" i="29"/>
  <c r="CX33" i="29"/>
  <c r="CX28" i="29"/>
  <c r="CU30" i="29"/>
  <c r="CU28" i="29"/>
  <c r="CS26" i="29"/>
  <c r="Q135" i="29"/>
  <c r="DB47" i="30"/>
  <c r="DB14" i="30"/>
  <c r="DB45" i="30"/>
  <c r="CS44" i="30"/>
  <c r="CY36" i="30"/>
  <c r="DB29" i="30"/>
  <c r="CV27" i="30"/>
  <c r="CY24" i="30"/>
  <c r="CS18" i="30"/>
  <c r="CS42" i="30"/>
  <c r="CW37" i="30"/>
  <c r="CW29" i="30"/>
  <c r="CT24" i="30"/>
  <c r="CW21" i="30"/>
  <c r="DB22" i="30"/>
  <c r="DB19" i="30"/>
  <c r="DB39" i="30"/>
  <c r="CX6" i="30"/>
  <c r="CT7" i="30"/>
  <c r="CT34" i="30"/>
  <c r="CT39" i="30"/>
  <c r="CY33" i="30"/>
  <c r="BG115" i="30"/>
  <c r="BG118" i="30" s="1"/>
  <c r="CU25" i="30"/>
  <c r="CU22" i="30"/>
  <c r="CU43" i="30"/>
  <c r="CV20" i="30"/>
  <c r="CV37" i="30"/>
  <c r="CS23" i="30"/>
  <c r="CS32" i="30"/>
  <c r="CV36" i="24"/>
  <c r="CY22" i="28"/>
  <c r="CY30" i="28"/>
  <c r="CY11" i="28"/>
  <c r="CW14" i="29"/>
  <c r="DB31" i="29"/>
  <c r="CU10" i="30"/>
  <c r="CV11" i="24"/>
  <c r="DC12" i="30"/>
  <c r="DB21" i="24"/>
  <c r="CZ38" i="24"/>
  <c r="CR42" i="28"/>
  <c r="DA33" i="28"/>
  <c r="CY28" i="28"/>
  <c r="CY7" i="28"/>
  <c r="CY42" i="28"/>
  <c r="BG135" i="28"/>
  <c r="DA32" i="29"/>
  <c r="DA44" i="29"/>
  <c r="DC32" i="30"/>
  <c r="CR10" i="30"/>
  <c r="Q8" i="30"/>
  <c r="Q121" i="30" s="1"/>
  <c r="CS31" i="30"/>
  <c r="CS24" i="30"/>
  <c r="CS14" i="30"/>
  <c r="CU9" i="30"/>
  <c r="DB39" i="24"/>
  <c r="DB31" i="24"/>
  <c r="CR21" i="24"/>
  <c r="DB18" i="24"/>
  <c r="CZ27" i="24"/>
  <c r="CT21" i="24"/>
  <c r="CU35" i="24"/>
  <c r="CV26" i="24"/>
  <c r="CT28" i="24"/>
  <c r="DB42" i="28"/>
  <c r="DB36" i="28"/>
  <c r="CW43" i="28"/>
  <c r="CW26" i="28"/>
  <c r="CY19" i="28"/>
  <c r="DA25" i="28"/>
  <c r="CZ9" i="28"/>
  <c r="CY6" i="28"/>
  <c r="CY26" i="28"/>
  <c r="CR9" i="28"/>
  <c r="DA14" i="29"/>
  <c r="DC47" i="30"/>
  <c r="CS9" i="30"/>
  <c r="CX43" i="30"/>
  <c r="CU13" i="30"/>
  <c r="DC36" i="30"/>
  <c r="CS34" i="30"/>
  <c r="CY32" i="30"/>
  <c r="CS30" i="30"/>
  <c r="CS26" i="30"/>
  <c r="CU24" i="30"/>
  <c r="CX21" i="30"/>
  <c r="CU44" i="30"/>
  <c r="CU39" i="30"/>
  <c r="CS37" i="30"/>
  <c r="CU35" i="30"/>
  <c r="CS33" i="30"/>
  <c r="CU31" i="30"/>
  <c r="CS29" i="30"/>
  <c r="CU27" i="30"/>
  <c r="CS25" i="30"/>
  <c r="CU23" i="30"/>
  <c r="CS21" i="30"/>
  <c r="CU19" i="30"/>
  <c r="CB8" i="30"/>
  <c r="CB16" i="30" s="1"/>
  <c r="DB26" i="30"/>
  <c r="DB43" i="30"/>
  <c r="DB31" i="30"/>
  <c r="CX22" i="30"/>
  <c r="CT22" i="30"/>
  <c r="CT23" i="30"/>
  <c r="CS11" i="30"/>
  <c r="CY21" i="30"/>
  <c r="CY26" i="30"/>
  <c r="CU21" i="30"/>
  <c r="CU37" i="30"/>
  <c r="CU30" i="30"/>
  <c r="CV9" i="30"/>
  <c r="CV6" i="30"/>
  <c r="CV21" i="30"/>
  <c r="CS19" i="30"/>
  <c r="CS35" i="30"/>
  <c r="CS28" i="30"/>
  <c r="CU12" i="30"/>
  <c r="CU10" i="29"/>
  <c r="J135" i="24"/>
  <c r="CY10" i="30"/>
  <c r="CS13" i="29"/>
  <c r="DB10" i="29"/>
  <c r="DB28" i="29"/>
  <c r="DB33" i="29"/>
  <c r="DB37" i="29"/>
  <c r="CZ12" i="24"/>
  <c r="CV12" i="24"/>
  <c r="J134" i="24"/>
  <c r="CX36" i="28"/>
  <c r="CX28" i="28"/>
  <c r="CX30" i="28"/>
  <c r="CX25" i="28"/>
  <c r="CB134" i="29"/>
  <c r="DA46" i="29"/>
  <c r="DA39" i="29"/>
  <c r="DA31" i="29"/>
  <c r="DB26" i="29"/>
  <c r="DA23" i="29"/>
  <c r="DA10" i="29"/>
  <c r="DA7" i="29"/>
  <c r="DA12" i="29"/>
  <c r="DB20" i="29"/>
  <c r="DB27" i="29"/>
  <c r="DB14" i="29"/>
  <c r="DB12" i="29"/>
  <c r="CW14" i="30"/>
  <c r="CW28" i="30"/>
  <c r="CW10" i="30"/>
  <c r="CR37" i="30"/>
  <c r="CR28" i="30"/>
  <c r="CX44" i="30"/>
  <c r="CX27" i="30"/>
  <c r="CX34" i="30"/>
  <c r="CX18" i="30"/>
  <c r="CX24" i="30"/>
  <c r="CX32" i="30"/>
  <c r="CX33" i="30"/>
  <c r="CX14" i="30"/>
  <c r="X135" i="24"/>
  <c r="DA21" i="29"/>
  <c r="DA42" i="29"/>
  <c r="CZ41" i="24"/>
  <c r="CZ23" i="24"/>
  <c r="CZ29" i="24"/>
  <c r="CV41" i="24"/>
  <c r="CZ35" i="24"/>
  <c r="CV30" i="24"/>
  <c r="Q134" i="24"/>
  <c r="AL134" i="28"/>
  <c r="DB46" i="28"/>
  <c r="CV38" i="28"/>
  <c r="CX32" i="28"/>
  <c r="CR30" i="28"/>
  <c r="CX21" i="28"/>
  <c r="CT10" i="28"/>
  <c r="DB9" i="28"/>
  <c r="CR12" i="28"/>
  <c r="CT12" i="28"/>
  <c r="DA36" i="29"/>
  <c r="DB39" i="29"/>
  <c r="DB42" i="29"/>
  <c r="DA25" i="29"/>
  <c r="DB7" i="29"/>
  <c r="DB23" i="29"/>
  <c r="CX25" i="30"/>
  <c r="CX7" i="30"/>
  <c r="CX26" i="30"/>
  <c r="CX23" i="30"/>
  <c r="AZ115" i="30"/>
  <c r="AZ118" i="30" s="1"/>
  <c r="AS115" i="30"/>
  <c r="AS118" i="30" s="1"/>
  <c r="CR42" i="30"/>
  <c r="CY38" i="30"/>
  <c r="CY22" i="30"/>
  <c r="CY29" i="30"/>
  <c r="CY7" i="30"/>
  <c r="CY19" i="30"/>
  <c r="CY27" i="30"/>
  <c r="CY35" i="30"/>
  <c r="CY28" i="30"/>
  <c r="CY42" i="30"/>
  <c r="AL115" i="30"/>
  <c r="AL118" i="30" s="1"/>
  <c r="CV29" i="30"/>
  <c r="CV32" i="30"/>
  <c r="CV14" i="30"/>
  <c r="CV19" i="30"/>
  <c r="CV35" i="30"/>
  <c r="CV44" i="30"/>
  <c r="CV45" i="30"/>
  <c r="AL136" i="30"/>
  <c r="CX10" i="29"/>
  <c r="X113" i="29"/>
  <c r="X116" i="29" s="1"/>
  <c r="CT46" i="29"/>
  <c r="X8" i="29"/>
  <c r="X119" i="29" s="1"/>
  <c r="CT13" i="29"/>
  <c r="CT19" i="29"/>
  <c r="CT31" i="29"/>
  <c r="CT20" i="29"/>
  <c r="CT18" i="29"/>
  <c r="X115" i="30"/>
  <c r="X118" i="30" s="1"/>
  <c r="CT35" i="30"/>
  <c r="CT19" i="30"/>
  <c r="CT26" i="30"/>
  <c r="X8" i="30"/>
  <c r="X121" i="30" s="1"/>
  <c r="CT9" i="30"/>
  <c r="CT13" i="30"/>
  <c r="CT21" i="30"/>
  <c r="CT37" i="30"/>
  <c r="CT47" i="30"/>
  <c r="CZ13" i="29"/>
  <c r="CR31" i="24"/>
  <c r="J113" i="24"/>
  <c r="J116" i="24" s="1"/>
  <c r="CZ44" i="24"/>
  <c r="CZ37" i="24"/>
  <c r="CS36" i="24"/>
  <c r="Q113" i="24"/>
  <c r="Q116" i="24" s="1"/>
  <c r="CZ36" i="24"/>
  <c r="CV20" i="24"/>
  <c r="DA39" i="28"/>
  <c r="DB38" i="28"/>
  <c r="CZ27" i="28"/>
  <c r="DC24" i="28"/>
  <c r="DC19" i="28"/>
  <c r="DB20" i="28"/>
  <c r="DB13" i="28"/>
  <c r="DA9" i="28"/>
  <c r="DB43" i="29"/>
  <c r="DB30" i="29"/>
  <c r="DA27" i="29"/>
  <c r="DB22" i="29"/>
  <c r="DA19" i="29"/>
  <c r="DB9" i="29"/>
  <c r="CX31" i="29"/>
  <c r="CX24" i="29"/>
  <c r="DA28" i="29"/>
  <c r="DB19" i="29"/>
  <c r="CW43" i="30"/>
  <c r="CX37" i="30"/>
  <c r="CX13" i="30"/>
  <c r="DC9" i="30"/>
  <c r="DC24" i="30"/>
  <c r="CZ43" i="30"/>
  <c r="CZ22" i="30"/>
  <c r="CZ30" i="30"/>
  <c r="CZ38" i="30"/>
  <c r="CZ7" i="30"/>
  <c r="AZ8" i="30"/>
  <c r="AZ16" i="30" s="1"/>
  <c r="CX30" i="30"/>
  <c r="CX31" i="30"/>
  <c r="AZ137" i="30"/>
  <c r="BG8" i="30"/>
  <c r="CY8" i="30" s="1"/>
  <c r="CY37" i="30"/>
  <c r="CY34" i="30"/>
  <c r="AL8" i="30"/>
  <c r="CV8" i="30" s="1"/>
  <c r="CV28" i="30"/>
  <c r="CV33" i="30"/>
  <c r="BU137" i="30"/>
  <c r="DA28" i="30"/>
  <c r="DA39" i="30"/>
  <c r="DA23" i="30"/>
  <c r="DA6" i="30"/>
  <c r="DA25" i="30"/>
  <c r="DA33" i="30"/>
  <c r="DA42" i="30"/>
  <c r="DA22" i="30"/>
  <c r="DA38" i="30"/>
  <c r="CT11" i="30"/>
  <c r="DB13" i="29"/>
  <c r="CV6" i="29"/>
  <c r="CV26" i="29"/>
  <c r="CV27" i="29"/>
  <c r="DA11" i="29"/>
  <c r="CI113" i="29"/>
  <c r="CI116" i="29" s="1"/>
  <c r="DC14" i="29"/>
  <c r="CT9" i="29"/>
  <c r="CW9" i="29"/>
  <c r="CY10" i="29"/>
  <c r="J137" i="30"/>
  <c r="CV12" i="30"/>
  <c r="CZ12" i="30"/>
  <c r="DC34" i="29"/>
  <c r="CY42" i="29"/>
  <c r="CZ33" i="29"/>
  <c r="DC41" i="29"/>
  <c r="CV32" i="29"/>
  <c r="CV28" i="29"/>
  <c r="CV24" i="29"/>
  <c r="CV20" i="29"/>
  <c r="CV31" i="29"/>
  <c r="AL8" i="29"/>
  <c r="AL119" i="29" s="1"/>
  <c r="AL113" i="29"/>
  <c r="AL116" i="29" s="1"/>
  <c r="CV35" i="29"/>
  <c r="CV13" i="29"/>
  <c r="DC30" i="29"/>
  <c r="CV25" i="29"/>
  <c r="CX23" i="29"/>
  <c r="CY18" i="29"/>
  <c r="DC20" i="29"/>
  <c r="DC32" i="29"/>
  <c r="DC35" i="29"/>
  <c r="CI135" i="29"/>
  <c r="CV9" i="29"/>
  <c r="BG134" i="29"/>
  <c r="CV46" i="29"/>
  <c r="DC44" i="29"/>
  <c r="CV33" i="29"/>
  <c r="CX39" i="29"/>
  <c r="DC37" i="29"/>
  <c r="CV19" i="29"/>
  <c r="CV34" i="29"/>
  <c r="CV42" i="29"/>
  <c r="CX37" i="29"/>
  <c r="DC31" i="29"/>
  <c r="DC27" i="29"/>
  <c r="DC23" i="29"/>
  <c r="DC19" i="29"/>
  <c r="CX7" i="29"/>
  <c r="DA9" i="29"/>
  <c r="CY30" i="29"/>
  <c r="DC26" i="29"/>
  <c r="DA24" i="29"/>
  <c r="CV21" i="29"/>
  <c r="CX19" i="29"/>
  <c r="CU18" i="29"/>
  <c r="CU12" i="29"/>
  <c r="CU7" i="29"/>
  <c r="CU43" i="29"/>
  <c r="CU6" i="29"/>
  <c r="DC24" i="29"/>
  <c r="DC36" i="29"/>
  <c r="DC39" i="29"/>
  <c r="CS18" i="29"/>
  <c r="CS35" i="29"/>
  <c r="CS37" i="29"/>
  <c r="CV10" i="29"/>
  <c r="CR46" i="29"/>
  <c r="DC38" i="29"/>
  <c r="CV37" i="29"/>
  <c r="CZ14" i="29"/>
  <c r="CV41" i="29"/>
  <c r="CX42" i="29"/>
  <c r="DC33" i="29"/>
  <c r="DC29" i="29"/>
  <c r="DC25" i="29"/>
  <c r="DC21" i="29"/>
  <c r="CV7" i="29"/>
  <c r="CV23" i="29"/>
  <c r="CV38" i="29"/>
  <c r="AL135" i="29"/>
  <c r="CV43" i="29"/>
  <c r="CV39" i="29"/>
  <c r="DC13" i="29"/>
  <c r="CY26" i="29"/>
  <c r="DC22" i="29"/>
  <c r="DA20" i="29"/>
  <c r="CV11" i="29"/>
  <c r="CU20" i="29"/>
  <c r="CU14" i="29"/>
  <c r="DC7" i="29"/>
  <c r="DC28" i="29"/>
  <c r="DC43" i="29"/>
  <c r="CS22" i="29"/>
  <c r="CS39" i="29"/>
  <c r="CZ13" i="30"/>
  <c r="BN136" i="30"/>
  <c r="CW47" i="30"/>
  <c r="CZ10" i="30"/>
  <c r="CZ39" i="30"/>
  <c r="CW38" i="30"/>
  <c r="CZ35" i="30"/>
  <c r="CW34" i="30"/>
  <c r="CZ31" i="30"/>
  <c r="CW30" i="30"/>
  <c r="CZ27" i="30"/>
  <c r="CW26" i="30"/>
  <c r="CZ23" i="30"/>
  <c r="CW22" i="30"/>
  <c r="CZ19" i="30"/>
  <c r="CW18" i="30"/>
  <c r="CR12" i="30"/>
  <c r="CR43" i="30"/>
  <c r="DC39" i="30"/>
  <c r="DC35" i="30"/>
  <c r="DC31" i="30"/>
  <c r="DC27" i="30"/>
  <c r="DC23" i="30"/>
  <c r="DC19" i="30"/>
  <c r="CW12" i="30"/>
  <c r="CR11" i="30"/>
  <c r="CZ11" i="30"/>
  <c r="CW6" i="30"/>
  <c r="CW23" i="30"/>
  <c r="CW39" i="30"/>
  <c r="CW32" i="30"/>
  <c r="AS137" i="30"/>
  <c r="CR14" i="30"/>
  <c r="CR32" i="30"/>
  <c r="CR29" i="30"/>
  <c r="J115" i="30"/>
  <c r="J118" i="30" s="1"/>
  <c r="AS136" i="30"/>
  <c r="CW45" i="30"/>
  <c r="CR45" i="30"/>
  <c r="CR7" i="30"/>
  <c r="CR44" i="30"/>
  <c r="CR38" i="30"/>
  <c r="CR34" i="30"/>
  <c r="CR30" i="30"/>
  <c r="CR26" i="30"/>
  <c r="CR22" i="30"/>
  <c r="CR18" i="30"/>
  <c r="CR9" i="30"/>
  <c r="CW7" i="30"/>
  <c r="CW27" i="30"/>
  <c r="CW20" i="30"/>
  <c r="CW36" i="30"/>
  <c r="CR20" i="30"/>
  <c r="CR36" i="30"/>
  <c r="CR33" i="30"/>
  <c r="CY12" i="30"/>
  <c r="J136" i="30"/>
  <c r="CR47" i="30"/>
  <c r="CW44" i="30"/>
  <c r="CW9" i="30"/>
  <c r="CR39" i="30"/>
  <c r="CR35" i="30"/>
  <c r="CR31" i="30"/>
  <c r="CR27" i="30"/>
  <c r="CR23" i="30"/>
  <c r="CR19" i="30"/>
  <c r="CW42" i="30"/>
  <c r="CW13" i="30"/>
  <c r="AS8" i="30"/>
  <c r="AS121" i="30" s="1"/>
  <c r="CW31" i="30"/>
  <c r="CW24" i="30"/>
  <c r="J8" i="30"/>
  <c r="CR24" i="30"/>
  <c r="CR21" i="30"/>
  <c r="CB111" i="30"/>
  <c r="CB109" i="30"/>
  <c r="CB66" i="30"/>
  <c r="DB76" i="30" s="1"/>
  <c r="CB110" i="30"/>
  <c r="CJ159" i="30"/>
  <c r="CJ160" i="30" s="1"/>
  <c r="CJ161" i="30" s="1"/>
  <c r="CJ132" i="30"/>
  <c r="CJ131" i="30"/>
  <c r="CJ123" i="30"/>
  <c r="BN76" i="30"/>
  <c r="BN65" i="30"/>
  <c r="BN97" i="30"/>
  <c r="BN98" i="30" s="1"/>
  <c r="CN120" i="30"/>
  <c r="CN16" i="30"/>
  <c r="CJ120" i="30"/>
  <c r="CJ16" i="30"/>
  <c r="BN164" i="30"/>
  <c r="CM131" i="30"/>
  <c r="CM123" i="30"/>
  <c r="CM132" i="30"/>
  <c r="CI137" i="30"/>
  <c r="CI115" i="30"/>
  <c r="CI118" i="30" s="1"/>
  <c r="CI136" i="30"/>
  <c r="DC43" i="30"/>
  <c r="DC38" i="30"/>
  <c r="DC34" i="30"/>
  <c r="DC30" i="30"/>
  <c r="DC26" i="30"/>
  <c r="DC22" i="30"/>
  <c r="DC18" i="30"/>
  <c r="DC42" i="30"/>
  <c r="DC37" i="30"/>
  <c r="DC33" i="30"/>
  <c r="DC29" i="30"/>
  <c r="DC25" i="30"/>
  <c r="DC21" i="30"/>
  <c r="CI8" i="30"/>
  <c r="DC7" i="30"/>
  <c r="DC6" i="30"/>
  <c r="CN140" i="30"/>
  <c r="CN142" i="30" s="1"/>
  <c r="CN122" i="30"/>
  <c r="CN121" i="30"/>
  <c r="DC10" i="30"/>
  <c r="BU118" i="30"/>
  <c r="CO159" i="30"/>
  <c r="BN142" i="30"/>
  <c r="CN159" i="30"/>
  <c r="BU97" i="30"/>
  <c r="BU98" i="30" s="1"/>
  <c r="DC45" i="30"/>
  <c r="X66" i="30"/>
  <c r="J164" i="30"/>
  <c r="Q98" i="30"/>
  <c r="DC11" i="30"/>
  <c r="CL120" i="30"/>
  <c r="CL16" i="30"/>
  <c r="CO140" i="30"/>
  <c r="CO142" i="30" s="1"/>
  <c r="CO160" i="30" s="1"/>
  <c r="CO161" i="30" s="1"/>
  <c r="CO122" i="30"/>
  <c r="CO121" i="30"/>
  <c r="DC44" i="30"/>
  <c r="CP16" i="30"/>
  <c r="BN115" i="30"/>
  <c r="BN118" i="30" s="1"/>
  <c r="BN137" i="30"/>
  <c r="CZ42" i="30"/>
  <c r="CZ37" i="30"/>
  <c r="CZ33" i="30"/>
  <c r="CZ29" i="30"/>
  <c r="CZ25" i="30"/>
  <c r="CZ21" i="30"/>
  <c r="CZ47" i="30"/>
  <c r="CZ45" i="30"/>
  <c r="CZ36" i="30"/>
  <c r="CZ32" i="30"/>
  <c r="CZ28" i="30"/>
  <c r="CZ24" i="30"/>
  <c r="CZ20" i="30"/>
  <c r="CZ6" i="30"/>
  <c r="CZ14" i="30"/>
  <c r="BN8" i="30"/>
  <c r="DC13" i="30"/>
  <c r="CZ9" i="30"/>
  <c r="BU16" i="30"/>
  <c r="DA8" i="30"/>
  <c r="CM160" i="30"/>
  <c r="CM161" i="30" s="1"/>
  <c r="AS110" i="30"/>
  <c r="AS111" i="30"/>
  <c r="AS109" i="30"/>
  <c r="AL110" i="30"/>
  <c r="AL111" i="30"/>
  <c r="AL109" i="30"/>
  <c r="AL66" i="30"/>
  <c r="CV65" i="30" s="1"/>
  <c r="DA68" i="30"/>
  <c r="J76" i="30"/>
  <c r="CI111" i="30"/>
  <c r="CI109" i="30"/>
  <c r="CI110" i="30"/>
  <c r="CI66" i="30"/>
  <c r="DC76" i="30" s="1"/>
  <c r="CB118" i="30"/>
  <c r="CL118" i="29"/>
  <c r="CL16" i="29"/>
  <c r="X95" i="29"/>
  <c r="X96" i="29" s="1"/>
  <c r="X63" i="29"/>
  <c r="X74" i="29"/>
  <c r="CW42" i="29"/>
  <c r="CR13" i="29"/>
  <c r="CR29" i="29"/>
  <c r="CR25" i="29"/>
  <c r="CR21" i="29"/>
  <c r="CW13" i="29"/>
  <c r="Q119" i="29"/>
  <c r="Q16" i="29"/>
  <c r="CS8" i="29"/>
  <c r="X109" i="29"/>
  <c r="X107" i="29"/>
  <c r="X108" i="29"/>
  <c r="X64" i="29"/>
  <c r="CT61" i="29" s="1"/>
  <c r="AE95" i="29"/>
  <c r="AE96" i="29" s="1"/>
  <c r="CY34" i="29"/>
  <c r="BN64" i="29"/>
  <c r="CZ63" i="29" s="1"/>
  <c r="CI64" i="29"/>
  <c r="DC63" i="29" s="1"/>
  <c r="CW44" i="29"/>
  <c r="CY37" i="29"/>
  <c r="CR28" i="29"/>
  <c r="CR24" i="29"/>
  <c r="CY21" i="29"/>
  <c r="CY11" i="29"/>
  <c r="CW10" i="29"/>
  <c r="CY31" i="29"/>
  <c r="CR26" i="29"/>
  <c r="CY23" i="29"/>
  <c r="CY19" i="29"/>
  <c r="CY12" i="29"/>
  <c r="CN118" i="29"/>
  <c r="CN16" i="29"/>
  <c r="CJ118" i="29"/>
  <c r="CJ16" i="29"/>
  <c r="CR10" i="29"/>
  <c r="CM158" i="29"/>
  <c r="CM159" i="29" s="1"/>
  <c r="J134" i="29"/>
  <c r="AS134" i="29"/>
  <c r="CZ46" i="29"/>
  <c r="CY38" i="29"/>
  <c r="CJ130" i="29"/>
  <c r="CJ121" i="29"/>
  <c r="CJ129" i="29"/>
  <c r="CY46" i="29"/>
  <c r="CZ37" i="29"/>
  <c r="CR14" i="29"/>
  <c r="AL64" i="29"/>
  <c r="CW32" i="29"/>
  <c r="CY41" i="29"/>
  <c r="CW35" i="29"/>
  <c r="CO138" i="29"/>
  <c r="CO140" i="29" s="1"/>
  <c r="CO158" i="29" s="1"/>
  <c r="CO159" i="29" s="1"/>
  <c r="CO119" i="29"/>
  <c r="CO120" i="29"/>
  <c r="CR43" i="29"/>
  <c r="CZ12" i="29"/>
  <c r="CW11" i="29"/>
  <c r="AZ135" i="29"/>
  <c r="AZ134" i="29"/>
  <c r="AZ113" i="29"/>
  <c r="AZ116" i="29" s="1"/>
  <c r="CX44" i="29"/>
  <c r="CX41" i="29"/>
  <c r="CX46" i="29"/>
  <c r="CX36" i="29"/>
  <c r="CX32" i="29"/>
  <c r="CX18" i="29"/>
  <c r="CX29" i="29"/>
  <c r="CX25" i="29"/>
  <c r="CX21" i="29"/>
  <c r="CX6" i="29"/>
  <c r="AZ8" i="29"/>
  <c r="CZ29" i="29"/>
  <c r="CW28" i="29"/>
  <c r="CZ25" i="29"/>
  <c r="CW24" i="29"/>
  <c r="CW20" i="29"/>
  <c r="DA13" i="29"/>
  <c r="CP16" i="29"/>
  <c r="AE119" i="29"/>
  <c r="AE16" i="29"/>
  <c r="CI119" i="29"/>
  <c r="DC8" i="29"/>
  <c r="CI16" i="29"/>
  <c r="X135" i="29"/>
  <c r="Q116" i="29"/>
  <c r="J113" i="29"/>
  <c r="J116" i="29" s="1"/>
  <c r="J135" i="29"/>
  <c r="J8" i="29"/>
  <c r="CR38" i="29"/>
  <c r="CR34" i="29"/>
  <c r="CR44" i="29"/>
  <c r="CR42" i="29"/>
  <c r="CR31" i="29"/>
  <c r="CR27" i="29"/>
  <c r="CR23" i="29"/>
  <c r="CR19" i="29"/>
  <c r="CR6" i="29"/>
  <c r="CR7" i="29"/>
  <c r="AS135" i="29"/>
  <c r="AS113" i="29"/>
  <c r="AS116" i="29" s="1"/>
  <c r="CW37" i="29"/>
  <c r="CW33" i="29"/>
  <c r="CW41" i="29"/>
  <c r="CW30" i="29"/>
  <c r="CW26" i="29"/>
  <c r="CW22" i="29"/>
  <c r="CW18" i="29"/>
  <c r="CW6" i="29"/>
  <c r="AS8" i="29"/>
  <c r="CR39" i="29"/>
  <c r="CR35" i="29"/>
  <c r="CN138" i="29"/>
  <c r="CN140" i="29" s="1"/>
  <c r="CN158" i="29" s="1"/>
  <c r="CN159" i="29" s="1"/>
  <c r="CN120" i="29"/>
  <c r="CN119" i="29"/>
  <c r="BG135" i="29"/>
  <c r="BG113" i="29"/>
  <c r="BG116" i="29" s="1"/>
  <c r="CY43" i="29"/>
  <c r="CY6" i="29"/>
  <c r="CY36" i="29"/>
  <c r="CY32" i="29"/>
  <c r="CY14" i="29"/>
  <c r="CY39" i="29"/>
  <c r="CY35" i="29"/>
  <c r="CY33" i="29"/>
  <c r="CY28" i="29"/>
  <c r="CY24" i="29"/>
  <c r="CY20" i="29"/>
  <c r="BG8" i="29"/>
  <c r="CY7" i="29"/>
  <c r="CR9" i="29"/>
  <c r="CJ157" i="29"/>
  <c r="CJ158" i="29" s="1"/>
  <c r="CJ159" i="29" s="1"/>
  <c r="CY44" i="29"/>
  <c r="CR41" i="29"/>
  <c r="CW39" i="29"/>
  <c r="CR36" i="29"/>
  <c r="CR32" i="29"/>
  <c r="CY29" i="29"/>
  <c r="CY25" i="29"/>
  <c r="CR20" i="29"/>
  <c r="CW38" i="29"/>
  <c r="CW34" i="29"/>
  <c r="CY13" i="29"/>
  <c r="CR30" i="29"/>
  <c r="CY27" i="29"/>
  <c r="CR22" i="29"/>
  <c r="CR18" i="29"/>
  <c r="BN135" i="29"/>
  <c r="BN113" i="29"/>
  <c r="BN116" i="29" s="1"/>
  <c r="CZ38" i="29"/>
  <c r="CZ34" i="29"/>
  <c r="BN8" i="29"/>
  <c r="CZ42" i="29"/>
  <c r="CZ39" i="29"/>
  <c r="CZ35" i="29"/>
  <c r="CZ44" i="29"/>
  <c r="CZ43" i="29"/>
  <c r="CZ31" i="29"/>
  <c r="CZ27" i="29"/>
  <c r="CZ23" i="29"/>
  <c r="CZ19" i="29"/>
  <c r="CZ7" i="29"/>
  <c r="CZ6" i="29"/>
  <c r="BN134" i="29"/>
  <c r="CW46" i="29"/>
  <c r="CB95" i="29"/>
  <c r="CB96" i="29" s="1"/>
  <c r="CB74" i="29"/>
  <c r="CB63" i="29"/>
  <c r="CB140" i="29"/>
  <c r="AZ95" i="29"/>
  <c r="AZ96" i="29" s="1"/>
  <c r="AZ63" i="29"/>
  <c r="AZ74" i="29"/>
  <c r="CR33" i="29"/>
  <c r="CM130" i="29"/>
  <c r="CM121" i="29"/>
  <c r="CM129" i="29"/>
  <c r="CI95" i="29"/>
  <c r="CI96" i="29" s="1"/>
  <c r="CZ41" i="29"/>
  <c r="CW36" i="29"/>
  <c r="X162" i="29"/>
  <c r="BG95" i="29"/>
  <c r="BG96" i="29" s="1"/>
  <c r="CZ36" i="29"/>
  <c r="CZ32" i="29"/>
  <c r="CW31" i="29"/>
  <c r="CZ28" i="29"/>
  <c r="CW27" i="29"/>
  <c r="CZ24" i="29"/>
  <c r="CW23" i="29"/>
  <c r="CZ20" i="29"/>
  <c r="CW19" i="29"/>
  <c r="CR11" i="29"/>
  <c r="CW12" i="29"/>
  <c r="CZ10" i="29"/>
  <c r="CZ30" i="29"/>
  <c r="CW29" i="29"/>
  <c r="CZ26" i="29"/>
  <c r="CW25" i="29"/>
  <c r="CZ22" i="29"/>
  <c r="CW21" i="29"/>
  <c r="CZ18" i="29"/>
  <c r="BU135" i="29"/>
  <c r="BU113" i="29"/>
  <c r="BU116" i="29" s="1"/>
  <c r="DA35" i="29"/>
  <c r="DA43" i="29"/>
  <c r="DA37" i="29"/>
  <c r="DA33" i="29"/>
  <c r="DA41" i="29"/>
  <c r="DA38" i="29"/>
  <c r="DA34" i="29"/>
  <c r="DA30" i="29"/>
  <c r="DA26" i="29"/>
  <c r="DA22" i="29"/>
  <c r="DA18" i="29"/>
  <c r="DA6" i="29"/>
  <c r="BU8" i="29"/>
  <c r="CX14" i="29"/>
  <c r="CX13" i="29"/>
  <c r="CZ11" i="29"/>
  <c r="CX9" i="29"/>
  <c r="CB135" i="29"/>
  <c r="CB113" i="29"/>
  <c r="CB116" i="29" s="1"/>
  <c r="DB46" i="29"/>
  <c r="DB44" i="29"/>
  <c r="DB41" i="29"/>
  <c r="DB38" i="29"/>
  <c r="DB34" i="29"/>
  <c r="DB18" i="29"/>
  <c r="CB8" i="29"/>
  <c r="DB36" i="29"/>
  <c r="DB32" i="29"/>
  <c r="DB29" i="29"/>
  <c r="DB25" i="29"/>
  <c r="DB21" i="29"/>
  <c r="DB6" i="29"/>
  <c r="CY9" i="29"/>
  <c r="CZ9" i="29"/>
  <c r="CV22" i="28"/>
  <c r="CV10" i="28"/>
  <c r="CT46" i="28"/>
  <c r="CT42" i="28"/>
  <c r="CT32" i="28"/>
  <c r="CT44" i="28"/>
  <c r="DB34" i="28"/>
  <c r="DA29" i="28"/>
  <c r="DA22" i="28"/>
  <c r="CT21" i="28"/>
  <c r="CT20" i="28"/>
  <c r="CT11" i="28"/>
  <c r="CT7" i="28"/>
  <c r="CZ19" i="28"/>
  <c r="CV13" i="28"/>
  <c r="CY10" i="28"/>
  <c r="CZ46" i="28"/>
  <c r="BN134" i="28"/>
  <c r="CZ44" i="28"/>
  <c r="CY43" i="28"/>
  <c r="DA41" i="28"/>
  <c r="DC37" i="28"/>
  <c r="CT36" i="28"/>
  <c r="CZ34" i="28"/>
  <c r="CY33" i="28"/>
  <c r="DA31" i="28"/>
  <c r="CV30" i="28"/>
  <c r="DB28" i="28"/>
  <c r="DB14" i="28"/>
  <c r="DA43" i="28"/>
  <c r="CV42" i="28"/>
  <c r="DC39" i="28"/>
  <c r="CT38" i="28"/>
  <c r="CV36" i="28"/>
  <c r="CZ32" i="28"/>
  <c r="DB30" i="28"/>
  <c r="CY24" i="28"/>
  <c r="DC20" i="28"/>
  <c r="CY12" i="28"/>
  <c r="CY23" i="28"/>
  <c r="DC12" i="28"/>
  <c r="CV19" i="28"/>
  <c r="DC11" i="28"/>
  <c r="BG8" i="28"/>
  <c r="CY8" i="28" s="1"/>
  <c r="CY27" i="28"/>
  <c r="CY44" i="28"/>
  <c r="CY34" i="28"/>
  <c r="X134" i="28"/>
  <c r="DA44" i="28"/>
  <c r="DB26" i="28"/>
  <c r="DA27" i="28"/>
  <c r="DA10" i="28"/>
  <c r="DA21" i="28"/>
  <c r="DA13" i="28"/>
  <c r="CV44" i="28"/>
  <c r="CZ38" i="28"/>
  <c r="CY37" i="28"/>
  <c r="DA35" i="28"/>
  <c r="CV34" i="28"/>
  <c r="DB32" i="28"/>
  <c r="CT26" i="28"/>
  <c r="DC25" i="28"/>
  <c r="CT14" i="28"/>
  <c r="DB44" i="28"/>
  <c r="CY39" i="28"/>
  <c r="DC35" i="28"/>
  <c r="CT34" i="28"/>
  <c r="CV32" i="28"/>
  <c r="CZ28" i="28"/>
  <c r="CZ23" i="28"/>
  <c r="DB21" i="28"/>
  <c r="CY20" i="28"/>
  <c r="CY14" i="28"/>
  <c r="CY9" i="28"/>
  <c r="DB7" i="28"/>
  <c r="CV26" i="28"/>
  <c r="DB24" i="28"/>
  <c r="CZ22" i="28"/>
  <c r="CZ25" i="28"/>
  <c r="CV12" i="28"/>
  <c r="CV11" i="28"/>
  <c r="CY18" i="28"/>
  <c r="CY32" i="28"/>
  <c r="CY21" i="28"/>
  <c r="CY13" i="28"/>
  <c r="CJ118" i="28"/>
  <c r="CJ16" i="28"/>
  <c r="CJ129" i="28"/>
  <c r="CJ121" i="28"/>
  <c r="CJ130" i="28"/>
  <c r="BN109" i="28"/>
  <c r="BN107" i="28"/>
  <c r="BN64" i="28"/>
  <c r="CZ63" i="28" s="1"/>
  <c r="BN108" i="28"/>
  <c r="CW18" i="28"/>
  <c r="AE135" i="28"/>
  <c r="AE113" i="28"/>
  <c r="AE116" i="28" s="1"/>
  <c r="CU42" i="28"/>
  <c r="CU36" i="28"/>
  <c r="CU32" i="28"/>
  <c r="CU21" i="28"/>
  <c r="CU38" i="28"/>
  <c r="CU34" i="28"/>
  <c r="CU30" i="28"/>
  <c r="CU44" i="28"/>
  <c r="CU26" i="28"/>
  <c r="CU22" i="28"/>
  <c r="CU18" i="28"/>
  <c r="CU13" i="28"/>
  <c r="AE8" i="28"/>
  <c r="CU9" i="28"/>
  <c r="CU6" i="28"/>
  <c r="CO118" i="28"/>
  <c r="CO16" i="28"/>
  <c r="Q119" i="28"/>
  <c r="AS162" i="28"/>
  <c r="CW27" i="28"/>
  <c r="CU24" i="28"/>
  <c r="CM130" i="28"/>
  <c r="CM129" i="28"/>
  <c r="CM121" i="28"/>
  <c r="CW13" i="28"/>
  <c r="AZ135" i="28"/>
  <c r="AZ113" i="28"/>
  <c r="AZ116" i="28" s="1"/>
  <c r="CX22" i="28"/>
  <c r="CX18" i="28"/>
  <c r="AZ8" i="28"/>
  <c r="CX41" i="28"/>
  <c r="CX39" i="28"/>
  <c r="CX35" i="28"/>
  <c r="CX31" i="28"/>
  <c r="CX43" i="28"/>
  <c r="CX37" i="28"/>
  <c r="CX33" i="28"/>
  <c r="CX29" i="28"/>
  <c r="CX27" i="28"/>
  <c r="CX23" i="28"/>
  <c r="CX19" i="28"/>
  <c r="CX6" i="28"/>
  <c r="CX7" i="28"/>
  <c r="CW10" i="28"/>
  <c r="J113" i="28"/>
  <c r="J116" i="28" s="1"/>
  <c r="J135" i="28"/>
  <c r="CR41" i="28"/>
  <c r="CR39" i="28"/>
  <c r="CR35" i="28"/>
  <c r="CR31" i="28"/>
  <c r="CR24" i="28"/>
  <c r="CR20" i="28"/>
  <c r="CR43" i="28"/>
  <c r="CR37" i="28"/>
  <c r="CR33" i="28"/>
  <c r="CR29" i="28"/>
  <c r="CR27" i="28"/>
  <c r="CR25" i="28"/>
  <c r="CR21" i="28"/>
  <c r="CR14" i="28"/>
  <c r="CR6" i="28"/>
  <c r="J8" i="28"/>
  <c r="CR10" i="28"/>
  <c r="CL118" i="28"/>
  <c r="CL16" i="28"/>
  <c r="CN138" i="28"/>
  <c r="CN140" i="28" s="1"/>
  <c r="CN158" i="28" s="1"/>
  <c r="CN159" i="28" s="1"/>
  <c r="CN119" i="28"/>
  <c r="CN120" i="28"/>
  <c r="CR13" i="28"/>
  <c r="CU10" i="28"/>
  <c r="CJ158" i="28"/>
  <c r="CJ159" i="28" s="1"/>
  <c r="Q140" i="28"/>
  <c r="X95" i="28"/>
  <c r="X96" i="28" s="1"/>
  <c r="CX46" i="28"/>
  <c r="CR46" i="28"/>
  <c r="CX42" i="28"/>
  <c r="CX14" i="28"/>
  <c r="CU39" i="28"/>
  <c r="CU35" i="28"/>
  <c r="CU31" i="28"/>
  <c r="J109" i="28"/>
  <c r="J107" i="28"/>
  <c r="J108" i="28"/>
  <c r="J64" i="28"/>
  <c r="CR7" i="28"/>
  <c r="AL135" i="28"/>
  <c r="AL113" i="28"/>
  <c r="AL116" i="28" s="1"/>
  <c r="CV43" i="28"/>
  <c r="CV37" i="28"/>
  <c r="CV33" i="28"/>
  <c r="CV29" i="28"/>
  <c r="CV24" i="28"/>
  <c r="CV20" i="28"/>
  <c r="CV41" i="28"/>
  <c r="CV39" i="28"/>
  <c r="CV35" i="28"/>
  <c r="CV31" i="28"/>
  <c r="CV21" i="28"/>
  <c r="CV14" i="28"/>
  <c r="AL8" i="28"/>
  <c r="CV6" i="28"/>
  <c r="CR26" i="28"/>
  <c r="CR22" i="28"/>
  <c r="CU11" i="28"/>
  <c r="CB135" i="28"/>
  <c r="CB134" i="28"/>
  <c r="CB113" i="28"/>
  <c r="CB116" i="28" s="1"/>
  <c r="DB27" i="28"/>
  <c r="DB22" i="28"/>
  <c r="DB18" i="28"/>
  <c r="CB8" i="28"/>
  <c r="DB43" i="28"/>
  <c r="DB37" i="28"/>
  <c r="DB33" i="28"/>
  <c r="DB29" i="28"/>
  <c r="DB41" i="28"/>
  <c r="DB39" i="28"/>
  <c r="DB35" i="28"/>
  <c r="DB31" i="28"/>
  <c r="DB25" i="28"/>
  <c r="DB23" i="28"/>
  <c r="DB19" i="28"/>
  <c r="DB6" i="28"/>
  <c r="CV25" i="28"/>
  <c r="CW9" i="28"/>
  <c r="CP16" i="28"/>
  <c r="CX12" i="28"/>
  <c r="BU113" i="28"/>
  <c r="BU116" i="28" s="1"/>
  <c r="BU135" i="28"/>
  <c r="DA46" i="28"/>
  <c r="DA23" i="28"/>
  <c r="DA19" i="28"/>
  <c r="DA6" i="28"/>
  <c r="DA42" i="28"/>
  <c r="DA36" i="28"/>
  <c r="DA32" i="28"/>
  <c r="DA28" i="28"/>
  <c r="DA26" i="28"/>
  <c r="DA14" i="28"/>
  <c r="DA38" i="28"/>
  <c r="DA34" i="28"/>
  <c r="DA30" i="28"/>
  <c r="DA24" i="28"/>
  <c r="DA20" i="28"/>
  <c r="BU8" i="28"/>
  <c r="DA7" i="28"/>
  <c r="CR19" i="28"/>
  <c r="DA11" i="28"/>
  <c r="DA12" i="28"/>
  <c r="CX11" i="28"/>
  <c r="CX9" i="28"/>
  <c r="AS135" i="28"/>
  <c r="AS113" i="28"/>
  <c r="AS116" i="28" s="1"/>
  <c r="AS134" i="28"/>
  <c r="CW46" i="28"/>
  <c r="CW23" i="28"/>
  <c r="CW19" i="28"/>
  <c r="CW6" i="28"/>
  <c r="CW38" i="28"/>
  <c r="CW34" i="28"/>
  <c r="CW30" i="28"/>
  <c r="CW14" i="28"/>
  <c r="CW42" i="28"/>
  <c r="CW36" i="28"/>
  <c r="CW32" i="28"/>
  <c r="CW28" i="28"/>
  <c r="CW24" i="28"/>
  <c r="CW20" i="28"/>
  <c r="AS8" i="28"/>
  <c r="CW7" i="28"/>
  <c r="CW11" i="28"/>
  <c r="Q95" i="28"/>
  <c r="Q96" i="28" s="1"/>
  <c r="Q74" i="28"/>
  <c r="Q63" i="28"/>
  <c r="AS95" i="28"/>
  <c r="AS96" i="28" s="1"/>
  <c r="AS63" i="28"/>
  <c r="AS74" i="28"/>
  <c r="BU95" i="28"/>
  <c r="BU96" i="28" s="1"/>
  <c r="BU63" i="28"/>
  <c r="BU74" i="28"/>
  <c r="CW44" i="28"/>
  <c r="CW41" i="28"/>
  <c r="CU28" i="28"/>
  <c r="CU20" i="28"/>
  <c r="CK118" i="28"/>
  <c r="CK16" i="28"/>
  <c r="CU12" i="28"/>
  <c r="CR18" i="28"/>
  <c r="AE134" i="28"/>
  <c r="AZ134" i="28"/>
  <c r="CM158" i="28"/>
  <c r="CM159" i="28" s="1"/>
  <c r="CU46" i="28"/>
  <c r="CR44" i="28"/>
  <c r="CU37" i="28"/>
  <c r="CU33" i="28"/>
  <c r="CU29" i="28"/>
  <c r="CN118" i="28"/>
  <c r="CN16" i="28"/>
  <c r="AS109" i="28"/>
  <c r="AS107" i="28"/>
  <c r="AS108" i="28"/>
  <c r="CU41" i="28"/>
  <c r="CW37" i="28"/>
  <c r="CR36" i="28"/>
  <c r="CW33" i="28"/>
  <c r="CR32" i="28"/>
  <c r="CW29" i="28"/>
  <c r="CR28" i="28"/>
  <c r="CV27" i="28"/>
  <c r="CV23" i="28"/>
  <c r="CU14" i="28"/>
  <c r="CV7" i="28"/>
  <c r="CX24" i="28"/>
  <c r="CU23" i="28"/>
  <c r="CX20" i="28"/>
  <c r="DB12" i="28"/>
  <c r="CU7" i="28"/>
  <c r="CI135" i="28"/>
  <c r="CI134" i="28"/>
  <c r="CI113" i="28"/>
  <c r="CI116" i="28" s="1"/>
  <c r="DC42" i="28"/>
  <c r="DC36" i="28"/>
  <c r="DC32" i="28"/>
  <c r="DC21" i="28"/>
  <c r="DC44" i="28"/>
  <c r="DC26" i="28"/>
  <c r="DC38" i="28"/>
  <c r="DC34" i="28"/>
  <c r="DC30" i="28"/>
  <c r="DC27" i="28"/>
  <c r="DC22" i="28"/>
  <c r="DC18" i="28"/>
  <c r="CI8" i="28"/>
  <c r="DC6" i="28"/>
  <c r="DC7" i="28"/>
  <c r="BN113" i="28"/>
  <c r="BN116" i="28" s="1"/>
  <c r="BN135" i="28"/>
  <c r="CZ41" i="28"/>
  <c r="CZ39" i="28"/>
  <c r="CZ35" i="28"/>
  <c r="CZ31" i="28"/>
  <c r="CZ24" i="28"/>
  <c r="CZ20" i="28"/>
  <c r="CZ43" i="28"/>
  <c r="CZ37" i="28"/>
  <c r="CZ33" i="28"/>
  <c r="CZ29" i="28"/>
  <c r="CZ26" i="28"/>
  <c r="CZ21" i="28"/>
  <c r="BN8" i="28"/>
  <c r="CZ14" i="28"/>
  <c r="CZ6" i="28"/>
  <c r="CX13" i="28"/>
  <c r="CX10" i="28"/>
  <c r="CZ10" i="28"/>
  <c r="X135" i="28"/>
  <c r="X113" i="28"/>
  <c r="X116" i="28" s="1"/>
  <c r="CT22" i="28"/>
  <c r="CT18" i="28"/>
  <c r="X8" i="28"/>
  <c r="CT43" i="28"/>
  <c r="CT37" i="28"/>
  <c r="CT33" i="28"/>
  <c r="CT29" i="28"/>
  <c r="CT27" i="28"/>
  <c r="CT41" i="28"/>
  <c r="CT39" i="28"/>
  <c r="CT35" i="28"/>
  <c r="CT31" i="28"/>
  <c r="CT23" i="28"/>
  <c r="CT6" i="28"/>
  <c r="CT19" i="28"/>
  <c r="CZ18" i="28"/>
  <c r="CT13" i="28"/>
  <c r="CT9" i="28"/>
  <c r="Q135" i="28"/>
  <c r="CZ13" i="28"/>
  <c r="CW12" i="28"/>
  <c r="DC10" i="28"/>
  <c r="CV9" i="28"/>
  <c r="Q107" i="24"/>
  <c r="Q109" i="24"/>
  <c r="Q64" i="24"/>
  <c r="CS61" i="24" s="1"/>
  <c r="Q108" i="24"/>
  <c r="CS12" i="24"/>
  <c r="CT30" i="24"/>
  <c r="CT32" i="24"/>
  <c r="CT6" i="24"/>
  <c r="DB12" i="24"/>
  <c r="CT11" i="24"/>
  <c r="CU42" i="24"/>
  <c r="CT39" i="24"/>
  <c r="CU28" i="24"/>
  <c r="CU24" i="24"/>
  <c r="CT46" i="24"/>
  <c r="CU44" i="24"/>
  <c r="CU34" i="24"/>
  <c r="CY26" i="24"/>
  <c r="CU7" i="24"/>
  <c r="CU33" i="24"/>
  <c r="DA9" i="24"/>
  <c r="CT29" i="24"/>
  <c r="CS20" i="24"/>
  <c r="CU21" i="24"/>
  <c r="CU43" i="24"/>
  <c r="CU27" i="24"/>
  <c r="CU41" i="24"/>
  <c r="X8" i="24"/>
  <c r="X16" i="24" s="1"/>
  <c r="CT42" i="24"/>
  <c r="DB41" i="24"/>
  <c r="DA38" i="24"/>
  <c r="CT35" i="24"/>
  <c r="CT31" i="24"/>
  <c r="DB27" i="24"/>
  <c r="DB23" i="24"/>
  <c r="CT37" i="24"/>
  <c r="DB33" i="24"/>
  <c r="CU26" i="24"/>
  <c r="CT19" i="24"/>
  <c r="CT14" i="24"/>
  <c r="CU12" i="24"/>
  <c r="CX11" i="24"/>
  <c r="CU22" i="24"/>
  <c r="CU6" i="24"/>
  <c r="CU18" i="24"/>
  <c r="AE8" i="24"/>
  <c r="AE119" i="24" s="1"/>
  <c r="CU31" i="24"/>
  <c r="AE113" i="24"/>
  <c r="AE116" i="24" s="1"/>
  <c r="CT7" i="24"/>
  <c r="CT44" i="24"/>
  <c r="CW35" i="24"/>
  <c r="CW43" i="24"/>
  <c r="AS134" i="24"/>
  <c r="CW38" i="24"/>
  <c r="DC24" i="24"/>
  <c r="DC20" i="24"/>
  <c r="CW7" i="24"/>
  <c r="AS8" i="24"/>
  <c r="AS119" i="24" s="1"/>
  <c r="CW25" i="24"/>
  <c r="CW23" i="24"/>
  <c r="CW41" i="24"/>
  <c r="CW13" i="24"/>
  <c r="BN113" i="24"/>
  <c r="BN116" i="24" s="1"/>
  <c r="BN8" i="24"/>
  <c r="CZ8" i="24" s="1"/>
  <c r="CW46" i="24"/>
  <c r="CW30" i="24"/>
  <c r="DA42" i="24"/>
  <c r="DA32" i="24"/>
  <c r="DB25" i="24"/>
  <c r="DB19" i="24"/>
  <c r="DA18" i="24"/>
  <c r="DC30" i="24"/>
  <c r="CW28" i="24"/>
  <c r="CW20" i="24"/>
  <c r="CW10" i="24"/>
  <c r="CW19" i="24"/>
  <c r="CW33" i="24"/>
  <c r="CW31" i="24"/>
  <c r="CT26" i="24"/>
  <c r="CT36" i="24"/>
  <c r="CT20" i="24"/>
  <c r="DC46" i="24"/>
  <c r="DC34" i="24"/>
  <c r="CS24" i="24"/>
  <c r="CS13" i="24"/>
  <c r="CI134" i="24"/>
  <c r="BU134" i="24"/>
  <c r="CY42" i="24"/>
  <c r="DA34" i="24"/>
  <c r="DC28" i="24"/>
  <c r="DA26" i="24"/>
  <c r="DA36" i="24"/>
  <c r="CR13" i="24"/>
  <c r="DA13" i="24"/>
  <c r="CT10" i="24"/>
  <c r="CU13" i="24"/>
  <c r="CU10" i="24"/>
  <c r="CW11" i="24"/>
  <c r="CW9" i="24"/>
  <c r="CT12" i="24"/>
  <c r="CU9" i="24"/>
  <c r="CV7" i="24"/>
  <c r="CV24" i="24"/>
  <c r="CS44" i="24"/>
  <c r="CR37" i="24"/>
  <c r="CR33" i="24"/>
  <c r="CV29" i="24"/>
  <c r="CV25" i="24"/>
  <c r="CR39" i="24"/>
  <c r="CV35" i="24"/>
  <c r="CR27" i="24"/>
  <c r="CV18" i="24"/>
  <c r="CV23" i="24"/>
  <c r="CV31" i="24"/>
  <c r="DA10" i="24"/>
  <c r="AL8" i="24"/>
  <c r="AL16" i="24" s="1"/>
  <c r="CV38" i="24"/>
  <c r="CV28" i="24"/>
  <c r="AL113" i="24"/>
  <c r="AL116" i="24" s="1"/>
  <c r="CV44" i="24"/>
  <c r="CV37" i="24"/>
  <c r="CV33" i="24"/>
  <c r="CV39" i="24"/>
  <c r="CV27" i="24"/>
  <c r="CV34" i="24"/>
  <c r="CV42" i="24"/>
  <c r="CV43" i="24"/>
  <c r="DC36" i="24"/>
  <c r="DC32" i="24"/>
  <c r="CR29" i="24"/>
  <c r="CR25" i="24"/>
  <c r="CV21" i="24"/>
  <c r="DC44" i="24"/>
  <c r="DC38" i="24"/>
  <c r="CR35" i="24"/>
  <c r="CV14" i="24"/>
  <c r="CV9" i="24"/>
  <c r="CV22" i="24"/>
  <c r="CV6" i="24"/>
  <c r="CV32" i="24"/>
  <c r="CZ43" i="24"/>
  <c r="CS34" i="24"/>
  <c r="CS26" i="24"/>
  <c r="CS32" i="24"/>
  <c r="CZ11" i="24"/>
  <c r="CZ14" i="24"/>
  <c r="DC11" i="24"/>
  <c r="DC19" i="24"/>
  <c r="CZ31" i="24"/>
  <c r="CS10" i="24"/>
  <c r="CZ13" i="24"/>
  <c r="CZ20" i="24"/>
  <c r="CZ42" i="24"/>
  <c r="CZ26" i="24"/>
  <c r="CZ46" i="24"/>
  <c r="CS11" i="24"/>
  <c r="BN134" i="24"/>
  <c r="BG101" i="24"/>
  <c r="CZ33" i="24"/>
  <c r="CZ25" i="24"/>
  <c r="CZ19" i="24"/>
  <c r="CS46" i="24"/>
  <c r="CZ39" i="24"/>
  <c r="CY9" i="24"/>
  <c r="CS18" i="24"/>
  <c r="CP16" i="24"/>
  <c r="CP45" i="24" s="1"/>
  <c r="CS28" i="24"/>
  <c r="DA20" i="24"/>
  <c r="DA11" i="24"/>
  <c r="CZ10" i="24"/>
  <c r="CZ24" i="24"/>
  <c r="CZ28" i="24"/>
  <c r="CZ6" i="24"/>
  <c r="CZ30" i="24"/>
  <c r="BN135" i="24"/>
  <c r="CX46" i="24"/>
  <c r="CS38" i="24"/>
  <c r="CS30" i="24"/>
  <c r="CS22" i="24"/>
  <c r="CS42" i="24"/>
  <c r="DC13" i="24"/>
  <c r="CZ9" i="24"/>
  <c r="CZ32" i="24"/>
  <c r="CZ7" i="24"/>
  <c r="CZ18" i="24"/>
  <c r="CZ34" i="24"/>
  <c r="AS95" i="24"/>
  <c r="AS96" i="24" s="1"/>
  <c r="AS74" i="24"/>
  <c r="AS63" i="24"/>
  <c r="CY30" i="24"/>
  <c r="CX21" i="24"/>
  <c r="CO118" i="24"/>
  <c r="CO16" i="24"/>
  <c r="CB135" i="24"/>
  <c r="CB113" i="24"/>
  <c r="CB116" i="24" s="1"/>
  <c r="DB38" i="24"/>
  <c r="DB34" i="24"/>
  <c r="DB30" i="24"/>
  <c r="DB26" i="24"/>
  <c r="DB22" i="24"/>
  <c r="DB42" i="24"/>
  <c r="DB36" i="24"/>
  <c r="DB32" i="24"/>
  <c r="DB28" i="24"/>
  <c r="DB24" i="24"/>
  <c r="DB20" i="24"/>
  <c r="DB44" i="24"/>
  <c r="CB8" i="24"/>
  <c r="DB6" i="24"/>
  <c r="CY19" i="24"/>
  <c r="AZ74" i="24"/>
  <c r="AZ95" i="24"/>
  <c r="AZ96" i="24" s="1"/>
  <c r="AZ63" i="24"/>
  <c r="BG95" i="24"/>
  <c r="BG96" i="24" s="1"/>
  <c r="CB108" i="24"/>
  <c r="CB109" i="24"/>
  <c r="CB64" i="24"/>
  <c r="CB107" i="24"/>
  <c r="AL109" i="24"/>
  <c r="AL107" i="24"/>
  <c r="AL64" i="24"/>
  <c r="CV63" i="24" s="1"/>
  <c r="AL108" i="24"/>
  <c r="BG135" i="24"/>
  <c r="BG113" i="24"/>
  <c r="BG116" i="24" s="1"/>
  <c r="BG134" i="24"/>
  <c r="CY43" i="24"/>
  <c r="CY37" i="24"/>
  <c r="CY33" i="24"/>
  <c r="CY29" i="24"/>
  <c r="CY25" i="24"/>
  <c r="CY21" i="24"/>
  <c r="CY14" i="24"/>
  <c r="BG8" i="24"/>
  <c r="CY41" i="24"/>
  <c r="CY39" i="24"/>
  <c r="CY35" i="24"/>
  <c r="CY27" i="24"/>
  <c r="CY6" i="24"/>
  <c r="CY31" i="24"/>
  <c r="CY23" i="24"/>
  <c r="AZ135" i="24"/>
  <c r="AZ113" i="24"/>
  <c r="AZ116" i="24" s="1"/>
  <c r="CX44" i="24"/>
  <c r="CX42" i="24"/>
  <c r="CX36" i="24"/>
  <c r="CX32" i="24"/>
  <c r="CX28" i="24"/>
  <c r="CX24" i="24"/>
  <c r="CX20" i="24"/>
  <c r="CX19" i="24"/>
  <c r="CX38" i="24"/>
  <c r="CX34" i="24"/>
  <c r="CX30" i="24"/>
  <c r="CX26" i="24"/>
  <c r="CX22" i="24"/>
  <c r="CX18" i="24"/>
  <c r="CX6" i="24"/>
  <c r="AZ8" i="24"/>
  <c r="AS135" i="24"/>
  <c r="CY10" i="24"/>
  <c r="CK157" i="24"/>
  <c r="AZ162" i="24"/>
  <c r="AS162" i="24"/>
  <c r="BG109" i="24"/>
  <c r="BG107" i="24"/>
  <c r="BG64" i="24"/>
  <c r="CY61" i="24" s="1"/>
  <c r="BG108" i="24"/>
  <c r="CX14" i="24"/>
  <c r="CN118" i="24"/>
  <c r="CN16" i="24"/>
  <c r="CX13" i="24"/>
  <c r="CX7" i="24"/>
  <c r="CX29" i="24"/>
  <c r="CJ130" i="24"/>
  <c r="CJ121" i="24"/>
  <c r="CJ129" i="24"/>
  <c r="CX9" i="24"/>
  <c r="CR38" i="24"/>
  <c r="CR34" i="24"/>
  <c r="CR30" i="24"/>
  <c r="CR26" i="24"/>
  <c r="CR22" i="24"/>
  <c r="CR6" i="24"/>
  <c r="CR42" i="24"/>
  <c r="CR36" i="24"/>
  <c r="CR32" i="24"/>
  <c r="CR24" i="24"/>
  <c r="J8" i="24"/>
  <c r="J119" i="24" s="1"/>
  <c r="CR18" i="24"/>
  <c r="CR28" i="24"/>
  <c r="CR20" i="24"/>
  <c r="CR7" i="24"/>
  <c r="CR23" i="24"/>
  <c r="CY11" i="24"/>
  <c r="CY13" i="24"/>
  <c r="CR12" i="24"/>
  <c r="CX10" i="24"/>
  <c r="CR10" i="24"/>
  <c r="CJ158" i="24"/>
  <c r="CJ159" i="24" s="1"/>
  <c r="AZ134" i="24"/>
  <c r="CY46" i="24"/>
  <c r="CI61" i="24"/>
  <c r="CI64" i="24" s="1"/>
  <c r="CR43" i="24"/>
  <c r="CX39" i="24"/>
  <c r="CX35" i="24"/>
  <c r="CX31" i="24"/>
  <c r="CX27" i="24"/>
  <c r="CX23" i="24"/>
  <c r="CR19" i="24"/>
  <c r="CM118" i="24"/>
  <c r="CM16" i="24"/>
  <c r="CR41" i="24"/>
  <c r="CX37" i="24"/>
  <c r="CX33" i="24"/>
  <c r="CL119" i="24"/>
  <c r="CL138" i="24"/>
  <c r="CL140" i="24" s="1"/>
  <c r="CL158" i="24" s="1"/>
  <c r="CL159" i="24" s="1"/>
  <c r="CL120" i="24"/>
  <c r="CY7" i="24"/>
  <c r="CX12" i="24"/>
  <c r="CR11" i="24"/>
  <c r="CI135" i="24"/>
  <c r="CI113" i="24"/>
  <c r="CI116" i="24" s="1"/>
  <c r="DC41" i="24"/>
  <c r="DC39" i="24"/>
  <c r="DC35" i="24"/>
  <c r="DC31" i="24"/>
  <c r="DC27" i="24"/>
  <c r="DC23" i="24"/>
  <c r="DC14" i="24"/>
  <c r="CI8" i="24"/>
  <c r="DC43" i="24"/>
  <c r="DC37" i="24"/>
  <c r="DC33" i="24"/>
  <c r="DC25" i="24"/>
  <c r="DC6" i="24"/>
  <c r="DC29" i="24"/>
  <c r="DC21" i="24"/>
  <c r="DC12" i="24"/>
  <c r="DC18" i="24"/>
  <c r="AZ140" i="24"/>
  <c r="BU95" i="24"/>
  <c r="BU96" i="24" s="1"/>
  <c r="BU74" i="24"/>
  <c r="BU63" i="24"/>
  <c r="DB46" i="24"/>
  <c r="AS140" i="24"/>
  <c r="AZ108" i="24"/>
  <c r="AZ64" i="24"/>
  <c r="AZ109" i="24"/>
  <c r="AZ107" i="24"/>
  <c r="CM129" i="24"/>
  <c r="CM130" i="24"/>
  <c r="CM121" i="24"/>
  <c r="DC42" i="24"/>
  <c r="CX41" i="24"/>
  <c r="CY36" i="24"/>
  <c r="CY32" i="24"/>
  <c r="CY28" i="24"/>
  <c r="CY24" i="24"/>
  <c r="CY20" i="24"/>
  <c r="CR44" i="24"/>
  <c r="DB14" i="24"/>
  <c r="CX43" i="24"/>
  <c r="CY38" i="24"/>
  <c r="CY34" i="24"/>
  <c r="DC26" i="24"/>
  <c r="CX25" i="24"/>
  <c r="DB13" i="24"/>
  <c r="DC7" i="24"/>
  <c r="BU135" i="24"/>
  <c r="BU113" i="24"/>
  <c r="BU116" i="24" s="1"/>
  <c r="DA43" i="24"/>
  <c r="DA37" i="24"/>
  <c r="DA33" i="24"/>
  <c r="DA29" i="24"/>
  <c r="DA25" i="24"/>
  <c r="DA21" i="24"/>
  <c r="DA41" i="24"/>
  <c r="DA39" i="24"/>
  <c r="DA35" i="24"/>
  <c r="DA31" i="24"/>
  <c r="DA27" i="24"/>
  <c r="DA23" i="24"/>
  <c r="DA19" i="24"/>
  <c r="DA7" i="24"/>
  <c r="BU8" i="24"/>
  <c r="DA14" i="24"/>
  <c r="DA6" i="24"/>
  <c r="DA28" i="24"/>
  <c r="CY22" i="24"/>
  <c r="CR14" i="24"/>
  <c r="CJ118" i="24"/>
  <c r="CJ16" i="24"/>
  <c r="CS43" i="24"/>
  <c r="CS37" i="24"/>
  <c r="CS33" i="24"/>
  <c r="CS29" i="24"/>
  <c r="CS25" i="24"/>
  <c r="CS21" i="24"/>
  <c r="CS19" i="24"/>
  <c r="CS41" i="24"/>
  <c r="CS39" i="24"/>
  <c r="CS35" i="24"/>
  <c r="CS31" i="24"/>
  <c r="CS27" i="24"/>
  <c r="CS23" i="24"/>
  <c r="CS14" i="24"/>
  <c r="CS6" i="24"/>
  <c r="Q8" i="24"/>
  <c r="Q119" i="24" s="1"/>
  <c r="CS7" i="24"/>
  <c r="CY18" i="24"/>
  <c r="DB9" i="24"/>
  <c r="CY12" i="24"/>
  <c r="DC9" i="24"/>
  <c r="DB11" i="24"/>
  <c r="CR9" i="24"/>
  <c r="DB10" i="24"/>
  <c r="DC10" i="24"/>
  <c r="CS9" i="24"/>
  <c r="X140" i="9" l="1"/>
  <c r="X141" i="9" s="1"/>
  <c r="X143" i="9" s="1"/>
  <c r="X48" i="9"/>
  <c r="E47" i="3"/>
  <c r="Q45" i="29"/>
  <c r="F37" i="3"/>
  <c r="AE46" i="30"/>
  <c r="F51" i="3"/>
  <c r="E59" i="3"/>
  <c r="AL45" i="24"/>
  <c r="F16" i="3"/>
  <c r="X45" i="24"/>
  <c r="X138" i="24" s="1"/>
  <c r="F14" i="3"/>
  <c r="AE45" i="29"/>
  <c r="F39" i="3"/>
  <c r="BU46" i="30"/>
  <c r="F57" i="3"/>
  <c r="AZ46" i="30"/>
  <c r="F54" i="3"/>
  <c r="CB46" i="30"/>
  <c r="F58" i="3"/>
  <c r="E35" i="3"/>
  <c r="E23" i="3"/>
  <c r="CI45" i="29"/>
  <c r="F47" i="3"/>
  <c r="Q110" i="30"/>
  <c r="Q109" i="30"/>
  <c r="DC79" i="32"/>
  <c r="DB79" i="32"/>
  <c r="CX79" i="32"/>
  <c r="CR79" i="32"/>
  <c r="CY72" i="32"/>
  <c r="BG110" i="32"/>
  <c r="BG111" i="32"/>
  <c r="BG109" i="32"/>
  <c r="BU70" i="32"/>
  <c r="CZ70" i="32"/>
  <c r="BN72" i="32"/>
  <c r="BN133" i="32"/>
  <c r="BU64" i="24"/>
  <c r="Q16" i="28"/>
  <c r="CS16" i="28" s="1"/>
  <c r="AE46" i="9"/>
  <c r="J140" i="9"/>
  <c r="Q140" i="9"/>
  <c r="AS141" i="9"/>
  <c r="AS143" i="9" s="1"/>
  <c r="AL141" i="9"/>
  <c r="AL143" i="9" s="1"/>
  <c r="DA77" i="30"/>
  <c r="AE66" i="30"/>
  <c r="CU65" i="30" s="1"/>
  <c r="CB121" i="30"/>
  <c r="CP45" i="29"/>
  <c r="DB8" i="30"/>
  <c r="CP46" i="30"/>
  <c r="CP48" i="30" s="1"/>
  <c r="CP45" i="28"/>
  <c r="X16" i="30"/>
  <c r="J16" i="30"/>
  <c r="F48" i="3" s="1"/>
  <c r="CZ74" i="29"/>
  <c r="BU108" i="29"/>
  <c r="Q64" i="29"/>
  <c r="CS61" i="29" s="1"/>
  <c r="BU64" i="29"/>
  <c r="DA64" i="29" s="1"/>
  <c r="BN108" i="24"/>
  <c r="BN109" i="24"/>
  <c r="X108" i="28"/>
  <c r="BU107" i="29"/>
  <c r="AS108" i="24"/>
  <c r="AZ64" i="28"/>
  <c r="CX61" i="28" s="1"/>
  <c r="CY76" i="28"/>
  <c r="AZ108" i="28"/>
  <c r="CB109" i="29"/>
  <c r="Q109" i="29"/>
  <c r="BN107" i="24"/>
  <c r="CY64" i="28"/>
  <c r="BU107" i="24"/>
  <c r="AZ107" i="28"/>
  <c r="CB108" i="29"/>
  <c r="Q108" i="29"/>
  <c r="CY58" i="28"/>
  <c r="Q64" i="28"/>
  <c r="CS62" i="28" s="1"/>
  <c r="Q108" i="28"/>
  <c r="Q107" i="28"/>
  <c r="J109" i="30"/>
  <c r="CY65" i="28"/>
  <c r="BG109" i="30"/>
  <c r="CY70" i="28"/>
  <c r="CY66" i="28"/>
  <c r="CY63" i="28"/>
  <c r="CY51" i="28"/>
  <c r="CY67" i="28"/>
  <c r="CY74" i="28"/>
  <c r="CY62" i="28"/>
  <c r="CY68" i="28"/>
  <c r="CY61" i="28"/>
  <c r="CY69" i="28"/>
  <c r="CY60" i="28"/>
  <c r="DA71" i="30"/>
  <c r="DA64" i="30"/>
  <c r="AS109" i="29"/>
  <c r="DA78" i="30"/>
  <c r="DA63" i="30"/>
  <c r="BU108" i="28"/>
  <c r="DA66" i="30"/>
  <c r="DA70" i="30"/>
  <c r="BU64" i="28"/>
  <c r="DA62" i="28" s="1"/>
  <c r="DA67" i="30"/>
  <c r="DA76" i="30"/>
  <c r="BU107" i="28"/>
  <c r="DA69" i="30"/>
  <c r="DA72" i="30"/>
  <c r="DA60" i="30"/>
  <c r="DA65" i="30"/>
  <c r="DA62" i="30"/>
  <c r="CS8" i="30"/>
  <c r="Q111" i="30"/>
  <c r="BG66" i="30"/>
  <c r="CY76" i="30" s="1"/>
  <c r="BG110" i="30"/>
  <c r="J64" i="29"/>
  <c r="CR75" i="29" s="1"/>
  <c r="BG64" i="29"/>
  <c r="CY61" i="29" s="1"/>
  <c r="CT61" i="24"/>
  <c r="CT74" i="24"/>
  <c r="J107" i="29"/>
  <c r="J109" i="29"/>
  <c r="AS108" i="29"/>
  <c r="AS64" i="29"/>
  <c r="CW63" i="29" s="1"/>
  <c r="BN110" i="30"/>
  <c r="J121" i="30"/>
  <c r="BG109" i="29"/>
  <c r="AL64" i="28"/>
  <c r="CV74" i="28" s="1"/>
  <c r="CI109" i="28"/>
  <c r="BG107" i="29"/>
  <c r="AL108" i="28"/>
  <c r="CI64" i="28"/>
  <c r="DC67" i="28" s="1"/>
  <c r="AE64" i="29"/>
  <c r="CU70" i="29" s="1"/>
  <c r="CI107" i="28"/>
  <c r="AL107" i="28"/>
  <c r="AE109" i="29"/>
  <c r="AE107" i="29"/>
  <c r="BN109" i="30"/>
  <c r="AE110" i="30"/>
  <c r="AZ66" i="30"/>
  <c r="CX76" i="30" s="1"/>
  <c r="AE109" i="30"/>
  <c r="AZ110" i="30"/>
  <c r="X64" i="28"/>
  <c r="CT74" i="28" s="1"/>
  <c r="AZ108" i="29"/>
  <c r="AZ109" i="30"/>
  <c r="BU108" i="24"/>
  <c r="BU109" i="24"/>
  <c r="X107" i="28"/>
  <c r="AZ107" i="29"/>
  <c r="AE108" i="24"/>
  <c r="AE107" i="24"/>
  <c r="AE109" i="24"/>
  <c r="Q66" i="30"/>
  <c r="CS76" i="30" s="1"/>
  <c r="AS64" i="24"/>
  <c r="CW62" i="24" s="1"/>
  <c r="AS107" i="24"/>
  <c r="CB108" i="28"/>
  <c r="CB107" i="28"/>
  <c r="CB109" i="28"/>
  <c r="CZ74" i="28"/>
  <c r="AE109" i="28"/>
  <c r="AE107" i="28"/>
  <c r="AE108" i="28"/>
  <c r="CU76" i="30"/>
  <c r="CV61" i="24"/>
  <c r="CV74" i="24"/>
  <c r="X16" i="29"/>
  <c r="CX8" i="30"/>
  <c r="AE121" i="30"/>
  <c r="BN16" i="24"/>
  <c r="CU8" i="24"/>
  <c r="AL16" i="29"/>
  <c r="F40" i="3" s="1"/>
  <c r="CU8" i="30"/>
  <c r="AZ121" i="30"/>
  <c r="Q16" i="30"/>
  <c r="F49" i="3" s="1"/>
  <c r="BG16" i="28"/>
  <c r="F31" i="3" s="1"/>
  <c r="BG121" i="30"/>
  <c r="CV8" i="29"/>
  <c r="CT8" i="30"/>
  <c r="CW8" i="30"/>
  <c r="CT8" i="29"/>
  <c r="AS48" i="9"/>
  <c r="AL48" i="9"/>
  <c r="X79" i="9"/>
  <c r="AL16" i="30"/>
  <c r="BG16" i="30"/>
  <c r="F55" i="3" s="1"/>
  <c r="CR8" i="30"/>
  <c r="AL121" i="30"/>
  <c r="CT8" i="24"/>
  <c r="X119" i="24"/>
  <c r="X121" i="24"/>
  <c r="X120" i="24"/>
  <c r="CT62" i="29"/>
  <c r="CW63" i="30"/>
  <c r="AS16" i="30"/>
  <c r="CV76" i="30"/>
  <c r="DC65" i="30"/>
  <c r="DC63" i="30"/>
  <c r="CV63" i="30"/>
  <c r="CO132" i="30"/>
  <c r="CO123" i="30"/>
  <c r="CO131" i="30"/>
  <c r="BN121" i="30"/>
  <c r="BN16" i="30"/>
  <c r="CZ8" i="30"/>
  <c r="CI121" i="30"/>
  <c r="CI16" i="30"/>
  <c r="DC8" i="30"/>
  <c r="DB78" i="30"/>
  <c r="DB77" i="30"/>
  <c r="DB71" i="30"/>
  <c r="DB70" i="30"/>
  <c r="DB62" i="30"/>
  <c r="DB60" i="30"/>
  <c r="DB69" i="30"/>
  <c r="DB68" i="30"/>
  <c r="DB67" i="30"/>
  <c r="DB66" i="30"/>
  <c r="DB52" i="30"/>
  <c r="DB64" i="30"/>
  <c r="DB72" i="30"/>
  <c r="CT78" i="30"/>
  <c r="CT77" i="30"/>
  <c r="CT71" i="30"/>
  <c r="CT62" i="30"/>
  <c r="CT60" i="30"/>
  <c r="CT70" i="30"/>
  <c r="CT69" i="30"/>
  <c r="CT68" i="30"/>
  <c r="CT67" i="30"/>
  <c r="CT66" i="30"/>
  <c r="CT64" i="30"/>
  <c r="CT63" i="30"/>
  <c r="CT72" i="30"/>
  <c r="CT52" i="30"/>
  <c r="CT76" i="30"/>
  <c r="X123" i="30"/>
  <c r="CR65" i="30"/>
  <c r="CB123" i="30"/>
  <c r="CB122" i="30"/>
  <c r="DB16" i="30"/>
  <c r="CL121" i="30"/>
  <c r="CL140" i="30"/>
  <c r="CL142" i="30" s="1"/>
  <c r="CL160" i="30" s="1"/>
  <c r="CL161" i="30" s="1"/>
  <c r="CL122" i="30"/>
  <c r="BN66" i="30"/>
  <c r="CZ76" i="30" s="1"/>
  <c r="DB65" i="30"/>
  <c r="CX71" i="30"/>
  <c r="CX70" i="30"/>
  <c r="CX52" i="30"/>
  <c r="CX64" i="30"/>
  <c r="CK140" i="30"/>
  <c r="CK142" i="30" s="1"/>
  <c r="CK160" i="30" s="1"/>
  <c r="CK161" i="30" s="1"/>
  <c r="CK122" i="30"/>
  <c r="CK121" i="30"/>
  <c r="DB63" i="30"/>
  <c r="AE123" i="30"/>
  <c r="AE122" i="30"/>
  <c r="CU16" i="30"/>
  <c r="CN160" i="30"/>
  <c r="CN161" i="30" s="1"/>
  <c r="DC77" i="30"/>
  <c r="DC69" i="30"/>
  <c r="DC68" i="30"/>
  <c r="DC67" i="30"/>
  <c r="DC66" i="30"/>
  <c r="DC71" i="30"/>
  <c r="DC78" i="30"/>
  <c r="DC70" i="30"/>
  <c r="DC60" i="30"/>
  <c r="DC62" i="30"/>
  <c r="DC64" i="30"/>
  <c r="DC52" i="30"/>
  <c r="DC72" i="30"/>
  <c r="CV78" i="30"/>
  <c r="CV70" i="30"/>
  <c r="CV69" i="30"/>
  <c r="CV68" i="30"/>
  <c r="CV67" i="30"/>
  <c r="CV66" i="30"/>
  <c r="CV77" i="30"/>
  <c r="CV72" i="30"/>
  <c r="CV62" i="30"/>
  <c r="CV60" i="30"/>
  <c r="CV71" i="30"/>
  <c r="CV52" i="30"/>
  <c r="CV64" i="30"/>
  <c r="CW77" i="30"/>
  <c r="CW72" i="30"/>
  <c r="CW62" i="30"/>
  <c r="CW60" i="30"/>
  <c r="CW71" i="30"/>
  <c r="CW78" i="30"/>
  <c r="CW68" i="30"/>
  <c r="CW69" i="30"/>
  <c r="CW70" i="30"/>
  <c r="CW66" i="30"/>
  <c r="CW64" i="30"/>
  <c r="CW67" i="30"/>
  <c r="CW65" i="30"/>
  <c r="CW52" i="30"/>
  <c r="BU122" i="30"/>
  <c r="BU123" i="30"/>
  <c r="DA16" i="30"/>
  <c r="AZ123" i="30"/>
  <c r="AZ122" i="30"/>
  <c r="CX16" i="30"/>
  <c r="CN132" i="30"/>
  <c r="CN123" i="30"/>
  <c r="CN131" i="30"/>
  <c r="CY78" i="30"/>
  <c r="CY70" i="30"/>
  <c r="CU71" i="30"/>
  <c r="CU78" i="30"/>
  <c r="CU70" i="30"/>
  <c r="CU69" i="30"/>
  <c r="CU68" i="30"/>
  <c r="CU67" i="30"/>
  <c r="CU66" i="30"/>
  <c r="CU77" i="30"/>
  <c r="CU72" i="30"/>
  <c r="CU60" i="30"/>
  <c r="CU62" i="30"/>
  <c r="CU52" i="30"/>
  <c r="CU64" i="30"/>
  <c r="CT65" i="30"/>
  <c r="DA67" i="29"/>
  <c r="DA66" i="29"/>
  <c r="BG119" i="29"/>
  <c r="CY8" i="29"/>
  <c r="BG16" i="29"/>
  <c r="AS119" i="29"/>
  <c r="AS16" i="29"/>
  <c r="CW8" i="29"/>
  <c r="CI120" i="29"/>
  <c r="CI121" i="29"/>
  <c r="DC16" i="29"/>
  <c r="CV76" i="29"/>
  <c r="CV75" i="29"/>
  <c r="CV69" i="29"/>
  <c r="CV68" i="29"/>
  <c r="CV67" i="29"/>
  <c r="CV60" i="29"/>
  <c r="CV58" i="29"/>
  <c r="CV66" i="29"/>
  <c r="CV65" i="29"/>
  <c r="CV64" i="29"/>
  <c r="CV61" i="29"/>
  <c r="CV70" i="29"/>
  <c r="CV62" i="29"/>
  <c r="CV51" i="29"/>
  <c r="CL138" i="29"/>
  <c r="CL140" i="29" s="1"/>
  <c r="CL158" i="29" s="1"/>
  <c r="CL159" i="29" s="1"/>
  <c r="CL119" i="29"/>
  <c r="CL120" i="29"/>
  <c r="CS76" i="29"/>
  <c r="CS68" i="29"/>
  <c r="CS65" i="29"/>
  <c r="CS64" i="29"/>
  <c r="CS67" i="29"/>
  <c r="CS70" i="29"/>
  <c r="CS62" i="29"/>
  <c r="CZ76" i="29"/>
  <c r="CZ75" i="29"/>
  <c r="CZ69" i="29"/>
  <c r="CZ68" i="29"/>
  <c r="CZ67" i="29"/>
  <c r="CZ60" i="29"/>
  <c r="CZ58" i="29"/>
  <c r="CZ66" i="29"/>
  <c r="CZ65" i="29"/>
  <c r="CZ64" i="29"/>
  <c r="CZ51" i="29"/>
  <c r="CZ61" i="29"/>
  <c r="CZ62" i="29"/>
  <c r="CZ70" i="29"/>
  <c r="CT63" i="29"/>
  <c r="BU119" i="29"/>
  <c r="BU16" i="29"/>
  <c r="DA8" i="29"/>
  <c r="CB64" i="29"/>
  <c r="DB74" i="29" s="1"/>
  <c r="CV63" i="29"/>
  <c r="CT74" i="29"/>
  <c r="J119" i="29"/>
  <c r="J16" i="29"/>
  <c r="CR8" i="29"/>
  <c r="AZ119" i="29"/>
  <c r="AZ16" i="29"/>
  <c r="CX8" i="29"/>
  <c r="DC76" i="29"/>
  <c r="DC69" i="29"/>
  <c r="DC75" i="29"/>
  <c r="DC68" i="29"/>
  <c r="DC60" i="29"/>
  <c r="DC58" i="29"/>
  <c r="DC67" i="29"/>
  <c r="DC70" i="29"/>
  <c r="DC66" i="29"/>
  <c r="DC65" i="29"/>
  <c r="DC64" i="29"/>
  <c r="DC51" i="29"/>
  <c r="DC62" i="29"/>
  <c r="DC61" i="29"/>
  <c r="CB119" i="29"/>
  <c r="CB16" i="29"/>
  <c r="DB8" i="29"/>
  <c r="BN119" i="29"/>
  <c r="BN16" i="29"/>
  <c r="CZ8" i="29"/>
  <c r="CN129" i="29"/>
  <c r="CN121" i="29"/>
  <c r="CN130" i="29"/>
  <c r="AE120" i="29"/>
  <c r="AE121" i="29"/>
  <c r="CU16" i="29"/>
  <c r="CO129" i="29"/>
  <c r="CO121" i="29"/>
  <c r="CO130" i="29"/>
  <c r="DC74" i="29"/>
  <c r="CV74" i="29"/>
  <c r="CK138" i="29"/>
  <c r="CK140" i="29" s="1"/>
  <c r="CK158" i="29" s="1"/>
  <c r="CK159" i="29" s="1"/>
  <c r="CK119" i="29"/>
  <c r="CK120" i="29"/>
  <c r="CT75" i="29"/>
  <c r="CT68" i="29"/>
  <c r="CT66" i="29"/>
  <c r="CT65" i="29"/>
  <c r="CT64" i="29"/>
  <c r="CT67" i="29"/>
  <c r="CT70" i="29"/>
  <c r="CT60" i="29"/>
  <c r="CT58" i="29"/>
  <c r="CT76" i="29"/>
  <c r="CT69" i="29"/>
  <c r="CT51" i="29"/>
  <c r="Q121" i="29"/>
  <c r="Q120" i="29"/>
  <c r="CS16" i="29"/>
  <c r="AZ64" i="29"/>
  <c r="CX63" i="29" s="1"/>
  <c r="BG119" i="28"/>
  <c r="BN119" i="28"/>
  <c r="BN16" i="28"/>
  <c r="CZ8" i="28"/>
  <c r="DB76" i="28"/>
  <c r="DB75" i="28"/>
  <c r="DB69" i="28"/>
  <c r="DB68" i="28"/>
  <c r="DB67" i="28"/>
  <c r="DB66" i="28"/>
  <c r="DB65" i="28"/>
  <c r="DB64" i="28"/>
  <c r="DB58" i="28"/>
  <c r="DB60" i="28"/>
  <c r="DB62" i="28"/>
  <c r="DB70" i="28"/>
  <c r="DB61" i="28"/>
  <c r="DB51" i="28"/>
  <c r="CR76" i="28"/>
  <c r="CR68" i="28"/>
  <c r="CR66" i="28"/>
  <c r="CR64" i="28"/>
  <c r="CR75" i="28"/>
  <c r="CR69" i="28"/>
  <c r="CR67" i="28"/>
  <c r="CR65" i="28"/>
  <c r="CR60" i="28"/>
  <c r="CR58" i="28"/>
  <c r="CR51" i="28"/>
  <c r="CR63" i="28"/>
  <c r="CR70" i="28"/>
  <c r="CR62" i="28"/>
  <c r="CN129" i="28"/>
  <c r="CN121" i="28"/>
  <c r="CN130" i="28"/>
  <c r="CR74" i="28"/>
  <c r="CB119" i="28"/>
  <c r="DB8" i="28"/>
  <c r="CB16" i="28"/>
  <c r="CO138" i="28"/>
  <c r="CO140" i="28" s="1"/>
  <c r="CO158" i="28" s="1"/>
  <c r="CO159" i="28" s="1"/>
  <c r="CO119" i="28"/>
  <c r="CO120" i="28"/>
  <c r="X119" i="28"/>
  <c r="CT8" i="28"/>
  <c r="X16" i="28"/>
  <c r="AS64" i="28"/>
  <c r="CW74" i="28" s="1"/>
  <c r="AS119" i="28"/>
  <c r="CW8" i="28"/>
  <c r="AS16" i="28"/>
  <c r="CR61" i="28"/>
  <c r="J119" i="28"/>
  <c r="J16" i="28"/>
  <c r="CR8" i="28"/>
  <c r="AZ119" i="28"/>
  <c r="AZ16" i="28"/>
  <c r="CX8" i="28"/>
  <c r="CU76" i="28"/>
  <c r="CU75" i="28"/>
  <c r="CU69" i="28"/>
  <c r="CU68" i="28"/>
  <c r="CU67" i="28"/>
  <c r="CU66" i="28"/>
  <c r="CU65" i="28"/>
  <c r="CU64" i="28"/>
  <c r="CU60" i="28"/>
  <c r="CU58" i="28"/>
  <c r="CU62" i="28"/>
  <c r="CU70" i="28"/>
  <c r="CU51" i="28"/>
  <c r="CU61" i="28"/>
  <c r="CZ76" i="28"/>
  <c r="CZ68" i="28"/>
  <c r="CZ66" i="28"/>
  <c r="CZ64" i="28"/>
  <c r="CZ60" i="28"/>
  <c r="CZ75" i="28"/>
  <c r="CZ69" i="28"/>
  <c r="CZ67" i="28"/>
  <c r="CZ65" i="28"/>
  <c r="CZ58" i="28"/>
  <c r="CZ51" i="28"/>
  <c r="CZ62" i="28"/>
  <c r="CZ70" i="28"/>
  <c r="CK138" i="28"/>
  <c r="CK140" i="28" s="1"/>
  <c r="CK158" i="28" s="1"/>
  <c r="CK159" i="28" s="1"/>
  <c r="CK119" i="28"/>
  <c r="CK120" i="28"/>
  <c r="CU63" i="28"/>
  <c r="DB74" i="28"/>
  <c r="AL119" i="28"/>
  <c r="AL16" i="28"/>
  <c r="CV8" i="28"/>
  <c r="CI119" i="28"/>
  <c r="CI16" i="28"/>
  <c r="DC8" i="28"/>
  <c r="AE119" i="28"/>
  <c r="AE16" i="28"/>
  <c r="CU8" i="28"/>
  <c r="DB63" i="28"/>
  <c r="BU119" i="28"/>
  <c r="DA8" i="28"/>
  <c r="BU16" i="28"/>
  <c r="CL138" i="28"/>
  <c r="CL140" i="28" s="1"/>
  <c r="CL158" i="28" s="1"/>
  <c r="CL159" i="28" s="1"/>
  <c r="CL120" i="28"/>
  <c r="CL119" i="28"/>
  <c r="CU74" i="28"/>
  <c r="CZ61" i="28"/>
  <c r="CS68" i="24"/>
  <c r="CS66" i="24"/>
  <c r="CS64" i="24"/>
  <c r="CS58" i="24"/>
  <c r="CS76" i="24"/>
  <c r="CS74" i="24"/>
  <c r="CS62" i="24"/>
  <c r="CS60" i="24"/>
  <c r="CS75" i="24"/>
  <c r="CS70" i="24"/>
  <c r="CS69" i="24"/>
  <c r="CS67" i="24"/>
  <c r="CS65" i="24"/>
  <c r="CS63" i="24"/>
  <c r="CS51" i="24"/>
  <c r="AE16" i="24"/>
  <c r="AS16" i="24"/>
  <c r="F17" i="3" s="1"/>
  <c r="BN119" i="24"/>
  <c r="CW8" i="24"/>
  <c r="AL119" i="24"/>
  <c r="CV8" i="24"/>
  <c r="CY63" i="24"/>
  <c r="CX76" i="24"/>
  <c r="CX75" i="24"/>
  <c r="CX66" i="24"/>
  <c r="CX58" i="24"/>
  <c r="CX70" i="24"/>
  <c r="CX67" i="24"/>
  <c r="CX60" i="24"/>
  <c r="CX68" i="24"/>
  <c r="CX64" i="24"/>
  <c r="CX69" i="24"/>
  <c r="CX65" i="24"/>
  <c r="CX51" i="24"/>
  <c r="DA74" i="24"/>
  <c r="CI109" i="24"/>
  <c r="CI108" i="24"/>
  <c r="CI107" i="24"/>
  <c r="DA76" i="24"/>
  <c r="DA75" i="24"/>
  <c r="DA67" i="24"/>
  <c r="DA60" i="24"/>
  <c r="DA68" i="24"/>
  <c r="DA64" i="24"/>
  <c r="DA69" i="24"/>
  <c r="DA65" i="24"/>
  <c r="DA66" i="24"/>
  <c r="DA58" i="24"/>
  <c r="DA51" i="24"/>
  <c r="DA70" i="24"/>
  <c r="CX74" i="24"/>
  <c r="CB119" i="24"/>
  <c r="CB16" i="24"/>
  <c r="DB8" i="24"/>
  <c r="CU69" i="24"/>
  <c r="CU68" i="24"/>
  <c r="CU67" i="24"/>
  <c r="CU66" i="24"/>
  <c r="CU65" i="24"/>
  <c r="CU64" i="24"/>
  <c r="CU60" i="24"/>
  <c r="CU58" i="24"/>
  <c r="CU75" i="24"/>
  <c r="CU76" i="24"/>
  <c r="CU62" i="24"/>
  <c r="CU70" i="24"/>
  <c r="CU51" i="24"/>
  <c r="DB76" i="24"/>
  <c r="DB75" i="24"/>
  <c r="DB68" i="24"/>
  <c r="DB64" i="24"/>
  <c r="DB69" i="24"/>
  <c r="DB65" i="24"/>
  <c r="DB66" i="24"/>
  <c r="DB58" i="24"/>
  <c r="DB70" i="24"/>
  <c r="DB67" i="24"/>
  <c r="DB60" i="24"/>
  <c r="DB51" i="24"/>
  <c r="DB62" i="24"/>
  <c r="DB63" i="24"/>
  <c r="CT16" i="24"/>
  <c r="AZ119" i="24"/>
  <c r="AZ16" i="24"/>
  <c r="CX8" i="24"/>
  <c r="CX61" i="24"/>
  <c r="BG119" i="24"/>
  <c r="BG16" i="24"/>
  <c r="CY8" i="24"/>
  <c r="CX62" i="24"/>
  <c r="CS8" i="24"/>
  <c r="Q16" i="24"/>
  <c r="CK119" i="24"/>
  <c r="CK138" i="24"/>
  <c r="CK140" i="24" s="1"/>
  <c r="CK158" i="24" s="1"/>
  <c r="CK159" i="24" s="1"/>
  <c r="CK120" i="24"/>
  <c r="CI119" i="24"/>
  <c r="CI16" i="24"/>
  <c r="DC8" i="24"/>
  <c r="DB74" i="24"/>
  <c r="CZ69" i="24"/>
  <c r="CZ68" i="24"/>
  <c r="CZ67" i="24"/>
  <c r="CZ66" i="24"/>
  <c r="CZ65" i="24"/>
  <c r="CZ64" i="24"/>
  <c r="CZ60" i="24"/>
  <c r="CZ58" i="24"/>
  <c r="CZ75" i="24"/>
  <c r="CZ76" i="24"/>
  <c r="CZ62" i="24"/>
  <c r="CZ70" i="24"/>
  <c r="CZ51" i="24"/>
  <c r="CZ63" i="24"/>
  <c r="CV69" i="24"/>
  <c r="CV68" i="24"/>
  <c r="CV67" i="24"/>
  <c r="CV66" i="24"/>
  <c r="CV65" i="24"/>
  <c r="CV64" i="24"/>
  <c r="CV60" i="24"/>
  <c r="CV58" i="24"/>
  <c r="CV75" i="24"/>
  <c r="CV76" i="24"/>
  <c r="CV51" i="24"/>
  <c r="CV62" i="24"/>
  <c r="CV70" i="24"/>
  <c r="CX63" i="24"/>
  <c r="AL121" i="24"/>
  <c r="AL120" i="24"/>
  <c r="CV16" i="24"/>
  <c r="BU119" i="24"/>
  <c r="BU16" i="24"/>
  <c r="DA8" i="24"/>
  <c r="CN138" i="24"/>
  <c r="CN140" i="24" s="1"/>
  <c r="CN158" i="24" s="1"/>
  <c r="CN159" i="24" s="1"/>
  <c r="CN119" i="24"/>
  <c r="CN120" i="24"/>
  <c r="DA62" i="24"/>
  <c r="CU61" i="24"/>
  <c r="CU63" i="24"/>
  <c r="DA63" i="24"/>
  <c r="CL129" i="24"/>
  <c r="CL130" i="24"/>
  <c r="CL121" i="24"/>
  <c r="CT76" i="24"/>
  <c r="CT75" i="24"/>
  <c r="CT68" i="24"/>
  <c r="CT64" i="24"/>
  <c r="CT69" i="24"/>
  <c r="CT65" i="24"/>
  <c r="CT66" i="24"/>
  <c r="CT58" i="24"/>
  <c r="CT70" i="24"/>
  <c r="CT67" i="24"/>
  <c r="CT60" i="24"/>
  <c r="CT63" i="24"/>
  <c r="CT62" i="24"/>
  <c r="CT51" i="24"/>
  <c r="J16" i="24"/>
  <c r="CR8" i="24"/>
  <c r="CY69" i="24"/>
  <c r="CY68" i="24"/>
  <c r="CY67" i="24"/>
  <c r="CY66" i="24"/>
  <c r="CY65" i="24"/>
  <c r="CY64" i="24"/>
  <c r="CY60" i="24"/>
  <c r="CY58" i="24"/>
  <c r="CY76" i="24"/>
  <c r="CY75" i="24"/>
  <c r="CY70" i="24"/>
  <c r="CY62" i="24"/>
  <c r="CY51" i="24"/>
  <c r="CY74" i="24"/>
  <c r="DB61" i="24"/>
  <c r="DA61" i="24"/>
  <c r="CO138" i="24"/>
  <c r="CO140" i="24" s="1"/>
  <c r="CO158" i="24" s="1"/>
  <c r="CO159" i="24" s="1"/>
  <c r="CO119" i="24"/>
  <c r="CO120" i="24"/>
  <c r="CZ74" i="24"/>
  <c r="Q121" i="28" l="1"/>
  <c r="AE140" i="9"/>
  <c r="AE141" i="9" s="1"/>
  <c r="AE143" i="9" s="1"/>
  <c r="AE48" i="9"/>
  <c r="Q120" i="28"/>
  <c r="J122" i="30"/>
  <c r="BU45" i="24"/>
  <c r="F21" i="3"/>
  <c r="BG45" i="24"/>
  <c r="F19" i="3"/>
  <c r="CB45" i="29"/>
  <c r="F46" i="3"/>
  <c r="J45" i="29"/>
  <c r="J47" i="29" s="1"/>
  <c r="H36" i="3" s="1"/>
  <c r="F36" i="3"/>
  <c r="CI46" i="30"/>
  <c r="F59" i="3"/>
  <c r="AS46" i="30"/>
  <c r="CW46" i="30" s="1"/>
  <c r="F53" i="3"/>
  <c r="F26" i="3"/>
  <c r="X45" i="28"/>
  <c r="BN45" i="29"/>
  <c r="F44" i="3"/>
  <c r="AZ45" i="29"/>
  <c r="F42" i="3"/>
  <c r="BG45" i="29"/>
  <c r="F43" i="3"/>
  <c r="BN45" i="24"/>
  <c r="BN47" i="24" s="1"/>
  <c r="F20" i="3"/>
  <c r="Q45" i="24"/>
  <c r="Q138" i="24" s="1"/>
  <c r="Q139" i="24" s="1"/>
  <c r="Q141" i="24" s="1"/>
  <c r="F13" i="3"/>
  <c r="AZ45" i="24"/>
  <c r="F18" i="3"/>
  <c r="CB45" i="24"/>
  <c r="CB47" i="24" s="1"/>
  <c r="F22" i="3"/>
  <c r="X120" i="29"/>
  <c r="F38" i="3"/>
  <c r="AE45" i="24"/>
  <c r="AE47" i="24" s="1"/>
  <c r="F15" i="3"/>
  <c r="AL45" i="28"/>
  <c r="F28" i="3"/>
  <c r="AS45" i="28"/>
  <c r="F29" i="3"/>
  <c r="J45" i="24"/>
  <c r="J47" i="24" s="1"/>
  <c r="H12" i="3" s="1"/>
  <c r="F12" i="3"/>
  <c r="BU45" i="28"/>
  <c r="F33" i="3"/>
  <c r="CI45" i="28"/>
  <c r="F35" i="3"/>
  <c r="J45" i="28"/>
  <c r="J47" i="28" s="1"/>
  <c r="H24" i="3" s="1"/>
  <c r="F24" i="3"/>
  <c r="BU45" i="29"/>
  <c r="F45" i="3"/>
  <c r="AL46" i="30"/>
  <c r="CV46" i="30" s="1"/>
  <c r="F52" i="3"/>
  <c r="X46" i="30"/>
  <c r="X48" i="30" s="1"/>
  <c r="H50" i="3" s="1"/>
  <c r="F50" i="3"/>
  <c r="CI45" i="24"/>
  <c r="F23" i="3"/>
  <c r="AE45" i="28"/>
  <c r="F27" i="3"/>
  <c r="AZ45" i="28"/>
  <c r="F30" i="3"/>
  <c r="CB45" i="28"/>
  <c r="F34" i="3"/>
  <c r="BN45" i="28"/>
  <c r="F32" i="3"/>
  <c r="AS45" i="29"/>
  <c r="F41" i="3"/>
  <c r="J133" i="30"/>
  <c r="BN46" i="30"/>
  <c r="F56" i="3"/>
  <c r="Q45" i="28"/>
  <c r="Q47" i="28" s="1"/>
  <c r="H25" i="3" s="1"/>
  <c r="F25" i="3"/>
  <c r="CY52" i="30"/>
  <c r="CU63" i="30"/>
  <c r="BU72" i="32"/>
  <c r="DA70" i="32"/>
  <c r="CB70" i="32"/>
  <c r="BU133" i="32"/>
  <c r="CZ72" i="32"/>
  <c r="BN109" i="32"/>
  <c r="BN110" i="32"/>
  <c r="BN111" i="32"/>
  <c r="CT16" i="30"/>
  <c r="X122" i="30"/>
  <c r="J126" i="9"/>
  <c r="J166" i="9"/>
  <c r="J125" i="9"/>
  <c r="J141" i="9"/>
  <c r="J143" i="9" s="1"/>
  <c r="Q126" i="9"/>
  <c r="Q79" i="9"/>
  <c r="X80" i="9" s="1"/>
  <c r="AE80" i="9" s="1"/>
  <c r="Q87" i="9"/>
  <c r="Q96" i="9" s="1"/>
  <c r="Q125" i="9"/>
  <c r="Q141" i="9"/>
  <c r="Q143" i="9" s="1"/>
  <c r="AS125" i="9"/>
  <c r="AS87" i="9"/>
  <c r="AS96" i="9" s="1"/>
  <c r="AS79" i="9"/>
  <c r="AL125" i="9"/>
  <c r="AL87" i="9"/>
  <c r="AL96" i="9" s="1"/>
  <c r="AL79" i="9"/>
  <c r="AV80" i="9" s="1"/>
  <c r="AL126" i="9"/>
  <c r="X125" i="9"/>
  <c r="X87" i="9"/>
  <c r="X96" i="9" s="1"/>
  <c r="X126" i="9"/>
  <c r="CY64" i="30"/>
  <c r="CY63" i="30"/>
  <c r="CY67" i="30"/>
  <c r="CY60" i="30"/>
  <c r="CX63" i="30"/>
  <c r="CX60" i="30"/>
  <c r="AS121" i="24"/>
  <c r="AS130" i="24" s="1"/>
  <c r="AS45" i="24"/>
  <c r="CW45" i="24" s="1"/>
  <c r="CR16" i="30"/>
  <c r="J46" i="30"/>
  <c r="BG121" i="28"/>
  <c r="BG122" i="28" s="1"/>
  <c r="BG45" i="28"/>
  <c r="BG138" i="28" s="1"/>
  <c r="AL120" i="29"/>
  <c r="AL45" i="29"/>
  <c r="CV45" i="29" s="1"/>
  <c r="CY16" i="30"/>
  <c r="BG46" i="30"/>
  <c r="CY46" i="30" s="1"/>
  <c r="Q123" i="30"/>
  <c r="Q132" i="30" s="1"/>
  <c r="Q46" i="30"/>
  <c r="Q48" i="30" s="1"/>
  <c r="H49" i="3" s="1"/>
  <c r="CT16" i="29"/>
  <c r="X45" i="29"/>
  <c r="X47" i="29" s="1"/>
  <c r="H38" i="3" s="1"/>
  <c r="BN120" i="24"/>
  <c r="CS78" i="30"/>
  <c r="BG120" i="28"/>
  <c r="X121" i="29"/>
  <c r="X122" i="29" s="1"/>
  <c r="CY62" i="30"/>
  <c r="CY69" i="30"/>
  <c r="CX72" i="30"/>
  <c r="CX62" i="30"/>
  <c r="CY72" i="30"/>
  <c r="CY77" i="30"/>
  <c r="CY68" i="30"/>
  <c r="CY66" i="30"/>
  <c r="CY71" i="30"/>
  <c r="CY65" i="30"/>
  <c r="CS51" i="29"/>
  <c r="CS66" i="29"/>
  <c r="DA70" i="29"/>
  <c r="DA60" i="29"/>
  <c r="CS58" i="29"/>
  <c r="CS75" i="29"/>
  <c r="DA58" i="29"/>
  <c r="CS63" i="29"/>
  <c r="CS74" i="29"/>
  <c r="CS60" i="29"/>
  <c r="CS69" i="29"/>
  <c r="DA65" i="29"/>
  <c r="DA75" i="29"/>
  <c r="CX58" i="28"/>
  <c r="DA74" i="29"/>
  <c r="DA69" i="29"/>
  <c r="DA63" i="29"/>
  <c r="DA51" i="29"/>
  <c r="DA76" i="29"/>
  <c r="DA68" i="29"/>
  <c r="DA61" i="29"/>
  <c r="DA62" i="29"/>
  <c r="CX76" i="28"/>
  <c r="CX64" i="28"/>
  <c r="CX65" i="28"/>
  <c r="CX70" i="28"/>
  <c r="CX67" i="28"/>
  <c r="CU66" i="29"/>
  <c r="CV66" i="28"/>
  <c r="CX66" i="28"/>
  <c r="CT66" i="28"/>
  <c r="CU67" i="29"/>
  <c r="CX63" i="28"/>
  <c r="CX51" i="28"/>
  <c r="CX62" i="28"/>
  <c r="CX69" i="28"/>
  <c r="CY66" i="29"/>
  <c r="CX68" i="28"/>
  <c r="CX74" i="28"/>
  <c r="CX60" i="28"/>
  <c r="CX75" i="28"/>
  <c r="CY75" i="29"/>
  <c r="CY69" i="29"/>
  <c r="CU68" i="29"/>
  <c r="CS61" i="28"/>
  <c r="CS75" i="28"/>
  <c r="CY76" i="29"/>
  <c r="CU75" i="29"/>
  <c r="CS76" i="28"/>
  <c r="CY70" i="29"/>
  <c r="CU51" i="29"/>
  <c r="CU69" i="29"/>
  <c r="CY63" i="29"/>
  <c r="CY74" i="29"/>
  <c r="CS64" i="28"/>
  <c r="CS58" i="28"/>
  <c r="CS69" i="28"/>
  <c r="CS70" i="28"/>
  <c r="CS68" i="28"/>
  <c r="CY62" i="29"/>
  <c r="CY58" i="29"/>
  <c r="CU63" i="29"/>
  <c r="CU76" i="29"/>
  <c r="CS60" i="28"/>
  <c r="CY51" i="29"/>
  <c r="CY60" i="29"/>
  <c r="CW60" i="29"/>
  <c r="CU62" i="29"/>
  <c r="CU58" i="29"/>
  <c r="CS67" i="28"/>
  <c r="CW70" i="29"/>
  <c r="CS66" i="28"/>
  <c r="CY64" i="29"/>
  <c r="CY67" i="29"/>
  <c r="CW66" i="29"/>
  <c r="CU61" i="29"/>
  <c r="CU64" i="29"/>
  <c r="CU60" i="29"/>
  <c r="CS63" i="28"/>
  <c r="CS74" i="28"/>
  <c r="CS51" i="28"/>
  <c r="CS65" i="28"/>
  <c r="CW74" i="29"/>
  <c r="CY65" i="29"/>
  <c r="CY68" i="29"/>
  <c r="CW69" i="29"/>
  <c r="CU74" i="29"/>
  <c r="CU65" i="29"/>
  <c r="DC69" i="28"/>
  <c r="CW58" i="29"/>
  <c r="CW76" i="29"/>
  <c r="CR60" i="29"/>
  <c r="DA61" i="28"/>
  <c r="CW67" i="29"/>
  <c r="CR76" i="29"/>
  <c r="CR65" i="29"/>
  <c r="DA70" i="28"/>
  <c r="CW68" i="29"/>
  <c r="CW61" i="29"/>
  <c r="CW75" i="29"/>
  <c r="DA76" i="28"/>
  <c r="DA67" i="28"/>
  <c r="CW51" i="29"/>
  <c r="CW64" i="29"/>
  <c r="CW62" i="29"/>
  <c r="CW65" i="29"/>
  <c r="BN121" i="24"/>
  <c r="BN130" i="24" s="1"/>
  <c r="BG123" i="30"/>
  <c r="BG124" i="30" s="1"/>
  <c r="CV63" i="28"/>
  <c r="CV68" i="28"/>
  <c r="CT70" i="28"/>
  <c r="CT67" i="28"/>
  <c r="DA74" i="28"/>
  <c r="DA68" i="28"/>
  <c r="CR66" i="29"/>
  <c r="CS62" i="30"/>
  <c r="DC63" i="28"/>
  <c r="DA63" i="28"/>
  <c r="DA65" i="28"/>
  <c r="DC51" i="28"/>
  <c r="CR58" i="29"/>
  <c r="CS65" i="30"/>
  <c r="DA51" i="28"/>
  <c r="DA69" i="28"/>
  <c r="CR51" i="29"/>
  <c r="CR67" i="29"/>
  <c r="CR61" i="29"/>
  <c r="DA66" i="28"/>
  <c r="DA75" i="28"/>
  <c r="CR70" i="29"/>
  <c r="CR68" i="29"/>
  <c r="CR63" i="29"/>
  <c r="DA58" i="28"/>
  <c r="DA60" i="28"/>
  <c r="CR62" i="29"/>
  <c r="CR69" i="29"/>
  <c r="CR74" i="29"/>
  <c r="DA64" i="28"/>
  <c r="CR64" i="29"/>
  <c r="CX66" i="30"/>
  <c r="CX77" i="30"/>
  <c r="CX67" i="30"/>
  <c r="CX78" i="30"/>
  <c r="CX68" i="30"/>
  <c r="CX69" i="30"/>
  <c r="CS71" i="30"/>
  <c r="CS52" i="30"/>
  <c r="CS72" i="30"/>
  <c r="CS66" i="30"/>
  <c r="CS63" i="30"/>
  <c r="CS77" i="30"/>
  <c r="CS70" i="30"/>
  <c r="CS69" i="30"/>
  <c r="CS68" i="30"/>
  <c r="CS67" i="30"/>
  <c r="CV70" i="28"/>
  <c r="CT51" i="28"/>
  <c r="CT68" i="28"/>
  <c r="CV62" i="28"/>
  <c r="CV76" i="28"/>
  <c r="CT62" i="28"/>
  <c r="CT69" i="28"/>
  <c r="CT63" i="28"/>
  <c r="CV51" i="28"/>
  <c r="CV65" i="28"/>
  <c r="CT58" i="28"/>
  <c r="CT75" i="28"/>
  <c r="CV60" i="28"/>
  <c r="CV67" i="28"/>
  <c r="CT60" i="28"/>
  <c r="CT76" i="28"/>
  <c r="CV58" i="28"/>
  <c r="CV69" i="28"/>
  <c r="CT64" i="28"/>
  <c r="CT61" i="28"/>
  <c r="CV61" i="28"/>
  <c r="CV64" i="28"/>
  <c r="CV75" i="28"/>
  <c r="CT65" i="28"/>
  <c r="CW58" i="24"/>
  <c r="CW66" i="24"/>
  <c r="CW61" i="24"/>
  <c r="CS64" i="30"/>
  <c r="CS60" i="30"/>
  <c r="CX65" i="30"/>
  <c r="DC75" i="28"/>
  <c r="DC70" i="28"/>
  <c r="DC68" i="28"/>
  <c r="DC58" i="28"/>
  <c r="DC76" i="28"/>
  <c r="DC61" i="28"/>
  <c r="DC64" i="28"/>
  <c r="DC65" i="28"/>
  <c r="DC66" i="28"/>
  <c r="DC60" i="28"/>
  <c r="DC74" i="28"/>
  <c r="DC62" i="28"/>
  <c r="CW67" i="24"/>
  <c r="CW63" i="24"/>
  <c r="CW51" i="24"/>
  <c r="CW65" i="24"/>
  <c r="CW70" i="24"/>
  <c r="CW69" i="24"/>
  <c r="CW64" i="24"/>
  <c r="CW75" i="24"/>
  <c r="CW68" i="24"/>
  <c r="CW76" i="24"/>
  <c r="CW74" i="24"/>
  <c r="CW60" i="24"/>
  <c r="CR76" i="30"/>
  <c r="CX74" i="29"/>
  <c r="CZ16" i="24"/>
  <c r="CV16" i="29"/>
  <c r="CY16" i="28"/>
  <c r="AL121" i="29"/>
  <c r="AL122" i="29" s="1"/>
  <c r="Q122" i="30"/>
  <c r="CS16" i="30"/>
  <c r="AL123" i="30"/>
  <c r="AL132" i="30" s="1"/>
  <c r="AE120" i="24"/>
  <c r="BG122" i="30"/>
  <c r="CV16" i="30"/>
  <c r="AL122" i="30"/>
  <c r="AS123" i="30"/>
  <c r="AS124" i="30" s="1"/>
  <c r="CU16" i="24"/>
  <c r="AE121" i="24"/>
  <c r="AE130" i="24" s="1"/>
  <c r="AS120" i="24"/>
  <c r="AS122" i="30"/>
  <c r="X122" i="24"/>
  <c r="X130" i="24"/>
  <c r="X131" i="24"/>
  <c r="J121" i="24"/>
  <c r="J120" i="24"/>
  <c r="X139" i="24"/>
  <c r="X141" i="24" s="1"/>
  <c r="CW16" i="24"/>
  <c r="Q120" i="24"/>
  <c r="Q121" i="24"/>
  <c r="CW16" i="30"/>
  <c r="DB63" i="29"/>
  <c r="AS48" i="30"/>
  <c r="H53" i="3" s="1"/>
  <c r="AE133" i="30"/>
  <c r="AE124" i="30"/>
  <c r="AE132" i="30"/>
  <c r="CK132" i="30"/>
  <c r="CK131" i="30"/>
  <c r="CK123" i="30"/>
  <c r="CB48" i="30"/>
  <c r="H58" i="3" s="1"/>
  <c r="DB46" i="30"/>
  <c r="CB140" i="30"/>
  <c r="CZ65" i="30"/>
  <c r="CI123" i="30"/>
  <c r="CI122" i="30"/>
  <c r="DC16" i="30"/>
  <c r="AZ133" i="30"/>
  <c r="AZ124" i="30"/>
  <c r="AZ132" i="30"/>
  <c r="AZ48" i="30"/>
  <c r="H54" i="3" s="1"/>
  <c r="CX46" i="30"/>
  <c r="AZ140" i="30"/>
  <c r="CZ71" i="30"/>
  <c r="CZ69" i="30"/>
  <c r="CZ68" i="30"/>
  <c r="CZ67" i="30"/>
  <c r="CZ66" i="30"/>
  <c r="CZ78" i="30"/>
  <c r="CZ70" i="30"/>
  <c r="CZ77" i="30"/>
  <c r="CZ62" i="30"/>
  <c r="CZ60" i="30"/>
  <c r="CZ72" i="30"/>
  <c r="CZ52" i="30"/>
  <c r="CZ64" i="30"/>
  <c r="CZ63" i="30"/>
  <c r="BU48" i="30"/>
  <c r="H57" i="3" s="1"/>
  <c r="DA46" i="30"/>
  <c r="BU140" i="30"/>
  <c r="CL131" i="30"/>
  <c r="CL123" i="30"/>
  <c r="CL132" i="30"/>
  <c r="BN122" i="30"/>
  <c r="BN123" i="30"/>
  <c r="CZ16" i="30"/>
  <c r="BU124" i="30"/>
  <c r="BU133" i="30"/>
  <c r="BU132" i="30"/>
  <c r="AE48" i="30"/>
  <c r="H51" i="3" s="1"/>
  <c r="CU46" i="30"/>
  <c r="AE140" i="30"/>
  <c r="CB133" i="30"/>
  <c r="CB124" i="30"/>
  <c r="CB132" i="30"/>
  <c r="CR77" i="30"/>
  <c r="CR70" i="30"/>
  <c r="CR69" i="30"/>
  <c r="CR68" i="30"/>
  <c r="CR67" i="30"/>
  <c r="CR66" i="30"/>
  <c r="CR71" i="30"/>
  <c r="CR62" i="30"/>
  <c r="CR60" i="30"/>
  <c r="CR78" i="30"/>
  <c r="CR52" i="30"/>
  <c r="CR72" i="30"/>
  <c r="CR63" i="30"/>
  <c r="CR64" i="30"/>
  <c r="X133" i="30"/>
  <c r="X124" i="30"/>
  <c r="X132" i="30"/>
  <c r="CB121" i="29"/>
  <c r="CB120" i="29"/>
  <c r="DB16" i="29"/>
  <c r="CX76" i="29"/>
  <c r="CX69" i="29"/>
  <c r="CX66" i="29"/>
  <c r="CX65" i="29"/>
  <c r="CX64" i="29"/>
  <c r="CX75" i="29"/>
  <c r="CX68" i="29"/>
  <c r="CX67" i="29"/>
  <c r="CX60" i="29"/>
  <c r="CX58" i="29"/>
  <c r="CX70" i="29"/>
  <c r="CX51" i="29"/>
  <c r="CX62" i="29"/>
  <c r="CX61" i="29"/>
  <c r="BU121" i="29"/>
  <c r="BU120" i="29"/>
  <c r="DA16" i="29"/>
  <c r="BG120" i="29"/>
  <c r="BG121" i="29"/>
  <c r="CY16" i="29"/>
  <c r="AE122" i="29"/>
  <c r="AE131" i="29"/>
  <c r="AE130" i="29"/>
  <c r="BN121" i="29"/>
  <c r="BN120" i="29"/>
  <c r="CZ16" i="29"/>
  <c r="AZ120" i="29"/>
  <c r="AZ121" i="29"/>
  <c r="CX16" i="29"/>
  <c r="CI47" i="29"/>
  <c r="DC45" i="29"/>
  <c r="CI138" i="29"/>
  <c r="AS121" i="29"/>
  <c r="AS120" i="29"/>
  <c r="CW16" i="29"/>
  <c r="Q47" i="29"/>
  <c r="H37" i="3" s="1"/>
  <c r="CS45" i="29"/>
  <c r="Q138" i="29"/>
  <c r="CK129" i="29"/>
  <c r="CK121" i="29"/>
  <c r="CK130" i="29"/>
  <c r="Q131" i="29"/>
  <c r="Q122" i="29"/>
  <c r="Q130" i="29"/>
  <c r="AE47" i="29"/>
  <c r="H39" i="3" s="1"/>
  <c r="CU45" i="29"/>
  <c r="AE138" i="29"/>
  <c r="J120" i="29"/>
  <c r="J121" i="29"/>
  <c r="CR16" i="29"/>
  <c r="DB66" i="29"/>
  <c r="DB65" i="29"/>
  <c r="DB64" i="29"/>
  <c r="DB76" i="29"/>
  <c r="DB69" i="29"/>
  <c r="DB75" i="29"/>
  <c r="DB68" i="29"/>
  <c r="DB60" i="29"/>
  <c r="DB58" i="29"/>
  <c r="DB67" i="29"/>
  <c r="DB70" i="29"/>
  <c r="DB51" i="29"/>
  <c r="DB61" i="29"/>
  <c r="DB62" i="29"/>
  <c r="CL130" i="29"/>
  <c r="CL121" i="29"/>
  <c r="CL129" i="29"/>
  <c r="CI122" i="29"/>
  <c r="CI131" i="29"/>
  <c r="CI130" i="29"/>
  <c r="AL121" i="28"/>
  <c r="AL120" i="28"/>
  <c r="CV16" i="28"/>
  <c r="CI120" i="28"/>
  <c r="CI121" i="28"/>
  <c r="DC16" i="28"/>
  <c r="AS121" i="28"/>
  <c r="AS120" i="28"/>
  <c r="CW16" i="28"/>
  <c r="CW60" i="28"/>
  <c r="CW76" i="28"/>
  <c r="CW68" i="28"/>
  <c r="CW66" i="28"/>
  <c r="CW64" i="28"/>
  <c r="CW58" i="28"/>
  <c r="CW65" i="28"/>
  <c r="CW67" i="28"/>
  <c r="CW75" i="28"/>
  <c r="CW69" i="28"/>
  <c r="CW51" i="28"/>
  <c r="CW70" i="28"/>
  <c r="CW62" i="28"/>
  <c r="CW61" i="28"/>
  <c r="CW63" i="28"/>
  <c r="CS45" i="28"/>
  <c r="Q138" i="28"/>
  <c r="BN121" i="28"/>
  <c r="BN120" i="28"/>
  <c r="CZ16" i="28"/>
  <c r="CL130" i="28"/>
  <c r="CL121" i="28"/>
  <c r="CL129" i="28"/>
  <c r="AE120" i="28"/>
  <c r="AE121" i="28"/>
  <c r="CU16" i="28"/>
  <c r="CK129" i="28"/>
  <c r="CK121" i="28"/>
  <c r="CK130" i="28"/>
  <c r="AZ120" i="28"/>
  <c r="AZ121" i="28"/>
  <c r="CX16" i="28"/>
  <c r="X120" i="28"/>
  <c r="X121" i="28"/>
  <c r="CT16" i="28"/>
  <c r="CO129" i="28"/>
  <c r="CO121" i="28"/>
  <c r="CO130" i="28"/>
  <c r="Q131" i="28"/>
  <c r="Q122" i="28"/>
  <c r="Q130" i="28"/>
  <c r="CB120" i="28"/>
  <c r="CB121" i="28"/>
  <c r="DB16" i="28"/>
  <c r="BU121" i="28"/>
  <c r="BU120" i="28"/>
  <c r="DA16" i="28"/>
  <c r="J121" i="28"/>
  <c r="J120" i="28"/>
  <c r="CR16" i="28"/>
  <c r="DC69" i="24"/>
  <c r="DC68" i="24"/>
  <c r="DC67" i="24"/>
  <c r="DC66" i="24"/>
  <c r="DC65" i="24"/>
  <c r="DC64" i="24"/>
  <c r="DC60" i="24"/>
  <c r="DC58" i="24"/>
  <c r="DC75" i="24"/>
  <c r="DC76" i="24"/>
  <c r="DC62" i="24"/>
  <c r="DC70" i="24"/>
  <c r="DC51" i="24"/>
  <c r="DC74" i="24"/>
  <c r="DC63" i="24"/>
  <c r="AL131" i="24"/>
  <c r="AL122" i="24"/>
  <c r="AL130" i="24"/>
  <c r="CS16" i="24"/>
  <c r="BG120" i="24"/>
  <c r="BG121" i="24"/>
  <c r="CY16" i="24"/>
  <c r="CB120" i="24"/>
  <c r="CB121" i="24"/>
  <c r="DB16" i="24"/>
  <c r="CN130" i="24"/>
  <c r="CN129" i="24"/>
  <c r="CN121" i="24"/>
  <c r="BU120" i="24"/>
  <c r="BU121" i="24"/>
  <c r="DA16" i="24"/>
  <c r="CK129" i="24"/>
  <c r="CK130" i="24"/>
  <c r="CK121" i="24"/>
  <c r="X47" i="24"/>
  <c r="CT45" i="24"/>
  <c r="CO130" i="24"/>
  <c r="CO121" i="24"/>
  <c r="CO129" i="24"/>
  <c r="CV45" i="24"/>
  <c r="AL47" i="24"/>
  <c r="AL138" i="24"/>
  <c r="CI120" i="24"/>
  <c r="CI121" i="24"/>
  <c r="DC16" i="24"/>
  <c r="AZ120" i="24"/>
  <c r="AZ121" i="24"/>
  <c r="CX16" i="24"/>
  <c r="CR16" i="24"/>
  <c r="DC61" i="24"/>
  <c r="CZ45" i="24" l="1"/>
  <c r="AS131" i="24"/>
  <c r="CT46" i="30"/>
  <c r="AE138" i="24"/>
  <c r="J138" i="24"/>
  <c r="J139" i="24" s="1"/>
  <c r="J141" i="24" s="1"/>
  <c r="AS122" i="24"/>
  <c r="BN138" i="24"/>
  <c r="AL138" i="29"/>
  <c r="AL139" i="29" s="1"/>
  <c r="AL141" i="29" s="1"/>
  <c r="BG130" i="28"/>
  <c r="X140" i="30"/>
  <c r="X141" i="30" s="1"/>
  <c r="X143" i="30" s="1"/>
  <c r="AL48" i="30"/>
  <c r="H52" i="3" s="1"/>
  <c r="G59" i="3"/>
  <c r="H15" i="3"/>
  <c r="AE77" i="24"/>
  <c r="J140" i="30"/>
  <c r="J48" i="30"/>
  <c r="H48" i="3" s="1"/>
  <c r="H22" i="3"/>
  <c r="CB77" i="24"/>
  <c r="G47" i="3"/>
  <c r="H16" i="3"/>
  <c r="AL77" i="24"/>
  <c r="CU45" i="24"/>
  <c r="AL47" i="29"/>
  <c r="H40" i="3" s="1"/>
  <c r="H47" i="3"/>
  <c r="J132" i="30"/>
  <c r="G23" i="3"/>
  <c r="J124" i="30"/>
  <c r="AL140" i="30"/>
  <c r="AL141" i="30" s="1"/>
  <c r="AL143" i="30" s="1"/>
  <c r="AS140" i="30"/>
  <c r="AS141" i="30" s="1"/>
  <c r="AS143" i="30" s="1"/>
  <c r="H14" i="3"/>
  <c r="X77" i="24"/>
  <c r="G35" i="3"/>
  <c r="H20" i="3"/>
  <c r="BN77" i="24"/>
  <c r="CB72" i="32"/>
  <c r="DB70" i="32"/>
  <c r="CI70" i="32"/>
  <c r="CB133" i="32"/>
  <c r="DA72" i="32"/>
  <c r="BU111" i="32"/>
  <c r="BU109" i="32"/>
  <c r="BU110" i="32"/>
  <c r="CT45" i="29"/>
  <c r="AE131" i="24"/>
  <c r="Q124" i="30"/>
  <c r="X130" i="29"/>
  <c r="BG47" i="28"/>
  <c r="H31" i="3" s="1"/>
  <c r="X131" i="29"/>
  <c r="Q133" i="30"/>
  <c r="BN122" i="24"/>
  <c r="BG131" i="28"/>
  <c r="X138" i="29"/>
  <c r="X139" i="29" s="1"/>
  <c r="X141" i="29" s="1"/>
  <c r="BG133" i="30"/>
  <c r="AE125" i="9"/>
  <c r="AE87" i="9"/>
  <c r="AE96" i="9" s="1"/>
  <c r="AE79" i="9"/>
  <c r="AE126" i="9"/>
  <c r="CR46" i="30"/>
  <c r="BN131" i="24"/>
  <c r="AL124" i="30"/>
  <c r="AS132" i="30"/>
  <c r="BG132" i="30"/>
  <c r="CY45" i="28"/>
  <c r="AL133" i="30"/>
  <c r="AL131" i="29"/>
  <c r="AL130" i="29"/>
  <c r="Q140" i="30"/>
  <c r="Q141" i="30" s="1"/>
  <c r="Q143" i="30" s="1"/>
  <c r="BG48" i="30"/>
  <c r="AS47" i="24"/>
  <c r="BG140" i="30"/>
  <c r="BG141" i="30" s="1"/>
  <c r="BG143" i="30" s="1"/>
  <c r="AE122" i="24"/>
  <c r="CS46" i="30"/>
  <c r="AS138" i="24"/>
  <c r="AS133" i="30"/>
  <c r="X123" i="24"/>
  <c r="X85" i="24"/>
  <c r="X94" i="24" s="1"/>
  <c r="X124" i="24"/>
  <c r="J122" i="24"/>
  <c r="J130" i="24"/>
  <c r="J131" i="24"/>
  <c r="Q122" i="24"/>
  <c r="Q130" i="24"/>
  <c r="Q131" i="24"/>
  <c r="BU126" i="30"/>
  <c r="BU125" i="30"/>
  <c r="DA48" i="30"/>
  <c r="BU87" i="30"/>
  <c r="BU96" i="30" s="1"/>
  <c r="BU79" i="30"/>
  <c r="AZ141" i="30"/>
  <c r="AZ143" i="30" s="1"/>
  <c r="Q126" i="30"/>
  <c r="Q125" i="30"/>
  <c r="Q87" i="30"/>
  <c r="Q96" i="30" s="1"/>
  <c r="Q79" i="30"/>
  <c r="CS48" i="30"/>
  <c r="CB125" i="30"/>
  <c r="CB87" i="30"/>
  <c r="CB96" i="30" s="1"/>
  <c r="CB79" i="30"/>
  <c r="DB48" i="30"/>
  <c r="CB126" i="30"/>
  <c r="BU141" i="30"/>
  <c r="BU143" i="30" s="1"/>
  <c r="AZ125" i="30"/>
  <c r="AZ87" i="30"/>
  <c r="AZ96" i="30" s="1"/>
  <c r="AZ79" i="30"/>
  <c r="AZ126" i="30"/>
  <c r="CX48" i="30"/>
  <c r="CI133" i="30"/>
  <c r="CI124" i="30"/>
  <c r="CI132" i="30"/>
  <c r="CI48" i="30"/>
  <c r="H59" i="3" s="1"/>
  <c r="DC46" i="30"/>
  <c r="CI140" i="30"/>
  <c r="AE141" i="30"/>
  <c r="AE143" i="30" s="1"/>
  <c r="BN124" i="30"/>
  <c r="BN133" i="30"/>
  <c r="BN132" i="30"/>
  <c r="X125" i="30"/>
  <c r="X87" i="30"/>
  <c r="X96" i="30" s="1"/>
  <c r="X79" i="30"/>
  <c r="X126" i="30"/>
  <c r="CT48" i="30"/>
  <c r="AE125" i="30"/>
  <c r="AE126" i="30"/>
  <c r="AE79" i="30"/>
  <c r="AE87" i="30"/>
  <c r="AE96" i="30" s="1"/>
  <c r="CU48" i="30"/>
  <c r="BN48" i="30"/>
  <c r="H56" i="3" s="1"/>
  <c r="CZ46" i="30"/>
  <c r="BN140" i="30"/>
  <c r="CB141" i="30"/>
  <c r="CB143" i="30" s="1"/>
  <c r="AS126" i="30"/>
  <c r="AS125" i="30"/>
  <c r="AS87" i="30"/>
  <c r="AS96" i="30" s="1"/>
  <c r="CW48" i="30"/>
  <c r="AS79" i="30"/>
  <c r="J131" i="29"/>
  <c r="J122" i="29"/>
  <c r="J130" i="29"/>
  <c r="AZ131" i="29"/>
  <c r="AZ122" i="29"/>
  <c r="AZ130" i="29"/>
  <c r="BG47" i="29"/>
  <c r="H43" i="3" s="1"/>
  <c r="CY45" i="29"/>
  <c r="BG138" i="29"/>
  <c r="Q139" i="29"/>
  <c r="Q141" i="29" s="1"/>
  <c r="Q123" i="29"/>
  <c r="Q124" i="29"/>
  <c r="Q85" i="29"/>
  <c r="Q94" i="29" s="1"/>
  <c r="Q77" i="29"/>
  <c r="CS47" i="29"/>
  <c r="AS131" i="29"/>
  <c r="AS122" i="29"/>
  <c r="AS130" i="29"/>
  <c r="CI124" i="29"/>
  <c r="CI123" i="29"/>
  <c r="CI85" i="29"/>
  <c r="CI94" i="29" s="1"/>
  <c r="DC47" i="29"/>
  <c r="CI77" i="29"/>
  <c r="BN47" i="29"/>
  <c r="H44" i="3" s="1"/>
  <c r="CZ45" i="29"/>
  <c r="BN138" i="29"/>
  <c r="BU131" i="29"/>
  <c r="BU122" i="29"/>
  <c r="BU130" i="29"/>
  <c r="AE124" i="29"/>
  <c r="AE85" i="29"/>
  <c r="AE94" i="29" s="1"/>
  <c r="AE123" i="29"/>
  <c r="AE77" i="29"/>
  <c r="CU47" i="29"/>
  <c r="BG122" i="29"/>
  <c r="BG131" i="29"/>
  <c r="BG130" i="29"/>
  <c r="DB45" i="29"/>
  <c r="CB47" i="29"/>
  <c r="H46" i="3" s="1"/>
  <c r="CB138" i="29"/>
  <c r="AL124" i="29"/>
  <c r="AS47" i="29"/>
  <c r="H41" i="3" s="1"/>
  <c r="CW45" i="29"/>
  <c r="AS138" i="29"/>
  <c r="CI139" i="29"/>
  <c r="CI141" i="29" s="1"/>
  <c r="CX45" i="29"/>
  <c r="AZ47" i="29"/>
  <c r="H42" i="3" s="1"/>
  <c r="AZ138" i="29"/>
  <c r="BN122" i="29"/>
  <c r="BN131" i="29"/>
  <c r="BN130" i="29"/>
  <c r="BU47" i="29"/>
  <c r="H45" i="3" s="1"/>
  <c r="DA45" i="29"/>
  <c r="BU138" i="29"/>
  <c r="X85" i="29"/>
  <c r="X94" i="29" s="1"/>
  <c r="X124" i="29"/>
  <c r="X123" i="29"/>
  <c r="X77" i="29"/>
  <c r="CT47" i="29"/>
  <c r="CR45" i="29"/>
  <c r="J138" i="29"/>
  <c r="AE139" i="29"/>
  <c r="AE141" i="29" s="1"/>
  <c r="CB131" i="29"/>
  <c r="CB122" i="29"/>
  <c r="CB130" i="29"/>
  <c r="CB47" i="28"/>
  <c r="H34" i="3" s="1"/>
  <c r="DB45" i="28"/>
  <c r="CB138" i="28"/>
  <c r="X122" i="28"/>
  <c r="X131" i="28"/>
  <c r="X130" i="28"/>
  <c r="AE47" i="28"/>
  <c r="H27" i="3" s="1"/>
  <c r="CU45" i="28"/>
  <c r="AE138" i="28"/>
  <c r="AS47" i="28"/>
  <c r="H29" i="3" s="1"/>
  <c r="CW45" i="28"/>
  <c r="AS138" i="28"/>
  <c r="AL47" i="28"/>
  <c r="H28" i="3" s="1"/>
  <c r="CV45" i="28"/>
  <c r="AL138" i="28"/>
  <c r="AE122" i="28"/>
  <c r="AE131" i="28"/>
  <c r="AE130" i="28"/>
  <c r="BU47" i="28"/>
  <c r="H33" i="3" s="1"/>
  <c r="DA45" i="28"/>
  <c r="BU138" i="28"/>
  <c r="AZ47" i="28"/>
  <c r="H30" i="3" s="1"/>
  <c r="CX45" i="28"/>
  <c r="AZ138" i="28"/>
  <c r="BN47" i="28"/>
  <c r="H32" i="3" s="1"/>
  <c r="CZ45" i="28"/>
  <c r="BN138" i="28"/>
  <c r="Q139" i="28"/>
  <c r="Q141" i="28" s="1"/>
  <c r="BG139" i="28"/>
  <c r="BG141" i="28" s="1"/>
  <c r="CI47" i="28"/>
  <c r="DC45" i="28"/>
  <c r="CI138" i="28"/>
  <c r="CB122" i="28"/>
  <c r="CB131" i="28"/>
  <c r="CB130" i="28"/>
  <c r="AZ122" i="28"/>
  <c r="AZ131" i="28"/>
  <c r="AZ130" i="28"/>
  <c r="J131" i="28"/>
  <c r="J122" i="28"/>
  <c r="J130" i="28"/>
  <c r="Q123" i="28"/>
  <c r="Q85" i="28"/>
  <c r="Q94" i="28" s="1"/>
  <c r="Q77" i="28"/>
  <c r="Q124" i="28"/>
  <c r="CS47" i="28"/>
  <c r="AS131" i="28"/>
  <c r="AS122" i="28"/>
  <c r="AS130" i="28"/>
  <c r="CI122" i="28"/>
  <c r="CI131" i="28"/>
  <c r="CI130" i="28"/>
  <c r="AL131" i="28"/>
  <c r="AL122" i="28"/>
  <c r="AL130" i="28"/>
  <c r="CR45" i="28"/>
  <c r="J138" i="28"/>
  <c r="BU131" i="28"/>
  <c r="BU122" i="28"/>
  <c r="BU130" i="28"/>
  <c r="X47" i="28"/>
  <c r="H26" i="3" s="1"/>
  <c r="CT45" i="28"/>
  <c r="X138" i="28"/>
  <c r="BN131" i="28"/>
  <c r="BN122" i="28"/>
  <c r="BN130" i="28"/>
  <c r="CI47" i="24"/>
  <c r="DC45" i="24"/>
  <c r="CI138" i="24"/>
  <c r="BG47" i="24"/>
  <c r="CY45" i="24"/>
  <c r="BG138" i="24"/>
  <c r="AL123" i="24"/>
  <c r="AL124" i="24"/>
  <c r="AL85" i="24"/>
  <c r="AL94" i="24" s="1"/>
  <c r="CV47" i="24"/>
  <c r="BG131" i="24"/>
  <c r="BG122" i="24"/>
  <c r="BG130" i="24"/>
  <c r="DB45" i="24"/>
  <c r="CB138" i="24"/>
  <c r="BN124" i="24"/>
  <c r="BN123" i="24"/>
  <c r="BN85" i="24"/>
  <c r="BN94" i="24" s="1"/>
  <c r="CZ47" i="24"/>
  <c r="AZ47" i="24"/>
  <c r="CX45" i="24"/>
  <c r="AZ138" i="24"/>
  <c r="AL139" i="24"/>
  <c r="AL141" i="24" s="1"/>
  <c r="BU47" i="24"/>
  <c r="DA45" i="24"/>
  <c r="BU138" i="24"/>
  <c r="AE124" i="24"/>
  <c r="AE123" i="24"/>
  <c r="AE85" i="24"/>
  <c r="AE94" i="24" s="1"/>
  <c r="CU47" i="24"/>
  <c r="BU131" i="24"/>
  <c r="BU122" i="24"/>
  <c r="BU130" i="24"/>
  <c r="Q47" i="24"/>
  <c r="CS45" i="24"/>
  <c r="BN139" i="24"/>
  <c r="BN141" i="24" s="1"/>
  <c r="CR45" i="24"/>
  <c r="J77" i="24"/>
  <c r="AZ131" i="24"/>
  <c r="AZ122" i="24"/>
  <c r="AZ130" i="24"/>
  <c r="CI122" i="24"/>
  <c r="CI131" i="24"/>
  <c r="CI130" i="24"/>
  <c r="CT47" i="24"/>
  <c r="AE139" i="24"/>
  <c r="AE141" i="24" s="1"/>
  <c r="CB131" i="24"/>
  <c r="CB122" i="24"/>
  <c r="CB130" i="24"/>
  <c r="CY47" i="28" l="1"/>
  <c r="BG124" i="28"/>
  <c r="CV48" i="30"/>
  <c r="CP47" i="28"/>
  <c r="CP47" i="29"/>
  <c r="CP77" i="29" s="1"/>
  <c r="AL87" i="30"/>
  <c r="AL96" i="30" s="1"/>
  <c r="BG85" i="28"/>
  <c r="BG94" i="28" s="1"/>
  <c r="CV47" i="29"/>
  <c r="AL125" i="30"/>
  <c r="BG77" i="28"/>
  <c r="CY77" i="28" s="1"/>
  <c r="BG123" i="28"/>
  <c r="AL85" i="29"/>
  <c r="AL94" i="29" s="1"/>
  <c r="AL79" i="30"/>
  <c r="CV79" i="30" s="1"/>
  <c r="AL126" i="30"/>
  <c r="H23" i="3"/>
  <c r="CI77" i="24"/>
  <c r="H21" i="3"/>
  <c r="BU77" i="24"/>
  <c r="H18" i="3"/>
  <c r="AZ77" i="24"/>
  <c r="H19" i="3"/>
  <c r="BG77" i="24"/>
  <c r="H35" i="3"/>
  <c r="CP77" i="28"/>
  <c r="AL123" i="29"/>
  <c r="J79" i="30"/>
  <c r="CR79" i="30" s="1"/>
  <c r="H17" i="3"/>
  <c r="AS77" i="24"/>
  <c r="CW77" i="24" s="1"/>
  <c r="H13" i="3"/>
  <c r="CP47" i="24"/>
  <c r="CP77" i="24" s="1"/>
  <c r="AL77" i="29"/>
  <c r="CV77" i="29" s="1"/>
  <c r="BG126" i="30"/>
  <c r="H55" i="3"/>
  <c r="CI72" i="32"/>
  <c r="DC70" i="32"/>
  <c r="CI133" i="32"/>
  <c r="DB72" i="32"/>
  <c r="CB109" i="32"/>
  <c r="CB110" i="32"/>
  <c r="CB111" i="32"/>
  <c r="J87" i="30"/>
  <c r="J96" i="30" s="1"/>
  <c r="J126" i="30"/>
  <c r="J125" i="30"/>
  <c r="CR48" i="30"/>
  <c r="AL80" i="9"/>
  <c r="AS80" i="9" s="1"/>
  <c r="J127" i="9"/>
  <c r="J145" i="9"/>
  <c r="Q81" i="9"/>
  <c r="Q100" i="9"/>
  <c r="AS85" i="24"/>
  <c r="AS94" i="24" s="1"/>
  <c r="BG79" i="30"/>
  <c r="CY79" i="30" s="1"/>
  <c r="BG125" i="30"/>
  <c r="CY48" i="30"/>
  <c r="AS123" i="24"/>
  <c r="BG87" i="30"/>
  <c r="BG96" i="30" s="1"/>
  <c r="CW47" i="24"/>
  <c r="AS124" i="24"/>
  <c r="AS139" i="24"/>
  <c r="AS141" i="24" s="1"/>
  <c r="CR47" i="24"/>
  <c r="J123" i="24"/>
  <c r="J85" i="24"/>
  <c r="J94" i="24" s="1"/>
  <c r="CS47" i="24"/>
  <c r="Q123" i="24"/>
  <c r="Q85" i="24"/>
  <c r="Q94" i="24" s="1"/>
  <c r="Q77" i="24"/>
  <c r="Q124" i="24"/>
  <c r="CT79" i="30"/>
  <c r="DB79" i="30"/>
  <c r="CW79" i="30"/>
  <c r="CU79" i="30"/>
  <c r="CX79" i="30"/>
  <c r="CS79" i="30"/>
  <c r="DA79" i="30"/>
  <c r="BN141" i="30"/>
  <c r="BN143" i="30" s="1"/>
  <c r="CI141" i="30"/>
  <c r="CI143" i="30" s="1"/>
  <c r="BN126" i="30"/>
  <c r="BN79" i="30"/>
  <c r="CZ48" i="30"/>
  <c r="BN125" i="30"/>
  <c r="BN87" i="30"/>
  <c r="BN96" i="30" s="1"/>
  <c r="CI125" i="30"/>
  <c r="CI126" i="30"/>
  <c r="CI87" i="30"/>
  <c r="CI96" i="30" s="1"/>
  <c r="CI79" i="30"/>
  <c r="DC48" i="30"/>
  <c r="J139" i="29"/>
  <c r="J141" i="29" s="1"/>
  <c r="BU123" i="29"/>
  <c r="BU124" i="29"/>
  <c r="BU77" i="29"/>
  <c r="BU85" i="29"/>
  <c r="BU94" i="29" s="1"/>
  <c r="DA47" i="29"/>
  <c r="AZ124" i="29"/>
  <c r="AZ123" i="29"/>
  <c r="AZ85" i="29"/>
  <c r="AZ94" i="29" s="1"/>
  <c r="CX47" i="29"/>
  <c r="AZ77" i="29"/>
  <c r="BN139" i="29"/>
  <c r="BN141" i="29" s="1"/>
  <c r="CB139" i="29"/>
  <c r="CB141" i="29" s="1"/>
  <c r="CU77" i="29"/>
  <c r="AS139" i="29"/>
  <c r="AS141" i="29" s="1"/>
  <c r="J123" i="29"/>
  <c r="J85" i="29"/>
  <c r="J94" i="29" s="1"/>
  <c r="J77" i="29"/>
  <c r="J124" i="29"/>
  <c r="CR47" i="29"/>
  <c r="CS77" i="29"/>
  <c r="BG139" i="29"/>
  <c r="BG141" i="29" s="1"/>
  <c r="CT77" i="29"/>
  <c r="AZ139" i="29"/>
  <c r="AZ141" i="29" s="1"/>
  <c r="DC77" i="29"/>
  <c r="BG124" i="29"/>
  <c r="BG85" i="29"/>
  <c r="BG94" i="29" s="1"/>
  <c r="CY47" i="29"/>
  <c r="BG77" i="29"/>
  <c r="BG123" i="29"/>
  <c r="CB124" i="29"/>
  <c r="CB123" i="29"/>
  <c r="CB85" i="29"/>
  <c r="CB94" i="29" s="1"/>
  <c r="CB77" i="29"/>
  <c r="DB47" i="29"/>
  <c r="BU139" i="29"/>
  <c r="BU141" i="29" s="1"/>
  <c r="AS123" i="29"/>
  <c r="AS124" i="29"/>
  <c r="AS85" i="29"/>
  <c r="AS94" i="29" s="1"/>
  <c r="AS77" i="29"/>
  <c r="CW47" i="29"/>
  <c r="BN85" i="29"/>
  <c r="BN94" i="29" s="1"/>
  <c r="BN77" i="29"/>
  <c r="BN123" i="29"/>
  <c r="CZ47" i="29"/>
  <c r="BN124" i="29"/>
  <c r="J123" i="28"/>
  <c r="J124" i="28"/>
  <c r="J85" i="28"/>
  <c r="J94" i="28" s="1"/>
  <c r="J77" i="28"/>
  <c r="CR47" i="28"/>
  <c r="AZ139" i="28"/>
  <c r="AZ141" i="28" s="1"/>
  <c r="BU123" i="28"/>
  <c r="BU85" i="28"/>
  <c r="BU94" i="28" s="1"/>
  <c r="BU124" i="28"/>
  <c r="BU77" i="28"/>
  <c r="DA47" i="28"/>
  <c r="AE124" i="28"/>
  <c r="AE85" i="28"/>
  <c r="AE94" i="28" s="1"/>
  <c r="AE77" i="28"/>
  <c r="AE123" i="28"/>
  <c r="CU47" i="28"/>
  <c r="X124" i="28"/>
  <c r="X85" i="28"/>
  <c r="X94" i="28" s="1"/>
  <c r="X123" i="28"/>
  <c r="X77" i="28"/>
  <c r="CT47" i="28"/>
  <c r="AS123" i="28"/>
  <c r="AS124" i="28"/>
  <c r="AS85" i="28"/>
  <c r="AS94" i="28" s="1"/>
  <c r="AS77" i="28"/>
  <c r="CW47" i="28"/>
  <c r="X139" i="28"/>
  <c r="X141" i="28" s="1"/>
  <c r="BN123" i="28"/>
  <c r="BN124" i="28"/>
  <c r="BN77" i="28"/>
  <c r="BN85" i="28"/>
  <c r="BN94" i="28" s="1"/>
  <c r="CZ47" i="28"/>
  <c r="AS139" i="28"/>
  <c r="AS141" i="28" s="1"/>
  <c r="CI124" i="28"/>
  <c r="CI85" i="28"/>
  <c r="CI94" i="28" s="1"/>
  <c r="CI77" i="28"/>
  <c r="DC47" i="28"/>
  <c r="CI123" i="28"/>
  <c r="AL139" i="28"/>
  <c r="AL141" i="28" s="1"/>
  <c r="CB139" i="28"/>
  <c r="CB141" i="28" s="1"/>
  <c r="BN139" i="28"/>
  <c r="BN141" i="28" s="1"/>
  <c r="J139" i="28"/>
  <c r="J141" i="28" s="1"/>
  <c r="CS77" i="28"/>
  <c r="CI139" i="28"/>
  <c r="CI141" i="28" s="1"/>
  <c r="AZ124" i="28"/>
  <c r="AZ85" i="28"/>
  <c r="AZ94" i="28" s="1"/>
  <c r="AZ77" i="28"/>
  <c r="CX47" i="28"/>
  <c r="AZ123" i="28"/>
  <c r="BU139" i="28"/>
  <c r="BU141" i="28" s="1"/>
  <c r="AL123" i="28"/>
  <c r="AL85" i="28"/>
  <c r="AL94" i="28" s="1"/>
  <c r="AL77" i="28"/>
  <c r="AL124" i="28"/>
  <c r="CV47" i="28"/>
  <c r="AE139" i="28"/>
  <c r="AE141" i="28" s="1"/>
  <c r="CB124" i="28"/>
  <c r="CB85" i="28"/>
  <c r="CB94" i="28" s="1"/>
  <c r="CB123" i="28"/>
  <c r="CB77" i="28"/>
  <c r="DB47" i="28"/>
  <c r="CT77" i="24"/>
  <c r="BU123" i="24"/>
  <c r="BU85" i="24"/>
  <c r="BU94" i="24" s="1"/>
  <c r="BU124" i="24"/>
  <c r="DA47" i="24"/>
  <c r="AZ139" i="24"/>
  <c r="AZ141" i="24" s="1"/>
  <c r="CB123" i="24"/>
  <c r="CB124" i="24"/>
  <c r="CB85" i="24"/>
  <c r="CB94" i="24" s="1"/>
  <c r="DB47" i="24"/>
  <c r="BG124" i="24"/>
  <c r="BG85" i="24"/>
  <c r="BG94" i="24" s="1"/>
  <c r="BG123" i="24"/>
  <c r="CY47" i="24"/>
  <c r="CI139" i="24"/>
  <c r="CI141" i="24" s="1"/>
  <c r="BU139" i="24"/>
  <c r="BU141" i="24" s="1"/>
  <c r="AZ123" i="24"/>
  <c r="AZ124" i="24"/>
  <c r="AZ85" i="24"/>
  <c r="AZ94" i="24" s="1"/>
  <c r="CX47" i="24"/>
  <c r="CB139" i="24"/>
  <c r="CB141" i="24" s="1"/>
  <c r="BG139" i="24"/>
  <c r="BG141" i="24" s="1"/>
  <c r="CU77" i="24"/>
  <c r="CZ77" i="24"/>
  <c r="CV77" i="24"/>
  <c r="CI124" i="24"/>
  <c r="CI123" i="24"/>
  <c r="CI85" i="24"/>
  <c r="CI94" i="24" s="1"/>
  <c r="DC47" i="24"/>
  <c r="DC72" i="32" l="1"/>
  <c r="CI109" i="32"/>
  <c r="CI110" i="32"/>
  <c r="CI111" i="32"/>
  <c r="Q145" i="9"/>
  <c r="Q127" i="9"/>
  <c r="X81" i="9"/>
  <c r="X100" i="9"/>
  <c r="Q165" i="9"/>
  <c r="Q166" i="9" s="1"/>
  <c r="CS77" i="24"/>
  <c r="DC79" i="30"/>
  <c r="CZ79" i="30"/>
  <c r="DB77" i="29"/>
  <c r="CR77" i="29"/>
  <c r="CZ77" i="29"/>
  <c r="CW77" i="29"/>
  <c r="DA77" i="29"/>
  <c r="CY77" i="29"/>
  <c r="CX77" i="29"/>
  <c r="CV77" i="28"/>
  <c r="CW77" i="28"/>
  <c r="CX77" i="28"/>
  <c r="CZ77" i="28"/>
  <c r="DB77" i="28"/>
  <c r="DC77" i="28"/>
  <c r="CT77" i="28"/>
  <c r="CU77" i="28"/>
  <c r="DA77" i="28"/>
  <c r="CR77" i="28"/>
  <c r="CX77" i="24"/>
  <c r="DC77" i="24"/>
  <c r="DB77" i="24"/>
  <c r="DA77" i="24"/>
  <c r="CY77" i="24"/>
  <c r="X145" i="9" l="1"/>
  <c r="X127" i="9"/>
  <c r="AE81" i="9"/>
  <c r="AE100" i="9"/>
  <c r="X165" i="9"/>
  <c r="X166" i="9" s="1"/>
  <c r="AE145" i="9" l="1"/>
  <c r="AE127" i="9"/>
  <c r="AL81" i="9"/>
  <c r="AL100" i="9"/>
  <c r="AE165" i="9"/>
  <c r="AE166" i="9" s="1"/>
  <c r="AL145" i="9" l="1"/>
  <c r="AL127" i="9"/>
  <c r="AS81" i="9"/>
  <c r="AS100" i="9"/>
  <c r="AL165" i="9"/>
  <c r="AL166" i="9" s="1"/>
  <c r="AS145" i="9" l="1"/>
  <c r="AS127" i="9"/>
  <c r="AS165" i="9"/>
  <c r="AS166" i="9" s="1"/>
  <c r="CP17" i="16" l="1"/>
  <c r="CI17" i="16"/>
  <c r="CB17" i="16"/>
  <c r="BU17" i="16"/>
  <c r="BN17" i="16"/>
  <c r="BG17" i="16"/>
  <c r="AZ17" i="16"/>
  <c r="AS17" i="16"/>
  <c r="AL17" i="16"/>
  <c r="AE17" i="16"/>
  <c r="AE71" i="16" s="1"/>
  <c r="J3" i="3" s="1"/>
  <c r="X17" i="16"/>
  <c r="CP18" i="16"/>
  <c r="CP40" i="16"/>
  <c r="CP39" i="16"/>
  <c r="CI40" i="16"/>
  <c r="CB40" i="16"/>
  <c r="BU40" i="16"/>
  <c r="BN40" i="16"/>
  <c r="BG40" i="16"/>
  <c r="AZ40" i="16"/>
  <c r="AS40" i="16"/>
  <c r="AL40" i="16"/>
  <c r="AE40" i="16"/>
  <c r="X40" i="16"/>
  <c r="CI18" i="16"/>
  <c r="CB18" i="16"/>
  <c r="BU18" i="16"/>
  <c r="BN18" i="16"/>
  <c r="BG18" i="16"/>
  <c r="AZ18" i="16"/>
  <c r="AS18" i="16"/>
  <c r="AL18" i="16"/>
  <c r="AE18" i="16"/>
  <c r="X18" i="1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W6" i="14"/>
  <c r="V6" i="14"/>
  <c r="U6" i="14"/>
  <c r="L6" i="14"/>
  <c r="Q7" i="14"/>
  <c r="Q8" i="14"/>
  <c r="P7" i="14"/>
  <c r="O7" i="14"/>
  <c r="N7" i="14"/>
  <c r="M7" i="14"/>
  <c r="L7" i="14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2" i="6"/>
  <c r="CI93" i="16"/>
  <c r="CI92" i="16"/>
  <c r="CI91" i="16"/>
  <c r="CI90" i="16"/>
  <c r="CI89" i="16"/>
  <c r="CI88" i="16"/>
  <c r="CI87" i="16"/>
  <c r="CI86" i="16"/>
  <c r="CI70" i="16"/>
  <c r="CI57" i="16"/>
  <c r="CI56" i="16"/>
  <c r="CI55" i="16"/>
  <c r="CI54" i="16"/>
  <c r="CI53" i="16"/>
  <c r="CP53" i="16" s="1"/>
  <c r="CB93" i="16"/>
  <c r="CB92" i="16"/>
  <c r="CB91" i="16"/>
  <c r="CB90" i="16"/>
  <c r="CB89" i="16"/>
  <c r="CB88" i="16"/>
  <c r="CB87" i="16"/>
  <c r="CB86" i="16"/>
  <c r="CB70" i="16"/>
  <c r="CB57" i="16"/>
  <c r="CB56" i="16"/>
  <c r="CB55" i="16"/>
  <c r="CB54" i="16"/>
  <c r="CB53" i="16"/>
  <c r="BU93" i="16"/>
  <c r="BU92" i="16"/>
  <c r="BU91" i="16"/>
  <c r="BU90" i="16"/>
  <c r="BU89" i="16"/>
  <c r="BU88" i="16"/>
  <c r="BU87" i="16"/>
  <c r="BU86" i="16"/>
  <c r="BU70" i="16"/>
  <c r="BU57" i="16"/>
  <c r="BU56" i="16"/>
  <c r="BU55" i="16"/>
  <c r="BU54" i="16"/>
  <c r="BU53" i="16"/>
  <c r="BN93" i="16"/>
  <c r="BN92" i="16"/>
  <c r="BN91" i="16"/>
  <c r="BN90" i="16"/>
  <c r="BN89" i="16"/>
  <c r="BN88" i="16"/>
  <c r="BN87" i="16"/>
  <c r="BN86" i="16"/>
  <c r="BN70" i="16"/>
  <c r="BN57" i="16"/>
  <c r="BN56" i="16"/>
  <c r="BN55" i="16"/>
  <c r="BN54" i="16"/>
  <c r="BN53" i="16"/>
  <c r="BG93" i="16"/>
  <c r="BG92" i="16"/>
  <c r="BG91" i="16"/>
  <c r="BG90" i="16"/>
  <c r="BG89" i="16"/>
  <c r="BG88" i="16"/>
  <c r="BG87" i="16"/>
  <c r="BG86" i="16"/>
  <c r="BG70" i="16"/>
  <c r="BG57" i="16"/>
  <c r="BG56" i="16"/>
  <c r="BG55" i="16"/>
  <c r="BG54" i="16"/>
  <c r="BG53" i="16"/>
  <c r="AZ93" i="16"/>
  <c r="AZ92" i="16"/>
  <c r="AZ91" i="16"/>
  <c r="AZ90" i="16"/>
  <c r="AZ89" i="16"/>
  <c r="AZ88" i="16"/>
  <c r="AZ87" i="16"/>
  <c r="AZ86" i="16"/>
  <c r="AZ70" i="16"/>
  <c r="AZ57" i="16"/>
  <c r="AZ56" i="16"/>
  <c r="AZ55" i="16"/>
  <c r="AZ54" i="16"/>
  <c r="AZ53" i="16"/>
  <c r="AS93" i="16"/>
  <c r="AS92" i="16"/>
  <c r="AS91" i="16"/>
  <c r="AS90" i="16"/>
  <c r="AS89" i="16"/>
  <c r="AS88" i="16"/>
  <c r="AS87" i="16"/>
  <c r="AS86" i="16"/>
  <c r="AS70" i="16"/>
  <c r="AS57" i="16"/>
  <c r="AS56" i="16"/>
  <c r="AS55" i="16"/>
  <c r="AS54" i="16"/>
  <c r="AS53" i="16"/>
  <c r="AL93" i="16"/>
  <c r="AL92" i="16"/>
  <c r="AL91" i="16"/>
  <c r="AL90" i="16"/>
  <c r="AL89" i="16"/>
  <c r="AL88" i="16"/>
  <c r="AL87" i="16"/>
  <c r="AL86" i="16"/>
  <c r="AL70" i="16"/>
  <c r="AL57" i="16"/>
  <c r="AL56" i="16"/>
  <c r="AL55" i="16"/>
  <c r="AL54" i="16"/>
  <c r="AL53" i="16"/>
  <c r="W7" i="14"/>
  <c r="W8" i="14"/>
  <c r="W9" i="14"/>
  <c r="W10" i="14"/>
  <c r="W11" i="14"/>
  <c r="W12" i="14"/>
  <c r="W13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AC32" i="14" s="1"/>
  <c r="U7" i="14"/>
  <c r="L8" i="14"/>
  <c r="M8" i="14"/>
  <c r="N8" i="14"/>
  <c r="O8" i="14"/>
  <c r="P8" i="14"/>
  <c r="L9" i="14"/>
  <c r="M9" i="14"/>
  <c r="N9" i="14"/>
  <c r="O9" i="14"/>
  <c r="P9" i="14"/>
  <c r="L10" i="14"/>
  <c r="M10" i="14"/>
  <c r="N10" i="14"/>
  <c r="O10" i="14"/>
  <c r="P10" i="14"/>
  <c r="L11" i="14"/>
  <c r="M11" i="14"/>
  <c r="N11" i="14"/>
  <c r="O11" i="14"/>
  <c r="P11" i="14"/>
  <c r="L12" i="14"/>
  <c r="M12" i="14"/>
  <c r="N12" i="14"/>
  <c r="O12" i="14"/>
  <c r="P12" i="14"/>
  <c r="L13" i="14"/>
  <c r="M13" i="14"/>
  <c r="N13" i="14"/>
  <c r="O13" i="14"/>
  <c r="P13" i="14"/>
  <c r="L14" i="14"/>
  <c r="M14" i="14"/>
  <c r="N14" i="14"/>
  <c r="O14" i="14"/>
  <c r="P14" i="14"/>
  <c r="L15" i="14"/>
  <c r="M15" i="14"/>
  <c r="N15" i="14"/>
  <c r="O15" i="14"/>
  <c r="P15" i="14"/>
  <c r="L16" i="14"/>
  <c r="M16" i="14"/>
  <c r="N16" i="14"/>
  <c r="O16" i="14"/>
  <c r="P16" i="14"/>
  <c r="L17" i="14"/>
  <c r="M17" i="14"/>
  <c r="N17" i="14"/>
  <c r="O17" i="14"/>
  <c r="P17" i="14"/>
  <c r="L18" i="14"/>
  <c r="M18" i="14"/>
  <c r="N18" i="14"/>
  <c r="O18" i="14"/>
  <c r="P18" i="14"/>
  <c r="L19" i="14"/>
  <c r="M19" i="14"/>
  <c r="N19" i="14"/>
  <c r="O19" i="14"/>
  <c r="P19" i="14"/>
  <c r="L20" i="14"/>
  <c r="M20" i="14"/>
  <c r="N20" i="14"/>
  <c r="O20" i="14"/>
  <c r="P20" i="14"/>
  <c r="L21" i="14"/>
  <c r="M21" i="14"/>
  <c r="N21" i="14"/>
  <c r="O21" i="14"/>
  <c r="P21" i="14"/>
  <c r="L22" i="14"/>
  <c r="M22" i="14"/>
  <c r="N22" i="14"/>
  <c r="O22" i="14"/>
  <c r="P22" i="14"/>
  <c r="L23" i="14"/>
  <c r="M23" i="14"/>
  <c r="N23" i="14"/>
  <c r="O23" i="14"/>
  <c r="P23" i="14"/>
  <c r="L24" i="14"/>
  <c r="M24" i="14"/>
  <c r="N24" i="14"/>
  <c r="O24" i="14"/>
  <c r="P24" i="14"/>
  <c r="L25" i="14"/>
  <c r="M25" i="14"/>
  <c r="N25" i="14"/>
  <c r="O25" i="14"/>
  <c r="P25" i="14"/>
  <c r="L26" i="14"/>
  <c r="M26" i="14"/>
  <c r="N26" i="14"/>
  <c r="O26" i="14"/>
  <c r="P26" i="14"/>
  <c r="L27" i="14"/>
  <c r="M27" i="14"/>
  <c r="N27" i="14"/>
  <c r="O27" i="14"/>
  <c r="P27" i="14"/>
  <c r="L28" i="14"/>
  <c r="M28" i="14"/>
  <c r="N28" i="14"/>
  <c r="O28" i="14"/>
  <c r="P28" i="14"/>
  <c r="L29" i="14"/>
  <c r="M29" i="14"/>
  <c r="N29" i="14"/>
  <c r="O29" i="14"/>
  <c r="P29" i="14"/>
  <c r="L30" i="14"/>
  <c r="M30" i="14"/>
  <c r="N30" i="14"/>
  <c r="O30" i="14"/>
  <c r="P30" i="14"/>
  <c r="L31" i="14"/>
  <c r="M31" i="14"/>
  <c r="N31" i="14"/>
  <c r="O31" i="14"/>
  <c r="P31" i="14"/>
  <c r="L32" i="14"/>
  <c r="M32" i="14"/>
  <c r="N32" i="14"/>
  <c r="O32" i="14"/>
  <c r="P32" i="14"/>
  <c r="L33" i="14"/>
  <c r="M33" i="14"/>
  <c r="N33" i="14"/>
  <c r="O33" i="14"/>
  <c r="P33" i="14"/>
  <c r="L34" i="14"/>
  <c r="M34" i="14"/>
  <c r="N34" i="14"/>
  <c r="O34" i="14"/>
  <c r="P34" i="14"/>
  <c r="L35" i="14"/>
  <c r="M35" i="14"/>
  <c r="N35" i="14"/>
  <c r="O35" i="14"/>
  <c r="P35" i="14"/>
  <c r="L36" i="14"/>
  <c r="M36" i="14"/>
  <c r="N36" i="14"/>
  <c r="O36" i="14"/>
  <c r="P36" i="14"/>
  <c r="L37" i="14"/>
  <c r="M37" i="14"/>
  <c r="N37" i="14"/>
  <c r="O37" i="14"/>
  <c r="P37" i="14"/>
  <c r="L38" i="14"/>
  <c r="M38" i="14"/>
  <c r="N38" i="14"/>
  <c r="O38" i="14"/>
  <c r="P38" i="14"/>
  <c r="L39" i="14"/>
  <c r="M39" i="14"/>
  <c r="N39" i="14"/>
  <c r="O39" i="14"/>
  <c r="P39" i="14"/>
  <c r="L40" i="14"/>
  <c r="M40" i="14"/>
  <c r="N40" i="14"/>
  <c r="O40" i="14"/>
  <c r="P40" i="14"/>
  <c r="L41" i="14"/>
  <c r="M41" i="14"/>
  <c r="N41" i="14"/>
  <c r="O41" i="14"/>
  <c r="P41" i="14"/>
  <c r="L42" i="14"/>
  <c r="M42" i="14"/>
  <c r="N42" i="14"/>
  <c r="O42" i="14"/>
  <c r="P42" i="14"/>
  <c r="L43" i="14"/>
  <c r="M43" i="14"/>
  <c r="N43" i="14"/>
  <c r="O43" i="14"/>
  <c r="P43" i="14"/>
  <c r="L44" i="14"/>
  <c r="M44" i="14"/>
  <c r="N44" i="14"/>
  <c r="O44" i="14"/>
  <c r="P44" i="14"/>
  <c r="L45" i="14"/>
  <c r="M45" i="14"/>
  <c r="N45" i="14"/>
  <c r="O45" i="14"/>
  <c r="P45" i="14"/>
  <c r="L46" i="14"/>
  <c r="M46" i="14"/>
  <c r="N46" i="14"/>
  <c r="O46" i="14"/>
  <c r="P46" i="14"/>
  <c r="L47" i="14"/>
  <c r="M47" i="14"/>
  <c r="N47" i="14"/>
  <c r="O47" i="14"/>
  <c r="P47" i="14"/>
  <c r="L48" i="14"/>
  <c r="M48" i="14"/>
  <c r="N48" i="14"/>
  <c r="O48" i="14"/>
  <c r="P48" i="14"/>
  <c r="L49" i="14"/>
  <c r="M49" i="14"/>
  <c r="N49" i="14"/>
  <c r="O49" i="14"/>
  <c r="P49" i="14"/>
  <c r="L50" i="14"/>
  <c r="M50" i="14"/>
  <c r="N50" i="14"/>
  <c r="O50" i="14"/>
  <c r="P50" i="14"/>
  <c r="L51" i="14"/>
  <c r="M51" i="14"/>
  <c r="N51" i="14"/>
  <c r="O51" i="14"/>
  <c r="P51" i="14"/>
  <c r="AS41" i="16"/>
  <c r="AL39" i="16"/>
  <c r="AL41" i="16"/>
  <c r="AE39" i="16"/>
  <c r="AE41" i="16"/>
  <c r="X39" i="16"/>
  <c r="R11" i="16"/>
  <c r="X14" i="16"/>
  <c r="CO163" i="16"/>
  <c r="CO162" i="16"/>
  <c r="CN162" i="16"/>
  <c r="CN163" i="16" s="1"/>
  <c r="CM162" i="16"/>
  <c r="CL162" i="16"/>
  <c r="CL163" i="16" s="1"/>
  <c r="CK162" i="16"/>
  <c r="CK163" i="16" s="1"/>
  <c r="CJ162" i="16"/>
  <c r="CI155" i="16"/>
  <c r="CB155" i="16"/>
  <c r="BU155" i="16"/>
  <c r="BN155" i="16"/>
  <c r="BG155" i="16"/>
  <c r="AZ155" i="16"/>
  <c r="AS155" i="16"/>
  <c r="AL155" i="16"/>
  <c r="AE155" i="16"/>
  <c r="CO154" i="16"/>
  <c r="CM154" i="16"/>
  <c r="CL154" i="16"/>
  <c r="CJ154" i="16"/>
  <c r="CN153" i="16"/>
  <c r="CK153" i="16"/>
  <c r="CN152" i="16"/>
  <c r="CK152" i="16"/>
  <c r="CN151" i="16"/>
  <c r="CK151" i="16"/>
  <c r="CN150" i="16"/>
  <c r="CK150" i="16"/>
  <c r="CN149" i="16"/>
  <c r="CK149" i="16"/>
  <c r="CN147" i="16"/>
  <c r="CK147" i="16"/>
  <c r="CO142" i="16"/>
  <c r="CN142" i="16"/>
  <c r="CN144" i="16" s="1"/>
  <c r="CM142" i="16"/>
  <c r="CL142" i="16"/>
  <c r="CK142" i="16"/>
  <c r="CJ142" i="16"/>
  <c r="CJ144" i="16" s="1"/>
  <c r="CO141" i="16"/>
  <c r="CO145" i="16" s="1"/>
  <c r="CO146" i="16" s="1"/>
  <c r="CN141" i="16"/>
  <c r="CM141" i="16"/>
  <c r="CM145" i="16" s="1"/>
  <c r="CL141" i="16"/>
  <c r="CL145" i="16" s="1"/>
  <c r="CK141" i="16"/>
  <c r="CK145" i="16" s="1"/>
  <c r="CK146" i="16" s="1"/>
  <c r="CJ141" i="16"/>
  <c r="CO137" i="16"/>
  <c r="CN137" i="16"/>
  <c r="CM137" i="16"/>
  <c r="CM138" i="16" s="1"/>
  <c r="CL137" i="16"/>
  <c r="CK137" i="16"/>
  <c r="CJ137" i="16"/>
  <c r="CJ138" i="16" s="1"/>
  <c r="CO128" i="16"/>
  <c r="CN128" i="16"/>
  <c r="CM128" i="16"/>
  <c r="CL128" i="16"/>
  <c r="CK128" i="16"/>
  <c r="CJ128" i="16"/>
  <c r="CO127" i="16"/>
  <c r="CN127" i="16"/>
  <c r="CM127" i="16"/>
  <c r="CL127" i="16"/>
  <c r="CK127" i="16"/>
  <c r="CJ127" i="16"/>
  <c r="CO124" i="16"/>
  <c r="CN124" i="16"/>
  <c r="CM124" i="16"/>
  <c r="CL124" i="16"/>
  <c r="CK124" i="16"/>
  <c r="CJ124" i="16"/>
  <c r="CO123" i="16"/>
  <c r="CN123" i="16"/>
  <c r="CM123" i="16"/>
  <c r="CL123" i="16"/>
  <c r="CK123" i="16"/>
  <c r="CJ123" i="16"/>
  <c r="CO114" i="16"/>
  <c r="CN114" i="16"/>
  <c r="CM114" i="16"/>
  <c r="CL114" i="16"/>
  <c r="CK114" i="16"/>
  <c r="CJ114" i="16"/>
  <c r="CO113" i="16"/>
  <c r="CN113" i="16"/>
  <c r="CM113" i="16"/>
  <c r="CL113" i="16"/>
  <c r="CK113" i="16"/>
  <c r="CJ113" i="16"/>
  <c r="CI110" i="16"/>
  <c r="CB110" i="16"/>
  <c r="BU110" i="16"/>
  <c r="BN110" i="16"/>
  <c r="BG110" i="16"/>
  <c r="AZ110" i="16"/>
  <c r="AS110" i="16"/>
  <c r="AL110" i="16"/>
  <c r="AE110" i="16"/>
  <c r="CO109" i="16"/>
  <c r="CN109" i="16"/>
  <c r="CM109" i="16"/>
  <c r="CL109" i="16"/>
  <c r="CK109" i="16"/>
  <c r="CJ109" i="16"/>
  <c r="CO108" i="16"/>
  <c r="CN108" i="16"/>
  <c r="CM108" i="16"/>
  <c r="CL108" i="16"/>
  <c r="CK108" i="16"/>
  <c r="CJ108" i="16"/>
  <c r="CO107" i="16"/>
  <c r="CN107" i="16"/>
  <c r="CM107" i="16"/>
  <c r="CL107" i="16"/>
  <c r="CK107" i="16"/>
  <c r="CJ107" i="16"/>
  <c r="CO106" i="16"/>
  <c r="CN106" i="16"/>
  <c r="CM106" i="16"/>
  <c r="CL106" i="16"/>
  <c r="CK106" i="16"/>
  <c r="CJ106" i="16"/>
  <c r="AE93" i="16"/>
  <c r="AE92" i="16"/>
  <c r="AE91" i="16"/>
  <c r="AE90" i="16"/>
  <c r="AE89" i="16"/>
  <c r="AE88" i="16"/>
  <c r="AE87" i="16"/>
  <c r="AE86" i="16"/>
  <c r="AE70" i="16"/>
  <c r="X70" i="16"/>
  <c r="CO62" i="16"/>
  <c r="CN62" i="16"/>
  <c r="CM62" i="16"/>
  <c r="CL62" i="16"/>
  <c r="CK62" i="16"/>
  <c r="CJ62" i="16"/>
  <c r="CH62" i="16"/>
  <c r="CG62" i="16"/>
  <c r="CF62" i="16"/>
  <c r="CE62" i="16"/>
  <c r="CD62" i="16"/>
  <c r="CI62" i="16" s="1"/>
  <c r="CI95" i="16" s="1"/>
  <c r="CI96" i="16" s="1"/>
  <c r="CC62" i="16"/>
  <c r="CA62" i="16"/>
  <c r="BZ62" i="16"/>
  <c r="BY62" i="16"/>
  <c r="BX62" i="16"/>
  <c r="BW62" i="16"/>
  <c r="BV62" i="16"/>
  <c r="CB62" i="16" s="1"/>
  <c r="BU62" i="16"/>
  <c r="AE57" i="16"/>
  <c r="X57" i="16"/>
  <c r="AE56" i="16"/>
  <c r="X56" i="16"/>
  <c r="AE55" i="16"/>
  <c r="X55" i="16"/>
  <c r="AE54" i="16"/>
  <c r="X54" i="16"/>
  <c r="X53" i="16"/>
  <c r="X51" i="16" s="1"/>
  <c r="CP46" i="16"/>
  <c r="CI46" i="16"/>
  <c r="CB46" i="16"/>
  <c r="BU46" i="16"/>
  <c r="BN46" i="16"/>
  <c r="BG46" i="16"/>
  <c r="AZ46" i="16"/>
  <c r="AS46" i="16"/>
  <c r="AL46" i="16"/>
  <c r="AE46" i="16"/>
  <c r="CP44" i="16"/>
  <c r="CI44" i="16"/>
  <c r="CB44" i="16"/>
  <c r="BU44" i="16"/>
  <c r="BN44" i="16"/>
  <c r="BG44" i="16"/>
  <c r="AZ44" i="16"/>
  <c r="AS44" i="16"/>
  <c r="AL44" i="16"/>
  <c r="AE44" i="16"/>
  <c r="X44" i="16"/>
  <c r="CP43" i="16"/>
  <c r="CI43" i="16"/>
  <c r="CB43" i="16"/>
  <c r="BU43" i="16"/>
  <c r="BN43" i="16"/>
  <c r="BG43" i="16"/>
  <c r="AZ43" i="16"/>
  <c r="AS43" i="16"/>
  <c r="AL43" i="16"/>
  <c r="AE43" i="16"/>
  <c r="X43" i="16"/>
  <c r="CP42" i="16"/>
  <c r="CI42" i="16"/>
  <c r="CB42" i="16"/>
  <c r="BU42" i="16"/>
  <c r="BN42" i="16"/>
  <c r="BG42" i="16"/>
  <c r="AZ42" i="16"/>
  <c r="AS42" i="16"/>
  <c r="AL42" i="16"/>
  <c r="AE42" i="16"/>
  <c r="X42" i="16"/>
  <c r="CP41" i="16"/>
  <c r="CI41" i="16"/>
  <c r="CB41" i="16"/>
  <c r="BU41" i="16"/>
  <c r="BN41" i="16"/>
  <c r="BG41" i="16"/>
  <c r="AZ41" i="16"/>
  <c r="X41" i="16"/>
  <c r="CI39" i="16"/>
  <c r="CB39" i="16"/>
  <c r="BU39" i="16"/>
  <c r="BN39" i="16"/>
  <c r="BG39" i="16"/>
  <c r="AZ39" i="16"/>
  <c r="AS39" i="16"/>
  <c r="CP38" i="16"/>
  <c r="CI38" i="16"/>
  <c r="CB38" i="16"/>
  <c r="BU38" i="16"/>
  <c r="BN38" i="16"/>
  <c r="BG38" i="16"/>
  <c r="AZ38" i="16"/>
  <c r="AS38" i="16"/>
  <c r="AL38" i="16"/>
  <c r="AE38" i="16"/>
  <c r="X38" i="16"/>
  <c r="CP37" i="16"/>
  <c r="CI37" i="16"/>
  <c r="CB37" i="16"/>
  <c r="BU37" i="16"/>
  <c r="BN37" i="16"/>
  <c r="BG37" i="16"/>
  <c r="AZ37" i="16"/>
  <c r="AS37" i="16"/>
  <c r="AL37" i="16"/>
  <c r="AE37" i="16"/>
  <c r="X37" i="16"/>
  <c r="CP36" i="16"/>
  <c r="CI36" i="16"/>
  <c r="CB36" i="16"/>
  <c r="BU36" i="16"/>
  <c r="BN36" i="16"/>
  <c r="BG36" i="16"/>
  <c r="AZ36" i="16"/>
  <c r="AS36" i="16"/>
  <c r="AL36" i="16"/>
  <c r="AE36" i="16"/>
  <c r="X36" i="16"/>
  <c r="CP35" i="16"/>
  <c r="CI35" i="16"/>
  <c r="CB35" i="16"/>
  <c r="BU35" i="16"/>
  <c r="BN35" i="16"/>
  <c r="BG35" i="16"/>
  <c r="AZ35" i="16"/>
  <c r="AS35" i="16"/>
  <c r="AL35" i="16"/>
  <c r="AE35" i="16"/>
  <c r="X35" i="16"/>
  <c r="CP34" i="16"/>
  <c r="CI34" i="16"/>
  <c r="CB34" i="16"/>
  <c r="BU34" i="16"/>
  <c r="BN34" i="16"/>
  <c r="BG34" i="16"/>
  <c r="AZ34" i="16"/>
  <c r="AS34" i="16"/>
  <c r="AL34" i="16"/>
  <c r="AE34" i="16"/>
  <c r="X34" i="16"/>
  <c r="CP33" i="16"/>
  <c r="CI33" i="16"/>
  <c r="CB33" i="16"/>
  <c r="BU33" i="16"/>
  <c r="BN33" i="16"/>
  <c r="BG33" i="16"/>
  <c r="AZ33" i="16"/>
  <c r="AS33" i="16"/>
  <c r="AL33" i="16"/>
  <c r="AE33" i="16"/>
  <c r="X33" i="16"/>
  <c r="CP32" i="16"/>
  <c r="CI32" i="16"/>
  <c r="CB32" i="16"/>
  <c r="BU32" i="16"/>
  <c r="BN32" i="16"/>
  <c r="BG32" i="16"/>
  <c r="AZ32" i="16"/>
  <c r="AS32" i="16"/>
  <c r="AL32" i="16"/>
  <c r="AE32" i="16"/>
  <c r="X32" i="16"/>
  <c r="CP31" i="16"/>
  <c r="CI31" i="16"/>
  <c r="CB31" i="16"/>
  <c r="BU31" i="16"/>
  <c r="BN31" i="16"/>
  <c r="BG31" i="16"/>
  <c r="AZ31" i="16"/>
  <c r="AS31" i="16"/>
  <c r="AL31" i="16"/>
  <c r="AE31" i="16"/>
  <c r="X31" i="16"/>
  <c r="CP30" i="16"/>
  <c r="CI30" i="16"/>
  <c r="CB30" i="16"/>
  <c r="BU30" i="16"/>
  <c r="BN30" i="16"/>
  <c r="BG30" i="16"/>
  <c r="AZ30" i="16"/>
  <c r="AS30" i="16"/>
  <c r="AL30" i="16"/>
  <c r="AE30" i="16"/>
  <c r="X30" i="16"/>
  <c r="CP29" i="16"/>
  <c r="CI29" i="16"/>
  <c r="CB29" i="16"/>
  <c r="BU29" i="16"/>
  <c r="BN29" i="16"/>
  <c r="BG29" i="16"/>
  <c r="AZ29" i="16"/>
  <c r="AS29" i="16"/>
  <c r="AL29" i="16"/>
  <c r="AE29" i="16"/>
  <c r="X29" i="16"/>
  <c r="CP28" i="16"/>
  <c r="CI28" i="16"/>
  <c r="CB28" i="16"/>
  <c r="BU28" i="16"/>
  <c r="BN28" i="16"/>
  <c r="BG28" i="16"/>
  <c r="AZ28" i="16"/>
  <c r="AS28" i="16"/>
  <c r="AL28" i="16"/>
  <c r="AE28" i="16"/>
  <c r="X28" i="16"/>
  <c r="CP27" i="16"/>
  <c r="CI27" i="16"/>
  <c r="CB27" i="16"/>
  <c r="BU27" i="16"/>
  <c r="BN27" i="16"/>
  <c r="BG27" i="16"/>
  <c r="AZ27" i="16"/>
  <c r="AS27" i="16"/>
  <c r="AL27" i="16"/>
  <c r="AE27" i="16"/>
  <c r="X27" i="16"/>
  <c r="CP26" i="16"/>
  <c r="CI26" i="16"/>
  <c r="CB26" i="16"/>
  <c r="BU26" i="16"/>
  <c r="BN26" i="16"/>
  <c r="BG26" i="16"/>
  <c r="AZ26" i="16"/>
  <c r="AS26" i="16"/>
  <c r="AL26" i="16"/>
  <c r="AE26" i="16"/>
  <c r="X26" i="16"/>
  <c r="CP25" i="16"/>
  <c r="CI25" i="16"/>
  <c r="CB25" i="16"/>
  <c r="BU25" i="16"/>
  <c r="BN25" i="16"/>
  <c r="BG25" i="16"/>
  <c r="AZ25" i="16"/>
  <c r="AS25" i="16"/>
  <c r="AL25" i="16"/>
  <c r="AE25" i="16"/>
  <c r="X25" i="16"/>
  <c r="CP24" i="16"/>
  <c r="CI24" i="16"/>
  <c r="CB24" i="16"/>
  <c r="BU24" i="16"/>
  <c r="BN24" i="16"/>
  <c r="BG24" i="16"/>
  <c r="AZ24" i="16"/>
  <c r="AS24" i="16"/>
  <c r="AL24" i="16"/>
  <c r="AE24" i="16"/>
  <c r="X24" i="16"/>
  <c r="CP23" i="16"/>
  <c r="CI23" i="16"/>
  <c r="CB23" i="16"/>
  <c r="BU23" i="16"/>
  <c r="BN23" i="16"/>
  <c r="BG23" i="16"/>
  <c r="AZ23" i="16"/>
  <c r="AS23" i="16"/>
  <c r="AL23" i="16"/>
  <c r="AE23" i="16"/>
  <c r="X23" i="16"/>
  <c r="CP22" i="16"/>
  <c r="CI22" i="16"/>
  <c r="CB22" i="16"/>
  <c r="BU22" i="16"/>
  <c r="BN22" i="16"/>
  <c r="BG22" i="16"/>
  <c r="AZ22" i="16"/>
  <c r="AS22" i="16"/>
  <c r="AL22" i="16"/>
  <c r="AE22" i="16"/>
  <c r="X22" i="16"/>
  <c r="CP21" i="16"/>
  <c r="CI21" i="16"/>
  <c r="CB21" i="16"/>
  <c r="BU21" i="16"/>
  <c r="BN21" i="16"/>
  <c r="BG21" i="16"/>
  <c r="AZ21" i="16"/>
  <c r="AS21" i="16"/>
  <c r="AL21" i="16"/>
  <c r="AE21" i="16"/>
  <c r="X21" i="16"/>
  <c r="CP20" i="16"/>
  <c r="CI20" i="16"/>
  <c r="CB20" i="16"/>
  <c r="BU20" i="16"/>
  <c r="BN20" i="16"/>
  <c r="BG20" i="16"/>
  <c r="AZ20" i="16"/>
  <c r="AS20" i="16"/>
  <c r="AL20" i="16"/>
  <c r="AE20" i="16"/>
  <c r="X20" i="16"/>
  <c r="CP19" i="16"/>
  <c r="CI19" i="16"/>
  <c r="CB19" i="16"/>
  <c r="BU19" i="16"/>
  <c r="BN19" i="16"/>
  <c r="BG19" i="16"/>
  <c r="AZ19" i="16"/>
  <c r="AS19" i="16"/>
  <c r="AL19" i="16"/>
  <c r="AE19" i="16"/>
  <c r="X19" i="16"/>
  <c r="CO14" i="16"/>
  <c r="CO161" i="16" s="1"/>
  <c r="CN14" i="16"/>
  <c r="CN161" i="16" s="1"/>
  <c r="CM14" i="16"/>
  <c r="CL14" i="16"/>
  <c r="CL161" i="16" s="1"/>
  <c r="CK14" i="16"/>
  <c r="CK161" i="16" s="1"/>
  <c r="CJ14" i="16"/>
  <c r="CI14" i="16"/>
  <c r="CB14" i="16"/>
  <c r="BU14" i="16"/>
  <c r="BN14" i="16"/>
  <c r="BG14" i="16"/>
  <c r="AZ14" i="16"/>
  <c r="AS14" i="16"/>
  <c r="AL14" i="16"/>
  <c r="AE14" i="16"/>
  <c r="CO13" i="16"/>
  <c r="CN13" i="16"/>
  <c r="CM13" i="16"/>
  <c r="CL13" i="16"/>
  <c r="CK13" i="16"/>
  <c r="CJ13" i="16"/>
  <c r="CH13" i="16"/>
  <c r="CG13" i="16"/>
  <c r="CF13" i="16"/>
  <c r="CE13" i="16"/>
  <c r="CD13" i="16"/>
  <c r="CC13" i="16"/>
  <c r="CA13" i="16"/>
  <c r="BZ13" i="16"/>
  <c r="BY13" i="16"/>
  <c r="BX13" i="16"/>
  <c r="BW13" i="16"/>
  <c r="BV13" i="16"/>
  <c r="BT13" i="16"/>
  <c r="BS13" i="16"/>
  <c r="BR13" i="16"/>
  <c r="BQ13" i="16"/>
  <c r="BP13" i="16"/>
  <c r="BO13" i="16"/>
  <c r="BM13" i="16"/>
  <c r="BL13" i="16"/>
  <c r="BK13" i="16"/>
  <c r="BJ13" i="16"/>
  <c r="BI13" i="16"/>
  <c r="BH13" i="16"/>
  <c r="BF13" i="16"/>
  <c r="BE13" i="16"/>
  <c r="BD13" i="16"/>
  <c r="BC13" i="16"/>
  <c r="BB13" i="16"/>
  <c r="BA13" i="16"/>
  <c r="AY13" i="16"/>
  <c r="AX13" i="16"/>
  <c r="AW13" i="16"/>
  <c r="AV13" i="16"/>
  <c r="AU13" i="16"/>
  <c r="AT13" i="16"/>
  <c r="AR13" i="16"/>
  <c r="AQ13" i="16"/>
  <c r="AP13" i="16"/>
  <c r="AO13" i="16"/>
  <c r="AN13" i="16"/>
  <c r="AM13" i="16"/>
  <c r="AK13" i="16"/>
  <c r="AJ13" i="16"/>
  <c r="AI13" i="16"/>
  <c r="AH13" i="16"/>
  <c r="AG13" i="16"/>
  <c r="AF13" i="16"/>
  <c r="AD13" i="16"/>
  <c r="AC13" i="16"/>
  <c r="AB13" i="16"/>
  <c r="AA13" i="16"/>
  <c r="Z13" i="16"/>
  <c r="Y13" i="16"/>
  <c r="W13" i="16"/>
  <c r="V13" i="16"/>
  <c r="U13" i="16"/>
  <c r="T13" i="16"/>
  <c r="S13" i="16"/>
  <c r="R13" i="16"/>
  <c r="CO12" i="16"/>
  <c r="CN12" i="16"/>
  <c r="CM12" i="16"/>
  <c r="CL12" i="16"/>
  <c r="CK12" i="16"/>
  <c r="CJ12" i="16"/>
  <c r="CH12" i="16"/>
  <c r="CG12" i="16"/>
  <c r="CF12" i="16"/>
  <c r="CE12" i="16"/>
  <c r="CD12" i="16"/>
  <c r="CC12" i="16"/>
  <c r="CA12" i="16"/>
  <c r="BZ12" i="16"/>
  <c r="BY12" i="16"/>
  <c r="BX12" i="16"/>
  <c r="BW12" i="16"/>
  <c r="BV12" i="16"/>
  <c r="BT12" i="16"/>
  <c r="BS12" i="16"/>
  <c r="BR12" i="16"/>
  <c r="BQ12" i="16"/>
  <c r="BP12" i="16"/>
  <c r="BO12" i="16"/>
  <c r="BM12" i="16"/>
  <c r="BL12" i="16"/>
  <c r="BK12" i="16"/>
  <c r="BJ12" i="16"/>
  <c r="BI12" i="16"/>
  <c r="BH12" i="16"/>
  <c r="BF12" i="16"/>
  <c r="BE12" i="16"/>
  <c r="BD12" i="16"/>
  <c r="BC12" i="16"/>
  <c r="BB12" i="16"/>
  <c r="BA12" i="16"/>
  <c r="AY12" i="16"/>
  <c r="AX12" i="16"/>
  <c r="AW12" i="16"/>
  <c r="AV12" i="16"/>
  <c r="AU12" i="16"/>
  <c r="AT12" i="16"/>
  <c r="AR12" i="16"/>
  <c r="AQ12" i="16"/>
  <c r="AP12" i="16"/>
  <c r="AO12" i="16"/>
  <c r="AN12" i="16"/>
  <c r="AM12" i="16"/>
  <c r="AK12" i="16"/>
  <c r="AJ12" i="16"/>
  <c r="AI12" i="16"/>
  <c r="AH12" i="16"/>
  <c r="AG12" i="16"/>
  <c r="AF12" i="16"/>
  <c r="AD12" i="16"/>
  <c r="AC12" i="16"/>
  <c r="AB12" i="16"/>
  <c r="AA12" i="16"/>
  <c r="Z12" i="16"/>
  <c r="Y12" i="16"/>
  <c r="W12" i="16"/>
  <c r="V12" i="16"/>
  <c r="U12" i="16"/>
  <c r="T12" i="16"/>
  <c r="S12" i="16"/>
  <c r="R12" i="16"/>
  <c r="CO11" i="16"/>
  <c r="CN11" i="16"/>
  <c r="CM11" i="16"/>
  <c r="CL11" i="16"/>
  <c r="CK11" i="16"/>
  <c r="CJ11" i="16"/>
  <c r="CH11" i="16"/>
  <c r="CG11" i="16"/>
  <c r="CF11" i="16"/>
  <c r="CE11" i="16"/>
  <c r="CD11" i="16"/>
  <c r="CC11" i="16"/>
  <c r="CA11" i="16"/>
  <c r="BZ11" i="16"/>
  <c r="BY11" i="16"/>
  <c r="BX11" i="16"/>
  <c r="BW11" i="16"/>
  <c r="BV11" i="16"/>
  <c r="BT11" i="16"/>
  <c r="BS11" i="16"/>
  <c r="BR11" i="16"/>
  <c r="BQ11" i="16"/>
  <c r="BP11" i="16"/>
  <c r="BO11" i="16"/>
  <c r="BM11" i="16"/>
  <c r="BL11" i="16"/>
  <c r="BK11" i="16"/>
  <c r="BJ11" i="16"/>
  <c r="BI11" i="16"/>
  <c r="BH11" i="16"/>
  <c r="BF11" i="16"/>
  <c r="BE11" i="16"/>
  <c r="BD11" i="16"/>
  <c r="BC11" i="16"/>
  <c r="BB11" i="16"/>
  <c r="BA11" i="16"/>
  <c r="AY11" i="16"/>
  <c r="AX11" i="16"/>
  <c r="AW11" i="16"/>
  <c r="AV11" i="16"/>
  <c r="AU11" i="16"/>
  <c r="AT11" i="16"/>
  <c r="AR11" i="16"/>
  <c r="AQ11" i="16"/>
  <c r="AP11" i="16"/>
  <c r="AO11" i="16"/>
  <c r="AN11" i="16"/>
  <c r="AM11" i="16"/>
  <c r="AK11" i="16"/>
  <c r="AJ11" i="16"/>
  <c r="AI11" i="16"/>
  <c r="AH11" i="16"/>
  <c r="AG11" i="16"/>
  <c r="AF11" i="16"/>
  <c r="AD11" i="16"/>
  <c r="AC11" i="16"/>
  <c r="AB11" i="16"/>
  <c r="AA11" i="16"/>
  <c r="Z11" i="16"/>
  <c r="Y11" i="16"/>
  <c r="W11" i="16"/>
  <c r="V11" i="16"/>
  <c r="U11" i="16"/>
  <c r="T11" i="16"/>
  <c r="S11" i="16"/>
  <c r="CO10" i="16"/>
  <c r="CN10" i="16"/>
  <c r="CM10" i="16"/>
  <c r="CL10" i="16"/>
  <c r="CK10" i="16"/>
  <c r="CJ10" i="16"/>
  <c r="CH10" i="16"/>
  <c r="CG10" i="16"/>
  <c r="CF10" i="16"/>
  <c r="CE10" i="16"/>
  <c r="CD10" i="16"/>
  <c r="CC10" i="16"/>
  <c r="CA10" i="16"/>
  <c r="BZ10" i="16"/>
  <c r="BY10" i="16"/>
  <c r="BX10" i="16"/>
  <c r="BW10" i="16"/>
  <c r="BV10" i="16"/>
  <c r="BT10" i="16"/>
  <c r="BS10" i="16"/>
  <c r="BR10" i="16"/>
  <c r="BQ10" i="16"/>
  <c r="BP10" i="16"/>
  <c r="BO10" i="16"/>
  <c r="BM10" i="16"/>
  <c r="BL10" i="16"/>
  <c r="BK10" i="16"/>
  <c r="BJ10" i="16"/>
  <c r="BI10" i="16"/>
  <c r="BH10" i="16"/>
  <c r="BF10" i="16"/>
  <c r="BE10" i="16"/>
  <c r="BD10" i="16"/>
  <c r="BC10" i="16"/>
  <c r="BB10" i="16"/>
  <c r="BA10" i="16"/>
  <c r="AY10" i="16"/>
  <c r="AX10" i="16"/>
  <c r="AW10" i="16"/>
  <c r="AV10" i="16"/>
  <c r="AU10" i="16"/>
  <c r="AT10" i="16"/>
  <c r="AR10" i="16"/>
  <c r="AQ10" i="16"/>
  <c r="AP10" i="16"/>
  <c r="AO10" i="16"/>
  <c r="AN10" i="16"/>
  <c r="AM10" i="16"/>
  <c r="AK10" i="16"/>
  <c r="AJ10" i="16"/>
  <c r="AI10" i="16"/>
  <c r="AH10" i="16"/>
  <c r="AG10" i="16"/>
  <c r="AF10" i="16"/>
  <c r="AD10" i="16"/>
  <c r="AC10" i="16"/>
  <c r="AB10" i="16"/>
  <c r="AA10" i="16"/>
  <c r="Z10" i="16"/>
  <c r="Y10" i="16"/>
  <c r="W10" i="16"/>
  <c r="V10" i="16"/>
  <c r="U10" i="16"/>
  <c r="T10" i="16"/>
  <c r="S10" i="16"/>
  <c r="R10" i="16"/>
  <c r="CO9" i="16"/>
  <c r="CN9" i="16"/>
  <c r="CM9" i="16"/>
  <c r="CL9" i="16"/>
  <c r="CK9" i="16"/>
  <c r="CJ9" i="16"/>
  <c r="CH9" i="16"/>
  <c r="CG9" i="16"/>
  <c r="CF9" i="16"/>
  <c r="CE9" i="16"/>
  <c r="CD9" i="16"/>
  <c r="CC9" i="16"/>
  <c r="CA9" i="16"/>
  <c r="BZ9" i="16"/>
  <c r="BY9" i="16"/>
  <c r="BX9" i="16"/>
  <c r="BW9" i="16"/>
  <c r="BV9" i="16"/>
  <c r="BT9" i="16"/>
  <c r="BS9" i="16"/>
  <c r="BR9" i="16"/>
  <c r="BQ9" i="16"/>
  <c r="BP9" i="16"/>
  <c r="BO9" i="16"/>
  <c r="BM9" i="16"/>
  <c r="BL9" i="16"/>
  <c r="BK9" i="16"/>
  <c r="BJ9" i="16"/>
  <c r="BI9" i="16"/>
  <c r="BH9" i="16"/>
  <c r="BF9" i="16"/>
  <c r="BE9" i="16"/>
  <c r="BD9" i="16"/>
  <c r="BC9" i="16"/>
  <c r="BB9" i="16"/>
  <c r="BA9" i="16"/>
  <c r="AY9" i="16"/>
  <c r="AX9" i="16"/>
  <c r="AW9" i="16"/>
  <c r="AV9" i="16"/>
  <c r="AU9" i="16"/>
  <c r="AT9" i="16"/>
  <c r="AR9" i="16"/>
  <c r="AQ9" i="16"/>
  <c r="AP9" i="16"/>
  <c r="AO9" i="16"/>
  <c r="AN9" i="16"/>
  <c r="AM9" i="16"/>
  <c r="AK9" i="16"/>
  <c r="AJ9" i="16"/>
  <c r="AI9" i="16"/>
  <c r="AH9" i="16"/>
  <c r="AG9" i="16"/>
  <c r="AF9" i="16"/>
  <c r="AD9" i="16"/>
  <c r="AC9" i="16"/>
  <c r="AB9" i="16"/>
  <c r="AA9" i="16"/>
  <c r="Z9" i="16"/>
  <c r="Y9" i="16"/>
  <c r="W9" i="16"/>
  <c r="V9" i="16"/>
  <c r="U9" i="16"/>
  <c r="T9" i="16"/>
  <c r="S9" i="16"/>
  <c r="R9" i="16"/>
  <c r="CP7" i="16"/>
  <c r="CI7" i="16"/>
  <c r="CB7" i="16"/>
  <c r="BU7" i="16"/>
  <c r="BN7" i="16"/>
  <c r="BG7" i="16"/>
  <c r="AZ7" i="16"/>
  <c r="AS7" i="16"/>
  <c r="AL7" i="16"/>
  <c r="AE7" i="16"/>
  <c r="X7" i="16"/>
  <c r="CO6" i="16"/>
  <c r="CO8" i="16" s="1"/>
  <c r="CN6" i="16"/>
  <c r="CM6" i="16"/>
  <c r="CM8" i="16" s="1"/>
  <c r="CL6" i="16"/>
  <c r="CK6" i="16"/>
  <c r="CH6" i="16"/>
  <c r="CH8" i="16" s="1"/>
  <c r="CG6" i="16"/>
  <c r="CG8" i="16" s="1"/>
  <c r="CF6" i="16"/>
  <c r="CF8" i="16" s="1"/>
  <c r="CE6" i="16"/>
  <c r="CD6" i="16"/>
  <c r="CD8" i="16" s="1"/>
  <c r="CC6" i="16"/>
  <c r="CC8" i="16" s="1"/>
  <c r="CA6" i="16"/>
  <c r="CA8" i="16" s="1"/>
  <c r="BZ6" i="16"/>
  <c r="BZ8" i="16" s="1"/>
  <c r="BY6" i="16"/>
  <c r="BY8" i="16" s="1"/>
  <c r="BX6" i="16"/>
  <c r="BX8" i="16" s="1"/>
  <c r="BW6" i="16"/>
  <c r="BW8" i="16" s="1"/>
  <c r="BV6" i="16"/>
  <c r="BV8" i="16" s="1"/>
  <c r="BT6" i="16"/>
  <c r="BT8" i="16" s="1"/>
  <c r="BS6" i="16"/>
  <c r="BS8" i="16" s="1"/>
  <c r="BR6" i="16"/>
  <c r="BR8" i="16" s="1"/>
  <c r="BQ6" i="16"/>
  <c r="BQ8" i="16" s="1"/>
  <c r="BP6" i="16"/>
  <c r="BP8" i="16" s="1"/>
  <c r="BO6" i="16"/>
  <c r="BM6" i="16"/>
  <c r="BM8" i="16" s="1"/>
  <c r="BL6" i="16"/>
  <c r="BL8" i="16" s="1"/>
  <c r="BK6" i="16"/>
  <c r="BK8" i="16" s="1"/>
  <c r="BJ6" i="16"/>
  <c r="BJ8" i="16" s="1"/>
  <c r="BI6" i="16"/>
  <c r="BI8" i="16" s="1"/>
  <c r="BH6" i="16"/>
  <c r="BF6" i="16"/>
  <c r="BF8" i="16" s="1"/>
  <c r="BE6" i="16"/>
  <c r="BE8" i="16" s="1"/>
  <c r="BD6" i="16"/>
  <c r="BD8" i="16" s="1"/>
  <c r="BC6" i="16"/>
  <c r="BC8" i="16" s="1"/>
  <c r="BB6" i="16"/>
  <c r="BB8" i="16" s="1"/>
  <c r="BA6" i="16"/>
  <c r="BA8" i="16" s="1"/>
  <c r="AY6" i="16"/>
  <c r="AY8" i="16" s="1"/>
  <c r="AX6" i="16"/>
  <c r="AX8" i="16" s="1"/>
  <c r="AW6" i="16"/>
  <c r="AW8" i="16" s="1"/>
  <c r="AV6" i="16"/>
  <c r="AV8" i="16" s="1"/>
  <c r="AU6" i="16"/>
  <c r="AU8" i="16" s="1"/>
  <c r="AT6" i="16"/>
  <c r="AT8" i="16" s="1"/>
  <c r="AR6" i="16"/>
  <c r="AR8" i="16" s="1"/>
  <c r="AQ6" i="16"/>
  <c r="AQ8" i="16" s="1"/>
  <c r="AP6" i="16"/>
  <c r="AP8" i="16" s="1"/>
  <c r="AO6" i="16"/>
  <c r="AO8" i="16" s="1"/>
  <c r="AN6" i="16"/>
  <c r="AN8" i="16" s="1"/>
  <c r="AM6" i="16"/>
  <c r="AK6" i="16"/>
  <c r="AK8" i="16" s="1"/>
  <c r="AJ6" i="16"/>
  <c r="AJ8" i="16" s="1"/>
  <c r="AI6" i="16"/>
  <c r="AI8" i="16" s="1"/>
  <c r="AH6" i="16"/>
  <c r="AH8" i="16" s="1"/>
  <c r="AG6" i="16"/>
  <c r="AG8" i="16" s="1"/>
  <c r="AF6" i="16"/>
  <c r="AD6" i="16"/>
  <c r="AD8" i="16" s="1"/>
  <c r="AC6" i="16"/>
  <c r="AC8" i="16" s="1"/>
  <c r="AB6" i="16"/>
  <c r="AB8" i="16" s="1"/>
  <c r="AA6" i="16"/>
  <c r="AA8" i="16" s="1"/>
  <c r="Z6" i="16"/>
  <c r="Z8" i="16" s="1"/>
  <c r="Y6" i="16"/>
  <c r="Y8" i="16" s="1"/>
  <c r="W6" i="16"/>
  <c r="W8" i="16" s="1"/>
  <c r="V6" i="16"/>
  <c r="V8" i="16" s="1"/>
  <c r="U6" i="16"/>
  <c r="U8" i="16" s="1"/>
  <c r="T6" i="16"/>
  <c r="T8" i="16" s="1"/>
  <c r="S6" i="16"/>
  <c r="S8" i="16" s="1"/>
  <c r="R6" i="16"/>
  <c r="R8" i="16" s="1"/>
  <c r="M6" i="14"/>
  <c r="N6" i="14"/>
  <c r="O6" i="14"/>
  <c r="P6" i="14"/>
  <c r="Q12" i="14"/>
  <c r="S6" i="14" l="1"/>
  <c r="W45" i="14"/>
  <c r="AD45" i="14" s="1"/>
  <c r="AL71" i="16"/>
  <c r="CB95" i="16"/>
  <c r="CB96" i="16" s="1"/>
  <c r="BG95" i="16"/>
  <c r="BG96" i="16" s="1"/>
  <c r="AZ95" i="16"/>
  <c r="AZ96" i="16" s="1"/>
  <c r="W18" i="14"/>
  <c r="AD18" i="14" s="1"/>
  <c r="AC6" i="14"/>
  <c r="AC24" i="14"/>
  <c r="AC30" i="14"/>
  <c r="AC17" i="14"/>
  <c r="AC9" i="14"/>
  <c r="AD8" i="14"/>
  <c r="AC16" i="14"/>
  <c r="AC8" i="14"/>
  <c r="AC22" i="14"/>
  <c r="AC14" i="14"/>
  <c r="AD13" i="14"/>
  <c r="AC25" i="14"/>
  <c r="AD12" i="14"/>
  <c r="AB6" i="14"/>
  <c r="AC31" i="14"/>
  <c r="AC23" i="14"/>
  <c r="AC15" i="14"/>
  <c r="AC29" i="14"/>
  <c r="AC21" i="14"/>
  <c r="AC13" i="14"/>
  <c r="AC28" i="14"/>
  <c r="AC20" i="14"/>
  <c r="AC12" i="14"/>
  <c r="AD11" i="14"/>
  <c r="AC27" i="14"/>
  <c r="AC19" i="14"/>
  <c r="AC11" i="14"/>
  <c r="AD10" i="14"/>
  <c r="AC26" i="14"/>
  <c r="AC18" i="14"/>
  <c r="AC10" i="14"/>
  <c r="AD9" i="14"/>
  <c r="AD6" i="14"/>
  <c r="W16" i="14"/>
  <c r="AD16" i="14" s="1"/>
  <c r="W27" i="14"/>
  <c r="AD27" i="14" s="1"/>
  <c r="W28" i="14"/>
  <c r="AD28" i="14" s="1"/>
  <c r="W33" i="14"/>
  <c r="AD33" i="14" s="1"/>
  <c r="W34" i="14"/>
  <c r="AD34" i="14" s="1"/>
  <c r="V35" i="14"/>
  <c r="AC35" i="14" s="1"/>
  <c r="W36" i="14"/>
  <c r="AD36" i="14" s="1"/>
  <c r="W37" i="14"/>
  <c r="AD37" i="14" s="1"/>
  <c r="W39" i="14"/>
  <c r="AD39" i="14" s="1"/>
  <c r="W14" i="14"/>
  <c r="AD14" i="14" s="1"/>
  <c r="W15" i="14"/>
  <c r="AD15" i="14" s="1"/>
  <c r="W19" i="14"/>
  <c r="AD19" i="14" s="1"/>
  <c r="U20" i="14"/>
  <c r="AB20" i="14" s="1"/>
  <c r="W21" i="14"/>
  <c r="AD21" i="14" s="1"/>
  <c r="W22" i="14"/>
  <c r="AD22" i="14" s="1"/>
  <c r="W23" i="14"/>
  <c r="AD23" i="14" s="1"/>
  <c r="W25" i="14"/>
  <c r="AD25" i="14" s="1"/>
  <c r="W29" i="14"/>
  <c r="AD29" i="14" s="1"/>
  <c r="W31" i="14"/>
  <c r="AD31" i="14" s="1"/>
  <c r="W32" i="14"/>
  <c r="AD32" i="14" s="1"/>
  <c r="V34" i="14"/>
  <c r="AC34" i="14" s="1"/>
  <c r="W20" i="14"/>
  <c r="AD20" i="14" s="1"/>
  <c r="W24" i="14"/>
  <c r="AD24" i="14" s="1"/>
  <c r="W30" i="14"/>
  <c r="AD30" i="14" s="1"/>
  <c r="W35" i="14"/>
  <c r="AD35" i="14" s="1"/>
  <c r="V36" i="14"/>
  <c r="AC36" i="14" s="1"/>
  <c r="V37" i="14"/>
  <c r="AC37" i="14" s="1"/>
  <c r="W38" i="14"/>
  <c r="AD38" i="14" s="1"/>
  <c r="W17" i="14"/>
  <c r="AD17" i="14" s="1"/>
  <c r="W26" i="14"/>
  <c r="AD26" i="14" s="1"/>
  <c r="V33" i="14"/>
  <c r="AC33" i="14" s="1"/>
  <c r="V38" i="14"/>
  <c r="AC38" i="14" s="1"/>
  <c r="V39" i="14"/>
  <c r="AC39" i="14" s="1"/>
  <c r="V51" i="14"/>
  <c r="AC51" i="14" s="1"/>
  <c r="T12" i="14"/>
  <c r="AA12" i="14" s="1"/>
  <c r="T7" i="14"/>
  <c r="AA7" i="14" s="1"/>
  <c r="T6" i="14"/>
  <c r="AA6" i="14" s="1"/>
  <c r="T38" i="14"/>
  <c r="AA38" i="14" s="1"/>
  <c r="U8" i="14"/>
  <c r="AB8" i="14" s="1"/>
  <c r="U12" i="14"/>
  <c r="AB12" i="14" s="1"/>
  <c r="U14" i="14"/>
  <c r="AB14" i="14" s="1"/>
  <c r="T27" i="14"/>
  <c r="AA27" i="14" s="1"/>
  <c r="T35" i="14"/>
  <c r="AA35" i="14" s="1"/>
  <c r="W46" i="14"/>
  <c r="AD46" i="14" s="1"/>
  <c r="AS95" i="16"/>
  <c r="AS96" i="16" s="1"/>
  <c r="BN95" i="16"/>
  <c r="BN96" i="16" s="1"/>
  <c r="BU95" i="16"/>
  <c r="BU96" i="16" s="1"/>
  <c r="AS162" i="16"/>
  <c r="CI162" i="16"/>
  <c r="CK144" i="16"/>
  <c r="Z6" i="14"/>
  <c r="AE101" i="16"/>
  <c r="CI51" i="16"/>
  <c r="CP51" i="16" s="1"/>
  <c r="CP61" i="16" s="1"/>
  <c r="CP64" i="16" s="1"/>
  <c r="AB7" i="14"/>
  <c r="AC7" i="14"/>
  <c r="AD7" i="14"/>
  <c r="AL51" i="16"/>
  <c r="AS51" i="16"/>
  <c r="AZ51" i="16"/>
  <c r="BG51" i="16"/>
  <c r="BN51" i="16"/>
  <c r="BU51" i="16"/>
  <c r="CB51" i="16"/>
  <c r="V43" i="14"/>
  <c r="AC43" i="14" s="1"/>
  <c r="S10" i="14"/>
  <c r="Z10" i="14" s="1"/>
  <c r="T11" i="14"/>
  <c r="AA11" i="14" s="1"/>
  <c r="T13" i="14"/>
  <c r="AA13" i="14" s="1"/>
  <c r="S15" i="14"/>
  <c r="Z15" i="14" s="1"/>
  <c r="T15" i="14"/>
  <c r="AA15" i="14" s="1"/>
  <c r="S7" i="14"/>
  <c r="S8" i="14"/>
  <c r="S9" i="14"/>
  <c r="Z9" i="14" s="1"/>
  <c r="S11" i="14"/>
  <c r="Z11" i="14" s="1"/>
  <c r="U13" i="14"/>
  <c r="AB13" i="14" s="1"/>
  <c r="S14" i="14"/>
  <c r="Z14" i="14" s="1"/>
  <c r="T8" i="14"/>
  <c r="AA8" i="14" s="1"/>
  <c r="U9" i="14"/>
  <c r="AB9" i="14" s="1"/>
  <c r="U10" i="14"/>
  <c r="AB10" i="14" s="1"/>
  <c r="S12" i="14"/>
  <c r="Z12" i="14" s="1"/>
  <c r="S13" i="14"/>
  <c r="Z13" i="14" s="1"/>
  <c r="CI63" i="16"/>
  <c r="CI74" i="16"/>
  <c r="CB63" i="16"/>
  <c r="CB74" i="16"/>
  <c r="BU63" i="16"/>
  <c r="BU74" i="16"/>
  <c r="BN63" i="16"/>
  <c r="BN74" i="16"/>
  <c r="BG63" i="16"/>
  <c r="BG74" i="16"/>
  <c r="AZ63" i="16"/>
  <c r="AZ74" i="16"/>
  <c r="AS63" i="16"/>
  <c r="AS74" i="16"/>
  <c r="AL63" i="16"/>
  <c r="AL74" i="16"/>
  <c r="U49" i="14"/>
  <c r="AB49" i="14" s="1"/>
  <c r="U25" i="14"/>
  <c r="AB25" i="14" s="1"/>
  <c r="U33" i="14"/>
  <c r="AB33" i="14" s="1"/>
  <c r="W40" i="14"/>
  <c r="AD40" i="14" s="1"/>
  <c r="W41" i="14"/>
  <c r="AD41" i="14" s="1"/>
  <c r="U16" i="14"/>
  <c r="AB16" i="14" s="1"/>
  <c r="S17" i="14"/>
  <c r="Z17" i="14" s="1"/>
  <c r="U17" i="14"/>
  <c r="AB17" i="14" s="1"/>
  <c r="U18" i="14"/>
  <c r="AB18" i="14" s="1"/>
  <c r="S27" i="14"/>
  <c r="Z27" i="14" s="1"/>
  <c r="T31" i="14"/>
  <c r="AA31" i="14" s="1"/>
  <c r="S35" i="14"/>
  <c r="Z35" i="14" s="1"/>
  <c r="S38" i="14"/>
  <c r="Z38" i="14" s="1"/>
  <c r="T39" i="14"/>
  <c r="AA39" i="14" s="1"/>
  <c r="T40" i="14"/>
  <c r="AA40" i="14" s="1"/>
  <c r="T41" i="14"/>
  <c r="AA41" i="14" s="1"/>
  <c r="S42" i="14"/>
  <c r="Z42" i="14" s="1"/>
  <c r="S43" i="14"/>
  <c r="Z43" i="14" s="1"/>
  <c r="T44" i="14"/>
  <c r="AA44" i="14" s="1"/>
  <c r="V44" i="14"/>
  <c r="AC44" i="14" s="1"/>
  <c r="S45" i="14"/>
  <c r="Z45" i="14" s="1"/>
  <c r="T45" i="14"/>
  <c r="AA45" i="14" s="1"/>
  <c r="S46" i="14"/>
  <c r="Z46" i="14" s="1"/>
  <c r="V47" i="14"/>
  <c r="AC47" i="14" s="1"/>
  <c r="V48" i="14"/>
  <c r="AC48" i="14" s="1"/>
  <c r="S49" i="14"/>
  <c r="Z49" i="14" s="1"/>
  <c r="S50" i="14"/>
  <c r="Z50" i="14" s="1"/>
  <c r="T19" i="14"/>
  <c r="AA19" i="14" s="1"/>
  <c r="S19" i="14"/>
  <c r="Z19" i="14" s="1"/>
  <c r="T20" i="14"/>
  <c r="AA20" i="14" s="1"/>
  <c r="S23" i="14"/>
  <c r="Z23" i="14" s="1"/>
  <c r="T24" i="14"/>
  <c r="AA24" i="14" s="1"/>
  <c r="S24" i="14"/>
  <c r="Z24" i="14" s="1"/>
  <c r="U28" i="14"/>
  <c r="AB28" i="14" s="1"/>
  <c r="S28" i="14"/>
  <c r="Z28" i="14" s="1"/>
  <c r="S29" i="14"/>
  <c r="Z29" i="14" s="1"/>
  <c r="U29" i="14"/>
  <c r="AB29" i="14" s="1"/>
  <c r="S30" i="14"/>
  <c r="Z30" i="14" s="1"/>
  <c r="S32" i="14"/>
  <c r="Z32" i="14" s="1"/>
  <c r="T33" i="14"/>
  <c r="AA33" i="14" s="1"/>
  <c r="S36" i="14"/>
  <c r="Z36" i="14" s="1"/>
  <c r="S37" i="14"/>
  <c r="Z37" i="14" s="1"/>
  <c r="U40" i="14"/>
  <c r="AB40" i="14" s="1"/>
  <c r="U41" i="14"/>
  <c r="AB41" i="14" s="1"/>
  <c r="V42" i="14"/>
  <c r="AC42" i="14" s="1"/>
  <c r="T43" i="14"/>
  <c r="AA43" i="14" s="1"/>
  <c r="U44" i="14"/>
  <c r="AB44" i="14" s="1"/>
  <c r="V46" i="14"/>
  <c r="AC46" i="14" s="1"/>
  <c r="U48" i="14"/>
  <c r="AB48" i="14" s="1"/>
  <c r="W48" i="14"/>
  <c r="AD48" i="14" s="1"/>
  <c r="S48" i="14"/>
  <c r="Z48" i="14" s="1"/>
  <c r="T49" i="14"/>
  <c r="AA49" i="14" s="1"/>
  <c r="W49" i="14"/>
  <c r="AD49" i="14" s="1"/>
  <c r="V50" i="14"/>
  <c r="AC50" i="14" s="1"/>
  <c r="T51" i="14"/>
  <c r="AA51" i="14" s="1"/>
  <c r="S16" i="14"/>
  <c r="Z16" i="14" s="1"/>
  <c r="S18" i="14"/>
  <c r="Z18" i="14" s="1"/>
  <c r="T21" i="14"/>
  <c r="AA21" i="14" s="1"/>
  <c r="S21" i="14"/>
  <c r="Z21" i="14" s="1"/>
  <c r="U22" i="14"/>
  <c r="AB22" i="14" s="1"/>
  <c r="S22" i="14"/>
  <c r="Z22" i="14" s="1"/>
  <c r="U23" i="14"/>
  <c r="AB23" i="14" s="1"/>
  <c r="T23" i="14"/>
  <c r="AA23" i="14" s="1"/>
  <c r="U24" i="14"/>
  <c r="AB24" i="14" s="1"/>
  <c r="S25" i="14"/>
  <c r="Z25" i="14" s="1"/>
  <c r="S26" i="14"/>
  <c r="Z26" i="14" s="1"/>
  <c r="T28" i="14"/>
  <c r="AA28" i="14" s="1"/>
  <c r="U32" i="14"/>
  <c r="AB32" i="14" s="1"/>
  <c r="T32" i="14"/>
  <c r="AA32" i="14" s="1"/>
  <c r="S33" i="14"/>
  <c r="Z33" i="14" s="1"/>
  <c r="S34" i="14"/>
  <c r="Z34" i="14" s="1"/>
  <c r="U36" i="14"/>
  <c r="AB36" i="14" s="1"/>
  <c r="T36" i="14"/>
  <c r="AA36" i="14" s="1"/>
  <c r="U37" i="14"/>
  <c r="AB37" i="14" s="1"/>
  <c r="T37" i="14"/>
  <c r="AA37" i="14" s="1"/>
  <c r="U38" i="14"/>
  <c r="AB38" i="14" s="1"/>
  <c r="S39" i="14"/>
  <c r="Z39" i="14" s="1"/>
  <c r="S40" i="14"/>
  <c r="Z40" i="14" s="1"/>
  <c r="S41" i="14"/>
  <c r="Z41" i="14" s="1"/>
  <c r="W42" i="14"/>
  <c r="AD42" i="14" s="1"/>
  <c r="S44" i="14"/>
  <c r="Z44" i="14" s="1"/>
  <c r="T47" i="14"/>
  <c r="AA47" i="14" s="1"/>
  <c r="S47" i="14"/>
  <c r="Z47" i="14" s="1"/>
  <c r="T48" i="14"/>
  <c r="AA48" i="14" s="1"/>
  <c r="S51" i="14"/>
  <c r="Z51" i="14" s="1"/>
  <c r="T16" i="14"/>
  <c r="AA16" i="14" s="1"/>
  <c r="S20" i="14"/>
  <c r="Z20" i="14" s="1"/>
  <c r="U21" i="14"/>
  <c r="AB21" i="14" s="1"/>
  <c r="S31" i="14"/>
  <c r="Z31" i="14" s="1"/>
  <c r="W44" i="14"/>
  <c r="AD44" i="14" s="1"/>
  <c r="U45" i="14"/>
  <c r="AB45" i="14" s="1"/>
  <c r="T10" i="14"/>
  <c r="AA10" i="14" s="1"/>
  <c r="T25" i="14"/>
  <c r="AA25" i="14" s="1"/>
  <c r="T34" i="14"/>
  <c r="AA34" i="14" s="1"/>
  <c r="U34" i="14"/>
  <c r="AB34" i="14" s="1"/>
  <c r="U39" i="14"/>
  <c r="AB39" i="14" s="1"/>
  <c r="V41" i="14"/>
  <c r="AC41" i="14" s="1"/>
  <c r="U47" i="14"/>
  <c r="AB47" i="14" s="1"/>
  <c r="W51" i="14"/>
  <c r="AD51" i="14" s="1"/>
  <c r="U15" i="14"/>
  <c r="AB15" i="14" s="1"/>
  <c r="U27" i="14"/>
  <c r="AB27" i="14" s="1"/>
  <c r="U35" i="14"/>
  <c r="AB35" i="14" s="1"/>
  <c r="V40" i="14"/>
  <c r="AC40" i="14" s="1"/>
  <c r="U42" i="14"/>
  <c r="AB42" i="14" s="1"/>
  <c r="V45" i="14"/>
  <c r="AC45" i="14" s="1"/>
  <c r="U46" i="14"/>
  <c r="AB46" i="14" s="1"/>
  <c r="V49" i="14"/>
  <c r="AC49" i="14" s="1"/>
  <c r="U50" i="14"/>
  <c r="AB50" i="14" s="1"/>
  <c r="W50" i="14"/>
  <c r="AD50" i="14" s="1"/>
  <c r="T14" i="14"/>
  <c r="AA14" i="14" s="1"/>
  <c r="T17" i="14"/>
  <c r="AA17" i="14" s="1"/>
  <c r="U19" i="14"/>
  <c r="AB19" i="14" s="1"/>
  <c r="T26" i="14"/>
  <c r="AA26" i="14" s="1"/>
  <c r="T29" i="14"/>
  <c r="AA29" i="14" s="1"/>
  <c r="T42" i="14"/>
  <c r="AA42" i="14" s="1"/>
  <c r="U43" i="14"/>
  <c r="AB43" i="14" s="1"/>
  <c r="T50" i="14"/>
  <c r="AA50" i="14" s="1"/>
  <c r="T9" i="14"/>
  <c r="AA9" i="14" s="1"/>
  <c r="U11" i="14"/>
  <c r="AB11" i="14" s="1"/>
  <c r="T18" i="14"/>
  <c r="AA18" i="14" s="1"/>
  <c r="T22" i="14"/>
  <c r="AA22" i="14" s="1"/>
  <c r="U26" i="14"/>
  <c r="AB26" i="14" s="1"/>
  <c r="U30" i="14"/>
  <c r="AB30" i="14" s="1"/>
  <c r="T30" i="14"/>
  <c r="AA30" i="14" s="1"/>
  <c r="U31" i="14"/>
  <c r="AB31" i="14" s="1"/>
  <c r="W43" i="14"/>
  <c r="AD43" i="14" s="1"/>
  <c r="T46" i="14"/>
  <c r="AA46" i="14" s="1"/>
  <c r="W47" i="14"/>
  <c r="AD47" i="14" s="1"/>
  <c r="U51" i="14"/>
  <c r="AB51" i="14" s="1"/>
  <c r="AL6" i="16"/>
  <c r="D4" i="3" s="1"/>
  <c r="Q10" i="14"/>
  <c r="Q6" i="14"/>
  <c r="Q14" i="14"/>
  <c r="Q13" i="14"/>
  <c r="Q9" i="14"/>
  <c r="Q15" i="14"/>
  <c r="Q11" i="14"/>
  <c r="AE51" i="16"/>
  <c r="CL146" i="16"/>
  <c r="CL144" i="16"/>
  <c r="BU162" i="16"/>
  <c r="CM146" i="16"/>
  <c r="AE63" i="16"/>
  <c r="BG140" i="16"/>
  <c r="CL143" i="16"/>
  <c r="CN154" i="16"/>
  <c r="BG162" i="16"/>
  <c r="X74" i="16"/>
  <c r="CK143" i="16"/>
  <c r="CO143" i="16"/>
  <c r="CK154" i="16"/>
  <c r="V16" i="16"/>
  <c r="AA16" i="16"/>
  <c r="AJ16" i="16"/>
  <c r="AO16" i="16"/>
  <c r="BC16" i="16"/>
  <c r="BL16" i="16"/>
  <c r="BQ16" i="16"/>
  <c r="BV16" i="16"/>
  <c r="AC16" i="16"/>
  <c r="BA16" i="16"/>
  <c r="BY16" i="16"/>
  <c r="S16" i="16"/>
  <c r="W16" i="16"/>
  <c r="AB16" i="16"/>
  <c r="AG16" i="16"/>
  <c r="AU16" i="16"/>
  <c r="AY16" i="16"/>
  <c r="BD16" i="16"/>
  <c r="BI16" i="16"/>
  <c r="BM16" i="16"/>
  <c r="BR16" i="16"/>
  <c r="BW16" i="16"/>
  <c r="CA16" i="16"/>
  <c r="CF16" i="16"/>
  <c r="T16" i="16"/>
  <c r="Y16" i="16"/>
  <c r="AQ16" i="16"/>
  <c r="CC16" i="16"/>
  <c r="AL9" i="16"/>
  <c r="CB9" i="16"/>
  <c r="AE11" i="16"/>
  <c r="R16" i="16"/>
  <c r="AS10" i="16"/>
  <c r="AZ10" i="16"/>
  <c r="BG10" i="16"/>
  <c r="CI10" i="16"/>
  <c r="AL11" i="16"/>
  <c r="BN11" i="16"/>
  <c r="BU11" i="16"/>
  <c r="CP11" i="16"/>
  <c r="AE12" i="16"/>
  <c r="AL12" i="16"/>
  <c r="BN12" i="16"/>
  <c r="CP12" i="16"/>
  <c r="AE13" i="16"/>
  <c r="BG13" i="16"/>
  <c r="CB13" i="16"/>
  <c r="BJ16" i="16"/>
  <c r="BS16" i="16"/>
  <c r="BU9" i="16"/>
  <c r="CI11" i="16"/>
  <c r="AV16" i="16"/>
  <c r="BE16" i="16"/>
  <c r="BU6" i="16"/>
  <c r="BX16" i="16"/>
  <c r="U16" i="16"/>
  <c r="AI16" i="16"/>
  <c r="AN16" i="16"/>
  <c r="AR16" i="16"/>
  <c r="BK16" i="16"/>
  <c r="BP16" i="16"/>
  <c r="BT16" i="16"/>
  <c r="X9" i="16"/>
  <c r="AS9" i="16"/>
  <c r="AZ9" i="16"/>
  <c r="BN9" i="16"/>
  <c r="CP9" i="16"/>
  <c r="AE10" i="16"/>
  <c r="AL10" i="16"/>
  <c r="BN10" i="16"/>
  <c r="BU10" i="16"/>
  <c r="CP10" i="16"/>
  <c r="BG11" i="16"/>
  <c r="X12" i="16"/>
  <c r="AZ12" i="16"/>
  <c r="CB12" i="16"/>
  <c r="AL13" i="16"/>
  <c r="AS13" i="16"/>
  <c r="BU13" i="16"/>
  <c r="CI6" i="16"/>
  <c r="AW16" i="16"/>
  <c r="CE8" i="16"/>
  <c r="CE16" i="16" s="1"/>
  <c r="AE6" i="16"/>
  <c r="CN134" i="16"/>
  <c r="CN112" i="16"/>
  <c r="CN115" i="16" s="1"/>
  <c r="CN122" i="16"/>
  <c r="CN8" i="16"/>
  <c r="X6" i="16"/>
  <c r="D2" i="3" s="1"/>
  <c r="AF8" i="16"/>
  <c r="AF16" i="16" s="1"/>
  <c r="CB6" i="16"/>
  <c r="CJ134" i="16"/>
  <c r="CJ119" i="16"/>
  <c r="CJ112" i="16"/>
  <c r="CJ115" i="16" s="1"/>
  <c r="CJ122" i="16"/>
  <c r="CJ133" i="16"/>
  <c r="CP6" i="16"/>
  <c r="CP8" i="16" s="1"/>
  <c r="BG6" i="16"/>
  <c r="D7" i="3" s="1"/>
  <c r="AS114" i="16"/>
  <c r="AS115" i="16"/>
  <c r="BU115" i="16"/>
  <c r="BU114" i="16"/>
  <c r="CJ8" i="16"/>
  <c r="AM8" i="16"/>
  <c r="AM16" i="16" s="1"/>
  <c r="AS6" i="16"/>
  <c r="AZ6" i="16"/>
  <c r="BH8" i="16"/>
  <c r="BH16" i="16" s="1"/>
  <c r="BN6" i="16"/>
  <c r="CM118" i="16"/>
  <c r="CM16" i="16"/>
  <c r="BO8" i="16"/>
  <c r="BO16" i="16" s="1"/>
  <c r="CO118" i="16"/>
  <c r="CO16" i="16"/>
  <c r="CI13" i="16"/>
  <c r="CK122" i="16"/>
  <c r="CK133" i="16"/>
  <c r="CK112" i="16"/>
  <c r="CK115" i="16" s="1"/>
  <c r="CK134" i="16"/>
  <c r="CO112" i="16"/>
  <c r="CO115" i="16" s="1"/>
  <c r="CO134" i="16"/>
  <c r="CO122" i="16"/>
  <c r="AZ114" i="16"/>
  <c r="AZ115" i="16"/>
  <c r="CB114" i="16"/>
  <c r="CB115" i="16"/>
  <c r="CK8" i="16"/>
  <c r="CI9" i="16"/>
  <c r="X10" i="16"/>
  <c r="X11" i="16"/>
  <c r="AS11" i="16"/>
  <c r="CB11" i="16"/>
  <c r="BG12" i="16"/>
  <c r="BN13" i="16"/>
  <c r="AZ162" i="16"/>
  <c r="CB162" i="16"/>
  <c r="CP14" i="16"/>
  <c r="Z16" i="16"/>
  <c r="AD16" i="16"/>
  <c r="AH16" i="16"/>
  <c r="AP16" i="16"/>
  <c r="AT16" i="16"/>
  <c r="AX16" i="16"/>
  <c r="BB16" i="16"/>
  <c r="BF16" i="16"/>
  <c r="BZ16" i="16"/>
  <c r="CD16" i="16"/>
  <c r="CH16" i="16"/>
  <c r="CL134" i="16"/>
  <c r="CL122" i="16"/>
  <c r="CL112" i="16"/>
  <c r="CL115" i="16" s="1"/>
  <c r="CL8" i="16"/>
  <c r="AE115" i="16"/>
  <c r="AE114" i="16"/>
  <c r="BG115" i="16"/>
  <c r="BG114" i="16"/>
  <c r="CI115" i="16"/>
  <c r="CI114" i="16"/>
  <c r="AK16" i="16"/>
  <c r="CG16" i="16"/>
  <c r="BG9" i="16"/>
  <c r="AS12" i="16"/>
  <c r="CI12" i="16"/>
  <c r="X13" i="16"/>
  <c r="CP13" i="16"/>
  <c r="CM134" i="16"/>
  <c r="CM122" i="16"/>
  <c r="CM119" i="16"/>
  <c r="CM112" i="16"/>
  <c r="CM115" i="16" s="1"/>
  <c r="AL114" i="16"/>
  <c r="AL115" i="16"/>
  <c r="BN114" i="16"/>
  <c r="BN115" i="16"/>
  <c r="AE9" i="16"/>
  <c r="CB10" i="16"/>
  <c r="AZ11" i="16"/>
  <c r="BU12" i="16"/>
  <c r="AZ13" i="16"/>
  <c r="CM161" i="16"/>
  <c r="CM120" i="16"/>
  <c r="CB140" i="16"/>
  <c r="CJ161" i="16"/>
  <c r="CJ120" i="16"/>
  <c r="BN162" i="16"/>
  <c r="CM144" i="16"/>
  <c r="CM148" i="16"/>
  <c r="CM155" i="16" s="1"/>
  <c r="CM156" i="16" s="1"/>
  <c r="AL162" i="16"/>
  <c r="CL139" i="16"/>
  <c r="CL133" i="16"/>
  <c r="AS140" i="16"/>
  <c r="BU140" i="16"/>
  <c r="CM143" i="16"/>
  <c r="CM139" i="16"/>
  <c r="CM140" i="16" s="1"/>
  <c r="AZ140" i="16"/>
  <c r="CJ139" i="16"/>
  <c r="CJ140" i="16" s="1"/>
  <c r="CN139" i="16"/>
  <c r="CN133" i="16"/>
  <c r="CI140" i="16"/>
  <c r="CJ148" i="16"/>
  <c r="CJ155" i="16" s="1"/>
  <c r="CJ156" i="16" s="1"/>
  <c r="CM157" i="16"/>
  <c r="CN148" i="16"/>
  <c r="CN155" i="16" s="1"/>
  <c r="CK139" i="16"/>
  <c r="CO139" i="16"/>
  <c r="CO133" i="16"/>
  <c r="CJ143" i="16"/>
  <c r="CN143" i="16"/>
  <c r="CN145" i="16"/>
  <c r="CN146" i="16" s="1"/>
  <c r="CJ145" i="16"/>
  <c r="CJ146" i="16" s="1"/>
  <c r="CO147" i="16"/>
  <c r="CO148" i="16" s="1"/>
  <c r="CO155" i="16" s="1"/>
  <c r="CO156" i="16" s="1"/>
  <c r="CM133" i="16"/>
  <c r="CO144" i="16"/>
  <c r="CK148" i="16"/>
  <c r="CK155" i="16" s="1"/>
  <c r="CK156" i="16" s="1"/>
  <c r="CL147" i="16"/>
  <c r="CL148" i="16" s="1"/>
  <c r="CL155" i="16" s="1"/>
  <c r="CL156" i="16" s="1"/>
  <c r="DA10" i="16" l="1"/>
  <c r="DB28" i="16"/>
  <c r="D10" i="3"/>
  <c r="DA6" i="16"/>
  <c r="D9" i="3"/>
  <c r="CZ30" i="16"/>
  <c r="D8" i="3"/>
  <c r="CU31" i="16"/>
  <c r="D3" i="3"/>
  <c r="CX24" i="16"/>
  <c r="D6" i="3"/>
  <c r="AS71" i="16"/>
  <c r="J5" i="3" s="1"/>
  <c r="J4" i="3"/>
  <c r="CW25" i="16"/>
  <c r="D5" i="3"/>
  <c r="DC33" i="16"/>
  <c r="D11" i="3"/>
  <c r="AL72" i="16"/>
  <c r="AL73" i="16" s="1"/>
  <c r="AL97" i="16"/>
  <c r="CI61" i="16"/>
  <c r="CI64" i="16" s="1"/>
  <c r="J101" i="24"/>
  <c r="AE12" i="14"/>
  <c r="AE20" i="14"/>
  <c r="X6" i="14"/>
  <c r="AE162" i="16"/>
  <c r="AE74" i="16"/>
  <c r="AL95" i="16"/>
  <c r="AL96" i="16" s="1"/>
  <c r="CN156" i="16"/>
  <c r="AE140" i="16"/>
  <c r="AE18" i="14"/>
  <c r="AE24" i="14"/>
  <c r="AE19" i="14"/>
  <c r="AE38" i="14"/>
  <c r="AC52" i="14"/>
  <c r="AE44" i="14"/>
  <c r="AB52" i="14"/>
  <c r="AE39" i="14"/>
  <c r="AA52" i="14"/>
  <c r="AE16" i="14"/>
  <c r="AD52" i="14"/>
  <c r="AE6" i="14"/>
  <c r="AE29" i="14"/>
  <c r="AE35" i="14"/>
  <c r="AE13" i="14"/>
  <c r="AE11" i="14"/>
  <c r="AE10" i="14"/>
  <c r="AE31" i="14"/>
  <c r="AE51" i="14"/>
  <c r="AE25" i="14"/>
  <c r="AE22" i="14"/>
  <c r="AE36" i="14"/>
  <c r="AE45" i="14"/>
  <c r="AE42" i="14"/>
  <c r="X7" i="14"/>
  <c r="Z7" i="14"/>
  <c r="AE7" i="14" s="1"/>
  <c r="AE47" i="14"/>
  <c r="AE41" i="14"/>
  <c r="AE34" i="14"/>
  <c r="AE21" i="14"/>
  <c r="AE48" i="14"/>
  <c r="AE32" i="14"/>
  <c r="AE28" i="14"/>
  <c r="AE23" i="14"/>
  <c r="AE50" i="14"/>
  <c r="AE46" i="14"/>
  <c r="AE17" i="14"/>
  <c r="AE9" i="14"/>
  <c r="AE15" i="14"/>
  <c r="AE40" i="14"/>
  <c r="AE33" i="14"/>
  <c r="AE26" i="14"/>
  <c r="AE37" i="14"/>
  <c r="AE30" i="14"/>
  <c r="AE49" i="14"/>
  <c r="AE43" i="14"/>
  <c r="AE27" i="14"/>
  <c r="AE14" i="14"/>
  <c r="Z8" i="14"/>
  <c r="AE8" i="14" s="1"/>
  <c r="X8" i="14"/>
  <c r="BU61" i="16"/>
  <c r="BU64" i="16" s="1"/>
  <c r="DA74" i="16" s="1"/>
  <c r="CB101" i="16"/>
  <c r="AS61" i="16"/>
  <c r="AS64" i="16" s="1"/>
  <c r="CW61" i="16" s="1"/>
  <c r="AZ101" i="16"/>
  <c r="CB61" i="16"/>
  <c r="CB64" i="16" s="1"/>
  <c r="CI101" i="16"/>
  <c r="BN61" i="16"/>
  <c r="BN64" i="16" s="1"/>
  <c r="BU101" i="16"/>
  <c r="AL61" i="16"/>
  <c r="AL64" i="16" s="1"/>
  <c r="AS101" i="16"/>
  <c r="AE61" i="16"/>
  <c r="AE64" i="16" s="1"/>
  <c r="CU63" i="16" s="1"/>
  <c r="AL101" i="16"/>
  <c r="BG61" i="16"/>
  <c r="BG64" i="16" s="1"/>
  <c r="CY63" i="16" s="1"/>
  <c r="BN101" i="16"/>
  <c r="AZ61" i="16"/>
  <c r="AZ64" i="16" s="1"/>
  <c r="BG101" i="16"/>
  <c r="X50" i="14"/>
  <c r="X49" i="14"/>
  <c r="X24" i="14"/>
  <c r="X21" i="14"/>
  <c r="X11" i="14"/>
  <c r="X42" i="14"/>
  <c r="X45" i="14"/>
  <c r="X26" i="14"/>
  <c r="X19" i="14"/>
  <c r="X37" i="14"/>
  <c r="X13" i="14"/>
  <c r="X44" i="14"/>
  <c r="X16" i="14"/>
  <c r="X12" i="14"/>
  <c r="X39" i="14"/>
  <c r="X34" i="14"/>
  <c r="X40" i="14"/>
  <c r="X18" i="14"/>
  <c r="X41" i="14"/>
  <c r="X32" i="14"/>
  <c r="X23" i="14"/>
  <c r="X31" i="14"/>
  <c r="X25" i="14"/>
  <c r="X48" i="14"/>
  <c r="X33" i="14"/>
  <c r="X15" i="14"/>
  <c r="X30" i="14"/>
  <c r="X51" i="14"/>
  <c r="X27" i="14"/>
  <c r="X20" i="14"/>
  <c r="X9" i="14"/>
  <c r="X10" i="14"/>
  <c r="X29" i="14"/>
  <c r="X47" i="14"/>
  <c r="X38" i="14"/>
  <c r="X14" i="14"/>
  <c r="X17" i="14"/>
  <c r="X46" i="14"/>
  <c r="X22" i="14"/>
  <c r="X36" i="14"/>
  <c r="X28" i="14"/>
  <c r="X43" i="14"/>
  <c r="X35" i="14"/>
  <c r="CY10" i="16"/>
  <c r="X61" i="16"/>
  <c r="CZ18" i="16"/>
  <c r="DB36" i="16"/>
  <c r="DB20" i="16"/>
  <c r="CM158" i="16"/>
  <c r="CM159" i="16" s="1"/>
  <c r="AE95" i="16"/>
  <c r="AE96" i="16" s="1"/>
  <c r="X72" i="16"/>
  <c r="X73" i="16" s="1"/>
  <c r="CL157" i="16"/>
  <c r="CO157" i="16"/>
  <c r="X63" i="16"/>
  <c r="CK157" i="16"/>
  <c r="AL140" i="16"/>
  <c r="CU11" i="16"/>
  <c r="CW14" i="16"/>
  <c r="DA12" i="16"/>
  <c r="CX41" i="16"/>
  <c r="AZ134" i="16"/>
  <c r="CX13" i="16"/>
  <c r="CV10" i="16"/>
  <c r="DA39" i="16"/>
  <c r="CV13" i="16"/>
  <c r="DA43" i="16"/>
  <c r="CV14" i="16"/>
  <c r="CV30" i="16"/>
  <c r="DB14" i="16"/>
  <c r="CW11" i="16"/>
  <c r="CY13" i="16"/>
  <c r="DC10" i="16"/>
  <c r="DC30" i="16"/>
  <c r="CV9" i="16"/>
  <c r="AS134" i="16"/>
  <c r="DC44" i="16"/>
  <c r="DC41" i="16"/>
  <c r="DA21" i="16"/>
  <c r="CV38" i="16"/>
  <c r="DC27" i="16"/>
  <c r="CX43" i="16"/>
  <c r="CX36" i="16"/>
  <c r="CI8" i="16"/>
  <c r="DC8" i="16" s="1"/>
  <c r="DA41" i="16"/>
  <c r="AE134" i="16"/>
  <c r="CU35" i="16"/>
  <c r="CU42" i="16"/>
  <c r="CU10" i="16"/>
  <c r="CW44" i="16"/>
  <c r="CY44" i="16"/>
  <c r="DB10" i="16"/>
  <c r="CW12" i="16"/>
  <c r="CU23" i="16"/>
  <c r="CW39" i="16"/>
  <c r="DC37" i="16"/>
  <c r="DA26" i="16"/>
  <c r="CY41" i="16"/>
  <c r="CY39" i="16"/>
  <c r="CU13" i="16"/>
  <c r="DC35" i="16"/>
  <c r="CU12" i="16"/>
  <c r="DB12" i="16"/>
  <c r="CX12" i="16"/>
  <c r="DC11" i="16"/>
  <c r="CV11" i="16"/>
  <c r="CV26" i="16"/>
  <c r="CV18" i="16"/>
  <c r="CZ12" i="16"/>
  <c r="CV34" i="16"/>
  <c r="CY27" i="16"/>
  <c r="CX32" i="16"/>
  <c r="CX20" i="16"/>
  <c r="DC24" i="16"/>
  <c r="DA19" i="16"/>
  <c r="DA9" i="16"/>
  <c r="CV12" i="16"/>
  <c r="DA11" i="16"/>
  <c r="AL134" i="16"/>
  <c r="CV46" i="16"/>
  <c r="CV43" i="16"/>
  <c r="CV22" i="16"/>
  <c r="CX14" i="16"/>
  <c r="CV41" i="16"/>
  <c r="CX28" i="16"/>
  <c r="DC14" i="16"/>
  <c r="DC21" i="16"/>
  <c r="DB9" i="16"/>
  <c r="DA24" i="16"/>
  <c r="DA35" i="16"/>
  <c r="DA13" i="16"/>
  <c r="BN134" i="16"/>
  <c r="BU134" i="16"/>
  <c r="DA46" i="16"/>
  <c r="DA33" i="16"/>
  <c r="DA25" i="16"/>
  <c r="DA42" i="16"/>
  <c r="CZ41" i="16"/>
  <c r="DC18" i="16"/>
  <c r="DC34" i="16"/>
  <c r="DC38" i="16"/>
  <c r="DC28" i="16"/>
  <c r="DC25" i="16"/>
  <c r="CI113" i="16"/>
  <c r="CI116" i="16" s="1"/>
  <c r="DA28" i="16"/>
  <c r="DA44" i="16"/>
  <c r="DA30" i="16"/>
  <c r="DA23" i="16"/>
  <c r="BU135" i="16"/>
  <c r="CI134" i="16"/>
  <c r="DC46" i="16"/>
  <c r="CU44" i="16"/>
  <c r="DB42" i="16"/>
  <c r="CU41" i="16"/>
  <c r="CZ14" i="16"/>
  <c r="CU9" i="16"/>
  <c r="CZ34" i="16"/>
  <c r="DC12" i="16"/>
  <c r="DC31" i="16"/>
  <c r="CU27" i="16"/>
  <c r="CU19" i="16"/>
  <c r="DC9" i="16"/>
  <c r="CX10" i="16"/>
  <c r="DC22" i="16"/>
  <c r="DC6" i="16"/>
  <c r="DC43" i="16"/>
  <c r="DC32" i="16"/>
  <c r="DC29" i="16"/>
  <c r="CI135" i="16"/>
  <c r="CX9" i="16"/>
  <c r="DA7" i="16"/>
  <c r="BU8" i="16"/>
  <c r="BU16" i="16" s="1"/>
  <c r="DA32" i="16"/>
  <c r="DA18" i="16"/>
  <c r="DA34" i="16"/>
  <c r="DA27" i="16"/>
  <c r="BU113" i="16"/>
  <c r="BU116" i="16" s="1"/>
  <c r="DC39" i="16"/>
  <c r="DC19" i="16"/>
  <c r="CX46" i="16"/>
  <c r="CX44" i="16"/>
  <c r="DA14" i="16"/>
  <c r="CU46" i="16"/>
  <c r="CX42" i="16"/>
  <c r="DA37" i="16"/>
  <c r="DA29" i="16"/>
  <c r="CX11" i="16"/>
  <c r="DB41" i="16"/>
  <c r="CU39" i="16"/>
  <c r="DC23" i="16"/>
  <c r="DC42" i="16"/>
  <c r="CX38" i="16"/>
  <c r="DB32" i="16"/>
  <c r="DC13" i="16"/>
  <c r="DC26" i="16"/>
  <c r="DC7" i="16"/>
  <c r="DC20" i="16"/>
  <c r="DC36" i="16"/>
  <c r="DA20" i="16"/>
  <c r="DA36" i="16"/>
  <c r="DA22" i="16"/>
  <c r="DA38" i="16"/>
  <c r="DA31" i="16"/>
  <c r="CK118" i="16"/>
  <c r="CK16" i="16"/>
  <c r="CO138" i="16"/>
  <c r="CO140" i="16" s="1"/>
  <c r="CO158" i="16" s="1"/>
  <c r="CO159" i="16" s="1"/>
  <c r="CO119" i="16"/>
  <c r="CO120" i="16"/>
  <c r="AS135" i="16"/>
  <c r="AS113" i="16"/>
  <c r="AS116" i="16" s="1"/>
  <c r="CW35" i="16"/>
  <c r="CW31" i="16"/>
  <c r="CW27" i="16"/>
  <c r="CW23" i="16"/>
  <c r="CW19" i="16"/>
  <c r="CW38" i="16"/>
  <c r="CW34" i="16"/>
  <c r="CW30" i="16"/>
  <c r="CW26" i="16"/>
  <c r="CW22" i="16"/>
  <c r="CW18" i="16"/>
  <c r="CW41" i="16"/>
  <c r="CW36" i="16"/>
  <c r="CW32" i="16"/>
  <c r="CW28" i="16"/>
  <c r="CW24" i="16"/>
  <c r="CW20" i="16"/>
  <c r="CW6" i="16"/>
  <c r="AS8" i="16"/>
  <c r="CW29" i="16"/>
  <c r="CY31" i="16"/>
  <c r="BN113" i="16"/>
  <c r="BN116" i="16" s="1"/>
  <c r="BN135" i="16"/>
  <c r="CZ36" i="16"/>
  <c r="CZ32" i="16"/>
  <c r="CZ28" i="16"/>
  <c r="CZ24" i="16"/>
  <c r="CZ20" i="16"/>
  <c r="CZ39" i="16"/>
  <c r="CZ35" i="16"/>
  <c r="CZ31" i="16"/>
  <c r="CZ27" i="16"/>
  <c r="CZ23" i="16"/>
  <c r="CZ19" i="16"/>
  <c r="BN8" i="16"/>
  <c r="CZ46" i="16"/>
  <c r="CZ44" i="16"/>
  <c r="CZ42" i="16"/>
  <c r="CZ6" i="16"/>
  <c r="CZ37" i="16"/>
  <c r="CZ33" i="16"/>
  <c r="CZ29" i="16"/>
  <c r="CZ25" i="16"/>
  <c r="CZ21" i="16"/>
  <c r="CZ7" i="16"/>
  <c r="CZ9" i="16"/>
  <c r="CW37" i="16"/>
  <c r="CW21" i="16"/>
  <c r="CZ26" i="16"/>
  <c r="CY23" i="16"/>
  <c r="CZ13" i="16"/>
  <c r="DB11" i="16"/>
  <c r="CN138" i="16"/>
  <c r="CN140" i="16" s="1"/>
  <c r="CN120" i="16"/>
  <c r="CN119" i="16"/>
  <c r="AZ135" i="16"/>
  <c r="AZ113" i="16"/>
  <c r="AZ116" i="16" s="1"/>
  <c r="CX34" i="16"/>
  <c r="CX30" i="16"/>
  <c r="CX26" i="16"/>
  <c r="CX22" i="16"/>
  <c r="CX18" i="16"/>
  <c r="CX37" i="16"/>
  <c r="CX33" i="16"/>
  <c r="CX29" i="16"/>
  <c r="CX25" i="16"/>
  <c r="CX21" i="16"/>
  <c r="CX39" i="16"/>
  <c r="CX7" i="16"/>
  <c r="AZ8" i="16"/>
  <c r="CX6" i="16"/>
  <c r="CX35" i="16"/>
  <c r="CX31" i="16"/>
  <c r="CX27" i="16"/>
  <c r="CX23" i="16"/>
  <c r="CX19" i="16"/>
  <c r="CY11" i="16"/>
  <c r="CW9" i="16"/>
  <c r="AL135" i="16"/>
  <c r="AL113" i="16"/>
  <c r="AL116" i="16" s="1"/>
  <c r="CV36" i="16"/>
  <c r="CV32" i="16"/>
  <c r="CV28" i="16"/>
  <c r="CV24" i="16"/>
  <c r="CV20" i="16"/>
  <c r="CV39" i="16"/>
  <c r="CV35" i="16"/>
  <c r="CV31" i="16"/>
  <c r="CV27" i="16"/>
  <c r="CV23" i="16"/>
  <c r="CV19" i="16"/>
  <c r="AL8" i="16"/>
  <c r="CV44" i="16"/>
  <c r="CV42" i="16"/>
  <c r="CV6" i="16"/>
  <c r="CV37" i="16"/>
  <c r="CV33" i="16"/>
  <c r="CV29" i="16"/>
  <c r="CV25" i="16"/>
  <c r="CV21" i="16"/>
  <c r="CV7" i="16"/>
  <c r="BG108" i="16"/>
  <c r="CM121" i="16"/>
  <c r="CM130" i="16"/>
  <c r="CM129" i="16"/>
  <c r="BG135" i="16"/>
  <c r="BG113" i="16"/>
  <c r="BG116" i="16" s="1"/>
  <c r="CY37" i="16"/>
  <c r="CY33" i="16"/>
  <c r="CY29" i="16"/>
  <c r="CY25" i="16"/>
  <c r="CY21" i="16"/>
  <c r="CY36" i="16"/>
  <c r="CY32" i="16"/>
  <c r="CY28" i="16"/>
  <c r="CY24" i="16"/>
  <c r="CY20" i="16"/>
  <c r="CY43" i="16"/>
  <c r="CY38" i="16"/>
  <c r="CY14" i="16"/>
  <c r="CY7" i="16"/>
  <c r="BG8" i="16"/>
  <c r="CY6" i="16"/>
  <c r="CY34" i="16"/>
  <c r="CY30" i="16"/>
  <c r="CY26" i="16"/>
  <c r="CY22" i="16"/>
  <c r="CY18" i="16"/>
  <c r="CJ157" i="16"/>
  <c r="CJ158" i="16" s="1"/>
  <c r="CJ159" i="16" s="1"/>
  <c r="BG134" i="16"/>
  <c r="CY46" i="16"/>
  <c r="CY9" i="16"/>
  <c r="CY12" i="16"/>
  <c r="CB135" i="16"/>
  <c r="CB134" i="16"/>
  <c r="CB113" i="16"/>
  <c r="CB116" i="16" s="1"/>
  <c r="DB46" i="16"/>
  <c r="DB34" i="16"/>
  <c r="DB30" i="16"/>
  <c r="DB26" i="16"/>
  <c r="DB22" i="16"/>
  <c r="DB18" i="16"/>
  <c r="DB44" i="16"/>
  <c r="DB37" i="16"/>
  <c r="DB33" i="16"/>
  <c r="DB29" i="16"/>
  <c r="DB25" i="16"/>
  <c r="DB21" i="16"/>
  <c r="DB39" i="16"/>
  <c r="CB8" i="16"/>
  <c r="DB7" i="16"/>
  <c r="DB35" i="16"/>
  <c r="DB31" i="16"/>
  <c r="DB27" i="16"/>
  <c r="DB23" i="16"/>
  <c r="DB19" i="16"/>
  <c r="DB6" i="16"/>
  <c r="X8" i="16"/>
  <c r="CW10" i="16"/>
  <c r="CN157" i="16"/>
  <c r="BN140" i="16"/>
  <c r="CW46" i="16"/>
  <c r="CI109" i="16"/>
  <c r="CI108" i="16"/>
  <c r="DC63" i="16"/>
  <c r="CJ130" i="16"/>
  <c r="CJ129" i="16"/>
  <c r="CJ121" i="16"/>
  <c r="CW43" i="16"/>
  <c r="CW33" i="16"/>
  <c r="CZ43" i="16"/>
  <c r="CW42" i="16"/>
  <c r="CZ38" i="16"/>
  <c r="CZ22" i="16"/>
  <c r="CL118" i="16"/>
  <c r="CL16" i="16"/>
  <c r="CY35" i="16"/>
  <c r="CY19" i="16"/>
  <c r="DB43" i="16"/>
  <c r="CY42" i="16"/>
  <c r="DB38" i="16"/>
  <c r="DB24" i="16"/>
  <c r="DB13" i="16"/>
  <c r="CW13" i="16"/>
  <c r="CZ10" i="16"/>
  <c r="CJ118" i="16"/>
  <c r="CJ16" i="16"/>
  <c r="CW7" i="16"/>
  <c r="CZ11" i="16"/>
  <c r="CP16" i="16"/>
  <c r="CP45" i="16" s="1"/>
  <c r="CN118" i="16"/>
  <c r="CN16" i="16"/>
  <c r="AE135" i="16"/>
  <c r="AE113" i="16"/>
  <c r="AE116" i="16" s="1"/>
  <c r="CU37" i="16"/>
  <c r="CU33" i="16"/>
  <c r="CU29" i="16"/>
  <c r="CU25" i="16"/>
  <c r="CU21" i="16"/>
  <c r="CU36" i="16"/>
  <c r="CU32" i="16"/>
  <c r="CU28" i="16"/>
  <c r="CU24" i="16"/>
  <c r="CU20" i="16"/>
  <c r="CU43" i="16"/>
  <c r="CU38" i="16"/>
  <c r="CU34" i="16"/>
  <c r="CU30" i="16"/>
  <c r="CU26" i="16"/>
  <c r="CU22" i="16"/>
  <c r="CU18" i="16"/>
  <c r="CU7" i="16"/>
  <c r="CU14" i="16"/>
  <c r="CU6" i="16"/>
  <c r="AE8" i="16"/>
  <c r="AZ71" i="16" l="1"/>
  <c r="J6" i="3" s="1"/>
  <c r="AS97" i="16"/>
  <c r="E11" i="3"/>
  <c r="BU45" i="16"/>
  <c r="F9" i="3"/>
  <c r="AS72" i="16"/>
  <c r="AS73" i="16" s="1"/>
  <c r="BG71" i="16"/>
  <c r="CI107" i="16"/>
  <c r="BG107" i="16"/>
  <c r="BU109" i="16"/>
  <c r="BU107" i="16"/>
  <c r="AL109" i="16"/>
  <c r="AL107" i="16"/>
  <c r="AL108" i="16"/>
  <c r="AS109" i="16"/>
  <c r="BU108" i="16"/>
  <c r="AZ108" i="16"/>
  <c r="CB107" i="16"/>
  <c r="AS108" i="16"/>
  <c r="BG109" i="16"/>
  <c r="AS107" i="16"/>
  <c r="Z52" i="14"/>
  <c r="AE52" i="14"/>
  <c r="BN107" i="16"/>
  <c r="BN108" i="16"/>
  <c r="BN109" i="16"/>
  <c r="AZ72" i="16"/>
  <c r="AZ73" i="16" s="1"/>
  <c r="CI16" i="16"/>
  <c r="DC16" i="16" s="1"/>
  <c r="CB109" i="16"/>
  <c r="DB66" i="16"/>
  <c r="CB108" i="16"/>
  <c r="CX63" i="16"/>
  <c r="AZ107" i="16"/>
  <c r="AZ109" i="16"/>
  <c r="X64" i="16"/>
  <c r="AE108" i="16"/>
  <c r="DB68" i="16"/>
  <c r="AE107" i="16"/>
  <c r="AE109" i="16"/>
  <c r="DB58" i="16"/>
  <c r="DB60" i="16"/>
  <c r="DB61" i="16"/>
  <c r="CW63" i="16"/>
  <c r="AE97" i="16"/>
  <c r="AE142" i="16"/>
  <c r="AE146" i="16" s="1"/>
  <c r="AE72" i="16"/>
  <c r="AE73" i="16" s="1"/>
  <c r="AE128" i="16" s="1"/>
  <c r="CU74" i="16"/>
  <c r="CU61" i="16"/>
  <c r="CI119" i="16"/>
  <c r="BU119" i="16"/>
  <c r="DA63" i="16"/>
  <c r="DA8" i="16"/>
  <c r="DA61" i="16"/>
  <c r="BU121" i="16"/>
  <c r="BU120" i="16"/>
  <c r="DA16" i="16"/>
  <c r="CV76" i="16"/>
  <c r="CV69" i="16"/>
  <c r="CV68" i="16"/>
  <c r="CV67" i="16"/>
  <c r="CV66" i="16"/>
  <c r="CV65" i="16"/>
  <c r="CV64" i="16"/>
  <c r="CV75" i="16"/>
  <c r="CV60" i="16"/>
  <c r="CV58" i="16"/>
  <c r="CV51" i="16"/>
  <c r="CV70" i="16"/>
  <c r="CN158" i="16"/>
  <c r="CN159" i="16" s="1"/>
  <c r="CK138" i="16"/>
  <c r="CK140" i="16" s="1"/>
  <c r="CK158" i="16" s="1"/>
  <c r="CK159" i="16" s="1"/>
  <c r="CK119" i="16"/>
  <c r="CK120" i="16"/>
  <c r="CB119" i="16"/>
  <c r="CB16" i="16"/>
  <c r="DB8" i="16"/>
  <c r="CV74" i="16"/>
  <c r="DC75" i="16"/>
  <c r="DC69" i="16"/>
  <c r="DC68" i="16"/>
  <c r="DC65" i="16"/>
  <c r="DC58" i="16"/>
  <c r="DC76" i="16"/>
  <c r="DC64" i="16"/>
  <c r="DC67" i="16"/>
  <c r="DC66" i="16"/>
  <c r="DC60" i="16"/>
  <c r="DC70" i="16"/>
  <c r="DC51" i="16"/>
  <c r="DC62" i="16"/>
  <c r="CV61" i="16"/>
  <c r="X16" i="16"/>
  <c r="BG119" i="16"/>
  <c r="CY8" i="16"/>
  <c r="BG16" i="16"/>
  <c r="CY69" i="16"/>
  <c r="CY68" i="16"/>
  <c r="CY64" i="16"/>
  <c r="CY67" i="16"/>
  <c r="CY76" i="16"/>
  <c r="CY66" i="16"/>
  <c r="CY60" i="16"/>
  <c r="CY75" i="16"/>
  <c r="CY65" i="16"/>
  <c r="CY58" i="16"/>
  <c r="CY62" i="16"/>
  <c r="CY70" i="16"/>
  <c r="CY51" i="16"/>
  <c r="DC74" i="16"/>
  <c r="CV62" i="16"/>
  <c r="AS119" i="16"/>
  <c r="AS16" i="16"/>
  <c r="CW8" i="16"/>
  <c r="AE119" i="16"/>
  <c r="CU8" i="16"/>
  <c r="AE16" i="16"/>
  <c r="CL138" i="16"/>
  <c r="CL140" i="16" s="1"/>
  <c r="CL158" i="16" s="1"/>
  <c r="CL159" i="16" s="1"/>
  <c r="CL120" i="16"/>
  <c r="CL119" i="16"/>
  <c r="AL119" i="16"/>
  <c r="AL16" i="16"/>
  <c r="CV8" i="16"/>
  <c r="DA76" i="16"/>
  <c r="DA75" i="16"/>
  <c r="DA67" i="16"/>
  <c r="DA60" i="16"/>
  <c r="DA69" i="16"/>
  <c r="DA66" i="16"/>
  <c r="DA58" i="16"/>
  <c r="DA65" i="16"/>
  <c r="DA70" i="16"/>
  <c r="DA68" i="16"/>
  <c r="DA64" i="16"/>
  <c r="DA62" i="16"/>
  <c r="DA51" i="16"/>
  <c r="BN119" i="16"/>
  <c r="BN16" i="16"/>
  <c r="CZ8" i="16"/>
  <c r="CU76" i="16"/>
  <c r="CU69" i="16"/>
  <c r="CU75" i="16"/>
  <c r="CU67" i="16"/>
  <c r="CU66" i="16"/>
  <c r="CU60" i="16"/>
  <c r="CU65" i="16"/>
  <c r="CU58" i="16"/>
  <c r="CU68" i="16"/>
  <c r="CU64" i="16"/>
  <c r="CU62" i="16"/>
  <c r="CU71" i="16"/>
  <c r="CU51" i="16"/>
  <c r="CU70" i="16"/>
  <c r="CW76" i="16"/>
  <c r="CW75" i="16"/>
  <c r="CW66" i="16"/>
  <c r="CW58" i="16"/>
  <c r="CW65" i="16"/>
  <c r="CW68" i="16"/>
  <c r="CW64" i="16"/>
  <c r="CW69" i="16"/>
  <c r="CW67" i="16"/>
  <c r="CW60" i="16"/>
  <c r="CW62" i="16"/>
  <c r="CW51" i="16"/>
  <c r="CW70" i="16"/>
  <c r="DC61" i="16"/>
  <c r="CY61" i="16"/>
  <c r="CY74" i="16"/>
  <c r="AZ119" i="16"/>
  <c r="AZ16" i="16"/>
  <c r="CX8" i="16"/>
  <c r="CN130" i="16"/>
  <c r="CN121" i="16"/>
  <c r="CN129" i="16"/>
  <c r="CW74" i="16"/>
  <c r="CV63" i="16"/>
  <c r="CO129" i="16"/>
  <c r="CO130" i="16"/>
  <c r="CO121" i="16"/>
  <c r="AZ97" i="16" l="1"/>
  <c r="BG45" i="16"/>
  <c r="F7" i="3"/>
  <c r="AZ45" i="16"/>
  <c r="F6" i="3"/>
  <c r="CB45" i="16"/>
  <c r="F10" i="3"/>
  <c r="BN71" i="16"/>
  <c r="J7" i="3"/>
  <c r="BN45" i="16"/>
  <c r="F8" i="3"/>
  <c r="F4" i="3"/>
  <c r="AL45" i="16"/>
  <c r="AL47" i="16" s="1"/>
  <c r="H4" i="3" s="1"/>
  <c r="AE45" i="16"/>
  <c r="F3" i="3"/>
  <c r="AS45" i="16"/>
  <c r="F5" i="3"/>
  <c r="X45" i="16"/>
  <c r="F2" i="3"/>
  <c r="CI45" i="16"/>
  <c r="CI138" i="16" s="1"/>
  <c r="F11" i="3"/>
  <c r="CI121" i="16"/>
  <c r="CI130" i="16" s="1"/>
  <c r="CI120" i="16"/>
  <c r="BG97" i="16"/>
  <c r="BG72" i="16"/>
  <c r="BG73" i="16" s="1"/>
  <c r="CX60" i="16"/>
  <c r="DB76" i="16"/>
  <c r="DB74" i="16"/>
  <c r="DB70" i="16"/>
  <c r="DB75" i="16"/>
  <c r="CX70" i="16"/>
  <c r="CX64" i="16"/>
  <c r="CX61" i="16"/>
  <c r="DB69" i="16"/>
  <c r="DB67" i="16"/>
  <c r="DB65" i="16"/>
  <c r="DB63" i="16"/>
  <c r="DB64" i="16"/>
  <c r="CX51" i="16"/>
  <c r="CX75" i="16"/>
  <c r="CX67" i="16"/>
  <c r="CX66" i="16"/>
  <c r="CX68" i="16"/>
  <c r="CX74" i="16"/>
  <c r="CX76" i="16"/>
  <c r="CX65" i="16"/>
  <c r="CX62" i="16"/>
  <c r="CX69" i="16"/>
  <c r="CX58" i="16"/>
  <c r="DB51" i="16"/>
  <c r="DB62" i="16"/>
  <c r="CU73" i="16"/>
  <c r="AL142" i="16"/>
  <c r="AL146" i="16" s="1"/>
  <c r="CV71" i="16"/>
  <c r="CU72" i="16"/>
  <c r="BU47" i="16"/>
  <c r="DA45" i="16"/>
  <c r="BU138" i="16"/>
  <c r="CZ69" i="16"/>
  <c r="CZ68" i="16"/>
  <c r="CZ67" i="16"/>
  <c r="CZ66" i="16"/>
  <c r="CZ65" i="16"/>
  <c r="CZ64" i="16"/>
  <c r="CZ76" i="16"/>
  <c r="CZ60" i="16"/>
  <c r="CZ75" i="16"/>
  <c r="CZ58" i="16"/>
  <c r="CZ51" i="16"/>
  <c r="CZ70" i="16"/>
  <c r="CZ61" i="16"/>
  <c r="CZ62" i="16"/>
  <c r="AZ120" i="16"/>
  <c r="AZ121" i="16"/>
  <c r="CX16" i="16"/>
  <c r="BN120" i="16"/>
  <c r="BN121" i="16"/>
  <c r="CZ16" i="16"/>
  <c r="CL121" i="16"/>
  <c r="CL130" i="16"/>
  <c r="CL129" i="16"/>
  <c r="BG121" i="16"/>
  <c r="BG120" i="16"/>
  <c r="CY16" i="16"/>
  <c r="CK129" i="16"/>
  <c r="CK121" i="16"/>
  <c r="CK130" i="16"/>
  <c r="CZ63" i="16"/>
  <c r="AL120" i="16"/>
  <c r="AL121" i="16"/>
  <c r="CV16" i="16"/>
  <c r="AE121" i="16"/>
  <c r="AE120" i="16"/>
  <c r="CU16" i="16"/>
  <c r="AS121" i="16"/>
  <c r="AS120" i="16"/>
  <c r="CW16" i="16"/>
  <c r="CZ74" i="16"/>
  <c r="CB121" i="16"/>
  <c r="CB120" i="16"/>
  <c r="DB16" i="16"/>
  <c r="BU122" i="16"/>
  <c r="BU131" i="16"/>
  <c r="BU130" i="16"/>
  <c r="BU71" i="16" l="1"/>
  <c r="J8" i="3"/>
  <c r="BU77" i="16"/>
  <c r="H9" i="3"/>
  <c r="G11" i="3"/>
  <c r="CI122" i="16"/>
  <c r="CI131" i="16"/>
  <c r="DC45" i="16"/>
  <c r="CI47" i="16"/>
  <c r="BU85" i="16"/>
  <c r="BU94" i="16" s="1"/>
  <c r="BN97" i="16"/>
  <c r="BN72" i="16"/>
  <c r="BN73" i="16" s="1"/>
  <c r="CW71" i="16"/>
  <c r="AS142" i="16"/>
  <c r="AS146" i="16" s="1"/>
  <c r="CV72" i="16"/>
  <c r="AL77" i="16"/>
  <c r="CV45" i="16"/>
  <c r="AL138" i="16"/>
  <c r="BN122" i="16"/>
  <c r="BN131" i="16"/>
  <c r="BN130" i="16"/>
  <c r="AS47" i="16"/>
  <c r="CW45" i="16"/>
  <c r="AS138" i="16"/>
  <c r="AE131" i="16"/>
  <c r="AE122" i="16"/>
  <c r="AE130" i="16"/>
  <c r="BG47" i="16"/>
  <c r="CY45" i="16"/>
  <c r="BG138" i="16"/>
  <c r="AZ122" i="16"/>
  <c r="AZ131" i="16"/>
  <c r="AZ130" i="16"/>
  <c r="AE47" i="16"/>
  <c r="H3" i="3" s="1"/>
  <c r="CU45" i="16"/>
  <c r="AE138" i="16"/>
  <c r="X47" i="16"/>
  <c r="H2" i="3" s="1"/>
  <c r="I3" i="3" s="1"/>
  <c r="BG131" i="16"/>
  <c r="BG122" i="16"/>
  <c r="BG130" i="16"/>
  <c r="BN47" i="16"/>
  <c r="CZ45" i="16"/>
  <c r="BN138" i="16"/>
  <c r="BU139" i="16"/>
  <c r="BU141" i="16" s="1"/>
  <c r="CB122" i="16"/>
  <c r="CB131" i="16"/>
  <c r="CB130" i="16"/>
  <c r="AS131" i="16"/>
  <c r="AS122" i="16"/>
  <c r="AS130" i="16"/>
  <c r="CX45" i="16"/>
  <c r="AZ47" i="16"/>
  <c r="AZ138" i="16"/>
  <c r="CB47" i="16"/>
  <c r="DB45" i="16"/>
  <c r="CB138" i="16"/>
  <c r="CI139" i="16"/>
  <c r="CI141" i="16" s="1"/>
  <c r="AL122" i="16"/>
  <c r="AL131" i="16"/>
  <c r="AL130" i="16"/>
  <c r="BU123" i="16"/>
  <c r="BU124" i="16"/>
  <c r="DA47" i="16"/>
  <c r="AZ77" i="16" l="1"/>
  <c r="H6" i="3"/>
  <c r="BG77" i="16"/>
  <c r="H7" i="3"/>
  <c r="CB71" i="16"/>
  <c r="J9" i="3"/>
  <c r="CB77" i="16"/>
  <c r="H10" i="3"/>
  <c r="AS77" i="16"/>
  <c r="H5" i="3"/>
  <c r="BN77" i="16"/>
  <c r="H8" i="3"/>
  <c r="I4" i="3"/>
  <c r="I5" i="3" s="1"/>
  <c r="H11" i="3"/>
  <c r="CP47" i="16"/>
  <c r="CP77" i="16" s="1"/>
  <c r="CP79" i="16" s="1"/>
  <c r="CI85" i="16"/>
  <c r="CI94" i="16" s="1"/>
  <c r="CI77" i="16"/>
  <c r="DC77" i="16" s="1"/>
  <c r="DC47" i="16"/>
  <c r="CI124" i="16"/>
  <c r="CI123" i="16"/>
  <c r="AZ85" i="16"/>
  <c r="AZ94" i="16" s="1"/>
  <c r="AS85" i="16"/>
  <c r="AS94" i="16" s="1"/>
  <c r="BN85" i="16"/>
  <c r="BN94" i="16" s="1"/>
  <c r="CB85" i="16"/>
  <c r="CB94" i="16" s="1"/>
  <c r="BG85" i="16"/>
  <c r="BG94" i="16" s="1"/>
  <c r="AL85" i="16"/>
  <c r="AL94" i="16" s="1"/>
  <c r="BU97" i="16"/>
  <c r="BU72" i="16"/>
  <c r="BU73" i="16" s="1"/>
  <c r="AS147" i="16"/>
  <c r="AZ142" i="16"/>
  <c r="AZ146" i="16" s="1"/>
  <c r="AZ147" i="16" s="1"/>
  <c r="CX71" i="16"/>
  <c r="CV73" i="16"/>
  <c r="AL128" i="16"/>
  <c r="CW72" i="16"/>
  <c r="DA77" i="16"/>
  <c r="CB139" i="16"/>
  <c r="CB141" i="16" s="1"/>
  <c r="CX47" i="16"/>
  <c r="AZ123" i="16"/>
  <c r="AZ124" i="16"/>
  <c r="AE147" i="16"/>
  <c r="AE139" i="16"/>
  <c r="AE141" i="16" s="1"/>
  <c r="AS123" i="16"/>
  <c r="AS124" i="16"/>
  <c r="CW47" i="16"/>
  <c r="AL139" i="16"/>
  <c r="AL141" i="16" s="1"/>
  <c r="AL147" i="16"/>
  <c r="BN124" i="16"/>
  <c r="BN123" i="16"/>
  <c r="CZ47" i="16"/>
  <c r="BG139" i="16"/>
  <c r="BG141" i="16" s="1"/>
  <c r="CB124" i="16"/>
  <c r="DB47" i="16"/>
  <c r="CB123" i="16"/>
  <c r="X77" i="16"/>
  <c r="AE78" i="16" s="1"/>
  <c r="AE123" i="16"/>
  <c r="AE77" i="16"/>
  <c r="AE124" i="16"/>
  <c r="AE85" i="16"/>
  <c r="AE94" i="16" s="1"/>
  <c r="CU47" i="16"/>
  <c r="AS139" i="16"/>
  <c r="AS141" i="16" s="1"/>
  <c r="AL124" i="16"/>
  <c r="AL123" i="16"/>
  <c r="CV47" i="16"/>
  <c r="AZ139" i="16"/>
  <c r="AZ141" i="16" s="1"/>
  <c r="BN139" i="16"/>
  <c r="BN141" i="16" s="1"/>
  <c r="BG123" i="16"/>
  <c r="BG124" i="16"/>
  <c r="CY47" i="16"/>
  <c r="I6" i="3" l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AL78" i="16"/>
  <c r="AS78" i="16" s="1"/>
  <c r="AZ78" i="16" s="1"/>
  <c r="BG78" i="16" s="1"/>
  <c r="BN78" i="16" s="1"/>
  <c r="BU78" i="16" s="1"/>
  <c r="CB78" i="16" s="1"/>
  <c r="CI78" i="16" s="1"/>
  <c r="J78" i="24" s="1"/>
  <c r="CI71" i="16"/>
  <c r="J10" i="3"/>
  <c r="AE98" i="16"/>
  <c r="CB97" i="16"/>
  <c r="CB72" i="16"/>
  <c r="CB73" i="16" s="1"/>
  <c r="CW73" i="16"/>
  <c r="AS128" i="16"/>
  <c r="CX72" i="16"/>
  <c r="BG142" i="16"/>
  <c r="BG146" i="16" s="1"/>
  <c r="BG147" i="16" s="1"/>
  <c r="CY71" i="16"/>
  <c r="CZ77" i="16"/>
  <c r="CX77" i="16"/>
  <c r="CV77" i="16"/>
  <c r="CU77" i="16"/>
  <c r="CY77" i="16"/>
  <c r="DB77" i="16"/>
  <c r="CW77" i="16"/>
  <c r="Q78" i="24" l="1"/>
  <c r="X78" i="24" s="1"/>
  <c r="AE78" i="24" s="1"/>
  <c r="AL78" i="24" s="1"/>
  <c r="AS78" i="24" s="1"/>
  <c r="AZ78" i="24" s="1"/>
  <c r="BG78" i="24" s="1"/>
  <c r="BN78" i="24" s="1"/>
  <c r="BU78" i="24" s="1"/>
  <c r="CB78" i="24" s="1"/>
  <c r="CI78" i="24" s="1"/>
  <c r="CQ86" i="24" s="1"/>
  <c r="CR85" i="24" s="1"/>
  <c r="CP78" i="24"/>
  <c r="CP79" i="24" s="1"/>
  <c r="J11" i="3"/>
  <c r="CP71" i="16"/>
  <c r="J71" i="24"/>
  <c r="X79" i="16"/>
  <c r="X80" i="16" s="1"/>
  <c r="CI97" i="16"/>
  <c r="CI72" i="16"/>
  <c r="CI73" i="16" s="1"/>
  <c r="CY72" i="16"/>
  <c r="BN142" i="16"/>
  <c r="BN146" i="16" s="1"/>
  <c r="BN147" i="16" s="1"/>
  <c r="CZ71" i="16"/>
  <c r="CX73" i="16"/>
  <c r="AZ128" i="16"/>
  <c r="J142" i="24" l="1"/>
  <c r="J146" i="24" s="1"/>
  <c r="J147" i="24" s="1"/>
  <c r="J12" i="3"/>
  <c r="J97" i="24"/>
  <c r="Q71" i="24"/>
  <c r="J72" i="24"/>
  <c r="J73" i="24" s="1"/>
  <c r="CP72" i="16"/>
  <c r="CP73" i="16" s="1"/>
  <c r="CP80" i="16" s="1"/>
  <c r="CP81" i="16" s="1"/>
  <c r="J73" i="9"/>
  <c r="J78" i="28"/>
  <c r="CP78" i="28" s="1"/>
  <c r="CP79" i="28" s="1"/>
  <c r="CQ83" i="24"/>
  <c r="CR83" i="24" s="1"/>
  <c r="BG128" i="16"/>
  <c r="CY73" i="16"/>
  <c r="CZ72" i="16"/>
  <c r="BU142" i="16"/>
  <c r="BU146" i="16" s="1"/>
  <c r="BU147" i="16" s="1"/>
  <c r="DA71" i="16"/>
  <c r="J13" i="3" l="1"/>
  <c r="X71" i="24"/>
  <c r="Q72" i="24"/>
  <c r="CS71" i="24"/>
  <c r="Q142" i="24"/>
  <c r="Q146" i="24" s="1"/>
  <c r="Q147" i="24" s="1"/>
  <c r="Q97" i="24"/>
  <c r="J74" i="9"/>
  <c r="J75" i="9" s="1"/>
  <c r="Q73" i="9"/>
  <c r="J144" i="9"/>
  <c r="DB71" i="16"/>
  <c r="CB142" i="16"/>
  <c r="CB146" i="16" s="1"/>
  <c r="CB147" i="16" s="1"/>
  <c r="DA72" i="16"/>
  <c r="BN128" i="16"/>
  <c r="CZ73" i="16"/>
  <c r="X73" i="9" l="1"/>
  <c r="Q144" i="9"/>
  <c r="Q74" i="9"/>
  <c r="Q75" i="9" s="1"/>
  <c r="Q99" i="9"/>
  <c r="Q101" i="9" s="1"/>
  <c r="Q102" i="9" s="1"/>
  <c r="Q104" i="9" s="1"/>
  <c r="Q105" i="9" s="1"/>
  <c r="J130" i="9"/>
  <c r="J82" i="9"/>
  <c r="J83" i="9" s="1"/>
  <c r="J131" i="9"/>
  <c r="CS72" i="24"/>
  <c r="Q73" i="24"/>
  <c r="J14" i="3"/>
  <c r="AE71" i="24"/>
  <c r="CT71" i="24"/>
  <c r="X142" i="24"/>
  <c r="X146" i="24" s="1"/>
  <c r="X147" i="24" s="1"/>
  <c r="X72" i="24"/>
  <c r="X97" i="24"/>
  <c r="J148" i="9"/>
  <c r="J149" i="9" s="1"/>
  <c r="J151" i="9"/>
  <c r="J158" i="9" s="1"/>
  <c r="J159" i="9" s="1"/>
  <c r="J147" i="9"/>
  <c r="J146" i="9"/>
  <c r="Q78" i="28"/>
  <c r="X78" i="28" s="1"/>
  <c r="AE78" i="28" s="1"/>
  <c r="AL78" i="28" s="1"/>
  <c r="AS78" i="28" s="1"/>
  <c r="AZ78" i="28" s="1"/>
  <c r="BG78" i="28" s="1"/>
  <c r="BN78" i="28" s="1"/>
  <c r="BU78" i="28" s="1"/>
  <c r="CB78" i="28" s="1"/>
  <c r="CI78" i="28" s="1"/>
  <c r="J78" i="29" s="1"/>
  <c r="CP78" i="29" s="1"/>
  <c r="CP79" i="29" s="1"/>
  <c r="CI98" i="24"/>
  <c r="DC71" i="16"/>
  <c r="CI142" i="16"/>
  <c r="CI146" i="16" s="1"/>
  <c r="CI147" i="16" s="1"/>
  <c r="BU128" i="16"/>
  <c r="DA73" i="16"/>
  <c r="DB72" i="16"/>
  <c r="X81" i="16"/>
  <c r="Q128" i="24" l="1"/>
  <c r="CS73" i="24"/>
  <c r="AE73" i="9"/>
  <c r="X144" i="9"/>
  <c r="X99" i="9"/>
  <c r="X101" i="9" s="1"/>
  <c r="X102" i="9" s="1"/>
  <c r="X104" i="9" s="1"/>
  <c r="X105" i="9" s="1"/>
  <c r="X74" i="9"/>
  <c r="X75" i="9" s="1"/>
  <c r="J160" i="9"/>
  <c r="J161" i="9" s="1"/>
  <c r="J162" i="9" s="1"/>
  <c r="J15" i="3"/>
  <c r="AE97" i="24"/>
  <c r="AE142" i="24"/>
  <c r="AE146" i="24" s="1"/>
  <c r="AE147" i="24" s="1"/>
  <c r="AL71" i="24"/>
  <c r="CU71" i="24"/>
  <c r="AE72" i="24"/>
  <c r="Q130" i="9"/>
  <c r="Q82" i="9"/>
  <c r="Q83" i="9" s="1"/>
  <c r="Q131" i="9"/>
  <c r="X73" i="24"/>
  <c r="CT72" i="24"/>
  <c r="Q148" i="9"/>
  <c r="Q149" i="9" s="1"/>
  <c r="Q147" i="9"/>
  <c r="Q151" i="9"/>
  <c r="Q158" i="9" s="1"/>
  <c r="Q159" i="9" s="1"/>
  <c r="Q146" i="9"/>
  <c r="Q78" i="29"/>
  <c r="X78" i="29" s="1"/>
  <c r="AE78" i="29" s="1"/>
  <c r="AL78" i="29" s="1"/>
  <c r="AS78" i="29" s="1"/>
  <c r="AZ78" i="29" s="1"/>
  <c r="BG78" i="29" s="1"/>
  <c r="BN78" i="29" s="1"/>
  <c r="BU78" i="29" s="1"/>
  <c r="CB78" i="29" s="1"/>
  <c r="DB73" i="16"/>
  <c r="CB128" i="16"/>
  <c r="DC72" i="16"/>
  <c r="X148" i="9" l="1"/>
  <c r="X149" i="9" s="1"/>
  <c r="X146" i="9"/>
  <c r="X151" i="9"/>
  <c r="X158" i="9" s="1"/>
  <c r="X159" i="9" s="1"/>
  <c r="X147" i="9"/>
  <c r="Q160" i="9"/>
  <c r="Q161" i="9" s="1"/>
  <c r="Q162" i="9" s="1"/>
  <c r="J16" i="3"/>
  <c r="AL72" i="24"/>
  <c r="AL142" i="24"/>
  <c r="AL146" i="24" s="1"/>
  <c r="AL147" i="24" s="1"/>
  <c r="AS71" i="24"/>
  <c r="CV71" i="24"/>
  <c r="AL97" i="24"/>
  <c r="AL73" i="9"/>
  <c r="AE74" i="9"/>
  <c r="AE75" i="9" s="1"/>
  <c r="AE99" i="9"/>
  <c r="AE101" i="9" s="1"/>
  <c r="AE102" i="9" s="1"/>
  <c r="AE104" i="9" s="1"/>
  <c r="AE105" i="9" s="1"/>
  <c r="AE144" i="9"/>
  <c r="X130" i="9"/>
  <c r="X82" i="9"/>
  <c r="X83" i="9" s="1"/>
  <c r="X131" i="9"/>
  <c r="CT73" i="24"/>
  <c r="X128" i="24"/>
  <c r="AE73" i="24"/>
  <c r="CU72" i="24"/>
  <c r="CI78" i="29"/>
  <c r="CQ83" i="29"/>
  <c r="CI128" i="16"/>
  <c r="DC73" i="16"/>
  <c r="X160" i="9" l="1"/>
  <c r="X161" i="9" s="1"/>
  <c r="X162" i="9" s="1"/>
  <c r="AE128" i="24"/>
  <c r="CU73" i="24"/>
  <c r="AE130" i="9"/>
  <c r="AE131" i="9"/>
  <c r="AE82" i="9"/>
  <c r="AE83" i="9" s="1"/>
  <c r="J17" i="3"/>
  <c r="AS142" i="24"/>
  <c r="AS146" i="24" s="1"/>
  <c r="AS147" i="24" s="1"/>
  <c r="AZ71" i="24"/>
  <c r="CW71" i="24"/>
  <c r="AS72" i="24"/>
  <c r="AS97" i="24"/>
  <c r="AS73" i="9"/>
  <c r="AL74" i="9"/>
  <c r="AL75" i="9" s="1"/>
  <c r="AL99" i="9"/>
  <c r="AL101" i="9" s="1"/>
  <c r="AL102" i="9" s="1"/>
  <c r="AL104" i="9" s="1"/>
  <c r="AL105" i="9" s="1"/>
  <c r="AL144" i="9"/>
  <c r="J80" i="32"/>
  <c r="J80" i="30"/>
  <c r="Q80" i="30" s="1"/>
  <c r="X80" i="30" s="1"/>
  <c r="AE80" i="30" s="1"/>
  <c r="AL80" i="30" s="1"/>
  <c r="AS80" i="30" s="1"/>
  <c r="AZ80" i="30" s="1"/>
  <c r="BG80" i="30" s="1"/>
  <c r="BN80" i="30" s="1"/>
  <c r="BU80" i="30" s="1"/>
  <c r="CB80" i="30" s="1"/>
  <c r="CI80" i="30" s="1"/>
  <c r="AE148" i="9"/>
  <c r="AE149" i="9" s="1"/>
  <c r="AE147" i="9"/>
  <c r="AE146" i="9"/>
  <c r="AE151" i="9"/>
  <c r="AE158" i="9" s="1"/>
  <c r="AE159" i="9" s="1"/>
  <c r="CV72" i="24"/>
  <c r="AL73" i="24"/>
  <c r="J100" i="30" l="1"/>
  <c r="AL130" i="9"/>
  <c r="AL131" i="9"/>
  <c r="AL82" i="9"/>
  <c r="AL83" i="9" s="1"/>
  <c r="J81" i="30"/>
  <c r="J127" i="30" s="1"/>
  <c r="Q80" i="32"/>
  <c r="J100" i="32"/>
  <c r="J165" i="32" s="1"/>
  <c r="J166" i="32" s="1"/>
  <c r="CR80" i="32"/>
  <c r="J81" i="32"/>
  <c r="AS144" i="9"/>
  <c r="AS74" i="9"/>
  <c r="AS75" i="9" s="1"/>
  <c r="AS99" i="9"/>
  <c r="AS101" i="9" s="1"/>
  <c r="AS102" i="9" s="1"/>
  <c r="AS104" i="9" s="1"/>
  <c r="J18" i="3"/>
  <c r="AZ142" i="24"/>
  <c r="AZ146" i="24" s="1"/>
  <c r="AZ147" i="24" s="1"/>
  <c r="BG71" i="24"/>
  <c r="AZ97" i="24"/>
  <c r="CX71" i="24"/>
  <c r="AZ72" i="24"/>
  <c r="AL128" i="24"/>
  <c r="CV73" i="24"/>
  <c r="AL148" i="9"/>
  <c r="AL149" i="9" s="1"/>
  <c r="AL146" i="9"/>
  <c r="AL151" i="9"/>
  <c r="AL158" i="9" s="1"/>
  <c r="AL159" i="9" s="1"/>
  <c r="AL147" i="9"/>
  <c r="AE160" i="9"/>
  <c r="AE161" i="9" s="1"/>
  <c r="AE162" i="9" s="1"/>
  <c r="CW72" i="24"/>
  <c r="AS73" i="24"/>
  <c r="CX72" i="24" l="1"/>
  <c r="AZ73" i="24"/>
  <c r="AS148" i="9"/>
  <c r="AS149" i="9" s="1"/>
  <c r="AS146" i="9"/>
  <c r="AS151" i="9"/>
  <c r="AS158" i="9" s="1"/>
  <c r="AS159" i="9" s="1"/>
  <c r="AS147" i="9"/>
  <c r="X80" i="32"/>
  <c r="Q100" i="32"/>
  <c r="Q165" i="32" s="1"/>
  <c r="Q166" i="32" s="1"/>
  <c r="CS80" i="32"/>
  <c r="Q81" i="32"/>
  <c r="AL160" i="9"/>
  <c r="AL161" i="9" s="1"/>
  <c r="AL162" i="9" s="1"/>
  <c r="J145" i="32"/>
  <c r="J127" i="32"/>
  <c r="CR81" i="32"/>
  <c r="CW73" i="24"/>
  <c r="AS128" i="24"/>
  <c r="J19" i="3"/>
  <c r="BG97" i="24"/>
  <c r="BG142" i="24"/>
  <c r="BG146" i="24" s="1"/>
  <c r="BG147" i="24" s="1"/>
  <c r="BN71" i="24"/>
  <c r="BG72" i="24"/>
  <c r="CY71" i="24"/>
  <c r="AS131" i="9"/>
  <c r="AS82" i="9"/>
  <c r="CY72" i="24" l="1"/>
  <c r="BG73" i="24"/>
  <c r="BU71" i="24"/>
  <c r="J20" i="3"/>
  <c r="BN142" i="24"/>
  <c r="BN146" i="24" s="1"/>
  <c r="BN147" i="24" s="1"/>
  <c r="CZ71" i="24"/>
  <c r="BN72" i="24"/>
  <c r="BN97" i="24"/>
  <c r="AE80" i="32"/>
  <c r="X81" i="32"/>
  <c r="X100" i="32"/>
  <c r="X165" i="32" s="1"/>
  <c r="X166" i="32" s="1"/>
  <c r="CT80" i="32"/>
  <c r="AS160" i="9"/>
  <c r="AS161" i="9" s="1"/>
  <c r="AS162" i="9" s="1"/>
  <c r="Q145" i="32"/>
  <c r="Q127" i="32"/>
  <c r="CS81" i="32"/>
  <c r="AZ128" i="24"/>
  <c r="CX73" i="24"/>
  <c r="X145" i="32" l="1"/>
  <c r="X127" i="32"/>
  <c r="CT81" i="32"/>
  <c r="CZ72" i="24"/>
  <c r="BN73" i="24"/>
  <c r="J21" i="3"/>
  <c r="BU142" i="24"/>
  <c r="BU146" i="24" s="1"/>
  <c r="BU147" i="24" s="1"/>
  <c r="BU72" i="24"/>
  <c r="BU97" i="24"/>
  <c r="CB71" i="24"/>
  <c r="DA71" i="24"/>
  <c r="AL80" i="32"/>
  <c r="AE100" i="32"/>
  <c r="AE165" i="32" s="1"/>
  <c r="AE166" i="32" s="1"/>
  <c r="CU80" i="32"/>
  <c r="AE81" i="32"/>
  <c r="CY73" i="24"/>
  <c r="BG128" i="24"/>
  <c r="AS80" i="32" l="1"/>
  <c r="AL100" i="32"/>
  <c r="AL165" i="32" s="1"/>
  <c r="AL166" i="32" s="1"/>
  <c r="CV80" i="32"/>
  <c r="AL81" i="32"/>
  <c r="BU73" i="24"/>
  <c r="DA72" i="24"/>
  <c r="AE145" i="32"/>
  <c r="CU81" i="32"/>
  <c r="AE127" i="32"/>
  <c r="J22" i="3"/>
  <c r="CB97" i="24"/>
  <c r="CI71" i="24"/>
  <c r="DB71" i="24"/>
  <c r="CB142" i="24"/>
  <c r="CB146" i="24" s="1"/>
  <c r="CB147" i="24" s="1"/>
  <c r="CB72" i="24"/>
  <c r="BN128" i="24"/>
  <c r="CZ73" i="24"/>
  <c r="O63" i="2"/>
  <c r="Q19" i="14"/>
  <c r="Q20" i="14"/>
  <c r="Q23" i="14"/>
  <c r="Q24" i="14"/>
  <c r="Q16" i="14"/>
  <c r="AY72" i="9"/>
  <c r="AX72" i="9"/>
  <c r="AW72" i="9"/>
  <c r="AV72" i="9"/>
  <c r="AU72" i="9"/>
  <c r="AY71" i="9"/>
  <c r="AX71" i="9"/>
  <c r="AW71" i="9"/>
  <c r="AV71" i="9"/>
  <c r="AU71" i="9"/>
  <c r="AY70" i="9"/>
  <c r="AX70" i="9"/>
  <c r="AW70" i="9"/>
  <c r="AV70" i="9"/>
  <c r="AU70" i="9"/>
  <c r="AY69" i="9"/>
  <c r="AX69" i="9"/>
  <c r="AW69" i="9"/>
  <c r="AV69" i="9"/>
  <c r="AU69" i="9"/>
  <c r="AY68" i="9"/>
  <c r="AX68" i="9"/>
  <c r="AW68" i="9"/>
  <c r="AV68" i="9"/>
  <c r="AU68" i="9"/>
  <c r="AY67" i="9"/>
  <c r="AX67" i="9"/>
  <c r="AW67" i="9"/>
  <c r="AV67" i="9"/>
  <c r="AU67" i="9"/>
  <c r="AY66" i="9"/>
  <c r="AX66" i="9"/>
  <c r="AW66" i="9"/>
  <c r="AV66" i="9"/>
  <c r="AU66" i="9"/>
  <c r="AY65" i="9"/>
  <c r="AX65" i="9"/>
  <c r="AW65" i="9"/>
  <c r="AV65" i="9"/>
  <c r="AU65" i="9"/>
  <c r="AY64" i="9"/>
  <c r="AX64" i="9"/>
  <c r="AW64" i="9"/>
  <c r="AV64" i="9"/>
  <c r="AU64" i="9"/>
  <c r="AY63" i="9"/>
  <c r="AX63" i="9"/>
  <c r="AW63" i="9"/>
  <c r="AV63" i="9"/>
  <c r="AU63" i="9"/>
  <c r="AY62" i="9"/>
  <c r="AX62" i="9"/>
  <c r="AW62" i="9"/>
  <c r="AV62" i="9"/>
  <c r="AU62" i="9"/>
  <c r="AY61" i="9"/>
  <c r="AX61" i="9"/>
  <c r="AW61" i="9"/>
  <c r="AV61" i="9"/>
  <c r="AU61" i="9"/>
  <c r="AY60" i="9"/>
  <c r="AX60" i="9"/>
  <c r="AW60" i="9"/>
  <c r="AV60" i="9"/>
  <c r="AU60" i="9"/>
  <c r="AY59" i="9"/>
  <c r="AX59" i="9"/>
  <c r="AW59" i="9"/>
  <c r="AV59" i="9"/>
  <c r="AU59" i="9"/>
  <c r="AY58" i="9"/>
  <c r="AX58" i="9"/>
  <c r="AW58" i="9"/>
  <c r="AV58" i="9"/>
  <c r="AU58" i="9"/>
  <c r="AY57" i="9"/>
  <c r="AX57" i="9"/>
  <c r="AW57" i="9"/>
  <c r="AV57" i="9"/>
  <c r="AU57" i="9"/>
  <c r="AY56" i="9"/>
  <c r="AX56" i="9"/>
  <c r="AW56" i="9"/>
  <c r="AV56" i="9"/>
  <c r="AU56" i="9"/>
  <c r="AY55" i="9"/>
  <c r="AX55" i="9"/>
  <c r="AW55" i="9"/>
  <c r="AV55" i="9"/>
  <c r="AU55" i="9"/>
  <c r="AY54" i="9"/>
  <c r="AX54" i="9"/>
  <c r="AW54" i="9"/>
  <c r="AV54" i="9"/>
  <c r="AU54" i="9"/>
  <c r="AY53" i="9"/>
  <c r="AX53" i="9"/>
  <c r="AW53" i="9"/>
  <c r="AV53" i="9"/>
  <c r="AU53" i="9"/>
  <c r="AY52" i="9"/>
  <c r="AX52" i="9"/>
  <c r="AW52" i="9"/>
  <c r="AV52" i="9"/>
  <c r="AU52" i="9"/>
  <c r="AY51" i="9"/>
  <c r="AX51" i="9"/>
  <c r="AW51" i="9"/>
  <c r="AV51" i="9"/>
  <c r="AU51" i="9"/>
  <c r="AY50" i="9"/>
  <c r="AX50" i="9"/>
  <c r="AW50" i="9"/>
  <c r="AV50" i="9"/>
  <c r="AU50" i="9"/>
  <c r="AY49" i="9"/>
  <c r="AX49" i="9"/>
  <c r="AW49" i="9"/>
  <c r="AV49" i="9"/>
  <c r="AU49" i="9"/>
  <c r="K57" i="1"/>
  <c r="J58" i="1"/>
  <c r="J134" i="1"/>
  <c r="BU128" i="24" l="1"/>
  <c r="DA73" i="24"/>
  <c r="AS100" i="32"/>
  <c r="AS165" i="32" s="1"/>
  <c r="AS166" i="32" s="1"/>
  <c r="CW80" i="32"/>
  <c r="AS81" i="32"/>
  <c r="AZ80" i="32"/>
  <c r="J23" i="3"/>
  <c r="CP71" i="24"/>
  <c r="CP72" i="24" s="1"/>
  <c r="CP73" i="24" s="1"/>
  <c r="CP80" i="24" s="1"/>
  <c r="CP81" i="24" s="1"/>
  <c r="CI72" i="24"/>
  <c r="J71" i="28"/>
  <c r="CI142" i="24"/>
  <c r="CI146" i="24" s="1"/>
  <c r="CI147" i="24" s="1"/>
  <c r="CI97" i="24"/>
  <c r="DC71" i="24"/>
  <c r="AL145" i="32"/>
  <c r="CV81" i="32"/>
  <c r="AL127" i="32"/>
  <c r="CB73" i="24"/>
  <c r="DB72" i="24"/>
  <c r="AS105" i="9"/>
  <c r="AS63" i="9"/>
  <c r="Q40" i="14"/>
  <c r="Q51" i="14"/>
  <c r="Q47" i="14"/>
  <c r="Q43" i="14"/>
  <c r="Q39" i="14"/>
  <c r="Q35" i="14"/>
  <c r="Q36" i="14"/>
  <c r="Q48" i="14"/>
  <c r="Q44" i="14"/>
  <c r="Q28" i="14"/>
  <c r="Q27" i="14"/>
  <c r="Q50" i="14"/>
  <c r="Q46" i="14"/>
  <c r="Q42" i="14"/>
  <c r="Q38" i="14"/>
  <c r="Q34" i="14"/>
  <c r="Q26" i="14"/>
  <c r="Q22" i="14"/>
  <c r="Q18" i="14"/>
  <c r="Q49" i="14"/>
  <c r="Q45" i="14"/>
  <c r="Q41" i="14"/>
  <c r="Q37" i="14"/>
  <c r="Q33" i="14"/>
  <c r="Q29" i="14"/>
  <c r="Q25" i="14"/>
  <c r="Q21" i="14"/>
  <c r="Q17" i="14"/>
  <c r="AV31" i="9"/>
  <c r="AY32" i="9"/>
  <c r="AX32" i="9"/>
  <c r="AW24" i="9"/>
  <c r="AU37" i="9"/>
  <c r="CB128" i="24" l="1"/>
  <c r="DB73" i="24"/>
  <c r="DC72" i="24"/>
  <c r="CI73" i="24"/>
  <c r="CW81" i="32"/>
  <c r="AS127" i="32"/>
  <c r="AS145" i="32"/>
  <c r="J24" i="3"/>
  <c r="J142" i="28"/>
  <c r="J146" i="28" s="1"/>
  <c r="J147" i="28" s="1"/>
  <c r="CR71" i="28"/>
  <c r="J72" i="28"/>
  <c r="Q71" i="28"/>
  <c r="J97" i="28"/>
  <c r="AZ81" i="32"/>
  <c r="BG80" i="32"/>
  <c r="AZ100" i="32"/>
  <c r="AZ165" i="32" s="1"/>
  <c r="AZ166" i="32" s="1"/>
  <c r="CX80" i="32"/>
  <c r="AS109" i="9"/>
  <c r="AS111" i="9"/>
  <c r="AS110" i="9"/>
  <c r="AS66" i="9"/>
  <c r="AX38" i="9"/>
  <c r="AX33" i="9"/>
  <c r="AW36" i="9"/>
  <c r="AV42" i="9"/>
  <c r="AW38" i="9"/>
  <c r="AW33" i="9"/>
  <c r="AV34" i="9"/>
  <c r="AV29" i="9"/>
  <c r="AV36" i="9"/>
  <c r="AW31" i="9"/>
  <c r="AY37" i="9"/>
  <c r="AX36" i="9"/>
  <c r="AY30" i="9"/>
  <c r="AY34" i="9"/>
  <c r="AY38" i="9"/>
  <c r="AV22" i="9"/>
  <c r="AV37" i="9"/>
  <c r="AX27" i="9"/>
  <c r="AU26" i="9"/>
  <c r="AW28" i="9"/>
  <c r="AY25" i="9"/>
  <c r="AX26" i="9"/>
  <c r="AW26" i="9"/>
  <c r="AV24" i="9"/>
  <c r="AY36" i="9"/>
  <c r="AX37" i="9"/>
  <c r="AW37" i="9"/>
  <c r="AV35" i="9"/>
  <c r="AU31" i="9"/>
  <c r="AY27" i="9"/>
  <c r="AX24" i="9"/>
  <c r="AV38" i="9"/>
  <c r="AU24" i="9"/>
  <c r="AW35" i="9"/>
  <c r="AU25" i="9"/>
  <c r="AU28" i="9"/>
  <c r="AV25" i="9"/>
  <c r="AY33" i="9"/>
  <c r="AX34" i="9"/>
  <c r="AW34" i="9"/>
  <c r="AV32" i="9"/>
  <c r="AU34" i="9"/>
  <c r="AY28" i="9"/>
  <c r="AX29" i="9"/>
  <c r="AW29" i="9"/>
  <c r="AV27" i="9"/>
  <c r="AY35" i="9"/>
  <c r="AW32" i="9"/>
  <c r="AV30" i="9"/>
  <c r="AU32" i="9"/>
  <c r="AW27" i="9"/>
  <c r="AU33" i="9"/>
  <c r="AU30" i="9"/>
  <c r="AU35" i="9"/>
  <c r="AU29" i="9"/>
  <c r="AX6" i="9"/>
  <c r="AX31" i="9"/>
  <c r="AX35" i="9"/>
  <c r="AY26" i="9"/>
  <c r="AY29" i="9"/>
  <c r="AX30" i="9"/>
  <c r="AW30" i="9"/>
  <c r="AV28" i="9"/>
  <c r="AU38" i="9"/>
  <c r="AY24" i="9"/>
  <c r="AX25" i="9"/>
  <c r="AW25" i="9"/>
  <c r="AU27" i="9"/>
  <c r="AY31" i="9"/>
  <c r="AX28" i="9"/>
  <c r="AV26" i="9"/>
  <c r="AU36" i="9"/>
  <c r="AV33" i="9"/>
  <c r="AV9" i="9"/>
  <c r="AU10" i="9"/>
  <c r="AU6" i="9"/>
  <c r="AW6" i="9"/>
  <c r="AV6" i="9"/>
  <c r="AY18" i="9"/>
  <c r="AU9" i="9"/>
  <c r="AV12" i="9"/>
  <c r="AV14" i="9"/>
  <c r="AW9" i="9"/>
  <c r="AV39" i="9"/>
  <c r="AV10" i="9"/>
  <c r="AY12" i="9"/>
  <c r="AV11" i="9"/>
  <c r="AU14" i="9"/>
  <c r="AV18" i="9"/>
  <c r="AV40" i="9"/>
  <c r="AU17" i="9"/>
  <c r="AU20" i="9"/>
  <c r="AV23" i="9"/>
  <c r="AU12" i="9"/>
  <c r="AV44" i="9"/>
  <c r="AY23" i="9"/>
  <c r="AV21" i="9"/>
  <c r="AY44" i="9"/>
  <c r="AV20" i="9"/>
  <c r="AV19" i="9"/>
  <c r="AX16" i="9"/>
  <c r="AX7" i="9"/>
  <c r="AX12" i="9"/>
  <c r="AX17" i="9"/>
  <c r="AW20" i="9"/>
  <c r="AX20" i="9"/>
  <c r="AW23" i="9"/>
  <c r="AX39" i="9"/>
  <c r="AX19" i="9"/>
  <c r="AW18" i="9"/>
  <c r="AX22" i="9"/>
  <c r="AW16" i="9"/>
  <c r="AW7" i="9"/>
  <c r="AW12" i="9"/>
  <c r="AX10" i="9"/>
  <c r="AX9" i="9"/>
  <c r="AW40" i="9"/>
  <c r="AX40" i="9"/>
  <c r="AW39" i="9"/>
  <c r="AW19" i="9"/>
  <c r="AW44" i="9"/>
  <c r="AX18" i="9"/>
  <c r="AU16" i="9"/>
  <c r="AU7" i="9"/>
  <c r="AX14" i="9"/>
  <c r="AY16" i="9"/>
  <c r="AY7" i="9"/>
  <c r="AY6" i="9"/>
  <c r="AW11" i="9"/>
  <c r="AW10" i="9"/>
  <c r="AY14" i="9"/>
  <c r="AY11" i="9"/>
  <c r="AY39" i="9"/>
  <c r="AY19" i="9"/>
  <c r="AU44" i="9"/>
  <c r="AU18" i="9"/>
  <c r="AY42" i="9"/>
  <c r="AY21" i="9"/>
  <c r="AU19" i="9"/>
  <c r="AU39" i="9"/>
  <c r="AX44" i="9"/>
  <c r="AY20" i="9"/>
  <c r="AW42" i="9"/>
  <c r="AW21" i="9"/>
  <c r="AW14" i="9"/>
  <c r="AV16" i="9"/>
  <c r="AV7" i="9"/>
  <c r="AX11" i="9"/>
  <c r="AY10" i="9"/>
  <c r="AY9" i="9"/>
  <c r="AX42" i="9"/>
  <c r="AX21" i="9"/>
  <c r="AU21" i="9"/>
  <c r="AU42" i="9"/>
  <c r="AY22" i="9"/>
  <c r="AU22" i="9"/>
  <c r="AY17" i="9"/>
  <c r="AX23" i="9"/>
  <c r="AW22" i="9"/>
  <c r="AU23" i="9"/>
  <c r="AU11" i="9"/>
  <c r="AY40" i="9"/>
  <c r="AW17" i="9"/>
  <c r="AV17" i="9"/>
  <c r="AU40" i="9"/>
  <c r="J25" i="3" l="1"/>
  <c r="Q72" i="28"/>
  <c r="Q97" i="28"/>
  <c r="X71" i="28"/>
  <c r="CS71" i="28"/>
  <c r="Q142" i="28"/>
  <c r="Q146" i="28" s="1"/>
  <c r="Q147" i="28" s="1"/>
  <c r="BG100" i="32"/>
  <c r="BG165" i="32" s="1"/>
  <c r="BG166" i="32" s="1"/>
  <c r="CY80" i="32"/>
  <c r="BN80" i="32"/>
  <c r="BG81" i="32"/>
  <c r="J73" i="28"/>
  <c r="CR72" i="28"/>
  <c r="CI128" i="24"/>
  <c r="DC73" i="24"/>
  <c r="AZ127" i="32"/>
  <c r="AZ145" i="32"/>
  <c r="CX81" i="32"/>
  <c r="AS83" i="9"/>
  <c r="AS126" i="9"/>
  <c r="AS130" i="9"/>
  <c r="AY8" i="9"/>
  <c r="AU15" i="9"/>
  <c r="AU8" i="9"/>
  <c r="AW8" i="9"/>
  <c r="AV8" i="9"/>
  <c r="AX8" i="9"/>
  <c r="BU80" i="32" l="1"/>
  <c r="BN100" i="32"/>
  <c r="BN165" i="32" s="1"/>
  <c r="BN166" i="32" s="1"/>
  <c r="CZ80" i="32"/>
  <c r="BN81" i="32"/>
  <c r="J26" i="3"/>
  <c r="CT71" i="28"/>
  <c r="X142" i="28"/>
  <c r="X146" i="28" s="1"/>
  <c r="X147" i="28" s="1"/>
  <c r="X97" i="28"/>
  <c r="AE71" i="28"/>
  <c r="X72" i="28"/>
  <c r="CR73" i="28"/>
  <c r="J128" i="28"/>
  <c r="BG145" i="32"/>
  <c r="CY81" i="32"/>
  <c r="BG127" i="32"/>
  <c r="Q73" i="28"/>
  <c r="CS72" i="28"/>
  <c r="AX15" i="9"/>
  <c r="AW15" i="9"/>
  <c r="AV15" i="9"/>
  <c r="AY15" i="9"/>
  <c r="Q128" i="28" l="1"/>
  <c r="CS73" i="28"/>
  <c r="CB80" i="32"/>
  <c r="BU100" i="32"/>
  <c r="BU165" i="32" s="1"/>
  <c r="BU166" i="32" s="1"/>
  <c r="DA80" i="32"/>
  <c r="BU81" i="32"/>
  <c r="CZ81" i="32"/>
  <c r="BN127" i="32"/>
  <c r="BN145" i="32"/>
  <c r="X73" i="28"/>
  <c r="CT72" i="28"/>
  <c r="J27" i="3"/>
  <c r="AE72" i="28"/>
  <c r="AL71" i="28"/>
  <c r="CU71" i="28"/>
  <c r="AE142" i="28"/>
  <c r="AE146" i="28" s="1"/>
  <c r="AE147" i="28" s="1"/>
  <c r="AE97" i="28"/>
  <c r="AX45" i="9"/>
  <c r="AX43" i="9"/>
  <c r="AV45" i="9"/>
  <c r="AV43" i="9"/>
  <c r="AY45" i="9"/>
  <c r="AY43" i="9"/>
  <c r="AW45" i="9"/>
  <c r="AW43" i="9"/>
  <c r="AU45" i="9"/>
  <c r="AU43" i="9"/>
  <c r="J28" i="3" l="1"/>
  <c r="AL97" i="28"/>
  <c r="AL72" i="28"/>
  <c r="AS71" i="28"/>
  <c r="CV71" i="28"/>
  <c r="AL142" i="28"/>
  <c r="AL146" i="28" s="1"/>
  <c r="AL147" i="28" s="1"/>
  <c r="CB81" i="32"/>
  <c r="CI80" i="32"/>
  <c r="CB100" i="32"/>
  <c r="CB165" i="32" s="1"/>
  <c r="CB166" i="32" s="1"/>
  <c r="DB80" i="32"/>
  <c r="CU72" i="28"/>
  <c r="AE73" i="28"/>
  <c r="X128" i="28"/>
  <c r="CT73" i="28"/>
  <c r="BU127" i="32"/>
  <c r="BU145" i="32"/>
  <c r="DA81" i="32"/>
  <c r="AH82" i="2"/>
  <c r="AJ82" i="2"/>
  <c r="AL82" i="2"/>
  <c r="AN82" i="2"/>
  <c r="AP82" i="2"/>
  <c r="AR82" i="2"/>
  <c r="AT82" i="2"/>
  <c r="AV82" i="2"/>
  <c r="AX82" i="2"/>
  <c r="AZ82" i="2"/>
  <c r="BB82" i="2"/>
  <c r="AH83" i="2"/>
  <c r="AJ83" i="2"/>
  <c r="AL83" i="2"/>
  <c r="AN83" i="2"/>
  <c r="AP83" i="2"/>
  <c r="AR83" i="2"/>
  <c r="AT83" i="2"/>
  <c r="AV83" i="2"/>
  <c r="AX83" i="2"/>
  <c r="AZ83" i="2"/>
  <c r="BB83" i="2"/>
  <c r="AH84" i="2"/>
  <c r="AJ84" i="2"/>
  <c r="AL84" i="2"/>
  <c r="AN84" i="2"/>
  <c r="AP84" i="2"/>
  <c r="AR84" i="2"/>
  <c r="AT84" i="2"/>
  <c r="AV84" i="2"/>
  <c r="AX84" i="2"/>
  <c r="AZ84" i="2"/>
  <c r="BB84" i="2"/>
  <c r="AH85" i="2"/>
  <c r="AJ85" i="2"/>
  <c r="AL85" i="2"/>
  <c r="AN85" i="2"/>
  <c r="AP85" i="2"/>
  <c r="AR85" i="2"/>
  <c r="AT85" i="2"/>
  <c r="AV85" i="2"/>
  <c r="AX85" i="2"/>
  <c r="AZ85" i="2"/>
  <c r="BB85" i="2"/>
  <c r="AH86" i="2"/>
  <c r="AJ86" i="2"/>
  <c r="AL86" i="2"/>
  <c r="AN86" i="2"/>
  <c r="AP86" i="2"/>
  <c r="AR86" i="2"/>
  <c r="AT86" i="2"/>
  <c r="AV86" i="2"/>
  <c r="AX86" i="2"/>
  <c r="AZ86" i="2"/>
  <c r="BB86" i="2"/>
  <c r="AH87" i="2"/>
  <c r="AJ87" i="2"/>
  <c r="AL87" i="2"/>
  <c r="AN87" i="2"/>
  <c r="AP87" i="2"/>
  <c r="AR87" i="2"/>
  <c r="AT87" i="2"/>
  <c r="AV87" i="2"/>
  <c r="AX87" i="2"/>
  <c r="AZ87" i="2"/>
  <c r="BB87" i="2"/>
  <c r="AH88" i="2"/>
  <c r="AJ88" i="2"/>
  <c r="AL88" i="2"/>
  <c r="AN88" i="2"/>
  <c r="AP88" i="2"/>
  <c r="AR88" i="2"/>
  <c r="AT88" i="2"/>
  <c r="AV88" i="2"/>
  <c r="AX88" i="2"/>
  <c r="AZ88" i="2"/>
  <c r="BB88" i="2"/>
  <c r="AH89" i="2"/>
  <c r="AJ89" i="2"/>
  <c r="AL89" i="2"/>
  <c r="AN89" i="2"/>
  <c r="AP89" i="2"/>
  <c r="AR89" i="2"/>
  <c r="AT89" i="2"/>
  <c r="AV89" i="2"/>
  <c r="AX89" i="2"/>
  <c r="AZ89" i="2"/>
  <c r="BB89" i="2"/>
  <c r="AH90" i="2"/>
  <c r="AJ90" i="2"/>
  <c r="AL90" i="2"/>
  <c r="AN90" i="2"/>
  <c r="AP90" i="2"/>
  <c r="AR90" i="2"/>
  <c r="AT90" i="2"/>
  <c r="AV90" i="2"/>
  <c r="AX90" i="2"/>
  <c r="AZ90" i="2"/>
  <c r="BB90" i="2"/>
  <c r="AH91" i="2"/>
  <c r="AJ91" i="2"/>
  <c r="AL91" i="2"/>
  <c r="AN91" i="2"/>
  <c r="AP91" i="2"/>
  <c r="AR91" i="2"/>
  <c r="AT91" i="2"/>
  <c r="AV91" i="2"/>
  <c r="AX91" i="2"/>
  <c r="AZ91" i="2"/>
  <c r="BB91" i="2"/>
  <c r="AH92" i="2"/>
  <c r="AJ92" i="2"/>
  <c r="AL92" i="2"/>
  <c r="AN92" i="2"/>
  <c r="AP92" i="2"/>
  <c r="AR92" i="2"/>
  <c r="AT92" i="2"/>
  <c r="AV92" i="2"/>
  <c r="AX92" i="2"/>
  <c r="AZ92" i="2"/>
  <c r="BB92" i="2"/>
  <c r="AH93" i="2"/>
  <c r="AJ93" i="2"/>
  <c r="AL93" i="2"/>
  <c r="AN93" i="2"/>
  <c r="AP93" i="2"/>
  <c r="AR93" i="2"/>
  <c r="AT93" i="2"/>
  <c r="AV93" i="2"/>
  <c r="AX93" i="2"/>
  <c r="AZ93" i="2"/>
  <c r="BB93" i="2"/>
  <c r="AH94" i="2"/>
  <c r="AJ94" i="2"/>
  <c r="AL94" i="2"/>
  <c r="AN94" i="2"/>
  <c r="AP94" i="2"/>
  <c r="AR94" i="2"/>
  <c r="AT94" i="2"/>
  <c r="AV94" i="2"/>
  <c r="AX94" i="2"/>
  <c r="AZ94" i="2"/>
  <c r="BB94" i="2"/>
  <c r="AH95" i="2"/>
  <c r="AJ95" i="2"/>
  <c r="AL95" i="2"/>
  <c r="AN95" i="2"/>
  <c r="AP95" i="2"/>
  <c r="AR95" i="2"/>
  <c r="AT95" i="2"/>
  <c r="AV95" i="2"/>
  <c r="AX95" i="2"/>
  <c r="AZ95" i="2"/>
  <c r="BB95" i="2"/>
  <c r="AF95" i="2"/>
  <c r="AF94" i="2"/>
  <c r="AF93" i="2"/>
  <c r="AF92" i="2"/>
  <c r="BD92" i="2" s="1"/>
  <c r="AF91" i="2"/>
  <c r="BD91" i="2" s="1"/>
  <c r="AF90" i="2"/>
  <c r="BD90" i="2" s="1"/>
  <c r="AF89" i="2"/>
  <c r="AF87" i="2"/>
  <c r="AF88" i="2"/>
  <c r="AF86" i="2"/>
  <c r="AF85" i="2"/>
  <c r="AF84" i="2"/>
  <c r="BD84" i="2" s="1"/>
  <c r="AF83" i="2"/>
  <c r="BD83" i="2" s="1"/>
  <c r="AF82" i="2"/>
  <c r="BD82" i="2" s="1"/>
  <c r="E95" i="2"/>
  <c r="AH66" i="2"/>
  <c r="AJ66" i="2"/>
  <c r="AL66" i="2"/>
  <c r="AN66" i="2"/>
  <c r="AP66" i="2"/>
  <c r="AR66" i="2"/>
  <c r="AT66" i="2"/>
  <c r="AT71" i="2" s="1"/>
  <c r="AV66" i="2"/>
  <c r="AX66" i="2"/>
  <c r="AZ66" i="2"/>
  <c r="BB66" i="2"/>
  <c r="AH67" i="2"/>
  <c r="AJ67" i="2"/>
  <c r="AL67" i="2"/>
  <c r="AN67" i="2"/>
  <c r="AP67" i="2"/>
  <c r="AR67" i="2"/>
  <c r="AT67" i="2"/>
  <c r="AV67" i="2"/>
  <c r="AX67" i="2"/>
  <c r="AZ67" i="2"/>
  <c r="BB67" i="2"/>
  <c r="AH68" i="2"/>
  <c r="BD68" i="2" s="1"/>
  <c r="AJ68" i="2"/>
  <c r="AL68" i="2"/>
  <c r="AN68" i="2"/>
  <c r="AP68" i="2"/>
  <c r="AR68" i="2"/>
  <c r="AT68" i="2"/>
  <c r="AV68" i="2"/>
  <c r="AX68" i="2"/>
  <c r="AZ68" i="2"/>
  <c r="BB68" i="2"/>
  <c r="AH69" i="2"/>
  <c r="AJ69" i="2"/>
  <c r="AL69" i="2"/>
  <c r="AN69" i="2"/>
  <c r="AP69" i="2"/>
  <c r="AR69" i="2"/>
  <c r="AT69" i="2"/>
  <c r="AV69" i="2"/>
  <c r="AX69" i="2"/>
  <c r="AZ69" i="2"/>
  <c r="BB69" i="2"/>
  <c r="AH70" i="2"/>
  <c r="AJ70" i="2"/>
  <c r="AL70" i="2"/>
  <c r="AN70" i="2"/>
  <c r="AP70" i="2"/>
  <c r="AR70" i="2"/>
  <c r="AT70" i="2"/>
  <c r="AV70" i="2"/>
  <c r="AX70" i="2"/>
  <c r="AZ70" i="2"/>
  <c r="BB70" i="2"/>
  <c r="AF67" i="2"/>
  <c r="AF68" i="2"/>
  <c r="AF69" i="2"/>
  <c r="AF70" i="2"/>
  <c r="BD70" i="2" s="1"/>
  <c r="AF66" i="2"/>
  <c r="AD47" i="2"/>
  <c r="AD39" i="2"/>
  <c r="AD31" i="2"/>
  <c r="AP22" i="2"/>
  <c r="AD22" i="2"/>
  <c r="AJ22" i="2" s="1"/>
  <c r="AV15" i="2"/>
  <c r="AN15" i="2"/>
  <c r="AD16" i="2"/>
  <c r="BB16" i="2" s="1"/>
  <c r="AD18" i="2"/>
  <c r="AZ18" i="2" s="1"/>
  <c r="AD17" i="2"/>
  <c r="BB17" i="2" s="1"/>
  <c r="AD15" i="2"/>
  <c r="BB15" i="2" s="1"/>
  <c r="AD14" i="2"/>
  <c r="AZ14" i="2" s="1"/>
  <c r="AD13" i="2"/>
  <c r="AF13" i="2" s="1"/>
  <c r="AF15" i="2"/>
  <c r="L135" i="1"/>
  <c r="L116" i="1"/>
  <c r="L97" i="1"/>
  <c r="L78" i="1"/>
  <c r="L59" i="1"/>
  <c r="L38" i="1"/>
  <c r="L40" i="1"/>
  <c r="L36" i="1"/>
  <c r="BD94" i="2"/>
  <c r="BD86" i="2"/>
  <c r="J137" i="1"/>
  <c r="I137" i="1"/>
  <c r="H137" i="1"/>
  <c r="J118" i="1"/>
  <c r="I118" i="1"/>
  <c r="H118" i="1"/>
  <c r="G118" i="1"/>
  <c r="J99" i="1"/>
  <c r="I99" i="1"/>
  <c r="H99" i="1"/>
  <c r="G99" i="1"/>
  <c r="J80" i="1"/>
  <c r="I80" i="1"/>
  <c r="H80" i="1"/>
  <c r="G80" i="1"/>
  <c r="J61" i="1"/>
  <c r="I61" i="1"/>
  <c r="H61" i="1"/>
  <c r="I42" i="1"/>
  <c r="J42" i="1"/>
  <c r="G42" i="1"/>
  <c r="H42" i="1"/>
  <c r="G72" i="1"/>
  <c r="G91" i="1"/>
  <c r="H111" i="1"/>
  <c r="G110" i="1"/>
  <c r="H129" i="1"/>
  <c r="J129" i="1"/>
  <c r="J130" i="1" s="1"/>
  <c r="I129" i="1"/>
  <c r="I130" i="1"/>
  <c r="J110" i="1"/>
  <c r="J111" i="1" s="1"/>
  <c r="I110" i="1"/>
  <c r="I111" i="1" s="1"/>
  <c r="H110" i="1"/>
  <c r="H92" i="1"/>
  <c r="J91" i="1"/>
  <c r="J92" i="1" s="1"/>
  <c r="I91" i="1"/>
  <c r="H91" i="1"/>
  <c r="I92" i="1" s="1"/>
  <c r="J72" i="1"/>
  <c r="J73" i="1" s="1"/>
  <c r="I72" i="1"/>
  <c r="I73" i="1" s="1"/>
  <c r="H72" i="1"/>
  <c r="H73" i="1" s="1"/>
  <c r="J53" i="1"/>
  <c r="J54" i="1" s="1"/>
  <c r="I53" i="1"/>
  <c r="I54" i="1" s="1"/>
  <c r="H53" i="1"/>
  <c r="J35" i="1"/>
  <c r="I35" i="1"/>
  <c r="H35" i="1"/>
  <c r="H34" i="1"/>
  <c r="I34" i="1"/>
  <c r="J34" i="1"/>
  <c r="G34" i="1"/>
  <c r="G7" i="1"/>
  <c r="F7" i="1"/>
  <c r="J71" i="1"/>
  <c r="I71" i="1"/>
  <c r="H71" i="1"/>
  <c r="I128" i="1"/>
  <c r="J128" i="1"/>
  <c r="I109" i="1"/>
  <c r="J109" i="1"/>
  <c r="H109" i="1"/>
  <c r="I52" i="1"/>
  <c r="J52" i="1"/>
  <c r="J33" i="1"/>
  <c r="I33" i="1"/>
  <c r="H33" i="1"/>
  <c r="J51" i="1"/>
  <c r="J32" i="1"/>
  <c r="J127" i="1"/>
  <c r="I51" i="1"/>
  <c r="I32" i="1"/>
  <c r="I127" i="1"/>
  <c r="H51" i="1"/>
  <c r="H32" i="1"/>
  <c r="H127" i="1"/>
  <c r="G32" i="1"/>
  <c r="J90" i="1"/>
  <c r="I90" i="1"/>
  <c r="H90" i="1"/>
  <c r="H98" i="1"/>
  <c r="H117" i="1"/>
  <c r="I60" i="1"/>
  <c r="G40" i="1"/>
  <c r="CU73" i="28" l="1"/>
  <c r="AE128" i="28"/>
  <c r="DC80" i="32"/>
  <c r="CI81" i="32"/>
  <c r="CI100" i="32"/>
  <c r="CI165" i="32" s="1"/>
  <c r="CI166" i="32" s="1"/>
  <c r="J29" i="3"/>
  <c r="CW71" i="28"/>
  <c r="AZ71" i="28"/>
  <c r="AS97" i="28"/>
  <c r="AS72" i="28"/>
  <c r="AS142" i="28"/>
  <c r="AS146" i="28" s="1"/>
  <c r="AS147" i="28" s="1"/>
  <c r="CB127" i="32"/>
  <c r="CB145" i="32"/>
  <c r="DB81" i="32"/>
  <c r="AL73" i="28"/>
  <c r="CV72" i="28"/>
  <c r="BD95" i="2"/>
  <c r="BD87" i="2"/>
  <c r="BD88" i="2"/>
  <c r="BD93" i="2"/>
  <c r="BD89" i="2"/>
  <c r="BD85" i="2"/>
  <c r="AL96" i="2"/>
  <c r="AR96" i="2"/>
  <c r="AL71" i="2"/>
  <c r="BD69" i="2"/>
  <c r="BD66" i="2"/>
  <c r="BD67" i="2"/>
  <c r="AT96" i="2"/>
  <c r="AZ96" i="2"/>
  <c r="AJ96" i="2"/>
  <c r="BB71" i="2"/>
  <c r="AF71" i="2"/>
  <c r="DC78" i="24"/>
  <c r="CI79" i="24"/>
  <c r="AT17" i="2"/>
  <c r="AF17" i="2"/>
  <c r="AL17" i="2"/>
  <c r="AT22" i="2"/>
  <c r="AH22" i="2"/>
  <c r="AF16" i="2"/>
  <c r="AH17" i="2"/>
  <c r="AP17" i="2"/>
  <c r="AX17" i="2"/>
  <c r="AF22" i="2"/>
  <c r="AZ22" i="2"/>
  <c r="AN22" i="2"/>
  <c r="AJ15" i="2"/>
  <c r="AR15" i="2"/>
  <c r="AZ15" i="2"/>
  <c r="AV22" i="2"/>
  <c r="AL22" i="2"/>
  <c r="AX22" i="2"/>
  <c r="AH13" i="2"/>
  <c r="AX13" i="2"/>
  <c r="AT13" i="2"/>
  <c r="BB18" i="2"/>
  <c r="AH14" i="2"/>
  <c r="AH18" i="2"/>
  <c r="AJ16" i="2"/>
  <c r="AL14" i="2"/>
  <c r="AL18" i="2"/>
  <c r="AN16" i="2"/>
  <c r="AP14" i="2"/>
  <c r="AP18" i="2"/>
  <c r="AR16" i="2"/>
  <c r="AT14" i="2"/>
  <c r="AT18" i="2"/>
  <c r="AV16" i="2"/>
  <c r="AX14" i="2"/>
  <c r="AX18" i="2"/>
  <c r="AZ16" i="2"/>
  <c r="AZ19" i="2" s="1"/>
  <c r="BB14" i="2"/>
  <c r="AL13" i="2"/>
  <c r="AP13" i="2"/>
  <c r="BB13" i="2"/>
  <c r="AH15" i="2"/>
  <c r="AJ13" i="2"/>
  <c r="AJ17" i="2"/>
  <c r="AL15" i="2"/>
  <c r="AN13" i="2"/>
  <c r="AN17" i="2"/>
  <c r="AP15" i="2"/>
  <c r="AR13" i="2"/>
  <c r="AR17" i="2"/>
  <c r="AT15" i="2"/>
  <c r="AV13" i="2"/>
  <c r="AV17" i="2"/>
  <c r="AX15" i="2"/>
  <c r="AZ13" i="2"/>
  <c r="AZ17" i="2"/>
  <c r="AF18" i="2"/>
  <c r="AF14" i="2"/>
  <c r="AH16" i="2"/>
  <c r="AJ14" i="2"/>
  <c r="AJ18" i="2"/>
  <c r="AL16" i="2"/>
  <c r="AN14" i="2"/>
  <c r="AN18" i="2"/>
  <c r="AP16" i="2"/>
  <c r="AR14" i="2"/>
  <c r="AR18" i="2"/>
  <c r="AT16" i="2"/>
  <c r="AV14" i="2"/>
  <c r="AV18" i="2"/>
  <c r="AX16" i="2"/>
  <c r="BB22" i="2"/>
  <c r="AR22" i="2"/>
  <c r="AN71" i="2"/>
  <c r="AZ71" i="2"/>
  <c r="AR71" i="2"/>
  <c r="BB96" i="2"/>
  <c r="AJ71" i="2"/>
  <c r="AX71" i="2"/>
  <c r="AP71" i="2"/>
  <c r="AH71" i="2"/>
  <c r="AV71" i="2"/>
  <c r="AP96" i="2"/>
  <c r="AH96" i="2"/>
  <c r="AF96" i="2"/>
  <c r="AV96" i="2"/>
  <c r="AN96" i="2"/>
  <c r="AX96" i="2"/>
  <c r="G86" i="2"/>
  <c r="I86" i="2"/>
  <c r="K86" i="2"/>
  <c r="M86" i="2"/>
  <c r="O86" i="2"/>
  <c r="Q86" i="2"/>
  <c r="S86" i="2"/>
  <c r="U86" i="2"/>
  <c r="W86" i="2"/>
  <c r="Y86" i="2"/>
  <c r="AA86" i="2"/>
  <c r="E86" i="2"/>
  <c r="G90" i="2"/>
  <c r="I90" i="2"/>
  <c r="K90" i="2"/>
  <c r="M90" i="2"/>
  <c r="O90" i="2"/>
  <c r="Q90" i="2"/>
  <c r="S90" i="2"/>
  <c r="U90" i="2"/>
  <c r="W90" i="2"/>
  <c r="Y90" i="2"/>
  <c r="AA90" i="2"/>
  <c r="E90" i="2"/>
  <c r="G89" i="2"/>
  <c r="I89" i="2"/>
  <c r="K89" i="2"/>
  <c r="M89" i="2"/>
  <c r="O89" i="2"/>
  <c r="Q89" i="2"/>
  <c r="S89" i="2"/>
  <c r="U89" i="2"/>
  <c r="W89" i="2"/>
  <c r="Y89" i="2"/>
  <c r="AA89" i="2"/>
  <c r="E89" i="2"/>
  <c r="G88" i="2"/>
  <c r="I88" i="2"/>
  <c r="K88" i="2"/>
  <c r="M88" i="2"/>
  <c r="O88" i="2"/>
  <c r="Q88" i="2"/>
  <c r="S88" i="2"/>
  <c r="U88" i="2"/>
  <c r="W88" i="2"/>
  <c r="Y88" i="2"/>
  <c r="AA88" i="2"/>
  <c r="E88" i="2"/>
  <c r="G83" i="2"/>
  <c r="I83" i="2"/>
  <c r="K83" i="2"/>
  <c r="M83" i="2"/>
  <c r="O83" i="2"/>
  <c r="Q83" i="2"/>
  <c r="S83" i="2"/>
  <c r="U83" i="2"/>
  <c r="W83" i="2"/>
  <c r="Y83" i="2"/>
  <c r="AA83" i="2"/>
  <c r="E83" i="2"/>
  <c r="G94" i="2"/>
  <c r="I94" i="2"/>
  <c r="K94" i="2"/>
  <c r="M94" i="2"/>
  <c r="O94" i="2"/>
  <c r="Q94" i="2"/>
  <c r="S94" i="2"/>
  <c r="U94" i="2"/>
  <c r="W94" i="2"/>
  <c r="Y94" i="2"/>
  <c r="AA94" i="2"/>
  <c r="G95" i="2"/>
  <c r="I95" i="2"/>
  <c r="K95" i="2"/>
  <c r="M95" i="2"/>
  <c r="O95" i="2"/>
  <c r="Q95" i="2"/>
  <c r="S95" i="2"/>
  <c r="U95" i="2"/>
  <c r="W95" i="2"/>
  <c r="Y95" i="2"/>
  <c r="AA95" i="2"/>
  <c r="E94" i="2"/>
  <c r="G87" i="2"/>
  <c r="I87" i="2"/>
  <c r="K87" i="2"/>
  <c r="M87" i="2"/>
  <c r="O87" i="2"/>
  <c r="Q87" i="2"/>
  <c r="S87" i="2"/>
  <c r="U87" i="2"/>
  <c r="W87" i="2"/>
  <c r="Y87" i="2"/>
  <c r="AA87" i="2"/>
  <c r="E87" i="2"/>
  <c r="G93" i="2"/>
  <c r="I93" i="2"/>
  <c r="K93" i="2"/>
  <c r="M93" i="2"/>
  <c r="O93" i="2"/>
  <c r="Q93" i="2"/>
  <c r="S93" i="2"/>
  <c r="U93" i="2"/>
  <c r="W93" i="2"/>
  <c r="Y93" i="2"/>
  <c r="AA93" i="2"/>
  <c r="E93" i="2"/>
  <c r="G92" i="2"/>
  <c r="I92" i="2"/>
  <c r="K92" i="2"/>
  <c r="M92" i="2"/>
  <c r="O92" i="2"/>
  <c r="Q92" i="2"/>
  <c r="S92" i="2"/>
  <c r="U92" i="2"/>
  <c r="W92" i="2"/>
  <c r="Y92" i="2"/>
  <c r="AA92" i="2"/>
  <c r="E92" i="2"/>
  <c r="G91" i="2"/>
  <c r="I91" i="2"/>
  <c r="K91" i="2"/>
  <c r="M91" i="2"/>
  <c r="O91" i="2"/>
  <c r="Q91" i="2"/>
  <c r="S91" i="2"/>
  <c r="U91" i="2"/>
  <c r="W91" i="2"/>
  <c r="Y91" i="2"/>
  <c r="AA91" i="2"/>
  <c r="E91" i="2"/>
  <c r="G85" i="2"/>
  <c r="I85" i="2"/>
  <c r="K85" i="2"/>
  <c r="M85" i="2"/>
  <c r="O85" i="2"/>
  <c r="Q85" i="2"/>
  <c r="S85" i="2"/>
  <c r="U85" i="2"/>
  <c r="W85" i="2"/>
  <c r="Y85" i="2"/>
  <c r="AA85" i="2"/>
  <c r="E85" i="2"/>
  <c r="G84" i="2"/>
  <c r="I84" i="2"/>
  <c r="K84" i="2"/>
  <c r="M84" i="2"/>
  <c r="O84" i="2"/>
  <c r="Q84" i="2"/>
  <c r="S84" i="2"/>
  <c r="U84" i="2"/>
  <c r="W84" i="2"/>
  <c r="Y84" i="2"/>
  <c r="AA84" i="2"/>
  <c r="E84" i="2"/>
  <c r="E82" i="2"/>
  <c r="G82" i="2"/>
  <c r="I82" i="2"/>
  <c r="K82" i="2"/>
  <c r="M82" i="2"/>
  <c r="O82" i="2"/>
  <c r="Q82" i="2"/>
  <c r="S82" i="2"/>
  <c r="U82" i="2"/>
  <c r="W82" i="2"/>
  <c r="Y82" i="2"/>
  <c r="AA82" i="2"/>
  <c r="E67" i="2"/>
  <c r="G67" i="2"/>
  <c r="I67" i="2"/>
  <c r="K67" i="2"/>
  <c r="M67" i="2"/>
  <c r="O67" i="2"/>
  <c r="Q67" i="2"/>
  <c r="S67" i="2"/>
  <c r="U67" i="2"/>
  <c r="W67" i="2"/>
  <c r="Y67" i="2"/>
  <c r="AA67" i="2"/>
  <c r="E68" i="2"/>
  <c r="G68" i="2"/>
  <c r="I68" i="2"/>
  <c r="K68" i="2"/>
  <c r="M68" i="2"/>
  <c r="O68" i="2"/>
  <c r="Q68" i="2"/>
  <c r="S68" i="2"/>
  <c r="U68" i="2"/>
  <c r="W68" i="2"/>
  <c r="Y68" i="2"/>
  <c r="AA68" i="2"/>
  <c r="E69" i="2"/>
  <c r="G69" i="2"/>
  <c r="I69" i="2"/>
  <c r="K69" i="2"/>
  <c r="M69" i="2"/>
  <c r="O69" i="2"/>
  <c r="Q69" i="2"/>
  <c r="S69" i="2"/>
  <c r="U69" i="2"/>
  <c r="W69" i="2"/>
  <c r="Y69" i="2"/>
  <c r="AA69" i="2"/>
  <c r="E70" i="2"/>
  <c r="G70" i="2"/>
  <c r="I70" i="2"/>
  <c r="K70" i="2"/>
  <c r="M70" i="2"/>
  <c r="O70" i="2"/>
  <c r="Q70" i="2"/>
  <c r="S70" i="2"/>
  <c r="U70" i="2"/>
  <c r="W70" i="2"/>
  <c r="Y70" i="2"/>
  <c r="AA70" i="2"/>
  <c r="G66" i="2"/>
  <c r="I66" i="2"/>
  <c r="K66" i="2"/>
  <c r="M66" i="2"/>
  <c r="O66" i="2"/>
  <c r="Q66" i="2"/>
  <c r="S66" i="2"/>
  <c r="U66" i="2"/>
  <c r="W66" i="2"/>
  <c r="Y66" i="2"/>
  <c r="AA66" i="2"/>
  <c r="E66" i="2"/>
  <c r="B47" i="2"/>
  <c r="B39" i="2"/>
  <c r="B31" i="2"/>
  <c r="B22" i="2"/>
  <c r="G22" i="2" s="1"/>
  <c r="B18" i="2"/>
  <c r="W18" i="2" s="1"/>
  <c r="B17" i="2"/>
  <c r="W17" i="2" s="1"/>
  <c r="B16" i="2"/>
  <c r="Y16" i="2" s="1"/>
  <c r="B15" i="2"/>
  <c r="AA15" i="2" s="1"/>
  <c r="B14" i="2"/>
  <c r="W14" i="2" s="1"/>
  <c r="B13" i="2"/>
  <c r="AZ9" i="2"/>
  <c r="AH10" i="2"/>
  <c r="AA10" i="2"/>
  <c r="U10" i="2"/>
  <c r="G10" i="2"/>
  <c r="I10" i="2"/>
  <c r="K10" i="2"/>
  <c r="M10" i="2"/>
  <c r="O10" i="2"/>
  <c r="Q10" i="2"/>
  <c r="Q55" i="2" s="1"/>
  <c r="P55" i="2" s="1"/>
  <c r="E10" i="2"/>
  <c r="AR9" i="2"/>
  <c r="AQ69" i="2" s="1"/>
  <c r="AV9" i="2"/>
  <c r="AA9" i="2"/>
  <c r="G9" i="2"/>
  <c r="I9" i="2"/>
  <c r="K9" i="2"/>
  <c r="M9" i="2"/>
  <c r="O9" i="2"/>
  <c r="Q9" i="2"/>
  <c r="S9" i="2"/>
  <c r="U9" i="2"/>
  <c r="W9" i="2"/>
  <c r="Y9" i="2"/>
  <c r="Y62" i="2" s="1"/>
  <c r="X62" i="2" s="1"/>
  <c r="E9" i="2"/>
  <c r="G8" i="2"/>
  <c r="I8" i="2"/>
  <c r="I61" i="2" s="1"/>
  <c r="H61" i="2" s="1"/>
  <c r="K8" i="2"/>
  <c r="M8" i="2"/>
  <c r="Q61" i="2"/>
  <c r="P61" i="2" s="1"/>
  <c r="Y61" i="2"/>
  <c r="X61" i="2" s="1"/>
  <c r="E8" i="2"/>
  <c r="AR7" i="2"/>
  <c r="AT7" i="2"/>
  <c r="AS22" i="2" s="1"/>
  <c r="AV7" i="2"/>
  <c r="AU15" i="2" s="1"/>
  <c r="AX7" i="2"/>
  <c r="AW68" i="2" s="1"/>
  <c r="AZ7" i="2"/>
  <c r="BB7" i="2"/>
  <c r="BA68" i="2" s="1"/>
  <c r="AP7" i="2"/>
  <c r="AO68" i="2" s="1"/>
  <c r="AH7" i="2"/>
  <c r="AG68" i="2" s="1"/>
  <c r="AJ7" i="2"/>
  <c r="AL7" i="2"/>
  <c r="AK68" i="2" s="1"/>
  <c r="AN7" i="2"/>
  <c r="AM22" i="2" s="1"/>
  <c r="AF7" i="2"/>
  <c r="G7" i="2"/>
  <c r="I7" i="2"/>
  <c r="K7" i="2"/>
  <c r="M7" i="2"/>
  <c r="M52" i="2" s="1"/>
  <c r="L52" i="2" s="1"/>
  <c r="E7" i="2"/>
  <c r="AA6" i="2"/>
  <c r="G6" i="2"/>
  <c r="I6" i="2"/>
  <c r="K6" i="2"/>
  <c r="M6" i="2"/>
  <c r="O6" i="2"/>
  <c r="E6" i="2"/>
  <c r="U6" i="2"/>
  <c r="AP5" i="2"/>
  <c r="AR5" i="2"/>
  <c r="AQ66" i="2" s="1"/>
  <c r="AT5" i="2"/>
  <c r="AS66" i="2" s="1"/>
  <c r="G5" i="2"/>
  <c r="I5" i="2"/>
  <c r="I50" i="2" s="1"/>
  <c r="H50" i="2" s="1"/>
  <c r="K5" i="2"/>
  <c r="W5" i="2"/>
  <c r="Y5" i="2"/>
  <c r="E5" i="2"/>
  <c r="E50" i="2" s="1"/>
  <c r="C139" i="1"/>
  <c r="C119" i="1"/>
  <c r="C100" i="1"/>
  <c r="C81" i="1"/>
  <c r="D81" i="1" s="1"/>
  <c r="C62" i="1"/>
  <c r="C43" i="1"/>
  <c r="D82" i="1"/>
  <c r="D80" i="1"/>
  <c r="D120" i="1"/>
  <c r="D101" i="1"/>
  <c r="K131" i="1"/>
  <c r="L131" i="1" s="1"/>
  <c r="AF5" i="2" s="1"/>
  <c r="AE13" i="2" s="1"/>
  <c r="J136" i="1"/>
  <c r="I136" i="1"/>
  <c r="K135" i="1"/>
  <c r="D141" i="1" s="1"/>
  <c r="I134" i="1"/>
  <c r="H134" i="1"/>
  <c r="J132" i="1"/>
  <c r="I132" i="1"/>
  <c r="H132" i="1"/>
  <c r="J117" i="1"/>
  <c r="I117" i="1"/>
  <c r="K116" i="1"/>
  <c r="D121" i="1" s="1"/>
  <c r="J113" i="1"/>
  <c r="K112" i="1"/>
  <c r="AJ6" i="2" s="1"/>
  <c r="J98" i="1"/>
  <c r="I98" i="1"/>
  <c r="K97" i="1"/>
  <c r="D102" i="1" s="1"/>
  <c r="J94" i="1"/>
  <c r="I94" i="1"/>
  <c r="H94" i="1"/>
  <c r="K93" i="1"/>
  <c r="AP8" i="2" s="1"/>
  <c r="J79" i="1"/>
  <c r="I79" i="1"/>
  <c r="H79" i="1"/>
  <c r="K78" i="1"/>
  <c r="D83" i="1" s="1"/>
  <c r="J75" i="1"/>
  <c r="I75" i="1"/>
  <c r="H75" i="1"/>
  <c r="K74" i="1"/>
  <c r="L74" i="1" s="1"/>
  <c r="AV10" i="2" s="1"/>
  <c r="K59" i="1"/>
  <c r="D64" i="1" s="1"/>
  <c r="J60" i="1"/>
  <c r="I58" i="1"/>
  <c r="H58" i="1"/>
  <c r="J56" i="1"/>
  <c r="I56" i="1"/>
  <c r="H56" i="1"/>
  <c r="K55" i="1"/>
  <c r="AN9" i="2" s="1"/>
  <c r="K40" i="1"/>
  <c r="D45" i="1" s="1"/>
  <c r="K38" i="1"/>
  <c r="D44" i="1" s="1"/>
  <c r="J41" i="1"/>
  <c r="I41" i="1"/>
  <c r="H41" i="1"/>
  <c r="H39" i="1"/>
  <c r="J39" i="1"/>
  <c r="I39" i="1"/>
  <c r="D42" i="1"/>
  <c r="D43" i="1" s="1"/>
  <c r="I37" i="1"/>
  <c r="J37" i="1"/>
  <c r="H37" i="1"/>
  <c r="V8" i="1"/>
  <c r="V9" i="1"/>
  <c r="V10" i="1"/>
  <c r="V11" i="1"/>
  <c r="V12" i="1"/>
  <c r="V7" i="1"/>
  <c r="O17" i="1"/>
  <c r="O18" i="1"/>
  <c r="P18" i="1"/>
  <c r="O19" i="1"/>
  <c r="P19" i="1"/>
  <c r="O20" i="1"/>
  <c r="P20" i="1"/>
  <c r="O21" i="1"/>
  <c r="P21" i="1"/>
  <c r="O22" i="1"/>
  <c r="P22" i="1"/>
  <c r="P17" i="1"/>
  <c r="Q7" i="1"/>
  <c r="Q17" i="1" s="1"/>
  <c r="H25" i="1"/>
  <c r="H24" i="1"/>
  <c r="H23" i="1"/>
  <c r="Q8" i="1"/>
  <c r="Q18" i="1" s="1"/>
  <c r="Q9" i="1"/>
  <c r="Q19" i="1" s="1"/>
  <c r="Q10" i="1"/>
  <c r="Q20" i="1" s="1"/>
  <c r="Q11" i="1"/>
  <c r="Q21" i="1" s="1"/>
  <c r="Q12" i="1"/>
  <c r="Q22" i="1" s="1"/>
  <c r="H13" i="1"/>
  <c r="H14" i="1" s="1"/>
  <c r="U13" i="1"/>
  <c r="W14" i="1" s="1"/>
  <c r="P13" i="1"/>
  <c r="Q13" i="1" s="1"/>
  <c r="I13" i="1"/>
  <c r="I14" i="1" s="1"/>
  <c r="J13" i="1"/>
  <c r="J14" i="1" s="1"/>
  <c r="K13" i="1"/>
  <c r="K14" i="1" s="1"/>
  <c r="L13" i="1"/>
  <c r="M13" i="1"/>
  <c r="N13" i="1"/>
  <c r="O13" i="1"/>
  <c r="R13" i="1"/>
  <c r="T14" i="1" s="1"/>
  <c r="S13" i="1"/>
  <c r="U14" i="1" s="1"/>
  <c r="T13" i="1"/>
  <c r="V14" i="1" s="1"/>
  <c r="F11" i="1"/>
  <c r="F9" i="1"/>
  <c r="G12" i="1"/>
  <c r="G11" i="1"/>
  <c r="G10" i="1"/>
  <c r="G9" i="1"/>
  <c r="G8" i="1"/>
  <c r="J30" i="3" l="1"/>
  <c r="AZ142" i="28"/>
  <c r="AZ146" i="28" s="1"/>
  <c r="AZ147" i="28" s="1"/>
  <c r="AZ97" i="28"/>
  <c r="CX71" i="28"/>
  <c r="BG71" i="28"/>
  <c r="AZ72" i="28"/>
  <c r="CI127" i="32"/>
  <c r="CI145" i="32"/>
  <c r="DC81" i="32"/>
  <c r="AL128" i="28"/>
  <c r="CV73" i="28"/>
  <c r="AS73" i="28"/>
  <c r="CW72" i="28"/>
  <c r="BD71" i="2"/>
  <c r="AH19" i="2"/>
  <c r="BD16" i="2"/>
  <c r="BD96" i="2"/>
  <c r="AP19" i="2"/>
  <c r="AJ19" i="2"/>
  <c r="AV19" i="2"/>
  <c r="AR19" i="2"/>
  <c r="U5" i="2"/>
  <c r="AA5" i="2"/>
  <c r="AN5" i="2"/>
  <c r="AE66" i="2"/>
  <c r="BB5" i="2"/>
  <c r="BA66" i="2" s="1"/>
  <c r="AL5" i="2"/>
  <c r="AK13" i="2" s="1"/>
  <c r="AF50" i="2"/>
  <c r="AE50" i="2" s="1"/>
  <c r="S5" i="2"/>
  <c r="R66" i="2" s="1"/>
  <c r="Q5" i="2"/>
  <c r="Q58" i="2" s="1"/>
  <c r="P58" i="2" s="1"/>
  <c r="AZ5" i="2"/>
  <c r="AJ5" i="2"/>
  <c r="AI66" i="2" s="1"/>
  <c r="AF58" i="2"/>
  <c r="AE58" i="2" s="1"/>
  <c r="D139" i="1"/>
  <c r="O5" i="2"/>
  <c r="AX5" i="2"/>
  <c r="AW66" i="2" s="1"/>
  <c r="AH5" i="2"/>
  <c r="D138" i="1"/>
  <c r="M5" i="2"/>
  <c r="AV5" i="2"/>
  <c r="AP6" i="2"/>
  <c r="Y6" i="2"/>
  <c r="W6" i="2"/>
  <c r="S6" i="2"/>
  <c r="AF6" i="2"/>
  <c r="AN6" i="2"/>
  <c r="D119" i="1"/>
  <c r="AL6" i="2"/>
  <c r="AK14" i="2" s="1"/>
  <c r="D118" i="1"/>
  <c r="L112" i="1"/>
  <c r="Q6" i="2"/>
  <c r="Q59" i="2" s="1"/>
  <c r="P59" i="2" s="1"/>
  <c r="AH6" i="2"/>
  <c r="AH59" i="2" s="1"/>
  <c r="AG59" i="2" s="1"/>
  <c r="AT8" i="2"/>
  <c r="AR8" i="2"/>
  <c r="D99" i="1"/>
  <c r="L93" i="1"/>
  <c r="BB8" i="2" s="1"/>
  <c r="BA16" i="2" s="1"/>
  <c r="AN8" i="2"/>
  <c r="AL8" i="2"/>
  <c r="AL61" i="2" s="1"/>
  <c r="AK61" i="2" s="1"/>
  <c r="AF8" i="2"/>
  <c r="AE16" i="2" s="1"/>
  <c r="AJ8" i="2"/>
  <c r="AX8" i="2"/>
  <c r="AH8" i="2"/>
  <c r="D100" i="1"/>
  <c r="AV8" i="2"/>
  <c r="AZ8" i="2"/>
  <c r="W10" i="2"/>
  <c r="AJ10" i="2"/>
  <c r="AF10" i="2"/>
  <c r="BB10" i="2"/>
  <c r="BA70" i="2" s="1"/>
  <c r="AT10" i="2"/>
  <c r="AT63" i="2" s="1"/>
  <c r="AS63" i="2" s="1"/>
  <c r="AR10" i="2"/>
  <c r="AQ70" i="2" s="1"/>
  <c r="AZ10" i="2"/>
  <c r="AY70" i="2" s="1"/>
  <c r="AP10" i="2"/>
  <c r="AX10" i="2"/>
  <c r="S10" i="2"/>
  <c r="AN10" i="2"/>
  <c r="AM70" i="2" s="1"/>
  <c r="Y10" i="2"/>
  <c r="AL10" i="2"/>
  <c r="AL63" i="2" s="1"/>
  <c r="AK63" i="2" s="1"/>
  <c r="AP9" i="2"/>
  <c r="D61" i="1"/>
  <c r="L55" i="1"/>
  <c r="BB9" i="2" s="1"/>
  <c r="AF9" i="2"/>
  <c r="AE69" i="2" s="1"/>
  <c r="AJ9" i="2"/>
  <c r="AI17" i="2" s="1"/>
  <c r="AL9" i="2"/>
  <c r="AK69" i="2" s="1"/>
  <c r="AX9" i="2"/>
  <c r="AX54" i="2" s="1"/>
  <c r="AW54" i="2" s="1"/>
  <c r="AH9" i="2"/>
  <c r="BD9" i="2" s="1"/>
  <c r="BC69" i="2" s="1"/>
  <c r="D62" i="1"/>
  <c r="AT9" i="2"/>
  <c r="DC79" i="24"/>
  <c r="CI125" i="24"/>
  <c r="CI143" i="24"/>
  <c r="CI80" i="24"/>
  <c r="CI129" i="24"/>
  <c r="J79" i="28"/>
  <c r="J98" i="28"/>
  <c r="J99" i="28" s="1"/>
  <c r="CR78" i="28"/>
  <c r="D63" i="1"/>
  <c r="L57" i="1"/>
  <c r="AD23" i="2" s="1"/>
  <c r="B23" i="2"/>
  <c r="I23" i="2" s="1"/>
  <c r="BB19" i="2"/>
  <c r="BD17" i="2"/>
  <c r="AS17" i="2"/>
  <c r="AN19" i="2"/>
  <c r="BD15" i="2"/>
  <c r="BD22" i="2"/>
  <c r="BD13" i="2"/>
  <c r="AX58" i="2"/>
  <c r="AW58" i="2" s="1"/>
  <c r="AP58" i="2"/>
  <c r="AO58" i="2" s="1"/>
  <c r="AO66" i="2"/>
  <c r="AP50" i="2"/>
  <c r="AH58" i="2"/>
  <c r="AG58" i="2" s="1"/>
  <c r="AG66" i="2"/>
  <c r="AH50" i="2"/>
  <c r="AJ59" i="2"/>
  <c r="AI59" i="2" s="1"/>
  <c r="AJ51" i="2"/>
  <c r="AI51" i="2" s="1"/>
  <c r="AJ60" i="2"/>
  <c r="AI60" i="2" s="1"/>
  <c r="AI68" i="2"/>
  <c r="AJ52" i="2"/>
  <c r="AI52" i="2" s="1"/>
  <c r="AZ60" i="2"/>
  <c r="AY60" i="2" s="1"/>
  <c r="AY68" i="2"/>
  <c r="AZ52" i="2"/>
  <c r="AY52" i="2" s="1"/>
  <c r="AR60" i="2"/>
  <c r="AQ60" i="2" s="1"/>
  <c r="AQ68" i="2"/>
  <c r="AR52" i="2"/>
  <c r="AT61" i="2"/>
  <c r="AS61" i="2" s="1"/>
  <c r="AT53" i="2"/>
  <c r="AS53" i="2" s="1"/>
  <c r="AL53" i="2"/>
  <c r="AK53" i="2" s="1"/>
  <c r="AP62" i="2"/>
  <c r="AO62" i="2" s="1"/>
  <c r="AP54" i="2"/>
  <c r="AO54" i="2" s="1"/>
  <c r="AO17" i="2"/>
  <c r="AN55" i="2"/>
  <c r="AM55" i="2" s="1"/>
  <c r="AT55" i="2"/>
  <c r="AS55" i="2" s="1"/>
  <c r="AU70" i="2"/>
  <c r="AV63" i="2"/>
  <c r="AU63" i="2" s="1"/>
  <c r="AV55" i="2"/>
  <c r="AU55" i="2" s="1"/>
  <c r="BB62" i="2"/>
  <c r="BA62" i="2" s="1"/>
  <c r="BB54" i="2"/>
  <c r="BA54" i="2" s="1"/>
  <c r="BA17" i="2"/>
  <c r="E96" i="2"/>
  <c r="AO13" i="2"/>
  <c r="AE17" i="2"/>
  <c r="AG69" i="2"/>
  <c r="AO16" i="2"/>
  <c r="AI18" i="2"/>
  <c r="AE18" i="2"/>
  <c r="BD18" i="2"/>
  <c r="AI15" i="2"/>
  <c r="AW15" i="2"/>
  <c r="AQ17" i="2"/>
  <c r="AM13" i="2"/>
  <c r="AG15" i="2"/>
  <c r="AW22" i="2"/>
  <c r="AU22" i="2"/>
  <c r="AW18" i="2"/>
  <c r="AM16" i="2"/>
  <c r="AG18" i="2"/>
  <c r="AY15" i="2"/>
  <c r="AX19" i="2"/>
  <c r="BA15" i="2"/>
  <c r="AH51" i="2"/>
  <c r="AG51" i="2" s="1"/>
  <c r="AF60" i="2"/>
  <c r="AE60" i="2" s="1"/>
  <c r="AE68" i="2"/>
  <c r="AF52" i="2"/>
  <c r="AE52" i="2" s="1"/>
  <c r="AE15" i="2"/>
  <c r="AR61" i="2"/>
  <c r="AQ61" i="2" s="1"/>
  <c r="AR53" i="2"/>
  <c r="AQ53" i="2" s="1"/>
  <c r="AJ61" i="2"/>
  <c r="AI61" i="2" s="1"/>
  <c r="AJ53" i="2"/>
  <c r="AI53" i="2" s="1"/>
  <c r="AV62" i="2"/>
  <c r="AU62" i="2" s="1"/>
  <c r="AV54" i="2"/>
  <c r="AU54" i="2" s="1"/>
  <c r="AN62" i="2"/>
  <c r="AM62" i="2" s="1"/>
  <c r="AM69" i="2"/>
  <c r="AN54" i="2"/>
  <c r="AM54" i="2" s="1"/>
  <c r="AF63" i="2"/>
  <c r="AE63" i="2" s="1"/>
  <c r="AF55" i="2"/>
  <c r="AE55" i="2" s="1"/>
  <c r="AL55" i="2"/>
  <c r="AK55" i="2" s="1"/>
  <c r="BB63" i="2"/>
  <c r="BA63" i="2" s="1"/>
  <c r="BB55" i="2"/>
  <c r="BA55" i="2" s="1"/>
  <c r="AZ61" i="2"/>
  <c r="AY61" i="2" s="1"/>
  <c r="AZ53" i="2"/>
  <c r="AY53" i="2" s="1"/>
  <c r="AA13" i="2"/>
  <c r="G13" i="2"/>
  <c r="E13" i="2"/>
  <c r="D13" i="2" s="1"/>
  <c r="AE70" i="2"/>
  <c r="AO69" i="2"/>
  <c r="AY69" i="2"/>
  <c r="AI67" i="2"/>
  <c r="AS68" i="2"/>
  <c r="AQ22" i="2"/>
  <c r="AS16" i="2"/>
  <c r="AM18" i="2"/>
  <c r="AI14" i="2"/>
  <c r="AU17" i="2"/>
  <c r="AQ13" i="2"/>
  <c r="AK15" i="2"/>
  <c r="AF19" i="2"/>
  <c r="AQ16" i="2"/>
  <c r="AK18" i="2"/>
  <c r="AG14" i="2"/>
  <c r="AT19" i="2"/>
  <c r="AV58" i="2"/>
  <c r="AU58" i="2" s="1"/>
  <c r="AU66" i="2"/>
  <c r="AV50" i="2"/>
  <c r="AH60" i="2"/>
  <c r="AG60" i="2" s="1"/>
  <c r="AH52" i="2"/>
  <c r="AG52" i="2" s="1"/>
  <c r="AG22" i="2"/>
  <c r="AL58" i="2"/>
  <c r="AK58" i="2" s="1"/>
  <c r="AL50" i="2"/>
  <c r="AN59" i="2"/>
  <c r="AM59" i="2" s="1"/>
  <c r="AN51" i="2"/>
  <c r="AM51" i="2" s="1"/>
  <c r="AP59" i="2"/>
  <c r="AO59" i="2" s="1"/>
  <c r="AO67" i="2"/>
  <c r="AP51" i="2"/>
  <c r="AO51" i="2" s="1"/>
  <c r="AN60" i="2"/>
  <c r="AM60" i="2" s="1"/>
  <c r="AN52" i="2"/>
  <c r="AM52" i="2" s="1"/>
  <c r="AP60" i="2"/>
  <c r="AO60" i="2" s="1"/>
  <c r="AP52" i="2"/>
  <c r="AO52" i="2" s="1"/>
  <c r="AV60" i="2"/>
  <c r="AU60" i="2" s="1"/>
  <c r="AV52" i="2"/>
  <c r="AU52" i="2" s="1"/>
  <c r="AX61" i="2"/>
  <c r="AW61" i="2" s="1"/>
  <c r="AX53" i="2"/>
  <c r="AW53" i="2" s="1"/>
  <c r="AP61" i="2"/>
  <c r="AO61" i="2" s="1"/>
  <c r="AP53" i="2"/>
  <c r="AO53" i="2" s="1"/>
  <c r="AH61" i="2"/>
  <c r="AG61" i="2" s="1"/>
  <c r="AH53" i="2"/>
  <c r="AG53" i="2" s="1"/>
  <c r="AT62" i="2"/>
  <c r="AS62" i="2" s="1"/>
  <c r="AT54" i="2"/>
  <c r="AS54" i="2" s="1"/>
  <c r="AL62" i="2"/>
  <c r="AK62" i="2" s="1"/>
  <c r="AJ55" i="2"/>
  <c r="AI55" i="2" s="1"/>
  <c r="AJ63" i="2"/>
  <c r="AI63" i="2" s="1"/>
  <c r="BB61" i="2"/>
  <c r="BA61" i="2" s="1"/>
  <c r="BB53" i="2"/>
  <c r="BA53" i="2" s="1"/>
  <c r="AG13" i="2"/>
  <c r="AM68" i="2"/>
  <c r="AM67" i="2"/>
  <c r="AK70" i="2"/>
  <c r="AS69" i="2"/>
  <c r="BA22" i="2"/>
  <c r="AW16" i="2"/>
  <c r="AQ18" i="2"/>
  <c r="AM14" i="2"/>
  <c r="AG16" i="2"/>
  <c r="AY17" i="2"/>
  <c r="AU13" i="2"/>
  <c r="AO15" i="2"/>
  <c r="AU16" i="2"/>
  <c r="AO18" i="2"/>
  <c r="AM15" i="2"/>
  <c r="AO22" i="2"/>
  <c r="AN58" i="2"/>
  <c r="AM58" i="2" s="1"/>
  <c r="AM66" i="2"/>
  <c r="AN50" i="2"/>
  <c r="AE67" i="2"/>
  <c r="AF59" i="2"/>
  <c r="AE59" i="2" s="1"/>
  <c r="AF51" i="2"/>
  <c r="AE51" i="2" s="1"/>
  <c r="AX60" i="2"/>
  <c r="AW60" i="2" s="1"/>
  <c r="AX52" i="2"/>
  <c r="AW52" i="2" s="1"/>
  <c r="AT58" i="2"/>
  <c r="AS58" i="2" s="1"/>
  <c r="AT50" i="2"/>
  <c r="AZ58" i="2"/>
  <c r="AY58" i="2" s="1"/>
  <c r="AZ50" i="2"/>
  <c r="AR50" i="2"/>
  <c r="AQ50" i="2" s="1"/>
  <c r="AR58" i="2"/>
  <c r="AQ58" i="2" s="1"/>
  <c r="AJ58" i="2"/>
  <c r="AI58" i="2" s="1"/>
  <c r="AJ50" i="2"/>
  <c r="AL60" i="2"/>
  <c r="AK60" i="2" s="1"/>
  <c r="AL52" i="2"/>
  <c r="AK52" i="2" s="1"/>
  <c r="BB60" i="2"/>
  <c r="BA60" i="2" s="1"/>
  <c r="BB52" i="2"/>
  <c r="BA52" i="2" s="1"/>
  <c r="AT60" i="2"/>
  <c r="AS60" i="2" s="1"/>
  <c r="AT52" i="2"/>
  <c r="AS52" i="2" s="1"/>
  <c r="AV53" i="2"/>
  <c r="AU53" i="2" s="1"/>
  <c r="AV61" i="2"/>
  <c r="AU61" i="2" s="1"/>
  <c r="AN53" i="2"/>
  <c r="AM53" i="2" s="1"/>
  <c r="AN61" i="2"/>
  <c r="AM61" i="2" s="1"/>
  <c r="AR62" i="2"/>
  <c r="AQ62" i="2" s="1"/>
  <c r="AR54" i="2"/>
  <c r="AQ54" i="2" s="1"/>
  <c r="AJ62" i="2"/>
  <c r="AI62" i="2" s="1"/>
  <c r="AJ54" i="2"/>
  <c r="AI54" i="2" s="1"/>
  <c r="AP63" i="2"/>
  <c r="AO63" i="2" s="1"/>
  <c r="AO70" i="2"/>
  <c r="AP55" i="2"/>
  <c r="AO55" i="2" s="1"/>
  <c r="AH63" i="2"/>
  <c r="AG63" i="2" s="1"/>
  <c r="AG70" i="2"/>
  <c r="AH55" i="2"/>
  <c r="AG55" i="2" s="1"/>
  <c r="AX63" i="2"/>
  <c r="AW63" i="2" s="1"/>
  <c r="AW70" i="2"/>
  <c r="AX55" i="2"/>
  <c r="AW55" i="2" s="1"/>
  <c r="AZ62" i="2"/>
  <c r="AY62" i="2" s="1"/>
  <c r="AZ54" i="2"/>
  <c r="AY54" i="2" s="1"/>
  <c r="AS13" i="2"/>
  <c r="AE22" i="2"/>
  <c r="AY66" i="2"/>
  <c r="AU68" i="2"/>
  <c r="AI70" i="2"/>
  <c r="AK66" i="2"/>
  <c r="AI69" i="2"/>
  <c r="AS70" i="2"/>
  <c r="BA69" i="2"/>
  <c r="AU69" i="2"/>
  <c r="AU18" i="2"/>
  <c r="AK16" i="2"/>
  <c r="BD14" i="2"/>
  <c r="AE14" i="2"/>
  <c r="AQ15" i="2"/>
  <c r="AY13" i="2"/>
  <c r="AS15" i="2"/>
  <c r="AM17" i="2"/>
  <c r="AI13" i="2"/>
  <c r="AY22" i="2"/>
  <c r="AL19" i="2"/>
  <c r="AK22" i="2"/>
  <c r="AY16" i="2"/>
  <c r="AS18" i="2"/>
  <c r="AO14" i="2"/>
  <c r="AI16" i="2"/>
  <c r="BA18" i="2"/>
  <c r="AK17" i="2"/>
  <c r="AI22" i="2"/>
  <c r="AY18" i="2"/>
  <c r="BD8" i="2"/>
  <c r="BC16" i="2" s="1"/>
  <c r="BD7" i="2"/>
  <c r="BC68" i="2" s="1"/>
  <c r="K96" i="2"/>
  <c r="AA96" i="2"/>
  <c r="Y96" i="2"/>
  <c r="I96" i="2"/>
  <c r="I71" i="2"/>
  <c r="Q96" i="2"/>
  <c r="Q71" i="2"/>
  <c r="S96" i="2"/>
  <c r="AC92" i="2"/>
  <c r="AC88" i="2"/>
  <c r="AC90" i="2"/>
  <c r="AC91" i="2"/>
  <c r="AC89" i="2"/>
  <c r="AC86" i="2"/>
  <c r="AA71" i="2"/>
  <c r="S71" i="2"/>
  <c r="K71" i="2"/>
  <c r="AC87" i="2"/>
  <c r="W96" i="2"/>
  <c r="O96" i="2"/>
  <c r="G96" i="2"/>
  <c r="U96" i="2"/>
  <c r="M96" i="2"/>
  <c r="AC82" i="2"/>
  <c r="T66" i="2"/>
  <c r="L66" i="2"/>
  <c r="Z70" i="2"/>
  <c r="R70" i="2"/>
  <c r="X69" i="2"/>
  <c r="P69" i="2"/>
  <c r="H69" i="2"/>
  <c r="AC83" i="2"/>
  <c r="V66" i="2"/>
  <c r="N66" i="2"/>
  <c r="F66" i="2"/>
  <c r="T70" i="2"/>
  <c r="L70" i="2"/>
  <c r="T69" i="2"/>
  <c r="L69" i="2"/>
  <c r="T68" i="2"/>
  <c r="L68" i="2"/>
  <c r="AC68" i="2"/>
  <c r="T67" i="2"/>
  <c r="L67" i="2"/>
  <c r="AC67" i="2"/>
  <c r="AC94" i="2"/>
  <c r="D66" i="2"/>
  <c r="J70" i="2"/>
  <c r="Z69" i="2"/>
  <c r="R69" i="2"/>
  <c r="J69" i="2"/>
  <c r="Z68" i="2"/>
  <c r="R68" i="2"/>
  <c r="J68" i="2"/>
  <c r="Z67" i="2"/>
  <c r="R67" i="2"/>
  <c r="J67" i="2"/>
  <c r="D70" i="2"/>
  <c r="M71" i="2"/>
  <c r="G71" i="2"/>
  <c r="O71" i="2"/>
  <c r="W71" i="2"/>
  <c r="Z66" i="2"/>
  <c r="J66" i="2"/>
  <c r="X70" i="2"/>
  <c r="P70" i="2"/>
  <c r="H70" i="2"/>
  <c r="X68" i="2"/>
  <c r="P68" i="2"/>
  <c r="H68" i="2"/>
  <c r="X67" i="2"/>
  <c r="P67" i="2"/>
  <c r="H67" i="2"/>
  <c r="AC84" i="2"/>
  <c r="AC85" i="2"/>
  <c r="AC93" i="2"/>
  <c r="AC69" i="2"/>
  <c r="E71" i="2"/>
  <c r="U71" i="2"/>
  <c r="X66" i="2"/>
  <c r="P66" i="2"/>
  <c r="H66" i="2"/>
  <c r="V70" i="2"/>
  <c r="N70" i="2"/>
  <c r="F70" i="2"/>
  <c r="V69" i="2"/>
  <c r="N69" i="2"/>
  <c r="F69" i="2"/>
  <c r="V68" i="2"/>
  <c r="N68" i="2"/>
  <c r="F68" i="2"/>
  <c r="V67" i="2"/>
  <c r="N67" i="2"/>
  <c r="F67" i="2"/>
  <c r="AC95" i="2"/>
  <c r="AC66" i="2"/>
  <c r="AC70" i="2"/>
  <c r="Q51" i="2"/>
  <c r="P51" i="2" s="1"/>
  <c r="Y71" i="2"/>
  <c r="O61" i="2"/>
  <c r="O53" i="2"/>
  <c r="N53" i="2" s="1"/>
  <c r="E54" i="2"/>
  <c r="AC9" i="2"/>
  <c r="K52" i="2"/>
  <c r="J52" i="2" s="1"/>
  <c r="W61" i="2"/>
  <c r="Q62" i="2"/>
  <c r="P62" i="2" s="1"/>
  <c r="I62" i="2"/>
  <c r="H62" i="2" s="1"/>
  <c r="S63" i="2"/>
  <c r="R63" i="2" s="1"/>
  <c r="AA63" i="2"/>
  <c r="Z63" i="2" s="1"/>
  <c r="E58" i="2"/>
  <c r="S58" i="2"/>
  <c r="R58" i="2" s="1"/>
  <c r="K58" i="2"/>
  <c r="J58" i="2" s="1"/>
  <c r="S59" i="2"/>
  <c r="R59" i="2" s="1"/>
  <c r="S51" i="2"/>
  <c r="R51" i="2" s="1"/>
  <c r="K59" i="2"/>
  <c r="J59" i="2" s="1"/>
  <c r="K51" i="2"/>
  <c r="J51" i="2" s="1"/>
  <c r="E60" i="2"/>
  <c r="E52" i="2"/>
  <c r="AC7" i="2"/>
  <c r="G60" i="2"/>
  <c r="F60" i="2" s="1"/>
  <c r="W60" i="2"/>
  <c r="V60" i="2" s="1"/>
  <c r="E53" i="2"/>
  <c r="AC8" i="2"/>
  <c r="S61" i="2"/>
  <c r="K53" i="2"/>
  <c r="J53" i="2" s="1"/>
  <c r="W62" i="2"/>
  <c r="V62" i="2" s="1"/>
  <c r="W54" i="2"/>
  <c r="V54" i="2" s="1"/>
  <c r="O62" i="2"/>
  <c r="N62" i="2" s="1"/>
  <c r="G62" i="2"/>
  <c r="F62" i="2" s="1"/>
  <c r="G54" i="2"/>
  <c r="F54" i="2" s="1"/>
  <c r="E63" i="2"/>
  <c r="AC10" i="2"/>
  <c r="K63" i="2"/>
  <c r="J63" i="2" s="1"/>
  <c r="K55" i="2"/>
  <c r="J55" i="2" s="1"/>
  <c r="Y63" i="2"/>
  <c r="X63" i="2" s="1"/>
  <c r="Y55" i="2"/>
  <c r="X55" i="2" s="1"/>
  <c r="Q50" i="2"/>
  <c r="P50" i="2" s="1"/>
  <c r="G61" i="2"/>
  <c r="AA59" i="2"/>
  <c r="Z59" i="2" s="1"/>
  <c r="AA51" i="2"/>
  <c r="Z51" i="2" s="1"/>
  <c r="Y58" i="2"/>
  <c r="X58" i="2" s="1"/>
  <c r="Y50" i="2"/>
  <c r="X50" i="2" s="1"/>
  <c r="Y59" i="2"/>
  <c r="X59" i="2" s="1"/>
  <c r="Y51" i="2"/>
  <c r="X51" i="2" s="1"/>
  <c r="E59" i="2"/>
  <c r="AC6" i="2"/>
  <c r="I59" i="2"/>
  <c r="H59" i="2" s="1"/>
  <c r="I51" i="2"/>
  <c r="H51" i="2" s="1"/>
  <c r="M60" i="2"/>
  <c r="L60" i="2" s="1"/>
  <c r="O60" i="2"/>
  <c r="N60" i="2" s="1"/>
  <c r="U60" i="2"/>
  <c r="T60" i="2" s="1"/>
  <c r="U52" i="2"/>
  <c r="T52" i="2" s="1"/>
  <c r="U62" i="2"/>
  <c r="T62" i="2" s="1"/>
  <c r="M62" i="2"/>
  <c r="L62" i="2" s="1"/>
  <c r="AA62" i="2"/>
  <c r="Z62" i="2" s="1"/>
  <c r="Q63" i="2"/>
  <c r="P63" i="2" s="1"/>
  <c r="I55" i="2"/>
  <c r="H55" i="2" s="1"/>
  <c r="W63" i="2"/>
  <c r="V63" i="2" s="1"/>
  <c r="O54" i="2"/>
  <c r="N54" i="2" s="1"/>
  <c r="O58" i="2"/>
  <c r="N58" i="2" s="1"/>
  <c r="O50" i="2"/>
  <c r="N50" i="2" s="1"/>
  <c r="G58" i="2"/>
  <c r="F58" i="2" s="1"/>
  <c r="G50" i="2"/>
  <c r="F50" i="2" s="1"/>
  <c r="W59" i="2"/>
  <c r="V59" i="2" s="1"/>
  <c r="W51" i="2"/>
  <c r="V51" i="2" s="1"/>
  <c r="O59" i="2"/>
  <c r="N59" i="2" s="1"/>
  <c r="O51" i="2"/>
  <c r="N51" i="2" s="1"/>
  <c r="G59" i="2"/>
  <c r="F59" i="2" s="1"/>
  <c r="G51" i="2"/>
  <c r="F51" i="2" s="1"/>
  <c r="Q60" i="2"/>
  <c r="P60" i="2" s="1"/>
  <c r="Q52" i="2"/>
  <c r="P52" i="2" s="1"/>
  <c r="S60" i="2"/>
  <c r="S52" i="2"/>
  <c r="R52" i="2" s="1"/>
  <c r="S62" i="2"/>
  <c r="R62" i="2" s="1"/>
  <c r="S54" i="2"/>
  <c r="R54" i="2" s="1"/>
  <c r="K62" i="2"/>
  <c r="J62" i="2" s="1"/>
  <c r="K54" i="2"/>
  <c r="J54" i="2" s="1"/>
  <c r="N63" i="2"/>
  <c r="O55" i="2"/>
  <c r="N55" i="2" s="1"/>
  <c r="G63" i="2"/>
  <c r="F63" i="2" s="1"/>
  <c r="G55" i="2"/>
  <c r="F55" i="2" s="1"/>
  <c r="U63" i="2"/>
  <c r="T63" i="2" s="1"/>
  <c r="U55" i="2"/>
  <c r="T55" i="2" s="1"/>
  <c r="S55" i="2"/>
  <c r="R55" i="2" s="1"/>
  <c r="Y54" i="2"/>
  <c r="X54" i="2" s="1"/>
  <c r="I54" i="2"/>
  <c r="H54" i="2" s="1"/>
  <c r="G53" i="2"/>
  <c r="F53" i="2" s="1"/>
  <c r="U58" i="2"/>
  <c r="T58" i="2" s="1"/>
  <c r="U50" i="2"/>
  <c r="T50" i="2" s="1"/>
  <c r="M58" i="2"/>
  <c r="M50" i="2"/>
  <c r="L50" i="2" s="1"/>
  <c r="U59" i="2"/>
  <c r="T59" i="2" s="1"/>
  <c r="U51" i="2"/>
  <c r="T51" i="2" s="1"/>
  <c r="M59" i="2"/>
  <c r="L59" i="2" s="1"/>
  <c r="M51" i="2"/>
  <c r="L51" i="2" s="1"/>
  <c r="I60" i="2"/>
  <c r="H60" i="2" s="1"/>
  <c r="I52" i="2"/>
  <c r="H52" i="2" s="1"/>
  <c r="AA60" i="2"/>
  <c r="Z60" i="2" s="1"/>
  <c r="AA52" i="2"/>
  <c r="Z52" i="2" s="1"/>
  <c r="M61" i="2"/>
  <c r="M53" i="2"/>
  <c r="L53" i="2" s="1"/>
  <c r="AA61" i="2"/>
  <c r="AA53" i="2"/>
  <c r="Z53" i="2" s="1"/>
  <c r="W58" i="2"/>
  <c r="W50" i="2"/>
  <c r="V50" i="2" s="1"/>
  <c r="AA58" i="2"/>
  <c r="AA50" i="2"/>
  <c r="Z50" i="2" s="1"/>
  <c r="Y60" i="2"/>
  <c r="X60" i="2" s="1"/>
  <c r="Y52" i="2"/>
  <c r="X52" i="2" s="1"/>
  <c r="U61" i="2"/>
  <c r="U53" i="2"/>
  <c r="T53" i="2" s="1"/>
  <c r="M63" i="2"/>
  <c r="L63" i="2" s="1"/>
  <c r="M55" i="2"/>
  <c r="L55" i="2" s="1"/>
  <c r="AA55" i="2"/>
  <c r="Z55" i="2" s="1"/>
  <c r="Q54" i="2"/>
  <c r="P54" i="2" s="1"/>
  <c r="W53" i="2"/>
  <c r="V53" i="2" s="1"/>
  <c r="E51" i="2"/>
  <c r="W55" i="2"/>
  <c r="V55" i="2" s="1"/>
  <c r="U54" i="2"/>
  <c r="T54" i="2" s="1"/>
  <c r="M54" i="2"/>
  <c r="L54" i="2" s="1"/>
  <c r="S53" i="2"/>
  <c r="R53" i="2" s="1"/>
  <c r="E55" i="2"/>
  <c r="AA54" i="2"/>
  <c r="Z54" i="2" s="1"/>
  <c r="Y53" i="2"/>
  <c r="X53" i="2" s="1"/>
  <c r="Q53" i="2"/>
  <c r="P53" i="2" s="1"/>
  <c r="I53" i="2"/>
  <c r="H53" i="2" s="1"/>
  <c r="W52" i="2"/>
  <c r="V52" i="2" s="1"/>
  <c r="O52" i="2"/>
  <c r="N52" i="2" s="1"/>
  <c r="G52" i="2"/>
  <c r="F52" i="2" s="1"/>
  <c r="S50" i="2"/>
  <c r="R50" i="2" s="1"/>
  <c r="K50" i="2"/>
  <c r="J50" i="2" s="1"/>
  <c r="E61" i="2"/>
  <c r="K61" i="2"/>
  <c r="I11" i="2"/>
  <c r="H6" i="2" s="1"/>
  <c r="I35" i="2" s="1"/>
  <c r="H35" i="2" s="1"/>
  <c r="I58" i="2"/>
  <c r="H58" i="2" s="1"/>
  <c r="E62" i="2"/>
  <c r="I63" i="2"/>
  <c r="H63" i="2" s="1"/>
  <c r="K60" i="2"/>
  <c r="J60" i="2" s="1"/>
  <c r="D68" i="2"/>
  <c r="D69" i="2"/>
  <c r="S11" i="2"/>
  <c r="R8" i="2" s="1"/>
  <c r="S29" i="2" s="1"/>
  <c r="R29" i="2" s="1"/>
  <c r="K11" i="2"/>
  <c r="J8" i="2" s="1"/>
  <c r="K29" i="2" s="1"/>
  <c r="J29" i="2" s="1"/>
  <c r="E18" i="2"/>
  <c r="D67" i="2"/>
  <c r="M14" i="2"/>
  <c r="L14" i="2" s="1"/>
  <c r="AA14" i="2"/>
  <c r="Z14" i="2" s="1"/>
  <c r="U14" i="2"/>
  <c r="T14" i="2" s="1"/>
  <c r="F22" i="2"/>
  <c r="E14" i="2"/>
  <c r="M18" i="2"/>
  <c r="L18" i="2" s="1"/>
  <c r="U18" i="2"/>
  <c r="T18" i="2" s="1"/>
  <c r="AA16" i="2"/>
  <c r="H23" i="2"/>
  <c r="I14" i="2"/>
  <c r="Q14" i="2"/>
  <c r="P14" i="2" s="1"/>
  <c r="Y14" i="2"/>
  <c r="X14" i="2" s="1"/>
  <c r="AA18" i="2"/>
  <c r="Z18" i="2" s="1"/>
  <c r="U22" i="2"/>
  <c r="T22" i="2" s="1"/>
  <c r="I18" i="2"/>
  <c r="H18" i="2" s="1"/>
  <c r="Q18" i="2"/>
  <c r="P18" i="2" s="1"/>
  <c r="Y18" i="2"/>
  <c r="X18" i="2" s="1"/>
  <c r="M22" i="2"/>
  <c r="L22" i="2" s="1"/>
  <c r="E15" i="2"/>
  <c r="G15" i="2"/>
  <c r="I13" i="2"/>
  <c r="I17" i="2"/>
  <c r="H17" i="2" s="1"/>
  <c r="K15" i="2"/>
  <c r="M13" i="2"/>
  <c r="M17" i="2"/>
  <c r="L17" i="2" s="1"/>
  <c r="O15" i="2"/>
  <c r="Q13" i="2"/>
  <c r="Q17" i="2"/>
  <c r="P17" i="2" s="1"/>
  <c r="S15" i="2"/>
  <c r="U13" i="2"/>
  <c r="U17" i="2"/>
  <c r="T17" i="2" s="1"/>
  <c r="W15" i="2"/>
  <c r="Y13" i="2"/>
  <c r="Y17" i="2"/>
  <c r="X17" i="2" s="1"/>
  <c r="E23" i="2"/>
  <c r="W23" i="2"/>
  <c r="V23" i="2" s="1"/>
  <c r="O23" i="2"/>
  <c r="N23" i="2" s="1"/>
  <c r="G23" i="2"/>
  <c r="F23" i="2" s="1"/>
  <c r="G16" i="2"/>
  <c r="K16" i="2"/>
  <c r="O16" i="2"/>
  <c r="S16" i="2"/>
  <c r="W16" i="2"/>
  <c r="AA17" i="2"/>
  <c r="Z17" i="2" s="1"/>
  <c r="E22" i="2"/>
  <c r="U23" i="2"/>
  <c r="T23" i="2" s="1"/>
  <c r="M23" i="2"/>
  <c r="L23" i="2" s="1"/>
  <c r="AA22" i="2"/>
  <c r="Z22" i="2" s="1"/>
  <c r="S22" i="2"/>
  <c r="R22" i="2" s="1"/>
  <c r="K22" i="2"/>
  <c r="J22" i="2" s="1"/>
  <c r="E17" i="2"/>
  <c r="G17" i="2"/>
  <c r="F17" i="2" s="1"/>
  <c r="I15" i="2"/>
  <c r="K13" i="2"/>
  <c r="K17" i="2"/>
  <c r="J17" i="2" s="1"/>
  <c r="M15" i="2"/>
  <c r="O13" i="2"/>
  <c r="O17" i="2"/>
  <c r="N17" i="2" s="1"/>
  <c r="Q15" i="2"/>
  <c r="S13" i="2"/>
  <c r="S17" i="2"/>
  <c r="R17" i="2" s="1"/>
  <c r="U15" i="2"/>
  <c r="W13" i="2"/>
  <c r="Y15" i="2"/>
  <c r="AA23" i="2"/>
  <c r="Z23" i="2" s="1"/>
  <c r="S23" i="2"/>
  <c r="R23" i="2" s="1"/>
  <c r="K23" i="2"/>
  <c r="J23" i="2" s="1"/>
  <c r="Y22" i="2"/>
  <c r="X22" i="2" s="1"/>
  <c r="Q22" i="2"/>
  <c r="P22" i="2" s="1"/>
  <c r="I22" i="2"/>
  <c r="H22" i="2" s="1"/>
  <c r="E16" i="2"/>
  <c r="G14" i="2"/>
  <c r="F14" i="2" s="1"/>
  <c r="G18" i="2"/>
  <c r="F18" i="2" s="1"/>
  <c r="I16" i="2"/>
  <c r="K14" i="2"/>
  <c r="J14" i="2" s="1"/>
  <c r="K18" i="2"/>
  <c r="J18" i="2" s="1"/>
  <c r="M16" i="2"/>
  <c r="O14" i="2"/>
  <c r="N14" i="2" s="1"/>
  <c r="O18" i="2"/>
  <c r="N18" i="2" s="1"/>
  <c r="Q16" i="2"/>
  <c r="S14" i="2"/>
  <c r="R14" i="2" s="1"/>
  <c r="S18" i="2"/>
  <c r="R18" i="2" s="1"/>
  <c r="U16" i="2"/>
  <c r="Y23" i="2"/>
  <c r="X23" i="2" s="1"/>
  <c r="Q23" i="2"/>
  <c r="P23" i="2" s="1"/>
  <c r="W22" i="2"/>
  <c r="V22" i="2" s="1"/>
  <c r="O22" i="2"/>
  <c r="N22" i="2" s="1"/>
  <c r="V14" i="2"/>
  <c r="V18" i="2"/>
  <c r="V17" i="2"/>
  <c r="Y11" i="2"/>
  <c r="Q11" i="2"/>
  <c r="W11" i="2"/>
  <c r="G11" i="2"/>
  <c r="O11" i="2"/>
  <c r="AJ11" i="2"/>
  <c r="AI5" i="2" s="1"/>
  <c r="U11" i="2"/>
  <c r="M11" i="2"/>
  <c r="AA11" i="2"/>
  <c r="AP11" i="2"/>
  <c r="AO19" i="2" s="1"/>
  <c r="AN11" i="2"/>
  <c r="AM71" i="2" s="1"/>
  <c r="E11" i="2"/>
  <c r="G13" i="1"/>
  <c r="V13" i="1"/>
  <c r="X14" i="1" s="1"/>
  <c r="F13" i="1"/>
  <c r="J31" i="3" l="1"/>
  <c r="BG142" i="28"/>
  <c r="BG146" i="28" s="1"/>
  <c r="BG147" i="28" s="1"/>
  <c r="CY71" i="28"/>
  <c r="BG97" i="28"/>
  <c r="BN71" i="28"/>
  <c r="BG72" i="28"/>
  <c r="AS128" i="28"/>
  <c r="CW73" i="28"/>
  <c r="AZ73" i="28"/>
  <c r="CX72" i="28"/>
  <c r="BB50" i="2"/>
  <c r="AC5" i="2"/>
  <c r="BB58" i="2"/>
  <c r="BA58" i="2" s="1"/>
  <c r="BA13" i="2"/>
  <c r="BD5" i="2"/>
  <c r="BC66" i="2" s="1"/>
  <c r="AW13" i="2"/>
  <c r="AX50" i="2"/>
  <c r="AW50" i="2" s="1"/>
  <c r="AC50" i="2"/>
  <c r="AL11" i="2"/>
  <c r="AK67" i="2"/>
  <c r="AL59" i="2"/>
  <c r="AK59" i="2" s="1"/>
  <c r="AL51" i="2"/>
  <c r="AK51" i="2" s="1"/>
  <c r="AG67" i="2"/>
  <c r="AT6" i="2"/>
  <c r="BB6" i="2"/>
  <c r="AV6" i="2"/>
  <c r="AX6" i="2"/>
  <c r="AZ6" i="2"/>
  <c r="AR6" i="2"/>
  <c r="AF53" i="2"/>
  <c r="AE53" i="2" s="1"/>
  <c r="AF11" i="2"/>
  <c r="AE5" i="2" s="1"/>
  <c r="AF61" i="2"/>
  <c r="AE61" i="2" s="1"/>
  <c r="AZ55" i="2"/>
  <c r="AY55" i="2" s="1"/>
  <c r="AZ63" i="2"/>
  <c r="AY63" i="2" s="1"/>
  <c r="BD10" i="2"/>
  <c r="BC70" i="2" s="1"/>
  <c r="AR63" i="2"/>
  <c r="AQ63" i="2" s="1"/>
  <c r="AN63" i="2"/>
  <c r="AM63" i="2" s="1"/>
  <c r="AR55" i="2"/>
  <c r="AQ55" i="2" s="1"/>
  <c r="AH54" i="2"/>
  <c r="AG54" i="2" s="1"/>
  <c r="AH11" i="2"/>
  <c r="AG19" i="2" s="1"/>
  <c r="AW69" i="2"/>
  <c r="AX11" i="2"/>
  <c r="AW71" i="2" s="1"/>
  <c r="AG17" i="2"/>
  <c r="AF54" i="2"/>
  <c r="AE54" i="2" s="1"/>
  <c r="AW17" i="2"/>
  <c r="AH62" i="2"/>
  <c r="AG62" i="2" s="1"/>
  <c r="AF62" i="2"/>
  <c r="AE62" i="2" s="1"/>
  <c r="AX62" i="2"/>
  <c r="AW62" i="2" s="1"/>
  <c r="AL54" i="2"/>
  <c r="AK54" i="2" s="1"/>
  <c r="J125" i="28"/>
  <c r="J80" i="28"/>
  <c r="CR79" i="28"/>
  <c r="J143" i="28"/>
  <c r="J129" i="28"/>
  <c r="DC80" i="24"/>
  <c r="CI81" i="24"/>
  <c r="CS78" i="28"/>
  <c r="Q98" i="28"/>
  <c r="Q79" i="28"/>
  <c r="CI149" i="24"/>
  <c r="CI156" i="24" s="1"/>
  <c r="CI157" i="24" s="1"/>
  <c r="CI144" i="24"/>
  <c r="CI145" i="24"/>
  <c r="J163" i="28"/>
  <c r="J164" i="28" s="1"/>
  <c r="J100" i="28"/>
  <c r="J102" i="28" s="1"/>
  <c r="J103" i="28" s="1"/>
  <c r="AJ23" i="2"/>
  <c r="AI23" i="2" s="1"/>
  <c r="AP23" i="2"/>
  <c r="AO23" i="2" s="1"/>
  <c r="AX23" i="2"/>
  <c r="AW23" i="2" s="1"/>
  <c r="AH23" i="2"/>
  <c r="AG23" i="2" s="1"/>
  <c r="AL23" i="2"/>
  <c r="AK23" i="2" s="1"/>
  <c r="BB23" i="2"/>
  <c r="BA23" i="2" s="1"/>
  <c r="AN23" i="2"/>
  <c r="AM23" i="2" s="1"/>
  <c r="AT23" i="2"/>
  <c r="AS23" i="2" s="1"/>
  <c r="AV23" i="2"/>
  <c r="AU23" i="2" s="1"/>
  <c r="AF23" i="2"/>
  <c r="AZ23" i="2"/>
  <c r="AY23" i="2" s="1"/>
  <c r="AR23" i="2"/>
  <c r="AQ23" i="2" s="1"/>
  <c r="AO7" i="2"/>
  <c r="AP44" i="2" s="1"/>
  <c r="AO44" i="2" s="1"/>
  <c r="BC17" i="2"/>
  <c r="AK19" i="2"/>
  <c r="AM50" i="2"/>
  <c r="AN56" i="2"/>
  <c r="AM56" i="2" s="1"/>
  <c r="AM19" i="2"/>
  <c r="AO50" i="2"/>
  <c r="AP56" i="2"/>
  <c r="AO56" i="2" s="1"/>
  <c r="AO71" i="2"/>
  <c r="BC15" i="2"/>
  <c r="AS50" i="2"/>
  <c r="BA50" i="2"/>
  <c r="BC18" i="2"/>
  <c r="BC22" i="2"/>
  <c r="AG50" i="2"/>
  <c r="AJ42" i="2"/>
  <c r="AI42" i="2" s="1"/>
  <c r="AJ34" i="2"/>
  <c r="AJ26" i="2"/>
  <c r="AK5" i="2"/>
  <c r="AK71" i="2"/>
  <c r="BD19" i="2"/>
  <c r="AI19" i="2"/>
  <c r="AU50" i="2"/>
  <c r="AI71" i="2"/>
  <c r="AQ52" i="2"/>
  <c r="BC13" i="2"/>
  <c r="AI50" i="2"/>
  <c r="AJ56" i="2"/>
  <c r="AI56" i="2" s="1"/>
  <c r="AY50" i="2"/>
  <c r="AK50" i="2"/>
  <c r="AE19" i="2"/>
  <c r="AK6" i="2"/>
  <c r="AK10" i="2"/>
  <c r="AK7" i="2"/>
  <c r="AK8" i="2"/>
  <c r="AK9" i="2"/>
  <c r="AM7" i="2"/>
  <c r="AM8" i="2"/>
  <c r="AM9" i="2"/>
  <c r="AM6" i="2"/>
  <c r="AM10" i="2"/>
  <c r="AI6" i="2"/>
  <c r="AI10" i="2"/>
  <c r="AI7" i="2"/>
  <c r="AI8" i="2"/>
  <c r="AI9" i="2"/>
  <c r="AM5" i="2"/>
  <c r="AO8" i="2"/>
  <c r="AO5" i="2"/>
  <c r="AO9" i="2"/>
  <c r="AO6" i="2"/>
  <c r="AO10" i="2"/>
  <c r="AE8" i="2"/>
  <c r="AE9" i="2"/>
  <c r="AE6" i="2"/>
  <c r="AE10" i="2"/>
  <c r="R5" i="2"/>
  <c r="S26" i="2" s="1"/>
  <c r="R26" i="2" s="1"/>
  <c r="R9" i="2"/>
  <c r="S30" i="2" s="1"/>
  <c r="R30" i="2" s="1"/>
  <c r="P71" i="2"/>
  <c r="L71" i="2"/>
  <c r="Z71" i="2"/>
  <c r="D71" i="2"/>
  <c r="N71" i="2"/>
  <c r="AC96" i="2"/>
  <c r="T71" i="2"/>
  <c r="V71" i="2"/>
  <c r="AC71" i="2"/>
  <c r="AB66" i="2"/>
  <c r="F71" i="2"/>
  <c r="AC58" i="2"/>
  <c r="AB58" i="2" s="1"/>
  <c r="AC59" i="2"/>
  <c r="AB59" i="2" s="1"/>
  <c r="AB68" i="2"/>
  <c r="AB70" i="2"/>
  <c r="H71" i="2"/>
  <c r="R71" i="2"/>
  <c r="H7" i="2"/>
  <c r="I28" i="2" s="1"/>
  <c r="H28" i="2" s="1"/>
  <c r="X71" i="2"/>
  <c r="AB67" i="2"/>
  <c r="J71" i="2"/>
  <c r="H5" i="2"/>
  <c r="I26" i="2" s="1"/>
  <c r="H26" i="2" s="1"/>
  <c r="AB69" i="2"/>
  <c r="V61" i="2"/>
  <c r="N61" i="2"/>
  <c r="L61" i="2"/>
  <c r="R61" i="2"/>
  <c r="Y64" i="2"/>
  <c r="X64" i="2" s="1"/>
  <c r="Z61" i="2"/>
  <c r="F61" i="2"/>
  <c r="O64" i="2"/>
  <c r="N64" i="2" s="1"/>
  <c r="T61" i="2"/>
  <c r="E64" i="2"/>
  <c r="D64" i="2" s="1"/>
  <c r="H10" i="2"/>
  <c r="I31" i="2" s="1"/>
  <c r="H31" i="2" s="1"/>
  <c r="H9" i="2"/>
  <c r="I30" i="2" s="1"/>
  <c r="H30" i="2" s="1"/>
  <c r="Q64" i="2"/>
  <c r="P64" i="2" s="1"/>
  <c r="K64" i="2"/>
  <c r="J64" i="2" s="1"/>
  <c r="J61" i="2"/>
  <c r="AC11" i="2"/>
  <c r="D22" i="2"/>
  <c r="AC22" i="2"/>
  <c r="H14" i="2"/>
  <c r="AC62" i="2"/>
  <c r="AB62" i="2" s="1"/>
  <c r="D62" i="2"/>
  <c r="D61" i="2"/>
  <c r="AC61" i="2"/>
  <c r="AB61" i="2" s="1"/>
  <c r="W64" i="2"/>
  <c r="V64" i="2" s="1"/>
  <c r="V58" i="2"/>
  <c r="M64" i="2"/>
  <c r="L64" i="2" s="1"/>
  <c r="L58" i="2"/>
  <c r="S64" i="2"/>
  <c r="R64" i="2" s="1"/>
  <c r="R60" i="2"/>
  <c r="D59" i="2"/>
  <c r="D54" i="2"/>
  <c r="AC54" i="2"/>
  <c r="D16" i="2"/>
  <c r="AC16" i="2"/>
  <c r="D17" i="2"/>
  <c r="AC17" i="2"/>
  <c r="D18" i="2"/>
  <c r="AC18" i="2"/>
  <c r="AC63" i="2"/>
  <c r="AB63" i="2" s="1"/>
  <c r="D63" i="2"/>
  <c r="D23" i="2"/>
  <c r="AC23" i="2"/>
  <c r="D15" i="2"/>
  <c r="AC15" i="2"/>
  <c r="AC14" i="2"/>
  <c r="D51" i="2"/>
  <c r="AC51" i="2"/>
  <c r="D60" i="2"/>
  <c r="AC60" i="2"/>
  <c r="AB60" i="2" s="1"/>
  <c r="D52" i="2"/>
  <c r="AC52" i="2"/>
  <c r="D58" i="2"/>
  <c r="R6" i="2"/>
  <c r="S27" i="2" s="1"/>
  <c r="AC13" i="2"/>
  <c r="U64" i="2"/>
  <c r="T64" i="2" s="1"/>
  <c r="D55" i="2"/>
  <c r="AC55" i="2"/>
  <c r="AA64" i="2"/>
  <c r="Z64" i="2" s="1"/>
  <c r="Z58" i="2"/>
  <c r="D53" i="2"/>
  <c r="AC53" i="2"/>
  <c r="I64" i="2"/>
  <c r="H64" i="2" s="1"/>
  <c r="D50" i="2"/>
  <c r="G64" i="2"/>
  <c r="F64" i="2" s="1"/>
  <c r="I27" i="2"/>
  <c r="H27" i="2" s="1"/>
  <c r="H8" i="2"/>
  <c r="I29" i="2" s="1"/>
  <c r="H29" i="2" s="1"/>
  <c r="J10" i="2"/>
  <c r="K31" i="2" s="1"/>
  <c r="S37" i="2"/>
  <c r="R37" i="2" s="1"/>
  <c r="K37" i="2"/>
  <c r="J37" i="2" s="1"/>
  <c r="J5" i="2"/>
  <c r="J7" i="2"/>
  <c r="J9" i="2"/>
  <c r="J6" i="2"/>
  <c r="R7" i="2"/>
  <c r="S36" i="2" s="1"/>
  <c r="R36" i="2" s="1"/>
  <c r="R10" i="2"/>
  <c r="E19" i="2"/>
  <c r="D14" i="2"/>
  <c r="F15" i="2"/>
  <c r="F16" i="2"/>
  <c r="H13" i="2"/>
  <c r="F13" i="2"/>
  <c r="D6" i="2"/>
  <c r="E35" i="2" s="1"/>
  <c r="D5" i="2"/>
  <c r="T10" i="2"/>
  <c r="T9" i="2"/>
  <c r="T6" i="2"/>
  <c r="T5" i="2"/>
  <c r="T7" i="2"/>
  <c r="P6" i="2"/>
  <c r="P10" i="2"/>
  <c r="P7" i="2"/>
  <c r="P5" i="2"/>
  <c r="P8" i="2"/>
  <c r="P9" i="2"/>
  <c r="E56" i="2"/>
  <c r="X6" i="2"/>
  <c r="X10" i="2"/>
  <c r="X7" i="2"/>
  <c r="X5" i="2"/>
  <c r="X8" i="2"/>
  <c r="X9" i="2"/>
  <c r="N8" i="2"/>
  <c r="N9" i="2"/>
  <c r="N7" i="2"/>
  <c r="N6" i="2"/>
  <c r="N10" i="2"/>
  <c r="N5" i="2"/>
  <c r="Z8" i="2"/>
  <c r="Z7" i="2"/>
  <c r="Z9" i="2"/>
  <c r="Z5" i="2"/>
  <c r="Z6" i="2"/>
  <c r="Z10" i="2"/>
  <c r="F8" i="2"/>
  <c r="F5" i="2"/>
  <c r="F9" i="2"/>
  <c r="F6" i="2"/>
  <c r="F10" i="2"/>
  <c r="F7" i="2"/>
  <c r="L6" i="2"/>
  <c r="L10" i="2"/>
  <c r="L7" i="2"/>
  <c r="L5" i="2"/>
  <c r="L9" i="2"/>
  <c r="L8" i="2"/>
  <c r="V8" i="2"/>
  <c r="V9" i="2"/>
  <c r="V7" i="2"/>
  <c r="V6" i="2"/>
  <c r="V10" i="2"/>
  <c r="V5" i="2"/>
  <c r="D10" i="2"/>
  <c r="E39" i="2" s="1"/>
  <c r="D8" i="2"/>
  <c r="E37" i="2" s="1"/>
  <c r="D7" i="2"/>
  <c r="E36" i="2" s="1"/>
  <c r="D9" i="2"/>
  <c r="E38" i="2" s="1"/>
  <c r="G56" i="2"/>
  <c r="F56" i="2" s="1"/>
  <c r="G19" i="2"/>
  <c r="F19" i="2" s="1"/>
  <c r="J32" i="3" l="1"/>
  <c r="BN142" i="28"/>
  <c r="BN146" i="28" s="1"/>
  <c r="BN147" i="28" s="1"/>
  <c r="BU71" i="28"/>
  <c r="CZ71" i="28"/>
  <c r="BN97" i="28"/>
  <c r="BN72" i="28"/>
  <c r="AZ128" i="28"/>
  <c r="CX73" i="28"/>
  <c r="BG73" i="28"/>
  <c r="CY72" i="28"/>
  <c r="E42" i="2"/>
  <c r="E34" i="2"/>
  <c r="AE7" i="2"/>
  <c r="AL56" i="2"/>
  <c r="AK56" i="2" s="1"/>
  <c r="AH56" i="2"/>
  <c r="AG56" i="2" s="1"/>
  <c r="AE71" i="2"/>
  <c r="AW7" i="2"/>
  <c r="AX36" i="2" s="1"/>
  <c r="AW36" i="2" s="1"/>
  <c r="AW10" i="2"/>
  <c r="AX31" i="2" s="1"/>
  <c r="AW31" i="2" s="1"/>
  <c r="AW6" i="2"/>
  <c r="AW9" i="2"/>
  <c r="AW5" i="2"/>
  <c r="AX42" i="2" s="1"/>
  <c r="AW8" i="2"/>
  <c r="AX37" i="2" s="1"/>
  <c r="AW37" i="2" s="1"/>
  <c r="BB11" i="2"/>
  <c r="BA6" i="2" s="1"/>
  <c r="BB43" i="2" s="1"/>
  <c r="BB51" i="2"/>
  <c r="BB59" i="2"/>
  <c r="BA59" i="2" s="1"/>
  <c r="BA14" i="2"/>
  <c r="BA67" i="2"/>
  <c r="AG10" i="2"/>
  <c r="AH47" i="2" s="1"/>
  <c r="AG47" i="2" s="1"/>
  <c r="AT59" i="2"/>
  <c r="AS59" i="2" s="1"/>
  <c r="AT51" i="2"/>
  <c r="AT11" i="2"/>
  <c r="AS14" i="2"/>
  <c r="AS67" i="2"/>
  <c r="AG6" i="2"/>
  <c r="AG11" i="2" s="1"/>
  <c r="AG9" i="2"/>
  <c r="AQ67" i="2"/>
  <c r="AQ14" i="2"/>
  <c r="AR11" i="2"/>
  <c r="AR59" i="2"/>
  <c r="AQ59" i="2" s="1"/>
  <c r="AR51" i="2"/>
  <c r="AQ51" i="2" s="1"/>
  <c r="AG7" i="2"/>
  <c r="AH44" i="2" s="1"/>
  <c r="AG44" i="2" s="1"/>
  <c r="AG71" i="2"/>
  <c r="AY14" i="2"/>
  <c r="AZ59" i="2"/>
  <c r="AY59" i="2" s="1"/>
  <c r="AZ51" i="2"/>
  <c r="AY67" i="2"/>
  <c r="AX59" i="2"/>
  <c r="AW59" i="2" s="1"/>
  <c r="AW67" i="2"/>
  <c r="AX51" i="2"/>
  <c r="AW14" i="2"/>
  <c r="BD6" i="2"/>
  <c r="AG5" i="2"/>
  <c r="AH42" i="2" s="1"/>
  <c r="AG8" i="2"/>
  <c r="AZ11" i="2"/>
  <c r="AV59" i="2"/>
  <c r="AU59" i="2" s="1"/>
  <c r="AV11" i="2"/>
  <c r="AV51" i="2"/>
  <c r="AU67" i="2"/>
  <c r="AU14" i="2"/>
  <c r="AW19" i="2"/>
  <c r="AF56" i="2"/>
  <c r="AE56" i="2" s="1"/>
  <c r="AP28" i="2"/>
  <c r="AO28" i="2" s="1"/>
  <c r="AP36" i="2"/>
  <c r="AO36" i="2" s="1"/>
  <c r="J145" i="28"/>
  <c r="J144" i="28"/>
  <c r="J149" i="28"/>
  <c r="J156" i="28" s="1"/>
  <c r="J157" i="28" s="1"/>
  <c r="X79" i="28"/>
  <c r="X98" i="28"/>
  <c r="CT78" i="28"/>
  <c r="CS79" i="28"/>
  <c r="Q129" i="28"/>
  <c r="Q143" i="28"/>
  <c r="Q80" i="28"/>
  <c r="Q125" i="28"/>
  <c r="Q99" i="28"/>
  <c r="Q100" i="28" s="1"/>
  <c r="Q102" i="28" s="1"/>
  <c r="Q103" i="28" s="1"/>
  <c r="Q163" i="28"/>
  <c r="Q164" i="28" s="1"/>
  <c r="CR80" i="28"/>
  <c r="J81" i="28"/>
  <c r="CI158" i="24"/>
  <c r="CI159" i="24" s="1"/>
  <c r="CI160" i="24" s="1"/>
  <c r="AE23" i="2"/>
  <c r="BD23" i="2"/>
  <c r="BC23" i="2" s="1"/>
  <c r="AX46" i="2"/>
  <c r="AW46" i="2" s="1"/>
  <c r="AX38" i="2"/>
  <c r="AW38" i="2" s="1"/>
  <c r="AX30" i="2"/>
  <c r="AW30" i="2" s="1"/>
  <c r="AF42" i="2"/>
  <c r="AF26" i="2"/>
  <c r="AF34" i="2"/>
  <c r="AF38" i="2"/>
  <c r="AF30" i="2"/>
  <c r="AF46" i="2"/>
  <c r="AE46" i="2" s="1"/>
  <c r="AP46" i="2"/>
  <c r="AO46" i="2" s="1"/>
  <c r="AP38" i="2"/>
  <c r="AO38" i="2" s="1"/>
  <c r="AP30" i="2"/>
  <c r="AX26" i="2"/>
  <c r="AJ44" i="2"/>
  <c r="AJ36" i="2"/>
  <c r="AI36" i="2" s="1"/>
  <c r="AJ28" i="2"/>
  <c r="AN43" i="2"/>
  <c r="AM43" i="2" s="1"/>
  <c r="AN35" i="2"/>
  <c r="AM35" i="2" s="1"/>
  <c r="AN27" i="2"/>
  <c r="AM27" i="2" s="1"/>
  <c r="AL46" i="2"/>
  <c r="AK46" i="2" s="1"/>
  <c r="AL30" i="2"/>
  <c r="AL38" i="2"/>
  <c r="AK38" i="2" s="1"/>
  <c r="AL47" i="2"/>
  <c r="AK47" i="2" s="1"/>
  <c r="AL39" i="2"/>
  <c r="AL31" i="2"/>
  <c r="AK31" i="2" s="1"/>
  <c r="AH31" i="2"/>
  <c r="AH39" i="2"/>
  <c r="AG39" i="2" s="1"/>
  <c r="AL42" i="2"/>
  <c r="AK42" i="2" s="1"/>
  <c r="AL34" i="2"/>
  <c r="AL26" i="2"/>
  <c r="AF43" i="2"/>
  <c r="AE43" i="2" s="1"/>
  <c r="AF27" i="2"/>
  <c r="AF35" i="2"/>
  <c r="AP45" i="2"/>
  <c r="AO45" i="2" s="1"/>
  <c r="AP37" i="2"/>
  <c r="AO37" i="2" s="1"/>
  <c r="AP29" i="2"/>
  <c r="AO29" i="2" s="1"/>
  <c r="AN47" i="2"/>
  <c r="AM47" i="2" s="1"/>
  <c r="AN39" i="2"/>
  <c r="AM39" i="2" s="1"/>
  <c r="AN31" i="2"/>
  <c r="AM31" i="2" s="1"/>
  <c r="AF37" i="2"/>
  <c r="AF45" i="2"/>
  <c r="AE45" i="2" s="1"/>
  <c r="AF29" i="2"/>
  <c r="AX45" i="2"/>
  <c r="AW45" i="2" s="1"/>
  <c r="AJ30" i="2"/>
  <c r="AJ46" i="2"/>
  <c r="AI46" i="2" s="1"/>
  <c r="AJ38" i="2"/>
  <c r="AI38" i="2" s="1"/>
  <c r="AJ47" i="2"/>
  <c r="AI47" i="2" s="1"/>
  <c r="AJ31" i="2"/>
  <c r="AJ39" i="2"/>
  <c r="AI39" i="2" s="1"/>
  <c r="AN46" i="2"/>
  <c r="AM46" i="2" s="1"/>
  <c r="AN30" i="2"/>
  <c r="AM30" i="2" s="1"/>
  <c r="AN38" i="2"/>
  <c r="AM38" i="2" s="1"/>
  <c r="AL45" i="2"/>
  <c r="AK45" i="2" s="1"/>
  <c r="AL37" i="2"/>
  <c r="AK37" i="2" s="1"/>
  <c r="AL29" i="2"/>
  <c r="AL35" i="2"/>
  <c r="AK35" i="2" s="1"/>
  <c r="AL43" i="2"/>
  <c r="AL27" i="2"/>
  <c r="AI26" i="2"/>
  <c r="AP27" i="2"/>
  <c r="AO27" i="2" s="1"/>
  <c r="AP35" i="2"/>
  <c r="AO35" i="2" s="1"/>
  <c r="AP43" i="2"/>
  <c r="AN26" i="2"/>
  <c r="AN42" i="2"/>
  <c r="AN34" i="2"/>
  <c r="AN36" i="2"/>
  <c r="AM36" i="2" s="1"/>
  <c r="AN28" i="2"/>
  <c r="AM28" i="2" s="1"/>
  <c r="AN44" i="2"/>
  <c r="AM44" i="2" s="1"/>
  <c r="AF47" i="2"/>
  <c r="AE47" i="2" s="1"/>
  <c r="AF31" i="2"/>
  <c r="AF39" i="2"/>
  <c r="AE39" i="2" s="1"/>
  <c r="AF44" i="2"/>
  <c r="AE44" i="2" s="1"/>
  <c r="AF36" i="2"/>
  <c r="AF28" i="2"/>
  <c r="AP47" i="2"/>
  <c r="AO47" i="2" s="1"/>
  <c r="AP31" i="2"/>
  <c r="AO31" i="2" s="1"/>
  <c r="AP39" i="2"/>
  <c r="AO39" i="2" s="1"/>
  <c r="AP42" i="2"/>
  <c r="AO42" i="2" s="1"/>
  <c r="AP34" i="2"/>
  <c r="AP26" i="2"/>
  <c r="AX35" i="2"/>
  <c r="AW35" i="2" s="1"/>
  <c r="AX43" i="2"/>
  <c r="AW43" i="2" s="1"/>
  <c r="AX27" i="2"/>
  <c r="AW27" i="2" s="1"/>
  <c r="AJ45" i="2"/>
  <c r="AI45" i="2" s="1"/>
  <c r="AJ37" i="2"/>
  <c r="AI37" i="2" s="1"/>
  <c r="AJ29" i="2"/>
  <c r="AJ43" i="2"/>
  <c r="AI43" i="2" s="1"/>
  <c r="AJ35" i="2"/>
  <c r="AI35" i="2" s="1"/>
  <c r="AJ27" i="2"/>
  <c r="AN45" i="2"/>
  <c r="AM45" i="2" s="1"/>
  <c r="AN29" i="2"/>
  <c r="AM29" i="2" s="1"/>
  <c r="AN37" i="2"/>
  <c r="AM37" i="2" s="1"/>
  <c r="AL44" i="2"/>
  <c r="AK44" i="2" s="1"/>
  <c r="AL28" i="2"/>
  <c r="AK28" i="2" s="1"/>
  <c r="AL36" i="2"/>
  <c r="AK36" i="2" s="1"/>
  <c r="AH45" i="2"/>
  <c r="AG45" i="2" s="1"/>
  <c r="AH37" i="2"/>
  <c r="AG37" i="2" s="1"/>
  <c r="AH29" i="2"/>
  <c r="AH46" i="2"/>
  <c r="AG46" i="2" s="1"/>
  <c r="AH30" i="2"/>
  <c r="AH38" i="2"/>
  <c r="AG38" i="2" s="1"/>
  <c r="AI34" i="2"/>
  <c r="AM11" i="2"/>
  <c r="AI11" i="2"/>
  <c r="AK11" i="2"/>
  <c r="AO11" i="2"/>
  <c r="AE11" i="2"/>
  <c r="S34" i="2"/>
  <c r="R34" i="2" s="1"/>
  <c r="S38" i="2"/>
  <c r="R38" i="2" s="1"/>
  <c r="S35" i="2"/>
  <c r="R35" i="2" s="1"/>
  <c r="I36" i="2"/>
  <c r="H36" i="2" s="1"/>
  <c r="I34" i="2"/>
  <c r="H34" i="2" s="1"/>
  <c r="I39" i="2"/>
  <c r="H39" i="2" s="1"/>
  <c r="AB71" i="2"/>
  <c r="K39" i="2"/>
  <c r="J39" i="2" s="1"/>
  <c r="I38" i="2"/>
  <c r="H38" i="2" s="1"/>
  <c r="I37" i="2"/>
  <c r="H37" i="2" s="1"/>
  <c r="AC64" i="2"/>
  <c r="AB64" i="2" s="1"/>
  <c r="D19" i="2"/>
  <c r="R27" i="2"/>
  <c r="D56" i="2"/>
  <c r="J31" i="2"/>
  <c r="E46" i="2"/>
  <c r="D42" i="2"/>
  <c r="E44" i="2"/>
  <c r="E45" i="2"/>
  <c r="E47" i="2"/>
  <c r="E43" i="2"/>
  <c r="AA27" i="2"/>
  <c r="AA35" i="2"/>
  <c r="Z35" i="2" s="1"/>
  <c r="M30" i="2"/>
  <c r="M38" i="2"/>
  <c r="L38" i="2" s="1"/>
  <c r="AA29" i="2"/>
  <c r="AA37" i="2"/>
  <c r="Z37" i="2" s="1"/>
  <c r="Q26" i="2"/>
  <c r="Q34" i="2"/>
  <c r="P34" i="2" s="1"/>
  <c r="U30" i="2"/>
  <c r="U38" i="2"/>
  <c r="T38" i="2" s="1"/>
  <c r="W30" i="2"/>
  <c r="W38" i="2"/>
  <c r="V38" i="2" s="1"/>
  <c r="G26" i="2"/>
  <c r="G34" i="2"/>
  <c r="F34" i="2" s="1"/>
  <c r="AA26" i="2"/>
  <c r="AA34" i="2"/>
  <c r="Z34" i="2" s="1"/>
  <c r="O30" i="2"/>
  <c r="O38" i="2"/>
  <c r="N38" i="2" s="1"/>
  <c r="Q28" i="2"/>
  <c r="Q36" i="2"/>
  <c r="P36" i="2" s="1"/>
  <c r="U26" i="2"/>
  <c r="U34" i="2"/>
  <c r="T34" i="2" s="1"/>
  <c r="U31" i="2"/>
  <c r="U39" i="2"/>
  <c r="T39" i="2" s="1"/>
  <c r="S31" i="2"/>
  <c r="S39" i="2"/>
  <c r="R39" i="2" s="1"/>
  <c r="K27" i="2"/>
  <c r="K35" i="2"/>
  <c r="J35" i="2" s="1"/>
  <c r="M27" i="2"/>
  <c r="M35" i="2"/>
  <c r="L35" i="2" s="1"/>
  <c r="O28" i="2"/>
  <c r="O36" i="2"/>
  <c r="N36" i="2" s="1"/>
  <c r="Y29" i="2"/>
  <c r="Y37" i="2"/>
  <c r="X37" i="2" s="1"/>
  <c r="U28" i="2"/>
  <c r="U36" i="2"/>
  <c r="T36" i="2" s="1"/>
  <c r="M26" i="2"/>
  <c r="M34" i="2"/>
  <c r="L34" i="2" s="1"/>
  <c r="O26" i="2"/>
  <c r="O34" i="2"/>
  <c r="N34" i="2" s="1"/>
  <c r="W31" i="2"/>
  <c r="W39" i="2"/>
  <c r="V39" i="2" s="1"/>
  <c r="W29" i="2"/>
  <c r="W37" i="2"/>
  <c r="V37" i="2" s="1"/>
  <c r="M28" i="2"/>
  <c r="M36" i="2"/>
  <c r="L36" i="2" s="1"/>
  <c r="G31" i="2"/>
  <c r="G39" i="2"/>
  <c r="F39" i="2" s="1"/>
  <c r="G29" i="2"/>
  <c r="G37" i="2"/>
  <c r="F37" i="2" s="1"/>
  <c r="AA30" i="2"/>
  <c r="AA38" i="2"/>
  <c r="Z38" i="2" s="1"/>
  <c r="O31" i="2"/>
  <c r="O39" i="2"/>
  <c r="N39" i="2" s="1"/>
  <c r="O29" i="2"/>
  <c r="O37" i="2"/>
  <c r="N37" i="2" s="1"/>
  <c r="Y28" i="2"/>
  <c r="Y36" i="2"/>
  <c r="X36" i="2" s="1"/>
  <c r="Q30" i="2"/>
  <c r="Q38" i="2"/>
  <c r="P38" i="2" s="1"/>
  <c r="Q31" i="2"/>
  <c r="Q39" i="2"/>
  <c r="P39" i="2" s="1"/>
  <c r="U27" i="2"/>
  <c r="U35" i="2"/>
  <c r="T35" i="2" s="1"/>
  <c r="E26" i="2"/>
  <c r="K30" i="2"/>
  <c r="K38" i="2"/>
  <c r="J38" i="2" s="1"/>
  <c r="W28" i="2"/>
  <c r="W36" i="2"/>
  <c r="V36" i="2" s="1"/>
  <c r="G30" i="2"/>
  <c r="G38" i="2"/>
  <c r="F38" i="2" s="1"/>
  <c r="Y27" i="2"/>
  <c r="Y35" i="2"/>
  <c r="X35" i="2" s="1"/>
  <c r="K26" i="2"/>
  <c r="K34" i="2"/>
  <c r="J34" i="2" s="1"/>
  <c r="W26" i="2"/>
  <c r="W34" i="2"/>
  <c r="V34" i="2" s="1"/>
  <c r="G28" i="2"/>
  <c r="G36" i="2"/>
  <c r="F36" i="2" s="1"/>
  <c r="Y26" i="2"/>
  <c r="Y34" i="2"/>
  <c r="X34" i="2" s="1"/>
  <c r="W27" i="2"/>
  <c r="W35" i="2"/>
  <c r="V35" i="2" s="1"/>
  <c r="M29" i="2"/>
  <c r="M37" i="2"/>
  <c r="L37" i="2" s="1"/>
  <c r="M31" i="2"/>
  <c r="M39" i="2"/>
  <c r="L39" i="2" s="1"/>
  <c r="G27" i="2"/>
  <c r="G35" i="2"/>
  <c r="F35" i="2" s="1"/>
  <c r="AA31" i="2"/>
  <c r="AA39" i="2"/>
  <c r="Z39" i="2" s="1"/>
  <c r="AA28" i="2"/>
  <c r="AA36" i="2"/>
  <c r="Z36" i="2" s="1"/>
  <c r="O27" i="2"/>
  <c r="O35" i="2"/>
  <c r="N35" i="2" s="1"/>
  <c r="Y30" i="2"/>
  <c r="Y38" i="2"/>
  <c r="X38" i="2" s="1"/>
  <c r="Y31" i="2"/>
  <c r="Y39" i="2"/>
  <c r="X39" i="2" s="1"/>
  <c r="Q29" i="2"/>
  <c r="Q37" i="2"/>
  <c r="P37" i="2" s="1"/>
  <c r="Q27" i="2"/>
  <c r="Q35" i="2"/>
  <c r="P35" i="2" s="1"/>
  <c r="U29" i="2"/>
  <c r="U37" i="2"/>
  <c r="T37" i="2" s="1"/>
  <c r="K28" i="2"/>
  <c r="K36" i="2"/>
  <c r="J36" i="2" s="1"/>
  <c r="E29" i="2"/>
  <c r="E30" i="2"/>
  <c r="R11" i="2"/>
  <c r="S28" i="2"/>
  <c r="E27" i="2"/>
  <c r="E31" i="2"/>
  <c r="E28" i="2"/>
  <c r="J11" i="2"/>
  <c r="T11" i="2"/>
  <c r="F11" i="2"/>
  <c r="P11" i="2"/>
  <c r="L11" i="2"/>
  <c r="Z11" i="2"/>
  <c r="J13" i="2"/>
  <c r="H16" i="2"/>
  <c r="I19" i="2"/>
  <c r="H19" i="2" s="1"/>
  <c r="H15" i="2"/>
  <c r="H11" i="2"/>
  <c r="AB23" i="2"/>
  <c r="V11" i="2"/>
  <c r="X11" i="2"/>
  <c r="AB22" i="2"/>
  <c r="AB50" i="2"/>
  <c r="AB14" i="2"/>
  <c r="N11" i="2"/>
  <c r="D11" i="2"/>
  <c r="I56" i="2"/>
  <c r="H56" i="2" s="1"/>
  <c r="CY73" i="28" l="1"/>
  <c r="BG128" i="28"/>
  <c r="J33" i="3"/>
  <c r="BU97" i="28"/>
  <c r="CB71" i="28"/>
  <c r="DA71" i="28"/>
  <c r="BU72" i="28"/>
  <c r="BU142" i="28"/>
  <c r="BU146" i="28" s="1"/>
  <c r="BU147" i="28" s="1"/>
  <c r="CZ72" i="28"/>
  <c r="BN73" i="28"/>
  <c r="AX39" i="2"/>
  <c r="AW39" i="2" s="1"/>
  <c r="AX29" i="2"/>
  <c r="AW29" i="2" s="1"/>
  <c r="AH34" i="2"/>
  <c r="AH43" i="2"/>
  <c r="AG43" i="2" s="1"/>
  <c r="AX28" i="2"/>
  <c r="AW28" i="2" s="1"/>
  <c r="AH27" i="2"/>
  <c r="AW11" i="2"/>
  <c r="AX44" i="2"/>
  <c r="AW44" i="2" s="1"/>
  <c r="AH36" i="2"/>
  <c r="AG36" i="2" s="1"/>
  <c r="AH28" i="2"/>
  <c r="AG28" i="2" s="1"/>
  <c r="AR56" i="2"/>
  <c r="AQ56" i="2" s="1"/>
  <c r="AH35" i="2"/>
  <c r="AG35" i="2" s="1"/>
  <c r="AX47" i="2"/>
  <c r="AW47" i="2" s="1"/>
  <c r="AX34" i="2"/>
  <c r="AH26" i="2"/>
  <c r="AG26" i="2" s="1"/>
  <c r="AY51" i="2"/>
  <c r="AZ56" i="2"/>
  <c r="AY56" i="2" s="1"/>
  <c r="AS51" i="2"/>
  <c r="AT56" i="2"/>
  <c r="AS56" i="2" s="1"/>
  <c r="BB27" i="2"/>
  <c r="BA27" i="2" s="1"/>
  <c r="AU51" i="2"/>
  <c r="AV56" i="2"/>
  <c r="AU56" i="2" s="1"/>
  <c r="BB35" i="2"/>
  <c r="BA35" i="2" s="1"/>
  <c r="AU7" i="2"/>
  <c r="AU71" i="2"/>
  <c r="AU10" i="2"/>
  <c r="AU8" i="2"/>
  <c r="AU5" i="2"/>
  <c r="AU9" i="2"/>
  <c r="AU19" i="2"/>
  <c r="AU6" i="2"/>
  <c r="AW51" i="2"/>
  <c r="AX56" i="2"/>
  <c r="AW56" i="2" s="1"/>
  <c r="BC67" i="2"/>
  <c r="BC14" i="2"/>
  <c r="AY19" i="2"/>
  <c r="AY71" i="2"/>
  <c r="AY9" i="2"/>
  <c r="AY7" i="2"/>
  <c r="AY6" i="2"/>
  <c r="AY10" i="2"/>
  <c r="AY8" i="2"/>
  <c r="AY5" i="2"/>
  <c r="BA51" i="2"/>
  <c r="BB56" i="2"/>
  <c r="BA56" i="2" s="1"/>
  <c r="AQ71" i="2"/>
  <c r="AQ10" i="2"/>
  <c r="AQ6" i="2"/>
  <c r="AQ8" i="2"/>
  <c r="AQ7" i="2"/>
  <c r="AQ5" i="2"/>
  <c r="BD11" i="2"/>
  <c r="AQ19" i="2"/>
  <c r="AQ9" i="2"/>
  <c r="AS71" i="2"/>
  <c r="AS6" i="2"/>
  <c r="AS10" i="2"/>
  <c r="AS8" i="2"/>
  <c r="AS7" i="2"/>
  <c r="AS19" i="2"/>
  <c r="AS5" i="2"/>
  <c r="AS9" i="2"/>
  <c r="BA10" i="2"/>
  <c r="BA19" i="2"/>
  <c r="BA8" i="2"/>
  <c r="BA71" i="2"/>
  <c r="BA9" i="2"/>
  <c r="BA7" i="2"/>
  <c r="BA5" i="2"/>
  <c r="CS80" i="28"/>
  <c r="Q81" i="28"/>
  <c r="X143" i="28"/>
  <c r="X125" i="28"/>
  <c r="CT79" i="28"/>
  <c r="X80" i="28"/>
  <c r="X129" i="28"/>
  <c r="Q145" i="28"/>
  <c r="Q144" i="28"/>
  <c r="Q149" i="28"/>
  <c r="Q156" i="28" s="1"/>
  <c r="Q157" i="28" s="1"/>
  <c r="AE79" i="28"/>
  <c r="AE98" i="28"/>
  <c r="CU78" i="28"/>
  <c r="J158" i="28"/>
  <c r="J159" i="28" s="1"/>
  <c r="J160" i="28" s="1"/>
  <c r="X99" i="28"/>
  <c r="X100" i="28" s="1"/>
  <c r="X102" i="28" s="1"/>
  <c r="X103" i="28" s="1"/>
  <c r="X163" i="28"/>
  <c r="X164" i="28" s="1"/>
  <c r="AL78" i="2"/>
  <c r="AJ32" i="2"/>
  <c r="AI32" i="2" s="1"/>
  <c r="AL74" i="2"/>
  <c r="AK74" i="2" s="1"/>
  <c r="AG30" i="2"/>
  <c r="AH77" i="2"/>
  <c r="AG77" i="2" s="1"/>
  <c r="AE36" i="2"/>
  <c r="AM34" i="2"/>
  <c r="AN40" i="2"/>
  <c r="AM40" i="2" s="1"/>
  <c r="AK29" i="2"/>
  <c r="AL76" i="2"/>
  <c r="AK76" i="2" s="1"/>
  <c r="AE27" i="2"/>
  <c r="AF74" i="2"/>
  <c r="AE74" i="2" s="1"/>
  <c r="AK30" i="2"/>
  <c r="AL77" i="2"/>
  <c r="AK77" i="2" s="1"/>
  <c r="AW42" i="2"/>
  <c r="AO30" i="2"/>
  <c r="AE34" i="2"/>
  <c r="AF40" i="2"/>
  <c r="AN48" i="2"/>
  <c r="AM48" i="2" s="1"/>
  <c r="AM42" i="2"/>
  <c r="AP48" i="2"/>
  <c r="AO48" i="2" s="1"/>
  <c r="AO43" i="2"/>
  <c r="AK27" i="2"/>
  <c r="BA43" i="2"/>
  <c r="AE29" i="2"/>
  <c r="AF76" i="2"/>
  <c r="AE76" i="2" s="1"/>
  <c r="AH75" i="2"/>
  <c r="AG75" i="2" s="1"/>
  <c r="AK39" i="2"/>
  <c r="AJ75" i="2"/>
  <c r="AI75" i="2" s="1"/>
  <c r="AI28" i="2"/>
  <c r="AG34" i="2"/>
  <c r="AE26" i="2"/>
  <c r="AF32" i="2"/>
  <c r="AJ40" i="2"/>
  <c r="AI40" i="2" s="1"/>
  <c r="AI29" i="2"/>
  <c r="AJ76" i="2"/>
  <c r="AI76" i="2" s="1"/>
  <c r="AP32" i="2"/>
  <c r="AO32" i="2" s="1"/>
  <c r="AO26" i="2"/>
  <c r="AL48" i="2"/>
  <c r="AK48" i="2" s="1"/>
  <c r="AK43" i="2"/>
  <c r="AG31" i="2"/>
  <c r="AH78" i="2"/>
  <c r="AG78" i="2" s="1"/>
  <c r="AG42" i="2"/>
  <c r="AW26" i="2"/>
  <c r="AX32" i="2"/>
  <c r="AW32" i="2" s="1"/>
  <c r="AE30" i="2"/>
  <c r="AF77" i="2"/>
  <c r="AE77" i="2" s="1"/>
  <c r="AF48" i="2"/>
  <c r="AE42" i="2"/>
  <c r="AN76" i="2"/>
  <c r="AM76" i="2" s="1"/>
  <c r="AG29" i="2"/>
  <c r="AH76" i="2"/>
  <c r="AG76" i="2" s="1"/>
  <c r="AM26" i="2"/>
  <c r="AN32" i="2"/>
  <c r="AM32" i="2" s="1"/>
  <c r="AK26" i="2"/>
  <c r="AL32" i="2"/>
  <c r="AK32" i="2" s="1"/>
  <c r="AL75" i="2"/>
  <c r="AK75" i="2" s="1"/>
  <c r="AN77" i="2"/>
  <c r="AM77" i="2" s="1"/>
  <c r="AI27" i="2"/>
  <c r="AJ74" i="2"/>
  <c r="AO34" i="2"/>
  <c r="AP40" i="2"/>
  <c r="AO40" i="2" s="1"/>
  <c r="AE28" i="2"/>
  <c r="AF75" i="2"/>
  <c r="AE75" i="2" s="1"/>
  <c r="AE31" i="2"/>
  <c r="AF78" i="2"/>
  <c r="AE78" i="2" s="1"/>
  <c r="AG27" i="2"/>
  <c r="AI31" i="2"/>
  <c r="AJ78" i="2"/>
  <c r="AI78" i="2" s="1"/>
  <c r="AI30" i="2"/>
  <c r="AJ77" i="2"/>
  <c r="AI77" i="2" s="1"/>
  <c r="AE37" i="2"/>
  <c r="AE35" i="2"/>
  <c r="AK34" i="2"/>
  <c r="AL40" i="2"/>
  <c r="AK40" i="2" s="1"/>
  <c r="AJ48" i="2"/>
  <c r="AI48" i="2" s="1"/>
  <c r="AI44" i="2"/>
  <c r="AW34" i="2"/>
  <c r="AX40" i="2"/>
  <c r="AW40" i="2" s="1"/>
  <c r="AE38" i="2"/>
  <c r="AP77" i="2"/>
  <c r="AO77" i="2" s="1"/>
  <c r="AK78" i="2"/>
  <c r="AN74" i="2"/>
  <c r="AM74" i="2" s="1"/>
  <c r="AN78" i="2"/>
  <c r="AM78" i="2" s="1"/>
  <c r="AP76" i="2"/>
  <c r="AO76" i="2" s="1"/>
  <c r="AN75" i="2"/>
  <c r="AM75" i="2" s="1"/>
  <c r="BD50" i="2"/>
  <c r="BC50" i="2" s="1"/>
  <c r="BD51" i="2"/>
  <c r="BC51" i="2" s="1"/>
  <c r="BD53" i="2"/>
  <c r="BC53" i="2" s="1"/>
  <c r="BD55" i="2"/>
  <c r="BC55" i="2" s="1"/>
  <c r="BD54" i="2"/>
  <c r="BC54" i="2" s="1"/>
  <c r="BD52" i="2"/>
  <c r="BC52" i="2" s="1"/>
  <c r="AC34" i="2"/>
  <c r="E76" i="2"/>
  <c r="D76" i="2" s="1"/>
  <c r="I40" i="2"/>
  <c r="H40" i="2" s="1"/>
  <c r="AC29" i="2"/>
  <c r="AB29" i="2" s="1"/>
  <c r="D38" i="2"/>
  <c r="AC38" i="2"/>
  <c r="AB38" i="2" s="1"/>
  <c r="R28" i="2"/>
  <c r="T29" i="2"/>
  <c r="P29" i="2"/>
  <c r="X30" i="2"/>
  <c r="Z28" i="2"/>
  <c r="F27" i="2"/>
  <c r="L29" i="2"/>
  <c r="X26" i="2"/>
  <c r="V26" i="2"/>
  <c r="X27" i="2"/>
  <c r="V28" i="2"/>
  <c r="D26" i="2"/>
  <c r="AC26" i="2"/>
  <c r="P31" i="2"/>
  <c r="X28" i="2"/>
  <c r="N31" i="2"/>
  <c r="F29" i="2"/>
  <c r="L28" i="2"/>
  <c r="V31" i="2"/>
  <c r="L26" i="2"/>
  <c r="X29" i="2"/>
  <c r="L27" i="2"/>
  <c r="R31" i="2"/>
  <c r="T26" i="2"/>
  <c r="N30" i="2"/>
  <c r="F26" i="2"/>
  <c r="T30" i="2"/>
  <c r="Z29" i="2"/>
  <c r="Z27" i="2"/>
  <c r="D39" i="2"/>
  <c r="AC39" i="2"/>
  <c r="D36" i="2"/>
  <c r="AC36" i="2"/>
  <c r="D27" i="2"/>
  <c r="AC27" i="2"/>
  <c r="E74" i="2"/>
  <c r="AC28" i="2"/>
  <c r="AB28" i="2" s="1"/>
  <c r="E75" i="2"/>
  <c r="D28" i="2"/>
  <c r="D31" i="2"/>
  <c r="AC31" i="2"/>
  <c r="E78" i="2"/>
  <c r="D30" i="2"/>
  <c r="AC30" i="2"/>
  <c r="E77" i="2"/>
  <c r="J28" i="2"/>
  <c r="P27" i="2"/>
  <c r="X31" i="2"/>
  <c r="N27" i="2"/>
  <c r="Z31" i="2"/>
  <c r="L31" i="2"/>
  <c r="V27" i="2"/>
  <c r="F28" i="2"/>
  <c r="J26" i="2"/>
  <c r="F30" i="2"/>
  <c r="J30" i="2"/>
  <c r="T27" i="2"/>
  <c r="P30" i="2"/>
  <c r="N29" i="2"/>
  <c r="Z30" i="2"/>
  <c r="F31" i="2"/>
  <c r="V29" i="2"/>
  <c r="N26" i="2"/>
  <c r="T28" i="2"/>
  <c r="N28" i="2"/>
  <c r="J27" i="2"/>
  <c r="T31" i="2"/>
  <c r="P28" i="2"/>
  <c r="Z26" i="2"/>
  <c r="V30" i="2"/>
  <c r="P26" i="2"/>
  <c r="L30" i="2"/>
  <c r="D35" i="2"/>
  <c r="AC35" i="2"/>
  <c r="AB35" i="2" s="1"/>
  <c r="D37" i="2"/>
  <c r="AC37" i="2"/>
  <c r="AB54" i="2"/>
  <c r="E48" i="2"/>
  <c r="D48" i="2" s="1"/>
  <c r="AB51" i="2"/>
  <c r="G40" i="2"/>
  <c r="F40" i="2" s="1"/>
  <c r="D34" i="2"/>
  <c r="E40" i="2"/>
  <c r="E32" i="2"/>
  <c r="AB17" i="2"/>
  <c r="K19" i="2"/>
  <c r="J19" i="2" s="1"/>
  <c r="L13" i="2"/>
  <c r="J16" i="2"/>
  <c r="J15" i="2"/>
  <c r="AB6" i="2"/>
  <c r="D29" i="2"/>
  <c r="N13" i="2"/>
  <c r="J34" i="3" l="1"/>
  <c r="CI71" i="28"/>
  <c r="CB97" i="28"/>
  <c r="CB72" i="28"/>
  <c r="CB142" i="28"/>
  <c r="CB146" i="28" s="1"/>
  <c r="CB147" i="28" s="1"/>
  <c r="DB71" i="28"/>
  <c r="DA72" i="28"/>
  <c r="BU73" i="28"/>
  <c r="BN128" i="28"/>
  <c r="CZ73" i="28"/>
  <c r="AH40" i="2"/>
  <c r="AG40" i="2" s="1"/>
  <c r="AH74" i="2"/>
  <c r="AG74" i="2" s="1"/>
  <c r="AH48" i="2"/>
  <c r="AG48" i="2" s="1"/>
  <c r="AX48" i="2"/>
  <c r="AW48" i="2" s="1"/>
  <c r="AH32" i="2"/>
  <c r="AG32" i="2" s="1"/>
  <c r="BB34" i="2"/>
  <c r="BA11" i="2"/>
  <c r="BB26" i="2"/>
  <c r="BB42" i="2"/>
  <c r="BB36" i="2"/>
  <c r="BA36" i="2" s="1"/>
  <c r="BB28" i="2"/>
  <c r="BA28" i="2" s="1"/>
  <c r="BB44" i="2"/>
  <c r="BA44" i="2" s="1"/>
  <c r="BC5" i="2"/>
  <c r="BC9" i="2"/>
  <c r="BC7" i="2"/>
  <c r="BC71" i="2"/>
  <c r="BC10" i="2"/>
  <c r="BC8" i="2"/>
  <c r="BC19" i="2"/>
  <c r="AV46" i="2"/>
  <c r="AU46" i="2" s="1"/>
  <c r="AV30" i="2"/>
  <c r="AU30" i="2" s="1"/>
  <c r="AV38" i="2"/>
  <c r="AU38" i="2" s="1"/>
  <c r="BB38" i="2"/>
  <c r="BA38" i="2" s="1"/>
  <c r="BB30" i="2"/>
  <c r="BA30" i="2" s="1"/>
  <c r="BB46" i="2"/>
  <c r="BA46" i="2" s="1"/>
  <c r="AT28" i="2"/>
  <c r="AS28" i="2" s="1"/>
  <c r="AT36" i="2"/>
  <c r="AS36" i="2" s="1"/>
  <c r="AT44" i="2"/>
  <c r="AS44" i="2" s="1"/>
  <c r="AR26" i="2"/>
  <c r="AR42" i="2"/>
  <c r="AR34" i="2"/>
  <c r="AQ11" i="2"/>
  <c r="AZ42" i="2"/>
  <c r="AZ26" i="2"/>
  <c r="AZ34" i="2"/>
  <c r="AY11" i="2"/>
  <c r="BC6" i="2"/>
  <c r="AV26" i="2"/>
  <c r="AV42" i="2"/>
  <c r="AV34" i="2"/>
  <c r="AU11" i="2"/>
  <c r="AT45" i="2"/>
  <c r="AS45" i="2" s="1"/>
  <c r="AT37" i="2"/>
  <c r="AS37" i="2" s="1"/>
  <c r="AT29" i="2"/>
  <c r="AS29" i="2" s="1"/>
  <c r="AR28" i="2"/>
  <c r="AR36" i="2"/>
  <c r="AR44" i="2"/>
  <c r="AQ44" i="2" s="1"/>
  <c r="AZ37" i="2"/>
  <c r="AY37" i="2" s="1"/>
  <c r="AZ29" i="2"/>
  <c r="AY29" i="2" s="1"/>
  <c r="AZ45" i="2"/>
  <c r="AY45" i="2" s="1"/>
  <c r="AV29" i="2"/>
  <c r="AU29" i="2" s="1"/>
  <c r="AV45" i="2"/>
  <c r="AU45" i="2" s="1"/>
  <c r="AV37" i="2"/>
  <c r="AU37" i="2" s="1"/>
  <c r="BB45" i="2"/>
  <c r="BA45" i="2" s="1"/>
  <c r="BB37" i="2"/>
  <c r="BA37" i="2" s="1"/>
  <c r="BB29" i="2"/>
  <c r="BA29" i="2" s="1"/>
  <c r="AT47" i="2"/>
  <c r="AS47" i="2" s="1"/>
  <c r="AT39" i="2"/>
  <c r="AS39" i="2" s="1"/>
  <c r="AT31" i="2"/>
  <c r="AS31" i="2" s="1"/>
  <c r="AR45" i="2"/>
  <c r="AQ45" i="2" s="1"/>
  <c r="AR37" i="2"/>
  <c r="AR29" i="2"/>
  <c r="AZ47" i="2"/>
  <c r="AY47" i="2" s="1"/>
  <c r="AZ39" i="2"/>
  <c r="AY39" i="2" s="1"/>
  <c r="AZ31" i="2"/>
  <c r="AY31" i="2" s="1"/>
  <c r="AV47" i="2"/>
  <c r="AU47" i="2" s="1"/>
  <c r="AV31" i="2"/>
  <c r="AU31" i="2" s="1"/>
  <c r="AV39" i="2"/>
  <c r="AU39" i="2" s="1"/>
  <c r="AS11" i="2"/>
  <c r="AT42" i="2"/>
  <c r="AT26" i="2"/>
  <c r="AT34" i="2"/>
  <c r="AT43" i="2"/>
  <c r="AS43" i="2" s="1"/>
  <c r="AT35" i="2"/>
  <c r="AS35" i="2" s="1"/>
  <c r="AT27" i="2"/>
  <c r="AS27" i="2" s="1"/>
  <c r="AR43" i="2"/>
  <c r="AQ43" i="2" s="1"/>
  <c r="AR27" i="2"/>
  <c r="AR35" i="2"/>
  <c r="AZ27" i="2"/>
  <c r="AY27" i="2" s="1"/>
  <c r="AZ43" i="2"/>
  <c r="AY43" i="2" s="1"/>
  <c r="AZ35" i="2"/>
  <c r="AY35" i="2" s="1"/>
  <c r="BB47" i="2"/>
  <c r="BA47" i="2" s="1"/>
  <c r="BB39" i="2"/>
  <c r="BA39" i="2" s="1"/>
  <c r="BB31" i="2"/>
  <c r="BA31" i="2" s="1"/>
  <c r="AR47" i="2"/>
  <c r="AQ47" i="2" s="1"/>
  <c r="AR39" i="2"/>
  <c r="AR31" i="2"/>
  <c r="AZ36" i="2"/>
  <c r="AY36" i="2" s="1"/>
  <c r="AZ28" i="2"/>
  <c r="AY28" i="2" s="1"/>
  <c r="AZ44" i="2"/>
  <c r="AY44" i="2" s="1"/>
  <c r="AV44" i="2"/>
  <c r="AU44" i="2" s="1"/>
  <c r="AV28" i="2"/>
  <c r="AU28" i="2" s="1"/>
  <c r="AV36" i="2"/>
  <c r="AU36" i="2" s="1"/>
  <c r="AT38" i="2"/>
  <c r="AS38" i="2" s="1"/>
  <c r="AT30" i="2"/>
  <c r="AS30" i="2" s="1"/>
  <c r="AT46" i="2"/>
  <c r="AS46" i="2" s="1"/>
  <c r="AR46" i="2"/>
  <c r="AQ46" i="2" s="1"/>
  <c r="AR30" i="2"/>
  <c r="AR38" i="2"/>
  <c r="AZ30" i="2"/>
  <c r="AY30" i="2" s="1"/>
  <c r="AZ46" i="2"/>
  <c r="AY46" i="2" s="1"/>
  <c r="AZ38" i="2"/>
  <c r="AY38" i="2" s="1"/>
  <c r="AV27" i="2"/>
  <c r="AU27" i="2" s="1"/>
  <c r="AV43" i="2"/>
  <c r="AU43" i="2" s="1"/>
  <c r="AV35" i="2"/>
  <c r="AU35" i="2" s="1"/>
  <c r="AE129" i="28"/>
  <c r="AE125" i="28"/>
  <c r="AE80" i="28"/>
  <c r="AE143" i="28"/>
  <c r="CU79" i="28"/>
  <c r="CV78" i="28"/>
  <c r="AL79" i="28"/>
  <c r="AL98" i="28"/>
  <c r="X144" i="28"/>
  <c r="X149" i="28"/>
  <c r="X156" i="28" s="1"/>
  <c r="X157" i="28" s="1"/>
  <c r="X145" i="28"/>
  <c r="CT80" i="28"/>
  <c r="X81" i="28"/>
  <c r="AE163" i="28"/>
  <c r="AE164" i="28" s="1"/>
  <c r="AE99" i="28"/>
  <c r="AE100" i="28" s="1"/>
  <c r="AE102" i="28" s="1"/>
  <c r="AE103" i="28" s="1"/>
  <c r="Q158" i="28"/>
  <c r="Q159" i="28" s="1"/>
  <c r="Q160" i="28" s="1"/>
  <c r="AE32" i="2"/>
  <c r="AE40" i="2"/>
  <c r="AE48" i="2"/>
  <c r="AI74" i="2"/>
  <c r="AP78" i="2"/>
  <c r="AP75" i="2"/>
  <c r="AP74" i="2"/>
  <c r="AO74" i="2" s="1"/>
  <c r="D77" i="2"/>
  <c r="D75" i="2"/>
  <c r="D74" i="2"/>
  <c r="D40" i="2"/>
  <c r="D78" i="2"/>
  <c r="D32" i="2"/>
  <c r="K40" i="2"/>
  <c r="J40" i="2" s="1"/>
  <c r="AB30" i="2"/>
  <c r="AB27" i="2"/>
  <c r="G32" i="2"/>
  <c r="F32" i="2" s="1"/>
  <c r="L16" i="2"/>
  <c r="M19" i="2"/>
  <c r="L19" i="2" s="1"/>
  <c r="L15" i="2"/>
  <c r="AB7" i="2"/>
  <c r="AB8" i="2"/>
  <c r="AB5" i="2"/>
  <c r="AB9" i="2"/>
  <c r="I32" i="2"/>
  <c r="H32" i="2" s="1"/>
  <c r="K32" i="2"/>
  <c r="J32" i="2" s="1"/>
  <c r="M56" i="2"/>
  <c r="L56" i="2" s="1"/>
  <c r="K56" i="2"/>
  <c r="P13" i="2"/>
  <c r="DA73" i="28" l="1"/>
  <c r="BU128" i="28"/>
  <c r="CB73" i="28"/>
  <c r="DB72" i="28"/>
  <c r="J35" i="3"/>
  <c r="CP71" i="28"/>
  <c r="CP72" i="28" s="1"/>
  <c r="CP73" i="28" s="1"/>
  <c r="CP80" i="28" s="1"/>
  <c r="CP81" i="28" s="1"/>
  <c r="CI97" i="28"/>
  <c r="J71" i="29"/>
  <c r="CI142" i="28"/>
  <c r="CI146" i="28" s="1"/>
  <c r="CI147" i="28" s="1"/>
  <c r="CI72" i="28"/>
  <c r="DC71" i="28"/>
  <c r="AR77" i="2"/>
  <c r="AR76" i="2"/>
  <c r="AQ76" i="2" s="1"/>
  <c r="AQ38" i="2"/>
  <c r="BD38" i="2"/>
  <c r="BC38" i="2" s="1"/>
  <c r="AY34" i="2"/>
  <c r="AZ40" i="2"/>
  <c r="AY40" i="2" s="1"/>
  <c r="AQ28" i="2"/>
  <c r="BD28" i="2"/>
  <c r="BC28" i="2" s="1"/>
  <c r="BD26" i="2"/>
  <c r="BC26" i="2" s="1"/>
  <c r="AR32" i="2"/>
  <c r="AQ26" i="2"/>
  <c r="AY26" i="2"/>
  <c r="AZ32" i="2"/>
  <c r="AY32" i="2" s="1"/>
  <c r="AZ48" i="2"/>
  <c r="AY48" i="2" s="1"/>
  <c r="AY42" i="2"/>
  <c r="BA42" i="2"/>
  <c r="BB48" i="2"/>
  <c r="BA48" i="2" s="1"/>
  <c r="AT40" i="2"/>
  <c r="AS40" i="2" s="1"/>
  <c r="AS34" i="2"/>
  <c r="AV40" i="2"/>
  <c r="AU40" i="2" s="1"/>
  <c r="AU34" i="2"/>
  <c r="BA26" i="2"/>
  <c r="BB32" i="2"/>
  <c r="BA32" i="2" s="1"/>
  <c r="AQ37" i="2"/>
  <c r="BD37" i="2"/>
  <c r="BC37" i="2" s="1"/>
  <c r="AQ30" i="2"/>
  <c r="BD30" i="2"/>
  <c r="BC30" i="2" s="1"/>
  <c r="AQ31" i="2"/>
  <c r="BD31" i="2"/>
  <c r="BC31" i="2" s="1"/>
  <c r="AV48" i="2"/>
  <c r="AU48" i="2" s="1"/>
  <c r="AU42" i="2"/>
  <c r="AQ27" i="2"/>
  <c r="BD27" i="2"/>
  <c r="BC27" i="2" s="1"/>
  <c r="AS26" i="2"/>
  <c r="AT32" i="2"/>
  <c r="AS32" i="2" s="1"/>
  <c r="BD34" i="2"/>
  <c r="BC34" i="2" s="1"/>
  <c r="AQ34" i="2"/>
  <c r="AR40" i="2"/>
  <c r="AQ39" i="2"/>
  <c r="BD39" i="2"/>
  <c r="BC39" i="2" s="1"/>
  <c r="AQ35" i="2"/>
  <c r="BD35" i="2"/>
  <c r="BC35" i="2" s="1"/>
  <c r="AS42" i="2"/>
  <c r="AT48" i="2"/>
  <c r="AS48" i="2" s="1"/>
  <c r="AQ29" i="2"/>
  <c r="BD29" i="2"/>
  <c r="BC29" i="2" s="1"/>
  <c r="AQ36" i="2"/>
  <c r="BD36" i="2"/>
  <c r="BC36" i="2" s="1"/>
  <c r="AU26" i="2"/>
  <c r="AV32" i="2"/>
  <c r="AU32" i="2" s="1"/>
  <c r="AQ42" i="2"/>
  <c r="AR48" i="2"/>
  <c r="BA34" i="2"/>
  <c r="BB40" i="2"/>
  <c r="BA40" i="2" s="1"/>
  <c r="CW78" i="28"/>
  <c r="AS79" i="28"/>
  <c r="AS98" i="28"/>
  <c r="AE144" i="28"/>
  <c r="AE145" i="28"/>
  <c r="AE149" i="28"/>
  <c r="AE156" i="28" s="1"/>
  <c r="AE157" i="28" s="1"/>
  <c r="AL125" i="28"/>
  <c r="CV79" i="28"/>
  <c r="AL80" i="28"/>
  <c r="AL129" i="28"/>
  <c r="AL143" i="28"/>
  <c r="AE81" i="28"/>
  <c r="CU80" i="28"/>
  <c r="X158" i="28"/>
  <c r="X159" i="28" s="1"/>
  <c r="X160" i="28" s="1"/>
  <c r="AL99" i="28"/>
  <c r="AL100" i="28" s="1"/>
  <c r="AL102" i="28" s="1"/>
  <c r="AL103" i="28" s="1"/>
  <c r="AL163" i="28"/>
  <c r="AL164" i="28" s="1"/>
  <c r="AR75" i="2"/>
  <c r="AQ75" i="2" s="1"/>
  <c r="AO75" i="2"/>
  <c r="AT76" i="2"/>
  <c r="AS76" i="2" s="1"/>
  <c r="AO78" i="2"/>
  <c r="AQ77" i="2"/>
  <c r="AR74" i="2"/>
  <c r="AQ74" i="2" s="1"/>
  <c r="AT77" i="2"/>
  <c r="AS77" i="2" s="1"/>
  <c r="AR78" i="2"/>
  <c r="AQ78" i="2" s="1"/>
  <c r="J56" i="2"/>
  <c r="M40" i="2"/>
  <c r="N16" i="2"/>
  <c r="Q19" i="2"/>
  <c r="P19" i="2" s="1"/>
  <c r="N15" i="2"/>
  <c r="O19" i="2"/>
  <c r="M32" i="2"/>
  <c r="L32" i="2" s="1"/>
  <c r="R13" i="2"/>
  <c r="J36" i="3" l="1"/>
  <c r="Q71" i="29"/>
  <c r="J97" i="29"/>
  <c r="J142" i="29"/>
  <c r="J146" i="29" s="1"/>
  <c r="J147" i="29" s="1"/>
  <c r="J72" i="29"/>
  <c r="CR71" i="29"/>
  <c r="CB128" i="28"/>
  <c r="DB73" i="28"/>
  <c r="CI73" i="28"/>
  <c r="DC72" i="28"/>
  <c r="AQ40" i="2"/>
  <c r="BD40" i="2"/>
  <c r="BC40" i="2" s="1"/>
  <c r="AQ32" i="2"/>
  <c r="BD32" i="2"/>
  <c r="BC32" i="2" s="1"/>
  <c r="AQ48" i="2"/>
  <c r="BD48" i="2"/>
  <c r="BC48" i="2" s="1"/>
  <c r="AL145" i="28"/>
  <c r="AL144" i="28"/>
  <c r="AL149" i="28"/>
  <c r="AL156" i="28" s="1"/>
  <c r="AL157" i="28" s="1"/>
  <c r="AS163" i="28"/>
  <c r="AS164" i="28" s="1"/>
  <c r="AS99" i="28"/>
  <c r="AS100" i="28" s="1"/>
  <c r="AS102" i="28" s="1"/>
  <c r="AS103" i="28" s="1"/>
  <c r="AZ98" i="28"/>
  <c r="AZ79" i="28"/>
  <c r="CX78" i="28"/>
  <c r="AL81" i="28"/>
  <c r="CV80" i="28"/>
  <c r="AS129" i="28"/>
  <c r="CW79" i="28"/>
  <c r="AS125" i="28"/>
  <c r="AS143" i="28"/>
  <c r="AS80" i="28"/>
  <c r="AE158" i="28"/>
  <c r="AE159" i="28" s="1"/>
  <c r="AE160" i="28" s="1"/>
  <c r="AV76" i="2"/>
  <c r="AV77" i="2"/>
  <c r="AU77" i="2" s="1"/>
  <c r="AT74" i="2"/>
  <c r="AS74" i="2" s="1"/>
  <c r="AT75" i="2"/>
  <c r="AT78" i="2"/>
  <c r="AS78" i="2" s="1"/>
  <c r="N19" i="2"/>
  <c r="L40" i="2"/>
  <c r="O40" i="2"/>
  <c r="N40" i="2" s="1"/>
  <c r="P15" i="2"/>
  <c r="P16" i="2"/>
  <c r="O32" i="2"/>
  <c r="Q56" i="2"/>
  <c r="P56" i="2" s="1"/>
  <c r="T13" i="2"/>
  <c r="O56" i="2"/>
  <c r="CI128" i="28" l="1"/>
  <c r="DC73" i="28"/>
  <c r="J73" i="29"/>
  <c r="CR72" i="29"/>
  <c r="J37" i="3"/>
  <c r="CS71" i="29"/>
  <c r="X71" i="29"/>
  <c r="Q72" i="29"/>
  <c r="Q142" i="29"/>
  <c r="Q146" i="29" s="1"/>
  <c r="Q147" i="29" s="1"/>
  <c r="Q97" i="29"/>
  <c r="AS81" i="28"/>
  <c r="CW80" i="28"/>
  <c r="AZ143" i="28"/>
  <c r="AZ80" i="28"/>
  <c r="CX79" i="28"/>
  <c r="AZ129" i="28"/>
  <c r="AZ125" i="28"/>
  <c r="AS144" i="28"/>
  <c r="AS149" i="28"/>
  <c r="AS156" i="28" s="1"/>
  <c r="AS157" i="28" s="1"/>
  <c r="AS145" i="28"/>
  <c r="AZ99" i="28"/>
  <c r="AZ100" i="28" s="1"/>
  <c r="AZ102" i="28" s="1"/>
  <c r="AZ103" i="28" s="1"/>
  <c r="AZ163" i="28"/>
  <c r="AZ164" i="28" s="1"/>
  <c r="CY78" i="28"/>
  <c r="BG98" i="28"/>
  <c r="BG79" i="28"/>
  <c r="AL158" i="28"/>
  <c r="AL159" i="28" s="1"/>
  <c r="AL160" i="28" s="1"/>
  <c r="AV78" i="2"/>
  <c r="AU78" i="2" s="1"/>
  <c r="AU76" i="2"/>
  <c r="AX76" i="2"/>
  <c r="AW76" i="2" s="1"/>
  <c r="AV74" i="2"/>
  <c r="AU74" i="2" s="1"/>
  <c r="AX77" i="2"/>
  <c r="AW77" i="2" s="1"/>
  <c r="AS75" i="2"/>
  <c r="AV75" i="2"/>
  <c r="AU75" i="2" s="1"/>
  <c r="N56" i="2"/>
  <c r="N32" i="2"/>
  <c r="Q40" i="2"/>
  <c r="P40" i="2" s="1"/>
  <c r="S19" i="2"/>
  <c r="R16" i="2"/>
  <c r="R15" i="2"/>
  <c r="Q32" i="2"/>
  <c r="P32" i="2" s="1"/>
  <c r="V13" i="2"/>
  <c r="CS72" i="29" l="1"/>
  <c r="Q73" i="29"/>
  <c r="J38" i="3"/>
  <c r="X72" i="29"/>
  <c r="AE71" i="29"/>
  <c r="CT71" i="29"/>
  <c r="X97" i="29"/>
  <c r="X142" i="29"/>
  <c r="X146" i="29" s="1"/>
  <c r="X147" i="29" s="1"/>
  <c r="J128" i="29"/>
  <c r="CR73" i="29"/>
  <c r="BG163" i="28"/>
  <c r="BG164" i="28" s="1"/>
  <c r="BG99" i="28"/>
  <c r="BG100" i="28" s="1"/>
  <c r="BG102" i="28" s="1"/>
  <c r="BG103" i="28" s="1"/>
  <c r="BG125" i="28"/>
  <c r="BG143" i="28"/>
  <c r="CY79" i="28"/>
  <c r="BG129" i="28"/>
  <c r="BG80" i="28"/>
  <c r="AS158" i="28"/>
  <c r="AS159" i="28" s="1"/>
  <c r="AS160" i="28" s="1"/>
  <c r="AZ81" i="28"/>
  <c r="CX80" i="28"/>
  <c r="AZ144" i="28"/>
  <c r="AZ149" i="28"/>
  <c r="AZ156" i="28" s="1"/>
  <c r="AZ157" i="28" s="1"/>
  <c r="AZ145" i="28"/>
  <c r="CZ78" i="28"/>
  <c r="BN79" i="28"/>
  <c r="BN98" i="28"/>
  <c r="AX74" i="2"/>
  <c r="AX78" i="2"/>
  <c r="AZ77" i="2"/>
  <c r="AY77" i="2" s="1"/>
  <c r="BD45" i="2"/>
  <c r="BC45" i="2" s="1"/>
  <c r="AZ76" i="2"/>
  <c r="BD46" i="2"/>
  <c r="BC46" i="2" s="1"/>
  <c r="AX75" i="2"/>
  <c r="AW75" i="2" s="1"/>
  <c r="R19" i="2"/>
  <c r="S40" i="2"/>
  <c r="R40" i="2" s="1"/>
  <c r="T15" i="2"/>
  <c r="U19" i="2"/>
  <c r="T19" i="2" s="1"/>
  <c r="T16" i="2"/>
  <c r="S32" i="2"/>
  <c r="R32" i="2" s="1"/>
  <c r="AB39" i="2"/>
  <c r="AB52" i="2"/>
  <c r="AB53" i="2"/>
  <c r="X13" i="2"/>
  <c r="U56" i="2"/>
  <c r="T56" i="2" s="1"/>
  <c r="S56" i="2"/>
  <c r="J39" i="3" l="1"/>
  <c r="AE142" i="29"/>
  <c r="AE146" i="29" s="1"/>
  <c r="AE147" i="29" s="1"/>
  <c r="AL71" i="29"/>
  <c r="CU71" i="29"/>
  <c r="AE72" i="29"/>
  <c r="AE97" i="29"/>
  <c r="CT72" i="29"/>
  <c r="X73" i="29"/>
  <c r="Q128" i="29"/>
  <c r="CS73" i="29"/>
  <c r="CZ79" i="28"/>
  <c r="BN80" i="28"/>
  <c r="BN125" i="28"/>
  <c r="BN143" i="28"/>
  <c r="BN129" i="28"/>
  <c r="BG145" i="28"/>
  <c r="BG144" i="28"/>
  <c r="BG149" i="28"/>
  <c r="BG156" i="28" s="1"/>
  <c r="BG157" i="28" s="1"/>
  <c r="AZ158" i="28"/>
  <c r="AZ159" i="28" s="1"/>
  <c r="AZ160" i="28" s="1"/>
  <c r="CY80" i="28"/>
  <c r="BG81" i="28"/>
  <c r="BU79" i="28"/>
  <c r="DA78" i="28"/>
  <c r="BU98" i="28"/>
  <c r="BN163" i="28"/>
  <c r="BN164" i="28" s="1"/>
  <c r="BN99" i="28"/>
  <c r="BN100" i="28" s="1"/>
  <c r="BN102" i="28" s="1"/>
  <c r="BN103" i="28" s="1"/>
  <c r="AW78" i="2"/>
  <c r="BD42" i="2"/>
  <c r="BC42" i="2" s="1"/>
  <c r="BD44" i="2"/>
  <c r="BC44" i="2" s="1"/>
  <c r="AZ75" i="2"/>
  <c r="AY76" i="2"/>
  <c r="BB77" i="2"/>
  <c r="BA77" i="2" s="1"/>
  <c r="AW74" i="2"/>
  <c r="AZ78" i="2"/>
  <c r="AY78" i="2" s="1"/>
  <c r="BB76" i="2"/>
  <c r="BA76" i="2" s="1"/>
  <c r="AZ74" i="2"/>
  <c r="AY74" i="2" s="1"/>
  <c r="R56" i="2"/>
  <c r="U40" i="2"/>
  <c r="T40" i="2" s="1"/>
  <c r="AB18" i="2"/>
  <c r="AB31" i="2"/>
  <c r="V16" i="2"/>
  <c r="W19" i="2"/>
  <c r="V19" i="2" s="1"/>
  <c r="V15" i="2"/>
  <c r="AB10" i="2"/>
  <c r="AB11" i="2" s="1"/>
  <c r="U32" i="2"/>
  <c r="T32" i="2" s="1"/>
  <c r="Y19" i="2"/>
  <c r="X19" i="2" s="1"/>
  <c r="AB55" i="2"/>
  <c r="CU72" i="29" l="1"/>
  <c r="AE73" i="29"/>
  <c r="CT73" i="29"/>
  <c r="X128" i="29"/>
  <c r="J40" i="3"/>
  <c r="AL142" i="29"/>
  <c r="AL146" i="29" s="1"/>
  <c r="AL147" i="29" s="1"/>
  <c r="CV71" i="29"/>
  <c r="AS71" i="29"/>
  <c r="AL97" i="29"/>
  <c r="AL72" i="29"/>
  <c r="BU143" i="28"/>
  <c r="BU129" i="28"/>
  <c r="BU125" i="28"/>
  <c r="DA79" i="28"/>
  <c r="BU80" i="28"/>
  <c r="BN144" i="28"/>
  <c r="BN145" i="28"/>
  <c r="BN149" i="28"/>
  <c r="BN156" i="28" s="1"/>
  <c r="BN157" i="28" s="1"/>
  <c r="BU163" i="28"/>
  <c r="BU164" i="28" s="1"/>
  <c r="BU99" i="28"/>
  <c r="BU100" i="28" s="1"/>
  <c r="BU102" i="28" s="1"/>
  <c r="BU103" i="28" s="1"/>
  <c r="BG158" i="28"/>
  <c r="BG159" i="28" s="1"/>
  <c r="BG160" i="28" s="1"/>
  <c r="BN81" i="28"/>
  <c r="CZ80" i="28"/>
  <c r="CB98" i="28"/>
  <c r="DB78" i="28"/>
  <c r="CB79" i="28"/>
  <c r="BD77" i="2"/>
  <c r="BC77" i="2" s="1"/>
  <c r="BB74" i="2"/>
  <c r="BA74" i="2" s="1"/>
  <c r="AY75" i="2"/>
  <c r="BD43" i="2"/>
  <c r="BC43" i="2" s="1"/>
  <c r="BB78" i="2"/>
  <c r="BA78" i="2" s="1"/>
  <c r="BD47" i="2"/>
  <c r="BC47" i="2" s="1"/>
  <c r="BD76" i="2"/>
  <c r="BC76" i="2" s="1"/>
  <c r="BB75" i="2"/>
  <c r="BA75" i="2" s="1"/>
  <c r="W40" i="2"/>
  <c r="V40" i="2" s="1"/>
  <c r="X15" i="2"/>
  <c r="X16" i="2"/>
  <c r="Z13" i="2"/>
  <c r="W32" i="2"/>
  <c r="W56" i="2"/>
  <c r="Y56" i="2"/>
  <c r="X56" i="2" s="1"/>
  <c r="J41" i="3" l="1"/>
  <c r="AS142" i="29"/>
  <c r="AS146" i="29" s="1"/>
  <c r="AS147" i="29" s="1"/>
  <c r="AZ71" i="29"/>
  <c r="CW71" i="29"/>
  <c r="AS72" i="29"/>
  <c r="AS97" i="29"/>
  <c r="CV72" i="29"/>
  <c r="AL73" i="29"/>
  <c r="AE128" i="29"/>
  <c r="CU73" i="29"/>
  <c r="CB143" i="28"/>
  <c r="CB129" i="28"/>
  <c r="DB79" i="28"/>
  <c r="CB125" i="28"/>
  <c r="CB80" i="28"/>
  <c r="CB163" i="28"/>
  <c r="CB164" i="28" s="1"/>
  <c r="CB99" i="28"/>
  <c r="CB100" i="28" s="1"/>
  <c r="CB102" i="28" s="1"/>
  <c r="CB103" i="28" s="1"/>
  <c r="BN158" i="28"/>
  <c r="BN159" i="28" s="1"/>
  <c r="BN160" i="28" s="1"/>
  <c r="CI79" i="28"/>
  <c r="CI98" i="28"/>
  <c r="DC78" i="28"/>
  <c r="DA80" i="28"/>
  <c r="BU81" i="28"/>
  <c r="BU145" i="28"/>
  <c r="BU149" i="28"/>
  <c r="BU156" i="28" s="1"/>
  <c r="BU157" i="28" s="1"/>
  <c r="BU144" i="28"/>
  <c r="BD75" i="2"/>
  <c r="BC75" i="2" s="1"/>
  <c r="BD78" i="2"/>
  <c r="BC78" i="2" s="1"/>
  <c r="BD74" i="2"/>
  <c r="BC74" i="2" s="1"/>
  <c r="BD61" i="2"/>
  <c r="BC61" i="2" s="1"/>
  <c r="V56" i="2"/>
  <c r="V32" i="2"/>
  <c r="Y40" i="2"/>
  <c r="Z16" i="2"/>
  <c r="AA19" i="2"/>
  <c r="Z15" i="2"/>
  <c r="Y32" i="2"/>
  <c r="X32" i="2" s="1"/>
  <c r="AA56" i="2"/>
  <c r="AC56" i="2" s="1"/>
  <c r="CW72" i="29" l="1"/>
  <c r="AS73" i="29"/>
  <c r="CV73" i="29"/>
  <c r="AL128" i="29"/>
  <c r="J42" i="3"/>
  <c r="AZ142" i="29"/>
  <c r="AZ146" i="29" s="1"/>
  <c r="AZ147" i="29" s="1"/>
  <c r="BG71" i="29"/>
  <c r="AZ97" i="29"/>
  <c r="AZ72" i="29"/>
  <c r="CX71" i="29"/>
  <c r="J79" i="29"/>
  <c r="CR78" i="29"/>
  <c r="J98" i="29"/>
  <c r="CI163" i="28"/>
  <c r="CI164" i="28" s="1"/>
  <c r="CI99" i="28"/>
  <c r="CI100" i="28" s="1"/>
  <c r="CI102" i="28" s="1"/>
  <c r="CI103" i="28" s="1"/>
  <c r="BU158" i="28"/>
  <c r="BU159" i="28" s="1"/>
  <c r="BU160" i="28" s="1"/>
  <c r="CI143" i="28"/>
  <c r="CI125" i="28"/>
  <c r="CI129" i="28"/>
  <c r="DC79" i="28"/>
  <c r="CI80" i="28"/>
  <c r="DB80" i="28"/>
  <c r="CB81" i="28"/>
  <c r="CB145" i="28"/>
  <c r="CB149" i="28"/>
  <c r="CB156" i="28" s="1"/>
  <c r="CB157" i="28" s="1"/>
  <c r="CB144" i="28"/>
  <c r="Z19" i="2"/>
  <c r="AC19" i="2"/>
  <c r="X40" i="2"/>
  <c r="Z56" i="2"/>
  <c r="AB56" i="2" s="1"/>
  <c r="AB13" i="2"/>
  <c r="AB34" i="2"/>
  <c r="AB26" i="2"/>
  <c r="CX72" i="29" l="1"/>
  <c r="AZ73" i="29"/>
  <c r="J43" i="3"/>
  <c r="BG97" i="29"/>
  <c r="BN71" i="29"/>
  <c r="CY71" i="29"/>
  <c r="BG72" i="29"/>
  <c r="BG142" i="29"/>
  <c r="BG146" i="29" s="1"/>
  <c r="BG147" i="29" s="1"/>
  <c r="CW73" i="29"/>
  <c r="AS128" i="29"/>
  <c r="CS78" i="29"/>
  <c r="Q98" i="29"/>
  <c r="Q79" i="29"/>
  <c r="CB158" i="28"/>
  <c r="CB159" i="28" s="1"/>
  <c r="CB160" i="28" s="1"/>
  <c r="DC80" i="28"/>
  <c r="CI81" i="28"/>
  <c r="CI145" i="28"/>
  <c r="CI144" i="28"/>
  <c r="CI149" i="28"/>
  <c r="CI156" i="28" s="1"/>
  <c r="CI157" i="28" s="1"/>
  <c r="J163" i="29"/>
  <c r="J164" i="29" s="1"/>
  <c r="J99" i="29"/>
  <c r="J100" i="29" s="1"/>
  <c r="J102" i="29" s="1"/>
  <c r="J103" i="29" s="1"/>
  <c r="CR79" i="29"/>
  <c r="J80" i="29"/>
  <c r="J143" i="29"/>
  <c r="J125" i="29"/>
  <c r="J129" i="29"/>
  <c r="BC11" i="2"/>
  <c r="AB19" i="2"/>
  <c r="AB16" i="2"/>
  <c r="AB36" i="2"/>
  <c r="AB37" i="2"/>
  <c r="AA40" i="2"/>
  <c r="AB15" i="2"/>
  <c r="AA32" i="2"/>
  <c r="AC32" i="2" s="1"/>
  <c r="J44" i="3" l="1"/>
  <c r="BN97" i="29"/>
  <c r="BU71" i="29"/>
  <c r="BN72" i="29"/>
  <c r="BN142" i="29"/>
  <c r="BN146" i="29" s="1"/>
  <c r="BN147" i="29" s="1"/>
  <c r="CZ71" i="29"/>
  <c r="BG73" i="29"/>
  <c r="CY72" i="29"/>
  <c r="CX73" i="29"/>
  <c r="AZ128" i="29"/>
  <c r="Q80" i="29"/>
  <c r="Q143" i="29"/>
  <c r="Q129" i="29"/>
  <c r="CS79" i="29"/>
  <c r="Q125" i="29"/>
  <c r="J149" i="29"/>
  <c r="J156" i="29" s="1"/>
  <c r="J157" i="29" s="1"/>
  <c r="J144" i="29"/>
  <c r="J145" i="29"/>
  <c r="X98" i="29"/>
  <c r="CT78" i="29"/>
  <c r="X79" i="29"/>
  <c r="J81" i="29"/>
  <c r="CR80" i="29"/>
  <c r="Q163" i="29"/>
  <c r="Q164" i="29" s="1"/>
  <c r="Q99" i="29"/>
  <c r="Q100" i="29" s="1"/>
  <c r="Q102" i="29" s="1"/>
  <c r="Q103" i="29" s="1"/>
  <c r="CI158" i="28"/>
  <c r="CI159" i="28" s="1"/>
  <c r="CI160" i="28" s="1"/>
  <c r="BD62" i="2"/>
  <c r="BC62" i="2" s="1"/>
  <c r="Z40" i="2"/>
  <c r="AC40" i="2"/>
  <c r="AB40" i="2" s="1"/>
  <c r="Z32" i="2"/>
  <c r="AF64" i="2"/>
  <c r="AE64" i="2" s="1"/>
  <c r="BN73" i="29" l="1"/>
  <c r="CZ72" i="29"/>
  <c r="BG128" i="29"/>
  <c r="CY73" i="29"/>
  <c r="J45" i="3"/>
  <c r="BU142" i="29"/>
  <c r="BU146" i="29" s="1"/>
  <c r="BU147" i="29" s="1"/>
  <c r="BU97" i="29"/>
  <c r="DA71" i="29"/>
  <c r="CB71" i="29"/>
  <c r="BU72" i="29"/>
  <c r="X80" i="29"/>
  <c r="X143" i="29"/>
  <c r="X129" i="29"/>
  <c r="CT79" i="29"/>
  <c r="X125" i="29"/>
  <c r="CU78" i="29"/>
  <c r="AE79" i="29"/>
  <c r="AE98" i="29"/>
  <c r="J158" i="29"/>
  <c r="J159" i="29" s="1"/>
  <c r="J160" i="29" s="1"/>
  <c r="Q149" i="29"/>
  <c r="Q156" i="29" s="1"/>
  <c r="Q157" i="29" s="1"/>
  <c r="Q144" i="29"/>
  <c r="Q145" i="29"/>
  <c r="X99" i="29"/>
  <c r="X100" i="29" s="1"/>
  <c r="X102" i="29" s="1"/>
  <c r="X103" i="29" s="1"/>
  <c r="X163" i="29"/>
  <c r="X164" i="29" s="1"/>
  <c r="Q81" i="29"/>
  <c r="CS80" i="29"/>
  <c r="AH64" i="2"/>
  <c r="AG64" i="2" s="1"/>
  <c r="AB32" i="2"/>
  <c r="J46" i="3" l="1"/>
  <c r="DB71" i="29"/>
  <c r="CB72" i="29"/>
  <c r="CB142" i="29"/>
  <c r="CB146" i="29" s="1"/>
  <c r="CB147" i="29" s="1"/>
  <c r="CI71" i="29"/>
  <c r="CB97" i="29"/>
  <c r="BN128" i="29"/>
  <c r="CZ73" i="29"/>
  <c r="DA72" i="29"/>
  <c r="BU73" i="29"/>
  <c r="Q158" i="29"/>
  <c r="Q159" i="29" s="1"/>
  <c r="Q160" i="29" s="1"/>
  <c r="AL79" i="29"/>
  <c r="AL98" i="29"/>
  <c r="CV78" i="29"/>
  <c r="AE80" i="29"/>
  <c r="AE143" i="29"/>
  <c r="AE125" i="29"/>
  <c r="AE129" i="29"/>
  <c r="CU79" i="29"/>
  <c r="X145" i="29"/>
  <c r="X149" i="29"/>
  <c r="X156" i="29" s="1"/>
  <c r="X157" i="29" s="1"/>
  <c r="X144" i="29"/>
  <c r="AE163" i="29"/>
  <c r="AE164" i="29" s="1"/>
  <c r="AE99" i="29"/>
  <c r="AE100" i="29" s="1"/>
  <c r="AE102" i="29" s="1"/>
  <c r="AE103" i="29" s="1"/>
  <c r="CT80" i="29"/>
  <c r="X81" i="29"/>
  <c r="AJ64" i="2"/>
  <c r="AI64" i="2" s="1"/>
  <c r="J47" i="3" l="1"/>
  <c r="J73" i="32"/>
  <c r="CP71" i="29"/>
  <c r="CP72" i="29" s="1"/>
  <c r="CP73" i="29" s="1"/>
  <c r="CP80" i="29" s="1"/>
  <c r="CP81" i="29" s="1"/>
  <c r="CI97" i="29"/>
  <c r="DC71" i="29"/>
  <c r="CI72" i="29"/>
  <c r="CI142" i="29"/>
  <c r="CI146" i="29" s="1"/>
  <c r="CI147" i="29" s="1"/>
  <c r="CB73" i="29"/>
  <c r="DB72" i="29"/>
  <c r="BU128" i="29"/>
  <c r="DA73" i="29"/>
  <c r="X158" i="29"/>
  <c r="X159" i="29" s="1"/>
  <c r="X160" i="29" s="1"/>
  <c r="AL99" i="29"/>
  <c r="AL100" i="29" s="1"/>
  <c r="AL102" i="29" s="1"/>
  <c r="AL103" i="29" s="1"/>
  <c r="AL163" i="29"/>
  <c r="AL164" i="29" s="1"/>
  <c r="AE149" i="29"/>
  <c r="AE156" i="29" s="1"/>
  <c r="AE157" i="29" s="1"/>
  <c r="AE144" i="29"/>
  <c r="AE145" i="29"/>
  <c r="AL143" i="29"/>
  <c r="AL129" i="29"/>
  <c r="AL125" i="29"/>
  <c r="AL80" i="29"/>
  <c r="CV79" i="29"/>
  <c r="CU80" i="29"/>
  <c r="AE81" i="29"/>
  <c r="AS79" i="29"/>
  <c r="AS98" i="29"/>
  <c r="CW78" i="29"/>
  <c r="AL64" i="2"/>
  <c r="AK64" i="2" s="1"/>
  <c r="BD63" i="2"/>
  <c r="BC63" i="2" s="1"/>
  <c r="DB73" i="29" l="1"/>
  <c r="CB128" i="29"/>
  <c r="J48" i="3"/>
  <c r="CR73" i="30"/>
  <c r="J99" i="30"/>
  <c r="J101" i="30" s="1"/>
  <c r="J102" i="30" s="1"/>
  <c r="J144" i="30"/>
  <c r="J148" i="30" s="1"/>
  <c r="J149" i="30" s="1"/>
  <c r="J74" i="30"/>
  <c r="Q73" i="30"/>
  <c r="AV81" i="9"/>
  <c r="DC72" i="29"/>
  <c r="CI73" i="29"/>
  <c r="J74" i="32"/>
  <c r="Q73" i="32"/>
  <c r="J99" i="32"/>
  <c r="J101" i="32" s="1"/>
  <c r="J102" i="32" s="1"/>
  <c r="J104" i="32" s="1"/>
  <c r="J105" i="32" s="1"/>
  <c r="J144" i="32"/>
  <c r="CR73" i="32"/>
  <c r="AS163" i="29"/>
  <c r="AS164" i="29" s="1"/>
  <c r="AS99" i="29"/>
  <c r="AS100" i="29" s="1"/>
  <c r="AS102" i="29" s="1"/>
  <c r="AS103" i="29" s="1"/>
  <c r="CW79" i="29"/>
  <c r="AS80" i="29"/>
  <c r="AS143" i="29"/>
  <c r="AS129" i="29"/>
  <c r="AS125" i="29"/>
  <c r="AL144" i="29"/>
  <c r="AL145" i="29"/>
  <c r="AL149" i="29"/>
  <c r="AL156" i="29" s="1"/>
  <c r="AL157" i="29" s="1"/>
  <c r="AZ98" i="29"/>
  <c r="CX78" i="29"/>
  <c r="AZ79" i="29"/>
  <c r="AL81" i="29"/>
  <c r="CV80" i="29"/>
  <c r="AE158" i="29"/>
  <c r="AE159" i="29" s="1"/>
  <c r="AE160" i="29" s="1"/>
  <c r="AN64" i="2"/>
  <c r="AM64" i="2" s="1"/>
  <c r="X73" i="32" l="1"/>
  <c r="Q144" i="32"/>
  <c r="Q74" i="32"/>
  <c r="Q99" i="32"/>
  <c r="Q101" i="32" s="1"/>
  <c r="Q102" i="32" s="1"/>
  <c r="Q104" i="32" s="1"/>
  <c r="Q105" i="32" s="1"/>
  <c r="CS73" i="32"/>
  <c r="J75" i="32"/>
  <c r="CR74" i="32"/>
  <c r="J49" i="3"/>
  <c r="CS73" i="30"/>
  <c r="X73" i="30"/>
  <c r="Q99" i="30"/>
  <c r="Q144" i="30"/>
  <c r="Q148" i="30" s="1"/>
  <c r="Q149" i="30" s="1"/>
  <c r="Q74" i="30"/>
  <c r="J148" i="32"/>
  <c r="J149" i="32" s="1"/>
  <c r="J146" i="32"/>
  <c r="J151" i="32"/>
  <c r="J158" i="32" s="1"/>
  <c r="J159" i="32" s="1"/>
  <c r="J147" i="32"/>
  <c r="DC73" i="29"/>
  <c r="CI128" i="29"/>
  <c r="J75" i="30"/>
  <c r="CR74" i="30"/>
  <c r="AZ99" i="29"/>
  <c r="AZ100" i="29" s="1"/>
  <c r="AZ102" i="29" s="1"/>
  <c r="AZ103" i="29" s="1"/>
  <c r="AZ163" i="29"/>
  <c r="AZ164" i="29" s="1"/>
  <c r="AL158" i="29"/>
  <c r="AL159" i="29" s="1"/>
  <c r="AL160" i="29" s="1"/>
  <c r="AS81" i="29"/>
  <c r="CW80" i="29"/>
  <c r="CX79" i="29"/>
  <c r="AZ80" i="29"/>
  <c r="AZ143" i="29"/>
  <c r="AZ129" i="29"/>
  <c r="AZ125" i="29"/>
  <c r="BG98" i="29"/>
  <c r="BG79" i="29"/>
  <c r="CY78" i="29"/>
  <c r="AS145" i="29"/>
  <c r="AS144" i="29"/>
  <c r="AS149" i="29"/>
  <c r="AS156" i="29" s="1"/>
  <c r="AS157" i="29" s="1"/>
  <c r="AP64" i="2"/>
  <c r="AO64" i="2" s="1"/>
  <c r="BD59" i="2"/>
  <c r="BC59" i="2" s="1"/>
  <c r="Q75" i="30" l="1"/>
  <c r="CS74" i="30"/>
  <c r="CT73" i="32"/>
  <c r="X144" i="32"/>
  <c r="X99" i="32"/>
  <c r="X101" i="32" s="1"/>
  <c r="X102" i="32" s="1"/>
  <c r="X104" i="32" s="1"/>
  <c r="X105" i="32" s="1"/>
  <c r="AE73" i="32"/>
  <c r="X74" i="32"/>
  <c r="CR75" i="30"/>
  <c r="J130" i="30"/>
  <c r="CS74" i="32"/>
  <c r="Q75" i="32"/>
  <c r="J160" i="32"/>
  <c r="J161" i="32" s="1"/>
  <c r="J162" i="32" s="1"/>
  <c r="J50" i="3"/>
  <c r="X99" i="30"/>
  <c r="AE73" i="30"/>
  <c r="CT73" i="30"/>
  <c r="X74" i="30"/>
  <c r="X144" i="30"/>
  <c r="X148" i="30" s="1"/>
  <c r="X149" i="30" s="1"/>
  <c r="CR75" i="32"/>
  <c r="J130" i="32"/>
  <c r="J82" i="32"/>
  <c r="J131" i="32"/>
  <c r="Q148" i="32"/>
  <c r="Q149" i="32" s="1"/>
  <c r="Q146" i="32"/>
  <c r="Q151" i="32"/>
  <c r="Q158" i="32" s="1"/>
  <c r="Q159" i="32" s="1"/>
  <c r="Q147" i="32"/>
  <c r="AS158" i="29"/>
  <c r="AS159" i="29" s="1"/>
  <c r="AS160" i="29" s="1"/>
  <c r="BG143" i="29"/>
  <c r="BG80" i="29"/>
  <c r="BG125" i="29"/>
  <c r="BG129" i="29"/>
  <c r="CY79" i="29"/>
  <c r="AZ145" i="29"/>
  <c r="AZ144" i="29"/>
  <c r="AZ149" i="29"/>
  <c r="AZ156" i="29" s="1"/>
  <c r="AZ157" i="29" s="1"/>
  <c r="BG163" i="29"/>
  <c r="BG164" i="29" s="1"/>
  <c r="BG99" i="29"/>
  <c r="BG100" i="29" s="1"/>
  <c r="BG102" i="29" s="1"/>
  <c r="BG103" i="29" s="1"/>
  <c r="CX80" i="29"/>
  <c r="AZ81" i="29"/>
  <c r="BN79" i="29"/>
  <c r="CZ78" i="29"/>
  <c r="BN98" i="29"/>
  <c r="AR64" i="2"/>
  <c r="AQ64" i="2" s="1"/>
  <c r="BD60" i="2"/>
  <c r="BC60" i="2" s="1"/>
  <c r="CR82" i="32" l="1"/>
  <c r="J83" i="32"/>
  <c r="X75" i="30"/>
  <c r="CT74" i="30"/>
  <c r="CS75" i="30"/>
  <c r="Q130" i="30"/>
  <c r="X148" i="32"/>
  <c r="X149" i="32" s="1"/>
  <c r="X146" i="32"/>
  <c r="X151" i="32"/>
  <c r="X158" i="32" s="1"/>
  <c r="X159" i="32" s="1"/>
  <c r="X147" i="32"/>
  <c r="Q160" i="32"/>
  <c r="Q161" i="32" s="1"/>
  <c r="Q162" i="32" s="1"/>
  <c r="J51" i="3"/>
  <c r="AE74" i="30"/>
  <c r="CU73" i="30"/>
  <c r="AE144" i="30"/>
  <c r="AE148" i="30" s="1"/>
  <c r="AE149" i="30" s="1"/>
  <c r="AL73" i="30"/>
  <c r="AE99" i="30"/>
  <c r="Q130" i="32"/>
  <c r="CS75" i="32"/>
  <c r="Q82" i="32"/>
  <c r="Q131" i="32"/>
  <c r="X75" i="32"/>
  <c r="CT74" i="32"/>
  <c r="AE74" i="32"/>
  <c r="CU73" i="32"/>
  <c r="AL73" i="32"/>
  <c r="AE144" i="32"/>
  <c r="AE99" i="32"/>
  <c r="AE101" i="32" s="1"/>
  <c r="AE102" i="32" s="1"/>
  <c r="AE104" i="32" s="1"/>
  <c r="AE105" i="32" s="1"/>
  <c r="BN99" i="29"/>
  <c r="BN100" i="29" s="1"/>
  <c r="BN102" i="29" s="1"/>
  <c r="BN103" i="29" s="1"/>
  <c r="BN163" i="29"/>
  <c r="BN164" i="29" s="1"/>
  <c r="AZ158" i="29"/>
  <c r="AZ159" i="29" s="1"/>
  <c r="AZ160" i="29" s="1"/>
  <c r="BU98" i="29"/>
  <c r="BU79" i="29"/>
  <c r="DA78" i="29"/>
  <c r="CY80" i="29"/>
  <c r="BG81" i="29"/>
  <c r="BN143" i="29"/>
  <c r="BN125" i="29"/>
  <c r="BN129" i="29"/>
  <c r="BN80" i="29"/>
  <c r="CZ79" i="29"/>
  <c r="BG149" i="29"/>
  <c r="BG156" i="29" s="1"/>
  <c r="BG157" i="29" s="1"/>
  <c r="BG144" i="29"/>
  <c r="BG145" i="29"/>
  <c r="AT64" i="2"/>
  <c r="AS64" i="2" s="1"/>
  <c r="AE75" i="30" l="1"/>
  <c r="CU74" i="30"/>
  <c r="AE75" i="32"/>
  <c r="CU74" i="32"/>
  <c r="Q83" i="32"/>
  <c r="CS82" i="32"/>
  <c r="J52" i="3"/>
  <c r="AL99" i="30"/>
  <c r="AS73" i="30"/>
  <c r="AL74" i="30"/>
  <c r="CV73" i="30"/>
  <c r="AL144" i="30"/>
  <c r="AL148" i="30" s="1"/>
  <c r="AL149" i="30" s="1"/>
  <c r="AE148" i="32"/>
  <c r="AE149" i="32" s="1"/>
  <c r="AE151" i="32"/>
  <c r="AE158" i="32" s="1"/>
  <c r="AE159" i="32" s="1"/>
  <c r="AE146" i="32"/>
  <c r="AE147" i="32"/>
  <c r="X160" i="32"/>
  <c r="X161" i="32" s="1"/>
  <c r="X162" i="32" s="1"/>
  <c r="X130" i="30"/>
  <c r="CT75" i="30"/>
  <c r="CV73" i="32"/>
  <c r="AL144" i="32"/>
  <c r="AL99" i="32"/>
  <c r="AL101" i="32" s="1"/>
  <c r="AL102" i="32" s="1"/>
  <c r="AL104" i="32" s="1"/>
  <c r="AL105" i="32" s="1"/>
  <c r="AS73" i="32"/>
  <c r="AL74" i="32"/>
  <c r="X130" i="32"/>
  <c r="CT75" i="32"/>
  <c r="X131" i="32"/>
  <c r="X82" i="32"/>
  <c r="BG158" i="29"/>
  <c r="BG159" i="29" s="1"/>
  <c r="BG160" i="29" s="1"/>
  <c r="BU99" i="29"/>
  <c r="BU100" i="29" s="1"/>
  <c r="BU102" i="29" s="1"/>
  <c r="BU103" i="29" s="1"/>
  <c r="BU163" i="29"/>
  <c r="BU164" i="29" s="1"/>
  <c r="BN145" i="29"/>
  <c r="BN149" i="29"/>
  <c r="BN156" i="29" s="1"/>
  <c r="BN157" i="29" s="1"/>
  <c r="BN144" i="29"/>
  <c r="DB78" i="29"/>
  <c r="CB98" i="29"/>
  <c r="CB79" i="29"/>
  <c r="CZ80" i="29"/>
  <c r="BN81" i="29"/>
  <c r="DA79" i="29"/>
  <c r="BU125" i="29"/>
  <c r="BU143" i="29"/>
  <c r="BU80" i="29"/>
  <c r="BU129" i="29"/>
  <c r="AV64" i="2"/>
  <c r="AU64" i="2" s="1"/>
  <c r="AE160" i="32" l="1"/>
  <c r="AE161" i="32" s="1"/>
  <c r="AE162" i="32" s="1"/>
  <c r="AL148" i="32"/>
  <c r="AL149" i="32" s="1"/>
  <c r="AL151" i="32"/>
  <c r="AL158" i="32" s="1"/>
  <c r="AL159" i="32" s="1"/>
  <c r="AL146" i="32"/>
  <c r="AL147" i="32"/>
  <c r="J53" i="3"/>
  <c r="CW73" i="30"/>
  <c r="AS144" i="30"/>
  <c r="AS148" i="30" s="1"/>
  <c r="AS149" i="30" s="1"/>
  <c r="AS99" i="30"/>
  <c r="AZ73" i="30"/>
  <c r="AS74" i="30"/>
  <c r="AE130" i="30"/>
  <c r="CU75" i="30"/>
  <c r="CT82" i="32"/>
  <c r="X83" i="32"/>
  <c r="CV74" i="32"/>
  <c r="AL75" i="32"/>
  <c r="CW73" i="32"/>
  <c r="AZ73" i="32"/>
  <c r="AS144" i="32"/>
  <c r="AS99" i="32"/>
  <c r="AS101" i="32" s="1"/>
  <c r="AS102" i="32" s="1"/>
  <c r="AS104" i="32" s="1"/>
  <c r="AS105" i="32" s="1"/>
  <c r="AS74" i="32"/>
  <c r="CU75" i="32"/>
  <c r="AE130" i="32"/>
  <c r="AE82" i="32"/>
  <c r="AE131" i="32"/>
  <c r="CV74" i="30"/>
  <c r="AL75" i="30"/>
  <c r="J104" i="30"/>
  <c r="J105" i="30" s="1"/>
  <c r="CR80" i="30"/>
  <c r="CB163" i="29"/>
  <c r="CB164" i="29" s="1"/>
  <c r="CB99" i="29"/>
  <c r="CB100" i="29" s="1"/>
  <c r="CB102" i="29" s="1"/>
  <c r="CB103" i="29" s="1"/>
  <c r="DA80" i="29"/>
  <c r="BU81" i="29"/>
  <c r="BU145" i="29"/>
  <c r="BU144" i="29"/>
  <c r="BU149" i="29"/>
  <c r="BU156" i="29" s="1"/>
  <c r="BU157" i="29" s="1"/>
  <c r="CI79" i="29"/>
  <c r="DC78" i="29"/>
  <c r="CI98" i="29"/>
  <c r="CB125" i="29"/>
  <c r="CB80" i="29"/>
  <c r="CB129" i="29"/>
  <c r="CB143" i="29"/>
  <c r="DB79" i="29"/>
  <c r="BN158" i="29"/>
  <c r="BN159" i="29" s="1"/>
  <c r="BN160" i="29" s="1"/>
  <c r="AX64" i="2"/>
  <c r="AW64" i="2" s="1"/>
  <c r="AL160" i="32" l="1"/>
  <c r="AL161" i="32" s="1"/>
  <c r="AL162" i="32" s="1"/>
  <c r="CW74" i="32"/>
  <c r="AS75" i="32"/>
  <c r="J54" i="3"/>
  <c r="AZ144" i="30"/>
  <c r="AZ148" i="30" s="1"/>
  <c r="AZ149" i="30" s="1"/>
  <c r="AZ74" i="30"/>
  <c r="BG73" i="30"/>
  <c r="CX73" i="30"/>
  <c r="AZ99" i="30"/>
  <c r="CU82" i="32"/>
  <c r="AE83" i="32"/>
  <c r="AL130" i="32"/>
  <c r="CV75" i="32"/>
  <c r="AL131" i="32"/>
  <c r="AL82" i="32"/>
  <c r="AL130" i="30"/>
  <c r="CV75" i="30"/>
  <c r="AS148" i="32"/>
  <c r="AS149" i="32" s="1"/>
  <c r="AS151" i="32"/>
  <c r="AS158" i="32" s="1"/>
  <c r="AS159" i="32" s="1"/>
  <c r="AS146" i="32"/>
  <c r="AS147" i="32"/>
  <c r="CX73" i="32"/>
  <c r="BG73" i="32"/>
  <c r="AZ74" i="32"/>
  <c r="AZ144" i="32"/>
  <c r="AZ99" i="32"/>
  <c r="AZ101" i="32" s="1"/>
  <c r="AZ102" i="32" s="1"/>
  <c r="AZ104" i="32" s="1"/>
  <c r="AZ105" i="32" s="1"/>
  <c r="CW74" i="30"/>
  <c r="AS75" i="30"/>
  <c r="J145" i="30"/>
  <c r="J82" i="30"/>
  <c r="CR81" i="30"/>
  <c r="J131" i="30"/>
  <c r="Q100" i="30"/>
  <c r="Q81" i="30"/>
  <c r="CS80" i="30"/>
  <c r="CB144" i="29"/>
  <c r="CB145" i="29"/>
  <c r="CB149" i="29"/>
  <c r="CB156" i="29" s="1"/>
  <c r="CB157" i="29" s="1"/>
  <c r="DC79" i="29"/>
  <c r="CI129" i="29"/>
  <c r="CI125" i="29"/>
  <c r="CI143" i="29"/>
  <c r="CI80" i="29"/>
  <c r="J165" i="30"/>
  <c r="J166" i="30" s="1"/>
  <c r="CI163" i="29"/>
  <c r="CI164" i="29" s="1"/>
  <c r="CI99" i="29"/>
  <c r="CI100" i="29" s="1"/>
  <c r="CI102" i="29" s="1"/>
  <c r="CI103" i="29" s="1"/>
  <c r="BU158" i="29"/>
  <c r="BU159" i="29" s="1"/>
  <c r="BU160" i="29" s="1"/>
  <c r="DB80" i="29"/>
  <c r="CB81" i="29"/>
  <c r="AZ64" i="2"/>
  <c r="AY64" i="2" s="1"/>
  <c r="AS160" i="32" l="1"/>
  <c r="AS161" i="32" s="1"/>
  <c r="AS162" i="32" s="1"/>
  <c r="CX74" i="30"/>
  <c r="AZ75" i="30"/>
  <c r="AZ148" i="32"/>
  <c r="AZ149" i="32" s="1"/>
  <c r="AZ146" i="32"/>
  <c r="AZ151" i="32"/>
  <c r="AZ158" i="32" s="1"/>
  <c r="AZ159" i="32" s="1"/>
  <c r="AZ147" i="32"/>
  <c r="CW75" i="30"/>
  <c r="AS130" i="30"/>
  <c r="AZ75" i="32"/>
  <c r="CX74" i="32"/>
  <c r="CY73" i="32"/>
  <c r="BN73" i="32"/>
  <c r="BG74" i="32"/>
  <c r="BG144" i="32"/>
  <c r="BG99" i="32"/>
  <c r="BG101" i="32" s="1"/>
  <c r="BG102" i="32" s="1"/>
  <c r="BG104" i="32" s="1"/>
  <c r="BG105" i="32" s="1"/>
  <c r="CV82" i="32"/>
  <c r="AL83" i="32"/>
  <c r="J55" i="3"/>
  <c r="CY73" i="30"/>
  <c r="BN73" i="30"/>
  <c r="BG74" i="30"/>
  <c r="BG99" i="30"/>
  <c r="BG144" i="30"/>
  <c r="BG148" i="30" s="1"/>
  <c r="BG149" i="30" s="1"/>
  <c r="AS130" i="32"/>
  <c r="CW75" i="32"/>
  <c r="AS82" i="32"/>
  <c r="AS131" i="32"/>
  <c r="CT80" i="30"/>
  <c r="X81" i="30"/>
  <c r="X100" i="30"/>
  <c r="Q165" i="30"/>
  <c r="Q166" i="30" s="1"/>
  <c r="Q101" i="30"/>
  <c r="Q102" i="30" s="1"/>
  <c r="Q104" i="30" s="1"/>
  <c r="Q105" i="30" s="1"/>
  <c r="J83" i="30"/>
  <c r="CR82" i="30"/>
  <c r="Q127" i="30"/>
  <c r="Q131" i="30"/>
  <c r="Q145" i="30"/>
  <c r="Q82" i="30"/>
  <c r="CS81" i="30"/>
  <c r="J146" i="30"/>
  <c r="J151" i="30"/>
  <c r="J158" i="30" s="1"/>
  <c r="J159" i="30" s="1"/>
  <c r="J147" i="30"/>
  <c r="CI81" i="29"/>
  <c r="DC80" i="29"/>
  <c r="CI145" i="29"/>
  <c r="CI149" i="29"/>
  <c r="CI156" i="29" s="1"/>
  <c r="CI157" i="29" s="1"/>
  <c r="CI144" i="29"/>
  <c r="CB158" i="29"/>
  <c r="CB159" i="29" s="1"/>
  <c r="CB160" i="29" s="1"/>
  <c r="BD58" i="2"/>
  <c r="BC58" i="2" s="1"/>
  <c r="BB64" i="2"/>
  <c r="BA64" i="2" s="1"/>
  <c r="G42" i="2"/>
  <c r="CY74" i="30" l="1"/>
  <c r="BG75" i="30"/>
  <c r="CY74" i="32"/>
  <c r="BG75" i="32"/>
  <c r="AZ130" i="32"/>
  <c r="CX75" i="32"/>
  <c r="AZ131" i="32"/>
  <c r="AZ82" i="32"/>
  <c r="J56" i="3"/>
  <c r="CZ73" i="30"/>
  <c r="BN99" i="30"/>
  <c r="BN144" i="30"/>
  <c r="BN148" i="30" s="1"/>
  <c r="BN149" i="30" s="1"/>
  <c r="BU73" i="30"/>
  <c r="BN74" i="30"/>
  <c r="CZ73" i="32"/>
  <c r="BN144" i="32"/>
  <c r="BN99" i="32"/>
  <c r="BN101" i="32" s="1"/>
  <c r="BN102" i="32" s="1"/>
  <c r="BN104" i="32" s="1"/>
  <c r="BN105" i="32" s="1"/>
  <c r="BU73" i="32"/>
  <c r="BN74" i="32"/>
  <c r="AZ160" i="32"/>
  <c r="AZ161" i="32" s="1"/>
  <c r="AZ162" i="32" s="1"/>
  <c r="CW82" i="32"/>
  <c r="AS83" i="32"/>
  <c r="BG148" i="32"/>
  <c r="BG149" i="32" s="1"/>
  <c r="BG146" i="32"/>
  <c r="BG151" i="32"/>
  <c r="BG158" i="32" s="1"/>
  <c r="BG159" i="32" s="1"/>
  <c r="BG147" i="32"/>
  <c r="CX75" i="30"/>
  <c r="AZ130" i="30"/>
  <c r="Q83" i="30"/>
  <c r="CS82" i="30"/>
  <c r="X165" i="30"/>
  <c r="X166" i="30" s="1"/>
  <c r="X101" i="30"/>
  <c r="X102" i="30" s="1"/>
  <c r="X104" i="30" s="1"/>
  <c r="X105" i="30" s="1"/>
  <c r="Q151" i="30"/>
  <c r="Q158" i="30" s="1"/>
  <c r="Q159" i="30" s="1"/>
  <c r="Q146" i="30"/>
  <c r="Q147" i="30"/>
  <c r="X145" i="30"/>
  <c r="X82" i="30"/>
  <c r="CT81" i="30"/>
  <c r="X127" i="30"/>
  <c r="X131" i="30"/>
  <c r="J160" i="30"/>
  <c r="J161" i="30" s="1"/>
  <c r="AE81" i="30"/>
  <c r="AE100" i="30"/>
  <c r="CU80" i="30"/>
  <c r="CI158" i="29"/>
  <c r="CI159" i="29" s="1"/>
  <c r="CI160" i="29" s="1"/>
  <c r="BD56" i="2"/>
  <c r="BC56" i="2" s="1"/>
  <c r="BD64" i="2"/>
  <c r="BC64" i="2" s="1"/>
  <c r="F42" i="2"/>
  <c r="I42" i="2"/>
  <c r="G47" i="2"/>
  <c r="I47" i="2" s="1"/>
  <c r="D43" i="2"/>
  <c r="D46" i="2"/>
  <c r="G46" i="2"/>
  <c r="G45" i="2"/>
  <c r="G76" i="2" s="1"/>
  <c r="F76" i="2" s="1"/>
  <c r="G43" i="2"/>
  <c r="G44" i="2"/>
  <c r="D47" i="2"/>
  <c r="D45" i="2"/>
  <c r="D44" i="2"/>
  <c r="J57" i="3" l="1"/>
  <c r="DA73" i="30"/>
  <c r="CB73" i="30"/>
  <c r="BU74" i="30"/>
  <c r="BU99" i="30"/>
  <c r="BU144" i="30"/>
  <c r="BU148" i="30" s="1"/>
  <c r="BU149" i="30" s="1"/>
  <c r="BN148" i="32"/>
  <c r="BN149" i="32" s="1"/>
  <c r="BN146" i="32"/>
  <c r="BN151" i="32"/>
  <c r="BN158" i="32" s="1"/>
  <c r="BN159" i="32" s="1"/>
  <c r="BN147" i="32"/>
  <c r="AZ83" i="32"/>
  <c r="CX82" i="32"/>
  <c r="CY75" i="32"/>
  <c r="BG130" i="32"/>
  <c r="BG131" i="32"/>
  <c r="BG82" i="32"/>
  <c r="BG160" i="32"/>
  <c r="BG161" i="32" s="1"/>
  <c r="BG162" i="32" s="1"/>
  <c r="BN75" i="32"/>
  <c r="CZ74" i="32"/>
  <c r="BU144" i="32"/>
  <c r="BU99" i="32"/>
  <c r="BU101" i="32" s="1"/>
  <c r="BU102" i="32" s="1"/>
  <c r="BU104" i="32" s="1"/>
  <c r="BU105" i="32" s="1"/>
  <c r="BU74" i="32"/>
  <c r="DA73" i="32"/>
  <c r="CB73" i="32"/>
  <c r="BN75" i="30"/>
  <c r="CZ74" i="30"/>
  <c r="CY75" i="30"/>
  <c r="BG130" i="30"/>
  <c r="J162" i="30"/>
  <c r="AE165" i="30"/>
  <c r="AE166" i="30" s="1"/>
  <c r="AE101" i="30"/>
  <c r="AE102" i="30" s="1"/>
  <c r="AE104" i="30" s="1"/>
  <c r="AE105" i="30" s="1"/>
  <c r="X151" i="30"/>
  <c r="X158" i="30" s="1"/>
  <c r="X159" i="30" s="1"/>
  <c r="X146" i="30"/>
  <c r="X147" i="30"/>
  <c r="CU81" i="30"/>
  <c r="AE127" i="30"/>
  <c r="AE82" i="30"/>
  <c r="AE145" i="30"/>
  <c r="AE131" i="30"/>
  <c r="CV80" i="30"/>
  <c r="AL81" i="30"/>
  <c r="AL100" i="30"/>
  <c r="Q160" i="30"/>
  <c r="Q161" i="30" s="1"/>
  <c r="Q162" i="30" s="1"/>
  <c r="X83" i="30"/>
  <c r="CT82" i="30"/>
  <c r="H47" i="2"/>
  <c r="I78" i="2"/>
  <c r="H78" i="2" s="1"/>
  <c r="F44" i="2"/>
  <c r="G75" i="2"/>
  <c r="G74" i="2"/>
  <c r="F46" i="2"/>
  <c r="G77" i="2"/>
  <c r="F77" i="2" s="1"/>
  <c r="F47" i="2"/>
  <c r="G78" i="2"/>
  <c r="F78" i="2" s="1"/>
  <c r="I46" i="2"/>
  <c r="K46" i="2" s="1"/>
  <c r="K77" i="2" s="1"/>
  <c r="J77" i="2" s="1"/>
  <c r="K47" i="2"/>
  <c r="I43" i="2"/>
  <c r="I74" i="2" s="1"/>
  <c r="H74" i="2" s="1"/>
  <c r="F43" i="2"/>
  <c r="I45" i="2"/>
  <c r="I76" i="2" s="1"/>
  <c r="H76" i="2" s="1"/>
  <c r="F45" i="2"/>
  <c r="K42" i="2"/>
  <c r="H42" i="2"/>
  <c r="I44" i="2"/>
  <c r="I75" i="2" s="1"/>
  <c r="H75" i="2" s="1"/>
  <c r="G48" i="2"/>
  <c r="CZ75" i="30" l="1"/>
  <c r="BN130" i="30"/>
  <c r="CB74" i="32"/>
  <c r="DB73" i="32"/>
  <c r="CI73" i="32"/>
  <c r="CB144" i="32"/>
  <c r="CB99" i="32"/>
  <c r="CB101" i="32" s="1"/>
  <c r="CB102" i="32" s="1"/>
  <c r="CB104" i="32" s="1"/>
  <c r="CB105" i="32" s="1"/>
  <c r="BU148" i="32"/>
  <c r="BU149" i="32" s="1"/>
  <c r="BU146" i="32"/>
  <c r="BU151" i="32"/>
  <c r="BU158" i="32" s="1"/>
  <c r="BU159" i="32" s="1"/>
  <c r="BU147" i="32"/>
  <c r="CY82" i="32"/>
  <c r="BG83" i="32"/>
  <c r="DA74" i="30"/>
  <c r="BU75" i="30"/>
  <c r="BN160" i="32"/>
  <c r="BN161" i="32" s="1"/>
  <c r="BN162" i="32" s="1"/>
  <c r="J58" i="3"/>
  <c r="DB73" i="30"/>
  <c r="CB99" i="30"/>
  <c r="CB74" i="30"/>
  <c r="CI73" i="30"/>
  <c r="CB144" i="30"/>
  <c r="CB148" i="30" s="1"/>
  <c r="CB149" i="30" s="1"/>
  <c r="DA74" i="32"/>
  <c r="BU75" i="32"/>
  <c r="BN130" i="32"/>
  <c r="CZ75" i="32"/>
  <c r="BN82" i="32"/>
  <c r="BN131" i="32"/>
  <c r="AS100" i="30"/>
  <c r="CW80" i="30"/>
  <c r="AS81" i="30"/>
  <c r="AE83" i="30"/>
  <c r="CU82" i="30"/>
  <c r="X160" i="30"/>
  <c r="X161" i="30" s="1"/>
  <c r="X162" i="30" s="1"/>
  <c r="AL165" i="30"/>
  <c r="AL166" i="30" s="1"/>
  <c r="AL101" i="30"/>
  <c r="AL102" i="30" s="1"/>
  <c r="AL104" i="30" s="1"/>
  <c r="AL105" i="30" s="1"/>
  <c r="CV81" i="30"/>
  <c r="AL131" i="30"/>
  <c r="AL127" i="30"/>
  <c r="AL82" i="30"/>
  <c r="AL145" i="30"/>
  <c r="AE151" i="30"/>
  <c r="AE158" i="30" s="1"/>
  <c r="AE159" i="30" s="1"/>
  <c r="AE146" i="30"/>
  <c r="AE147" i="30"/>
  <c r="F48" i="2"/>
  <c r="M47" i="2"/>
  <c r="O47" i="2" s="1"/>
  <c r="Q47" i="2" s="1"/>
  <c r="Q78" i="2" s="1"/>
  <c r="P78" i="2" s="1"/>
  <c r="K78" i="2"/>
  <c r="J78" i="2" s="1"/>
  <c r="F75" i="2"/>
  <c r="F74" i="2"/>
  <c r="H45" i="2"/>
  <c r="H46" i="2"/>
  <c r="I77" i="2"/>
  <c r="H77" i="2" s="1"/>
  <c r="J47" i="2"/>
  <c r="K45" i="2"/>
  <c r="K76" i="2" s="1"/>
  <c r="J76" i="2" s="1"/>
  <c r="J42" i="2"/>
  <c r="M42" i="2"/>
  <c r="J46" i="2"/>
  <c r="M46" i="2"/>
  <c r="M77" i="2" s="1"/>
  <c r="L77" i="2" s="1"/>
  <c r="H44" i="2"/>
  <c r="K44" i="2"/>
  <c r="K75" i="2" s="1"/>
  <c r="J75" i="2" s="1"/>
  <c r="I48" i="2"/>
  <c r="H48" i="2" s="1"/>
  <c r="K43" i="2"/>
  <c r="K74" i="2" s="1"/>
  <c r="J74" i="2" s="1"/>
  <c r="H43" i="2"/>
  <c r="J59" i="3" l="1"/>
  <c r="CI99" i="30"/>
  <c r="CI144" i="30"/>
  <c r="CI148" i="30" s="1"/>
  <c r="CI149" i="30" s="1"/>
  <c r="CI74" i="30"/>
  <c r="DC73" i="30"/>
  <c r="CI144" i="32"/>
  <c r="CI74" i="32"/>
  <c r="DC73" i="32"/>
  <c r="CI99" i="32"/>
  <c r="CI101" i="32" s="1"/>
  <c r="CI102" i="32" s="1"/>
  <c r="CI104" i="32" s="1"/>
  <c r="CI105" i="32" s="1"/>
  <c r="BU130" i="32"/>
  <c r="DA75" i="32"/>
  <c r="BU82" i="32"/>
  <c r="BU131" i="32"/>
  <c r="DB74" i="30"/>
  <c r="CB75" i="30"/>
  <c r="BU160" i="32"/>
  <c r="BU161" i="32" s="1"/>
  <c r="BU162" i="32" s="1"/>
  <c r="CZ82" i="32"/>
  <c r="BN83" i="32"/>
  <c r="BU130" i="30"/>
  <c r="DA75" i="30"/>
  <c r="CB75" i="32"/>
  <c r="DB74" i="32"/>
  <c r="CB148" i="32"/>
  <c r="CB149" i="32" s="1"/>
  <c r="CB151" i="32"/>
  <c r="CB158" i="32" s="1"/>
  <c r="CB159" i="32" s="1"/>
  <c r="CB146" i="32"/>
  <c r="CB147" i="32"/>
  <c r="AZ100" i="30"/>
  <c r="CX80" i="30"/>
  <c r="AZ81" i="30"/>
  <c r="AS127" i="30"/>
  <c r="AS131" i="30"/>
  <c r="AS145" i="30"/>
  <c r="AS82" i="30"/>
  <c r="CW81" i="30"/>
  <c r="AE160" i="30"/>
  <c r="AE161" i="30" s="1"/>
  <c r="AE162" i="30" s="1"/>
  <c r="AL151" i="30"/>
  <c r="AL158" i="30" s="1"/>
  <c r="AL159" i="30" s="1"/>
  <c r="AL147" i="30"/>
  <c r="AL146" i="30"/>
  <c r="AL83" i="30"/>
  <c r="CV82" i="30"/>
  <c r="AS101" i="30"/>
  <c r="AS102" i="30" s="1"/>
  <c r="AS104" i="30" s="1"/>
  <c r="AS105" i="30" s="1"/>
  <c r="AS165" i="30"/>
  <c r="AS166" i="30" s="1"/>
  <c r="J45" i="2"/>
  <c r="L47" i="2"/>
  <c r="M78" i="2"/>
  <c r="L78" i="2" s="1"/>
  <c r="M45" i="2"/>
  <c r="M76" i="2" s="1"/>
  <c r="L76" i="2" s="1"/>
  <c r="N47" i="2"/>
  <c r="O78" i="2"/>
  <c r="N78" i="2" s="1"/>
  <c r="O42" i="2"/>
  <c r="L42" i="2"/>
  <c r="J44" i="2"/>
  <c r="M44" i="2"/>
  <c r="M75" i="2" s="1"/>
  <c r="L75" i="2" s="1"/>
  <c r="K48" i="2"/>
  <c r="J48" i="2" s="1"/>
  <c r="S47" i="2"/>
  <c r="S78" i="2" s="1"/>
  <c r="R78" i="2" s="1"/>
  <c r="P47" i="2"/>
  <c r="M43" i="2"/>
  <c r="M74" i="2" s="1"/>
  <c r="L74" i="2" s="1"/>
  <c r="J43" i="2"/>
  <c r="O46" i="2"/>
  <c r="O77" i="2" s="1"/>
  <c r="N77" i="2" s="1"/>
  <c r="L46" i="2"/>
  <c r="CB130" i="32" l="1"/>
  <c r="DB75" i="32"/>
  <c r="CB131" i="32"/>
  <c r="CB82" i="32"/>
  <c r="DA82" i="32"/>
  <c r="BU83" i="32"/>
  <c r="CI75" i="30"/>
  <c r="DC74" i="30"/>
  <c r="CB160" i="32"/>
  <c r="CB161" i="32" s="1"/>
  <c r="CB162" i="32" s="1"/>
  <c r="DB75" i="30"/>
  <c r="CB130" i="30"/>
  <c r="DC74" i="32"/>
  <c r="CI75" i="32"/>
  <c r="CI148" i="32"/>
  <c r="CI149" i="32" s="1"/>
  <c r="CI151" i="32"/>
  <c r="CI158" i="32" s="1"/>
  <c r="CI159" i="32" s="1"/>
  <c r="CI146" i="32"/>
  <c r="CI147" i="32"/>
  <c r="AZ131" i="30"/>
  <c r="AZ127" i="30"/>
  <c r="AZ82" i="30"/>
  <c r="AZ145" i="30"/>
  <c r="CX81" i="30"/>
  <c r="CY80" i="30"/>
  <c r="BG100" i="30"/>
  <c r="BG81" i="30"/>
  <c r="AS83" i="30"/>
  <c r="CW82" i="30"/>
  <c r="AS151" i="30"/>
  <c r="AS158" i="30" s="1"/>
  <c r="AS159" i="30" s="1"/>
  <c r="AS147" i="30"/>
  <c r="AS146" i="30"/>
  <c r="AL160" i="30"/>
  <c r="AL161" i="30" s="1"/>
  <c r="AL162" i="30" s="1"/>
  <c r="AZ101" i="30"/>
  <c r="AZ102" i="30" s="1"/>
  <c r="AZ104" i="30" s="1"/>
  <c r="AZ105" i="30" s="1"/>
  <c r="AZ165" i="30"/>
  <c r="AZ166" i="30" s="1"/>
  <c r="L45" i="2"/>
  <c r="O45" i="2"/>
  <c r="O76" i="2" s="1"/>
  <c r="N76" i="2" s="1"/>
  <c r="M48" i="2"/>
  <c r="L48" i="2" s="1"/>
  <c r="U47" i="2"/>
  <c r="U78" i="2" s="1"/>
  <c r="T78" i="2" s="1"/>
  <c r="R47" i="2"/>
  <c r="O43" i="2"/>
  <c r="L43" i="2"/>
  <c r="O44" i="2"/>
  <c r="L44" i="2"/>
  <c r="Q42" i="2"/>
  <c r="N42" i="2"/>
  <c r="Q46" i="2"/>
  <c r="Q77" i="2" s="1"/>
  <c r="P77" i="2" s="1"/>
  <c r="N46" i="2"/>
  <c r="CI130" i="32" l="1"/>
  <c r="DC75" i="32"/>
  <c r="CI131" i="32"/>
  <c r="CI82" i="32"/>
  <c r="DB82" i="32"/>
  <c r="CB83" i="32"/>
  <c r="DC75" i="30"/>
  <c r="CI130" i="30"/>
  <c r="CI160" i="32"/>
  <c r="CI161" i="32" s="1"/>
  <c r="CI162" i="32" s="1"/>
  <c r="AZ151" i="30"/>
  <c r="AZ158" i="30" s="1"/>
  <c r="AZ159" i="30" s="1"/>
  <c r="AZ146" i="30"/>
  <c r="AZ147" i="30"/>
  <c r="BG165" i="30"/>
  <c r="BG166" i="30" s="1"/>
  <c r="BG101" i="30"/>
  <c r="BG102" i="30" s="1"/>
  <c r="BG104" i="30" s="1"/>
  <c r="BG105" i="30" s="1"/>
  <c r="BN81" i="30"/>
  <c r="BN100" i="30"/>
  <c r="CZ80" i="30"/>
  <c r="CX82" i="30"/>
  <c r="AZ83" i="30"/>
  <c r="AS160" i="30"/>
  <c r="AS161" i="30" s="1"/>
  <c r="AS162" i="30" s="1"/>
  <c r="BG127" i="30"/>
  <c r="BG82" i="30"/>
  <c r="BG131" i="30"/>
  <c r="BG145" i="30"/>
  <c r="CY81" i="30"/>
  <c r="Q45" i="2"/>
  <c r="Q76" i="2" s="1"/>
  <c r="P76" i="2" s="1"/>
  <c r="N45" i="2"/>
  <c r="O48" i="2"/>
  <c r="N48" i="2" s="1"/>
  <c r="O75" i="2"/>
  <c r="O74" i="2"/>
  <c r="S46" i="2"/>
  <c r="S77" i="2" s="1"/>
  <c r="R77" i="2" s="1"/>
  <c r="P46" i="2"/>
  <c r="Q44" i="2"/>
  <c r="Q75" i="2" s="1"/>
  <c r="P75" i="2" s="1"/>
  <c r="N44" i="2"/>
  <c r="S42" i="2"/>
  <c r="P42" i="2"/>
  <c r="Q43" i="2"/>
  <c r="Q74" i="2" s="1"/>
  <c r="P74" i="2" s="1"/>
  <c r="N43" i="2"/>
  <c r="W47" i="2"/>
  <c r="T47" i="2"/>
  <c r="DC82" i="32" l="1"/>
  <c r="CI83" i="32"/>
  <c r="BN165" i="30"/>
  <c r="BN166" i="30" s="1"/>
  <c r="BN101" i="30"/>
  <c r="BN102" i="30" s="1"/>
  <c r="BN104" i="30" s="1"/>
  <c r="BN105" i="30" s="1"/>
  <c r="DA80" i="30"/>
  <c r="BU81" i="30"/>
  <c r="BU100" i="30"/>
  <c r="BG83" i="30"/>
  <c r="CY82" i="30"/>
  <c r="BN127" i="30"/>
  <c r="BN145" i="30"/>
  <c r="BN82" i="30"/>
  <c r="CZ81" i="30"/>
  <c r="BN131" i="30"/>
  <c r="AZ160" i="30"/>
  <c r="AZ161" i="30" s="1"/>
  <c r="AZ162" i="30" s="1"/>
  <c r="BG146" i="30"/>
  <c r="BG151" i="30"/>
  <c r="BG158" i="30" s="1"/>
  <c r="BG159" i="30" s="1"/>
  <c r="BG147" i="30"/>
  <c r="P45" i="2"/>
  <c r="S45" i="2"/>
  <c r="S76" i="2" s="1"/>
  <c r="R76" i="2" s="1"/>
  <c r="Q48" i="2"/>
  <c r="P48" i="2" s="1"/>
  <c r="N74" i="2"/>
  <c r="N75" i="2"/>
  <c r="W78" i="2"/>
  <c r="U42" i="2"/>
  <c r="R42" i="2"/>
  <c r="U46" i="2"/>
  <c r="U77" i="2" s="1"/>
  <c r="T77" i="2" s="1"/>
  <c r="R46" i="2"/>
  <c r="Y47" i="2"/>
  <c r="Y78" i="2" s="1"/>
  <c r="X78" i="2" s="1"/>
  <c r="V47" i="2"/>
  <c r="S44" i="2"/>
  <c r="S75" i="2" s="1"/>
  <c r="R75" i="2" s="1"/>
  <c r="P44" i="2"/>
  <c r="S43" i="2"/>
  <c r="S74" i="2" s="1"/>
  <c r="R74" i="2" s="1"/>
  <c r="P43" i="2"/>
  <c r="BU145" i="30" l="1"/>
  <c r="DA81" i="30"/>
  <c r="BU127" i="30"/>
  <c r="BU82" i="30"/>
  <c r="BU131" i="30"/>
  <c r="BG160" i="30"/>
  <c r="BG161" i="30" s="1"/>
  <c r="BG162" i="30" s="1"/>
  <c r="BN83" i="30"/>
  <c r="CZ82" i="30"/>
  <c r="BN147" i="30"/>
  <c r="BN151" i="30"/>
  <c r="BN158" i="30" s="1"/>
  <c r="BN159" i="30" s="1"/>
  <c r="BN146" i="30"/>
  <c r="CB81" i="30"/>
  <c r="CB100" i="30"/>
  <c r="DB80" i="30"/>
  <c r="BU165" i="30"/>
  <c r="BU166" i="30" s="1"/>
  <c r="BU101" i="30"/>
  <c r="BU102" i="30" s="1"/>
  <c r="BU104" i="30" s="1"/>
  <c r="BU105" i="30" s="1"/>
  <c r="R45" i="2"/>
  <c r="U45" i="2"/>
  <c r="U76" i="2" s="1"/>
  <c r="T76" i="2" s="1"/>
  <c r="V78" i="2"/>
  <c r="U44" i="2"/>
  <c r="U75" i="2" s="1"/>
  <c r="T75" i="2" s="1"/>
  <c r="R44" i="2"/>
  <c r="U43" i="2"/>
  <c r="U74" i="2" s="1"/>
  <c r="T74" i="2" s="1"/>
  <c r="R43" i="2"/>
  <c r="T45" i="2"/>
  <c r="W42" i="2"/>
  <c r="T42" i="2"/>
  <c r="AA47" i="2"/>
  <c r="X47" i="2"/>
  <c r="W46" i="2"/>
  <c r="W77" i="2" s="1"/>
  <c r="V77" i="2" s="1"/>
  <c r="T46" i="2"/>
  <c r="S48" i="2"/>
  <c r="DA82" i="30" l="1"/>
  <c r="BU83" i="30"/>
  <c r="DB81" i="30"/>
  <c r="CB127" i="30"/>
  <c r="CB82" i="30"/>
  <c r="CB145" i="30"/>
  <c r="CB131" i="30"/>
  <c r="BN160" i="30"/>
  <c r="BN161" i="30" s="1"/>
  <c r="BN162" i="30" s="1"/>
  <c r="CB165" i="30"/>
  <c r="CB166" i="30" s="1"/>
  <c r="CB101" i="30"/>
  <c r="CB102" i="30" s="1"/>
  <c r="CB104" i="30" s="1"/>
  <c r="CB105" i="30" s="1"/>
  <c r="CI100" i="30"/>
  <c r="DC80" i="30"/>
  <c r="CI81" i="30"/>
  <c r="BU146" i="30"/>
  <c r="BU147" i="30"/>
  <c r="BU151" i="30"/>
  <c r="BU158" i="30" s="1"/>
  <c r="BU159" i="30" s="1"/>
  <c r="W45" i="2"/>
  <c r="W76" i="2" s="1"/>
  <c r="V76" i="2" s="1"/>
  <c r="R48" i="2"/>
  <c r="AA78" i="2"/>
  <c r="AC47" i="2"/>
  <c r="Y46" i="2"/>
  <c r="V46" i="2"/>
  <c r="Y42" i="2"/>
  <c r="V42" i="2"/>
  <c r="W43" i="2"/>
  <c r="W74" i="2" s="1"/>
  <c r="V74" i="2" s="1"/>
  <c r="T43" i="2"/>
  <c r="Z47" i="2"/>
  <c r="U48" i="2"/>
  <c r="T48" i="2" s="1"/>
  <c r="Y45" i="2"/>
  <c r="Y76" i="2" s="1"/>
  <c r="X76" i="2" s="1"/>
  <c r="V45" i="2"/>
  <c r="W44" i="2"/>
  <c r="W75" i="2" s="1"/>
  <c r="V75" i="2" s="1"/>
  <c r="T44" i="2"/>
  <c r="CI165" i="30" l="1"/>
  <c r="CI166" i="30" s="1"/>
  <c r="CI101" i="30"/>
  <c r="CI102" i="30" s="1"/>
  <c r="CI104" i="30" s="1"/>
  <c r="CI105" i="30" s="1"/>
  <c r="BU160" i="30"/>
  <c r="BU161" i="30" s="1"/>
  <c r="BU162" i="30" s="1"/>
  <c r="CB151" i="30"/>
  <c r="CB158" i="30" s="1"/>
  <c r="CB159" i="30" s="1"/>
  <c r="CB147" i="30"/>
  <c r="CB146" i="30"/>
  <c r="CI145" i="30"/>
  <c r="CI127" i="30"/>
  <c r="CI131" i="30"/>
  <c r="DC81" i="30"/>
  <c r="CI82" i="30"/>
  <c r="CB83" i="30"/>
  <c r="DB82" i="30"/>
  <c r="AB47" i="2"/>
  <c r="Z78" i="2"/>
  <c r="AC78" i="2"/>
  <c r="Y77" i="2"/>
  <c r="AA42" i="2"/>
  <c r="X42" i="2"/>
  <c r="AA45" i="2"/>
  <c r="AA76" i="2" s="1"/>
  <c r="Z76" i="2" s="1"/>
  <c r="X45" i="2"/>
  <c r="Y43" i="2"/>
  <c r="Y74" i="2" s="1"/>
  <c r="X74" i="2" s="1"/>
  <c r="V43" i="2"/>
  <c r="Y44" i="2"/>
  <c r="Y75" i="2" s="1"/>
  <c r="X75" i="2" s="1"/>
  <c r="V44" i="2"/>
  <c r="W48" i="2"/>
  <c r="AA46" i="2"/>
  <c r="AA77" i="2" s="1"/>
  <c r="Z77" i="2" s="1"/>
  <c r="X46" i="2"/>
  <c r="CI151" i="30" l="1"/>
  <c r="CI158" i="30" s="1"/>
  <c r="CI159" i="30" s="1"/>
  <c r="CI146" i="30"/>
  <c r="CI147" i="30"/>
  <c r="CI83" i="30"/>
  <c r="DC82" i="30"/>
  <c r="CB160" i="30"/>
  <c r="CB161" i="30" s="1"/>
  <c r="CB162" i="30" s="1"/>
  <c r="AC45" i="2"/>
  <c r="AB45" i="2" s="1"/>
  <c r="AC76" i="2"/>
  <c r="AB76" i="2" s="1"/>
  <c r="V48" i="2"/>
  <c r="X77" i="2"/>
  <c r="AC77" i="2"/>
  <c r="AC46" i="2"/>
  <c r="AC42" i="2"/>
  <c r="AB42" i="2" s="1"/>
  <c r="Y48" i="2"/>
  <c r="X48" i="2" s="1"/>
  <c r="Z46" i="2"/>
  <c r="AA44" i="2"/>
  <c r="AA75" i="2" s="1"/>
  <c r="X44" i="2"/>
  <c r="Z45" i="2"/>
  <c r="AA43" i="2"/>
  <c r="X43" i="2"/>
  <c r="Z42" i="2"/>
  <c r="CI160" i="30" l="1"/>
  <c r="CI161" i="30" s="1"/>
  <c r="CI162" i="30" s="1"/>
  <c r="AC44" i="2"/>
  <c r="AB46" i="2"/>
  <c r="AA48" i="2"/>
  <c r="AC48" i="2" s="1"/>
  <c r="AA74" i="2"/>
  <c r="Z75" i="2"/>
  <c r="AC75" i="2"/>
  <c r="AC43" i="2"/>
  <c r="Z44" i="2"/>
  <c r="Z43" i="2"/>
  <c r="AB44" i="2" l="1"/>
  <c r="Z48" i="2"/>
  <c r="Z74" i="2"/>
  <c r="AC74" i="2"/>
  <c r="AB74" i="2" s="1"/>
  <c r="AB43" i="2"/>
  <c r="AB48" i="2"/>
  <c r="AB75" i="2"/>
  <c r="AB78" i="2"/>
  <c r="AB77" i="2"/>
  <c r="BB21" i="2"/>
  <c r="BB24" i="2" s="1"/>
  <c r="BA24" i="2" s="1"/>
  <c r="AA21" i="2"/>
  <c r="Y21" i="2"/>
  <c r="U21" i="2"/>
  <c r="T21" i="2" s="1"/>
  <c r="S21" i="2"/>
  <c r="I21" i="2"/>
  <c r="H21" i="2" s="1"/>
  <c r="L133" i="1"/>
  <c r="AD21" i="2"/>
  <c r="AN21" i="2" s="1"/>
  <c r="O21" i="2"/>
  <c r="N21" i="2" s="1"/>
  <c r="K21" i="2"/>
  <c r="K24" i="2" s="1"/>
  <c r="J24" i="2" s="1"/>
  <c r="G21" i="2"/>
  <c r="B21" i="2"/>
  <c r="M21" i="2" s="1"/>
  <c r="L21" i="2" s="1"/>
  <c r="E21" i="2"/>
  <c r="D21" i="2" s="1"/>
  <c r="K134" i="1"/>
  <c r="D140" i="1"/>
  <c r="U24" i="2" l="1"/>
  <c r="T24" i="2" s="1"/>
  <c r="AN24" i="2"/>
  <c r="AM24" i="2" s="1"/>
  <c r="AM21" i="2"/>
  <c r="AN73" i="2"/>
  <c r="F21" i="2"/>
  <c r="G73" i="2"/>
  <c r="O73" i="2"/>
  <c r="O24" i="2"/>
  <c r="N24" i="2" s="1"/>
  <c r="R21" i="2"/>
  <c r="S73" i="2"/>
  <c r="X21" i="2"/>
  <c r="Y73" i="2"/>
  <c r="I73" i="2"/>
  <c r="E73" i="2"/>
  <c r="E24" i="2"/>
  <c r="J21" i="2"/>
  <c r="K73" i="2"/>
  <c r="I24" i="2"/>
  <c r="H24" i="2" s="1"/>
  <c r="S24" i="2"/>
  <c r="R24" i="2" s="1"/>
  <c r="Y24" i="2"/>
  <c r="X24" i="2" s="1"/>
  <c r="G24" i="2"/>
  <c r="F24" i="2" s="1"/>
  <c r="BA21" i="2"/>
  <c r="BB73" i="2"/>
  <c r="M24" i="2"/>
  <c r="L24" i="2" s="1"/>
  <c r="M73" i="2"/>
  <c r="AZ21" i="2"/>
  <c r="AX21" i="2"/>
  <c r="AV21" i="2"/>
  <c r="AT21" i="2"/>
  <c r="AJ21" i="2"/>
  <c r="AL21" i="2"/>
  <c r="AP21" i="2"/>
  <c r="AF21" i="2"/>
  <c r="AH21" i="2"/>
  <c r="AR21" i="2"/>
  <c r="AA24" i="2"/>
  <c r="Z24" i="2" s="1"/>
  <c r="Z21" i="2"/>
  <c r="U73" i="2"/>
  <c r="AA73" i="2"/>
  <c r="Q21" i="2"/>
  <c r="W21" i="2"/>
  <c r="BB79" i="2" l="1"/>
  <c r="BA73" i="2"/>
  <c r="Q24" i="2"/>
  <c r="P24" i="2" s="1"/>
  <c r="Q73" i="2"/>
  <c r="P21" i="2"/>
  <c r="AP24" i="2"/>
  <c r="AO24" i="2" s="1"/>
  <c r="AP73" i="2"/>
  <c r="AO21" i="2"/>
  <c r="AV24" i="2"/>
  <c r="AU24" i="2" s="1"/>
  <c r="AV73" i="2"/>
  <c r="AU21" i="2"/>
  <c r="X73" i="2"/>
  <c r="Y79" i="2"/>
  <c r="AA79" i="2"/>
  <c r="Z73" i="2"/>
  <c r="AQ21" i="2"/>
  <c r="AR73" i="2"/>
  <c r="AR24" i="2"/>
  <c r="AQ24" i="2" s="1"/>
  <c r="AL24" i="2"/>
  <c r="AK24" i="2" s="1"/>
  <c r="AL73" i="2"/>
  <c r="AK21" i="2"/>
  <c r="AX24" i="2"/>
  <c r="AW24" i="2" s="1"/>
  <c r="AX73" i="2"/>
  <c r="AW21" i="2"/>
  <c r="D24" i="2"/>
  <c r="N73" i="2"/>
  <c r="O79" i="2"/>
  <c r="AN79" i="2"/>
  <c r="AM73" i="2"/>
  <c r="T73" i="2"/>
  <c r="U79" i="2"/>
  <c r="AH24" i="2"/>
  <c r="AG24" i="2" s="1"/>
  <c r="AH73" i="2"/>
  <c r="AG21" i="2"/>
  <c r="AJ24" i="2"/>
  <c r="AI24" i="2" s="1"/>
  <c r="AJ73" i="2"/>
  <c r="AI21" i="2"/>
  <c r="AZ24" i="2"/>
  <c r="AY24" i="2" s="1"/>
  <c r="AZ73" i="2"/>
  <c r="AY21" i="2"/>
  <c r="E79" i="2"/>
  <c r="D73" i="2"/>
  <c r="R73" i="2"/>
  <c r="S79" i="2"/>
  <c r="AC21" i="2"/>
  <c r="AB21" i="2" s="1"/>
  <c r="W24" i="2"/>
  <c r="V24" i="2" s="1"/>
  <c r="V21" i="2"/>
  <c r="W73" i="2"/>
  <c r="AF24" i="2"/>
  <c r="AE21" i="2"/>
  <c r="AF73" i="2"/>
  <c r="BD21" i="2"/>
  <c r="BC21" i="2" s="1"/>
  <c r="AT24" i="2"/>
  <c r="AS24" i="2" s="1"/>
  <c r="AT73" i="2"/>
  <c r="AS21" i="2"/>
  <c r="L73" i="2"/>
  <c r="M79" i="2"/>
  <c r="K79" i="2"/>
  <c r="J73" i="2"/>
  <c r="H73" i="2"/>
  <c r="I79" i="2"/>
  <c r="G79" i="2"/>
  <c r="F73" i="2"/>
  <c r="F79" i="2" l="1"/>
  <c r="G98" i="2"/>
  <c r="F98" i="2" s="1"/>
  <c r="J79" i="2"/>
  <c r="K98" i="2"/>
  <c r="J98" i="2" s="1"/>
  <c r="O98" i="2"/>
  <c r="N98" i="2" s="1"/>
  <c r="N79" i="2"/>
  <c r="AW73" i="2"/>
  <c r="AX79" i="2"/>
  <c r="AS73" i="2"/>
  <c r="AT79" i="2"/>
  <c r="AY73" i="2"/>
  <c r="AZ79" i="2"/>
  <c r="U98" i="2"/>
  <c r="T98" i="2" s="1"/>
  <c r="T79" i="2"/>
  <c r="AK73" i="2"/>
  <c r="AL79" i="2"/>
  <c r="P73" i="2"/>
  <c r="Q79" i="2"/>
  <c r="I98" i="2"/>
  <c r="H98" i="2" s="1"/>
  <c r="H79" i="2"/>
  <c r="M98" i="2"/>
  <c r="L98" i="2" s="1"/>
  <c r="L79" i="2"/>
  <c r="BD24" i="2"/>
  <c r="BC24" i="2" s="1"/>
  <c r="AE24" i="2"/>
  <c r="D79" i="2"/>
  <c r="E98" i="2"/>
  <c r="AO73" i="2"/>
  <c r="AP79" i="2"/>
  <c r="V73" i="2"/>
  <c r="W79" i="2"/>
  <c r="S98" i="2"/>
  <c r="R98" i="2" s="1"/>
  <c r="R79" i="2"/>
  <c r="AC73" i="2"/>
  <c r="AB73" i="2" s="1"/>
  <c r="AH79" i="2"/>
  <c r="AG73" i="2"/>
  <c r="AA98" i="2"/>
  <c r="Z98" i="2" s="1"/>
  <c r="Z79" i="2"/>
  <c r="AU73" i="2"/>
  <c r="AV79" i="2"/>
  <c r="AE73" i="2"/>
  <c r="AF79" i="2"/>
  <c r="BD73" i="2"/>
  <c r="BC73" i="2" s="1"/>
  <c r="AI73" i="2"/>
  <c r="AJ79" i="2"/>
  <c r="AN98" i="2"/>
  <c r="AM98" i="2" s="1"/>
  <c r="AM79" i="2"/>
  <c r="AC24" i="2"/>
  <c r="AB24" i="2" s="1"/>
  <c r="AR79" i="2"/>
  <c r="AQ73" i="2"/>
  <c r="Y98" i="2"/>
  <c r="X98" i="2" s="1"/>
  <c r="X79" i="2"/>
  <c r="BB98" i="2"/>
  <c r="BA98" i="2" s="1"/>
  <c r="BA79" i="2"/>
  <c r="AV98" i="2" l="1"/>
  <c r="AU98" i="2" s="1"/>
  <c r="AU79" i="2"/>
  <c r="AL98" i="2"/>
  <c r="AK98" i="2" s="1"/>
  <c r="AK79" i="2"/>
  <c r="AY79" i="2"/>
  <c r="AZ98" i="2"/>
  <c r="AY98" i="2" s="1"/>
  <c r="AX98" i="2"/>
  <c r="AW98" i="2" s="1"/>
  <c r="AW79" i="2"/>
  <c r="AG79" i="2"/>
  <c r="AH98" i="2"/>
  <c r="AG98" i="2" s="1"/>
  <c r="V79" i="2"/>
  <c r="W98" i="2"/>
  <c r="V98" i="2" s="1"/>
  <c r="AC79" i="2"/>
  <c r="AB79" i="2" s="1"/>
  <c r="BD79" i="2"/>
  <c r="BC79" i="2" s="1"/>
  <c r="AF98" i="2"/>
  <c r="AE79" i="2"/>
  <c r="D98" i="2"/>
  <c r="Q98" i="2"/>
  <c r="P98" i="2" s="1"/>
  <c r="P79" i="2"/>
  <c r="AT98" i="2"/>
  <c r="AS98" i="2" s="1"/>
  <c r="AS79" i="2"/>
  <c r="AQ79" i="2"/>
  <c r="AR98" i="2"/>
  <c r="AQ98" i="2" s="1"/>
  <c r="AJ98" i="2"/>
  <c r="AI98" i="2" s="1"/>
  <c r="AI79" i="2"/>
  <c r="AP98" i="2"/>
  <c r="AO98" i="2" s="1"/>
  <c r="AO79" i="2"/>
  <c r="BD98" i="2" l="1"/>
  <c r="BC98" i="2" s="1"/>
  <c r="AE98" i="2"/>
  <c r="AC98" i="2"/>
  <c r="AB98" i="2" s="1"/>
  <c r="Q30" i="14"/>
  <c r="Q31" i="14"/>
  <c r="Q32" i="14"/>
  <c r="AA78" i="16"/>
  <c r="AC78" i="16"/>
  <c r="Z78" i="16"/>
  <c r="AD78" i="16"/>
  <c r="Y78" i="16"/>
  <c r="AB78" i="16"/>
  <c r="AE79" i="16"/>
  <c r="AE80" i="16" s="1"/>
  <c r="CU78" i="16"/>
  <c r="AL98" i="16"/>
  <c r="AS79" i="16"/>
  <c r="AE99" i="16"/>
  <c r="AE100" i="16" s="1"/>
  <c r="AE102" i="16" s="1"/>
  <c r="AE103" i="16" s="1"/>
  <c r="AE163" i="16"/>
  <c r="AE164" i="16" s="1"/>
  <c r="AE125" i="16" l="1"/>
  <c r="AE81" i="16"/>
  <c r="CU80" i="16"/>
  <c r="AL163" i="16"/>
  <c r="AL164" i="16" s="1"/>
  <c r="AL99" i="16"/>
  <c r="AL100" i="16" s="1"/>
  <c r="AL102" i="16" s="1"/>
  <c r="AL103" i="16" s="1"/>
  <c r="AS129" i="16"/>
  <c r="AS125" i="16"/>
  <c r="AS80" i="16"/>
  <c r="AS143" i="16"/>
  <c r="CW79" i="16"/>
  <c r="CV78" i="16"/>
  <c r="CW78" i="16"/>
  <c r="AE143" i="16"/>
  <c r="AS98" i="16"/>
  <c r="CU79" i="16"/>
  <c r="AL79" i="16"/>
  <c r="AE129" i="16"/>
  <c r="CW80" i="16" l="1"/>
  <c r="AS81" i="16"/>
  <c r="AS163" i="16"/>
  <c r="AS164" i="16" s="1"/>
  <c r="AS99" i="16"/>
  <c r="AS100" i="16" s="1"/>
  <c r="AS102" i="16" s="1"/>
  <c r="AS103" i="16" s="1"/>
  <c r="AZ98" i="16"/>
  <c r="CX78" i="16"/>
  <c r="AZ79" i="16"/>
  <c r="AL143" i="16"/>
  <c r="AL125" i="16"/>
  <c r="AL129" i="16"/>
  <c r="AL80" i="16"/>
  <c r="CV79" i="16"/>
  <c r="AS149" i="16"/>
  <c r="AS156" i="16" s="1"/>
  <c r="AS157" i="16" s="1"/>
  <c r="AS145" i="16"/>
  <c r="AS144" i="16"/>
  <c r="AE144" i="16"/>
  <c r="AE149" i="16"/>
  <c r="AE156" i="16" s="1"/>
  <c r="AE157" i="16" s="1"/>
  <c r="AE145" i="16"/>
  <c r="AS158" i="16" l="1"/>
  <c r="AS159" i="16" s="1"/>
  <c r="AS160" i="16" s="1"/>
  <c r="CY78" i="16"/>
  <c r="BG79" i="16"/>
  <c r="BG98" i="16"/>
  <c r="AL81" i="16"/>
  <c r="CV80" i="16"/>
  <c r="CX79" i="16"/>
  <c r="AZ129" i="16"/>
  <c r="AZ143" i="16"/>
  <c r="AZ80" i="16"/>
  <c r="AZ125" i="16"/>
  <c r="AE158" i="16"/>
  <c r="AE159" i="16" s="1"/>
  <c r="AE160" i="16" s="1"/>
  <c r="AL145" i="16"/>
  <c r="AL149" i="16"/>
  <c r="AL156" i="16" s="1"/>
  <c r="AL157" i="16" s="1"/>
  <c r="AL144" i="16"/>
  <c r="AZ99" i="16"/>
  <c r="AZ100" i="16" s="1"/>
  <c r="AZ102" i="16" s="1"/>
  <c r="AZ103" i="16" s="1"/>
  <c r="AZ163" i="16"/>
  <c r="AZ164" i="16" s="1"/>
  <c r="AL158" i="16" l="1"/>
  <c r="AL159" i="16" s="1"/>
  <c r="AL160" i="16" s="1"/>
  <c r="BG99" i="16"/>
  <c r="BG100" i="16" s="1"/>
  <c r="BG102" i="16" s="1"/>
  <c r="BG103" i="16" s="1"/>
  <c r="BG163" i="16"/>
  <c r="BG164" i="16" s="1"/>
  <c r="CX80" i="16"/>
  <c r="AZ81" i="16"/>
  <c r="BN79" i="16"/>
  <c r="BN98" i="16"/>
  <c r="CZ78" i="16"/>
  <c r="BG125" i="16"/>
  <c r="BG80" i="16"/>
  <c r="BG129" i="16"/>
  <c r="BG143" i="16"/>
  <c r="CY79" i="16"/>
  <c r="AZ144" i="16"/>
  <c r="AZ145" i="16"/>
  <c r="AZ149" i="16"/>
  <c r="AZ156" i="16" s="1"/>
  <c r="AZ157" i="16" s="1"/>
  <c r="BG149" i="16" l="1"/>
  <c r="BG156" i="16" s="1"/>
  <c r="BG157" i="16" s="1"/>
  <c r="BG145" i="16"/>
  <c r="BG144" i="16"/>
  <c r="BN99" i="16"/>
  <c r="BN100" i="16" s="1"/>
  <c r="BN102" i="16" s="1"/>
  <c r="BN103" i="16" s="1"/>
  <c r="BN163" i="16"/>
  <c r="BN164" i="16" s="1"/>
  <c r="AZ158" i="16"/>
  <c r="AZ159" i="16" s="1"/>
  <c r="AZ160" i="16" s="1"/>
  <c r="CY80" i="16"/>
  <c r="BG81" i="16"/>
  <c r="BN143" i="16"/>
  <c r="BN125" i="16"/>
  <c r="BN129" i="16"/>
  <c r="BN80" i="16"/>
  <c r="CZ79" i="16"/>
  <c r="BU98" i="16"/>
  <c r="BU79" i="16"/>
  <c r="DA78" i="16"/>
  <c r="BG158" i="16" l="1"/>
  <c r="BG159" i="16" s="1"/>
  <c r="BG160" i="16" s="1"/>
  <c r="CI98" i="16"/>
  <c r="CI79" i="16"/>
  <c r="DC78" i="16"/>
  <c r="BN81" i="16"/>
  <c r="CZ80" i="16"/>
  <c r="BU143" i="16"/>
  <c r="BU80" i="16"/>
  <c r="DA79" i="16"/>
  <c r="BU125" i="16"/>
  <c r="BU129" i="16"/>
  <c r="CB79" i="16"/>
  <c r="CB98" i="16"/>
  <c r="DB78" i="16"/>
  <c r="BU99" i="16"/>
  <c r="BU100" i="16" s="1"/>
  <c r="BU102" i="16" s="1"/>
  <c r="BU103" i="16" s="1"/>
  <c r="BU163" i="16"/>
  <c r="BU164" i="16" s="1"/>
  <c r="BN149" i="16"/>
  <c r="BN156" i="16" s="1"/>
  <c r="BN157" i="16" s="1"/>
  <c r="BN145" i="16"/>
  <c r="BN144" i="16"/>
  <c r="J98" i="24" l="1"/>
  <c r="J79" i="24"/>
  <c r="CI80" i="16"/>
  <c r="DC79" i="16"/>
  <c r="CI129" i="16"/>
  <c r="CI143" i="16"/>
  <c r="CI125" i="16"/>
  <c r="BN158" i="16"/>
  <c r="BN159" i="16" s="1"/>
  <c r="BN160" i="16" s="1"/>
  <c r="BU81" i="16"/>
  <c r="DA80" i="16"/>
  <c r="BU144" i="16"/>
  <c r="BU149" i="16"/>
  <c r="BU156" i="16" s="1"/>
  <c r="BU157" i="16" s="1"/>
  <c r="BU145" i="16"/>
  <c r="CB163" i="16"/>
  <c r="CB164" i="16" s="1"/>
  <c r="CB99" i="16"/>
  <c r="CB100" i="16" s="1"/>
  <c r="CB102" i="16" s="1"/>
  <c r="CB103" i="16" s="1"/>
  <c r="CB129" i="16"/>
  <c r="CB80" i="16"/>
  <c r="CB143" i="16"/>
  <c r="DB79" i="16"/>
  <c r="CB125" i="16"/>
  <c r="CI163" i="16"/>
  <c r="CI164" i="16" s="1"/>
  <c r="CI99" i="16"/>
  <c r="CI100" i="16" s="1"/>
  <c r="CI102" i="16" s="1"/>
  <c r="CI103" i="16" s="1"/>
  <c r="J80" i="24" l="1"/>
  <c r="J125" i="24"/>
  <c r="J129" i="24"/>
  <c r="J143" i="24"/>
  <c r="CI145" i="16"/>
  <c r="CI149" i="16"/>
  <c r="CI156" i="16" s="1"/>
  <c r="CI157" i="16" s="1"/>
  <c r="CI144" i="16"/>
  <c r="J163" i="24"/>
  <c r="J164" i="24" s="1"/>
  <c r="J99" i="24"/>
  <c r="J100" i="24" s="1"/>
  <c r="J102" i="24" s="1"/>
  <c r="CI81" i="16"/>
  <c r="DC80" i="16"/>
  <c r="CS78" i="24"/>
  <c r="Q98" i="24"/>
  <c r="Q79" i="24"/>
  <c r="BU158" i="16"/>
  <c r="BU159" i="16" s="1"/>
  <c r="BU160" i="16" s="1"/>
  <c r="CB144" i="16"/>
  <c r="CB149" i="16"/>
  <c r="CB156" i="16" s="1"/>
  <c r="CB157" i="16" s="1"/>
  <c r="CB145" i="16"/>
  <c r="DB80" i="16"/>
  <c r="CB81" i="16"/>
  <c r="CI158" i="16" l="1"/>
  <c r="CI159" i="16" s="1"/>
  <c r="CI160" i="16" s="1"/>
  <c r="CS79" i="24"/>
  <c r="Q80" i="24"/>
  <c r="Q129" i="24"/>
  <c r="Q125" i="24"/>
  <c r="Q143" i="24"/>
  <c r="Q99" i="24"/>
  <c r="Q100" i="24" s="1"/>
  <c r="Q163" i="24"/>
  <c r="Q164" i="24" s="1"/>
  <c r="X98" i="24"/>
  <c r="X79" i="24"/>
  <c r="CT78" i="24"/>
  <c r="J145" i="24"/>
  <c r="J144" i="24"/>
  <c r="J149" i="24"/>
  <c r="J156" i="24" s="1"/>
  <c r="J157" i="24" s="1"/>
  <c r="CB158" i="16"/>
  <c r="CB159" i="16" s="1"/>
  <c r="CB160" i="16" s="1"/>
  <c r="Q81" i="24" l="1"/>
  <c r="CS80" i="24"/>
  <c r="CU78" i="24"/>
  <c r="AE98" i="24"/>
  <c r="AE79" i="24"/>
  <c r="X129" i="24"/>
  <c r="X80" i="24"/>
  <c r="X125" i="24"/>
  <c r="X143" i="24"/>
  <c r="CT79" i="24"/>
  <c r="J158" i="24"/>
  <c r="J159" i="24" s="1"/>
  <c r="J160" i="24" s="1"/>
  <c r="X99" i="24"/>
  <c r="X100" i="24" s="1"/>
  <c r="X102" i="24" s="1"/>
  <c r="X103" i="24" s="1"/>
  <c r="X163" i="24"/>
  <c r="X164" i="24" s="1"/>
  <c r="Q145" i="24"/>
  <c r="Q149" i="24"/>
  <c r="Q156" i="24" s="1"/>
  <c r="Q157" i="24" s="1"/>
  <c r="Q144" i="24"/>
  <c r="X81" i="24" l="1"/>
  <c r="CT80" i="24"/>
  <c r="AL79" i="24"/>
  <c r="CV78" i="24"/>
  <c r="AL98" i="24"/>
  <c r="X149" i="24"/>
  <c r="X156" i="24" s="1"/>
  <c r="X157" i="24" s="1"/>
  <c r="X144" i="24"/>
  <c r="X145" i="24"/>
  <c r="AE80" i="24"/>
  <c r="AE125" i="24"/>
  <c r="AE129" i="24"/>
  <c r="CU79" i="24"/>
  <c r="AE143" i="24"/>
  <c r="Q158" i="24"/>
  <c r="Q159" i="24" s="1"/>
  <c r="Q160" i="24" s="1"/>
  <c r="AE163" i="24"/>
  <c r="AE164" i="24" s="1"/>
  <c r="AE99" i="24"/>
  <c r="AE100" i="24" s="1"/>
  <c r="AE102" i="24" s="1"/>
  <c r="AE103" i="24" s="1"/>
  <c r="X158" i="24" l="1"/>
  <c r="X159" i="24" s="1"/>
  <c r="X160" i="24" s="1"/>
  <c r="AL125" i="24"/>
  <c r="AL129" i="24"/>
  <c r="AL143" i="24"/>
  <c r="CV79" i="24"/>
  <c r="AL80" i="24"/>
  <c r="AS98" i="24"/>
  <c r="CW78" i="24"/>
  <c r="AS79" i="24"/>
  <c r="AE145" i="24"/>
  <c r="AE144" i="24"/>
  <c r="AE149" i="24"/>
  <c r="AE156" i="24" s="1"/>
  <c r="AE157" i="24" s="1"/>
  <c r="CU80" i="24"/>
  <c r="AE81" i="24"/>
  <c r="AL163" i="24"/>
  <c r="AL164" i="24" s="1"/>
  <c r="AL99" i="24"/>
  <c r="AL100" i="24" s="1"/>
  <c r="AL102" i="24" s="1"/>
  <c r="AL103" i="24" s="1"/>
  <c r="AE158" i="24" l="1"/>
  <c r="AE159" i="24" s="1"/>
  <c r="AE160" i="24" s="1"/>
  <c r="AS163" i="24"/>
  <c r="AS164" i="24" s="1"/>
  <c r="AS99" i="24"/>
  <c r="AS100" i="24" s="1"/>
  <c r="AS102" i="24" s="1"/>
  <c r="AS103" i="24" s="1"/>
  <c r="AL144" i="24"/>
  <c r="AL145" i="24"/>
  <c r="AL149" i="24"/>
  <c r="AL156" i="24" s="1"/>
  <c r="AL157" i="24" s="1"/>
  <c r="AZ98" i="24"/>
  <c r="CX78" i="24"/>
  <c r="AZ79" i="24"/>
  <c r="AS129" i="24"/>
  <c r="CW79" i="24"/>
  <c r="AS125" i="24"/>
  <c r="AS143" i="24"/>
  <c r="AS80" i="24"/>
  <c r="CV80" i="24"/>
  <c r="AL81" i="24"/>
  <c r="AL158" i="24" l="1"/>
  <c r="AL159" i="24" s="1"/>
  <c r="AL160" i="24" s="1"/>
  <c r="AS81" i="24"/>
  <c r="CW80" i="24"/>
  <c r="BG98" i="24"/>
  <c r="BG79" i="24"/>
  <c r="CY78" i="24"/>
  <c r="AZ143" i="24"/>
  <c r="AZ129" i="24"/>
  <c r="AZ80" i="24"/>
  <c r="CX79" i="24"/>
  <c r="AZ125" i="24"/>
  <c r="AZ163" i="24"/>
  <c r="AZ164" i="24" s="1"/>
  <c r="AZ99" i="24"/>
  <c r="AZ100" i="24" s="1"/>
  <c r="AZ102" i="24" s="1"/>
  <c r="AZ103" i="24" s="1"/>
  <c r="AS149" i="24"/>
  <c r="AS156" i="24" s="1"/>
  <c r="AS157" i="24" s="1"/>
  <c r="AS145" i="24"/>
  <c r="AS144" i="24"/>
  <c r="AS158" i="24" l="1"/>
  <c r="AS159" i="24" s="1"/>
  <c r="AS160" i="24" s="1"/>
  <c r="CZ78" i="24"/>
  <c r="BN98" i="24"/>
  <c r="BN79" i="24"/>
  <c r="BG163" i="24"/>
  <c r="BG164" i="24" s="1"/>
  <c r="BG99" i="24"/>
  <c r="BG100" i="24" s="1"/>
  <c r="BG102" i="24" s="1"/>
  <c r="BG103" i="24" s="1"/>
  <c r="AZ149" i="24"/>
  <c r="AZ156" i="24" s="1"/>
  <c r="AZ157" i="24" s="1"/>
  <c r="AZ144" i="24"/>
  <c r="AZ145" i="24"/>
  <c r="AZ81" i="24"/>
  <c r="CX80" i="24"/>
  <c r="BG143" i="24"/>
  <c r="BG129" i="24"/>
  <c r="BG125" i="24"/>
  <c r="BG80" i="24"/>
  <c r="CY79" i="24"/>
  <c r="AZ158" i="24" l="1"/>
  <c r="AZ159" i="24" s="1"/>
  <c r="AZ160" i="24" s="1"/>
  <c r="BN129" i="24"/>
  <c r="BN125" i="24"/>
  <c r="CZ79" i="24"/>
  <c r="BN80" i="24"/>
  <c r="BN143" i="24"/>
  <c r="BG81" i="24"/>
  <c r="CY80" i="24"/>
  <c r="BG145" i="24"/>
  <c r="BG144" i="24"/>
  <c r="BG149" i="24"/>
  <c r="BG156" i="24" s="1"/>
  <c r="BG157" i="24" s="1"/>
  <c r="BN163" i="24"/>
  <c r="BN164" i="24" s="1"/>
  <c r="BN99" i="24"/>
  <c r="BN100" i="24" s="1"/>
  <c r="BN102" i="24" s="1"/>
  <c r="BN103" i="24" s="1"/>
  <c r="BU79" i="24"/>
  <c r="DA78" i="24"/>
  <c r="BU98" i="24"/>
  <c r="BU163" i="24" l="1"/>
  <c r="BU164" i="24" s="1"/>
  <c r="BU99" i="24"/>
  <c r="BU100" i="24" s="1"/>
  <c r="BU102" i="24" s="1"/>
  <c r="BU103" i="24" s="1"/>
  <c r="DA79" i="24"/>
  <c r="BU125" i="24"/>
  <c r="BU143" i="24"/>
  <c r="BU80" i="24"/>
  <c r="BU129" i="24"/>
  <c r="CZ80" i="24"/>
  <c r="BN81" i="24"/>
  <c r="CB79" i="24"/>
  <c r="CB98" i="24"/>
  <c r="DB78" i="24"/>
  <c r="BG158" i="24"/>
  <c r="BG159" i="24" s="1"/>
  <c r="BG160" i="24" s="1"/>
  <c r="BN149" i="24"/>
  <c r="BN156" i="24" s="1"/>
  <c r="BN157" i="24" s="1"/>
  <c r="BN145" i="24"/>
  <c r="BN144" i="24"/>
  <c r="CB163" i="24" l="1"/>
  <c r="CB164" i="24" s="1"/>
  <c r="CB99" i="24"/>
  <c r="CB100" i="24" s="1"/>
  <c r="CB102" i="24" s="1"/>
  <c r="CB103" i="24" s="1"/>
  <c r="CB80" i="24"/>
  <c r="CB129" i="24"/>
  <c r="DB79" i="24"/>
  <c r="CB143" i="24"/>
  <c r="CB125" i="24"/>
  <c r="BU81" i="24"/>
  <c r="DA80" i="24"/>
  <c r="BN158" i="24"/>
  <c r="BN159" i="24" s="1"/>
  <c r="BN160" i="24" s="1"/>
  <c r="CI99" i="24"/>
  <c r="CI100" i="24" s="1"/>
  <c r="CI102" i="24" s="1"/>
  <c r="CI103" i="24" s="1"/>
  <c r="CI163" i="24"/>
  <c r="CI164" i="24" s="1"/>
  <c r="BU149" i="24"/>
  <c r="BU156" i="24" s="1"/>
  <c r="BU157" i="24" s="1"/>
  <c r="BU144" i="24"/>
  <c r="BU145" i="24"/>
  <c r="CB81" i="24" l="1"/>
  <c r="DB80" i="24"/>
  <c r="BU158" i="24"/>
  <c r="BU159" i="24" s="1"/>
  <c r="BU160" i="24" s="1"/>
  <c r="CB149" i="24"/>
  <c r="CB156" i="24" s="1"/>
  <c r="CB157" i="24" s="1"/>
  <c r="CB145" i="24"/>
  <c r="CB144" i="24"/>
  <c r="CB158" i="24" l="1"/>
  <c r="CB159" i="24" s="1"/>
  <c r="CB160" i="24" s="1"/>
  <c r="J51" i="24"/>
  <c r="J61" i="24" s="1"/>
  <c r="J64" i="24" l="1"/>
  <c r="J108" i="24"/>
  <c r="J109" i="24"/>
  <c r="CR61" i="24"/>
  <c r="J107" i="24"/>
  <c r="J103" i="24"/>
  <c r="Q101" i="24"/>
  <c r="Q102" i="24" s="1"/>
  <c r="Q103" i="24" s="1"/>
  <c r="CR51" i="24"/>
  <c r="CR76" i="24" l="1"/>
  <c r="CR68" i="24"/>
  <c r="CR66" i="24"/>
  <c r="CR58" i="24"/>
  <c r="CR69" i="24"/>
  <c r="J124" i="24"/>
  <c r="CR71" i="24"/>
  <c r="CR79" i="24"/>
  <c r="CR80" i="24"/>
  <c r="CR63" i="24"/>
  <c r="CR70" i="24"/>
  <c r="CR67" i="24"/>
  <c r="CR64" i="24"/>
  <c r="CR75" i="24"/>
  <c r="CR77" i="24"/>
  <c r="CR62" i="24"/>
  <c r="CR65" i="24"/>
  <c r="J81" i="24"/>
  <c r="CR72" i="24"/>
  <c r="CR78" i="24"/>
  <c r="J128" i="24"/>
  <c r="CR74" i="24"/>
  <c r="CR73" i="24"/>
  <c r="CR60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50" authorId="0" shapeId="0" xr:uid="{09BE6A41-A7E8-48C8-9C28-789454EA0B24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48" authorId="0" shapeId="0" xr:uid="{A9041625-27CF-E94A-8D60-EEB92CCD6E0C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48" authorId="0" shapeId="0" xr:uid="{88FA648F-8ED3-3741-95CF-E4B756C17C1F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48" authorId="0" shapeId="0" xr:uid="{8D4936EA-CDC2-1249-92F8-FE87297EC4D3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48" authorId="0" shapeId="0" xr:uid="{0F3B8E1B-A9E3-A142-A4D2-5354215684CD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50" authorId="0" shapeId="0" xr:uid="{AC33E352-DBF8-5347-B399-B043E6C07F35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Alejandro</author>
  </authors>
  <commentList>
    <comment ref="D150" authorId="0" shapeId="0" xr:uid="{134BC211-D343-314A-A0CA-B02A3AE7F35E}">
      <text>
        <r>
          <rPr>
            <b/>
            <sz val="9"/>
            <color indexed="81"/>
            <rFont val="Tahoma"/>
            <family val="2"/>
          </rPr>
          <t>Se asume el mismo valor para todos los años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B3AE9F-D9C1-C94F-A1FB-7494C63C2774}" keepAlive="1" name="Consulta - wallet_records" description="Conexión a la consulta 'wallet_records' en el libro." type="5" refreshedVersion="8" background="1" saveData="1">
    <dbPr connection="Provider=Microsoft.Mashup.OleDb.1;Data Source=$Workbook$;Location=wallet_records;Extended Properties=&quot;&quot;" command="SELECT * FROM [wallet_records]"/>
  </connection>
</connections>
</file>

<file path=xl/sharedStrings.xml><?xml version="1.0" encoding="utf-8"?>
<sst xmlns="http://schemas.openxmlformats.org/spreadsheetml/2006/main" count="12793" uniqueCount="562">
  <si>
    <t>Ocarinas</t>
  </si>
  <si>
    <t>Yari</t>
  </si>
  <si>
    <t>Ribera del valle</t>
  </si>
  <si>
    <t>Mazda</t>
  </si>
  <si>
    <t>Campos de Paz y Fatima</t>
  </si>
  <si>
    <t>Taxi</t>
  </si>
  <si>
    <t>Pedregal</t>
  </si>
  <si>
    <t>La Ceja</t>
  </si>
  <si>
    <t>Total</t>
  </si>
  <si>
    <t>Datos generales Ocarinas</t>
  </si>
  <si>
    <t>Datos generales Yari</t>
  </si>
  <si>
    <t>Municipio</t>
  </si>
  <si>
    <t>Medellin</t>
  </si>
  <si>
    <t>Ocarinas PH Carrera 65 CC # 31 - 34</t>
  </si>
  <si>
    <t>Yari PH Transversal 36 #72-128</t>
  </si>
  <si>
    <t>Apartamento</t>
  </si>
  <si>
    <t>Parqueadero</t>
  </si>
  <si>
    <t>Inquilino</t>
  </si>
  <si>
    <t>Jorge</t>
  </si>
  <si>
    <t>Angela Maria Gutierrez</t>
  </si>
  <si>
    <t>Contacto</t>
  </si>
  <si>
    <t>Inicio Contrato</t>
  </si>
  <si>
    <t>Adminisrador</t>
  </si>
  <si>
    <t>Contacto administrador</t>
  </si>
  <si>
    <t>Fecha pago administracion</t>
  </si>
  <si>
    <t>Cuenta pago administacion</t>
  </si>
  <si>
    <t>55194145283 Bancolombia ahorros</t>
  </si>
  <si>
    <t>00477042651 bancolombia ahorros</t>
  </si>
  <si>
    <t>18 de cada mes</t>
  </si>
  <si>
    <t>22 de cada mes</t>
  </si>
  <si>
    <t>Predial estimado</t>
  </si>
  <si>
    <t>Datos generales La Ceja</t>
  </si>
  <si>
    <t>La ceja</t>
  </si>
  <si>
    <t>Pinal del Rio Carrera 19A #13-19</t>
  </si>
  <si>
    <t>11-643</t>
  </si>
  <si>
    <t>No aplica</t>
  </si>
  <si>
    <t>Carrera 19A #13-21</t>
  </si>
  <si>
    <t>Diana Patricia Restrepo Ruiz</t>
  </si>
  <si>
    <t>300 8037155</t>
  </si>
  <si>
    <t>Juan Camilo</t>
  </si>
  <si>
    <t>No paga</t>
  </si>
  <si>
    <t>Todo el mes</t>
  </si>
  <si>
    <t>https://www.pagosvirtualesavvillas.com.co/personal/pagos/162</t>
  </si>
  <si>
    <t>30 de cada mes</t>
  </si>
  <si>
    <t>27 de cada mes</t>
  </si>
  <si>
    <t>El Nogal</t>
  </si>
  <si>
    <t>Belén</t>
  </si>
  <si>
    <t>Propiedad</t>
  </si>
  <si>
    <t xml:space="preserve">Avaluo catastral </t>
  </si>
  <si>
    <t>Avaluo Comercial</t>
  </si>
  <si>
    <t>Impuesto predial</t>
  </si>
  <si>
    <t>Administracion</t>
  </si>
  <si>
    <t>Valor arriendo</t>
  </si>
  <si>
    <t xml:space="preserve">Diciembre </t>
  </si>
  <si>
    <t>Noviembre</t>
  </si>
  <si>
    <t>Junio</t>
  </si>
  <si>
    <t>Total Anualizado</t>
  </si>
  <si>
    <t>Históricos</t>
  </si>
  <si>
    <t>Arriendo</t>
  </si>
  <si>
    <t>Administración</t>
  </si>
  <si>
    <t>Predial</t>
  </si>
  <si>
    <t>Avalúo comercial</t>
  </si>
  <si>
    <t>Avalúo catastral</t>
  </si>
  <si>
    <t>Datos generales Rivera del Valle</t>
  </si>
  <si>
    <t>Rivera del Valle Calle 60 #75-150</t>
  </si>
  <si>
    <t>Datos generales Pedregal</t>
  </si>
  <si>
    <t>Datos generales Belén El Nogal</t>
  </si>
  <si>
    <t>Arriendo Anual</t>
  </si>
  <si>
    <t>Arriendo Anual Ajustado</t>
  </si>
  <si>
    <t>Valor Administración</t>
  </si>
  <si>
    <t xml:space="preserve">Dirección </t>
  </si>
  <si>
    <t>Fecha pago canon de arriendo</t>
  </si>
  <si>
    <t>Acumulado 2026</t>
  </si>
  <si>
    <t>Acumulado 2027</t>
  </si>
  <si>
    <t>ARRIENDOS</t>
  </si>
  <si>
    <t>ADMINISTRACIÓN</t>
  </si>
  <si>
    <t>SST MLUJ</t>
  </si>
  <si>
    <t>Rivera del Valle</t>
  </si>
  <si>
    <t>Rivera del valle</t>
  </si>
  <si>
    <t>SST ERR</t>
  </si>
  <si>
    <t>DUEÑA</t>
  </si>
  <si>
    <t>PREDIAL</t>
  </si>
  <si>
    <t>GESTIÓN</t>
  </si>
  <si>
    <t>MANTENIMIENTO</t>
  </si>
  <si>
    <t>TASA DE SEGURIDAD</t>
  </si>
  <si>
    <t>RESULTADO</t>
  </si>
  <si>
    <t>Seguro de Pasajeros taxi</t>
  </si>
  <si>
    <t>CDA Taxi</t>
  </si>
  <si>
    <t>SOAT Taxi</t>
  </si>
  <si>
    <t>Agogados</t>
  </si>
  <si>
    <t>Impuestos DIAN</t>
  </si>
  <si>
    <t>Contador</t>
  </si>
  <si>
    <t>CDA Mazda</t>
  </si>
  <si>
    <t>Seguro Mazda</t>
  </si>
  <si>
    <t>Fátima</t>
  </si>
  <si>
    <t>Campos de Paz</t>
  </si>
  <si>
    <t>Seguro taxi</t>
  </si>
  <si>
    <t>Semaforización Mazda</t>
  </si>
  <si>
    <t>Impuestos Mazda</t>
  </si>
  <si>
    <t>Impuestos Taxi</t>
  </si>
  <si>
    <t>OTROS</t>
  </si>
  <si>
    <t>PRELIMINAR</t>
  </si>
  <si>
    <t>account</t>
  </si>
  <si>
    <t>category</t>
  </si>
  <si>
    <t>currency</t>
  </si>
  <si>
    <t>amount</t>
  </si>
  <si>
    <t>ref_currency_amount</t>
  </si>
  <si>
    <t>type</t>
  </si>
  <si>
    <t>payment_type</t>
  </si>
  <si>
    <t>note</t>
  </si>
  <si>
    <t>date</t>
  </si>
  <si>
    <t>transfer</t>
  </si>
  <si>
    <t>payee</t>
  </si>
  <si>
    <t>labels</t>
  </si>
  <si>
    <t>Reparaciones y mantenimiento</t>
  </si>
  <si>
    <t>COP</t>
  </si>
  <si>
    <t>Gasto</t>
  </si>
  <si>
    <t>Transferencia bancaria</t>
  </si>
  <si>
    <t>Mantenimiento</t>
  </si>
  <si>
    <t>NU Bank</t>
  </si>
  <si>
    <t>Transferir, retirar</t>
  </si>
  <si>
    <t>Ingreso</t>
  </si>
  <si>
    <t>Fondo de ahorro</t>
  </si>
  <si>
    <t/>
  </si>
  <si>
    <t>Intereses, ganancias de capital</t>
  </si>
  <si>
    <t>Rendimientos</t>
  </si>
  <si>
    <t>Nu Bank</t>
  </si>
  <si>
    <t>Bancolombia</t>
  </si>
  <si>
    <t>de bancolombia</t>
  </si>
  <si>
    <t>a</t>
  </si>
  <si>
    <t>Servicios</t>
  </si>
  <si>
    <t>Intereses, cargos, seguros</t>
  </si>
  <si>
    <t>Seguro Pasajeros Taxi</t>
  </si>
  <si>
    <t>Fiducuenta ARU</t>
  </si>
  <si>
    <t>25/12/2025/25/01/2026</t>
  </si>
  <si>
    <t>26/12/2025-26/01/2026</t>
  </si>
  <si>
    <t>Otros gastos administrativos</t>
  </si>
  <si>
    <t>Funeraria</t>
  </si>
  <si>
    <t>Varios</t>
  </si>
  <si>
    <t>Martha Lucía Uribe Jaramillo</t>
  </si>
  <si>
    <t>Pago de Administración</t>
  </si>
  <si>
    <t>08/12/2025-08/01/2026</t>
  </si>
  <si>
    <t>15/12/2025-15/01/2026</t>
  </si>
  <si>
    <t>13/12/2025-13/01/2026</t>
  </si>
  <si>
    <t>Empleados</t>
  </si>
  <si>
    <t>Seguridad Social</t>
  </si>
  <si>
    <t>Martha Lucia Uribe Jaramillo</t>
  </si>
  <si>
    <t>Ahorro CDT Impuestos</t>
  </si>
  <si>
    <t>Ahorro CDT Mantenimiento</t>
  </si>
  <si>
    <t>01/12/2025-01/01/2026</t>
  </si>
  <si>
    <t>25/11/2025/25/12/2025</t>
  </si>
  <si>
    <t>26/11/2025-26/12/2025</t>
  </si>
  <si>
    <t>15/11/2025-15/12/2025</t>
  </si>
  <si>
    <t>08/11/2025-08/12/2025</t>
  </si>
  <si>
    <t>Impuestos - IVA, renta, otros</t>
  </si>
  <si>
    <t>Pago de 4X1000</t>
  </si>
  <si>
    <t>Fondos para gastos varios</t>
  </si>
  <si>
    <t>01/11/2025-01/12/2025</t>
  </si>
  <si>
    <t>Tasa de seguridad</t>
  </si>
  <si>
    <t>13/11/2025-13/12/2025</t>
  </si>
  <si>
    <t>25/10/2025/25/11/2025</t>
  </si>
  <si>
    <t>26/10/2025-26/11/2025</t>
  </si>
  <si>
    <t>08/10/2025-08/11/2025</t>
  </si>
  <si>
    <t>15/10/2025-15/11/2025</t>
  </si>
  <si>
    <t>13/10/2025-13/11/2025</t>
  </si>
  <si>
    <t>Bono pensional MLUJ</t>
  </si>
  <si>
    <t>Comprensiones</t>
  </si>
  <si>
    <t>25/9/2025/25/10/2025</t>
  </si>
  <si>
    <t>01/10/2025-01/11/2025</t>
  </si>
  <si>
    <t>15/09/2025-15/10/2025</t>
  </si>
  <si>
    <t>08/09/2025-08/10/2025</t>
  </si>
  <si>
    <t>26/09/2025-26/10/2025</t>
  </si>
  <si>
    <t>Servicios contables y legales</t>
  </si>
  <si>
    <t>Abogados</t>
  </si>
  <si>
    <t>Pago Contador</t>
  </si>
  <si>
    <t>01/09/2025-01/10/2025</t>
  </si>
  <si>
    <t>13/09/2025-13/10/2025</t>
  </si>
  <si>
    <t>25/08/2025/25/09/2025</t>
  </si>
  <si>
    <t>26/08/2025-26/09/2025</t>
  </si>
  <si>
    <t>08/08/2025-08/09/2025</t>
  </si>
  <si>
    <t>15/08/2025-15/09/2025</t>
  </si>
  <si>
    <t>13/08/2025-13/09/2025</t>
  </si>
  <si>
    <t>01/08/2025-01/09/2025</t>
  </si>
  <si>
    <t>26/07/2025-26/08/2025</t>
  </si>
  <si>
    <t>15/07/2025-15/08/2025</t>
  </si>
  <si>
    <t>08/07/2025-08/08/2025</t>
  </si>
  <si>
    <t>13/07/2025-13/08/2025</t>
  </si>
  <si>
    <t>01/07/2025-01/08/2025</t>
  </si>
  <si>
    <t>20/06/2025-13/07/2025</t>
  </si>
  <si>
    <t>08/06/2025-08/07/2025</t>
  </si>
  <si>
    <t>15/06/2025-15/07/2025</t>
  </si>
  <si>
    <t>26/06/2025-26/07/2025</t>
  </si>
  <si>
    <t>01/06/2025-01/07/2025</t>
  </si>
  <si>
    <t>13/06/2025-13/07/2025</t>
  </si>
  <si>
    <t>20/05/2025-13/06/2025</t>
  </si>
  <si>
    <t>26/05/2025-26/06/2025</t>
  </si>
  <si>
    <t>15/05/2025-15/06/2025</t>
  </si>
  <si>
    <t>08/05/2025-08/06/2025</t>
  </si>
  <si>
    <t>01/05/2025-01/06/2025</t>
  </si>
  <si>
    <t>13/05/2025-13/06/2025</t>
  </si>
  <si>
    <t>26/04/2025-26/05/2025</t>
  </si>
  <si>
    <t>15/04/2025-15/05/2025</t>
  </si>
  <si>
    <t>20/04/2025-13/05/2025</t>
  </si>
  <si>
    <t>13/04/2025-13/05/2025</t>
  </si>
  <si>
    <t>01/04/2025-01/05/2025</t>
  </si>
  <si>
    <t>Retención en la fuente</t>
  </si>
  <si>
    <t>20/03/2025-13/04/2025</t>
  </si>
  <si>
    <t>26/03/2025-26/04/2025</t>
  </si>
  <si>
    <t>15/03/2025-15/04/2025</t>
  </si>
  <si>
    <t>08/04/2025-08/05/2025</t>
  </si>
  <si>
    <t>08/03/2025-08/04/2025</t>
  </si>
  <si>
    <t>13/03/2025-13/04/2025</t>
  </si>
  <si>
    <t>20/02/2025-13/03/2025</t>
  </si>
  <si>
    <t>15/02/2025-15/03/2025</t>
  </si>
  <si>
    <t>26/02/2025-26/03/2025</t>
  </si>
  <si>
    <t>Gastos de viaje</t>
  </si>
  <si>
    <t>Paseo</t>
  </si>
  <si>
    <t>08/02/2025-08/03/2025</t>
  </si>
  <si>
    <t>Yari Parqueadero</t>
  </si>
  <si>
    <t>01/02/2025-01/03/2025</t>
  </si>
  <si>
    <t>13/02/2025-13/03/2025</t>
  </si>
  <si>
    <t>20/01/2025-13/02/2025</t>
  </si>
  <si>
    <t>Seguro Taxi</t>
  </si>
  <si>
    <t>26/01/2025-26/02/2025</t>
  </si>
  <si>
    <t>15/01/2025-15/02/2025</t>
  </si>
  <si>
    <t>SOAT Mazda</t>
  </si>
  <si>
    <t>08/01/2025-08/02/2025</t>
  </si>
  <si>
    <t>01/01/2025-01/02/2025</t>
  </si>
  <si>
    <t>13/01/2025-13/02/2025</t>
  </si>
  <si>
    <t>20/12/2024-13/01/2025</t>
  </si>
  <si>
    <t>26/12/2024-26/01/2025</t>
  </si>
  <si>
    <t>08/12/2024-08/01/2025</t>
  </si>
  <si>
    <t>13/12/2024-13/01/2025</t>
  </si>
  <si>
    <t>01/12/2024-01/01/2025</t>
  </si>
  <si>
    <t>22/11/2024-06/12/2024</t>
  </si>
  <si>
    <t>26/11/2024-26/12/2024</t>
  </si>
  <si>
    <t>20/11/2024-13/12/2024</t>
  </si>
  <si>
    <t>08/11/2024-08/12/2024</t>
  </si>
  <si>
    <t>26/10/2024-26/11/2024</t>
  </si>
  <si>
    <t>13/11/2024-13/12/2024</t>
  </si>
  <si>
    <t>01/11/2024-01/12/2024</t>
  </si>
  <si>
    <t>20/10/2024-13/11/2024</t>
  </si>
  <si>
    <t>08/10/2024-08/11/2024</t>
  </si>
  <si>
    <t>22/10/2024-22/11/2024</t>
  </si>
  <si>
    <t>01/10/2024-01/11/2024</t>
  </si>
  <si>
    <t>13/10/2024-13/11/2024</t>
  </si>
  <si>
    <t>20/9/2024-13/10/2024</t>
  </si>
  <si>
    <t>26/09/2024-26/10/2024</t>
  </si>
  <si>
    <t>22/09/2024-22/10/2024</t>
  </si>
  <si>
    <t>08/09/2024-08/10/2024</t>
  </si>
  <si>
    <t>01/09/2024-01/10/2024</t>
  </si>
  <si>
    <t>13/09/2024-13/10/2024</t>
  </si>
  <si>
    <t>20/08/2024-13/09/2024</t>
  </si>
  <si>
    <t>26/08/2024-26/09/2024</t>
  </si>
  <si>
    <t>22/08/2024-22/09/2024</t>
  </si>
  <si>
    <t>08/08/2024-08/09/2024</t>
  </si>
  <si>
    <t>01/08/2024-01/09/2024</t>
  </si>
  <si>
    <t>13/08/2024-13/09/2024</t>
  </si>
  <si>
    <t>26/07/2024-26/08/2024</t>
  </si>
  <si>
    <t>20/07/2024-13/08/2024</t>
  </si>
  <si>
    <t>22/07/2024-22/08/2024</t>
  </si>
  <si>
    <t>08/07/2024-08/08/2024</t>
  </si>
  <si>
    <t>01/07/2024-01/08/2024</t>
  </si>
  <si>
    <t>13/07/2024-13/08/2024</t>
  </si>
  <si>
    <t>20/06/2024-13/07/2024</t>
  </si>
  <si>
    <t>26/06/2024-26/07/2024</t>
  </si>
  <si>
    <t>22/06/2024-22/07/2024</t>
  </si>
  <si>
    <t>08/06/2024-08/07/2024</t>
  </si>
  <si>
    <t>01/06/2024-01/07/2024</t>
  </si>
  <si>
    <t>13/06/2024-13/07/2024</t>
  </si>
  <si>
    <t>26/05/2024-26/06/2024</t>
  </si>
  <si>
    <t>20/05/2024-13/06/2024</t>
  </si>
  <si>
    <t>01/05/2024-01/06/2024</t>
  </si>
  <si>
    <t>22/05/2024-31/05/2024</t>
  </si>
  <si>
    <t>13/05/2024-13/06/2024</t>
  </si>
  <si>
    <t>22/05/2024-22/06/2024</t>
  </si>
  <si>
    <t>22/04/2024-22/05/2024</t>
  </si>
  <si>
    <t>20/04/2024-13/05/2024</t>
  </si>
  <si>
    <t>01/04/2024-01/05/2024</t>
  </si>
  <si>
    <t>13/04/2024-13/05/2024</t>
  </si>
  <si>
    <t>22/03/2024-22/04/2024</t>
  </si>
  <si>
    <t>01/03/2024-01/04/2024</t>
  </si>
  <si>
    <t>13/03-2024-13/04/2024</t>
  </si>
  <si>
    <t>22/02/2024-22/03/2024</t>
  </si>
  <si>
    <t>01/02/2024-01/03/2024</t>
  </si>
  <si>
    <t>13/02/2024-13/03/2024</t>
  </si>
  <si>
    <t>22/01/2024-22/02/2024</t>
  </si>
  <si>
    <t>Mantenimiento Mazda</t>
  </si>
  <si>
    <t>13/01-2024-13/02/2024</t>
  </si>
  <si>
    <t>22/12/2023-22/01/2024</t>
  </si>
  <si>
    <t>13/12/2023-13/01/2024</t>
  </si>
  <si>
    <t>22/11/2023-22/12/2023</t>
  </si>
  <si>
    <t>No conocido</t>
  </si>
  <si>
    <t>01/11/2023-01/12/2023</t>
  </si>
  <si>
    <t>01/10/2023-01/11/2023</t>
  </si>
  <si>
    <t>18/10/2023-18/11/2023</t>
  </si>
  <si>
    <t>22/10/2023-22/11/2023</t>
  </si>
  <si>
    <t>01/09/2023-01/10/2023</t>
  </si>
  <si>
    <t>22/09/2023-22/10/2023</t>
  </si>
  <si>
    <t>01/08/2023-01/09/2023</t>
  </si>
  <si>
    <t>22/08/2023-22/09/2023</t>
  </si>
  <si>
    <t>22/07/2023-22/08/2023</t>
  </si>
  <si>
    <t>01/07/2023-01/08/2023</t>
  </si>
  <si>
    <t>22/06/2023-22/07/2023</t>
  </si>
  <si>
    <t>18/06/2023-18/07/2023</t>
  </si>
  <si>
    <t>01/06/2023-01/07/2023</t>
  </si>
  <si>
    <t>Servicios públicos (energía, seguridad)</t>
  </si>
  <si>
    <t>Servicios Públicos</t>
  </si>
  <si>
    <t>18/05/2023-18/06/2023</t>
  </si>
  <si>
    <t>22/05/2023-22/06/2023</t>
  </si>
  <si>
    <t>01/05/2023-01/06/2023</t>
  </si>
  <si>
    <t>22/04/2023-22/05/2023</t>
  </si>
  <si>
    <t>18/04/2023-18/05/2023</t>
  </si>
  <si>
    <t>01/04/2023-01/05/2023</t>
  </si>
  <si>
    <t>22/03/2023-22/04/2023</t>
  </si>
  <si>
    <t>18/03/2023-18/04/2023</t>
  </si>
  <si>
    <t>01/03/2023-01/04/2023</t>
  </si>
  <si>
    <t>18/02/2023-18/03/2023</t>
  </si>
  <si>
    <t>22/02/2023-22/03/2023</t>
  </si>
  <si>
    <t>01/02/2023-01/03/2023</t>
  </si>
  <si>
    <t>22/01/2023-22/02/2023</t>
  </si>
  <si>
    <t>18/01/2023-18/02/2023</t>
  </si>
  <si>
    <t>01/01/2023-01/02/2023</t>
  </si>
  <si>
    <t>18/12/2022-18/01/2023</t>
  </si>
  <si>
    <t>22/12/2022-22/01/2023</t>
  </si>
  <si>
    <t>01/12/2022-01/01/2023</t>
  </si>
  <si>
    <t>22/11/2022-22/12/2022</t>
  </si>
  <si>
    <t>18/11/2022-18/12/2022</t>
  </si>
  <si>
    <t>01/11/2022-01/12/2022</t>
  </si>
  <si>
    <t>22/10/2022-22/11/2022</t>
  </si>
  <si>
    <t>18/10/2022-18/11/2022</t>
  </si>
  <si>
    <t>01/10/2022-01/11/2022</t>
  </si>
  <si>
    <t>22/09/2022-22/10/2022</t>
  </si>
  <si>
    <t>18/09/2022-18/10/2022</t>
  </si>
  <si>
    <t>01/08/2022-01/10/2022</t>
  </si>
  <si>
    <t>01/09/2022-01/10/2022</t>
  </si>
  <si>
    <t>22/08/2022-22/09/2022</t>
  </si>
  <si>
    <t>18/08/2022-18/09/2022</t>
  </si>
  <si>
    <t>01/08/2022-01/09/2022</t>
  </si>
  <si>
    <t>22/07/2022-22/08/2022</t>
  </si>
  <si>
    <t>18/07/2022-18/08/2022</t>
  </si>
  <si>
    <t>01/07/2022-01/08/2022</t>
  </si>
  <si>
    <t>18/06/2022-18/07/2022</t>
  </si>
  <si>
    <t>01/06/2022-01/07/2022</t>
  </si>
  <si>
    <t>18/05/2022-18/06/2022</t>
  </si>
  <si>
    <t>22/05/2022-22/06/2022</t>
  </si>
  <si>
    <t>22/06/2022-22/07/2022</t>
  </si>
  <si>
    <t>03/05/2022-03/06/2022</t>
  </si>
  <si>
    <t>01/05/2022-01/06/2022</t>
  </si>
  <si>
    <t>18/04/2022-18/05/2022</t>
  </si>
  <si>
    <t>Check point</t>
  </si>
  <si>
    <t>Utilidad Bruta</t>
  </si>
  <si>
    <t>Utilidad Neta</t>
  </si>
  <si>
    <t>EFE</t>
  </si>
  <si>
    <t>EGO</t>
  </si>
  <si>
    <t>EGI</t>
  </si>
  <si>
    <t>(+) Dividendos</t>
  </si>
  <si>
    <t>EGF</t>
  </si>
  <si>
    <t>(+) SI caja</t>
  </si>
  <si>
    <t>(=) SF caja</t>
  </si>
  <si>
    <t>INDICADORES DE LIQUIDEZ</t>
  </si>
  <si>
    <t>Prueba Acida</t>
  </si>
  <si>
    <t>Capital de trabajo</t>
  </si>
  <si>
    <t>Capital de trabajo neto operativo</t>
  </si>
  <si>
    <t>INDICADORES DE OPERACION</t>
  </si>
  <si>
    <t>Ciclo de Caja</t>
  </si>
  <si>
    <t>INDICADORES DE RENTABILIDAD</t>
  </si>
  <si>
    <t>Margen Bruto</t>
  </si>
  <si>
    <t>EBITDA</t>
  </si>
  <si>
    <t>Margen EBITDA</t>
  </si>
  <si>
    <t>Margen Neto</t>
  </si>
  <si>
    <t>ROA</t>
  </si>
  <si>
    <t>ROE</t>
  </si>
  <si>
    <t>INDICADORES DE ENDEUDAMIENTO</t>
  </si>
  <si>
    <t>Nivel de endeudamiento</t>
  </si>
  <si>
    <t>Estructura de capital</t>
  </si>
  <si>
    <t>Impacto de carga financiera</t>
  </si>
  <si>
    <t>Cobertura del servicio de la deuda (DSCR)</t>
  </si>
  <si>
    <t>PRODUCTIVIDADES</t>
  </si>
  <si>
    <t>PKTNO</t>
  </si>
  <si>
    <t>EVA</t>
  </si>
  <si>
    <t>T</t>
  </si>
  <si>
    <t>UODI</t>
  </si>
  <si>
    <t>K invertido</t>
  </si>
  <si>
    <t>ROIC</t>
  </si>
  <si>
    <t>Monto Deuda</t>
  </si>
  <si>
    <t>Monto Patrimonio</t>
  </si>
  <si>
    <t>% d</t>
  </si>
  <si>
    <t>% e</t>
  </si>
  <si>
    <t>K'd</t>
  </si>
  <si>
    <t>Kd</t>
  </si>
  <si>
    <t>WACC</t>
  </si>
  <si>
    <t>EVA %</t>
  </si>
  <si>
    <t>EVA $</t>
  </si>
  <si>
    <t>% depreciacion</t>
  </si>
  <si>
    <t>Dividendos</t>
  </si>
  <si>
    <t>Payout</t>
  </si>
  <si>
    <t>Pérdidas y Ganancias (Cifras en miles)</t>
  </si>
  <si>
    <t>Ingresos de actividades ordinarias</t>
  </si>
  <si>
    <t>Costo de ventas</t>
  </si>
  <si>
    <t>Gastos de administración</t>
  </si>
  <si>
    <t>Utilidad Operacional</t>
  </si>
  <si>
    <t>Utilidad antes de impuestos</t>
  </si>
  <si>
    <t>Balance General</t>
  </si>
  <si>
    <t>Efectivo y equivalentes al efectivo</t>
  </si>
  <si>
    <t>Cuentas comerciales por cobrar y otras cuentas por cobrar corrientes</t>
  </si>
  <si>
    <t>Inventarios corrientes</t>
  </si>
  <si>
    <t>Activos por impuestos corrientes, corriente</t>
  </si>
  <si>
    <t>Activos corrientes totales</t>
  </si>
  <si>
    <t>Propiedades, planta y equipo neto</t>
  </si>
  <si>
    <t>Total de activos no corrientes</t>
  </si>
  <si>
    <t>Total de activos</t>
  </si>
  <si>
    <t>Otras provisiones corrientes</t>
  </si>
  <si>
    <t>Cuentas por pagar comerciales y otras cuentas por pagar</t>
  </si>
  <si>
    <t>Pasivos por impuestos corrientes, corriente</t>
  </si>
  <si>
    <t>Pasivos financieros corrientes</t>
  </si>
  <si>
    <t>Otros pasivos no financieros corrientes</t>
  </si>
  <si>
    <t>Pasivos corrientes totales</t>
  </si>
  <si>
    <t>Pasivos financieros no corrientes</t>
  </si>
  <si>
    <t>Total de pasivos no corrientes</t>
  </si>
  <si>
    <t>Total pasivos</t>
  </si>
  <si>
    <t>Capital emitido</t>
  </si>
  <si>
    <t>Prima de emisión</t>
  </si>
  <si>
    <t>Otras reservas</t>
  </si>
  <si>
    <t>Ganacia del ejercicio</t>
  </si>
  <si>
    <t>Ganancias acumuladas</t>
  </si>
  <si>
    <t>Patrimonio total</t>
  </si>
  <si>
    <t>Total de patrimonio y pasivos</t>
  </si>
  <si>
    <t>Check</t>
  </si>
  <si>
    <t>(+) Gastos de depreciación y amortización</t>
  </si>
  <si>
    <t>(-) Variación CXC</t>
  </si>
  <si>
    <t>(-) Variación inventarios</t>
  </si>
  <si>
    <t>(-) Variación activos por impuestos corrientes, corriente</t>
  </si>
  <si>
    <t>(+) Variación CXP</t>
  </si>
  <si>
    <t>(+) Variación otras provisiones corrientes</t>
  </si>
  <si>
    <t>(+) Variación pasivos por impuestos corrientes, corriente</t>
  </si>
  <si>
    <t>(+) Variación otros pasivos no financieros corrientes</t>
  </si>
  <si>
    <t>(-) Variación propiedad, planta y equipo</t>
  </si>
  <si>
    <t>(+) Variación obligaciones financieras</t>
  </si>
  <si>
    <t>Razón corriente</t>
  </si>
  <si>
    <t>Días CXC</t>
  </si>
  <si>
    <t>Días inventarios</t>
  </si>
  <si>
    <t>Días CXP</t>
  </si>
  <si>
    <t>Margen Operativo</t>
  </si>
  <si>
    <t>Productividad AF</t>
  </si>
  <si>
    <t>Betha desapalancado</t>
  </si>
  <si>
    <t>Betha apalancado</t>
  </si>
  <si>
    <t>Tasa libre de riesgo</t>
  </si>
  <si>
    <t>Rendimiento del mercado</t>
  </si>
  <si>
    <t>Prima de riesgo pais</t>
  </si>
  <si>
    <t>Inflación COP</t>
  </si>
  <si>
    <t>Inflación USD</t>
  </si>
  <si>
    <t>Devaluación</t>
  </si>
  <si>
    <t>Ke en USD</t>
  </si>
  <si>
    <t>Ke en COP</t>
  </si>
  <si>
    <t>YARI</t>
  </si>
  <si>
    <t>BELÉN</t>
  </si>
  <si>
    <t>OCARINAS</t>
  </si>
  <si>
    <t>PEDREGAL</t>
  </si>
  <si>
    <t>RIVERA DEL VALLE</t>
  </si>
  <si>
    <t>LA CEJA</t>
  </si>
  <si>
    <t>CONSOLIDADO ENERO</t>
  </si>
  <si>
    <t>CONSOLIDADO FEBRERO</t>
  </si>
  <si>
    <t>CONSOLIDADO MARZO</t>
  </si>
  <si>
    <t>CONSOLIDADO ABRIL</t>
  </si>
  <si>
    <t>CONSOLIDADO MAYO</t>
  </si>
  <si>
    <t>CONSOLIDADO JUNIO</t>
  </si>
  <si>
    <t>CONSOLIDADO JULIO</t>
  </si>
  <si>
    <t>CONSOLIDADO AGOSTO</t>
  </si>
  <si>
    <t>CONSOLIDADO SEPTIEMBRE</t>
  </si>
  <si>
    <t>CONSOLIDADO OCTUBRE</t>
  </si>
  <si>
    <t>CONSOLIDADO NOVIEMBRE</t>
  </si>
  <si>
    <t>CONSOLIDADO DICIEMBRE</t>
  </si>
  <si>
    <t xml:space="preserve">CONSOLIDADO </t>
  </si>
  <si>
    <t>día</t>
  </si>
  <si>
    <t>mes</t>
  </si>
  <si>
    <t>año</t>
  </si>
  <si>
    <t>Personal</t>
  </si>
  <si>
    <t>Servicios públicos</t>
  </si>
  <si>
    <t>DICIEMBRE</t>
  </si>
  <si>
    <t>NOVIEMBRE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</si>
  <si>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</si>
  <si>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</si>
  <si>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</si>
  <si>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</si>
  <si>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</si>
  <si>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</si>
  <si>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</si>
  <si>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</si>
  <si>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</si>
  <si>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</si>
  <si>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ANÁLISIS HORIZONTAL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</si>
  <si>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</si>
  <si>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</si>
  <si>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</si>
  <si>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</si>
  <si>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</si>
  <si>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</si>
  <si>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</si>
  <si>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</si>
  <si>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</si>
  <si>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</si>
  <si>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</si>
  <si>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</si>
  <si>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ANÁLISIS VERTICAL</t>
  </si>
  <si>
    <t>Efectivo</t>
  </si>
  <si>
    <t>Enero 2026 - 13/01/2026-13/02/2026</t>
  </si>
  <si>
    <t>Enero 2026 - 01/01/2025-01/02/2026</t>
  </si>
  <si>
    <t>Impuesto Predial</t>
  </si>
  <si>
    <t>Mantenimiento Taxi</t>
  </si>
  <si>
    <t>Tasa de Seguridad</t>
  </si>
  <si>
    <t xml:space="preserve"> </t>
  </si>
  <si>
    <t>Mes</t>
  </si>
  <si>
    <t>Año</t>
  </si>
  <si>
    <t>Saldo</t>
  </si>
  <si>
    <t>Impuestos</t>
  </si>
  <si>
    <t>ARU</t>
  </si>
  <si>
    <t>Marta Lucia Uribe Jaramillo</t>
  </si>
  <si>
    <t>Capital</t>
  </si>
  <si>
    <t>Capital CDT</t>
  </si>
  <si>
    <t>Impuestos CDT</t>
  </si>
  <si>
    <t>Mantenimiento CDT</t>
  </si>
  <si>
    <t>Ajuste de cuentas</t>
  </si>
  <si>
    <t>Eliecer Restrepo Restrepo</t>
  </si>
  <si>
    <t>Fidu Impuestos</t>
  </si>
  <si>
    <t>Fidu Mantenimiento</t>
  </si>
  <si>
    <t>Diferencia</t>
  </si>
  <si>
    <t>Imputado</t>
  </si>
  <si>
    <t>Ajuste</t>
  </si>
  <si>
    <t>Préstamo</t>
  </si>
  <si>
    <t>Gastos depreciacion y amortizacion</t>
  </si>
  <si>
    <t>Nuevos préstamos</t>
  </si>
  <si>
    <t>Real Estate (Operations &amp; Service</t>
  </si>
  <si>
    <t>https://datosmacro.expansion.com/prima-riesgo/colombia?dr=2025-12</t>
  </si>
  <si>
    <t>https://datosmacro.expansion.com/prima-riesgo/colombia?dr=2026-01</t>
  </si>
  <si>
    <t>MLUJ</t>
  </si>
  <si>
    <t>Ocarinas - Administrador</t>
  </si>
  <si>
    <t>Yari - Administrador</t>
  </si>
  <si>
    <t>Rivera del Valle - Administrador</t>
  </si>
  <si>
    <t>Alejandro Restrepo - Belén</t>
  </si>
  <si>
    <t>Elizabeth Restrepo - Yari</t>
  </si>
  <si>
    <t>Jorge Mario Naranjo Henao - Ocarinas</t>
  </si>
  <si>
    <t>Comisión retiro</t>
  </si>
  <si>
    <t>David Alejandro Restrepo - Rivera del Valle</t>
  </si>
  <si>
    <t>Juan David Echeverri - Pedregal</t>
  </si>
  <si>
    <t>Gobernación de Antioquia</t>
  </si>
  <si>
    <t>Municipio de Medellín</t>
  </si>
  <si>
    <t>Retención en la Fuente</t>
  </si>
  <si>
    <t>Utilidades MLUJ</t>
  </si>
  <si>
    <t>Elmer Marin - Fontanero</t>
  </si>
  <si>
    <t>Pisende</t>
  </si>
  <si>
    <t>Medina y CIA SAS</t>
  </si>
  <si>
    <t>MES</t>
  </si>
  <si>
    <t>AÑO</t>
  </si>
  <si>
    <t>UTILIDAD ACUMULADA</t>
  </si>
  <si>
    <t>DEUDA</t>
  </si>
  <si>
    <t>UTILIDAD NETA</t>
  </si>
  <si>
    <t>UTILIDAD OPERACIONAL</t>
  </si>
  <si>
    <t>INGRESOS</t>
  </si>
  <si>
    <t>INGRESO ANUAL</t>
  </si>
  <si>
    <t>UTILIDAD OPERACIONAL ANUAL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</si>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</sst>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XDR&quot;* #,##0.00_-;\-&quot;XDR&quot;* #,##0.00_-;_-&quot;XDR&quot;* &quot;-&quot;??_-;_-@_-"/>
    <numFmt numFmtId="166" formatCode="_-[$$-240A]\ * #,##0.00_-;\-[$$-240A]\ * #,##0.00_-;_-[$$-240A]\ * &quot;-&quot;??_-;_-@_-"/>
    <numFmt numFmtId="167" formatCode="0.0%"/>
    <numFmt numFmtId="168" formatCode="_-&quot;$&quot;* #,##0_-;\-&quot;$&quot;* #,##0_-;_-&quot;$&quot;* &quot;-&quot;??_-;_-@_-"/>
    <numFmt numFmtId="169" formatCode="_(* #,##0_);_(* \(#,##0\);_(* &quot;-&quot;??_);_(@_)"/>
    <numFmt numFmtId="170" formatCode="0.0"/>
    <numFmt numFmtId="171" formatCode="_-* #,##0.0_-;\-* #,##0.0_-;_-* &quot;-&quot;?_-;_-@_-"/>
    <numFmt numFmtId="172" formatCode="_-* #,##0_-;\-* #,##0_-;_-* &quot;-&quot;??_-;_-@_-"/>
    <numFmt numFmtId="173" formatCode="_(* #,##0_);_(* \(#,##0\);_(* &quot;-&quot;_);_(@_)"/>
    <numFmt numFmtId="174" formatCode="_(* #,##0.000_);_(* \(#,##0.000\);_(* &quot;-&quot;_);_(@_)"/>
    <numFmt numFmtId="175" formatCode="0.0000"/>
    <numFmt numFmtId="176" formatCode="_-&quot;$&quot;* #,##0.00_-;\-&quot;$&quot;* #,##0.00_-;_-&quot;$&quot;* &quot;-&quot;_-;_-@_-"/>
    <numFmt numFmtId="177" formatCode="_(* #,##0.00_);_(* \(#,##0.00\);_(* &quot;-&quot;??_);_(@_)"/>
    <numFmt numFmtId="178" formatCode="_(* #,##0.00_);_(* \(#,##0.00\);_(* &quot;-&quot;_);_(@_)"/>
    <numFmt numFmtId="179" formatCode="0.000%"/>
    <numFmt numFmtId="180" formatCode="_-* #,##0.00_-;\-* #,##0.00_-;_-* &quot;-&quot;?_-;_-@_-"/>
    <numFmt numFmtId="181" formatCode="_(* #,##0.00000_);_(* \(#,##0.00000\);_(* &quot;-&quot;??_);_(@_)"/>
    <numFmt numFmtId="182" formatCode="_-&quot;$&quot;\ * #,##0_-;\-&quot;$&quot;\ * #,##0_-;_-&quot;$&quot;\ 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Helvetica"/>
      <family val="2"/>
    </font>
    <font>
      <sz val="9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9">
    <xf numFmtId="0" fontId="0" fillId="0" borderId="0" xfId="0"/>
    <xf numFmtId="0" fontId="0" fillId="0" borderId="1" xfId="0" applyBorder="1"/>
    <xf numFmtId="166" fontId="0" fillId="0" borderId="1" xfId="1" applyNumberFormat="1" applyFont="1" applyBorder="1"/>
    <xf numFmtId="0" fontId="2" fillId="0" borderId="1" xfId="0" applyFont="1" applyBorder="1" applyAlignment="1">
      <alignment horizontal="left"/>
    </xf>
    <xf numFmtId="166" fontId="0" fillId="0" borderId="0" xfId="0" applyNumberFormat="1" applyAlignment="1">
      <alignment horizontal="left"/>
    </xf>
    <xf numFmtId="0" fontId="3" fillId="0" borderId="1" xfId="3" applyBorder="1"/>
    <xf numFmtId="0" fontId="2" fillId="3" borderId="1" xfId="0" applyFont="1" applyFill="1" applyBorder="1"/>
    <xf numFmtId="166" fontId="0" fillId="0" borderId="1" xfId="0" applyNumberFormat="1" applyBorder="1"/>
    <xf numFmtId="166" fontId="2" fillId="3" borderId="1" xfId="0" applyNumberFormat="1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6" fontId="0" fillId="5" borderId="1" xfId="0" applyNumberFormat="1" applyFill="1" applyBorder="1"/>
    <xf numFmtId="0" fontId="0" fillId="5" borderId="0" xfId="0" applyFill="1"/>
    <xf numFmtId="166" fontId="0" fillId="6" borderId="1" xfId="0" applyNumberFormat="1" applyFill="1" applyBorder="1"/>
    <xf numFmtId="0" fontId="0" fillId="6" borderId="0" xfId="0" applyFill="1"/>
    <xf numFmtId="0" fontId="0" fillId="7" borderId="0" xfId="0" applyFill="1"/>
    <xf numFmtId="166" fontId="0" fillId="7" borderId="1" xfId="0" applyNumberFormat="1" applyFill="1" applyBorder="1"/>
    <xf numFmtId="0" fontId="2" fillId="3" borderId="1" xfId="0" applyFont="1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66" fontId="0" fillId="0" borderId="2" xfId="0" applyNumberFormat="1" applyBorder="1"/>
    <xf numFmtId="166" fontId="0" fillId="0" borderId="4" xfId="0" applyNumberFormat="1" applyBorder="1"/>
    <xf numFmtId="166" fontId="0" fillId="0" borderId="3" xfId="0" applyNumberFormat="1" applyBorder="1"/>
    <xf numFmtId="166" fontId="0" fillId="0" borderId="5" xfId="0" applyNumberFormat="1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6" fontId="0" fillId="8" borderId="4" xfId="0" applyNumberFormat="1" applyFill="1" applyBorder="1"/>
    <xf numFmtId="166" fontId="0" fillId="8" borderId="1" xfId="0" applyNumberFormat="1" applyFill="1" applyBorder="1"/>
    <xf numFmtId="166" fontId="0" fillId="8" borderId="3" xfId="0" applyNumberFormat="1" applyFill="1" applyBorder="1"/>
    <xf numFmtId="166" fontId="0" fillId="0" borderId="0" xfId="0" applyNumberFormat="1"/>
    <xf numFmtId="166" fontId="0" fillId="0" borderId="1" xfId="2" applyNumberFormat="1" applyFont="1" applyBorder="1"/>
    <xf numFmtId="166" fontId="0" fillId="2" borderId="5" xfId="0" applyNumberFormat="1" applyFill="1" applyBorder="1"/>
    <xf numFmtId="166" fontId="0" fillId="2" borderId="1" xfId="0" applyNumberFormat="1" applyFill="1" applyBorder="1"/>
    <xf numFmtId="10" fontId="0" fillId="0" borderId="0" xfId="2" applyNumberFormat="1" applyFont="1"/>
    <xf numFmtId="42" fontId="0" fillId="0" borderId="0" xfId="4" applyFont="1"/>
    <xf numFmtId="42" fontId="0" fillId="0" borderId="0" xfId="4" applyFont="1" applyBorder="1"/>
    <xf numFmtId="42" fontId="0" fillId="0" borderId="0" xfId="4" applyFont="1" applyFill="1" applyBorder="1"/>
    <xf numFmtId="42" fontId="0" fillId="0" borderId="0" xfId="0" applyNumberFormat="1"/>
    <xf numFmtId="42" fontId="5" fillId="0" borderId="0" xfId="0" applyNumberFormat="1" applyFont="1"/>
    <xf numFmtId="42" fontId="5" fillId="0" borderId="0" xfId="4" applyFont="1" applyBorder="1"/>
    <xf numFmtId="166" fontId="0" fillId="9" borderId="1" xfId="0" applyNumberFormat="1" applyFill="1" applyBorder="1"/>
    <xf numFmtId="42" fontId="5" fillId="0" borderId="0" xfId="4" applyFont="1" applyFill="1" applyBorder="1"/>
    <xf numFmtId="42" fontId="6" fillId="0" borderId="0" xfId="4" applyFont="1"/>
    <xf numFmtId="166" fontId="0" fillId="6" borderId="0" xfId="0" applyNumberFormat="1" applyFill="1"/>
    <xf numFmtId="166" fontId="0" fillId="7" borderId="0" xfId="0" applyNumberFormat="1" applyFill="1"/>
    <xf numFmtId="166" fontId="0" fillId="0" borderId="0" xfId="2" applyNumberFormat="1" applyFont="1" applyBorder="1"/>
    <xf numFmtId="0" fontId="0" fillId="0" borderId="0" xfId="0" applyAlignment="1">
      <alignment horizontal="center"/>
    </xf>
    <xf numFmtId="10" fontId="0" fillId="0" borderId="0" xfId="2" applyNumberFormat="1" applyFont="1" applyBorder="1" applyAlignment="1">
      <alignment horizontal="center"/>
    </xf>
    <xf numFmtId="166" fontId="5" fillId="0" borderId="0" xfId="0" applyNumberFormat="1" applyFont="1"/>
    <xf numFmtId="10" fontId="7" fillId="0" borderId="0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6" fontId="0" fillId="5" borderId="0" xfId="0" applyNumberFormat="1" applyFill="1"/>
    <xf numFmtId="166" fontId="0" fillId="9" borderId="0" xfId="0" applyNumberFormat="1" applyFill="1"/>
    <xf numFmtId="166" fontId="5" fillId="9" borderId="0" xfId="0" applyNumberFormat="1" applyFont="1" applyFill="1"/>
    <xf numFmtId="0" fontId="0" fillId="9" borderId="0" xfId="0" applyFill="1"/>
    <xf numFmtId="10" fontId="0" fillId="9" borderId="0" xfId="2" applyNumberFormat="1" applyFont="1" applyFill="1" applyBorder="1" applyAlignment="1">
      <alignment horizontal="center"/>
    </xf>
    <xf numFmtId="10" fontId="7" fillId="9" borderId="0" xfId="2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center"/>
    </xf>
    <xf numFmtId="166" fontId="5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167" fontId="6" fillId="0" borderId="1" xfId="2" applyNumberFormat="1" applyFont="1" applyBorder="1" applyAlignment="1">
      <alignment horizontal="center"/>
    </xf>
    <xf numFmtId="42" fontId="0" fillId="0" borderId="0" xfId="4" applyFont="1" applyFill="1"/>
    <xf numFmtId="0" fontId="5" fillId="0" borderId="0" xfId="0" applyFont="1" applyAlignment="1">
      <alignment horizontal="center" wrapText="1"/>
    </xf>
    <xf numFmtId="42" fontId="0" fillId="10" borderId="0" xfId="4" applyFont="1" applyFill="1"/>
    <xf numFmtId="42" fontId="0" fillId="10" borderId="0" xfId="0" applyNumberFormat="1" applyFill="1"/>
    <xf numFmtId="42" fontId="8" fillId="0" borderId="0" xfId="4" applyFont="1" applyFill="1"/>
    <xf numFmtId="42" fontId="8" fillId="10" borderId="0" xfId="4" applyFont="1" applyFill="1"/>
    <xf numFmtId="42" fontId="5" fillId="11" borderId="0" xfId="0" applyNumberFormat="1" applyFont="1" applyFill="1"/>
    <xf numFmtId="42" fontId="5" fillId="11" borderId="0" xfId="4" applyFont="1" applyFill="1" applyBorder="1"/>
    <xf numFmtId="10" fontId="0" fillId="0" borderId="0" xfId="2" applyNumberFormat="1" applyFont="1" applyAlignment="1">
      <alignment horizontal="center"/>
    </xf>
    <xf numFmtId="10" fontId="5" fillId="11" borderId="0" xfId="2" applyNumberFormat="1" applyFont="1" applyFill="1" applyAlignment="1">
      <alignment horizontal="center"/>
    </xf>
    <xf numFmtId="42" fontId="5" fillId="0" borderId="0" xfId="4" applyFont="1" applyFill="1"/>
    <xf numFmtId="0" fontId="5" fillId="11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2" applyNumberFormat="1" applyFont="1" applyFill="1" applyAlignment="1">
      <alignment horizontal="center"/>
    </xf>
    <xf numFmtId="42" fontId="5" fillId="2" borderId="0" xfId="4" applyFont="1" applyFill="1" applyBorder="1"/>
    <xf numFmtId="42" fontId="0" fillId="10" borderId="0" xfId="4" applyFont="1" applyFill="1" applyBorder="1"/>
    <xf numFmtId="42" fontId="6" fillId="10" borderId="0" xfId="4" applyFont="1" applyFill="1"/>
    <xf numFmtId="42" fontId="5" fillId="2" borderId="0" xfId="4" applyFont="1" applyFill="1"/>
    <xf numFmtId="0" fontId="0" fillId="2" borderId="0" xfId="0" applyFill="1"/>
    <xf numFmtId="10" fontId="5" fillId="0" borderId="0" xfId="2" applyNumberFormat="1" applyFont="1" applyFill="1" applyAlignment="1">
      <alignment horizontal="center"/>
    </xf>
    <xf numFmtId="42" fontId="0" fillId="0" borderId="0" xfId="4" applyFont="1" applyAlignment="1">
      <alignment horizontal="center"/>
    </xf>
    <xf numFmtId="4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42" fontId="5" fillId="5" borderId="0" xfId="0" applyNumberFormat="1" applyFont="1" applyFill="1"/>
    <xf numFmtId="10" fontId="5" fillId="5" borderId="0" xfId="2" applyNumberFormat="1" applyFont="1" applyFill="1" applyAlignment="1">
      <alignment horizontal="center"/>
    </xf>
    <xf numFmtId="42" fontId="5" fillId="5" borderId="0" xfId="4" applyFont="1" applyFill="1" applyBorder="1"/>
    <xf numFmtId="0" fontId="5" fillId="5" borderId="0" xfId="0" applyFont="1" applyFill="1" applyAlignment="1">
      <alignment horizontal="center"/>
    </xf>
    <xf numFmtId="42" fontId="5" fillId="2" borderId="0" xfId="0" applyNumberFormat="1" applyFont="1" applyFill="1"/>
    <xf numFmtId="166" fontId="0" fillId="5" borderId="0" xfId="1" applyNumberFormat="1" applyFont="1" applyFill="1" applyBorder="1" applyAlignment="1">
      <alignment horizontal="center"/>
    </xf>
    <xf numFmtId="166" fontId="7" fillId="0" borderId="0" xfId="0" applyNumberFormat="1" applyFont="1"/>
    <xf numFmtId="10" fontId="7" fillId="0" borderId="0" xfId="2" applyNumberFormat="1" applyFont="1" applyBorder="1" applyAlignment="1">
      <alignment horizontal="center"/>
    </xf>
    <xf numFmtId="42" fontId="6" fillId="0" borderId="0" xfId="4" applyFont="1" applyFill="1"/>
    <xf numFmtId="10" fontId="7" fillId="0" borderId="0" xfId="2" applyNumberFormat="1" applyFont="1" applyAlignment="1">
      <alignment horizontal="center"/>
    </xf>
    <xf numFmtId="0" fontId="10" fillId="12" borderId="0" xfId="0" applyFont="1" applyFill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1" fillId="0" borderId="6" xfId="0" applyFont="1" applyBorder="1" applyAlignment="1">
      <alignment vertical="center"/>
    </xf>
    <xf numFmtId="41" fontId="11" fillId="0" borderId="6" xfId="5" applyFont="1" applyBorder="1" applyAlignment="1">
      <alignment horizontal="right" vertical="center"/>
    </xf>
    <xf numFmtId="10" fontId="12" fillId="0" borderId="6" xfId="2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41" fontId="12" fillId="0" borderId="7" xfId="5" applyFont="1" applyBorder="1" applyAlignment="1">
      <alignment horizontal="right" vertical="center"/>
    </xf>
    <xf numFmtId="41" fontId="12" fillId="0" borderId="7" xfId="5" applyFont="1" applyFill="1" applyBorder="1" applyAlignment="1">
      <alignment horizontal="right" vertical="center"/>
    </xf>
    <xf numFmtId="41" fontId="12" fillId="0" borderId="0" xfId="5" applyFont="1" applyBorder="1" applyAlignment="1">
      <alignment horizontal="right" vertical="center"/>
    </xf>
    <xf numFmtId="41" fontId="12" fillId="0" borderId="0" xfId="5" applyFont="1" applyFill="1" applyBorder="1" applyAlignment="1">
      <alignment horizontal="right" vertical="center"/>
    </xf>
    <xf numFmtId="41" fontId="11" fillId="0" borderId="6" xfId="5" applyFont="1" applyBorder="1" applyAlignment="1">
      <alignment vertical="center"/>
    </xf>
    <xf numFmtId="10" fontId="12" fillId="0" borderId="0" xfId="2" applyNumberFormat="1" applyFont="1" applyAlignment="1">
      <alignment vertical="center"/>
    </xf>
    <xf numFmtId="41" fontId="13" fillId="0" borderId="0" xfId="2" applyNumberFormat="1" applyFont="1" applyFill="1" applyAlignment="1">
      <alignment vertical="center"/>
    </xf>
    <xf numFmtId="41" fontId="11" fillId="0" borderId="0" xfId="5" applyFont="1" applyBorder="1" applyAlignment="1">
      <alignment horizontal="right" vertical="center"/>
    </xf>
    <xf numFmtId="41" fontId="13" fillId="0" borderId="0" xfId="0" applyNumberFormat="1" applyFont="1" applyAlignment="1">
      <alignment vertical="center"/>
    </xf>
    <xf numFmtId="41" fontId="12" fillId="0" borderId="0" xfId="5" applyFont="1" applyAlignment="1">
      <alignment horizontal="right" vertical="center"/>
    </xf>
    <xf numFmtId="41" fontId="12" fillId="0" borderId="0" xfId="5" applyFont="1" applyFill="1" applyAlignment="1">
      <alignment horizontal="right" vertical="center"/>
    </xf>
    <xf numFmtId="41" fontId="11" fillId="0" borderId="8" xfId="5" applyFont="1" applyBorder="1" applyAlignment="1">
      <alignment horizontal="right" vertical="center"/>
    </xf>
    <xf numFmtId="10" fontId="12" fillId="0" borderId="8" xfId="2" applyNumberFormat="1" applyFont="1" applyBorder="1" applyAlignment="1">
      <alignment vertical="center"/>
    </xf>
    <xf numFmtId="41" fontId="12" fillId="0" borderId="6" xfId="5" applyFont="1" applyBorder="1" applyAlignment="1">
      <alignment horizontal="right" vertical="center"/>
    </xf>
    <xf numFmtId="41" fontId="12" fillId="0" borderId="6" xfId="0" applyNumberFormat="1" applyFont="1" applyBorder="1" applyAlignment="1">
      <alignment vertical="center"/>
    </xf>
    <xf numFmtId="41" fontId="12" fillId="0" borderId="0" xfId="0" applyNumberFormat="1" applyFont="1" applyAlignment="1">
      <alignment vertical="center"/>
    </xf>
    <xf numFmtId="0" fontId="11" fillId="0" borderId="7" xfId="0" applyFont="1" applyBorder="1" applyAlignment="1">
      <alignment vertical="center"/>
    </xf>
    <xf numFmtId="41" fontId="11" fillId="0" borderId="7" xfId="5" applyFont="1" applyBorder="1" applyAlignment="1">
      <alignment horizontal="right" vertical="center"/>
    </xf>
    <xf numFmtId="10" fontId="12" fillId="0" borderId="7" xfId="2" applyNumberFormat="1" applyFont="1" applyBorder="1" applyAlignment="1">
      <alignment vertical="center"/>
    </xf>
    <xf numFmtId="41" fontId="12" fillId="0" borderId="0" xfId="5" applyFont="1" applyAlignment="1">
      <alignment horizontal="right"/>
    </xf>
    <xf numFmtId="41" fontId="12" fillId="0" borderId="0" xfId="0" applyNumberFormat="1" applyFont="1"/>
    <xf numFmtId="41" fontId="12" fillId="0" borderId="0" xfId="5" applyFont="1" applyBorder="1" applyAlignment="1">
      <alignment horizontal="right"/>
    </xf>
    <xf numFmtId="10" fontId="12" fillId="0" borderId="0" xfId="0" applyNumberFormat="1" applyFont="1"/>
    <xf numFmtId="41" fontId="12" fillId="0" borderId="0" xfId="5" applyFont="1" applyAlignment="1">
      <alignment vertical="center"/>
    </xf>
    <xf numFmtId="169" fontId="12" fillId="0" borderId="0" xfId="0" applyNumberFormat="1" applyFont="1"/>
    <xf numFmtId="41" fontId="12" fillId="0" borderId="0" xfId="5" applyFont="1" applyBorder="1" applyAlignment="1">
      <alignment vertical="center"/>
    </xf>
    <xf numFmtId="10" fontId="12" fillId="0" borderId="0" xfId="2" applyNumberFormat="1" applyFont="1"/>
    <xf numFmtId="172" fontId="13" fillId="0" borderId="0" xfId="0" applyNumberFormat="1" applyFont="1" applyAlignment="1">
      <alignment horizontal="left"/>
    </xf>
    <xf numFmtId="0" fontId="11" fillId="0" borderId="6" xfId="0" applyFont="1" applyBorder="1"/>
    <xf numFmtId="41" fontId="11" fillId="0" borderId="6" xfId="5" applyFont="1" applyBorder="1" applyAlignment="1">
      <alignment horizontal="right"/>
    </xf>
    <xf numFmtId="41" fontId="11" fillId="0" borderId="6" xfId="5" applyFont="1" applyFill="1" applyBorder="1" applyAlignment="1">
      <alignment horizontal="right"/>
    </xf>
    <xf numFmtId="41" fontId="11" fillId="0" borderId="0" xfId="5" applyFont="1" applyFill="1" applyBorder="1" applyAlignment="1">
      <alignment horizontal="right"/>
    </xf>
    <xf numFmtId="10" fontId="11" fillId="0" borderId="6" xfId="2" applyNumberFormat="1" applyFont="1" applyBorder="1"/>
    <xf numFmtId="10" fontId="12" fillId="0" borderId="6" xfId="2" applyNumberFormat="1" applyFont="1" applyBorder="1"/>
    <xf numFmtId="0" fontId="12" fillId="0" borderId="8" xfId="0" applyFont="1" applyBorder="1"/>
    <xf numFmtId="41" fontId="12" fillId="0" borderId="8" xfId="0" applyNumberFormat="1" applyFont="1" applyBorder="1"/>
    <xf numFmtId="10" fontId="12" fillId="0" borderId="8" xfId="2" applyNumberFormat="1" applyFont="1" applyBorder="1"/>
    <xf numFmtId="0" fontId="11" fillId="0" borderId="7" xfId="0" applyFont="1" applyBorder="1"/>
    <xf numFmtId="41" fontId="11" fillId="0" borderId="7" xfId="5" applyFont="1" applyBorder="1" applyAlignment="1">
      <alignment horizontal="right"/>
    </xf>
    <xf numFmtId="41" fontId="11" fillId="0" borderId="7" xfId="5" applyFont="1" applyFill="1" applyBorder="1" applyAlignment="1">
      <alignment horizontal="right"/>
    </xf>
    <xf numFmtId="10" fontId="11" fillId="0" borderId="7" xfId="2" applyNumberFormat="1" applyFont="1" applyBorder="1"/>
    <xf numFmtId="43" fontId="12" fillId="0" borderId="0" xfId="0" applyNumberFormat="1" applyFont="1"/>
    <xf numFmtId="41" fontId="11" fillId="0" borderId="0" xfId="0" applyNumberFormat="1" applyFont="1"/>
    <xf numFmtId="41" fontId="11" fillId="0" borderId="0" xfId="5" applyFont="1" applyFill="1" applyAlignment="1">
      <alignment horizontal="right"/>
    </xf>
    <xf numFmtId="41" fontId="12" fillId="0" borderId="6" xfId="5" applyFont="1" applyBorder="1" applyAlignment="1">
      <alignment horizontal="right"/>
    </xf>
    <xf numFmtId="41" fontId="13" fillId="0" borderId="0" xfId="5" applyFont="1" applyFill="1" applyBorder="1" applyAlignment="1">
      <alignment horizontal="right"/>
    </xf>
    <xf numFmtId="41" fontId="12" fillId="0" borderId="0" xfId="5" applyFont="1" applyFill="1" applyAlignment="1">
      <alignment horizontal="right"/>
    </xf>
    <xf numFmtId="0" fontId="14" fillId="0" borderId="0" xfId="0" applyFont="1"/>
    <xf numFmtId="173" fontId="12" fillId="0" borderId="0" xfId="0" applyNumberFormat="1" applyFont="1" applyAlignment="1">
      <alignment horizontal="right"/>
    </xf>
    <xf numFmtId="169" fontId="11" fillId="0" borderId="6" xfId="0" applyNumberFormat="1" applyFont="1" applyBorder="1"/>
    <xf numFmtId="169" fontId="11" fillId="0" borderId="0" xfId="0" applyNumberFormat="1" applyFont="1"/>
    <xf numFmtId="2" fontId="12" fillId="0" borderId="0" xfId="0" applyNumberFormat="1" applyFont="1"/>
    <xf numFmtId="1" fontId="12" fillId="0" borderId="0" xfId="0" applyNumberFormat="1" applyFont="1"/>
    <xf numFmtId="167" fontId="12" fillId="0" borderId="0" xfId="2" applyNumberFormat="1" applyFont="1"/>
    <xf numFmtId="167" fontId="12" fillId="0" borderId="0" xfId="2" applyNumberFormat="1" applyFont="1" applyFill="1"/>
    <xf numFmtId="169" fontId="12" fillId="0" borderId="0" xfId="2" applyNumberFormat="1" applyFont="1" applyFill="1"/>
    <xf numFmtId="169" fontId="12" fillId="0" borderId="0" xfId="2" applyNumberFormat="1" applyFont="1"/>
    <xf numFmtId="0" fontId="12" fillId="0" borderId="0" xfId="0" quotePrefix="1" applyFont="1"/>
    <xf numFmtId="9" fontId="12" fillId="0" borderId="0" xfId="2" applyFont="1"/>
    <xf numFmtId="9" fontId="12" fillId="0" borderId="0" xfId="2" applyFont="1" applyFill="1"/>
    <xf numFmtId="10" fontId="12" fillId="0" borderId="0" xfId="2" applyNumberFormat="1" applyFont="1" applyFill="1"/>
    <xf numFmtId="170" fontId="12" fillId="0" borderId="0" xfId="0" applyNumberFormat="1" applyFont="1"/>
    <xf numFmtId="2" fontId="13" fillId="0" borderId="0" xfId="0" applyNumberFormat="1" applyFont="1"/>
    <xf numFmtId="10" fontId="13" fillId="0" borderId="0" xfId="0" applyNumberFormat="1" applyFont="1"/>
    <xf numFmtId="167" fontId="12" fillId="0" borderId="0" xfId="0" applyNumberFormat="1" applyFont="1"/>
    <xf numFmtId="171" fontId="12" fillId="0" borderId="0" xfId="0" applyNumberFormat="1" applyFont="1"/>
    <xf numFmtId="0" fontId="15" fillId="12" borderId="0" xfId="0" applyFont="1" applyFill="1"/>
    <xf numFmtId="0" fontId="15" fillId="12" borderId="0" xfId="0" applyFont="1" applyFill="1" applyAlignment="1">
      <alignment horizontal="center"/>
    </xf>
    <xf numFmtId="0" fontId="16" fillId="0" borderId="0" xfId="0" applyFont="1"/>
    <xf numFmtId="0" fontId="15" fillId="12" borderId="0" xfId="0" applyFont="1" applyFill="1" applyAlignment="1">
      <alignment horizontal="center" vertical="center"/>
    </xf>
    <xf numFmtId="0" fontId="15" fillId="12" borderId="0" xfId="0" applyFont="1" applyFill="1" applyAlignment="1">
      <alignment vertical="center"/>
    </xf>
    <xf numFmtId="0" fontId="16" fillId="0" borderId="0" xfId="0" applyFont="1" applyAlignment="1">
      <alignment horizontal="right"/>
    </xf>
    <xf numFmtId="41" fontId="16" fillId="0" borderId="0" xfId="0" applyNumberFormat="1" applyFont="1" applyAlignment="1">
      <alignment horizontal="right"/>
    </xf>
    <xf numFmtId="41" fontId="16" fillId="0" borderId="0" xfId="0" applyNumberFormat="1" applyFont="1"/>
    <xf numFmtId="41" fontId="16" fillId="0" borderId="0" xfId="5" applyFont="1" applyBorder="1" applyAlignment="1">
      <alignment horizontal="right" vertical="center"/>
    </xf>
    <xf numFmtId="41" fontId="16" fillId="0" borderId="0" xfId="5" applyFont="1" applyFill="1" applyBorder="1" applyAlignment="1">
      <alignment horizontal="right" vertical="center"/>
    </xf>
    <xf numFmtId="0" fontId="10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7" fontId="15" fillId="12" borderId="0" xfId="0" applyNumberFormat="1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22" fontId="0" fillId="0" borderId="0" xfId="0" applyNumberFormat="1"/>
    <xf numFmtId="166" fontId="6" fillId="0" borderId="0" xfId="0" applyNumberFormat="1" applyFont="1"/>
    <xf numFmtId="0" fontId="11" fillId="0" borderId="8" xfId="0" applyFont="1" applyBorder="1" applyAlignment="1">
      <alignment vertical="center"/>
    </xf>
    <xf numFmtId="0" fontId="5" fillId="0" borderId="0" xfId="0" applyFont="1"/>
    <xf numFmtId="0" fontId="15" fillId="12" borderId="0" xfId="0" applyFont="1" applyFill="1" applyAlignment="1">
      <alignment horizontal="left"/>
    </xf>
    <xf numFmtId="0" fontId="15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2" fillId="12" borderId="0" xfId="0" applyFont="1" applyFill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169" fontId="16" fillId="0" borderId="0" xfId="0" applyNumberFormat="1" applyFont="1" applyAlignment="1">
      <alignment horizontal="left"/>
    </xf>
    <xf numFmtId="41" fontId="12" fillId="5" borderId="0" xfId="5" applyFont="1" applyFill="1" applyBorder="1" applyAlignment="1">
      <alignment horizontal="right" vertical="center"/>
    </xf>
    <xf numFmtId="174" fontId="12" fillId="0" borderId="0" xfId="0" applyNumberFormat="1" applyFont="1" applyAlignment="1">
      <alignment horizontal="right"/>
    </xf>
    <xf numFmtId="0" fontId="16" fillId="12" borderId="0" xfId="0" applyFont="1" applyFill="1" applyAlignment="1">
      <alignment horizontal="left"/>
    </xf>
    <xf numFmtId="0" fontId="18" fillId="0" borderId="0" xfId="0" applyFont="1"/>
    <xf numFmtId="42" fontId="0" fillId="13" borderId="0" xfId="0" applyNumberFormat="1" applyFill="1"/>
    <xf numFmtId="10" fontId="12" fillId="5" borderId="0" xfId="2" applyNumberFormat="1" applyFont="1" applyFill="1"/>
    <xf numFmtId="2" fontId="12" fillId="5" borderId="0" xfId="0" applyNumberFormat="1" applyFont="1" applyFill="1"/>
    <xf numFmtId="175" fontId="12" fillId="0" borderId="0" xfId="0" applyNumberFormat="1" applyFont="1"/>
    <xf numFmtId="0" fontId="12" fillId="12" borderId="0" xfId="0" applyFont="1" applyFill="1" applyAlignment="1">
      <alignment horizontal="left"/>
    </xf>
    <xf numFmtId="0" fontId="5" fillId="5" borderId="0" xfId="0" applyFont="1" applyFill="1"/>
    <xf numFmtId="42" fontId="0" fillId="5" borderId="0" xfId="0" applyNumberFormat="1" applyFill="1"/>
    <xf numFmtId="176" fontId="0" fillId="5" borderId="0" xfId="0" applyNumberFormat="1" applyFill="1"/>
    <xf numFmtId="176" fontId="0" fillId="0" borderId="0" xfId="0" applyNumberFormat="1"/>
    <xf numFmtId="176" fontId="0" fillId="5" borderId="0" xfId="4" applyNumberFormat="1" applyFont="1" applyFill="1"/>
    <xf numFmtId="176" fontId="0" fillId="0" borderId="0" xfId="4" applyNumberFormat="1" applyFont="1"/>
    <xf numFmtId="176" fontId="0" fillId="13" borderId="0" xfId="0" applyNumberFormat="1" applyFill="1"/>
    <xf numFmtId="176" fontId="8" fillId="13" borderId="0" xfId="0" applyNumberFormat="1" applyFont="1" applyFill="1"/>
    <xf numFmtId="176" fontId="8" fillId="0" borderId="0" xfId="0" applyNumberFormat="1" applyFont="1"/>
    <xf numFmtId="42" fontId="17" fillId="13" borderId="0" xfId="0" applyNumberFormat="1" applyFont="1" applyFill="1"/>
    <xf numFmtId="176" fontId="17" fillId="13" borderId="0" xfId="0" applyNumberFormat="1" applyFont="1" applyFill="1"/>
    <xf numFmtId="176" fontId="17" fillId="5" borderId="0" xfId="0" applyNumberFormat="1" applyFont="1" applyFill="1"/>
    <xf numFmtId="177" fontId="20" fillId="0" borderId="0" xfId="0" applyNumberFormat="1" applyFont="1"/>
    <xf numFmtId="178" fontId="19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10" fontId="12" fillId="0" borderId="0" xfId="2" applyNumberFormat="1" applyFont="1" applyBorder="1" applyAlignment="1">
      <alignment vertical="center"/>
    </xf>
    <xf numFmtId="0" fontId="12" fillId="14" borderId="0" xfId="0" applyFont="1" applyFill="1"/>
    <xf numFmtId="0" fontId="12" fillId="14" borderId="0" xfId="0" applyFont="1" applyFill="1" applyAlignment="1">
      <alignment horizontal="left"/>
    </xf>
    <xf numFmtId="10" fontId="13" fillId="14" borderId="0" xfId="0" applyNumberFormat="1" applyFont="1" applyFill="1"/>
    <xf numFmtId="0" fontId="3" fillId="14" borderId="0" xfId="3" applyFill="1" applyAlignment="1">
      <alignment horizontal="left"/>
    </xf>
    <xf numFmtId="2" fontId="13" fillId="14" borderId="0" xfId="0" applyNumberFormat="1" applyFont="1" applyFill="1"/>
    <xf numFmtId="2" fontId="12" fillId="14" borderId="0" xfId="0" applyNumberFormat="1" applyFont="1" applyFill="1"/>
    <xf numFmtId="10" fontId="12" fillId="14" borderId="0" xfId="0" applyNumberFormat="1" applyFont="1" applyFill="1"/>
    <xf numFmtId="179" fontId="12" fillId="0" borderId="0" xfId="2" applyNumberFormat="1" applyFont="1"/>
    <xf numFmtId="180" fontId="12" fillId="0" borderId="0" xfId="0" applyNumberFormat="1" applyFont="1"/>
    <xf numFmtId="0" fontId="21" fillId="15" borderId="0" xfId="0" applyFont="1" applyFill="1" applyAlignment="1">
      <alignment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left" vertical="center"/>
    </xf>
    <xf numFmtId="169" fontId="0" fillId="0" borderId="0" xfId="0" applyNumberFormat="1"/>
    <xf numFmtId="0" fontId="0" fillId="16" borderId="0" xfId="0" applyFill="1" applyAlignment="1">
      <alignment horizontal="center"/>
    </xf>
    <xf numFmtId="42" fontId="0" fillId="16" borderId="0" xfId="0" applyNumberFormat="1" applyFill="1" applyAlignment="1">
      <alignment horizontal="center"/>
    </xf>
    <xf numFmtId="0" fontId="0" fillId="0" borderId="9" xfId="0" applyBorder="1"/>
    <xf numFmtId="42" fontId="0" fillId="16" borderId="0" xfId="4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176" fontId="22" fillId="0" borderId="0" xfId="0" applyNumberFormat="1" applyFont="1"/>
    <xf numFmtId="0" fontId="8" fillId="0" borderId="0" xfId="0" applyFont="1" applyAlignment="1">
      <alignment horizontal="left"/>
    </xf>
    <xf numFmtId="164" fontId="0" fillId="0" borderId="0" xfId="0" applyNumberFormat="1"/>
    <xf numFmtId="0" fontId="17" fillId="0" borderId="10" xfId="0" applyFont="1" applyBorder="1"/>
    <xf numFmtId="0" fontId="8" fillId="0" borderId="0" xfId="0" applyFont="1" applyAlignment="1">
      <alignment horizontal="left" vertical="center"/>
    </xf>
    <xf numFmtId="41" fontId="8" fillId="5" borderId="0" xfId="5" applyFont="1" applyFill="1" applyBorder="1" applyAlignment="1">
      <alignment horizontal="right" vertical="center"/>
    </xf>
    <xf numFmtId="0" fontId="8" fillId="0" borderId="0" xfId="0" applyFont="1"/>
    <xf numFmtId="181" fontId="8" fillId="0" borderId="0" xfId="0" applyNumberFormat="1" applyFont="1"/>
    <xf numFmtId="41" fontId="11" fillId="0" borderId="6" xfId="5" applyFont="1" applyFill="1" applyBorder="1" applyAlignment="1">
      <alignment horizontal="right" vertical="center"/>
    </xf>
    <xf numFmtId="0" fontId="12" fillId="2" borderId="0" xfId="0" applyFont="1" applyFill="1"/>
    <xf numFmtId="0" fontId="11" fillId="0" borderId="0" xfId="0" applyFont="1" applyAlignment="1">
      <alignment vertical="center"/>
    </xf>
    <xf numFmtId="42" fontId="12" fillId="5" borderId="0" xfId="4" applyFont="1" applyFill="1"/>
    <xf numFmtId="172" fontId="12" fillId="0" borderId="0" xfId="0" applyNumberFormat="1" applyFont="1"/>
    <xf numFmtId="41" fontId="11" fillId="5" borderId="6" xfId="5" applyFont="1" applyFill="1" applyBorder="1" applyAlignment="1">
      <alignment horizontal="right" vertical="center"/>
    </xf>
    <xf numFmtId="177" fontId="12" fillId="0" borderId="0" xfId="0" applyNumberFormat="1" applyFont="1"/>
    <xf numFmtId="182" fontId="24" fillId="0" borderId="0" xfId="1" applyNumberFormat="1" applyFont="1" applyBorder="1" applyAlignment="1">
      <alignment horizontal="right" vertical="center"/>
    </xf>
    <xf numFmtId="182" fontId="0" fillId="0" borderId="0" xfId="1" applyNumberFormat="1" applyFont="1"/>
    <xf numFmtId="182" fontId="23" fillId="0" borderId="0" xfId="1" applyNumberFormat="1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82" fontId="2" fillId="0" borderId="0" xfId="1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5" fillId="12" borderId="0" xfId="0" applyFont="1" applyFill="1" applyAlignment="1">
      <alignment horizontal="center"/>
    </xf>
    <xf numFmtId="0" fontId="8" fillId="0" borderId="0" xfId="0" applyFont="1" applyAlignment="1">
      <alignment vertical="center"/>
    </xf>
    <xf numFmtId="41" fontId="11" fillId="0" borderId="7" xfId="5" applyFont="1" applyFill="1" applyBorder="1" applyAlignment="1">
      <alignment horizontal="right" vertical="center"/>
    </xf>
    <xf numFmtId="0" fontId="0" fillId="0" borderId="0" xfId="0" applyFill="1"/>
    <xf numFmtId="41" fontId="11" fillId="0" borderId="6" xfId="5" applyFont="1" applyFill="1" applyBorder="1" applyAlignment="1">
      <alignment vertical="center"/>
    </xf>
    <xf numFmtId="0" fontId="17" fillId="17" borderId="0" xfId="0" applyFont="1" applyFill="1" applyBorder="1" applyAlignment="1">
      <alignment horizontal="left"/>
    </xf>
    <xf numFmtId="0" fontId="0" fillId="0" borderId="0" xfId="0" applyBorder="1"/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17" borderId="0" xfId="0" applyFill="1" applyBorder="1" applyAlignment="1">
      <alignment horizontal="left"/>
    </xf>
    <xf numFmtId="0" fontId="17" fillId="17" borderId="0" xfId="0" applyFont="1" applyFill="1" applyBorder="1"/>
  </cellXfs>
  <cellStyles count="6">
    <cellStyle name="Hipervínculo" xfId="3" builtinId="8"/>
    <cellStyle name="Millares [0]" xfId="5" builtinId="6"/>
    <cellStyle name="Moneda" xfId="1" builtinId="4"/>
    <cellStyle name="Moneda [0]" xfId="4" builtinId="7"/>
    <cellStyle name="Normal" xfId="0" builtinId="0"/>
    <cellStyle name="Porcentaje" xfId="2" builtinId="5"/>
  </cellStyles>
  <dxfs count="67">
    <dxf>
      <font>
        <color rgb="FFFF0000"/>
      </font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27" formatCode="d/mm/yy\ h:mm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Tablero!$D$1</c:f>
              <c:strCache>
                <c:ptCount val="1"/>
                <c:pt idx="0">
                  <c:v> INGRESOS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Tablero!$D$2:$D$59</c:f>
              <c:numCache>
                <c:formatCode>_-"$"\ * #,##0_-;\-"$"\ * #,##0_-;_-"$"\ * "-"??_-;_-@_-</c:formatCode>
                <c:ptCount val="12"/>
                <c:pt idx="0">
                  <c:v>9492600</c:v>
                </c:pt>
                <c:pt idx="1">
                  <c:v>6436600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FF-194D-AB1C-742BCFAF519E}"/>
            </c:ext>
          </c:extLst>
        </c:ser>
        <c:ser>
          <c:idx val="0"/>
          <c:order val="1"/>
          <c:tx>
            <c:strRef>
              <c:f>Tablero!$F$1</c:f>
              <c:strCache>
                <c:ptCount val="1"/>
                <c:pt idx="0">
                  <c:v> UTILIDAD OPERACIONAL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Tablero!$F$2:$F$59</c:f>
              <c:numCache>
                <c:formatCode>_-"$"\ * #,##0_-;\-"$"\ * #,##0_-;_-"$"\ * "-"??_-;_-@_-</c:formatCode>
                <c:ptCount val="12"/>
                <c:pt idx="0">
                  <c:v>8560258</c:v>
                </c:pt>
                <c:pt idx="1">
                  <c:v>-5553897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2-4AE1-9E1B-3FC0997ACE9B}"/>
            </c:ext>
          </c:extLst>
        </c:ser>
        <c:ser>
          <c:idx val="1"/>
          <c:order val="2"/>
          <c:tx>
            <c:strRef>
              <c:f>Tablero!$H$1</c:f>
              <c:strCache>
                <c:ptCount val="1"/>
                <c:pt idx="0">
                  <c:v> UTILIDAD NETA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Tablero!$H$2:$H$59</c:f>
              <c:numCache>
                <c:formatCode>_-"$"\ * #,##0_-;\-"$"\ * #,##0_-;_-"$"\ * "-"??_-;_-@_-</c:formatCode>
                <c:ptCount val="12"/>
                <c:pt idx="0">
                  <c:v>1809984.53</c:v>
                </c:pt>
                <c:pt idx="1">
                  <c:v>-8677197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2-4AE1-9E1B-3FC0997A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537103"/>
        <c:axId val="770668351"/>
      </c:barChart>
      <c:dateAx>
        <c:axId val="107953710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0668351"/>
        <c:crosses val="autoZero"/>
        <c:auto val="1"/>
        <c:lblOffset val="100"/>
        <c:baseTimeUnit val="months"/>
      </c:dateAx>
      <c:valAx>
        <c:axId val="7706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953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Tablero!$H$1</c:f>
              <c:strCache>
                <c:ptCount val="1"/>
                <c:pt idx="0">
                  <c:v> UTILIDAD NETA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Tablero!$H$2:$H$59</c:f>
              <c:numCache>
                <c:formatCode>_-"$"\ * #,##0_-;\-"$"\ * #,##0_-;_-"$"\ * "-"??_-;_-@_-</c:formatCode>
                <c:ptCount val="12"/>
                <c:pt idx="0">
                  <c:v>1809984.53</c:v>
                </c:pt>
                <c:pt idx="1">
                  <c:v>-8677197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5-4A17-9CB1-2062D753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537103"/>
        <c:axId val="770668351"/>
      </c:barChart>
      <c:lineChart>
        <c:grouping val="standard"/>
        <c:varyColors val="0"/>
        <c:ser>
          <c:idx val="3"/>
          <c:order val="1"/>
          <c:tx>
            <c:strRef>
              <c:f>Tablero!$I$1</c:f>
              <c:strCache>
                <c:ptCount val="1"/>
                <c:pt idx="0">
                  <c:v> UTILIDAD ACUMULADA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Tablero!$I$2:$I$59</c:f>
              <c:numCache>
                <c:formatCode>_-"$"\ * #,##0_-;\-"$"\ * #,##0_-;_-"$"\ * "-"??_-;_-@_-</c:formatCode>
                <c:ptCount val="12"/>
                <c:pt idx="0">
                  <c:v>-36391019.379999988</c:v>
                </c:pt>
                <c:pt idx="1">
                  <c:v>-34581034.849999987</c:v>
                </c:pt>
                <c:pt idx="2">
                  <c:v>-43258231.849999987</c:v>
                </c:pt>
                <c:pt idx="3">
                  <c:v>-43258231.849999987</c:v>
                </c:pt>
                <c:pt idx="4">
                  <c:v>-43258231.849999987</c:v>
                </c:pt>
                <c:pt idx="5">
                  <c:v>-43258231.849999987</c:v>
                </c:pt>
                <c:pt idx="6">
                  <c:v>-43258231.849999987</c:v>
                </c:pt>
                <c:pt idx="7">
                  <c:v>-43258231.849999987</c:v>
                </c:pt>
                <c:pt idx="8">
                  <c:v>-43258231.849999987</c:v>
                </c:pt>
                <c:pt idx="9">
                  <c:v>-43258231.849999987</c:v>
                </c:pt>
                <c:pt idx="10">
                  <c:v>-43258231.849999987</c:v>
                </c:pt>
                <c:pt idx="11">
                  <c:v>-43258231.849999987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C5-4A17-9CB1-2062D753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67679"/>
        <c:axId val="147571999"/>
      </c:lineChart>
      <c:dateAx>
        <c:axId val="107953710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0668351"/>
        <c:crosses val="autoZero"/>
        <c:auto val="1"/>
        <c:lblOffset val="100"/>
        <c:baseTimeUnit val="months"/>
      </c:dateAx>
      <c:valAx>
        <c:axId val="7706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9537103"/>
        <c:crosses val="autoZero"/>
        <c:crossBetween val="between"/>
      </c:valAx>
      <c:valAx>
        <c:axId val="147571999"/>
        <c:scaling>
          <c:orientation val="minMax"/>
        </c:scaling>
        <c:delete val="0"/>
        <c:axPos val="r"/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567679"/>
        <c:crosses val="max"/>
        <c:crossBetween val="between"/>
      </c:valAx>
      <c:dateAx>
        <c:axId val="147567679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757199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Tablero!$J$1</c:f>
              <c:strCache>
                <c:ptCount val="1"/>
                <c:pt idx="0">
                  <c:v> DEUDA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Tablero!$C$2:$C$60</c:f>
              <c:numCache>
                <c:formatCode>m/d/yy</c:formatCode>
                <c:ptCount val="13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Tablero!$J$2:$J$59</c:f>
              <c:numCache>
                <c:formatCode>_-"$"\ * #,##0_-;\-"$"\ * #,##0_-;_-"$"\ * "-"??_-;_-@_-</c:formatCode>
                <c:ptCount val="12"/>
                <c:pt idx="0">
                  <c:v>83977438.66399999</c:v>
                </c:pt>
                <c:pt idx="1">
                  <c:v>83977438.66399999</c:v>
                </c:pt>
                <c:pt idx="2">
                  <c:v>83977438.66399999</c:v>
                </c:pt>
                <c:pt idx="3">
                  <c:v>83977438.66399999</c:v>
                </c:pt>
                <c:pt idx="4">
                  <c:v>83977438.66399999</c:v>
                </c:pt>
                <c:pt idx="5">
                  <c:v>83977438.66399999</c:v>
                </c:pt>
                <c:pt idx="6">
                  <c:v>83977438.66399999</c:v>
                </c:pt>
                <c:pt idx="7">
                  <c:v>83977438.66399999</c:v>
                </c:pt>
                <c:pt idx="8">
                  <c:v>83977438.66399999</c:v>
                </c:pt>
                <c:pt idx="9">
                  <c:v>83977438.66399999</c:v>
                </c:pt>
                <c:pt idx="10">
                  <c:v>83977438.66399999</c:v>
                </c:pt>
                <c:pt idx="11">
                  <c:v>83977438.66399999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82-4214-9072-F8F1E70D0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537103"/>
        <c:axId val="770668351"/>
      </c:lineChart>
      <c:dateAx>
        <c:axId val="107953710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0668351"/>
        <c:crosses val="autoZero"/>
        <c:auto val="1"/>
        <c:lblOffset val="100"/>
        <c:baseTimeUnit val="months"/>
      </c:dateAx>
      <c:valAx>
        <c:axId val="7706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953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Tablero!$D$1</c:f>
              <c:strCache>
                <c:ptCount val="1"/>
                <c:pt idx="0">
                  <c:v> INGRESOS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Tablero!$D$2:$D$59</c:f>
              <c:numCache>
                <c:formatCode>_-"$"\ * #,##0_-;\-"$"\ * #,##0_-;_-"$"\ * "-"??_-;_-@_-</c:formatCode>
                <c:ptCount val="12"/>
                <c:pt idx="0">
                  <c:v>9492600</c:v>
                </c:pt>
                <c:pt idx="1">
                  <c:v>6436600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F-409D-AC00-21A29D2EC130}"/>
            </c:ext>
          </c:extLst>
        </c:ser>
        <c:ser>
          <c:idx val="0"/>
          <c:order val="1"/>
          <c:tx>
            <c:strRef>
              <c:f>Tablero!$F$1</c:f>
              <c:strCache>
                <c:ptCount val="1"/>
                <c:pt idx="0">
                  <c:v> UTILIDAD OPERACIONAL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Tablero!$F$2:$F$59</c:f>
              <c:numCache>
                <c:formatCode>_-"$"\ * #,##0_-;\-"$"\ * #,##0_-;_-"$"\ * "-"??_-;_-@_-</c:formatCode>
                <c:ptCount val="12"/>
                <c:pt idx="0">
                  <c:v>8560258</c:v>
                </c:pt>
                <c:pt idx="1">
                  <c:v>-5553897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F-409D-AC00-21A29D2EC130}"/>
            </c:ext>
          </c:extLst>
        </c:ser>
        <c:ser>
          <c:idx val="1"/>
          <c:order val="2"/>
          <c:tx>
            <c:strRef>
              <c:f>Tablero!$H$1</c:f>
              <c:strCache>
                <c:ptCount val="1"/>
                <c:pt idx="0">
                  <c:v> UTILIDAD NETA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Tablero!$H$2:$H$59</c:f>
              <c:numCache>
                <c:formatCode>_-"$"\ * #,##0_-;\-"$"\ * #,##0_-;_-"$"\ * "-"??_-;_-@_-</c:formatCode>
                <c:ptCount val="12"/>
                <c:pt idx="0">
                  <c:v>1809984.53</c:v>
                </c:pt>
                <c:pt idx="1">
                  <c:v>-8677197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F-409D-AC00-21A29D2EC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537103"/>
        <c:axId val="770668351"/>
      </c:barChart>
      <c:lineChart>
        <c:grouping val="standard"/>
        <c:varyColors val="0"/>
        <c:ser>
          <c:idx val="3"/>
          <c:order val="3"/>
          <c:tx>
            <c:strRef>
              <c:f>Tablero!$I$1</c:f>
              <c:strCache>
                <c:ptCount val="1"/>
                <c:pt idx="0">
                  <c:v> UTILIDAD ACUMULADA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Tablero!$I$2:$I$59</c:f>
              <c:numCache>
                <c:formatCode>_-"$"\ * #,##0_-;\-"$"\ * #,##0_-;_-"$"\ * "-"??_-;_-@_-</c:formatCode>
                <c:ptCount val="12"/>
                <c:pt idx="0">
                  <c:v>-36391019.379999988</c:v>
                </c:pt>
                <c:pt idx="1">
                  <c:v>-34581034.849999987</c:v>
                </c:pt>
                <c:pt idx="2">
                  <c:v>-43258231.849999987</c:v>
                </c:pt>
                <c:pt idx="3">
                  <c:v>-43258231.849999987</c:v>
                </c:pt>
                <c:pt idx="4">
                  <c:v>-43258231.849999987</c:v>
                </c:pt>
                <c:pt idx="5">
                  <c:v>-43258231.849999987</c:v>
                </c:pt>
                <c:pt idx="6">
                  <c:v>-43258231.849999987</c:v>
                </c:pt>
                <c:pt idx="7">
                  <c:v>-43258231.849999987</c:v>
                </c:pt>
                <c:pt idx="8">
                  <c:v>-43258231.849999987</c:v>
                </c:pt>
                <c:pt idx="9">
                  <c:v>-43258231.849999987</c:v>
                </c:pt>
                <c:pt idx="10">
                  <c:v>-43258231.849999987</c:v>
                </c:pt>
                <c:pt idx="11">
                  <c:v>-43258231.849999987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7F-409D-AC00-21A29D2EC130}"/>
            </c:ext>
          </c:extLst>
        </c:ser>
        <c:ser>
          <c:idx val="4"/>
          <c:order val="4"/>
          <c:tx>
            <c:strRef>
              <c:f>Tablero!$J$1</c:f>
              <c:strCache>
                <c:ptCount val="1"/>
                <c:pt idx="0">
                  <c:v> DEUDA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Tablero!$C$2:$C$59</c:f>
              <c:numCache>
                <c:formatCode>m/d/yy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Tablero!$J$2:$J$59</c:f>
              <c:numCache>
                <c:formatCode>_-"$"\ * #,##0_-;\-"$"\ * #,##0_-;_-"$"\ * "-"??_-;_-@_-</c:formatCode>
                <c:ptCount val="12"/>
                <c:pt idx="0">
                  <c:v>83977438.66399999</c:v>
                </c:pt>
                <c:pt idx="1">
                  <c:v>83977438.66399999</c:v>
                </c:pt>
                <c:pt idx="2">
                  <c:v>83977438.66399999</c:v>
                </c:pt>
                <c:pt idx="3">
                  <c:v>83977438.66399999</c:v>
                </c:pt>
                <c:pt idx="4">
                  <c:v>83977438.66399999</c:v>
                </c:pt>
                <c:pt idx="5">
                  <c:v>83977438.66399999</c:v>
                </c:pt>
                <c:pt idx="6">
                  <c:v>83977438.66399999</c:v>
                </c:pt>
                <c:pt idx="7">
                  <c:v>83977438.66399999</c:v>
                </c:pt>
                <c:pt idx="8">
                  <c:v>83977438.66399999</c:v>
                </c:pt>
                <c:pt idx="9">
                  <c:v>83977438.66399999</c:v>
                </c:pt>
                <c:pt idx="10">
                  <c:v>83977438.66399999</c:v>
                </c:pt>
                <c:pt idx="11">
                  <c:v>83977438.66399999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7F-409D-AC00-21A29D2EC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567679"/>
        <c:axId val="147571999"/>
      </c:lineChart>
      <c:dateAx>
        <c:axId val="107953710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0668351"/>
        <c:crosses val="autoZero"/>
        <c:auto val="1"/>
        <c:lblOffset val="100"/>
        <c:baseTimeUnit val="months"/>
      </c:dateAx>
      <c:valAx>
        <c:axId val="7706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9537103"/>
        <c:crosses val="autoZero"/>
        <c:crossBetween val="between"/>
      </c:valAx>
      <c:valAx>
        <c:axId val="147571999"/>
        <c:scaling>
          <c:orientation val="minMax"/>
        </c:scaling>
        <c:delete val="0"/>
        <c:axPos val="r"/>
        <c:numFmt formatCode="_-&quot;$&quot;\ * #,##0_-;\-&quot;$&quot;\ * #,##0_-;_-&quot;$&quot;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567679"/>
        <c:crosses val="max"/>
        <c:crossBetween val="between"/>
      </c:valAx>
      <c:dateAx>
        <c:axId val="147567679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4757199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575269</xdr:rowOff>
    </xdr:from>
    <xdr:to>
      <xdr:col>7</xdr:col>
      <xdr:colOff>493568</xdr:colOff>
      <xdr:row>65</xdr:row>
      <xdr:rowOff>181841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1E77AD-D451-6B9D-76F8-58C04B38C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484910</xdr:colOff>
      <xdr:row>0</xdr:row>
      <xdr:rowOff>573007</xdr:rowOff>
    </xdr:from>
    <xdr:to>
      <xdr:col>14</xdr:col>
      <xdr:colOff>277091</xdr:colOff>
      <xdr:row>65</xdr:row>
      <xdr:rowOff>181841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0958AF-7F8F-450F-90BC-4958652D5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14111</xdr:colOff>
      <xdr:row>66</xdr:row>
      <xdr:rowOff>678</xdr:rowOff>
    </xdr:from>
    <xdr:to>
      <xdr:col>7</xdr:col>
      <xdr:colOff>480541</xdr:colOff>
      <xdr:row>83</xdr:row>
      <xdr:rowOff>1137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C1F993-6542-482D-AE6A-AA609F944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486262</xdr:colOff>
      <xdr:row>65</xdr:row>
      <xdr:rowOff>187983</xdr:rowOff>
    </xdr:from>
    <xdr:to>
      <xdr:col>14</xdr:col>
      <xdr:colOff>277550</xdr:colOff>
      <xdr:row>83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537505-5D42-49FC-B9CC-1EC2A5592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C8C0AF5-804C-F04C-9973-22B90C9256BE}" autoFormatId="16" applyNumberFormats="0" applyBorderFormats="0" applyFontFormats="0" applyPatternFormats="0" applyAlignmentFormats="0" applyWidthHeightFormats="0">
  <queryTableRefresh nextId="16">
    <queryTableFields count="15">
      <queryTableField id="1" name="account" tableColumnId="1"/>
      <queryTableField id="2" name="category" tableColumnId="2"/>
      <queryTableField id="3" name="currency" tableColumnId="3"/>
      <queryTableField id="4" name="amount" tableColumnId="4"/>
      <queryTableField id="5" name="ref_currency_amount" tableColumnId="5"/>
      <queryTableField id="6" name="type" tableColumnId="6"/>
      <queryTableField id="7" name="payment_type" tableColumnId="7"/>
      <queryTableField id="8" name="note" tableColumnId="8"/>
      <queryTableField id="9" name="date" tableColumnId="9"/>
      <queryTableField id="10" name="transfer" tableColumnId="10"/>
      <queryTableField id="11" name="payee" tableColumnId="11"/>
      <queryTableField id="12" name="labels" tableColumnId="12"/>
      <queryTableField id="13" name="día" tableColumnId="13"/>
      <queryTableField id="14" name="mes" tableColumnId="14"/>
      <queryTableField id="15" name="añ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2D5E36-87AB-584B-AC24-E8A569D26651}" name="wallet_records" displayName="wallet_records" ref="A1:O1303" tableType="queryTable" totalsRowShown="0">
  <autoFilter ref="A1:O1303" xr:uid="{E02D5E36-87AB-584B-AC24-E8A569D26651}"/>
  <sortState xmlns:xlrd2="http://schemas.microsoft.com/office/spreadsheetml/2017/richdata2" ref="A2:O1032">
    <sortCondition descending="1" ref="O1:O1303"/>
  </sortState>
  <tableColumns count="15">
    <tableColumn id="1" xr3:uid="{7815E99C-BB51-7E44-A02A-427BDBE03A07}" uniqueName="1" name="account" queryTableFieldId="1" dataDxfId="66"/>
    <tableColumn id="2" xr3:uid="{0F5110D1-D3A7-F34E-9200-09A84AD076A8}" uniqueName="2" name="category" queryTableFieldId="2" dataDxfId="65"/>
    <tableColumn id="3" xr3:uid="{9C1B9FCE-1BDD-714D-993E-4F4D70210C1B}" uniqueName="3" name="currency" queryTableFieldId="3" dataDxfId="2"/>
    <tableColumn id="4" xr3:uid="{0B82ABED-0F0F-0F4C-A2DE-EC3CF76F2A3F}" uniqueName="4" name="amount" queryTableFieldId="4" dataDxfId="1"/>
    <tableColumn id="5" xr3:uid="{2823294B-5335-E246-BAB5-5E5895CD6FA7}" uniqueName="5" name="ref_currency_amount" queryTableFieldId="5"/>
    <tableColumn id="6" xr3:uid="{1F8D5634-8D02-BD48-9395-CE0D4955C954}" uniqueName="6" name="type" queryTableFieldId="6" dataDxfId="64"/>
    <tableColumn id="7" xr3:uid="{489C2518-434D-CB4D-B3C9-28565B898CAD}" uniqueName="7" name="payment_type" queryTableFieldId="7" dataDxfId="63"/>
    <tableColumn id="8" xr3:uid="{433889CA-57D0-6A42-9998-05A10790CB37}" uniqueName="8" name="note" queryTableFieldId="8" dataDxfId="62"/>
    <tableColumn id="9" xr3:uid="{D4342CDE-53DA-3440-8EEC-FC52334C4F6F}" uniqueName="9" name="date" queryTableFieldId="9" dataDxfId="3"/>
    <tableColumn id="10" xr3:uid="{C07D69BE-076A-C643-A41D-2BE8D14AAAC0}" uniqueName="10" name="transfer" queryTableFieldId="10"/>
    <tableColumn id="11" xr3:uid="{F3E923EA-A905-FE45-89EB-978D830634FA}" uniqueName="11" name="payee" queryTableFieldId="11" dataDxfId="61"/>
    <tableColumn id="12" xr3:uid="{3D3E0E5F-F5AA-B547-98B6-65ADA847DBE5}" uniqueName="12" name="labels" queryTableFieldId="12" dataDxfId="60"/>
    <tableColumn id="13" xr3:uid="{08AB793E-B67D-2648-9890-E3A5AA4921A9}" uniqueName="13" name="día" queryTableFieldId="13"/>
    <tableColumn id="14" xr3:uid="{277F35FA-7A27-F84E-AC4C-AC20F7B75A3C}" uniqueName="14" name="mes" queryTableFieldId="14"/>
    <tableColumn id="15" xr3:uid="{98D6D13D-1700-ED40-B663-2D73E4888698}" uniqueName="15" name="año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gosvirtualesavvillas.com.co/personal/pagos/162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atosmacro.expansion.com/prima-riesgo/colombia?dr=2025-1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s://datosmacro.expansion.com/prima-riesgo/colombia?dr=2026-0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https://datosmacro.expansion.com/prima-riesgo/colombia?dr=2025-12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s://datosmacro.expansion.com/prima-riesgo/colombia?dr=2025-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3576-925B-A147-8CBA-64B9F8D80CC8}">
  <dimension ref="A1:R1306"/>
  <sheetViews>
    <sheetView workbookViewId="0">
      <selection activeCell="H23" sqref="H23"/>
    </sheetView>
  </sheetViews>
  <sheetFormatPr baseColWidth="10" defaultRowHeight="15" x14ac:dyDescent="0.2"/>
  <cols>
    <col min="1" max="1" width="15.6640625" bestFit="1" customWidth="1"/>
    <col min="2" max="2" width="29.83203125" bestFit="1" customWidth="1"/>
    <col min="3" max="3" width="10.5" bestFit="1" customWidth="1"/>
    <col min="4" max="4" width="12.1640625" style="291" bestFit="1" customWidth="1"/>
    <col min="5" max="5" width="20.1640625" bestFit="1" customWidth="1"/>
    <col min="6" max="6" width="7.1640625" bestFit="1" customWidth="1"/>
    <col min="7" max="7" width="17.5" bestFit="1" customWidth="1"/>
    <col min="8" max="8" width="30" bestFit="1" customWidth="1"/>
    <col min="9" max="9" width="13" bestFit="1" customWidth="1"/>
    <col min="10" max="10" width="10.6640625" bestFit="1" customWidth="1"/>
    <col min="11" max="11" width="32.33203125" bestFit="1" customWidth="1"/>
    <col min="12" max="12" width="22.1640625" bestFit="1" customWidth="1"/>
    <col min="13" max="13" width="6" bestFit="1" customWidth="1"/>
    <col min="14" max="14" width="7" bestFit="1" customWidth="1"/>
    <col min="15" max="15" width="6.5" bestFit="1" customWidth="1"/>
  </cols>
  <sheetData>
    <row r="1" spans="1:18" x14ac:dyDescent="0.2">
      <c r="A1" t="s">
        <v>102</v>
      </c>
      <c r="B1" t="s">
        <v>103</v>
      </c>
      <c r="C1" t="s">
        <v>104</v>
      </c>
      <c r="D1" s="29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474</v>
      </c>
      <c r="N1" t="s">
        <v>475</v>
      </c>
      <c r="O1" t="s">
        <v>476</v>
      </c>
    </row>
    <row r="2" spans="1:18" x14ac:dyDescent="0.2">
      <c r="A2" t="s">
        <v>127</v>
      </c>
      <c r="B2" t="s">
        <v>144</v>
      </c>
      <c r="C2" t="s">
        <v>115</v>
      </c>
      <c r="D2" s="291">
        <v>1051000</v>
      </c>
      <c r="E2">
        <v>1051000</v>
      </c>
      <c r="F2" t="s">
        <v>116</v>
      </c>
      <c r="G2" t="s">
        <v>117</v>
      </c>
      <c r="H2" t="s">
        <v>535</v>
      </c>
      <c r="I2" s="197">
        <v>46071.500181979165</v>
      </c>
      <c r="J2" t="b">
        <v>0</v>
      </c>
      <c r="K2" t="s">
        <v>146</v>
      </c>
      <c r="L2" t="s">
        <v>139</v>
      </c>
      <c r="M2">
        <v>18</v>
      </c>
      <c r="N2">
        <v>2</v>
      </c>
      <c r="O2">
        <v>2026</v>
      </c>
      <c r="R2">
        <f>IF(wallet_records[[#This Row],[type]]="Gasto",wallet_records[[#This Row],[amount]]*(-1),wallet_records[[#This Row],[amount]])</f>
        <v>-1051000</v>
      </c>
    </row>
    <row r="3" spans="1:18" x14ac:dyDescent="0.2">
      <c r="A3" t="s">
        <v>127</v>
      </c>
      <c r="B3" t="s">
        <v>144</v>
      </c>
      <c r="C3" t="s">
        <v>115</v>
      </c>
      <c r="D3" s="291">
        <v>1051000</v>
      </c>
      <c r="E3">
        <v>1051000</v>
      </c>
      <c r="F3" t="s">
        <v>116</v>
      </c>
      <c r="G3" t="s">
        <v>117</v>
      </c>
      <c r="H3" t="s">
        <v>535</v>
      </c>
      <c r="I3" s="197">
        <v>46057.5</v>
      </c>
      <c r="J3" t="b">
        <v>0</v>
      </c>
      <c r="K3" t="s">
        <v>146</v>
      </c>
      <c r="L3" t="s">
        <v>139</v>
      </c>
      <c r="M3">
        <v>4</v>
      </c>
      <c r="N3">
        <v>2</v>
      </c>
      <c r="O3">
        <v>2026</v>
      </c>
      <c r="R3">
        <f>IF(wallet_records[[#This Row],[type]]="Gasto",wallet_records[[#This Row],[amount]]*(-1),wallet_records[[#This Row],[amount]])</f>
        <v>-1051000</v>
      </c>
    </row>
    <row r="4" spans="1:18" x14ac:dyDescent="0.2">
      <c r="A4" t="s">
        <v>127</v>
      </c>
      <c r="B4" t="s">
        <v>144</v>
      </c>
      <c r="C4" t="s">
        <v>115</v>
      </c>
      <c r="D4" s="291">
        <v>218900</v>
      </c>
      <c r="E4">
        <v>218900</v>
      </c>
      <c r="F4" t="s">
        <v>116</v>
      </c>
      <c r="G4" t="s">
        <v>117</v>
      </c>
      <c r="H4" t="s">
        <v>145</v>
      </c>
      <c r="I4" s="197">
        <v>46054.5</v>
      </c>
      <c r="J4" t="b">
        <v>0</v>
      </c>
      <c r="K4" t="s">
        <v>146</v>
      </c>
      <c r="L4" t="s">
        <v>139</v>
      </c>
      <c r="M4">
        <v>1</v>
      </c>
      <c r="N4">
        <v>2</v>
      </c>
      <c r="O4">
        <v>2026</v>
      </c>
      <c r="R4">
        <f>IF(wallet_records[[#This Row],[type]]="Gasto",wallet_records[[#This Row],[amount]]*(-1),wallet_records[[#This Row],[amount]])</f>
        <v>-218900</v>
      </c>
    </row>
    <row r="5" spans="1:18" x14ac:dyDescent="0.2">
      <c r="A5" t="s">
        <v>127</v>
      </c>
      <c r="B5" t="s">
        <v>144</v>
      </c>
      <c r="C5" t="s">
        <v>115</v>
      </c>
      <c r="D5" s="291">
        <v>575300</v>
      </c>
      <c r="E5">
        <v>575300</v>
      </c>
      <c r="F5" t="s">
        <v>116</v>
      </c>
      <c r="G5" t="s">
        <v>117</v>
      </c>
      <c r="H5" t="s">
        <v>145</v>
      </c>
      <c r="I5" s="197">
        <v>46054.5</v>
      </c>
      <c r="J5" t="b">
        <v>0</v>
      </c>
      <c r="K5" t="s">
        <v>523</v>
      </c>
      <c r="L5" t="s">
        <v>523</v>
      </c>
      <c r="M5">
        <v>1</v>
      </c>
      <c r="N5">
        <v>2</v>
      </c>
      <c r="O5">
        <v>2026</v>
      </c>
      <c r="R5">
        <f>IF(wallet_records[[#This Row],[type]]="Gasto",wallet_records[[#This Row],[amount]]*(-1),wallet_records[[#This Row],[amount]])</f>
        <v>-575300</v>
      </c>
    </row>
    <row r="6" spans="1:18" x14ac:dyDescent="0.2">
      <c r="A6" t="s">
        <v>127</v>
      </c>
      <c r="B6" t="s">
        <v>144</v>
      </c>
      <c r="C6" t="s">
        <v>115</v>
      </c>
      <c r="D6" s="291">
        <v>1051000</v>
      </c>
      <c r="E6">
        <v>1051000</v>
      </c>
      <c r="F6" t="s">
        <v>116</v>
      </c>
      <c r="G6" t="s">
        <v>117</v>
      </c>
      <c r="H6" t="s">
        <v>535</v>
      </c>
      <c r="I6" s="197">
        <v>46042.5</v>
      </c>
      <c r="J6" t="b">
        <v>0</v>
      </c>
      <c r="K6" t="s">
        <v>146</v>
      </c>
      <c r="L6" t="s">
        <v>139</v>
      </c>
      <c r="M6">
        <v>20</v>
      </c>
      <c r="N6">
        <v>1</v>
      </c>
      <c r="O6">
        <v>2026</v>
      </c>
      <c r="R6">
        <f>IF(wallet_records[[#This Row],[type]]="Gasto",wallet_records[[#This Row],[amount]]*(-1),wallet_records[[#This Row],[amount]])</f>
        <v>-1051000</v>
      </c>
    </row>
    <row r="7" spans="1:18" x14ac:dyDescent="0.2">
      <c r="A7" t="s">
        <v>127</v>
      </c>
      <c r="B7" t="s">
        <v>144</v>
      </c>
      <c r="C7" t="s">
        <v>115</v>
      </c>
      <c r="D7" s="291">
        <v>178000</v>
      </c>
      <c r="E7">
        <v>178000</v>
      </c>
      <c r="F7" t="s">
        <v>116</v>
      </c>
      <c r="G7" t="s">
        <v>117</v>
      </c>
      <c r="H7" t="s">
        <v>145</v>
      </c>
      <c r="I7" s="197">
        <v>46027.500688229164</v>
      </c>
      <c r="J7" t="b">
        <v>0</v>
      </c>
      <c r="K7" t="s">
        <v>146</v>
      </c>
      <c r="L7" t="s">
        <v>139</v>
      </c>
      <c r="M7">
        <v>5</v>
      </c>
      <c r="N7">
        <v>1</v>
      </c>
      <c r="O7">
        <v>2026</v>
      </c>
      <c r="R7">
        <f>IF(wallet_records[[#This Row],[type]]="Gasto",wallet_records[[#This Row],[amount]]*(-1),wallet_records[[#This Row],[amount]])</f>
        <v>-178000</v>
      </c>
    </row>
    <row r="8" spans="1:18" x14ac:dyDescent="0.2">
      <c r="A8" t="s">
        <v>505</v>
      </c>
      <c r="B8" t="s">
        <v>144</v>
      </c>
      <c r="C8" t="s">
        <v>115</v>
      </c>
      <c r="D8" s="291">
        <v>575300</v>
      </c>
      <c r="E8">
        <v>575300</v>
      </c>
      <c r="F8" t="s">
        <v>116</v>
      </c>
      <c r="G8" t="s">
        <v>117</v>
      </c>
      <c r="H8" t="s">
        <v>145</v>
      </c>
      <c r="I8" s="197">
        <v>46027.500411840279</v>
      </c>
      <c r="J8" t="b">
        <v>0</v>
      </c>
      <c r="K8" t="s">
        <v>523</v>
      </c>
      <c r="L8" t="s">
        <v>523</v>
      </c>
      <c r="M8">
        <v>5</v>
      </c>
      <c r="N8">
        <v>1</v>
      </c>
      <c r="O8">
        <v>2026</v>
      </c>
      <c r="R8">
        <f>IF(wallet_records[[#This Row],[type]]="Gasto",wallet_records[[#This Row],[amount]]*(-1),wallet_records[[#This Row],[amount]])</f>
        <v>-575300</v>
      </c>
    </row>
    <row r="9" spans="1:18" x14ac:dyDescent="0.2">
      <c r="A9" t="s">
        <v>127</v>
      </c>
      <c r="B9" t="s">
        <v>144</v>
      </c>
      <c r="C9" t="s">
        <v>115</v>
      </c>
      <c r="D9" s="291">
        <v>1053000</v>
      </c>
      <c r="E9">
        <v>1053000</v>
      </c>
      <c r="F9" t="s">
        <v>116</v>
      </c>
      <c r="G9" t="s">
        <v>117</v>
      </c>
      <c r="H9" t="s">
        <v>535</v>
      </c>
      <c r="I9" s="197">
        <v>46027.5</v>
      </c>
      <c r="J9" t="b">
        <v>0</v>
      </c>
      <c r="K9" t="s">
        <v>146</v>
      </c>
      <c r="L9" t="s">
        <v>139</v>
      </c>
      <c r="M9">
        <v>5</v>
      </c>
      <c r="N9">
        <v>1</v>
      </c>
      <c r="O9">
        <v>2026</v>
      </c>
      <c r="R9">
        <f>IF(wallet_records[[#This Row],[type]]="Gasto",wallet_records[[#This Row],[amount]]*(-1),wallet_records[[#This Row],[amount]])</f>
        <v>-1053000</v>
      </c>
    </row>
    <row r="10" spans="1:18" x14ac:dyDescent="0.2">
      <c r="A10" t="s">
        <v>127</v>
      </c>
      <c r="B10" t="s">
        <v>154</v>
      </c>
      <c r="C10" t="s">
        <v>115</v>
      </c>
      <c r="D10" s="291">
        <v>4431940</v>
      </c>
      <c r="E10">
        <v>4431940</v>
      </c>
      <c r="F10" t="s">
        <v>116</v>
      </c>
      <c r="G10" t="s">
        <v>117</v>
      </c>
      <c r="H10" t="s">
        <v>508</v>
      </c>
      <c r="I10" s="197">
        <v>46054.5</v>
      </c>
      <c r="J10" t="b">
        <v>0</v>
      </c>
      <c r="K10" t="s">
        <v>546</v>
      </c>
      <c r="L10" t="s">
        <v>46</v>
      </c>
      <c r="M10">
        <v>1</v>
      </c>
      <c r="N10">
        <v>2</v>
      </c>
      <c r="O10">
        <v>2026</v>
      </c>
      <c r="R10">
        <f>IF(wallet_records[[#This Row],[type]]="Gasto",wallet_records[[#This Row],[amount]]*(-1),wallet_records[[#This Row],[amount]])</f>
        <v>-4431940</v>
      </c>
    </row>
    <row r="11" spans="1:18" x14ac:dyDescent="0.2">
      <c r="A11" t="s">
        <v>127</v>
      </c>
      <c r="B11" t="s">
        <v>154</v>
      </c>
      <c r="C11" t="s">
        <v>115</v>
      </c>
      <c r="D11" s="291">
        <v>2461875</v>
      </c>
      <c r="E11">
        <v>2461875</v>
      </c>
      <c r="F11" t="s">
        <v>116</v>
      </c>
      <c r="G11" t="s">
        <v>117</v>
      </c>
      <c r="H11" t="s">
        <v>508</v>
      </c>
      <c r="I11" s="197">
        <v>46054.5</v>
      </c>
      <c r="J11" t="b">
        <v>0</v>
      </c>
      <c r="K11" t="s">
        <v>546</v>
      </c>
      <c r="L11" t="s">
        <v>1</v>
      </c>
      <c r="M11">
        <v>1</v>
      </c>
      <c r="N11">
        <v>2</v>
      </c>
      <c r="O11">
        <v>2026</v>
      </c>
      <c r="R11">
        <f>IF(wallet_records[[#This Row],[type]]="Gasto",wallet_records[[#This Row],[amount]]*(-1),wallet_records[[#This Row],[amount]])</f>
        <v>-2461875</v>
      </c>
    </row>
    <row r="12" spans="1:18" x14ac:dyDescent="0.2">
      <c r="A12" t="s">
        <v>127</v>
      </c>
      <c r="B12" t="s">
        <v>154</v>
      </c>
      <c r="C12" t="s">
        <v>115</v>
      </c>
      <c r="D12" s="291">
        <v>1320857</v>
      </c>
      <c r="E12">
        <v>1320857</v>
      </c>
      <c r="F12" t="s">
        <v>116</v>
      </c>
      <c r="G12" t="s">
        <v>117</v>
      </c>
      <c r="H12" t="s">
        <v>508</v>
      </c>
      <c r="I12" s="197">
        <v>46054.5</v>
      </c>
      <c r="J12" t="b">
        <v>0</v>
      </c>
      <c r="K12" t="s">
        <v>546</v>
      </c>
      <c r="L12" t="s">
        <v>77</v>
      </c>
      <c r="M12">
        <v>1</v>
      </c>
      <c r="N12">
        <v>2</v>
      </c>
      <c r="O12">
        <v>2026</v>
      </c>
      <c r="R12">
        <f>IF(wallet_records[[#This Row],[type]]="Gasto",wallet_records[[#This Row],[amount]]*(-1),wallet_records[[#This Row],[amount]])</f>
        <v>-1320857</v>
      </c>
    </row>
    <row r="13" spans="1:18" x14ac:dyDescent="0.2">
      <c r="A13" t="s">
        <v>127</v>
      </c>
      <c r="B13" t="s">
        <v>154</v>
      </c>
      <c r="C13" t="s">
        <v>115</v>
      </c>
      <c r="D13" s="291">
        <v>1823377</v>
      </c>
      <c r="E13">
        <v>1823377</v>
      </c>
      <c r="F13" t="s">
        <v>116</v>
      </c>
      <c r="G13" t="s">
        <v>117</v>
      </c>
      <c r="H13" t="s">
        <v>508</v>
      </c>
      <c r="I13" s="197">
        <v>46054.5</v>
      </c>
      <c r="J13" t="b">
        <v>0</v>
      </c>
      <c r="K13" t="s">
        <v>546</v>
      </c>
      <c r="L13" t="s">
        <v>0</v>
      </c>
      <c r="M13">
        <v>1</v>
      </c>
      <c r="N13">
        <v>2</v>
      </c>
      <c r="O13">
        <v>2026</v>
      </c>
      <c r="R13">
        <f>IF(wallet_records[[#This Row],[type]]="Gasto",wallet_records[[#This Row],[amount]]*(-1),wallet_records[[#This Row],[amount]])</f>
        <v>-1823377</v>
      </c>
    </row>
    <row r="14" spans="1:18" x14ac:dyDescent="0.2">
      <c r="A14" t="s">
        <v>127</v>
      </c>
      <c r="B14" t="s">
        <v>154</v>
      </c>
      <c r="C14" t="s">
        <v>115</v>
      </c>
      <c r="D14" s="291">
        <v>359256</v>
      </c>
      <c r="E14">
        <v>359256</v>
      </c>
      <c r="F14" t="s">
        <v>116</v>
      </c>
      <c r="G14" t="s">
        <v>117</v>
      </c>
      <c r="H14" t="s">
        <v>508</v>
      </c>
      <c r="I14" s="197">
        <v>46054.5</v>
      </c>
      <c r="J14" t="b">
        <v>0</v>
      </c>
      <c r="K14" t="s">
        <v>546</v>
      </c>
      <c r="L14" t="s">
        <v>6</v>
      </c>
      <c r="M14">
        <v>1</v>
      </c>
      <c r="N14">
        <v>2</v>
      </c>
      <c r="O14">
        <v>2026</v>
      </c>
      <c r="R14">
        <f>IF(wallet_records[[#This Row],[type]]="Gasto",wallet_records[[#This Row],[amount]]*(-1),wallet_records[[#This Row],[amount]])</f>
        <v>-359256</v>
      </c>
    </row>
    <row r="15" spans="1:18" x14ac:dyDescent="0.2">
      <c r="A15" t="s">
        <v>127</v>
      </c>
      <c r="B15" t="s">
        <v>154</v>
      </c>
      <c r="C15" t="s">
        <v>115</v>
      </c>
      <c r="D15" s="291">
        <v>227100</v>
      </c>
      <c r="E15">
        <v>227100</v>
      </c>
      <c r="F15" t="s">
        <v>116</v>
      </c>
      <c r="G15" t="s">
        <v>117</v>
      </c>
      <c r="H15" t="s">
        <v>98</v>
      </c>
      <c r="I15" s="197">
        <v>46054.5</v>
      </c>
      <c r="J15" t="b">
        <v>0</v>
      </c>
      <c r="K15" t="s">
        <v>123</v>
      </c>
      <c r="L15" t="s">
        <v>3</v>
      </c>
      <c r="M15">
        <v>1</v>
      </c>
      <c r="N15">
        <v>2</v>
      </c>
      <c r="O15">
        <v>2026</v>
      </c>
      <c r="R15">
        <f>IF(wallet_records[[#This Row],[type]]="Gasto",wallet_records[[#This Row],[amount]]*(-1),wallet_records[[#This Row],[amount]])</f>
        <v>-227100</v>
      </c>
    </row>
    <row r="16" spans="1:18" x14ac:dyDescent="0.2">
      <c r="A16" t="s">
        <v>524</v>
      </c>
      <c r="B16" t="s">
        <v>154</v>
      </c>
      <c r="C16" t="s">
        <v>115</v>
      </c>
      <c r="D16" s="291">
        <v>8610.1200000000008</v>
      </c>
      <c r="E16">
        <v>8610.1200000000008</v>
      </c>
      <c r="F16" t="s">
        <v>116</v>
      </c>
      <c r="G16" t="s">
        <v>117</v>
      </c>
      <c r="H16" t="s">
        <v>547</v>
      </c>
      <c r="I16" s="197">
        <v>46052.397138587963</v>
      </c>
      <c r="J16" t="b">
        <v>0</v>
      </c>
      <c r="K16" t="s">
        <v>123</v>
      </c>
      <c r="L16" t="s">
        <v>123</v>
      </c>
      <c r="M16">
        <v>30</v>
      </c>
      <c r="N16">
        <v>1</v>
      </c>
      <c r="O16">
        <v>2026</v>
      </c>
      <c r="R16">
        <f>IF(wallet_records[[#This Row],[type]]="Gasto",wallet_records[[#This Row],[amount]]*(-1),wallet_records[[#This Row],[amount]])</f>
        <v>-8610.1200000000008</v>
      </c>
    </row>
    <row r="17" spans="1:18" x14ac:dyDescent="0.2">
      <c r="A17" t="s">
        <v>127</v>
      </c>
      <c r="B17" t="s">
        <v>154</v>
      </c>
      <c r="C17" t="s">
        <v>115</v>
      </c>
      <c r="D17" s="291">
        <v>42900</v>
      </c>
      <c r="E17">
        <v>42900</v>
      </c>
      <c r="F17" t="s">
        <v>116</v>
      </c>
      <c r="G17" t="s">
        <v>117</v>
      </c>
      <c r="H17" t="s">
        <v>97</v>
      </c>
      <c r="I17" s="197">
        <v>46042.5</v>
      </c>
      <c r="J17" t="b">
        <v>0</v>
      </c>
      <c r="K17" t="s">
        <v>123</v>
      </c>
      <c r="L17" t="s">
        <v>3</v>
      </c>
      <c r="M17">
        <v>20</v>
      </c>
      <c r="N17">
        <v>1</v>
      </c>
      <c r="O17">
        <v>2026</v>
      </c>
      <c r="R17">
        <f>IF(wallet_records[[#This Row],[type]]="Gasto",wallet_records[[#This Row],[amount]]*(-1),wallet_records[[#This Row],[amount]])</f>
        <v>-42900</v>
      </c>
    </row>
    <row r="18" spans="1:18" x14ac:dyDescent="0.2">
      <c r="A18" t="s">
        <v>127</v>
      </c>
      <c r="B18" t="s">
        <v>131</v>
      </c>
      <c r="C18" t="s">
        <v>115</v>
      </c>
      <c r="D18" s="291">
        <v>2194118</v>
      </c>
      <c r="E18">
        <v>2194118</v>
      </c>
      <c r="F18" t="s">
        <v>116</v>
      </c>
      <c r="G18" t="s">
        <v>117</v>
      </c>
      <c r="H18" t="s">
        <v>96</v>
      </c>
      <c r="I18" s="197">
        <v>46042.5</v>
      </c>
      <c r="J18" t="b">
        <v>0</v>
      </c>
      <c r="K18" t="s">
        <v>123</v>
      </c>
      <c r="L18" t="s">
        <v>5</v>
      </c>
      <c r="M18">
        <v>20</v>
      </c>
      <c r="N18">
        <v>1</v>
      </c>
      <c r="O18">
        <v>2026</v>
      </c>
      <c r="R18">
        <f>IF(wallet_records[[#This Row],[type]]="Gasto",wallet_records[[#This Row],[amount]]*(-1),wallet_records[[#This Row],[amount]])</f>
        <v>-2194118</v>
      </c>
    </row>
    <row r="19" spans="1:18" x14ac:dyDescent="0.2">
      <c r="A19" t="s">
        <v>127</v>
      </c>
      <c r="B19" t="s">
        <v>131</v>
      </c>
      <c r="C19" t="s">
        <v>115</v>
      </c>
      <c r="D19" s="291">
        <v>677400</v>
      </c>
      <c r="E19">
        <v>677400</v>
      </c>
      <c r="F19" t="s">
        <v>116</v>
      </c>
      <c r="G19" t="s">
        <v>117</v>
      </c>
      <c r="H19" t="s">
        <v>225</v>
      </c>
      <c r="I19" s="197">
        <v>46027.463519259261</v>
      </c>
      <c r="J19" t="b">
        <v>0</v>
      </c>
      <c r="K19" t="s">
        <v>3</v>
      </c>
      <c r="L19" t="s">
        <v>3</v>
      </c>
      <c r="M19">
        <v>5</v>
      </c>
      <c r="N19">
        <v>1</v>
      </c>
      <c r="O19">
        <v>2026</v>
      </c>
      <c r="R19">
        <f>IF(wallet_records[[#This Row],[type]]="Gasto",wallet_records[[#This Row],[amount]]*(-1),wallet_records[[#This Row],[amount]])</f>
        <v>-677400</v>
      </c>
    </row>
    <row r="20" spans="1:18" x14ac:dyDescent="0.2">
      <c r="A20" t="s">
        <v>133</v>
      </c>
      <c r="B20" t="s">
        <v>124</v>
      </c>
      <c r="C20" t="s">
        <v>115</v>
      </c>
      <c r="D20" s="291">
        <v>83627.509999999995</v>
      </c>
      <c r="E20">
        <v>83627.509999999995</v>
      </c>
      <c r="F20" t="s">
        <v>121</v>
      </c>
      <c r="G20" t="s">
        <v>117</v>
      </c>
      <c r="H20" t="s">
        <v>125</v>
      </c>
      <c r="I20" s="197">
        <v>46053.411123425925</v>
      </c>
      <c r="J20" t="b">
        <v>0</v>
      </c>
      <c r="K20" t="s">
        <v>123</v>
      </c>
      <c r="L20" t="s">
        <v>123</v>
      </c>
      <c r="M20">
        <v>31</v>
      </c>
      <c r="N20">
        <v>1</v>
      </c>
      <c r="O20">
        <v>2026</v>
      </c>
      <c r="R20">
        <f>IF(wallet_records[[#This Row],[type]]="Gasto",wallet_records[[#This Row],[amount]]*(-1),wallet_records[[#This Row],[amount]])</f>
        <v>83627.509999999995</v>
      </c>
    </row>
    <row r="21" spans="1:18" x14ac:dyDescent="0.2">
      <c r="A21" t="s">
        <v>524</v>
      </c>
      <c r="B21" t="s">
        <v>124</v>
      </c>
      <c r="C21" t="s">
        <v>115</v>
      </c>
      <c r="D21" s="291">
        <v>122177.32</v>
      </c>
      <c r="E21">
        <v>122177.32</v>
      </c>
      <c r="F21" t="s">
        <v>121</v>
      </c>
      <c r="G21" t="s">
        <v>117</v>
      </c>
      <c r="H21" t="s">
        <v>125</v>
      </c>
      <c r="I21" s="197">
        <v>46053.396530555554</v>
      </c>
      <c r="J21" t="b">
        <v>0</v>
      </c>
      <c r="K21" t="s">
        <v>123</v>
      </c>
      <c r="L21" t="s">
        <v>123</v>
      </c>
      <c r="M21">
        <v>31</v>
      </c>
      <c r="N21">
        <v>1</v>
      </c>
      <c r="O21">
        <v>2026</v>
      </c>
      <c r="R21">
        <f>IF(wallet_records[[#This Row],[type]]="Gasto",wallet_records[[#This Row],[amount]]*(-1),wallet_records[[#This Row],[amount]])</f>
        <v>122177.32</v>
      </c>
    </row>
    <row r="22" spans="1:18" x14ac:dyDescent="0.2">
      <c r="A22" t="s">
        <v>59</v>
      </c>
      <c r="B22" t="s">
        <v>124</v>
      </c>
      <c r="C22" t="s">
        <v>115</v>
      </c>
      <c r="D22" s="291">
        <v>37154.79</v>
      </c>
      <c r="E22">
        <v>37154.79</v>
      </c>
      <c r="F22" t="s">
        <v>121</v>
      </c>
      <c r="G22" t="s">
        <v>117</v>
      </c>
      <c r="H22" t="s">
        <v>125</v>
      </c>
      <c r="I22" s="197">
        <v>46053.395400972222</v>
      </c>
      <c r="J22" t="b">
        <v>0</v>
      </c>
      <c r="K22" t="s">
        <v>123</v>
      </c>
      <c r="L22" t="s">
        <v>123</v>
      </c>
      <c r="M22">
        <v>31</v>
      </c>
      <c r="N22">
        <v>1</v>
      </c>
      <c r="O22">
        <v>2026</v>
      </c>
      <c r="R22">
        <f>IF(wallet_records[[#This Row],[type]]="Gasto",wallet_records[[#This Row],[amount]]*(-1),wallet_records[[#This Row],[amount]])</f>
        <v>37154.79</v>
      </c>
    </row>
    <row r="23" spans="1:18" x14ac:dyDescent="0.2">
      <c r="A23" t="s">
        <v>525</v>
      </c>
      <c r="B23" t="s">
        <v>124</v>
      </c>
      <c r="C23" t="s">
        <v>115</v>
      </c>
      <c r="D23" s="291">
        <v>26828.37</v>
      </c>
      <c r="E23">
        <v>26828.37</v>
      </c>
      <c r="F23" t="s">
        <v>121</v>
      </c>
      <c r="G23" t="s">
        <v>117</v>
      </c>
      <c r="H23" t="s">
        <v>125</v>
      </c>
      <c r="I23" s="197">
        <v>46053.394225057869</v>
      </c>
      <c r="J23" t="b">
        <v>0</v>
      </c>
      <c r="K23" t="s">
        <v>123</v>
      </c>
      <c r="L23" t="s">
        <v>123</v>
      </c>
      <c r="M23">
        <v>31</v>
      </c>
      <c r="N23">
        <v>1</v>
      </c>
      <c r="O23">
        <v>2026</v>
      </c>
      <c r="R23">
        <f>IF(wallet_records[[#This Row],[type]]="Gasto",wallet_records[[#This Row],[amount]]*(-1),wallet_records[[#This Row],[amount]])</f>
        <v>26828.37</v>
      </c>
    </row>
    <row r="24" spans="1:18" x14ac:dyDescent="0.2">
      <c r="A24" t="s">
        <v>127</v>
      </c>
      <c r="B24" t="s">
        <v>124</v>
      </c>
      <c r="C24" t="s">
        <v>115</v>
      </c>
      <c r="D24" s="291">
        <v>155217.34</v>
      </c>
      <c r="E24">
        <v>155217.34</v>
      </c>
      <c r="F24" t="s">
        <v>121</v>
      </c>
      <c r="G24" t="s">
        <v>117</v>
      </c>
      <c r="H24" t="s">
        <v>125</v>
      </c>
      <c r="I24" s="197">
        <v>46024.36447025463</v>
      </c>
      <c r="J24" t="b">
        <v>0</v>
      </c>
      <c r="K24" t="s">
        <v>127</v>
      </c>
      <c r="L24" t="s">
        <v>123</v>
      </c>
      <c r="M24">
        <v>2</v>
      </c>
      <c r="N24">
        <v>1</v>
      </c>
      <c r="O24">
        <v>2026</v>
      </c>
      <c r="R24">
        <f>IF(wallet_records[[#This Row],[type]]="Gasto",wallet_records[[#This Row],[amount]]*(-1),wallet_records[[#This Row],[amount]])</f>
        <v>155217.34</v>
      </c>
    </row>
    <row r="25" spans="1:18" x14ac:dyDescent="0.2">
      <c r="A25" t="s">
        <v>127</v>
      </c>
      <c r="B25" t="s">
        <v>124</v>
      </c>
      <c r="C25" t="s">
        <v>115</v>
      </c>
      <c r="D25" s="291">
        <v>32509.32</v>
      </c>
      <c r="E25">
        <v>32509.32</v>
      </c>
      <c r="F25" t="s">
        <v>121</v>
      </c>
      <c r="G25" t="s">
        <v>117</v>
      </c>
      <c r="H25" t="s">
        <v>125</v>
      </c>
      <c r="I25" s="197">
        <v>46024.359749699077</v>
      </c>
      <c r="J25" t="b">
        <v>0</v>
      </c>
      <c r="K25" t="s">
        <v>127</v>
      </c>
      <c r="L25" t="s">
        <v>123</v>
      </c>
      <c r="M25">
        <v>2</v>
      </c>
      <c r="N25">
        <v>1</v>
      </c>
      <c r="O25">
        <v>2026</v>
      </c>
      <c r="R25">
        <f>IF(wallet_records[[#This Row],[type]]="Gasto",wallet_records[[#This Row],[amount]]*(-1),wallet_records[[#This Row],[amount]])</f>
        <v>32509.32</v>
      </c>
    </row>
    <row r="26" spans="1:18" x14ac:dyDescent="0.2">
      <c r="A26" t="s">
        <v>127</v>
      </c>
      <c r="B26" t="s">
        <v>136</v>
      </c>
      <c r="C26" t="s">
        <v>115</v>
      </c>
      <c r="D26" s="291">
        <v>156000</v>
      </c>
      <c r="E26">
        <v>156000</v>
      </c>
      <c r="F26" t="s">
        <v>116</v>
      </c>
      <c r="G26" t="s">
        <v>117</v>
      </c>
      <c r="H26" t="s">
        <v>140</v>
      </c>
      <c r="I26" s="197">
        <v>46068.5</v>
      </c>
      <c r="J26" t="b">
        <v>0</v>
      </c>
      <c r="K26" t="s">
        <v>537</v>
      </c>
      <c r="L26" t="s">
        <v>1</v>
      </c>
      <c r="M26">
        <v>15</v>
      </c>
      <c r="N26">
        <v>2</v>
      </c>
      <c r="O26">
        <v>2026</v>
      </c>
      <c r="R26">
        <f>IF(wallet_records[[#This Row],[type]]="Gasto",wallet_records[[#This Row],[amount]]*(-1),wallet_records[[#This Row],[amount]])</f>
        <v>-156000</v>
      </c>
    </row>
    <row r="27" spans="1:18" x14ac:dyDescent="0.2">
      <c r="A27" t="s">
        <v>127</v>
      </c>
      <c r="B27" t="s">
        <v>136</v>
      </c>
      <c r="C27" t="s">
        <v>115</v>
      </c>
      <c r="D27" s="291">
        <v>269400</v>
      </c>
      <c r="E27">
        <v>269400</v>
      </c>
      <c r="F27" t="s">
        <v>116</v>
      </c>
      <c r="G27" t="s">
        <v>117</v>
      </c>
      <c r="H27" t="s">
        <v>140</v>
      </c>
      <c r="I27" s="197">
        <v>46068.5</v>
      </c>
      <c r="J27" t="b">
        <v>0</v>
      </c>
      <c r="K27" t="s">
        <v>538</v>
      </c>
      <c r="L27" t="s">
        <v>77</v>
      </c>
      <c r="M27">
        <v>15</v>
      </c>
      <c r="N27">
        <v>2</v>
      </c>
      <c r="O27">
        <v>2026</v>
      </c>
      <c r="R27">
        <f>IF(wallet_records[[#This Row],[type]]="Gasto",wallet_records[[#This Row],[amount]]*(-1),wallet_records[[#This Row],[amount]])</f>
        <v>-269400</v>
      </c>
    </row>
    <row r="28" spans="1:18" x14ac:dyDescent="0.2">
      <c r="A28" t="s">
        <v>127</v>
      </c>
      <c r="B28" t="s">
        <v>136</v>
      </c>
      <c r="C28" t="s">
        <v>115</v>
      </c>
      <c r="D28" s="291">
        <v>501542</v>
      </c>
      <c r="E28">
        <v>501542</v>
      </c>
      <c r="F28" t="s">
        <v>116</v>
      </c>
      <c r="G28" t="s">
        <v>117</v>
      </c>
      <c r="H28" t="s">
        <v>140</v>
      </c>
      <c r="I28" s="197">
        <v>46068.5</v>
      </c>
      <c r="J28" t="b">
        <v>0</v>
      </c>
      <c r="K28" t="s">
        <v>536</v>
      </c>
      <c r="L28" t="s">
        <v>0</v>
      </c>
      <c r="M28">
        <v>15</v>
      </c>
      <c r="N28">
        <v>2</v>
      </c>
      <c r="O28">
        <v>2026</v>
      </c>
      <c r="R28">
        <f>IF(wallet_records[[#This Row],[type]]="Gasto",wallet_records[[#This Row],[amount]]*(-1),wallet_records[[#This Row],[amount]])</f>
        <v>-501542</v>
      </c>
    </row>
    <row r="29" spans="1:18" x14ac:dyDescent="0.2">
      <c r="A29" t="s">
        <v>127</v>
      </c>
      <c r="B29" t="s">
        <v>136</v>
      </c>
      <c r="C29" t="s">
        <v>115</v>
      </c>
      <c r="D29" s="291">
        <v>116800</v>
      </c>
      <c r="E29">
        <v>116800</v>
      </c>
      <c r="F29" t="s">
        <v>116</v>
      </c>
      <c r="G29" t="s">
        <v>117</v>
      </c>
      <c r="H29" t="s">
        <v>95</v>
      </c>
      <c r="I29" s="197">
        <v>46041.50022519676</v>
      </c>
      <c r="J29" t="b">
        <v>0</v>
      </c>
      <c r="K29" t="s">
        <v>123</v>
      </c>
      <c r="L29" t="s">
        <v>139</v>
      </c>
      <c r="M29">
        <v>19</v>
      </c>
      <c r="N29">
        <v>1</v>
      </c>
      <c r="O29">
        <v>2026</v>
      </c>
      <c r="R29">
        <f>IF(wallet_records[[#This Row],[type]]="Gasto",wallet_records[[#This Row],[amount]]*(-1),wallet_records[[#This Row],[amount]])</f>
        <v>-116800</v>
      </c>
    </row>
    <row r="30" spans="1:18" x14ac:dyDescent="0.2">
      <c r="A30" t="s">
        <v>127</v>
      </c>
      <c r="B30" t="s">
        <v>136</v>
      </c>
      <c r="C30" t="s">
        <v>115</v>
      </c>
      <c r="D30" s="291">
        <v>58000</v>
      </c>
      <c r="E30">
        <v>58000</v>
      </c>
      <c r="F30" t="s">
        <v>116</v>
      </c>
      <c r="G30" t="s">
        <v>117</v>
      </c>
      <c r="H30" t="s">
        <v>94</v>
      </c>
      <c r="I30" s="197">
        <v>46041.500100925929</v>
      </c>
      <c r="J30" t="b">
        <v>0</v>
      </c>
      <c r="K30" t="s">
        <v>123</v>
      </c>
      <c r="L30" t="s">
        <v>139</v>
      </c>
      <c r="M30">
        <v>19</v>
      </c>
      <c r="N30">
        <v>1</v>
      </c>
      <c r="O30">
        <v>2026</v>
      </c>
      <c r="R30">
        <f>IF(wallet_records[[#This Row],[type]]="Gasto",wallet_records[[#This Row],[amount]]*(-1),wallet_records[[#This Row],[amount]])</f>
        <v>-58000</v>
      </c>
    </row>
    <row r="31" spans="1:18" x14ac:dyDescent="0.2">
      <c r="A31" t="s">
        <v>127</v>
      </c>
      <c r="B31" t="s">
        <v>136</v>
      </c>
      <c r="C31" t="s">
        <v>115</v>
      </c>
      <c r="D31" s="291">
        <v>501542</v>
      </c>
      <c r="E31">
        <v>501542</v>
      </c>
      <c r="F31" t="s">
        <v>116</v>
      </c>
      <c r="G31" t="s">
        <v>117</v>
      </c>
      <c r="H31" t="s">
        <v>140</v>
      </c>
      <c r="I31" s="197">
        <v>46039.50057704861</v>
      </c>
      <c r="J31" t="b">
        <v>0</v>
      </c>
      <c r="K31" t="s">
        <v>536</v>
      </c>
      <c r="L31" t="s">
        <v>0</v>
      </c>
      <c r="M31">
        <v>17</v>
      </c>
      <c r="N31">
        <v>1</v>
      </c>
      <c r="O31">
        <v>2026</v>
      </c>
      <c r="R31">
        <f>IF(wallet_records[[#This Row],[type]]="Gasto",wallet_records[[#This Row],[amount]]*(-1),wallet_records[[#This Row],[amount]])</f>
        <v>-501542</v>
      </c>
    </row>
    <row r="32" spans="1:18" x14ac:dyDescent="0.2">
      <c r="A32" t="s">
        <v>127</v>
      </c>
      <c r="B32" t="s">
        <v>136</v>
      </c>
      <c r="C32" t="s">
        <v>115</v>
      </c>
      <c r="D32" s="291">
        <v>156000</v>
      </c>
      <c r="E32">
        <v>156000</v>
      </c>
      <c r="F32" t="s">
        <v>116</v>
      </c>
      <c r="G32" t="s">
        <v>505</v>
      </c>
      <c r="H32" t="s">
        <v>140</v>
      </c>
      <c r="I32" s="197">
        <v>46039.500442719909</v>
      </c>
      <c r="J32" t="b">
        <v>0</v>
      </c>
      <c r="K32" t="s">
        <v>537</v>
      </c>
      <c r="L32" t="s">
        <v>1</v>
      </c>
      <c r="M32">
        <v>17</v>
      </c>
      <c r="N32">
        <v>1</v>
      </c>
      <c r="O32">
        <v>2026</v>
      </c>
      <c r="R32">
        <f>IF(wallet_records[[#This Row],[type]]="Gasto",wallet_records[[#This Row],[amount]]*(-1),wallet_records[[#This Row],[amount]])</f>
        <v>-156000</v>
      </c>
    </row>
    <row r="33" spans="1:18" x14ac:dyDescent="0.2">
      <c r="A33" t="s">
        <v>127</v>
      </c>
      <c r="B33" t="s">
        <v>136</v>
      </c>
      <c r="C33" t="s">
        <v>115</v>
      </c>
      <c r="D33" s="291">
        <v>269400</v>
      </c>
      <c r="E33">
        <v>269400</v>
      </c>
      <c r="F33" t="s">
        <v>116</v>
      </c>
      <c r="G33" t="s">
        <v>117</v>
      </c>
      <c r="H33" t="s">
        <v>140</v>
      </c>
      <c r="I33" s="197">
        <v>46039.5</v>
      </c>
      <c r="J33" t="b">
        <v>0</v>
      </c>
      <c r="K33" t="s">
        <v>538</v>
      </c>
      <c r="L33" t="s">
        <v>77</v>
      </c>
      <c r="M33">
        <v>17</v>
      </c>
      <c r="N33">
        <v>1</v>
      </c>
      <c r="O33">
        <v>2026</v>
      </c>
      <c r="R33">
        <f>IF(wallet_records[[#This Row],[type]]="Gasto",wallet_records[[#This Row],[amount]]*(-1),wallet_records[[#This Row],[amount]])</f>
        <v>-269400</v>
      </c>
    </row>
    <row r="34" spans="1:18" x14ac:dyDescent="0.2">
      <c r="A34" t="s">
        <v>127</v>
      </c>
      <c r="B34" t="s">
        <v>136</v>
      </c>
      <c r="C34" t="s">
        <v>115</v>
      </c>
      <c r="D34" s="291">
        <v>2700</v>
      </c>
      <c r="E34">
        <v>2700</v>
      </c>
      <c r="F34" t="s">
        <v>116</v>
      </c>
      <c r="G34" t="s">
        <v>505</v>
      </c>
      <c r="H34" t="s">
        <v>542</v>
      </c>
      <c r="I34" s="197">
        <v>46027.845042488429</v>
      </c>
      <c r="J34" t="b">
        <v>0</v>
      </c>
      <c r="K34" t="s">
        <v>123</v>
      </c>
      <c r="L34" t="s">
        <v>123</v>
      </c>
      <c r="M34">
        <v>5</v>
      </c>
      <c r="N34">
        <v>1</v>
      </c>
      <c r="O34">
        <v>2026</v>
      </c>
      <c r="R34">
        <f>IF(wallet_records[[#This Row],[type]]="Gasto",wallet_records[[#This Row],[amount]]*(-1),wallet_records[[#This Row],[amount]])</f>
        <v>-2700</v>
      </c>
    </row>
    <row r="35" spans="1:18" x14ac:dyDescent="0.2">
      <c r="A35" t="s">
        <v>127</v>
      </c>
      <c r="B35" t="s">
        <v>136</v>
      </c>
      <c r="C35" t="s">
        <v>115</v>
      </c>
      <c r="D35" s="291">
        <v>124600</v>
      </c>
      <c r="E35">
        <v>124600</v>
      </c>
      <c r="F35" t="s">
        <v>116</v>
      </c>
      <c r="G35" t="s">
        <v>505</v>
      </c>
      <c r="H35" t="s">
        <v>156</v>
      </c>
      <c r="I35" s="197">
        <v>46025.730976666666</v>
      </c>
      <c r="J35" t="b">
        <v>0</v>
      </c>
      <c r="K35" t="s">
        <v>123</v>
      </c>
      <c r="L35" t="s">
        <v>123</v>
      </c>
      <c r="M35">
        <v>3</v>
      </c>
      <c r="N35">
        <v>1</v>
      </c>
      <c r="O35">
        <v>2026</v>
      </c>
      <c r="R35">
        <f>IF(wallet_records[[#This Row],[type]]="Gasto",wallet_records[[#This Row],[amount]]*(-1),wallet_records[[#This Row],[amount]])</f>
        <v>-124600</v>
      </c>
    </row>
    <row r="36" spans="1:18" x14ac:dyDescent="0.2">
      <c r="A36" t="s">
        <v>127</v>
      </c>
      <c r="B36" t="s">
        <v>136</v>
      </c>
      <c r="C36" t="s">
        <v>115</v>
      </c>
      <c r="D36" s="291">
        <v>156860</v>
      </c>
      <c r="E36">
        <v>156860</v>
      </c>
      <c r="F36" t="s">
        <v>116</v>
      </c>
      <c r="G36" t="s">
        <v>117</v>
      </c>
      <c r="H36" t="s">
        <v>156</v>
      </c>
      <c r="I36" s="197">
        <v>46025.7304672338</v>
      </c>
      <c r="J36" t="b">
        <v>0</v>
      </c>
      <c r="K36" t="s">
        <v>123</v>
      </c>
      <c r="L36" t="s">
        <v>123</v>
      </c>
      <c r="M36">
        <v>3</v>
      </c>
      <c r="N36">
        <v>1</v>
      </c>
      <c r="O36">
        <v>2026</v>
      </c>
      <c r="R36">
        <f>IF(wallet_records[[#This Row],[type]]="Gasto",wallet_records[[#This Row],[amount]]*(-1),wallet_records[[#This Row],[amount]])</f>
        <v>-156860</v>
      </c>
    </row>
    <row r="37" spans="1:18" x14ac:dyDescent="0.2">
      <c r="A37" t="s">
        <v>127</v>
      </c>
      <c r="B37" t="s">
        <v>136</v>
      </c>
      <c r="C37" t="s">
        <v>115</v>
      </c>
      <c r="D37" s="291">
        <v>180000</v>
      </c>
      <c r="E37">
        <v>180000</v>
      </c>
      <c r="F37" t="s">
        <v>116</v>
      </c>
      <c r="G37" t="s">
        <v>117</v>
      </c>
      <c r="H37" t="s">
        <v>156</v>
      </c>
      <c r="I37" s="197">
        <v>46023.455544733799</v>
      </c>
      <c r="J37" t="b">
        <v>0</v>
      </c>
      <c r="K37" t="s">
        <v>123</v>
      </c>
      <c r="L37" t="s">
        <v>139</v>
      </c>
      <c r="M37">
        <v>1</v>
      </c>
      <c r="N37">
        <v>1</v>
      </c>
      <c r="O37">
        <v>2026</v>
      </c>
      <c r="R37">
        <f>IF(wallet_records[[#This Row],[type]]="Gasto",wallet_records[[#This Row],[amount]]*(-1),wallet_records[[#This Row],[amount]])</f>
        <v>-180000</v>
      </c>
    </row>
    <row r="38" spans="1:18" x14ac:dyDescent="0.2">
      <c r="A38" t="s">
        <v>127</v>
      </c>
      <c r="B38" t="s">
        <v>114</v>
      </c>
      <c r="C38" t="s">
        <v>115</v>
      </c>
      <c r="D38" s="291">
        <v>50000</v>
      </c>
      <c r="E38">
        <v>50000</v>
      </c>
      <c r="F38" t="s">
        <v>116</v>
      </c>
      <c r="G38" t="s">
        <v>117</v>
      </c>
      <c r="H38" t="s">
        <v>118</v>
      </c>
      <c r="I38" s="197">
        <v>46067.4002253125</v>
      </c>
      <c r="J38" t="b">
        <v>0</v>
      </c>
      <c r="K38" t="s">
        <v>549</v>
      </c>
      <c r="L38" t="s">
        <v>1</v>
      </c>
      <c r="M38">
        <v>14</v>
      </c>
      <c r="N38">
        <v>2</v>
      </c>
      <c r="O38">
        <v>2026</v>
      </c>
      <c r="R38">
        <f>IF(wallet_records[[#This Row],[type]]="Gasto",wallet_records[[#This Row],[amount]]*(-1),wallet_records[[#This Row],[amount]])</f>
        <v>-50000</v>
      </c>
    </row>
    <row r="39" spans="1:18" x14ac:dyDescent="0.2">
      <c r="A39" t="s">
        <v>127</v>
      </c>
      <c r="B39" t="s">
        <v>114</v>
      </c>
      <c r="C39" t="s">
        <v>115</v>
      </c>
      <c r="D39" s="291">
        <v>520000</v>
      </c>
      <c r="E39">
        <v>520000</v>
      </c>
      <c r="F39" t="s">
        <v>116</v>
      </c>
      <c r="G39" t="s">
        <v>117</v>
      </c>
      <c r="H39" t="s">
        <v>118</v>
      </c>
      <c r="I39" s="197">
        <v>46064.371864837965</v>
      </c>
      <c r="J39" t="b">
        <v>0</v>
      </c>
      <c r="K39" t="s">
        <v>549</v>
      </c>
      <c r="L39" t="s">
        <v>1</v>
      </c>
      <c r="M39">
        <v>11</v>
      </c>
      <c r="N39">
        <v>2</v>
      </c>
      <c r="O39">
        <v>2026</v>
      </c>
      <c r="R39">
        <f>IF(wallet_records[[#This Row],[type]]="Gasto",wallet_records[[#This Row],[amount]]*(-1),wallet_records[[#This Row],[amount]])</f>
        <v>-520000</v>
      </c>
    </row>
    <row r="40" spans="1:18" x14ac:dyDescent="0.2">
      <c r="A40" t="s">
        <v>127</v>
      </c>
      <c r="B40" t="s">
        <v>114</v>
      </c>
      <c r="C40" t="s">
        <v>115</v>
      </c>
      <c r="D40" s="291">
        <v>80500</v>
      </c>
      <c r="E40">
        <v>80500</v>
      </c>
      <c r="F40" t="s">
        <v>116</v>
      </c>
      <c r="G40" t="s">
        <v>505</v>
      </c>
      <c r="H40" t="s">
        <v>118</v>
      </c>
      <c r="I40" s="197">
        <v>46063.370793148148</v>
      </c>
      <c r="J40" t="b">
        <v>0</v>
      </c>
      <c r="K40" t="s">
        <v>550</v>
      </c>
      <c r="L40" t="s">
        <v>1</v>
      </c>
      <c r="M40">
        <v>10</v>
      </c>
      <c r="N40">
        <v>2</v>
      </c>
      <c r="O40">
        <v>2026</v>
      </c>
      <c r="R40">
        <f>IF(wallet_records[[#This Row],[type]]="Gasto",wallet_records[[#This Row],[amount]]*(-1),wallet_records[[#This Row],[amount]])</f>
        <v>-80500</v>
      </c>
    </row>
    <row r="41" spans="1:18" x14ac:dyDescent="0.2">
      <c r="A41" t="s">
        <v>127</v>
      </c>
      <c r="B41" t="s">
        <v>114</v>
      </c>
      <c r="C41" t="s">
        <v>115</v>
      </c>
      <c r="D41" s="291">
        <v>15750</v>
      </c>
      <c r="E41">
        <v>15750</v>
      </c>
      <c r="F41" t="s">
        <v>116</v>
      </c>
      <c r="G41" t="s">
        <v>505</v>
      </c>
      <c r="H41" t="s">
        <v>118</v>
      </c>
      <c r="I41" s="197">
        <v>46063.367467465279</v>
      </c>
      <c r="J41" t="b">
        <v>0</v>
      </c>
      <c r="K41" t="s">
        <v>551</v>
      </c>
      <c r="L41" t="s">
        <v>1</v>
      </c>
      <c r="M41">
        <v>10</v>
      </c>
      <c r="N41">
        <v>2</v>
      </c>
      <c r="O41">
        <v>2026</v>
      </c>
      <c r="R41">
        <f>IF(wallet_records[[#This Row],[type]]="Gasto",wallet_records[[#This Row],[amount]]*(-1),wallet_records[[#This Row],[amount]])</f>
        <v>-15750</v>
      </c>
    </row>
    <row r="42" spans="1:18" x14ac:dyDescent="0.2">
      <c r="A42" t="s">
        <v>127</v>
      </c>
      <c r="B42" t="s">
        <v>114</v>
      </c>
      <c r="C42" t="s">
        <v>115</v>
      </c>
      <c r="D42" s="291">
        <v>423900</v>
      </c>
      <c r="E42">
        <v>423900</v>
      </c>
      <c r="F42" t="s">
        <v>116</v>
      </c>
      <c r="G42" t="s">
        <v>505</v>
      </c>
      <c r="H42" t="s">
        <v>509</v>
      </c>
      <c r="I42" s="197">
        <v>46042.770333171298</v>
      </c>
      <c r="J42" t="b">
        <v>0</v>
      </c>
      <c r="K42" t="s">
        <v>123</v>
      </c>
      <c r="L42" t="s">
        <v>5</v>
      </c>
      <c r="M42">
        <v>20</v>
      </c>
      <c r="N42">
        <v>1</v>
      </c>
      <c r="O42">
        <v>2026</v>
      </c>
      <c r="R42">
        <f>IF(wallet_records[[#This Row],[type]]="Gasto",wallet_records[[#This Row],[amount]]*(-1),wallet_records[[#This Row],[amount]])</f>
        <v>-423900</v>
      </c>
    </row>
    <row r="43" spans="1:18" x14ac:dyDescent="0.2">
      <c r="A43" t="s">
        <v>505</v>
      </c>
      <c r="B43" t="s">
        <v>114</v>
      </c>
      <c r="C43" t="s">
        <v>115</v>
      </c>
      <c r="D43" s="291">
        <v>5400</v>
      </c>
      <c r="E43">
        <v>5400</v>
      </c>
      <c r="F43" t="s">
        <v>116</v>
      </c>
      <c r="G43" t="s">
        <v>505</v>
      </c>
      <c r="H43" t="s">
        <v>118</v>
      </c>
      <c r="I43" s="197">
        <v>46041.733158298608</v>
      </c>
      <c r="J43" t="b">
        <v>0</v>
      </c>
      <c r="K43" t="s">
        <v>146</v>
      </c>
      <c r="L43" t="s">
        <v>6</v>
      </c>
      <c r="M43">
        <v>19</v>
      </c>
      <c r="N43">
        <v>1</v>
      </c>
      <c r="O43">
        <v>2026</v>
      </c>
      <c r="R43">
        <f>IF(wallet_records[[#This Row],[type]]="Gasto",wallet_records[[#This Row],[amount]]*(-1),wallet_records[[#This Row],[amount]])</f>
        <v>-5400</v>
      </c>
    </row>
    <row r="44" spans="1:18" x14ac:dyDescent="0.2">
      <c r="A44" t="s">
        <v>127</v>
      </c>
      <c r="B44" t="s">
        <v>114</v>
      </c>
      <c r="C44" t="s">
        <v>115</v>
      </c>
      <c r="D44" s="291">
        <v>364600</v>
      </c>
      <c r="E44">
        <v>364600</v>
      </c>
      <c r="F44" t="s">
        <v>116</v>
      </c>
      <c r="G44" t="s">
        <v>117</v>
      </c>
      <c r="H44" t="s">
        <v>92</v>
      </c>
      <c r="I44" s="197">
        <v>46025.731384143517</v>
      </c>
      <c r="J44" t="b">
        <v>0</v>
      </c>
      <c r="K44" t="s">
        <v>123</v>
      </c>
      <c r="L44" t="s">
        <v>3</v>
      </c>
      <c r="M44">
        <v>3</v>
      </c>
      <c r="N44">
        <v>1</v>
      </c>
      <c r="O44">
        <v>2026</v>
      </c>
      <c r="R44">
        <f>IF(wallet_records[[#This Row],[type]]="Gasto",wallet_records[[#This Row],[amount]]*(-1),wallet_records[[#This Row],[amount]])</f>
        <v>-364600</v>
      </c>
    </row>
    <row r="45" spans="1:18" x14ac:dyDescent="0.2">
      <c r="A45" t="s">
        <v>127</v>
      </c>
      <c r="B45" t="s">
        <v>130</v>
      </c>
      <c r="C45" t="s">
        <v>115</v>
      </c>
      <c r="D45" s="291">
        <v>3146600</v>
      </c>
      <c r="E45">
        <v>3146600</v>
      </c>
      <c r="F45" t="s">
        <v>121</v>
      </c>
      <c r="G45" t="s">
        <v>117</v>
      </c>
      <c r="H45" t="s">
        <v>58</v>
      </c>
      <c r="I45" s="197">
        <v>46069.5</v>
      </c>
      <c r="J45" t="b">
        <v>0</v>
      </c>
      <c r="K45" t="s">
        <v>539</v>
      </c>
      <c r="L45" t="s">
        <v>46</v>
      </c>
      <c r="M45">
        <v>16</v>
      </c>
      <c r="N45">
        <v>2</v>
      </c>
      <c r="O45">
        <v>2026</v>
      </c>
      <c r="R45">
        <f>IF(wallet_records[[#This Row],[type]]="Gasto",wallet_records[[#This Row],[amount]]*(-1),wallet_records[[#This Row],[amount]])</f>
        <v>3146600</v>
      </c>
    </row>
    <row r="46" spans="1:18" x14ac:dyDescent="0.2">
      <c r="A46" t="s">
        <v>127</v>
      </c>
      <c r="B46" t="s">
        <v>130</v>
      </c>
      <c r="C46" t="s">
        <v>115</v>
      </c>
      <c r="D46" s="291">
        <v>1750000</v>
      </c>
      <c r="E46">
        <v>1750000</v>
      </c>
      <c r="F46" t="s">
        <v>121</v>
      </c>
      <c r="G46" t="s">
        <v>117</v>
      </c>
      <c r="H46" t="s">
        <v>58</v>
      </c>
      <c r="I46" s="197">
        <v>46068.5</v>
      </c>
      <c r="J46" t="b">
        <v>0</v>
      </c>
      <c r="K46" t="s">
        <v>540</v>
      </c>
      <c r="L46" t="s">
        <v>1</v>
      </c>
      <c r="M46">
        <v>15</v>
      </c>
      <c r="N46">
        <v>2</v>
      </c>
      <c r="O46">
        <v>2026</v>
      </c>
      <c r="R46">
        <f>IF(wallet_records[[#This Row],[type]]="Gasto",wallet_records[[#This Row],[amount]]*(-1),wallet_records[[#This Row],[amount]])</f>
        <v>1750000</v>
      </c>
    </row>
    <row r="47" spans="1:18" x14ac:dyDescent="0.2">
      <c r="A47" t="s">
        <v>127</v>
      </c>
      <c r="B47" t="s">
        <v>130</v>
      </c>
      <c r="C47" t="s">
        <v>115</v>
      </c>
      <c r="D47" s="291">
        <v>1540000</v>
      </c>
      <c r="E47">
        <v>1540000</v>
      </c>
      <c r="F47" t="s">
        <v>121</v>
      </c>
      <c r="G47" t="s">
        <v>117</v>
      </c>
      <c r="H47" t="s">
        <v>58</v>
      </c>
      <c r="I47" s="197">
        <v>46066.5</v>
      </c>
      <c r="J47" t="b">
        <v>0</v>
      </c>
      <c r="K47" t="s">
        <v>541</v>
      </c>
      <c r="L47" t="s">
        <v>0</v>
      </c>
      <c r="M47">
        <v>13</v>
      </c>
      <c r="N47">
        <v>2</v>
      </c>
      <c r="O47">
        <v>2026</v>
      </c>
      <c r="R47">
        <f>IF(wallet_records[[#This Row],[type]]="Gasto",wallet_records[[#This Row],[amount]]*(-1),wallet_records[[#This Row],[amount]])</f>
        <v>1540000</v>
      </c>
    </row>
    <row r="48" spans="1:18" x14ac:dyDescent="0.2">
      <c r="A48" t="s">
        <v>127</v>
      </c>
      <c r="B48" t="s">
        <v>130</v>
      </c>
      <c r="C48" t="s">
        <v>115</v>
      </c>
      <c r="D48" s="291">
        <v>1715000</v>
      </c>
      <c r="E48">
        <v>1715000</v>
      </c>
      <c r="F48" t="s">
        <v>121</v>
      </c>
      <c r="G48" t="s">
        <v>117</v>
      </c>
      <c r="H48" t="s">
        <v>58</v>
      </c>
      <c r="I48" s="197">
        <v>46053.5</v>
      </c>
      <c r="J48" t="b">
        <v>0</v>
      </c>
      <c r="K48" t="s">
        <v>543</v>
      </c>
      <c r="L48" t="s">
        <v>77</v>
      </c>
      <c r="M48">
        <v>31</v>
      </c>
      <c r="N48">
        <v>1</v>
      </c>
      <c r="O48">
        <v>2026</v>
      </c>
      <c r="R48">
        <f>IF(wallet_records[[#This Row],[type]]="Gasto",wallet_records[[#This Row],[amount]]*(-1),wallet_records[[#This Row],[amount]])</f>
        <v>1715000</v>
      </c>
    </row>
    <row r="49" spans="1:18" x14ac:dyDescent="0.2">
      <c r="A49" t="s">
        <v>127</v>
      </c>
      <c r="B49" t="s">
        <v>130</v>
      </c>
      <c r="C49" t="s">
        <v>115</v>
      </c>
      <c r="D49" s="291">
        <v>500000</v>
      </c>
      <c r="E49">
        <v>500000</v>
      </c>
      <c r="F49" t="s">
        <v>121</v>
      </c>
      <c r="G49" t="s">
        <v>117</v>
      </c>
      <c r="H49" t="s">
        <v>58</v>
      </c>
      <c r="I49" s="197">
        <v>46051.5</v>
      </c>
      <c r="J49" t="b">
        <v>0</v>
      </c>
      <c r="K49" t="s">
        <v>544</v>
      </c>
      <c r="L49" t="s">
        <v>6</v>
      </c>
      <c r="M49">
        <v>29</v>
      </c>
      <c r="N49">
        <v>1</v>
      </c>
      <c r="O49">
        <v>2026</v>
      </c>
      <c r="R49">
        <f>IF(wallet_records[[#This Row],[type]]="Gasto",wallet_records[[#This Row],[amount]]*(-1),wallet_records[[#This Row],[amount]])</f>
        <v>500000</v>
      </c>
    </row>
    <row r="50" spans="1:18" x14ac:dyDescent="0.2">
      <c r="A50" t="s">
        <v>127</v>
      </c>
      <c r="B50" t="s">
        <v>130</v>
      </c>
      <c r="C50" t="s">
        <v>115</v>
      </c>
      <c r="D50" s="291">
        <v>881000</v>
      </c>
      <c r="E50">
        <v>881000</v>
      </c>
      <c r="F50" t="s">
        <v>121</v>
      </c>
      <c r="G50" t="s">
        <v>117</v>
      </c>
      <c r="H50" t="s">
        <v>58</v>
      </c>
      <c r="I50" s="197">
        <v>46050.5</v>
      </c>
      <c r="J50" t="b">
        <v>0</v>
      </c>
      <c r="K50" t="s">
        <v>123</v>
      </c>
      <c r="L50" t="s">
        <v>7</v>
      </c>
      <c r="M50">
        <v>28</v>
      </c>
      <c r="N50">
        <v>1</v>
      </c>
      <c r="O50">
        <v>2026</v>
      </c>
      <c r="R50">
        <f>IF(wallet_records[[#This Row],[type]]="Gasto",wallet_records[[#This Row],[amount]]*(-1),wallet_records[[#This Row],[amount]])</f>
        <v>881000</v>
      </c>
    </row>
    <row r="51" spans="1:18" x14ac:dyDescent="0.2">
      <c r="A51" t="s">
        <v>127</v>
      </c>
      <c r="B51" t="s">
        <v>130</v>
      </c>
      <c r="C51" t="s">
        <v>115</v>
      </c>
      <c r="D51" s="291">
        <v>3146600</v>
      </c>
      <c r="E51">
        <v>3146600</v>
      </c>
      <c r="F51" t="s">
        <v>121</v>
      </c>
      <c r="G51" t="s">
        <v>117</v>
      </c>
      <c r="H51" t="s">
        <v>58</v>
      </c>
      <c r="I51" s="197">
        <v>46038.500192974534</v>
      </c>
      <c r="J51" t="b">
        <v>0</v>
      </c>
      <c r="K51" t="s">
        <v>539</v>
      </c>
      <c r="L51" t="s">
        <v>46</v>
      </c>
      <c r="M51">
        <v>16</v>
      </c>
      <c r="N51">
        <v>1</v>
      </c>
      <c r="O51">
        <v>2026</v>
      </c>
      <c r="R51">
        <f>IF(wallet_records[[#This Row],[type]]="Gasto",wallet_records[[#This Row],[amount]]*(-1),wallet_records[[#This Row],[amount]])</f>
        <v>3146600</v>
      </c>
    </row>
    <row r="52" spans="1:18" x14ac:dyDescent="0.2">
      <c r="A52" t="s">
        <v>127</v>
      </c>
      <c r="B52" t="s">
        <v>130</v>
      </c>
      <c r="C52" t="s">
        <v>115</v>
      </c>
      <c r="D52" s="291">
        <v>1750000</v>
      </c>
      <c r="E52">
        <v>1750000</v>
      </c>
      <c r="F52" t="s">
        <v>121</v>
      </c>
      <c r="G52" t="s">
        <v>117</v>
      </c>
      <c r="H52" t="s">
        <v>58</v>
      </c>
      <c r="I52" s="197">
        <v>46037.500296585647</v>
      </c>
      <c r="J52" t="b">
        <v>0</v>
      </c>
      <c r="K52" t="s">
        <v>540</v>
      </c>
      <c r="L52" t="s">
        <v>1</v>
      </c>
      <c r="M52">
        <v>15</v>
      </c>
      <c r="N52">
        <v>1</v>
      </c>
      <c r="O52">
        <v>2026</v>
      </c>
      <c r="R52">
        <f>IF(wallet_records[[#This Row],[type]]="Gasto",wallet_records[[#This Row],[amount]]*(-1),wallet_records[[#This Row],[amount]])</f>
        <v>1750000</v>
      </c>
    </row>
    <row r="53" spans="1:18" x14ac:dyDescent="0.2">
      <c r="A53" t="s">
        <v>127</v>
      </c>
      <c r="B53" t="s">
        <v>130</v>
      </c>
      <c r="C53" t="s">
        <v>115</v>
      </c>
      <c r="D53" s="291">
        <v>1500000</v>
      </c>
      <c r="E53">
        <v>1500000</v>
      </c>
      <c r="F53" t="s">
        <v>121</v>
      </c>
      <c r="G53" t="s">
        <v>117</v>
      </c>
      <c r="H53" t="s">
        <v>58</v>
      </c>
      <c r="I53" s="197">
        <v>46036.500250462967</v>
      </c>
      <c r="J53" t="b">
        <v>0</v>
      </c>
      <c r="K53" t="s">
        <v>541</v>
      </c>
      <c r="L53" t="s">
        <v>0</v>
      </c>
      <c r="M53">
        <v>14</v>
      </c>
      <c r="N53">
        <v>1</v>
      </c>
      <c r="O53">
        <v>2026</v>
      </c>
      <c r="R53">
        <f>IF(wallet_records[[#This Row],[type]]="Gasto",wallet_records[[#This Row],[amount]]*(-1),wallet_records[[#This Row],[amount]])</f>
        <v>1500000</v>
      </c>
    </row>
    <row r="54" spans="1:18" x14ac:dyDescent="0.2">
      <c r="A54" t="s">
        <v>127</v>
      </c>
      <c r="B54" t="s">
        <v>144</v>
      </c>
      <c r="C54" t="s">
        <v>115</v>
      </c>
      <c r="D54" s="291">
        <v>178000</v>
      </c>
      <c r="E54">
        <v>178000</v>
      </c>
      <c r="F54" t="s">
        <v>116</v>
      </c>
      <c r="G54" t="s">
        <v>117</v>
      </c>
      <c r="H54" t="s">
        <v>145</v>
      </c>
      <c r="I54" s="197">
        <v>45992.791666666664</v>
      </c>
      <c r="J54" t="b">
        <v>0</v>
      </c>
      <c r="K54" t="s">
        <v>146</v>
      </c>
      <c r="L54" t="s">
        <v>139</v>
      </c>
      <c r="M54">
        <v>1</v>
      </c>
      <c r="N54">
        <v>12</v>
      </c>
      <c r="O54">
        <v>2025</v>
      </c>
      <c r="R54">
        <f>IF(wallet_records[[#This Row],[type]]="Gasto",wallet_records[[#This Row],[amount]]*(-1),wallet_records[[#This Row],[amount]])</f>
        <v>-178000</v>
      </c>
    </row>
    <row r="55" spans="1:18" x14ac:dyDescent="0.2">
      <c r="A55" t="s">
        <v>127</v>
      </c>
      <c r="B55" t="s">
        <v>144</v>
      </c>
      <c r="C55" t="s">
        <v>115</v>
      </c>
      <c r="D55" s="291">
        <v>178000</v>
      </c>
      <c r="E55">
        <v>178000</v>
      </c>
      <c r="F55" t="s">
        <v>116</v>
      </c>
      <c r="G55" t="s">
        <v>117</v>
      </c>
      <c r="H55" t="s">
        <v>145</v>
      </c>
      <c r="I55" s="197">
        <v>45963.791666666664</v>
      </c>
      <c r="J55" t="b">
        <v>0</v>
      </c>
      <c r="K55" t="s">
        <v>146</v>
      </c>
      <c r="L55" t="s">
        <v>139</v>
      </c>
      <c r="M55">
        <v>2</v>
      </c>
      <c r="N55">
        <v>11</v>
      </c>
      <c r="O55">
        <v>2025</v>
      </c>
      <c r="R55">
        <f>IF(wallet_records[[#This Row],[type]]="Gasto",wallet_records[[#This Row],[amount]]*(-1),wallet_records[[#This Row],[amount]])</f>
        <v>-178000</v>
      </c>
    </row>
    <row r="56" spans="1:18" x14ac:dyDescent="0.2">
      <c r="A56" t="s">
        <v>127</v>
      </c>
      <c r="B56" t="s">
        <v>144</v>
      </c>
      <c r="C56" t="s">
        <v>115</v>
      </c>
      <c r="D56" s="291">
        <v>178000</v>
      </c>
      <c r="E56">
        <v>178000</v>
      </c>
      <c r="F56" t="s">
        <v>116</v>
      </c>
      <c r="G56" t="s">
        <v>117</v>
      </c>
      <c r="H56" t="s">
        <v>145</v>
      </c>
      <c r="I56" s="197">
        <v>45931.791666666664</v>
      </c>
      <c r="J56" t="b">
        <v>0</v>
      </c>
      <c r="K56" t="s">
        <v>146</v>
      </c>
      <c r="L56" t="s">
        <v>139</v>
      </c>
      <c r="M56">
        <v>1</v>
      </c>
      <c r="N56">
        <v>10</v>
      </c>
      <c r="O56">
        <v>2025</v>
      </c>
      <c r="R56">
        <f>IF(wallet_records[[#This Row],[type]]="Gasto",wallet_records[[#This Row],[amount]]*(-1),wallet_records[[#This Row],[amount]])</f>
        <v>-178000</v>
      </c>
    </row>
    <row r="57" spans="1:18" x14ac:dyDescent="0.2">
      <c r="A57" t="s">
        <v>127</v>
      </c>
      <c r="B57" t="s">
        <v>144</v>
      </c>
      <c r="C57" t="s">
        <v>115</v>
      </c>
      <c r="D57" s="291">
        <v>178000</v>
      </c>
      <c r="E57">
        <v>178000</v>
      </c>
      <c r="F57" t="s">
        <v>116</v>
      </c>
      <c r="G57" t="s">
        <v>117</v>
      </c>
      <c r="H57" t="s">
        <v>145</v>
      </c>
      <c r="I57" s="197">
        <v>45901.791666666664</v>
      </c>
      <c r="J57" t="b">
        <v>0</v>
      </c>
      <c r="K57" t="s">
        <v>146</v>
      </c>
      <c r="L57" t="s">
        <v>139</v>
      </c>
      <c r="M57">
        <v>1</v>
      </c>
      <c r="N57">
        <v>9</v>
      </c>
      <c r="O57">
        <v>2025</v>
      </c>
      <c r="R57">
        <f>IF(wallet_records[[#This Row],[type]]="Gasto",wallet_records[[#This Row],[amount]]*(-1),wallet_records[[#This Row],[amount]])</f>
        <v>-178000</v>
      </c>
    </row>
    <row r="58" spans="1:18" x14ac:dyDescent="0.2">
      <c r="A58" t="s">
        <v>127</v>
      </c>
      <c r="B58" t="s">
        <v>144</v>
      </c>
      <c r="C58" t="s">
        <v>115</v>
      </c>
      <c r="D58" s="291">
        <v>178000</v>
      </c>
      <c r="E58">
        <v>178000</v>
      </c>
      <c r="F58" t="s">
        <v>116</v>
      </c>
      <c r="G58" t="s">
        <v>117</v>
      </c>
      <c r="H58" t="s">
        <v>145</v>
      </c>
      <c r="I58" s="197">
        <v>45870.791666666664</v>
      </c>
      <c r="J58" t="b">
        <v>0</v>
      </c>
      <c r="K58" t="s">
        <v>146</v>
      </c>
      <c r="L58" t="s">
        <v>139</v>
      </c>
      <c r="M58">
        <v>1</v>
      </c>
      <c r="N58">
        <v>8</v>
      </c>
      <c r="O58">
        <v>2025</v>
      </c>
      <c r="R58">
        <f>IF(wallet_records[[#This Row],[type]]="Gasto",wallet_records[[#This Row],[amount]]*(-1),wallet_records[[#This Row],[amount]])</f>
        <v>-178000</v>
      </c>
    </row>
    <row r="59" spans="1:18" x14ac:dyDescent="0.2">
      <c r="A59" t="s">
        <v>127</v>
      </c>
      <c r="B59" t="s">
        <v>144</v>
      </c>
      <c r="C59" t="s">
        <v>115</v>
      </c>
      <c r="D59" s="291">
        <v>178000</v>
      </c>
      <c r="E59">
        <v>178000</v>
      </c>
      <c r="F59" t="s">
        <v>116</v>
      </c>
      <c r="G59" t="s">
        <v>117</v>
      </c>
      <c r="H59" t="s">
        <v>145</v>
      </c>
      <c r="I59" s="197">
        <v>45840.791666666664</v>
      </c>
      <c r="J59" t="b">
        <v>0</v>
      </c>
      <c r="K59" t="s">
        <v>146</v>
      </c>
      <c r="L59" t="s">
        <v>139</v>
      </c>
      <c r="M59">
        <v>2</v>
      </c>
      <c r="N59">
        <v>7</v>
      </c>
      <c r="O59">
        <v>2025</v>
      </c>
      <c r="R59">
        <f>IF(wallet_records[[#This Row],[type]]="Gasto",wallet_records[[#This Row],[amount]]*(-1),wallet_records[[#This Row],[amount]])</f>
        <v>-178000</v>
      </c>
    </row>
    <row r="60" spans="1:18" x14ac:dyDescent="0.2">
      <c r="A60" t="s">
        <v>127</v>
      </c>
      <c r="B60" t="s">
        <v>144</v>
      </c>
      <c r="C60" t="s">
        <v>115</v>
      </c>
      <c r="D60" s="291">
        <v>178000</v>
      </c>
      <c r="E60">
        <v>178000</v>
      </c>
      <c r="F60" t="s">
        <v>116</v>
      </c>
      <c r="G60" t="s">
        <v>117</v>
      </c>
      <c r="H60" t="s">
        <v>145</v>
      </c>
      <c r="I60" s="197">
        <v>45809.791666666664</v>
      </c>
      <c r="J60" t="b">
        <v>0</v>
      </c>
      <c r="K60" t="s">
        <v>146</v>
      </c>
      <c r="L60" t="s">
        <v>139</v>
      </c>
      <c r="M60">
        <v>1</v>
      </c>
      <c r="N60">
        <v>6</v>
      </c>
      <c r="O60">
        <v>2025</v>
      </c>
      <c r="R60">
        <f>IF(wallet_records[[#This Row],[type]]="Gasto",wallet_records[[#This Row],[amount]]*(-1),wallet_records[[#This Row],[amount]])</f>
        <v>-178000</v>
      </c>
    </row>
    <row r="61" spans="1:18" x14ac:dyDescent="0.2">
      <c r="A61" t="s">
        <v>127</v>
      </c>
      <c r="B61" t="s">
        <v>144</v>
      </c>
      <c r="C61" t="s">
        <v>115</v>
      </c>
      <c r="D61" s="291">
        <v>178000</v>
      </c>
      <c r="E61">
        <v>178000</v>
      </c>
      <c r="F61" t="s">
        <v>116</v>
      </c>
      <c r="G61" t="s">
        <v>117</v>
      </c>
      <c r="H61" t="s">
        <v>145</v>
      </c>
      <c r="I61" s="197">
        <v>45782.791666666664</v>
      </c>
      <c r="J61" t="b">
        <v>0</v>
      </c>
      <c r="K61" t="s">
        <v>146</v>
      </c>
      <c r="L61" t="s">
        <v>139</v>
      </c>
      <c r="M61">
        <v>5</v>
      </c>
      <c r="N61">
        <v>5</v>
      </c>
      <c r="O61">
        <v>2025</v>
      </c>
      <c r="R61">
        <f>IF(wallet_records[[#This Row],[type]]="Gasto",wallet_records[[#This Row],[amount]]*(-1),wallet_records[[#This Row],[amount]])</f>
        <v>-178000</v>
      </c>
    </row>
    <row r="62" spans="1:18" x14ac:dyDescent="0.2">
      <c r="A62" t="s">
        <v>127</v>
      </c>
      <c r="B62" t="s">
        <v>144</v>
      </c>
      <c r="C62" t="s">
        <v>115</v>
      </c>
      <c r="D62" s="291">
        <v>405800</v>
      </c>
      <c r="E62">
        <v>405800</v>
      </c>
      <c r="F62" t="s">
        <v>116</v>
      </c>
      <c r="G62" t="s">
        <v>117</v>
      </c>
      <c r="H62" t="s">
        <v>145</v>
      </c>
      <c r="I62" s="197">
        <v>45748.791666666664</v>
      </c>
      <c r="J62" t="b">
        <v>0</v>
      </c>
      <c r="K62" t="s">
        <v>146</v>
      </c>
      <c r="L62" t="s">
        <v>139</v>
      </c>
      <c r="M62">
        <v>1</v>
      </c>
      <c r="N62">
        <v>4</v>
      </c>
      <c r="O62">
        <v>2025</v>
      </c>
      <c r="R62">
        <f>IF(wallet_records[[#This Row],[type]]="Gasto",wallet_records[[#This Row],[amount]]*(-1),wallet_records[[#This Row],[amount]])</f>
        <v>-405800</v>
      </c>
    </row>
    <row r="63" spans="1:18" x14ac:dyDescent="0.2">
      <c r="A63" t="s">
        <v>127</v>
      </c>
      <c r="B63" t="s">
        <v>144</v>
      </c>
      <c r="C63" t="s">
        <v>115</v>
      </c>
      <c r="D63" s="291">
        <v>405800</v>
      </c>
      <c r="E63">
        <v>405800</v>
      </c>
      <c r="F63" t="s">
        <v>116</v>
      </c>
      <c r="G63" t="s">
        <v>117</v>
      </c>
      <c r="H63" t="s">
        <v>145</v>
      </c>
      <c r="I63" s="197">
        <v>45717.791666666664</v>
      </c>
      <c r="J63" t="b">
        <v>0</v>
      </c>
      <c r="K63" t="s">
        <v>146</v>
      </c>
      <c r="L63" t="s">
        <v>139</v>
      </c>
      <c r="M63">
        <v>1</v>
      </c>
      <c r="N63">
        <v>3</v>
      </c>
      <c r="O63">
        <v>2025</v>
      </c>
      <c r="R63">
        <f>IF(wallet_records[[#This Row],[type]]="Gasto",wallet_records[[#This Row],[amount]]*(-1),wallet_records[[#This Row],[amount]])</f>
        <v>-405800</v>
      </c>
    </row>
    <row r="64" spans="1:18" x14ac:dyDescent="0.2">
      <c r="A64" t="s">
        <v>127</v>
      </c>
      <c r="B64" t="s">
        <v>144</v>
      </c>
      <c r="C64" t="s">
        <v>115</v>
      </c>
      <c r="D64" s="291">
        <v>405800</v>
      </c>
      <c r="E64">
        <v>405800</v>
      </c>
      <c r="F64" t="s">
        <v>116</v>
      </c>
      <c r="G64" t="s">
        <v>117</v>
      </c>
      <c r="H64" t="s">
        <v>145</v>
      </c>
      <c r="I64" s="197">
        <v>45692.791666666664</v>
      </c>
      <c r="J64" t="b">
        <v>0</v>
      </c>
      <c r="K64" t="s">
        <v>146</v>
      </c>
      <c r="L64" t="s">
        <v>139</v>
      </c>
      <c r="M64">
        <v>4</v>
      </c>
      <c r="N64">
        <v>2</v>
      </c>
      <c r="O64">
        <v>2025</v>
      </c>
      <c r="R64">
        <f>IF(wallet_records[[#This Row],[type]]="Gasto",wallet_records[[#This Row],[amount]]*(-1),wallet_records[[#This Row],[amount]])</f>
        <v>-405800</v>
      </c>
    </row>
    <row r="65" spans="1:18" x14ac:dyDescent="0.2">
      <c r="A65" t="s">
        <v>127</v>
      </c>
      <c r="B65" t="s">
        <v>144</v>
      </c>
      <c r="C65" t="s">
        <v>115</v>
      </c>
      <c r="D65" s="291">
        <v>405800</v>
      </c>
      <c r="E65">
        <v>405800</v>
      </c>
      <c r="F65" t="s">
        <v>116</v>
      </c>
      <c r="G65" t="s">
        <v>117</v>
      </c>
      <c r="H65" t="s">
        <v>145</v>
      </c>
      <c r="I65" s="197">
        <v>45658.791666666664</v>
      </c>
      <c r="J65" t="b">
        <v>0</v>
      </c>
      <c r="K65" t="s">
        <v>146</v>
      </c>
      <c r="L65" t="s">
        <v>139</v>
      </c>
      <c r="M65">
        <v>1</v>
      </c>
      <c r="N65">
        <v>1</v>
      </c>
      <c r="O65">
        <v>2025</v>
      </c>
      <c r="R65">
        <f>IF(wallet_records[[#This Row],[type]]="Gasto",wallet_records[[#This Row],[amount]]*(-1),wallet_records[[#This Row],[amount]])</f>
        <v>-405800</v>
      </c>
    </row>
    <row r="66" spans="1:18" x14ac:dyDescent="0.2">
      <c r="A66" t="s">
        <v>524</v>
      </c>
      <c r="B66" t="s">
        <v>215</v>
      </c>
      <c r="C66" t="s">
        <v>115</v>
      </c>
      <c r="D66" s="291">
        <v>5000000</v>
      </c>
      <c r="E66">
        <v>5000000</v>
      </c>
      <c r="F66" t="s">
        <v>116</v>
      </c>
      <c r="G66" t="s">
        <v>117</v>
      </c>
      <c r="H66" t="s">
        <v>216</v>
      </c>
      <c r="I66" s="197">
        <v>45696.792080277781</v>
      </c>
      <c r="J66" t="b">
        <v>0</v>
      </c>
      <c r="K66" t="s">
        <v>123</v>
      </c>
      <c r="L66" t="s">
        <v>139</v>
      </c>
      <c r="M66">
        <v>8</v>
      </c>
      <c r="N66">
        <v>2</v>
      </c>
      <c r="O66">
        <v>2025</v>
      </c>
      <c r="R66">
        <f>IF(wallet_records[[#This Row],[type]]="Gasto",wallet_records[[#This Row],[amount]]*(-1),wallet_records[[#This Row],[amount]])</f>
        <v>-5000000</v>
      </c>
    </row>
    <row r="67" spans="1:18" x14ac:dyDescent="0.2">
      <c r="A67" t="s">
        <v>119</v>
      </c>
      <c r="B67" t="s">
        <v>154</v>
      </c>
      <c r="C67" t="s">
        <v>115</v>
      </c>
      <c r="D67" s="291">
        <v>5176</v>
      </c>
      <c r="E67">
        <v>5176</v>
      </c>
      <c r="F67" t="s">
        <v>116</v>
      </c>
      <c r="G67" t="s">
        <v>117</v>
      </c>
      <c r="H67" t="s">
        <v>155</v>
      </c>
      <c r="I67" s="197">
        <v>45972.791666666664</v>
      </c>
      <c r="J67" t="b">
        <v>0</v>
      </c>
      <c r="K67" t="s">
        <v>123</v>
      </c>
      <c r="L67" t="s">
        <v>139</v>
      </c>
      <c r="M67">
        <v>11</v>
      </c>
      <c r="N67">
        <v>11</v>
      </c>
      <c r="O67">
        <v>2025</v>
      </c>
      <c r="R67">
        <f>IF(wallet_records[[#This Row],[type]]="Gasto",wallet_records[[#This Row],[amount]]*(-1),wallet_records[[#This Row],[amount]])</f>
        <v>-5176</v>
      </c>
    </row>
    <row r="68" spans="1:18" x14ac:dyDescent="0.2">
      <c r="A68" t="s">
        <v>119</v>
      </c>
      <c r="B68" t="s">
        <v>154</v>
      </c>
      <c r="C68" t="s">
        <v>115</v>
      </c>
      <c r="D68" s="291">
        <v>4000</v>
      </c>
      <c r="E68">
        <v>4000</v>
      </c>
      <c r="F68" t="s">
        <v>116</v>
      </c>
      <c r="G68" t="s">
        <v>117</v>
      </c>
      <c r="H68" t="s">
        <v>155</v>
      </c>
      <c r="I68" s="197">
        <v>45969.791666666664</v>
      </c>
      <c r="J68" t="b">
        <v>0</v>
      </c>
      <c r="K68" t="s">
        <v>123</v>
      </c>
      <c r="L68" t="s">
        <v>139</v>
      </c>
      <c r="M68">
        <v>8</v>
      </c>
      <c r="N68">
        <v>11</v>
      </c>
      <c r="O68">
        <v>2025</v>
      </c>
      <c r="R68">
        <f>IF(wallet_records[[#This Row],[type]]="Gasto",wallet_records[[#This Row],[amount]]*(-1),wallet_records[[#This Row],[amount]])</f>
        <v>-4000</v>
      </c>
    </row>
    <row r="69" spans="1:18" x14ac:dyDescent="0.2">
      <c r="A69" t="s">
        <v>524</v>
      </c>
      <c r="B69" t="s">
        <v>154</v>
      </c>
      <c r="C69" t="s">
        <v>115</v>
      </c>
      <c r="D69" s="291">
        <v>15000</v>
      </c>
      <c r="E69">
        <v>15000</v>
      </c>
      <c r="F69" t="s">
        <v>116</v>
      </c>
      <c r="G69" t="s">
        <v>117</v>
      </c>
      <c r="H69" t="s">
        <v>158</v>
      </c>
      <c r="I69" s="197">
        <v>45962.792343680558</v>
      </c>
      <c r="J69" t="b">
        <v>0</v>
      </c>
      <c r="K69" t="s">
        <v>545</v>
      </c>
      <c r="L69" t="s">
        <v>1</v>
      </c>
      <c r="M69">
        <v>1</v>
      </c>
      <c r="N69">
        <v>11</v>
      </c>
      <c r="O69">
        <v>2025</v>
      </c>
      <c r="R69">
        <f>IF(wallet_records[[#This Row],[type]]="Gasto",wallet_records[[#This Row],[amount]]*(-1),wallet_records[[#This Row],[amount]])</f>
        <v>-15000</v>
      </c>
    </row>
    <row r="70" spans="1:18" x14ac:dyDescent="0.2">
      <c r="A70" t="s">
        <v>524</v>
      </c>
      <c r="B70" t="s">
        <v>154</v>
      </c>
      <c r="C70" t="s">
        <v>115</v>
      </c>
      <c r="D70" s="291">
        <v>13000</v>
      </c>
      <c r="E70">
        <v>13000</v>
      </c>
      <c r="F70" t="s">
        <v>116</v>
      </c>
      <c r="G70" t="s">
        <v>117</v>
      </c>
      <c r="H70" t="s">
        <v>158</v>
      </c>
      <c r="I70" s="197">
        <v>45962.792314745369</v>
      </c>
      <c r="J70" t="b">
        <v>0</v>
      </c>
      <c r="K70" t="s">
        <v>545</v>
      </c>
      <c r="L70" t="s">
        <v>46</v>
      </c>
      <c r="M70">
        <v>1</v>
      </c>
      <c r="N70">
        <v>11</v>
      </c>
      <c r="O70">
        <v>2025</v>
      </c>
      <c r="R70">
        <f>IF(wallet_records[[#This Row],[type]]="Gasto",wallet_records[[#This Row],[amount]]*(-1),wallet_records[[#This Row],[amount]])</f>
        <v>-13000</v>
      </c>
    </row>
    <row r="71" spans="1:18" x14ac:dyDescent="0.2">
      <c r="A71" t="s">
        <v>524</v>
      </c>
      <c r="B71" t="s">
        <v>154</v>
      </c>
      <c r="C71" t="s">
        <v>115</v>
      </c>
      <c r="D71" s="291">
        <v>15000</v>
      </c>
      <c r="E71">
        <v>15000</v>
      </c>
      <c r="F71" t="s">
        <v>116</v>
      </c>
      <c r="G71" t="s">
        <v>117</v>
      </c>
      <c r="H71" t="s">
        <v>158</v>
      </c>
      <c r="I71" s="197">
        <v>45962.792246307872</v>
      </c>
      <c r="J71" t="b">
        <v>0</v>
      </c>
      <c r="K71" t="s">
        <v>545</v>
      </c>
      <c r="L71" t="s">
        <v>1</v>
      </c>
      <c r="M71">
        <v>1</v>
      </c>
      <c r="N71">
        <v>11</v>
      </c>
      <c r="O71">
        <v>2025</v>
      </c>
      <c r="R71">
        <f>IF(wallet_records[[#This Row],[type]]="Gasto",wallet_records[[#This Row],[amount]]*(-1),wallet_records[[#This Row],[amount]])</f>
        <v>-15000</v>
      </c>
    </row>
    <row r="72" spans="1:18" x14ac:dyDescent="0.2">
      <c r="A72" t="s">
        <v>524</v>
      </c>
      <c r="B72" t="s">
        <v>154</v>
      </c>
      <c r="C72" t="s">
        <v>115</v>
      </c>
      <c r="D72" s="291">
        <v>16000</v>
      </c>
      <c r="E72">
        <v>16000</v>
      </c>
      <c r="F72" t="s">
        <v>116</v>
      </c>
      <c r="G72" t="s">
        <v>117</v>
      </c>
      <c r="H72" t="s">
        <v>158</v>
      </c>
      <c r="I72" s="197">
        <v>45962.792062094908</v>
      </c>
      <c r="J72" t="b">
        <v>0</v>
      </c>
      <c r="K72" t="s">
        <v>545</v>
      </c>
      <c r="L72" t="s">
        <v>77</v>
      </c>
      <c r="M72">
        <v>1</v>
      </c>
      <c r="N72">
        <v>11</v>
      </c>
      <c r="O72">
        <v>2025</v>
      </c>
      <c r="R72">
        <f>IF(wallet_records[[#This Row],[type]]="Gasto",wallet_records[[#This Row],[amount]]*(-1),wallet_records[[#This Row],[amount]])</f>
        <v>-16000</v>
      </c>
    </row>
    <row r="73" spans="1:18" x14ac:dyDescent="0.2">
      <c r="A73" t="s">
        <v>524</v>
      </c>
      <c r="B73" t="s">
        <v>154</v>
      </c>
      <c r="C73" t="s">
        <v>115</v>
      </c>
      <c r="D73" s="291">
        <v>12600</v>
      </c>
      <c r="E73">
        <v>12600</v>
      </c>
      <c r="F73" t="s">
        <v>116</v>
      </c>
      <c r="G73" t="s">
        <v>117</v>
      </c>
      <c r="H73" t="s">
        <v>158</v>
      </c>
      <c r="I73" s="197">
        <v>45962.791981620372</v>
      </c>
      <c r="J73" t="b">
        <v>0</v>
      </c>
      <c r="K73" t="s">
        <v>545</v>
      </c>
      <c r="L73" t="s">
        <v>0</v>
      </c>
      <c r="M73">
        <v>1</v>
      </c>
      <c r="N73">
        <v>11</v>
      </c>
      <c r="O73">
        <v>2025</v>
      </c>
      <c r="R73">
        <f>IF(wallet_records[[#This Row],[type]]="Gasto",wallet_records[[#This Row],[amount]]*(-1),wallet_records[[#This Row],[amount]])</f>
        <v>-12600</v>
      </c>
    </row>
    <row r="74" spans="1:18" x14ac:dyDescent="0.2">
      <c r="A74" t="s">
        <v>524</v>
      </c>
      <c r="B74" t="s">
        <v>154</v>
      </c>
      <c r="C74" t="s">
        <v>115</v>
      </c>
      <c r="D74" s="291">
        <v>16000</v>
      </c>
      <c r="E74">
        <v>16000</v>
      </c>
      <c r="F74" t="s">
        <v>116</v>
      </c>
      <c r="G74" t="s">
        <v>117</v>
      </c>
      <c r="H74" t="s">
        <v>158</v>
      </c>
      <c r="I74" s="197">
        <v>45962.791961932868</v>
      </c>
      <c r="J74" t="b">
        <v>0</v>
      </c>
      <c r="K74" t="s">
        <v>545</v>
      </c>
      <c r="L74" t="s">
        <v>77</v>
      </c>
      <c r="M74">
        <v>1</v>
      </c>
      <c r="N74">
        <v>11</v>
      </c>
      <c r="O74">
        <v>2025</v>
      </c>
      <c r="R74">
        <f>IF(wallet_records[[#This Row],[type]]="Gasto",wallet_records[[#This Row],[amount]]*(-1),wallet_records[[#This Row],[amount]])</f>
        <v>-16000</v>
      </c>
    </row>
    <row r="75" spans="1:18" x14ac:dyDescent="0.2">
      <c r="A75" t="s">
        <v>524</v>
      </c>
      <c r="B75" t="s">
        <v>154</v>
      </c>
      <c r="C75" t="s">
        <v>115</v>
      </c>
      <c r="D75" s="291">
        <v>13000</v>
      </c>
      <c r="E75">
        <v>13000</v>
      </c>
      <c r="F75" t="s">
        <v>116</v>
      </c>
      <c r="G75" t="s">
        <v>117</v>
      </c>
      <c r="H75" t="s">
        <v>158</v>
      </c>
      <c r="I75" s="197">
        <v>45962.791913506946</v>
      </c>
      <c r="J75" t="b">
        <v>0</v>
      </c>
      <c r="K75" t="s">
        <v>545</v>
      </c>
      <c r="L75" t="s">
        <v>0</v>
      </c>
      <c r="M75">
        <v>1</v>
      </c>
      <c r="N75">
        <v>11</v>
      </c>
      <c r="O75">
        <v>2025</v>
      </c>
      <c r="R75">
        <f>IF(wallet_records[[#This Row],[type]]="Gasto",wallet_records[[#This Row],[amount]]*(-1),wallet_records[[#This Row],[amount]])</f>
        <v>-13000</v>
      </c>
    </row>
    <row r="76" spans="1:18" x14ac:dyDescent="0.2">
      <c r="A76" t="s">
        <v>524</v>
      </c>
      <c r="B76" t="s">
        <v>154</v>
      </c>
      <c r="C76" t="s">
        <v>115</v>
      </c>
      <c r="D76" s="291">
        <v>10800</v>
      </c>
      <c r="E76">
        <v>10800</v>
      </c>
      <c r="F76" t="s">
        <v>116</v>
      </c>
      <c r="G76" t="s">
        <v>117</v>
      </c>
      <c r="H76" t="s">
        <v>158</v>
      </c>
      <c r="I76" s="197">
        <v>45962.791869224537</v>
      </c>
      <c r="J76" t="b">
        <v>0</v>
      </c>
      <c r="K76" t="s">
        <v>545</v>
      </c>
      <c r="L76" t="s">
        <v>46</v>
      </c>
      <c r="M76">
        <v>1</v>
      </c>
      <c r="N76">
        <v>11</v>
      </c>
      <c r="O76">
        <v>2025</v>
      </c>
      <c r="R76">
        <f>IF(wallet_records[[#This Row],[type]]="Gasto",wallet_records[[#This Row],[amount]]*(-1),wallet_records[[#This Row],[amount]])</f>
        <v>-10800</v>
      </c>
    </row>
    <row r="77" spans="1:18" x14ac:dyDescent="0.2">
      <c r="A77" t="s">
        <v>524</v>
      </c>
      <c r="B77" t="s">
        <v>154</v>
      </c>
      <c r="C77" t="s">
        <v>115</v>
      </c>
      <c r="D77" s="291">
        <v>14400</v>
      </c>
      <c r="E77">
        <v>14400</v>
      </c>
      <c r="F77" t="s">
        <v>116</v>
      </c>
      <c r="G77" t="s">
        <v>117</v>
      </c>
      <c r="H77" t="s">
        <v>158</v>
      </c>
      <c r="I77" s="197">
        <v>45962.791809895833</v>
      </c>
      <c r="J77" t="b">
        <v>0</v>
      </c>
      <c r="K77" t="s">
        <v>545</v>
      </c>
      <c r="L77" t="s">
        <v>77</v>
      </c>
      <c r="M77">
        <v>1</v>
      </c>
      <c r="N77">
        <v>11</v>
      </c>
      <c r="O77">
        <v>2025</v>
      </c>
      <c r="R77">
        <f>IF(wallet_records[[#This Row],[type]]="Gasto",wallet_records[[#This Row],[amount]]*(-1),wallet_records[[#This Row],[amount]])</f>
        <v>-14400</v>
      </c>
    </row>
    <row r="78" spans="1:18" x14ac:dyDescent="0.2">
      <c r="A78" t="s">
        <v>524</v>
      </c>
      <c r="B78" t="s">
        <v>154</v>
      </c>
      <c r="C78" t="s">
        <v>115</v>
      </c>
      <c r="D78" s="291">
        <v>13000</v>
      </c>
      <c r="E78">
        <v>13000</v>
      </c>
      <c r="F78" t="s">
        <v>116</v>
      </c>
      <c r="G78" t="s">
        <v>117</v>
      </c>
      <c r="H78" t="s">
        <v>158</v>
      </c>
      <c r="I78" s="197">
        <v>45962.791799108796</v>
      </c>
      <c r="J78" t="b">
        <v>0</v>
      </c>
      <c r="K78" t="s">
        <v>545</v>
      </c>
      <c r="L78" t="s">
        <v>0</v>
      </c>
      <c r="M78">
        <v>1</v>
      </c>
      <c r="N78">
        <v>11</v>
      </c>
      <c r="O78">
        <v>2025</v>
      </c>
      <c r="R78">
        <f>IF(wallet_records[[#This Row],[type]]="Gasto",wallet_records[[#This Row],[amount]]*(-1),wallet_records[[#This Row],[amount]])</f>
        <v>-13000</v>
      </c>
    </row>
    <row r="79" spans="1:18" x14ac:dyDescent="0.2">
      <c r="A79" t="s">
        <v>524</v>
      </c>
      <c r="B79" t="s">
        <v>154</v>
      </c>
      <c r="C79" t="s">
        <v>115</v>
      </c>
      <c r="D79" s="291">
        <v>12000</v>
      </c>
      <c r="E79">
        <v>12000</v>
      </c>
      <c r="F79" t="s">
        <v>116</v>
      </c>
      <c r="G79" t="s">
        <v>117</v>
      </c>
      <c r="H79" t="s">
        <v>158</v>
      </c>
      <c r="I79" s="197">
        <v>45962.791756574072</v>
      </c>
      <c r="J79" t="b">
        <v>0</v>
      </c>
      <c r="K79" t="s">
        <v>545</v>
      </c>
      <c r="L79" t="s">
        <v>46</v>
      </c>
      <c r="M79">
        <v>1</v>
      </c>
      <c r="N79">
        <v>11</v>
      </c>
      <c r="O79">
        <v>2025</v>
      </c>
      <c r="R79">
        <f>IF(wallet_records[[#This Row],[type]]="Gasto",wallet_records[[#This Row],[amount]]*(-1),wallet_records[[#This Row],[amount]])</f>
        <v>-12000</v>
      </c>
    </row>
    <row r="80" spans="1:18" x14ac:dyDescent="0.2">
      <c r="A80" t="s">
        <v>524</v>
      </c>
      <c r="B80" t="s">
        <v>154</v>
      </c>
      <c r="C80" t="s">
        <v>115</v>
      </c>
      <c r="D80" s="291">
        <v>12600</v>
      </c>
      <c r="E80">
        <v>12600</v>
      </c>
      <c r="F80" t="s">
        <v>116</v>
      </c>
      <c r="G80" t="s">
        <v>117</v>
      </c>
      <c r="H80" t="s">
        <v>158</v>
      </c>
      <c r="I80" s="197">
        <v>45962.791742187503</v>
      </c>
      <c r="J80" t="b">
        <v>0</v>
      </c>
      <c r="K80" t="s">
        <v>545</v>
      </c>
      <c r="L80" t="s">
        <v>1</v>
      </c>
      <c r="M80">
        <v>1</v>
      </c>
      <c r="N80">
        <v>11</v>
      </c>
      <c r="O80">
        <v>2025</v>
      </c>
      <c r="R80">
        <f>IF(wallet_records[[#This Row],[type]]="Gasto",wallet_records[[#This Row],[amount]]*(-1),wallet_records[[#This Row],[amount]])</f>
        <v>-12600</v>
      </c>
    </row>
    <row r="81" spans="1:18" x14ac:dyDescent="0.2">
      <c r="A81" t="s">
        <v>524</v>
      </c>
      <c r="B81" t="s">
        <v>154</v>
      </c>
      <c r="C81" t="s">
        <v>115</v>
      </c>
      <c r="D81" s="291">
        <v>8010</v>
      </c>
      <c r="E81">
        <v>8010</v>
      </c>
      <c r="F81" t="s">
        <v>116</v>
      </c>
      <c r="G81" t="s">
        <v>117</v>
      </c>
      <c r="H81" t="s">
        <v>158</v>
      </c>
      <c r="I81" s="197">
        <v>45962.791666666664</v>
      </c>
      <c r="J81" t="b">
        <v>0</v>
      </c>
      <c r="K81" t="s">
        <v>7</v>
      </c>
      <c r="L81" t="s">
        <v>7</v>
      </c>
      <c r="M81">
        <v>1</v>
      </c>
      <c r="N81">
        <v>11</v>
      </c>
      <c r="O81">
        <v>2025</v>
      </c>
      <c r="R81">
        <f>IF(wallet_records[[#This Row],[type]]="Gasto",wallet_records[[#This Row],[amount]]*(-1),wallet_records[[#This Row],[amount]])</f>
        <v>-8010</v>
      </c>
    </row>
    <row r="82" spans="1:18" x14ac:dyDescent="0.2">
      <c r="A82" t="s">
        <v>119</v>
      </c>
      <c r="B82" t="s">
        <v>154</v>
      </c>
      <c r="C82" t="s">
        <v>115</v>
      </c>
      <c r="D82" s="291">
        <v>20000</v>
      </c>
      <c r="E82">
        <v>20000</v>
      </c>
      <c r="F82" t="s">
        <v>116</v>
      </c>
      <c r="G82" t="s">
        <v>117</v>
      </c>
      <c r="H82" t="s">
        <v>155</v>
      </c>
      <c r="I82" s="197">
        <v>45954.791666666664</v>
      </c>
      <c r="J82" t="b">
        <v>0</v>
      </c>
      <c r="K82" t="s">
        <v>123</v>
      </c>
      <c r="L82" t="s">
        <v>139</v>
      </c>
      <c r="M82">
        <v>24</v>
      </c>
      <c r="N82">
        <v>10</v>
      </c>
      <c r="O82">
        <v>2025</v>
      </c>
      <c r="R82">
        <f>IF(wallet_records[[#This Row],[type]]="Gasto",wallet_records[[#This Row],[amount]]*(-1),wallet_records[[#This Row],[amount]])</f>
        <v>-20000</v>
      </c>
    </row>
    <row r="83" spans="1:18" x14ac:dyDescent="0.2">
      <c r="A83" t="s">
        <v>119</v>
      </c>
      <c r="B83" t="s">
        <v>154</v>
      </c>
      <c r="C83" t="s">
        <v>115</v>
      </c>
      <c r="D83" s="291">
        <v>400</v>
      </c>
      <c r="E83">
        <v>400</v>
      </c>
      <c r="F83" t="s">
        <v>116</v>
      </c>
      <c r="G83" t="s">
        <v>117</v>
      </c>
      <c r="H83" t="s">
        <v>155</v>
      </c>
      <c r="I83" s="197">
        <v>45943.791666666664</v>
      </c>
      <c r="J83" t="b">
        <v>0</v>
      </c>
      <c r="K83" t="s">
        <v>123</v>
      </c>
      <c r="L83" t="s">
        <v>139</v>
      </c>
      <c r="M83">
        <v>13</v>
      </c>
      <c r="N83">
        <v>10</v>
      </c>
      <c r="O83">
        <v>2025</v>
      </c>
      <c r="R83">
        <f>IF(wallet_records[[#This Row],[type]]="Gasto",wallet_records[[#This Row],[amount]]*(-1),wallet_records[[#This Row],[amount]])</f>
        <v>-400</v>
      </c>
    </row>
    <row r="84" spans="1:18" x14ac:dyDescent="0.2">
      <c r="A84" t="s">
        <v>119</v>
      </c>
      <c r="B84" t="s">
        <v>154</v>
      </c>
      <c r="C84" t="s">
        <v>115</v>
      </c>
      <c r="D84" s="291">
        <v>4000</v>
      </c>
      <c r="E84">
        <v>4000</v>
      </c>
      <c r="F84" t="s">
        <v>116</v>
      </c>
      <c r="G84" t="s">
        <v>117</v>
      </c>
      <c r="H84" t="s">
        <v>155</v>
      </c>
      <c r="I84" s="197">
        <v>45913.791666666664</v>
      </c>
      <c r="J84" t="b">
        <v>0</v>
      </c>
      <c r="K84" t="s">
        <v>123</v>
      </c>
      <c r="L84" t="s">
        <v>139</v>
      </c>
      <c r="M84">
        <v>13</v>
      </c>
      <c r="N84">
        <v>9</v>
      </c>
      <c r="O84">
        <v>2025</v>
      </c>
      <c r="R84">
        <f>IF(wallet_records[[#This Row],[type]]="Gasto",wallet_records[[#This Row],[amount]]*(-1),wallet_records[[#This Row],[amount]])</f>
        <v>-4000</v>
      </c>
    </row>
    <row r="85" spans="1:18" x14ac:dyDescent="0.2">
      <c r="A85" t="s">
        <v>119</v>
      </c>
      <c r="B85" t="s">
        <v>154</v>
      </c>
      <c r="C85" t="s">
        <v>115</v>
      </c>
      <c r="D85" s="291">
        <v>4000</v>
      </c>
      <c r="E85">
        <v>4000</v>
      </c>
      <c r="F85" t="s">
        <v>116</v>
      </c>
      <c r="G85" t="s">
        <v>117</v>
      </c>
      <c r="H85" t="s">
        <v>155</v>
      </c>
      <c r="I85" s="197">
        <v>45910.791666666664</v>
      </c>
      <c r="J85" t="b">
        <v>0</v>
      </c>
      <c r="K85" t="s">
        <v>123</v>
      </c>
      <c r="L85" t="s">
        <v>123</v>
      </c>
      <c r="M85">
        <v>10</v>
      </c>
      <c r="N85">
        <v>9</v>
      </c>
      <c r="O85">
        <v>2025</v>
      </c>
      <c r="R85">
        <f>IF(wallet_records[[#This Row],[type]]="Gasto",wallet_records[[#This Row],[amount]]*(-1),wallet_records[[#This Row],[amount]])</f>
        <v>-4000</v>
      </c>
    </row>
    <row r="86" spans="1:18" x14ac:dyDescent="0.2">
      <c r="A86" t="s">
        <v>119</v>
      </c>
      <c r="B86" t="s">
        <v>154</v>
      </c>
      <c r="C86" t="s">
        <v>115</v>
      </c>
      <c r="D86" s="291">
        <v>28000</v>
      </c>
      <c r="E86">
        <v>28000</v>
      </c>
      <c r="F86" t="s">
        <v>116</v>
      </c>
      <c r="G86" t="s">
        <v>117</v>
      </c>
      <c r="H86" t="s">
        <v>155</v>
      </c>
      <c r="I86" s="197">
        <v>45909.791666666664</v>
      </c>
      <c r="J86" t="b">
        <v>0</v>
      </c>
      <c r="K86" t="s">
        <v>123</v>
      </c>
      <c r="L86" t="s">
        <v>139</v>
      </c>
      <c r="M86">
        <v>9</v>
      </c>
      <c r="N86">
        <v>9</v>
      </c>
      <c r="O86">
        <v>2025</v>
      </c>
      <c r="R86">
        <f>IF(wallet_records[[#This Row],[type]]="Gasto",wallet_records[[#This Row],[amount]]*(-1),wallet_records[[#This Row],[amount]])</f>
        <v>-28000</v>
      </c>
    </row>
    <row r="87" spans="1:18" x14ac:dyDescent="0.2">
      <c r="A87" t="s">
        <v>119</v>
      </c>
      <c r="B87" t="s">
        <v>154</v>
      </c>
      <c r="C87" t="s">
        <v>115</v>
      </c>
      <c r="D87" s="291">
        <v>4400</v>
      </c>
      <c r="E87">
        <v>4400</v>
      </c>
      <c r="F87" t="s">
        <v>116</v>
      </c>
      <c r="G87" t="s">
        <v>117</v>
      </c>
      <c r="H87" t="s">
        <v>155</v>
      </c>
      <c r="I87" s="197">
        <v>45903.791666666664</v>
      </c>
      <c r="J87" t="b">
        <v>0</v>
      </c>
      <c r="K87" t="s">
        <v>123</v>
      </c>
      <c r="L87" t="s">
        <v>139</v>
      </c>
      <c r="M87">
        <v>3</v>
      </c>
      <c r="N87">
        <v>9</v>
      </c>
      <c r="O87">
        <v>2025</v>
      </c>
      <c r="R87">
        <f>IF(wallet_records[[#This Row],[type]]="Gasto",wallet_records[[#This Row],[amount]]*(-1),wallet_records[[#This Row],[amount]])</f>
        <v>-4400</v>
      </c>
    </row>
    <row r="88" spans="1:18" x14ac:dyDescent="0.2">
      <c r="A88" t="s">
        <v>524</v>
      </c>
      <c r="B88" t="s">
        <v>154</v>
      </c>
      <c r="C88" t="s">
        <v>115</v>
      </c>
      <c r="D88" s="291">
        <v>961000</v>
      </c>
      <c r="E88">
        <v>961000</v>
      </c>
      <c r="F88" t="s">
        <v>116</v>
      </c>
      <c r="G88" t="s">
        <v>117</v>
      </c>
      <c r="H88" t="s">
        <v>90</v>
      </c>
      <c r="I88" s="197">
        <v>45900.791666666664</v>
      </c>
      <c r="J88" t="b">
        <v>0</v>
      </c>
      <c r="K88" t="s">
        <v>138</v>
      </c>
      <c r="L88" t="s">
        <v>139</v>
      </c>
      <c r="M88">
        <v>31</v>
      </c>
      <c r="N88">
        <v>8</v>
      </c>
      <c r="O88">
        <v>2025</v>
      </c>
      <c r="R88">
        <f>IF(wallet_records[[#This Row],[type]]="Gasto",wallet_records[[#This Row],[amount]]*(-1),wallet_records[[#This Row],[amount]])</f>
        <v>-961000</v>
      </c>
    </row>
    <row r="89" spans="1:18" x14ac:dyDescent="0.2">
      <c r="A89" t="s">
        <v>524</v>
      </c>
      <c r="B89" t="s">
        <v>154</v>
      </c>
      <c r="C89" t="s">
        <v>115</v>
      </c>
      <c r="D89" s="291">
        <v>38000</v>
      </c>
      <c r="E89">
        <v>38000</v>
      </c>
      <c r="F89" t="s">
        <v>116</v>
      </c>
      <c r="G89" t="s">
        <v>117</v>
      </c>
      <c r="H89" t="s">
        <v>158</v>
      </c>
      <c r="I89" s="197">
        <v>45896.792201944445</v>
      </c>
      <c r="J89" t="b">
        <v>0</v>
      </c>
      <c r="K89" t="s">
        <v>545</v>
      </c>
      <c r="L89" t="s">
        <v>46</v>
      </c>
      <c r="M89">
        <v>27</v>
      </c>
      <c r="N89">
        <v>8</v>
      </c>
      <c r="O89">
        <v>2025</v>
      </c>
      <c r="R89">
        <f>IF(wallet_records[[#This Row],[type]]="Gasto",wallet_records[[#This Row],[amount]]*(-1),wallet_records[[#This Row],[amount]])</f>
        <v>-38000</v>
      </c>
    </row>
    <row r="90" spans="1:18" x14ac:dyDescent="0.2">
      <c r="A90" t="s">
        <v>524</v>
      </c>
      <c r="B90" t="s">
        <v>154</v>
      </c>
      <c r="C90" t="s">
        <v>115</v>
      </c>
      <c r="D90" s="291">
        <v>15000</v>
      </c>
      <c r="E90">
        <v>15000</v>
      </c>
      <c r="F90" t="s">
        <v>116</v>
      </c>
      <c r="G90" t="s">
        <v>117</v>
      </c>
      <c r="H90" t="s">
        <v>158</v>
      </c>
      <c r="I90" s="197">
        <v>45896.792130277776</v>
      </c>
      <c r="J90" t="b">
        <v>0</v>
      </c>
      <c r="K90" t="s">
        <v>545</v>
      </c>
      <c r="L90" t="s">
        <v>1</v>
      </c>
      <c r="M90">
        <v>27</v>
      </c>
      <c r="N90">
        <v>8</v>
      </c>
      <c r="O90">
        <v>2025</v>
      </c>
      <c r="R90">
        <f>IF(wallet_records[[#This Row],[type]]="Gasto",wallet_records[[#This Row],[amount]]*(-1),wallet_records[[#This Row],[amount]])</f>
        <v>-15000</v>
      </c>
    </row>
    <row r="91" spans="1:18" x14ac:dyDescent="0.2">
      <c r="A91" t="s">
        <v>524</v>
      </c>
      <c r="B91" t="s">
        <v>154</v>
      </c>
      <c r="C91" t="s">
        <v>115</v>
      </c>
      <c r="D91" s="291">
        <v>17000</v>
      </c>
      <c r="E91">
        <v>17000</v>
      </c>
      <c r="F91" t="s">
        <v>116</v>
      </c>
      <c r="G91" t="s">
        <v>117</v>
      </c>
      <c r="H91" t="s">
        <v>158</v>
      </c>
      <c r="I91" s="197">
        <v>45896.791712210645</v>
      </c>
      <c r="J91" t="b">
        <v>0</v>
      </c>
      <c r="K91" t="s">
        <v>545</v>
      </c>
      <c r="L91" t="s">
        <v>77</v>
      </c>
      <c r="M91">
        <v>27</v>
      </c>
      <c r="N91">
        <v>8</v>
      </c>
      <c r="O91">
        <v>2025</v>
      </c>
      <c r="R91">
        <f>IF(wallet_records[[#This Row],[type]]="Gasto",wallet_records[[#This Row],[amount]]*(-1),wallet_records[[#This Row],[amount]])</f>
        <v>-17000</v>
      </c>
    </row>
    <row r="92" spans="1:18" x14ac:dyDescent="0.2">
      <c r="A92" t="s">
        <v>524</v>
      </c>
      <c r="B92" t="s">
        <v>154</v>
      </c>
      <c r="C92" t="s">
        <v>115</v>
      </c>
      <c r="D92" s="291">
        <v>12000</v>
      </c>
      <c r="E92">
        <v>12000</v>
      </c>
      <c r="F92" t="s">
        <v>116</v>
      </c>
      <c r="G92" t="s">
        <v>117</v>
      </c>
      <c r="H92" t="s">
        <v>158</v>
      </c>
      <c r="I92" s="197">
        <v>45896.791700138892</v>
      </c>
      <c r="J92" t="b">
        <v>0</v>
      </c>
      <c r="K92" t="s">
        <v>545</v>
      </c>
      <c r="L92" t="s">
        <v>0</v>
      </c>
      <c r="M92">
        <v>27</v>
      </c>
      <c r="N92">
        <v>8</v>
      </c>
      <c r="O92">
        <v>2025</v>
      </c>
      <c r="R92">
        <f>IF(wallet_records[[#This Row],[type]]="Gasto",wallet_records[[#This Row],[amount]]*(-1),wallet_records[[#This Row],[amount]])</f>
        <v>-12000</v>
      </c>
    </row>
    <row r="93" spans="1:18" x14ac:dyDescent="0.2">
      <c r="A93" t="s">
        <v>524</v>
      </c>
      <c r="B93" t="s">
        <v>154</v>
      </c>
      <c r="C93" t="s">
        <v>115</v>
      </c>
      <c r="D93" s="291">
        <v>9500</v>
      </c>
      <c r="E93">
        <v>9500</v>
      </c>
      <c r="F93" t="s">
        <v>116</v>
      </c>
      <c r="G93" t="s">
        <v>117</v>
      </c>
      <c r="H93" t="s">
        <v>158</v>
      </c>
      <c r="I93" s="197">
        <v>45896.791666666664</v>
      </c>
      <c r="J93" t="b">
        <v>0</v>
      </c>
      <c r="K93" t="s">
        <v>7</v>
      </c>
      <c r="L93" t="s">
        <v>7</v>
      </c>
      <c r="M93">
        <v>27</v>
      </c>
      <c r="N93">
        <v>8</v>
      </c>
      <c r="O93">
        <v>2025</v>
      </c>
      <c r="R93">
        <f>IF(wallet_records[[#This Row],[type]]="Gasto",wallet_records[[#This Row],[amount]]*(-1),wallet_records[[#This Row],[amount]])</f>
        <v>-9500</v>
      </c>
    </row>
    <row r="94" spans="1:18" x14ac:dyDescent="0.2">
      <c r="A94" t="s">
        <v>524</v>
      </c>
      <c r="B94" t="s">
        <v>154</v>
      </c>
      <c r="C94" t="s">
        <v>115</v>
      </c>
      <c r="D94" s="291">
        <v>12000</v>
      </c>
      <c r="E94">
        <v>12000</v>
      </c>
      <c r="F94" t="s">
        <v>116</v>
      </c>
      <c r="G94" t="s">
        <v>117</v>
      </c>
      <c r="H94" t="s">
        <v>158</v>
      </c>
      <c r="I94" s="197">
        <v>45843.792255138891</v>
      </c>
      <c r="J94" t="b">
        <v>0</v>
      </c>
      <c r="K94" t="s">
        <v>545</v>
      </c>
      <c r="L94" t="s">
        <v>0</v>
      </c>
      <c r="M94">
        <v>5</v>
      </c>
      <c r="N94">
        <v>7</v>
      </c>
      <c r="O94">
        <v>2025</v>
      </c>
      <c r="R94">
        <f>IF(wallet_records[[#This Row],[type]]="Gasto",wallet_records[[#This Row],[amount]]*(-1),wallet_records[[#This Row],[amount]])</f>
        <v>-12000</v>
      </c>
    </row>
    <row r="95" spans="1:18" x14ac:dyDescent="0.2">
      <c r="A95" t="s">
        <v>524</v>
      </c>
      <c r="B95" t="s">
        <v>154</v>
      </c>
      <c r="C95" t="s">
        <v>115</v>
      </c>
      <c r="D95" s="291">
        <v>14400</v>
      </c>
      <c r="E95">
        <v>14400</v>
      </c>
      <c r="F95" t="s">
        <v>116</v>
      </c>
      <c r="G95" t="s">
        <v>117</v>
      </c>
      <c r="H95" t="s">
        <v>158</v>
      </c>
      <c r="I95" s="197">
        <v>45843.792235810186</v>
      </c>
      <c r="J95" t="b">
        <v>0</v>
      </c>
      <c r="K95" t="s">
        <v>545</v>
      </c>
      <c r="L95" t="s">
        <v>77</v>
      </c>
      <c r="M95">
        <v>5</v>
      </c>
      <c r="N95">
        <v>7</v>
      </c>
      <c r="O95">
        <v>2025</v>
      </c>
      <c r="R95">
        <f>IF(wallet_records[[#This Row],[type]]="Gasto",wallet_records[[#This Row],[amount]]*(-1),wallet_records[[#This Row],[amount]])</f>
        <v>-14400</v>
      </c>
    </row>
    <row r="96" spans="1:18" x14ac:dyDescent="0.2">
      <c r="A96" t="s">
        <v>524</v>
      </c>
      <c r="B96" t="s">
        <v>154</v>
      </c>
      <c r="C96" t="s">
        <v>115</v>
      </c>
      <c r="D96" s="291">
        <v>11700</v>
      </c>
      <c r="E96">
        <v>11700</v>
      </c>
      <c r="F96" t="s">
        <v>116</v>
      </c>
      <c r="G96" t="s">
        <v>117</v>
      </c>
      <c r="H96" t="s">
        <v>158</v>
      </c>
      <c r="I96" s="197">
        <v>45843.792142743056</v>
      </c>
      <c r="J96" t="b">
        <v>0</v>
      </c>
      <c r="K96" t="s">
        <v>545</v>
      </c>
      <c r="L96" t="s">
        <v>0</v>
      </c>
      <c r="M96">
        <v>5</v>
      </c>
      <c r="N96">
        <v>7</v>
      </c>
      <c r="O96">
        <v>2025</v>
      </c>
      <c r="R96">
        <f>IF(wallet_records[[#This Row],[type]]="Gasto",wallet_records[[#This Row],[amount]]*(-1),wallet_records[[#This Row],[amount]])</f>
        <v>-11700</v>
      </c>
    </row>
    <row r="97" spans="1:18" x14ac:dyDescent="0.2">
      <c r="A97" t="s">
        <v>524</v>
      </c>
      <c r="B97" t="s">
        <v>154</v>
      </c>
      <c r="C97" t="s">
        <v>115</v>
      </c>
      <c r="D97" s="291">
        <v>15000</v>
      </c>
      <c r="E97">
        <v>15000</v>
      </c>
      <c r="F97" t="s">
        <v>116</v>
      </c>
      <c r="G97" t="s">
        <v>117</v>
      </c>
      <c r="H97" t="s">
        <v>158</v>
      </c>
      <c r="I97" s="197">
        <v>45843.792105439818</v>
      </c>
      <c r="J97" t="b">
        <v>0</v>
      </c>
      <c r="K97" t="s">
        <v>545</v>
      </c>
      <c r="L97" t="s">
        <v>77</v>
      </c>
      <c r="M97">
        <v>5</v>
      </c>
      <c r="N97">
        <v>7</v>
      </c>
      <c r="O97">
        <v>2025</v>
      </c>
      <c r="R97">
        <f>IF(wallet_records[[#This Row],[type]]="Gasto",wallet_records[[#This Row],[amount]]*(-1),wallet_records[[#This Row],[amount]])</f>
        <v>-15000</v>
      </c>
    </row>
    <row r="98" spans="1:18" x14ac:dyDescent="0.2">
      <c r="A98" t="s">
        <v>524</v>
      </c>
      <c r="B98" t="s">
        <v>154</v>
      </c>
      <c r="C98" t="s">
        <v>115</v>
      </c>
      <c r="D98" s="291">
        <v>13000</v>
      </c>
      <c r="E98">
        <v>13000</v>
      </c>
      <c r="F98" t="s">
        <v>116</v>
      </c>
      <c r="G98" t="s">
        <v>117</v>
      </c>
      <c r="H98" t="s">
        <v>158</v>
      </c>
      <c r="I98" s="197">
        <v>45843.79195353009</v>
      </c>
      <c r="J98" t="b">
        <v>0</v>
      </c>
      <c r="K98" t="s">
        <v>545</v>
      </c>
      <c r="L98" t="s">
        <v>1</v>
      </c>
      <c r="M98">
        <v>5</v>
      </c>
      <c r="N98">
        <v>7</v>
      </c>
      <c r="O98">
        <v>2025</v>
      </c>
      <c r="R98">
        <f>IF(wallet_records[[#This Row],[type]]="Gasto",wallet_records[[#This Row],[amount]]*(-1),wallet_records[[#This Row],[amount]])</f>
        <v>-13000</v>
      </c>
    </row>
    <row r="99" spans="1:18" x14ac:dyDescent="0.2">
      <c r="A99" t="s">
        <v>524</v>
      </c>
      <c r="B99" t="s">
        <v>154</v>
      </c>
      <c r="C99" t="s">
        <v>115</v>
      </c>
      <c r="D99" s="291">
        <v>13500</v>
      </c>
      <c r="E99">
        <v>13500</v>
      </c>
      <c r="F99" t="s">
        <v>116</v>
      </c>
      <c r="G99" t="s">
        <v>117</v>
      </c>
      <c r="H99" t="s">
        <v>158</v>
      </c>
      <c r="I99" s="197">
        <v>45843.791817754631</v>
      </c>
      <c r="J99" t="b">
        <v>0</v>
      </c>
      <c r="K99" t="s">
        <v>545</v>
      </c>
      <c r="L99" t="s">
        <v>1</v>
      </c>
      <c r="M99">
        <v>5</v>
      </c>
      <c r="N99">
        <v>7</v>
      </c>
      <c r="O99">
        <v>2025</v>
      </c>
      <c r="R99">
        <f>IF(wallet_records[[#This Row],[type]]="Gasto",wallet_records[[#This Row],[amount]]*(-1),wallet_records[[#This Row],[amount]])</f>
        <v>-13500</v>
      </c>
    </row>
    <row r="100" spans="1:18" x14ac:dyDescent="0.2">
      <c r="A100" t="s">
        <v>524</v>
      </c>
      <c r="B100" t="s">
        <v>154</v>
      </c>
      <c r="C100" t="s">
        <v>115</v>
      </c>
      <c r="D100" s="291">
        <v>17500</v>
      </c>
      <c r="E100">
        <v>17500</v>
      </c>
      <c r="F100" t="s">
        <v>116</v>
      </c>
      <c r="G100" t="s">
        <v>117</v>
      </c>
      <c r="H100" t="s">
        <v>158</v>
      </c>
      <c r="I100" s="197">
        <v>45807.792354571757</v>
      </c>
      <c r="J100" t="b">
        <v>0</v>
      </c>
      <c r="K100" t="s">
        <v>545</v>
      </c>
      <c r="L100" t="s">
        <v>1</v>
      </c>
      <c r="M100">
        <v>30</v>
      </c>
      <c r="N100">
        <v>5</v>
      </c>
      <c r="O100">
        <v>2025</v>
      </c>
      <c r="R100">
        <f>IF(wallet_records[[#This Row],[type]]="Gasto",wallet_records[[#This Row],[amount]]*(-1),wallet_records[[#This Row],[amount]])</f>
        <v>-17500</v>
      </c>
    </row>
    <row r="101" spans="1:18" x14ac:dyDescent="0.2">
      <c r="A101" t="s">
        <v>524</v>
      </c>
      <c r="B101" t="s">
        <v>154</v>
      </c>
      <c r="C101" t="s">
        <v>115</v>
      </c>
      <c r="D101" s="291">
        <v>24000</v>
      </c>
      <c r="E101">
        <v>24000</v>
      </c>
      <c r="F101" t="s">
        <v>116</v>
      </c>
      <c r="G101" t="s">
        <v>117</v>
      </c>
      <c r="H101" t="s">
        <v>158</v>
      </c>
      <c r="I101" s="197">
        <v>45807.792027557873</v>
      </c>
      <c r="J101" t="b">
        <v>0</v>
      </c>
      <c r="K101" t="s">
        <v>545</v>
      </c>
      <c r="L101" t="s">
        <v>0</v>
      </c>
      <c r="M101">
        <v>30</v>
      </c>
      <c r="N101">
        <v>5</v>
      </c>
      <c r="O101">
        <v>2025</v>
      </c>
      <c r="R101">
        <f>IF(wallet_records[[#This Row],[type]]="Gasto",wallet_records[[#This Row],[amount]]*(-1),wallet_records[[#This Row],[amount]])</f>
        <v>-24000</v>
      </c>
    </row>
    <row r="102" spans="1:18" x14ac:dyDescent="0.2">
      <c r="A102" t="s">
        <v>524</v>
      </c>
      <c r="B102" t="s">
        <v>154</v>
      </c>
      <c r="C102" t="s">
        <v>115</v>
      </c>
      <c r="D102" s="291">
        <v>34000</v>
      </c>
      <c r="E102">
        <v>34000</v>
      </c>
      <c r="F102" t="s">
        <v>116</v>
      </c>
      <c r="G102" t="s">
        <v>117</v>
      </c>
      <c r="H102" t="s">
        <v>158</v>
      </c>
      <c r="I102" s="197">
        <v>45807.791972662038</v>
      </c>
      <c r="J102" t="b">
        <v>0</v>
      </c>
      <c r="K102" t="s">
        <v>545</v>
      </c>
      <c r="L102" t="s">
        <v>77</v>
      </c>
      <c r="M102">
        <v>30</v>
      </c>
      <c r="N102">
        <v>5</v>
      </c>
      <c r="O102">
        <v>2025</v>
      </c>
      <c r="R102">
        <f>IF(wallet_records[[#This Row],[type]]="Gasto",wallet_records[[#This Row],[amount]]*(-1),wallet_records[[#This Row],[amount]])</f>
        <v>-34000</v>
      </c>
    </row>
    <row r="103" spans="1:18" x14ac:dyDescent="0.2">
      <c r="A103" t="s">
        <v>133</v>
      </c>
      <c r="B103" t="s">
        <v>154</v>
      </c>
      <c r="C103" t="s">
        <v>115</v>
      </c>
      <c r="D103" s="291">
        <v>3127.75</v>
      </c>
      <c r="E103">
        <v>3127.75</v>
      </c>
      <c r="F103" t="s">
        <v>116</v>
      </c>
      <c r="G103" t="s">
        <v>117</v>
      </c>
      <c r="H103" t="s">
        <v>205</v>
      </c>
      <c r="I103" s="197">
        <v>45732.791666666664</v>
      </c>
      <c r="J103" t="b">
        <v>0</v>
      </c>
      <c r="K103" t="s">
        <v>123</v>
      </c>
      <c r="L103" t="s">
        <v>139</v>
      </c>
      <c r="M103">
        <v>16</v>
      </c>
      <c r="N103">
        <v>3</v>
      </c>
      <c r="O103">
        <v>2025</v>
      </c>
      <c r="R103">
        <f>IF(wallet_records[[#This Row],[type]]="Gasto",wallet_records[[#This Row],[amount]]*(-1),wallet_records[[#This Row],[amount]])</f>
        <v>-3127.75</v>
      </c>
    </row>
    <row r="104" spans="1:18" x14ac:dyDescent="0.2">
      <c r="A104" t="s">
        <v>524</v>
      </c>
      <c r="B104" t="s">
        <v>154</v>
      </c>
      <c r="C104" t="s">
        <v>115</v>
      </c>
      <c r="D104" s="291">
        <v>756032</v>
      </c>
      <c r="E104">
        <v>756032</v>
      </c>
      <c r="F104" t="s">
        <v>116</v>
      </c>
      <c r="G104" t="s">
        <v>117</v>
      </c>
      <c r="H104" t="s">
        <v>508</v>
      </c>
      <c r="I104" s="197">
        <v>45725.791666666664</v>
      </c>
      <c r="J104" t="b">
        <v>0</v>
      </c>
      <c r="K104" t="s">
        <v>7</v>
      </c>
      <c r="L104" t="s">
        <v>7</v>
      </c>
      <c r="M104">
        <v>9</v>
      </c>
      <c r="N104">
        <v>3</v>
      </c>
      <c r="O104">
        <v>2025</v>
      </c>
      <c r="R104">
        <f>IF(wallet_records[[#This Row],[type]]="Gasto",wallet_records[[#This Row],[amount]]*(-1),wallet_records[[#This Row],[amount]])</f>
        <v>-756032</v>
      </c>
    </row>
    <row r="105" spans="1:18" x14ac:dyDescent="0.2">
      <c r="A105" t="s">
        <v>524</v>
      </c>
      <c r="B105" t="s">
        <v>154</v>
      </c>
      <c r="C105" t="s">
        <v>115</v>
      </c>
      <c r="D105" s="291">
        <v>29604</v>
      </c>
      <c r="E105">
        <v>29604</v>
      </c>
      <c r="F105" t="s">
        <v>116</v>
      </c>
      <c r="G105" t="s">
        <v>117</v>
      </c>
      <c r="H105" t="s">
        <v>99</v>
      </c>
      <c r="I105" s="197">
        <v>45710.791666666664</v>
      </c>
      <c r="J105" t="b">
        <v>0</v>
      </c>
      <c r="K105" t="s">
        <v>5</v>
      </c>
      <c r="L105" t="s">
        <v>5</v>
      </c>
      <c r="M105">
        <v>22</v>
      </c>
      <c r="N105">
        <v>2</v>
      </c>
      <c r="O105">
        <v>2025</v>
      </c>
      <c r="R105">
        <f>IF(wallet_records[[#This Row],[type]]="Gasto",wallet_records[[#This Row],[amount]]*(-1),wallet_records[[#This Row],[amount]])</f>
        <v>-29604</v>
      </c>
    </row>
    <row r="106" spans="1:18" x14ac:dyDescent="0.2">
      <c r="A106" t="s">
        <v>524</v>
      </c>
      <c r="B106" t="s">
        <v>154</v>
      </c>
      <c r="C106" t="s">
        <v>115</v>
      </c>
      <c r="D106" s="291">
        <v>29604</v>
      </c>
      <c r="E106">
        <v>29604</v>
      </c>
      <c r="F106" t="s">
        <v>116</v>
      </c>
      <c r="G106" t="s">
        <v>117</v>
      </c>
      <c r="H106" t="s">
        <v>99</v>
      </c>
      <c r="I106" s="197">
        <v>45710.791666666664</v>
      </c>
      <c r="J106" t="b">
        <v>0</v>
      </c>
      <c r="K106" t="s">
        <v>5</v>
      </c>
      <c r="L106" t="s">
        <v>5</v>
      </c>
      <c r="M106">
        <v>22</v>
      </c>
      <c r="N106">
        <v>2</v>
      </c>
      <c r="O106">
        <v>2025</v>
      </c>
      <c r="R106">
        <f>IF(wallet_records[[#This Row],[type]]="Gasto",wallet_records[[#This Row],[amount]]*(-1),wallet_records[[#This Row],[amount]])</f>
        <v>-29604</v>
      </c>
    </row>
    <row r="107" spans="1:18" x14ac:dyDescent="0.2">
      <c r="A107" t="s">
        <v>524</v>
      </c>
      <c r="B107" t="s">
        <v>154</v>
      </c>
      <c r="C107" t="s">
        <v>115</v>
      </c>
      <c r="D107" s="291">
        <v>2080975</v>
      </c>
      <c r="E107">
        <v>2080975</v>
      </c>
      <c r="F107" t="s">
        <v>116</v>
      </c>
      <c r="G107" t="s">
        <v>117</v>
      </c>
      <c r="H107" t="s">
        <v>508</v>
      </c>
      <c r="I107" s="197">
        <v>45689.792206770835</v>
      </c>
      <c r="J107" t="b">
        <v>0</v>
      </c>
      <c r="K107" t="s">
        <v>546</v>
      </c>
      <c r="L107" t="s">
        <v>1</v>
      </c>
      <c r="M107">
        <v>1</v>
      </c>
      <c r="N107">
        <v>2</v>
      </c>
      <c r="O107">
        <v>2025</v>
      </c>
      <c r="R107">
        <f>IF(wallet_records[[#This Row],[type]]="Gasto",wallet_records[[#This Row],[amount]]*(-1),wallet_records[[#This Row],[amount]])</f>
        <v>-2080975</v>
      </c>
    </row>
    <row r="108" spans="1:18" x14ac:dyDescent="0.2">
      <c r="A108" t="s">
        <v>524</v>
      </c>
      <c r="B108" t="s">
        <v>154</v>
      </c>
      <c r="C108" t="s">
        <v>115</v>
      </c>
      <c r="D108" s="291">
        <v>96850</v>
      </c>
      <c r="E108">
        <v>96850</v>
      </c>
      <c r="F108" t="s">
        <v>116</v>
      </c>
      <c r="G108" t="s">
        <v>117</v>
      </c>
      <c r="H108" t="s">
        <v>508</v>
      </c>
      <c r="I108" s="197">
        <v>45689.792117650461</v>
      </c>
      <c r="J108" t="b">
        <v>0</v>
      </c>
      <c r="K108" t="s">
        <v>546</v>
      </c>
      <c r="L108" t="s">
        <v>1</v>
      </c>
      <c r="M108">
        <v>1</v>
      </c>
      <c r="N108">
        <v>2</v>
      </c>
      <c r="O108">
        <v>2025</v>
      </c>
      <c r="R108">
        <f>IF(wallet_records[[#This Row],[type]]="Gasto",wallet_records[[#This Row],[amount]]*(-1),wallet_records[[#This Row],[amount]])</f>
        <v>-96850</v>
      </c>
    </row>
    <row r="109" spans="1:18" x14ac:dyDescent="0.2">
      <c r="A109" t="s">
        <v>524</v>
      </c>
      <c r="B109" t="s">
        <v>154</v>
      </c>
      <c r="C109" t="s">
        <v>115</v>
      </c>
      <c r="D109" s="291">
        <v>3904447</v>
      </c>
      <c r="E109">
        <v>3904447</v>
      </c>
      <c r="F109" t="s">
        <v>116</v>
      </c>
      <c r="G109" t="s">
        <v>117</v>
      </c>
      <c r="H109" t="s">
        <v>508</v>
      </c>
      <c r="I109" s="197">
        <v>45689.791903935184</v>
      </c>
      <c r="J109" t="b">
        <v>0</v>
      </c>
      <c r="K109" t="s">
        <v>546</v>
      </c>
      <c r="L109" t="s">
        <v>46</v>
      </c>
      <c r="M109">
        <v>1</v>
      </c>
      <c r="N109">
        <v>2</v>
      </c>
      <c r="O109">
        <v>2025</v>
      </c>
      <c r="R109">
        <f>IF(wallet_records[[#This Row],[type]]="Gasto",wallet_records[[#This Row],[amount]]*(-1),wallet_records[[#This Row],[amount]])</f>
        <v>-3904447</v>
      </c>
    </row>
    <row r="110" spans="1:18" x14ac:dyDescent="0.2">
      <c r="A110" t="s">
        <v>524</v>
      </c>
      <c r="B110" t="s">
        <v>154</v>
      </c>
      <c r="C110" t="s">
        <v>115</v>
      </c>
      <c r="D110" s="291">
        <v>94460</v>
      </c>
      <c r="E110">
        <v>94460</v>
      </c>
      <c r="F110" t="s">
        <v>116</v>
      </c>
      <c r="G110" t="s">
        <v>117</v>
      </c>
      <c r="H110" t="s">
        <v>508</v>
      </c>
      <c r="I110" s="197">
        <v>45689.791837430559</v>
      </c>
      <c r="J110" t="b">
        <v>0</v>
      </c>
      <c r="K110" t="s">
        <v>546</v>
      </c>
      <c r="L110" t="s">
        <v>77</v>
      </c>
      <c r="M110">
        <v>1</v>
      </c>
      <c r="N110">
        <v>2</v>
      </c>
      <c r="O110">
        <v>2025</v>
      </c>
      <c r="R110">
        <f>IF(wallet_records[[#This Row],[type]]="Gasto",wallet_records[[#This Row],[amount]]*(-1),wallet_records[[#This Row],[amount]])</f>
        <v>-94460</v>
      </c>
    </row>
    <row r="111" spans="1:18" x14ac:dyDescent="0.2">
      <c r="A111" t="s">
        <v>524</v>
      </c>
      <c r="B111" t="s">
        <v>154</v>
      </c>
      <c r="C111" t="s">
        <v>115</v>
      </c>
      <c r="D111" s="291">
        <v>173394</v>
      </c>
      <c r="E111">
        <v>173394</v>
      </c>
      <c r="F111" t="s">
        <v>116</v>
      </c>
      <c r="G111" t="s">
        <v>117</v>
      </c>
      <c r="H111" t="s">
        <v>508</v>
      </c>
      <c r="I111" s="197">
        <v>45689.791817083336</v>
      </c>
      <c r="J111" t="b">
        <v>0</v>
      </c>
      <c r="K111" t="s">
        <v>546</v>
      </c>
      <c r="L111" t="s">
        <v>0</v>
      </c>
      <c r="M111">
        <v>1</v>
      </c>
      <c r="N111">
        <v>2</v>
      </c>
      <c r="O111">
        <v>2025</v>
      </c>
      <c r="R111">
        <f>IF(wallet_records[[#This Row],[type]]="Gasto",wallet_records[[#This Row],[amount]]*(-1),wallet_records[[#This Row],[amount]])</f>
        <v>-173394</v>
      </c>
    </row>
    <row r="112" spans="1:18" x14ac:dyDescent="0.2">
      <c r="A112" t="s">
        <v>524</v>
      </c>
      <c r="B112" t="s">
        <v>154</v>
      </c>
      <c r="C112" t="s">
        <v>115</v>
      </c>
      <c r="D112" s="291">
        <v>1076498</v>
      </c>
      <c r="E112">
        <v>1076498</v>
      </c>
      <c r="F112" t="s">
        <v>116</v>
      </c>
      <c r="G112" t="s">
        <v>117</v>
      </c>
      <c r="H112" t="s">
        <v>508</v>
      </c>
      <c r="I112" s="197">
        <v>45689.791744282411</v>
      </c>
      <c r="J112" t="b">
        <v>0</v>
      </c>
      <c r="K112" t="s">
        <v>546</v>
      </c>
      <c r="L112" t="s">
        <v>77</v>
      </c>
      <c r="M112">
        <v>1</v>
      </c>
      <c r="N112">
        <v>2</v>
      </c>
      <c r="O112">
        <v>2025</v>
      </c>
      <c r="R112">
        <f>IF(wallet_records[[#This Row],[type]]="Gasto",wallet_records[[#This Row],[amount]]*(-1),wallet_records[[#This Row],[amount]])</f>
        <v>-1076498</v>
      </c>
    </row>
    <row r="113" spans="1:18" x14ac:dyDescent="0.2">
      <c r="A113" t="s">
        <v>524</v>
      </c>
      <c r="B113" t="s">
        <v>154</v>
      </c>
      <c r="C113" t="s">
        <v>115</v>
      </c>
      <c r="D113" s="291">
        <v>316495</v>
      </c>
      <c r="E113">
        <v>316495</v>
      </c>
      <c r="F113" t="s">
        <v>116</v>
      </c>
      <c r="G113" t="s">
        <v>117</v>
      </c>
      <c r="H113" t="s">
        <v>508</v>
      </c>
      <c r="I113" s="197">
        <v>45689.791731874997</v>
      </c>
      <c r="J113" t="b">
        <v>0</v>
      </c>
      <c r="K113" t="s">
        <v>546</v>
      </c>
      <c r="L113" t="s">
        <v>6</v>
      </c>
      <c r="M113">
        <v>1</v>
      </c>
      <c r="N113">
        <v>2</v>
      </c>
      <c r="O113">
        <v>2025</v>
      </c>
      <c r="R113">
        <f>IF(wallet_records[[#This Row],[type]]="Gasto",wallet_records[[#This Row],[amount]]*(-1),wallet_records[[#This Row],[amount]])</f>
        <v>-316495</v>
      </c>
    </row>
    <row r="114" spans="1:18" x14ac:dyDescent="0.2">
      <c r="A114" t="s">
        <v>524</v>
      </c>
      <c r="B114" t="s">
        <v>154</v>
      </c>
      <c r="C114" t="s">
        <v>115</v>
      </c>
      <c r="D114" s="291">
        <v>1439934</v>
      </c>
      <c r="E114">
        <v>1439934</v>
      </c>
      <c r="F114" t="s">
        <v>116</v>
      </c>
      <c r="G114" t="s">
        <v>117</v>
      </c>
      <c r="H114" t="s">
        <v>508</v>
      </c>
      <c r="I114" s="197">
        <v>45689.791694826388</v>
      </c>
      <c r="J114" t="b">
        <v>0</v>
      </c>
      <c r="K114" t="s">
        <v>546</v>
      </c>
      <c r="L114" t="s">
        <v>0</v>
      </c>
      <c r="M114">
        <v>1</v>
      </c>
      <c r="N114">
        <v>2</v>
      </c>
      <c r="O114">
        <v>2025</v>
      </c>
      <c r="R114">
        <f>IF(wallet_records[[#This Row],[type]]="Gasto",wallet_records[[#This Row],[amount]]*(-1),wallet_records[[#This Row],[amount]])</f>
        <v>-1439934</v>
      </c>
    </row>
    <row r="115" spans="1:18" x14ac:dyDescent="0.2">
      <c r="A115" t="s">
        <v>133</v>
      </c>
      <c r="B115" t="s">
        <v>154</v>
      </c>
      <c r="C115" t="s">
        <v>115</v>
      </c>
      <c r="D115" s="291">
        <v>6709.79</v>
      </c>
      <c r="E115">
        <v>6709.79</v>
      </c>
      <c r="F115" t="s">
        <v>116</v>
      </c>
      <c r="G115" t="s">
        <v>117</v>
      </c>
      <c r="H115" t="s">
        <v>205</v>
      </c>
      <c r="I115" s="197">
        <v>45686.791666666664</v>
      </c>
      <c r="J115" t="b">
        <v>0</v>
      </c>
      <c r="K115" t="s">
        <v>123</v>
      </c>
      <c r="L115" t="s">
        <v>139</v>
      </c>
      <c r="M115">
        <v>29</v>
      </c>
      <c r="N115">
        <v>1</v>
      </c>
      <c r="O115">
        <v>2025</v>
      </c>
      <c r="R115">
        <f>IF(wallet_records[[#This Row],[type]]="Gasto",wallet_records[[#This Row],[amount]]*(-1),wallet_records[[#This Row],[amount]])</f>
        <v>-6709.79</v>
      </c>
    </row>
    <row r="116" spans="1:18" x14ac:dyDescent="0.2">
      <c r="A116" t="s">
        <v>524</v>
      </c>
      <c r="B116" t="s">
        <v>154</v>
      </c>
      <c r="C116" t="s">
        <v>115</v>
      </c>
      <c r="D116" s="291">
        <v>216000</v>
      </c>
      <c r="E116">
        <v>216000</v>
      </c>
      <c r="F116" t="s">
        <v>116</v>
      </c>
      <c r="G116" t="s">
        <v>117</v>
      </c>
      <c r="H116" t="s">
        <v>98</v>
      </c>
      <c r="I116" s="197">
        <v>45668.791666666664</v>
      </c>
      <c r="J116" t="b">
        <v>0</v>
      </c>
      <c r="K116" t="s">
        <v>3</v>
      </c>
      <c r="L116" t="s">
        <v>3</v>
      </c>
      <c r="M116">
        <v>11</v>
      </c>
      <c r="N116">
        <v>1</v>
      </c>
      <c r="O116">
        <v>2025</v>
      </c>
      <c r="R116">
        <f>IF(wallet_records[[#This Row],[type]]="Gasto",wallet_records[[#This Row],[amount]]*(-1),wallet_records[[#This Row],[amount]])</f>
        <v>-216000</v>
      </c>
    </row>
    <row r="117" spans="1:18" x14ac:dyDescent="0.2">
      <c r="A117" t="s">
        <v>524</v>
      </c>
      <c r="B117" t="s">
        <v>154</v>
      </c>
      <c r="C117" t="s">
        <v>115</v>
      </c>
      <c r="D117" s="291">
        <v>40800</v>
      </c>
      <c r="E117">
        <v>40800</v>
      </c>
      <c r="F117" t="s">
        <v>116</v>
      </c>
      <c r="G117" t="s">
        <v>117</v>
      </c>
      <c r="H117" t="s">
        <v>97</v>
      </c>
      <c r="I117" s="197">
        <v>45668.791666666664</v>
      </c>
      <c r="J117" t="b">
        <v>0</v>
      </c>
      <c r="K117" t="s">
        <v>3</v>
      </c>
      <c r="L117" t="s">
        <v>3</v>
      </c>
      <c r="M117">
        <v>11</v>
      </c>
      <c r="N117">
        <v>1</v>
      </c>
      <c r="O117">
        <v>2025</v>
      </c>
      <c r="R117">
        <f>IF(wallet_records[[#This Row],[type]]="Gasto",wallet_records[[#This Row],[amount]]*(-1),wallet_records[[#This Row],[amount]])</f>
        <v>-40800</v>
      </c>
    </row>
    <row r="118" spans="1:18" x14ac:dyDescent="0.2">
      <c r="A118" t="s">
        <v>524</v>
      </c>
      <c r="B118" t="s">
        <v>131</v>
      </c>
      <c r="C118" t="s">
        <v>115</v>
      </c>
      <c r="D118" s="291">
        <v>1503502</v>
      </c>
      <c r="E118">
        <v>1503502</v>
      </c>
      <c r="F118" t="s">
        <v>116</v>
      </c>
      <c r="G118" t="s">
        <v>117</v>
      </c>
      <c r="H118" t="s">
        <v>132</v>
      </c>
      <c r="I118" s="197">
        <v>46008.791666666664</v>
      </c>
      <c r="J118" t="b">
        <v>0</v>
      </c>
      <c r="K118" t="s">
        <v>5</v>
      </c>
      <c r="L118" t="s">
        <v>5</v>
      </c>
      <c r="M118">
        <v>17</v>
      </c>
      <c r="N118">
        <v>12</v>
      </c>
      <c r="O118">
        <v>2025</v>
      </c>
      <c r="R118">
        <f>IF(wallet_records[[#This Row],[type]]="Gasto",wallet_records[[#This Row],[amount]]*(-1),wallet_records[[#This Row],[amount]])</f>
        <v>-1503502</v>
      </c>
    </row>
    <row r="119" spans="1:18" x14ac:dyDescent="0.2">
      <c r="A119" t="s">
        <v>524</v>
      </c>
      <c r="B119" t="s">
        <v>131</v>
      </c>
      <c r="C119" t="s">
        <v>115</v>
      </c>
      <c r="D119" s="291">
        <v>268200</v>
      </c>
      <c r="E119">
        <v>268200</v>
      </c>
      <c r="F119" t="s">
        <v>116</v>
      </c>
      <c r="G119" t="s">
        <v>117</v>
      </c>
      <c r="H119" t="s">
        <v>88</v>
      </c>
      <c r="I119" s="197">
        <v>45993.791666666664</v>
      </c>
      <c r="J119" t="b">
        <v>0</v>
      </c>
      <c r="K119" t="s">
        <v>5</v>
      </c>
      <c r="L119" t="s">
        <v>5</v>
      </c>
      <c r="M119">
        <v>2</v>
      </c>
      <c r="N119">
        <v>12</v>
      </c>
      <c r="O119">
        <v>2025</v>
      </c>
      <c r="R119">
        <f>IF(wallet_records[[#This Row],[type]]="Gasto",wallet_records[[#This Row],[amount]]*(-1),wallet_records[[#This Row],[amount]])</f>
        <v>-268200</v>
      </c>
    </row>
    <row r="120" spans="1:18" x14ac:dyDescent="0.2">
      <c r="A120" t="s">
        <v>524</v>
      </c>
      <c r="B120" t="s">
        <v>131</v>
      </c>
      <c r="C120" t="s">
        <v>115</v>
      </c>
      <c r="D120" s="291">
        <v>2843190</v>
      </c>
      <c r="E120">
        <v>2843190</v>
      </c>
      <c r="F120" t="s">
        <v>116</v>
      </c>
      <c r="G120" t="s">
        <v>117</v>
      </c>
      <c r="H120" t="s">
        <v>93</v>
      </c>
      <c r="I120" s="197">
        <v>45713.791666666664</v>
      </c>
      <c r="J120" t="b">
        <v>0</v>
      </c>
      <c r="K120" t="s">
        <v>3</v>
      </c>
      <c r="L120" t="s">
        <v>3</v>
      </c>
      <c r="M120">
        <v>25</v>
      </c>
      <c r="N120">
        <v>2</v>
      </c>
      <c r="O120">
        <v>2025</v>
      </c>
      <c r="R120">
        <f>IF(wallet_records[[#This Row],[type]]="Gasto",wallet_records[[#This Row],[amount]]*(-1),wallet_records[[#This Row],[amount]])</f>
        <v>-2843190</v>
      </c>
    </row>
    <row r="121" spans="1:18" x14ac:dyDescent="0.2">
      <c r="A121" t="s">
        <v>524</v>
      </c>
      <c r="B121" t="s">
        <v>131</v>
      </c>
      <c r="C121" t="s">
        <v>115</v>
      </c>
      <c r="D121" s="291">
        <v>365000</v>
      </c>
      <c r="E121">
        <v>365000</v>
      </c>
      <c r="F121" t="s">
        <v>116</v>
      </c>
      <c r="G121" t="s">
        <v>117</v>
      </c>
      <c r="H121" t="s">
        <v>132</v>
      </c>
      <c r="I121" s="197">
        <v>45694.791666666664</v>
      </c>
      <c r="J121" t="b">
        <v>0</v>
      </c>
      <c r="K121" t="s">
        <v>5</v>
      </c>
      <c r="L121" t="s">
        <v>5</v>
      </c>
      <c r="M121">
        <v>6</v>
      </c>
      <c r="N121">
        <v>2</v>
      </c>
      <c r="O121">
        <v>2025</v>
      </c>
      <c r="R121">
        <f>IF(wallet_records[[#This Row],[type]]="Gasto",wallet_records[[#This Row],[amount]]*(-1),wallet_records[[#This Row],[amount]])</f>
        <v>-365000</v>
      </c>
    </row>
    <row r="122" spans="1:18" x14ac:dyDescent="0.2">
      <c r="A122" t="s">
        <v>524</v>
      </c>
      <c r="B122" t="s">
        <v>131</v>
      </c>
      <c r="C122" t="s">
        <v>115</v>
      </c>
      <c r="D122" s="291">
        <v>2200000</v>
      </c>
      <c r="E122">
        <v>2200000</v>
      </c>
      <c r="F122" t="s">
        <v>116</v>
      </c>
      <c r="G122" t="s">
        <v>117</v>
      </c>
      <c r="H122" t="s">
        <v>222</v>
      </c>
      <c r="I122" s="197">
        <v>45677.791666666664</v>
      </c>
      <c r="J122" t="b">
        <v>0</v>
      </c>
      <c r="K122" t="s">
        <v>5</v>
      </c>
      <c r="L122" t="s">
        <v>5</v>
      </c>
      <c r="M122">
        <v>20</v>
      </c>
      <c r="N122">
        <v>1</v>
      </c>
      <c r="O122">
        <v>2025</v>
      </c>
      <c r="R122">
        <f>IF(wallet_records[[#This Row],[type]]="Gasto",wallet_records[[#This Row],[amount]]*(-1),wallet_records[[#This Row],[amount]])</f>
        <v>-2200000</v>
      </c>
    </row>
    <row r="123" spans="1:18" x14ac:dyDescent="0.2">
      <c r="A123" t="s">
        <v>524</v>
      </c>
      <c r="B123" t="s">
        <v>131</v>
      </c>
      <c r="C123" t="s">
        <v>115</v>
      </c>
      <c r="D123" s="291">
        <v>365221</v>
      </c>
      <c r="E123">
        <v>365221</v>
      </c>
      <c r="F123" t="s">
        <v>116</v>
      </c>
      <c r="G123" t="s">
        <v>117</v>
      </c>
      <c r="H123" t="s">
        <v>132</v>
      </c>
      <c r="I123" s="197">
        <v>45669.791666666664</v>
      </c>
      <c r="J123" t="b">
        <v>0</v>
      </c>
      <c r="K123" t="s">
        <v>5</v>
      </c>
      <c r="L123" t="s">
        <v>5</v>
      </c>
      <c r="M123">
        <v>12</v>
      </c>
      <c r="N123">
        <v>1</v>
      </c>
      <c r="O123">
        <v>2025</v>
      </c>
      <c r="R123">
        <f>IF(wallet_records[[#This Row],[type]]="Gasto",wallet_records[[#This Row],[amount]]*(-1),wallet_records[[#This Row],[amount]])</f>
        <v>-365221</v>
      </c>
    </row>
    <row r="124" spans="1:18" x14ac:dyDescent="0.2">
      <c r="A124" t="s">
        <v>524</v>
      </c>
      <c r="B124" t="s">
        <v>131</v>
      </c>
      <c r="C124" t="s">
        <v>115</v>
      </c>
      <c r="D124" s="291">
        <v>674700</v>
      </c>
      <c r="E124">
        <v>674700</v>
      </c>
      <c r="F124" t="s">
        <v>116</v>
      </c>
      <c r="G124" t="s">
        <v>117</v>
      </c>
      <c r="H124" t="s">
        <v>225</v>
      </c>
      <c r="I124" s="197">
        <v>45663.791666666664</v>
      </c>
      <c r="J124" t="b">
        <v>0</v>
      </c>
      <c r="K124" t="s">
        <v>3</v>
      </c>
      <c r="L124" t="s">
        <v>3</v>
      </c>
      <c r="M124">
        <v>6</v>
      </c>
      <c r="N124">
        <v>1</v>
      </c>
      <c r="O124">
        <v>2025</v>
      </c>
      <c r="R124">
        <f>IF(wallet_records[[#This Row],[type]]="Gasto",wallet_records[[#This Row],[amount]]*(-1),wallet_records[[#This Row],[amount]])</f>
        <v>-674700</v>
      </c>
    </row>
    <row r="125" spans="1:18" x14ac:dyDescent="0.2">
      <c r="A125" t="s">
        <v>133</v>
      </c>
      <c r="B125" t="s">
        <v>124</v>
      </c>
      <c r="C125" t="s">
        <v>115</v>
      </c>
      <c r="D125" s="291">
        <v>37491.300000000003</v>
      </c>
      <c r="E125">
        <v>37491.300000000003</v>
      </c>
      <c r="F125" t="s">
        <v>121</v>
      </c>
      <c r="G125" t="s">
        <v>117</v>
      </c>
      <c r="H125" t="s">
        <v>125</v>
      </c>
      <c r="I125" s="197">
        <v>46022.786866898146</v>
      </c>
      <c r="J125" t="b">
        <v>0</v>
      </c>
      <c r="K125" t="s">
        <v>123</v>
      </c>
      <c r="L125" t="s">
        <v>123</v>
      </c>
      <c r="M125">
        <v>31</v>
      </c>
      <c r="N125">
        <v>12</v>
      </c>
      <c r="O125">
        <v>2025</v>
      </c>
      <c r="R125">
        <f>IF(wallet_records[[#This Row],[type]]="Gasto",wallet_records[[#This Row],[amount]]*(-1),wallet_records[[#This Row],[amount]])</f>
        <v>37491.300000000003</v>
      </c>
    </row>
    <row r="126" spans="1:18" x14ac:dyDescent="0.2">
      <c r="A126" t="s">
        <v>119</v>
      </c>
      <c r="B126" t="s">
        <v>124</v>
      </c>
      <c r="C126" t="s">
        <v>115</v>
      </c>
      <c r="D126" s="291">
        <v>25392.240000000002</v>
      </c>
      <c r="E126">
        <v>25392.240000000002</v>
      </c>
      <c r="F126" t="s">
        <v>121</v>
      </c>
      <c r="G126" t="s">
        <v>117</v>
      </c>
      <c r="H126" t="s">
        <v>125</v>
      </c>
      <c r="I126" s="197">
        <v>46009.791666666664</v>
      </c>
      <c r="J126" t="b">
        <v>0</v>
      </c>
      <c r="K126" t="s">
        <v>126</v>
      </c>
      <c r="L126" t="s">
        <v>123</v>
      </c>
      <c r="M126">
        <v>18</v>
      </c>
      <c r="N126">
        <v>12</v>
      </c>
      <c r="O126">
        <v>2025</v>
      </c>
      <c r="R126">
        <f>IF(wallet_records[[#This Row],[type]]="Gasto",wallet_records[[#This Row],[amount]]*(-1),wallet_records[[#This Row],[amount]])</f>
        <v>25392.240000000002</v>
      </c>
    </row>
    <row r="127" spans="1:18" x14ac:dyDescent="0.2">
      <c r="A127" t="s">
        <v>119</v>
      </c>
      <c r="B127" t="s">
        <v>124</v>
      </c>
      <c r="C127" t="s">
        <v>115</v>
      </c>
      <c r="D127" s="291">
        <v>49947.92</v>
      </c>
      <c r="E127">
        <v>49947.92</v>
      </c>
      <c r="F127" t="s">
        <v>121</v>
      </c>
      <c r="G127" t="s">
        <v>117</v>
      </c>
      <c r="H127" t="s">
        <v>125</v>
      </c>
      <c r="I127" s="197">
        <v>46005.791666666664</v>
      </c>
      <c r="J127" t="b">
        <v>0</v>
      </c>
      <c r="K127" t="s">
        <v>126</v>
      </c>
      <c r="L127" t="s">
        <v>123</v>
      </c>
      <c r="M127">
        <v>14</v>
      </c>
      <c r="N127">
        <v>12</v>
      </c>
      <c r="O127">
        <v>2025</v>
      </c>
      <c r="R127">
        <f>IF(wallet_records[[#This Row],[type]]="Gasto",wallet_records[[#This Row],[amount]]*(-1),wallet_records[[#This Row],[amount]])</f>
        <v>49947.92</v>
      </c>
    </row>
    <row r="128" spans="1:18" x14ac:dyDescent="0.2">
      <c r="A128" t="s">
        <v>119</v>
      </c>
      <c r="B128" t="s">
        <v>124</v>
      </c>
      <c r="C128" t="s">
        <v>115</v>
      </c>
      <c r="D128" s="291">
        <v>29965.1</v>
      </c>
      <c r="E128">
        <v>29965.1</v>
      </c>
      <c r="F128" t="s">
        <v>121</v>
      </c>
      <c r="G128" t="s">
        <v>117</v>
      </c>
      <c r="H128" t="s">
        <v>125</v>
      </c>
      <c r="I128" s="197">
        <v>45997.791666666664</v>
      </c>
      <c r="J128" t="b">
        <v>0</v>
      </c>
      <c r="K128" t="s">
        <v>126</v>
      </c>
      <c r="L128" t="s">
        <v>123</v>
      </c>
      <c r="M128">
        <v>6</v>
      </c>
      <c r="N128">
        <v>12</v>
      </c>
      <c r="O128">
        <v>2025</v>
      </c>
      <c r="R128">
        <f>IF(wallet_records[[#This Row],[type]]="Gasto",wallet_records[[#This Row],[amount]]*(-1),wallet_records[[#This Row],[amount]])</f>
        <v>29965.1</v>
      </c>
    </row>
    <row r="129" spans="1:18" x14ac:dyDescent="0.2">
      <c r="A129" t="s">
        <v>525</v>
      </c>
      <c r="B129" t="s">
        <v>124</v>
      </c>
      <c r="C129" t="s">
        <v>115</v>
      </c>
      <c r="D129" s="291">
        <v>37756.28</v>
      </c>
      <c r="E129">
        <v>37756.28</v>
      </c>
      <c r="F129" t="s">
        <v>121</v>
      </c>
      <c r="G129" t="s">
        <v>117</v>
      </c>
      <c r="H129" t="s">
        <v>125</v>
      </c>
      <c r="I129" s="197">
        <v>45992.791666666664</v>
      </c>
      <c r="J129" t="b">
        <v>0</v>
      </c>
      <c r="K129" t="s">
        <v>127</v>
      </c>
      <c r="L129" t="s">
        <v>123</v>
      </c>
      <c r="M129">
        <v>1</v>
      </c>
      <c r="N129">
        <v>12</v>
      </c>
      <c r="O129">
        <v>2025</v>
      </c>
      <c r="R129">
        <f>IF(wallet_records[[#This Row],[type]]="Gasto",wallet_records[[#This Row],[amount]]*(-1),wallet_records[[#This Row],[amount]])</f>
        <v>37756.28</v>
      </c>
    </row>
    <row r="130" spans="1:18" x14ac:dyDescent="0.2">
      <c r="A130" t="s">
        <v>524</v>
      </c>
      <c r="B130" t="s">
        <v>124</v>
      </c>
      <c r="C130" t="s">
        <v>115</v>
      </c>
      <c r="D130" s="291">
        <v>151146.5</v>
      </c>
      <c r="E130">
        <v>151146.5</v>
      </c>
      <c r="F130" t="s">
        <v>121</v>
      </c>
      <c r="G130" t="s">
        <v>117</v>
      </c>
      <c r="H130" t="s">
        <v>125</v>
      </c>
      <c r="I130" s="197">
        <v>45992.791666666664</v>
      </c>
      <c r="J130" t="b">
        <v>0</v>
      </c>
      <c r="K130" t="s">
        <v>127</v>
      </c>
      <c r="L130" t="s">
        <v>123</v>
      </c>
      <c r="M130">
        <v>1</v>
      </c>
      <c r="N130">
        <v>12</v>
      </c>
      <c r="O130">
        <v>2025</v>
      </c>
      <c r="R130">
        <f>IF(wallet_records[[#This Row],[type]]="Gasto",wallet_records[[#This Row],[amount]]*(-1),wallet_records[[#This Row],[amount]])</f>
        <v>151146.5</v>
      </c>
    </row>
    <row r="131" spans="1:18" x14ac:dyDescent="0.2">
      <c r="A131" t="s">
        <v>119</v>
      </c>
      <c r="B131" t="s">
        <v>124</v>
      </c>
      <c r="C131" t="s">
        <v>115</v>
      </c>
      <c r="D131" s="291">
        <v>108830.15</v>
      </c>
      <c r="E131">
        <v>108830.15</v>
      </c>
      <c r="F131" t="s">
        <v>121</v>
      </c>
      <c r="G131" t="s">
        <v>117</v>
      </c>
      <c r="H131" t="s">
        <v>125</v>
      </c>
      <c r="I131" s="197">
        <v>45992.791666666664</v>
      </c>
      <c r="J131" t="b">
        <v>0</v>
      </c>
      <c r="K131" t="s">
        <v>126</v>
      </c>
      <c r="L131" t="s">
        <v>123</v>
      </c>
      <c r="M131">
        <v>1</v>
      </c>
      <c r="N131">
        <v>12</v>
      </c>
      <c r="O131">
        <v>2025</v>
      </c>
      <c r="R131">
        <f>IF(wallet_records[[#This Row],[type]]="Gasto",wallet_records[[#This Row],[amount]]*(-1),wallet_records[[#This Row],[amount]])</f>
        <v>108830.15</v>
      </c>
    </row>
    <row r="132" spans="1:18" x14ac:dyDescent="0.2">
      <c r="A132" t="s">
        <v>133</v>
      </c>
      <c r="B132" t="s">
        <v>124</v>
      </c>
      <c r="C132" t="s">
        <v>115</v>
      </c>
      <c r="D132" s="291">
        <v>49473.41</v>
      </c>
      <c r="E132">
        <v>49473.41</v>
      </c>
      <c r="F132" t="s">
        <v>121</v>
      </c>
      <c r="G132" t="s">
        <v>117</v>
      </c>
      <c r="H132" t="s">
        <v>125</v>
      </c>
      <c r="I132" s="197">
        <v>45990.791666666664</v>
      </c>
      <c r="J132" t="b">
        <v>0</v>
      </c>
      <c r="K132" t="s">
        <v>123</v>
      </c>
      <c r="L132" t="s">
        <v>123</v>
      </c>
      <c r="M132">
        <v>29</v>
      </c>
      <c r="N132">
        <v>11</v>
      </c>
      <c r="O132">
        <v>2025</v>
      </c>
      <c r="R132">
        <f>IF(wallet_records[[#This Row],[type]]="Gasto",wallet_records[[#This Row],[amount]]*(-1),wallet_records[[#This Row],[amount]])</f>
        <v>49473.41</v>
      </c>
    </row>
    <row r="133" spans="1:18" x14ac:dyDescent="0.2">
      <c r="A133" t="s">
        <v>119</v>
      </c>
      <c r="B133" t="s">
        <v>124</v>
      </c>
      <c r="C133" t="s">
        <v>115</v>
      </c>
      <c r="D133" s="291">
        <v>16892.28</v>
      </c>
      <c r="E133">
        <v>16892.28</v>
      </c>
      <c r="F133" t="s">
        <v>121</v>
      </c>
      <c r="G133" t="s">
        <v>117</v>
      </c>
      <c r="H133" t="s">
        <v>125</v>
      </c>
      <c r="I133" s="197">
        <v>45972.791666666664</v>
      </c>
      <c r="J133" t="b">
        <v>0</v>
      </c>
      <c r="K133" t="s">
        <v>126</v>
      </c>
      <c r="L133" t="s">
        <v>123</v>
      </c>
      <c r="M133">
        <v>11</v>
      </c>
      <c r="N133">
        <v>11</v>
      </c>
      <c r="O133">
        <v>2025</v>
      </c>
      <c r="R133">
        <f>IF(wallet_records[[#This Row],[type]]="Gasto",wallet_records[[#This Row],[amount]]*(-1),wallet_records[[#This Row],[amount]])</f>
        <v>16892.28</v>
      </c>
    </row>
    <row r="134" spans="1:18" x14ac:dyDescent="0.2">
      <c r="A134" t="s">
        <v>119</v>
      </c>
      <c r="B134" t="s">
        <v>124</v>
      </c>
      <c r="C134" t="s">
        <v>115</v>
      </c>
      <c r="D134" s="291">
        <v>35285.339999999997</v>
      </c>
      <c r="E134">
        <v>35285.339999999997</v>
      </c>
      <c r="F134" t="s">
        <v>121</v>
      </c>
      <c r="G134" t="s">
        <v>117</v>
      </c>
      <c r="H134" t="s">
        <v>125</v>
      </c>
      <c r="I134" s="197">
        <v>45969.791666666664</v>
      </c>
      <c r="J134" t="b">
        <v>0</v>
      </c>
      <c r="K134" t="s">
        <v>126</v>
      </c>
      <c r="L134" t="s">
        <v>123</v>
      </c>
      <c r="M134">
        <v>8</v>
      </c>
      <c r="N134">
        <v>11</v>
      </c>
      <c r="O134">
        <v>2025</v>
      </c>
      <c r="R134">
        <f>IF(wallet_records[[#This Row],[type]]="Gasto",wallet_records[[#This Row],[amount]]*(-1),wallet_records[[#This Row],[amount]])</f>
        <v>35285.339999999997</v>
      </c>
    </row>
    <row r="135" spans="1:18" x14ac:dyDescent="0.2">
      <c r="A135" t="s">
        <v>119</v>
      </c>
      <c r="B135" t="s">
        <v>124</v>
      </c>
      <c r="C135" t="s">
        <v>115</v>
      </c>
      <c r="D135" s="291">
        <v>5159.75</v>
      </c>
      <c r="E135">
        <v>5159.75</v>
      </c>
      <c r="F135" t="s">
        <v>121</v>
      </c>
      <c r="G135" t="s">
        <v>117</v>
      </c>
      <c r="H135" t="s">
        <v>125</v>
      </c>
      <c r="I135" s="197">
        <v>45963.791666666664</v>
      </c>
      <c r="J135" t="b">
        <v>0</v>
      </c>
      <c r="K135" t="s">
        <v>126</v>
      </c>
      <c r="L135" t="s">
        <v>123</v>
      </c>
      <c r="M135">
        <v>2</v>
      </c>
      <c r="N135">
        <v>11</v>
      </c>
      <c r="O135">
        <v>2025</v>
      </c>
      <c r="R135">
        <f>IF(wallet_records[[#This Row],[type]]="Gasto",wallet_records[[#This Row],[amount]]*(-1),wallet_records[[#This Row],[amount]])</f>
        <v>5159.75</v>
      </c>
    </row>
    <row r="136" spans="1:18" x14ac:dyDescent="0.2">
      <c r="A136" t="s">
        <v>525</v>
      </c>
      <c r="B136" t="s">
        <v>124</v>
      </c>
      <c r="C136" t="s">
        <v>115</v>
      </c>
      <c r="D136" s="291">
        <v>60278.39</v>
      </c>
      <c r="E136">
        <v>60278.39</v>
      </c>
      <c r="F136" t="s">
        <v>121</v>
      </c>
      <c r="G136" t="s">
        <v>117</v>
      </c>
      <c r="H136" t="s">
        <v>125</v>
      </c>
      <c r="I136" s="197">
        <v>45962.791666666664</v>
      </c>
      <c r="J136" t="b">
        <v>0</v>
      </c>
      <c r="K136" t="s">
        <v>127</v>
      </c>
      <c r="L136" t="s">
        <v>123</v>
      </c>
      <c r="M136">
        <v>1</v>
      </c>
      <c r="N136">
        <v>11</v>
      </c>
      <c r="O136">
        <v>2025</v>
      </c>
      <c r="R136">
        <f>IF(wallet_records[[#This Row],[type]]="Gasto",wallet_records[[#This Row],[amount]]*(-1),wallet_records[[#This Row],[amount]])</f>
        <v>60278.39</v>
      </c>
    </row>
    <row r="137" spans="1:18" x14ac:dyDescent="0.2">
      <c r="A137" t="s">
        <v>524</v>
      </c>
      <c r="B137" t="s">
        <v>124</v>
      </c>
      <c r="C137" t="s">
        <v>115</v>
      </c>
      <c r="D137" s="291">
        <v>137335.82</v>
      </c>
      <c r="E137">
        <v>137335.82</v>
      </c>
      <c r="F137" t="s">
        <v>121</v>
      </c>
      <c r="G137" t="s">
        <v>117</v>
      </c>
      <c r="H137" t="s">
        <v>125</v>
      </c>
      <c r="I137" s="197">
        <v>45962.791666666664</v>
      </c>
      <c r="J137" t="b">
        <v>0</v>
      </c>
      <c r="K137" t="s">
        <v>127</v>
      </c>
      <c r="L137" t="s">
        <v>123</v>
      </c>
      <c r="M137">
        <v>1</v>
      </c>
      <c r="N137">
        <v>11</v>
      </c>
      <c r="O137">
        <v>2025</v>
      </c>
      <c r="R137">
        <f>IF(wallet_records[[#This Row],[type]]="Gasto",wallet_records[[#This Row],[amount]]*(-1),wallet_records[[#This Row],[amount]])</f>
        <v>137335.82</v>
      </c>
    </row>
    <row r="138" spans="1:18" x14ac:dyDescent="0.2">
      <c r="A138" t="s">
        <v>119</v>
      </c>
      <c r="B138" t="s">
        <v>124</v>
      </c>
      <c r="C138" t="s">
        <v>115</v>
      </c>
      <c r="D138" s="291">
        <v>36396.32</v>
      </c>
      <c r="E138">
        <v>36396.32</v>
      </c>
      <c r="F138" t="s">
        <v>121</v>
      </c>
      <c r="G138" t="s">
        <v>117</v>
      </c>
      <c r="H138" t="s">
        <v>125</v>
      </c>
      <c r="I138" s="197">
        <v>45962.791666666664</v>
      </c>
      <c r="J138" t="b">
        <v>0</v>
      </c>
      <c r="K138" t="s">
        <v>126</v>
      </c>
      <c r="L138" t="s">
        <v>123</v>
      </c>
      <c r="M138">
        <v>1</v>
      </c>
      <c r="N138">
        <v>11</v>
      </c>
      <c r="O138">
        <v>2025</v>
      </c>
      <c r="R138">
        <f>IF(wallet_records[[#This Row],[type]]="Gasto",wallet_records[[#This Row],[amount]]*(-1),wallet_records[[#This Row],[amount]])</f>
        <v>36396.32</v>
      </c>
    </row>
    <row r="139" spans="1:18" x14ac:dyDescent="0.2">
      <c r="A139" t="s">
        <v>133</v>
      </c>
      <c r="B139" t="s">
        <v>124</v>
      </c>
      <c r="C139" t="s">
        <v>115</v>
      </c>
      <c r="D139" s="291">
        <v>68299.009999999995</v>
      </c>
      <c r="E139">
        <v>68299.009999999995</v>
      </c>
      <c r="F139" t="s">
        <v>121</v>
      </c>
      <c r="G139" t="s">
        <v>117</v>
      </c>
      <c r="H139" t="s">
        <v>125</v>
      </c>
      <c r="I139" s="197">
        <v>45960.791666666664</v>
      </c>
      <c r="J139" t="b">
        <v>0</v>
      </c>
      <c r="K139" t="s">
        <v>123</v>
      </c>
      <c r="L139" t="s">
        <v>123</v>
      </c>
      <c r="M139">
        <v>30</v>
      </c>
      <c r="N139">
        <v>10</v>
      </c>
      <c r="O139">
        <v>2025</v>
      </c>
      <c r="R139">
        <f>IF(wallet_records[[#This Row],[type]]="Gasto",wallet_records[[#This Row],[amount]]*(-1),wallet_records[[#This Row],[amount]])</f>
        <v>68299.009999999995</v>
      </c>
    </row>
    <row r="140" spans="1:18" x14ac:dyDescent="0.2">
      <c r="A140" t="s">
        <v>119</v>
      </c>
      <c r="B140" t="s">
        <v>124</v>
      </c>
      <c r="C140" t="s">
        <v>115</v>
      </c>
      <c r="D140" s="291">
        <v>11117.5</v>
      </c>
      <c r="E140">
        <v>11117.5</v>
      </c>
      <c r="F140" t="s">
        <v>121</v>
      </c>
      <c r="G140" t="s">
        <v>117</v>
      </c>
      <c r="H140" t="s">
        <v>125</v>
      </c>
      <c r="I140" s="197">
        <v>45954.791666666664</v>
      </c>
      <c r="J140" t="b">
        <v>0</v>
      </c>
      <c r="K140" t="s">
        <v>126</v>
      </c>
      <c r="L140" t="s">
        <v>123</v>
      </c>
      <c r="M140">
        <v>24</v>
      </c>
      <c r="N140">
        <v>10</v>
      </c>
      <c r="O140">
        <v>2025</v>
      </c>
      <c r="R140">
        <f>IF(wallet_records[[#This Row],[type]]="Gasto",wallet_records[[#This Row],[amount]]*(-1),wallet_records[[#This Row],[amount]])</f>
        <v>11117.5</v>
      </c>
    </row>
    <row r="141" spans="1:18" x14ac:dyDescent="0.2">
      <c r="A141" t="s">
        <v>119</v>
      </c>
      <c r="B141" t="s">
        <v>124</v>
      </c>
      <c r="C141" t="s">
        <v>115</v>
      </c>
      <c r="D141" s="291">
        <v>49065.120000000003</v>
      </c>
      <c r="E141">
        <v>49065.120000000003</v>
      </c>
      <c r="F141" t="s">
        <v>121</v>
      </c>
      <c r="G141" t="s">
        <v>117</v>
      </c>
      <c r="H141" t="s">
        <v>125</v>
      </c>
      <c r="I141" s="197">
        <v>45952.791666666664</v>
      </c>
      <c r="J141" t="b">
        <v>0</v>
      </c>
      <c r="K141" t="s">
        <v>126</v>
      </c>
      <c r="L141" t="s">
        <v>123</v>
      </c>
      <c r="M141">
        <v>22</v>
      </c>
      <c r="N141">
        <v>10</v>
      </c>
      <c r="O141">
        <v>2025</v>
      </c>
      <c r="R141">
        <f>IF(wallet_records[[#This Row],[type]]="Gasto",wallet_records[[#This Row],[amount]]*(-1),wallet_records[[#This Row],[amount]])</f>
        <v>49065.120000000003</v>
      </c>
    </row>
    <row r="142" spans="1:18" x14ac:dyDescent="0.2">
      <c r="A142" t="s">
        <v>119</v>
      </c>
      <c r="B142" t="s">
        <v>124</v>
      </c>
      <c r="C142" t="s">
        <v>115</v>
      </c>
      <c r="D142" s="291">
        <v>49158.36</v>
      </c>
      <c r="E142">
        <v>49158.36</v>
      </c>
      <c r="F142" t="s">
        <v>121</v>
      </c>
      <c r="G142" t="s">
        <v>117</v>
      </c>
      <c r="H142" t="s">
        <v>125</v>
      </c>
      <c r="I142" s="197">
        <v>45943.791666666664</v>
      </c>
      <c r="J142" t="b">
        <v>0</v>
      </c>
      <c r="K142" t="s">
        <v>126</v>
      </c>
      <c r="L142" t="s">
        <v>123</v>
      </c>
      <c r="M142">
        <v>13</v>
      </c>
      <c r="N142">
        <v>10</v>
      </c>
      <c r="O142">
        <v>2025</v>
      </c>
      <c r="R142">
        <f>IF(wallet_records[[#This Row],[type]]="Gasto",wallet_records[[#This Row],[amount]]*(-1),wallet_records[[#This Row],[amount]])</f>
        <v>49158.36</v>
      </c>
    </row>
    <row r="143" spans="1:18" x14ac:dyDescent="0.2">
      <c r="A143" t="s">
        <v>119</v>
      </c>
      <c r="B143" t="s">
        <v>124</v>
      </c>
      <c r="C143" t="s">
        <v>115</v>
      </c>
      <c r="D143" s="291">
        <v>15639.36</v>
      </c>
      <c r="E143">
        <v>15639.36</v>
      </c>
      <c r="F143" t="s">
        <v>121</v>
      </c>
      <c r="G143" t="s">
        <v>117</v>
      </c>
      <c r="H143" t="s">
        <v>125</v>
      </c>
      <c r="I143" s="197">
        <v>45934.791666666664</v>
      </c>
      <c r="J143" t="b">
        <v>0</v>
      </c>
      <c r="K143" t="s">
        <v>126</v>
      </c>
      <c r="L143" t="s">
        <v>123</v>
      </c>
      <c r="M143">
        <v>4</v>
      </c>
      <c r="N143">
        <v>10</v>
      </c>
      <c r="O143">
        <v>2025</v>
      </c>
      <c r="R143">
        <f>IF(wallet_records[[#This Row],[type]]="Gasto",wallet_records[[#This Row],[amount]]*(-1),wallet_records[[#This Row],[amount]])</f>
        <v>15639.36</v>
      </c>
    </row>
    <row r="144" spans="1:18" x14ac:dyDescent="0.2">
      <c r="A144" t="s">
        <v>119</v>
      </c>
      <c r="B144" t="s">
        <v>124</v>
      </c>
      <c r="C144" t="s">
        <v>115</v>
      </c>
      <c r="D144" s="291">
        <v>61308.639999999999</v>
      </c>
      <c r="E144">
        <v>61308.639999999999</v>
      </c>
      <c r="F144" t="s">
        <v>121</v>
      </c>
      <c r="G144" t="s">
        <v>117</v>
      </c>
      <c r="H144" t="s">
        <v>125</v>
      </c>
      <c r="I144" s="197">
        <v>45931.791666666664</v>
      </c>
      <c r="J144" t="b">
        <v>0</v>
      </c>
      <c r="K144" t="s">
        <v>126</v>
      </c>
      <c r="L144" t="s">
        <v>123</v>
      </c>
      <c r="M144">
        <v>1</v>
      </c>
      <c r="N144">
        <v>10</v>
      </c>
      <c r="O144">
        <v>2025</v>
      </c>
      <c r="R144">
        <f>IF(wallet_records[[#This Row],[type]]="Gasto",wallet_records[[#This Row],[amount]]*(-1),wallet_records[[#This Row],[amount]])</f>
        <v>61308.639999999999</v>
      </c>
    </row>
    <row r="145" spans="1:18" x14ac:dyDescent="0.2">
      <c r="A145" t="s">
        <v>525</v>
      </c>
      <c r="B145" t="s">
        <v>124</v>
      </c>
      <c r="C145" t="s">
        <v>115</v>
      </c>
      <c r="D145" s="291">
        <v>63883.23</v>
      </c>
      <c r="E145">
        <v>63883.23</v>
      </c>
      <c r="F145" t="s">
        <v>121</v>
      </c>
      <c r="G145" t="s">
        <v>117</v>
      </c>
      <c r="H145" t="s">
        <v>125</v>
      </c>
      <c r="I145" s="197">
        <v>45931.791666666664</v>
      </c>
      <c r="J145" t="b">
        <v>0</v>
      </c>
      <c r="K145" t="s">
        <v>127</v>
      </c>
      <c r="L145" t="s">
        <v>123</v>
      </c>
      <c r="M145">
        <v>1</v>
      </c>
      <c r="N145">
        <v>10</v>
      </c>
      <c r="O145">
        <v>2025</v>
      </c>
      <c r="R145">
        <f>IF(wallet_records[[#This Row],[type]]="Gasto",wallet_records[[#This Row],[amount]]*(-1),wallet_records[[#This Row],[amount]])</f>
        <v>63883.23</v>
      </c>
    </row>
    <row r="146" spans="1:18" x14ac:dyDescent="0.2">
      <c r="A146" t="s">
        <v>524</v>
      </c>
      <c r="B146" t="s">
        <v>124</v>
      </c>
      <c r="C146" t="s">
        <v>115</v>
      </c>
      <c r="D146" s="291">
        <v>164758.14000000001</v>
      </c>
      <c r="E146">
        <v>164758.14000000001</v>
      </c>
      <c r="F146" t="s">
        <v>121</v>
      </c>
      <c r="G146" t="s">
        <v>117</v>
      </c>
      <c r="H146" t="s">
        <v>125</v>
      </c>
      <c r="I146" s="197">
        <v>45931.791666666664</v>
      </c>
      <c r="J146" t="b">
        <v>0</v>
      </c>
      <c r="K146" t="s">
        <v>127</v>
      </c>
      <c r="L146" t="s">
        <v>123</v>
      </c>
      <c r="M146">
        <v>1</v>
      </c>
      <c r="N146">
        <v>10</v>
      </c>
      <c r="O146">
        <v>2025</v>
      </c>
      <c r="R146">
        <f>IF(wallet_records[[#This Row],[type]]="Gasto",wallet_records[[#This Row],[amount]]*(-1),wallet_records[[#This Row],[amount]])</f>
        <v>164758.14000000001</v>
      </c>
    </row>
    <row r="147" spans="1:18" x14ac:dyDescent="0.2">
      <c r="A147" t="s">
        <v>133</v>
      </c>
      <c r="B147" t="s">
        <v>124</v>
      </c>
      <c r="C147" t="s">
        <v>115</v>
      </c>
      <c r="D147" s="291">
        <v>57647.21</v>
      </c>
      <c r="E147">
        <v>57647.21</v>
      </c>
      <c r="F147" t="s">
        <v>121</v>
      </c>
      <c r="G147" t="s">
        <v>117</v>
      </c>
      <c r="H147" t="s">
        <v>125</v>
      </c>
      <c r="I147" s="197">
        <v>45929.791666666664</v>
      </c>
      <c r="J147" t="b">
        <v>0</v>
      </c>
      <c r="K147" t="s">
        <v>123</v>
      </c>
      <c r="L147" t="s">
        <v>123</v>
      </c>
      <c r="M147">
        <v>29</v>
      </c>
      <c r="N147">
        <v>9</v>
      </c>
      <c r="O147">
        <v>2025</v>
      </c>
      <c r="R147">
        <f>IF(wallet_records[[#This Row],[type]]="Gasto",wallet_records[[#This Row],[amount]]*(-1),wallet_records[[#This Row],[amount]])</f>
        <v>57647.21</v>
      </c>
    </row>
    <row r="148" spans="1:18" x14ac:dyDescent="0.2">
      <c r="A148" t="s">
        <v>119</v>
      </c>
      <c r="B148" t="s">
        <v>124</v>
      </c>
      <c r="C148" t="s">
        <v>115</v>
      </c>
      <c r="D148" s="291">
        <v>10648.56</v>
      </c>
      <c r="E148">
        <v>10648.56</v>
      </c>
      <c r="F148" t="s">
        <v>121</v>
      </c>
      <c r="G148" t="s">
        <v>117</v>
      </c>
      <c r="H148" t="s">
        <v>125</v>
      </c>
      <c r="I148" s="197">
        <v>45913.791666666664</v>
      </c>
      <c r="J148" t="b">
        <v>0</v>
      </c>
      <c r="K148" t="s">
        <v>126</v>
      </c>
      <c r="L148" t="s">
        <v>123</v>
      </c>
      <c r="M148">
        <v>13</v>
      </c>
      <c r="N148">
        <v>9</v>
      </c>
      <c r="O148">
        <v>2025</v>
      </c>
      <c r="R148">
        <f>IF(wallet_records[[#This Row],[type]]="Gasto",wallet_records[[#This Row],[amount]]*(-1),wallet_records[[#This Row],[amount]])</f>
        <v>10648.56</v>
      </c>
    </row>
    <row r="149" spans="1:18" x14ac:dyDescent="0.2">
      <c r="A149" t="s">
        <v>119</v>
      </c>
      <c r="B149" t="s">
        <v>124</v>
      </c>
      <c r="C149" t="s">
        <v>115</v>
      </c>
      <c r="D149" s="291">
        <v>3549.52</v>
      </c>
      <c r="E149">
        <v>3549.52</v>
      </c>
      <c r="F149" t="s">
        <v>121</v>
      </c>
      <c r="G149" t="s">
        <v>117</v>
      </c>
      <c r="H149" t="s">
        <v>125</v>
      </c>
      <c r="I149" s="197">
        <v>45910.791666666664</v>
      </c>
      <c r="J149" t="b">
        <v>0</v>
      </c>
      <c r="K149" t="s">
        <v>126</v>
      </c>
      <c r="L149" t="s">
        <v>123</v>
      </c>
      <c r="M149">
        <v>10</v>
      </c>
      <c r="N149">
        <v>9</v>
      </c>
      <c r="O149">
        <v>2025</v>
      </c>
      <c r="R149">
        <f>IF(wallet_records[[#This Row],[type]]="Gasto",wallet_records[[#This Row],[amount]]*(-1),wallet_records[[#This Row],[amount]])</f>
        <v>3549.52</v>
      </c>
    </row>
    <row r="150" spans="1:18" x14ac:dyDescent="0.2">
      <c r="A150" t="s">
        <v>119</v>
      </c>
      <c r="B150" t="s">
        <v>124</v>
      </c>
      <c r="C150" t="s">
        <v>115</v>
      </c>
      <c r="D150" s="291">
        <v>31464.82</v>
      </c>
      <c r="E150">
        <v>31464.82</v>
      </c>
      <c r="F150" t="s">
        <v>121</v>
      </c>
      <c r="G150" t="s">
        <v>117</v>
      </c>
      <c r="H150" t="s">
        <v>125</v>
      </c>
      <c r="I150" s="197">
        <v>45909.791666666664</v>
      </c>
      <c r="J150" t="b">
        <v>0</v>
      </c>
      <c r="K150" t="s">
        <v>126</v>
      </c>
      <c r="L150" t="s">
        <v>123</v>
      </c>
      <c r="M150">
        <v>9</v>
      </c>
      <c r="N150">
        <v>9</v>
      </c>
      <c r="O150">
        <v>2025</v>
      </c>
      <c r="R150">
        <f>IF(wallet_records[[#This Row],[type]]="Gasto",wallet_records[[#This Row],[amount]]*(-1),wallet_records[[#This Row],[amount]])</f>
        <v>31464.82</v>
      </c>
    </row>
    <row r="151" spans="1:18" x14ac:dyDescent="0.2">
      <c r="A151" t="s">
        <v>119</v>
      </c>
      <c r="B151" t="s">
        <v>124</v>
      </c>
      <c r="C151" t="s">
        <v>115</v>
      </c>
      <c r="D151" s="291">
        <v>91479.28</v>
      </c>
      <c r="E151">
        <v>91479.28</v>
      </c>
      <c r="F151" t="s">
        <v>121</v>
      </c>
      <c r="G151" t="s">
        <v>117</v>
      </c>
      <c r="H151" t="s">
        <v>125</v>
      </c>
      <c r="I151" s="197">
        <v>45903.791666666664</v>
      </c>
      <c r="J151" t="b">
        <v>0</v>
      </c>
      <c r="K151" t="s">
        <v>126</v>
      </c>
      <c r="L151" t="s">
        <v>123</v>
      </c>
      <c r="M151">
        <v>3</v>
      </c>
      <c r="N151">
        <v>9</v>
      </c>
      <c r="O151">
        <v>2025</v>
      </c>
      <c r="R151">
        <f>IF(wallet_records[[#This Row],[type]]="Gasto",wallet_records[[#This Row],[amount]]*(-1),wallet_records[[#This Row],[amount]])</f>
        <v>91479.28</v>
      </c>
    </row>
    <row r="152" spans="1:18" x14ac:dyDescent="0.2">
      <c r="A152" t="s">
        <v>524</v>
      </c>
      <c r="B152" t="s">
        <v>124</v>
      </c>
      <c r="C152" t="s">
        <v>115</v>
      </c>
      <c r="D152" s="291">
        <v>161190.03</v>
      </c>
      <c r="E152">
        <v>161190.03</v>
      </c>
      <c r="F152" t="s">
        <v>121</v>
      </c>
      <c r="G152" t="s">
        <v>117</v>
      </c>
      <c r="H152" t="s">
        <v>125</v>
      </c>
      <c r="I152" s="197">
        <v>45901.791666666664</v>
      </c>
      <c r="J152" t="b">
        <v>0</v>
      </c>
      <c r="K152" t="s">
        <v>127</v>
      </c>
      <c r="L152" t="s">
        <v>123</v>
      </c>
      <c r="M152">
        <v>1</v>
      </c>
      <c r="N152">
        <v>9</v>
      </c>
      <c r="O152">
        <v>2025</v>
      </c>
      <c r="R152">
        <f>IF(wallet_records[[#This Row],[type]]="Gasto",wallet_records[[#This Row],[amount]]*(-1),wallet_records[[#This Row],[amount]])</f>
        <v>161190.03</v>
      </c>
    </row>
    <row r="153" spans="1:18" x14ac:dyDescent="0.2">
      <c r="A153" t="s">
        <v>525</v>
      </c>
      <c r="B153" t="s">
        <v>124</v>
      </c>
      <c r="C153" t="s">
        <v>115</v>
      </c>
      <c r="D153" s="291">
        <v>50903</v>
      </c>
      <c r="E153">
        <v>50903</v>
      </c>
      <c r="F153" t="s">
        <v>121</v>
      </c>
      <c r="G153" t="s">
        <v>117</v>
      </c>
      <c r="H153" t="s">
        <v>125</v>
      </c>
      <c r="I153" s="197">
        <v>45901.791666666664</v>
      </c>
      <c r="J153" t="b">
        <v>0</v>
      </c>
      <c r="K153" t="s">
        <v>127</v>
      </c>
      <c r="L153" t="s">
        <v>123</v>
      </c>
      <c r="M153">
        <v>1</v>
      </c>
      <c r="N153">
        <v>9</v>
      </c>
      <c r="O153">
        <v>2025</v>
      </c>
      <c r="R153">
        <f>IF(wallet_records[[#This Row],[type]]="Gasto",wallet_records[[#This Row],[amount]]*(-1),wallet_records[[#This Row],[amount]])</f>
        <v>50903</v>
      </c>
    </row>
    <row r="154" spans="1:18" x14ac:dyDescent="0.2">
      <c r="A154" t="s">
        <v>133</v>
      </c>
      <c r="B154" t="s">
        <v>124</v>
      </c>
      <c r="C154" t="s">
        <v>115</v>
      </c>
      <c r="D154" s="291">
        <v>54437.03</v>
      </c>
      <c r="E154">
        <v>54437.03</v>
      </c>
      <c r="F154" t="s">
        <v>121</v>
      </c>
      <c r="G154" t="s">
        <v>117</v>
      </c>
      <c r="H154" t="s">
        <v>125</v>
      </c>
      <c r="I154" s="197">
        <v>45899.791666666664</v>
      </c>
      <c r="J154" t="b">
        <v>0</v>
      </c>
      <c r="K154" t="s">
        <v>123</v>
      </c>
      <c r="L154" t="s">
        <v>123</v>
      </c>
      <c r="M154">
        <v>30</v>
      </c>
      <c r="N154">
        <v>8</v>
      </c>
      <c r="O154">
        <v>2025</v>
      </c>
      <c r="R154">
        <f>IF(wallet_records[[#This Row],[type]]="Gasto",wallet_records[[#This Row],[amount]]*(-1),wallet_records[[#This Row],[amount]])</f>
        <v>54437.03</v>
      </c>
    </row>
    <row r="155" spans="1:18" x14ac:dyDescent="0.2">
      <c r="A155" t="s">
        <v>119</v>
      </c>
      <c r="B155" t="s">
        <v>124</v>
      </c>
      <c r="C155" t="s">
        <v>115</v>
      </c>
      <c r="D155" s="291">
        <v>10639.85</v>
      </c>
      <c r="E155">
        <v>10639.85</v>
      </c>
      <c r="F155" t="s">
        <v>121</v>
      </c>
      <c r="G155" t="s">
        <v>117</v>
      </c>
      <c r="H155" t="s">
        <v>125</v>
      </c>
      <c r="I155" s="197">
        <v>45886.791666666664</v>
      </c>
      <c r="J155" t="b">
        <v>0</v>
      </c>
      <c r="K155" t="s">
        <v>126</v>
      </c>
      <c r="L155" t="s">
        <v>123</v>
      </c>
      <c r="M155">
        <v>17</v>
      </c>
      <c r="N155">
        <v>8</v>
      </c>
      <c r="O155">
        <v>2025</v>
      </c>
      <c r="R155">
        <f>IF(wallet_records[[#This Row],[type]]="Gasto",wallet_records[[#This Row],[amount]]*(-1),wallet_records[[#This Row],[amount]])</f>
        <v>10639.85</v>
      </c>
    </row>
    <row r="156" spans="1:18" x14ac:dyDescent="0.2">
      <c r="A156" t="s">
        <v>119</v>
      </c>
      <c r="B156" t="s">
        <v>124</v>
      </c>
      <c r="C156" t="s">
        <v>115</v>
      </c>
      <c r="D156" s="291">
        <v>155197.89000000001</v>
      </c>
      <c r="E156">
        <v>155197.89000000001</v>
      </c>
      <c r="F156" t="s">
        <v>121</v>
      </c>
      <c r="G156" t="s">
        <v>117</v>
      </c>
      <c r="H156" t="s">
        <v>125</v>
      </c>
      <c r="I156" s="197">
        <v>45884.791666666664</v>
      </c>
      <c r="J156" t="b">
        <v>0</v>
      </c>
      <c r="K156" t="s">
        <v>126</v>
      </c>
      <c r="L156" t="s">
        <v>123</v>
      </c>
      <c r="M156">
        <v>15</v>
      </c>
      <c r="N156">
        <v>8</v>
      </c>
      <c r="O156">
        <v>2025</v>
      </c>
      <c r="R156">
        <f>IF(wallet_records[[#This Row],[type]]="Gasto",wallet_records[[#This Row],[amount]]*(-1),wallet_records[[#This Row],[amount]])</f>
        <v>155197.89000000001</v>
      </c>
    </row>
    <row r="157" spans="1:18" x14ac:dyDescent="0.2">
      <c r="A157" t="s">
        <v>525</v>
      </c>
      <c r="B157" t="s">
        <v>124</v>
      </c>
      <c r="C157" t="s">
        <v>115</v>
      </c>
      <c r="D157" s="291">
        <v>49609.279999999999</v>
      </c>
      <c r="E157">
        <v>49609.279999999999</v>
      </c>
      <c r="F157" t="s">
        <v>121</v>
      </c>
      <c r="G157" t="s">
        <v>117</v>
      </c>
      <c r="H157" t="s">
        <v>125</v>
      </c>
      <c r="I157" s="197">
        <v>45870.791666666664</v>
      </c>
      <c r="J157" t="b">
        <v>0</v>
      </c>
      <c r="K157" t="s">
        <v>127</v>
      </c>
      <c r="L157" t="s">
        <v>123</v>
      </c>
      <c r="M157">
        <v>1</v>
      </c>
      <c r="N157">
        <v>8</v>
      </c>
      <c r="O157">
        <v>2025</v>
      </c>
      <c r="R157">
        <f>IF(wallet_records[[#This Row],[type]]="Gasto",wallet_records[[#This Row],[amount]]*(-1),wallet_records[[#This Row],[amount]])</f>
        <v>49609.279999999999</v>
      </c>
    </row>
    <row r="158" spans="1:18" x14ac:dyDescent="0.2">
      <c r="A158" t="s">
        <v>524</v>
      </c>
      <c r="B158" t="s">
        <v>124</v>
      </c>
      <c r="C158" t="s">
        <v>115</v>
      </c>
      <c r="D158" s="291">
        <v>148154.01999999999</v>
      </c>
      <c r="E158">
        <v>148154.01999999999</v>
      </c>
      <c r="F158" t="s">
        <v>121</v>
      </c>
      <c r="G158" t="s">
        <v>117</v>
      </c>
      <c r="H158" t="s">
        <v>125</v>
      </c>
      <c r="I158" s="197">
        <v>45870.791666666664</v>
      </c>
      <c r="J158" t="b">
        <v>0</v>
      </c>
      <c r="K158" t="s">
        <v>127</v>
      </c>
      <c r="L158" t="s">
        <v>123</v>
      </c>
      <c r="M158">
        <v>1</v>
      </c>
      <c r="N158">
        <v>8</v>
      </c>
      <c r="O158">
        <v>2025</v>
      </c>
      <c r="R158">
        <f>IF(wallet_records[[#This Row],[type]]="Gasto",wallet_records[[#This Row],[amount]]*(-1),wallet_records[[#This Row],[amount]])</f>
        <v>148154.01999999999</v>
      </c>
    </row>
    <row r="159" spans="1:18" x14ac:dyDescent="0.2">
      <c r="A159" t="s">
        <v>133</v>
      </c>
      <c r="B159" t="s">
        <v>124</v>
      </c>
      <c r="C159" t="s">
        <v>115</v>
      </c>
      <c r="D159" s="291">
        <v>67868.92</v>
      </c>
      <c r="E159">
        <v>67868.92</v>
      </c>
      <c r="F159" t="s">
        <v>121</v>
      </c>
      <c r="G159" t="s">
        <v>117</v>
      </c>
      <c r="H159" t="s">
        <v>125</v>
      </c>
      <c r="I159" s="197">
        <v>45868.791666666664</v>
      </c>
      <c r="J159" t="b">
        <v>0</v>
      </c>
      <c r="K159" t="s">
        <v>123</v>
      </c>
      <c r="L159" t="s">
        <v>123</v>
      </c>
      <c r="M159">
        <v>30</v>
      </c>
      <c r="N159">
        <v>7</v>
      </c>
      <c r="O159">
        <v>2025</v>
      </c>
      <c r="R159">
        <f>IF(wallet_records[[#This Row],[type]]="Gasto",wallet_records[[#This Row],[amount]]*(-1),wallet_records[[#This Row],[amount]])</f>
        <v>67868.92</v>
      </c>
    </row>
    <row r="160" spans="1:18" x14ac:dyDescent="0.2">
      <c r="A160" t="s">
        <v>119</v>
      </c>
      <c r="B160" t="s">
        <v>124</v>
      </c>
      <c r="C160" t="s">
        <v>115</v>
      </c>
      <c r="D160" s="291">
        <v>21608.98</v>
      </c>
      <c r="E160">
        <v>21608.98</v>
      </c>
      <c r="F160" t="s">
        <v>121</v>
      </c>
      <c r="G160" t="s">
        <v>117</v>
      </c>
      <c r="H160" t="s">
        <v>125</v>
      </c>
      <c r="I160" s="197">
        <v>45856.791666666664</v>
      </c>
      <c r="J160" t="b">
        <v>0</v>
      </c>
      <c r="K160" t="s">
        <v>126</v>
      </c>
      <c r="L160" t="s">
        <v>123</v>
      </c>
      <c r="M160">
        <v>18</v>
      </c>
      <c r="N160">
        <v>7</v>
      </c>
      <c r="O160">
        <v>2025</v>
      </c>
      <c r="R160">
        <f>IF(wallet_records[[#This Row],[type]]="Gasto",wallet_records[[#This Row],[amount]]*(-1),wallet_records[[#This Row],[amount]])</f>
        <v>21608.98</v>
      </c>
    </row>
    <row r="161" spans="1:18" x14ac:dyDescent="0.2">
      <c r="A161" t="s">
        <v>119</v>
      </c>
      <c r="B161" t="s">
        <v>124</v>
      </c>
      <c r="C161" t="s">
        <v>115</v>
      </c>
      <c r="D161" s="291">
        <v>67168.289999999994</v>
      </c>
      <c r="E161">
        <v>67168.289999999994</v>
      </c>
      <c r="F161" t="s">
        <v>121</v>
      </c>
      <c r="G161" t="s">
        <v>117</v>
      </c>
      <c r="H161" t="s">
        <v>125</v>
      </c>
      <c r="I161" s="197">
        <v>45852.791666666664</v>
      </c>
      <c r="J161" t="b">
        <v>0</v>
      </c>
      <c r="K161" t="s">
        <v>126</v>
      </c>
      <c r="L161" t="s">
        <v>123</v>
      </c>
      <c r="M161">
        <v>14</v>
      </c>
      <c r="N161">
        <v>7</v>
      </c>
      <c r="O161">
        <v>2025</v>
      </c>
      <c r="R161">
        <f>IF(wallet_records[[#This Row],[type]]="Gasto",wallet_records[[#This Row],[amount]]*(-1),wallet_records[[#This Row],[amount]])</f>
        <v>67168.289999999994</v>
      </c>
    </row>
    <row r="162" spans="1:18" x14ac:dyDescent="0.2">
      <c r="A162" t="s">
        <v>524</v>
      </c>
      <c r="B162" t="s">
        <v>124</v>
      </c>
      <c r="C162" t="s">
        <v>115</v>
      </c>
      <c r="D162" s="291">
        <v>129194.77</v>
      </c>
      <c r="E162">
        <v>129194.77</v>
      </c>
      <c r="F162" t="s">
        <v>121</v>
      </c>
      <c r="G162" t="s">
        <v>117</v>
      </c>
      <c r="H162" t="s">
        <v>125</v>
      </c>
      <c r="I162" s="197">
        <v>45839.791666666664</v>
      </c>
      <c r="J162" t="b">
        <v>0</v>
      </c>
      <c r="K162" t="s">
        <v>127</v>
      </c>
      <c r="L162" t="s">
        <v>123</v>
      </c>
      <c r="M162">
        <v>1</v>
      </c>
      <c r="N162">
        <v>7</v>
      </c>
      <c r="O162">
        <v>2025</v>
      </c>
      <c r="R162">
        <f>IF(wallet_records[[#This Row],[type]]="Gasto",wallet_records[[#This Row],[amount]]*(-1),wallet_records[[#This Row],[amount]])</f>
        <v>129194.77</v>
      </c>
    </row>
    <row r="163" spans="1:18" x14ac:dyDescent="0.2">
      <c r="A163" t="s">
        <v>119</v>
      </c>
      <c r="B163" t="s">
        <v>124</v>
      </c>
      <c r="C163" t="s">
        <v>115</v>
      </c>
      <c r="D163" s="291">
        <v>104213.07</v>
      </c>
      <c r="E163">
        <v>104213.07</v>
      </c>
      <c r="F163" t="s">
        <v>121</v>
      </c>
      <c r="G163" t="s">
        <v>117</v>
      </c>
      <c r="H163" t="s">
        <v>125</v>
      </c>
      <c r="I163" s="197">
        <v>45839.791666666664</v>
      </c>
      <c r="J163" t="b">
        <v>0</v>
      </c>
      <c r="K163" t="s">
        <v>126</v>
      </c>
      <c r="L163" t="s">
        <v>123</v>
      </c>
      <c r="M163">
        <v>1</v>
      </c>
      <c r="N163">
        <v>7</v>
      </c>
      <c r="O163">
        <v>2025</v>
      </c>
      <c r="R163">
        <f>IF(wallet_records[[#This Row],[type]]="Gasto",wallet_records[[#This Row],[amount]]*(-1),wallet_records[[#This Row],[amount]])</f>
        <v>104213.07</v>
      </c>
    </row>
    <row r="164" spans="1:18" x14ac:dyDescent="0.2">
      <c r="A164" t="s">
        <v>133</v>
      </c>
      <c r="B164" t="s">
        <v>124</v>
      </c>
      <c r="C164" t="s">
        <v>115</v>
      </c>
      <c r="D164" s="291">
        <v>36950.79</v>
      </c>
      <c r="E164">
        <v>36950.79</v>
      </c>
      <c r="F164" t="s">
        <v>121</v>
      </c>
      <c r="G164" t="s">
        <v>117</v>
      </c>
      <c r="H164" t="s">
        <v>125</v>
      </c>
      <c r="I164" s="197">
        <v>45837.791666666664</v>
      </c>
      <c r="J164" t="b">
        <v>0</v>
      </c>
      <c r="K164" t="s">
        <v>123</v>
      </c>
      <c r="L164" t="s">
        <v>123</v>
      </c>
      <c r="M164">
        <v>29</v>
      </c>
      <c r="N164">
        <v>6</v>
      </c>
      <c r="O164">
        <v>2025</v>
      </c>
      <c r="R164">
        <f>IF(wallet_records[[#This Row],[type]]="Gasto",wallet_records[[#This Row],[amount]]*(-1),wallet_records[[#This Row],[amount]])</f>
        <v>36950.79</v>
      </c>
    </row>
    <row r="165" spans="1:18" x14ac:dyDescent="0.2">
      <c r="A165" t="s">
        <v>525</v>
      </c>
      <c r="B165" t="s">
        <v>124</v>
      </c>
      <c r="C165" t="s">
        <v>115</v>
      </c>
      <c r="D165" s="291">
        <v>34506.18</v>
      </c>
      <c r="E165">
        <v>34506.18</v>
      </c>
      <c r="F165" t="s">
        <v>121</v>
      </c>
      <c r="G165" t="s">
        <v>117</v>
      </c>
      <c r="H165" t="s">
        <v>125</v>
      </c>
      <c r="I165" s="197">
        <v>45809.791666666664</v>
      </c>
      <c r="J165" t="b">
        <v>0</v>
      </c>
      <c r="K165" t="s">
        <v>127</v>
      </c>
      <c r="L165" t="s">
        <v>123</v>
      </c>
      <c r="M165">
        <v>1</v>
      </c>
      <c r="N165">
        <v>6</v>
      </c>
      <c r="O165">
        <v>2025</v>
      </c>
      <c r="R165">
        <f>IF(wallet_records[[#This Row],[type]]="Gasto",wallet_records[[#This Row],[amount]]*(-1),wallet_records[[#This Row],[amount]])</f>
        <v>34506.18</v>
      </c>
    </row>
    <row r="166" spans="1:18" x14ac:dyDescent="0.2">
      <c r="A166" t="s">
        <v>524</v>
      </c>
      <c r="B166" t="s">
        <v>124</v>
      </c>
      <c r="C166" t="s">
        <v>115</v>
      </c>
      <c r="D166" s="291">
        <v>112673.51</v>
      </c>
      <c r="E166">
        <v>112673.51</v>
      </c>
      <c r="F166" t="s">
        <v>121</v>
      </c>
      <c r="G166" t="s">
        <v>117</v>
      </c>
      <c r="H166" t="s">
        <v>125</v>
      </c>
      <c r="I166" s="197">
        <v>45809.791666666664</v>
      </c>
      <c r="J166" t="b">
        <v>0</v>
      </c>
      <c r="K166" t="s">
        <v>127</v>
      </c>
      <c r="L166" t="s">
        <v>123</v>
      </c>
      <c r="M166">
        <v>1</v>
      </c>
      <c r="N166">
        <v>6</v>
      </c>
      <c r="O166">
        <v>2025</v>
      </c>
      <c r="R166">
        <f>IF(wallet_records[[#This Row],[type]]="Gasto",wallet_records[[#This Row],[amount]]*(-1),wallet_records[[#This Row],[amount]])</f>
        <v>112673.51</v>
      </c>
    </row>
    <row r="167" spans="1:18" x14ac:dyDescent="0.2">
      <c r="A167" t="s">
        <v>119</v>
      </c>
      <c r="B167" t="s">
        <v>124</v>
      </c>
      <c r="C167" t="s">
        <v>115</v>
      </c>
      <c r="D167" s="291">
        <v>88110.22</v>
      </c>
      <c r="E167">
        <v>88110.22</v>
      </c>
      <c r="F167" t="s">
        <v>121</v>
      </c>
      <c r="G167" t="s">
        <v>117</v>
      </c>
      <c r="H167" t="s">
        <v>125</v>
      </c>
      <c r="I167" s="197">
        <v>45807.791666666664</v>
      </c>
      <c r="J167" t="b">
        <v>0</v>
      </c>
      <c r="K167" t="s">
        <v>126</v>
      </c>
      <c r="L167" t="s">
        <v>123</v>
      </c>
      <c r="M167">
        <v>30</v>
      </c>
      <c r="N167">
        <v>5</v>
      </c>
      <c r="O167">
        <v>2025</v>
      </c>
      <c r="R167">
        <f>IF(wallet_records[[#This Row],[type]]="Gasto",wallet_records[[#This Row],[amount]]*(-1),wallet_records[[#This Row],[amount]])</f>
        <v>88110.22</v>
      </c>
    </row>
    <row r="168" spans="1:18" x14ac:dyDescent="0.2">
      <c r="A168" t="s">
        <v>133</v>
      </c>
      <c r="B168" t="s">
        <v>124</v>
      </c>
      <c r="C168" t="s">
        <v>115</v>
      </c>
      <c r="D168" s="291">
        <v>43692.09</v>
      </c>
      <c r="E168">
        <v>43692.09</v>
      </c>
      <c r="F168" t="s">
        <v>121</v>
      </c>
      <c r="G168" t="s">
        <v>117</v>
      </c>
      <c r="H168" t="s">
        <v>125</v>
      </c>
      <c r="I168" s="197">
        <v>45807.791666666664</v>
      </c>
      <c r="J168" t="b">
        <v>0</v>
      </c>
      <c r="K168" t="s">
        <v>123</v>
      </c>
      <c r="L168" t="s">
        <v>123</v>
      </c>
      <c r="M168">
        <v>30</v>
      </c>
      <c r="N168">
        <v>5</v>
      </c>
      <c r="O168">
        <v>2025</v>
      </c>
      <c r="R168">
        <f>IF(wallet_records[[#This Row],[type]]="Gasto",wallet_records[[#This Row],[amount]]*(-1),wallet_records[[#This Row],[amount]])</f>
        <v>43692.09</v>
      </c>
    </row>
    <row r="169" spans="1:18" x14ac:dyDescent="0.2">
      <c r="A169" t="s">
        <v>525</v>
      </c>
      <c r="B169" t="s">
        <v>124</v>
      </c>
      <c r="C169" t="s">
        <v>115</v>
      </c>
      <c r="D169" s="291">
        <v>73740</v>
      </c>
      <c r="E169">
        <v>73740</v>
      </c>
      <c r="F169" t="s">
        <v>121</v>
      </c>
      <c r="G169" t="s">
        <v>117</v>
      </c>
      <c r="H169" t="s">
        <v>125</v>
      </c>
      <c r="I169" s="197">
        <v>45778.791666666664</v>
      </c>
      <c r="J169" t="b">
        <v>0</v>
      </c>
      <c r="K169" t="s">
        <v>127</v>
      </c>
      <c r="L169" t="s">
        <v>123</v>
      </c>
      <c r="M169">
        <v>1</v>
      </c>
      <c r="N169">
        <v>5</v>
      </c>
      <c r="O169">
        <v>2025</v>
      </c>
      <c r="R169">
        <f>IF(wallet_records[[#This Row],[type]]="Gasto",wallet_records[[#This Row],[amount]]*(-1),wallet_records[[#This Row],[amount]])</f>
        <v>73740</v>
      </c>
    </row>
    <row r="170" spans="1:18" x14ac:dyDescent="0.2">
      <c r="A170" t="s">
        <v>524</v>
      </c>
      <c r="B170" t="s">
        <v>124</v>
      </c>
      <c r="C170" t="s">
        <v>115</v>
      </c>
      <c r="D170" s="291">
        <v>108806.95</v>
      </c>
      <c r="E170">
        <v>108806.95</v>
      </c>
      <c r="F170" t="s">
        <v>121</v>
      </c>
      <c r="G170" t="s">
        <v>117</v>
      </c>
      <c r="H170" t="s">
        <v>125</v>
      </c>
      <c r="I170" s="197">
        <v>45778.791666666664</v>
      </c>
      <c r="J170" t="b">
        <v>0</v>
      </c>
      <c r="K170" t="s">
        <v>127</v>
      </c>
      <c r="L170" t="s">
        <v>123</v>
      </c>
      <c r="M170">
        <v>1</v>
      </c>
      <c r="N170">
        <v>5</v>
      </c>
      <c r="O170">
        <v>2025</v>
      </c>
      <c r="R170">
        <f>IF(wallet_records[[#This Row],[type]]="Gasto",wallet_records[[#This Row],[amount]]*(-1),wallet_records[[#This Row],[amount]])</f>
        <v>108806.95</v>
      </c>
    </row>
    <row r="171" spans="1:18" x14ac:dyDescent="0.2">
      <c r="A171" t="s">
        <v>119</v>
      </c>
      <c r="B171" t="s">
        <v>124</v>
      </c>
      <c r="C171" t="s">
        <v>115</v>
      </c>
      <c r="D171" s="291">
        <v>78246.759999999995</v>
      </c>
      <c r="E171">
        <v>78246.759999999995</v>
      </c>
      <c r="F171" t="s">
        <v>121</v>
      </c>
      <c r="G171" t="s">
        <v>117</v>
      </c>
      <c r="H171" t="s">
        <v>125</v>
      </c>
      <c r="I171" s="197">
        <v>45777.791666666664</v>
      </c>
      <c r="J171" t="b">
        <v>0</v>
      </c>
      <c r="K171" t="s">
        <v>126</v>
      </c>
      <c r="L171" t="s">
        <v>123</v>
      </c>
      <c r="M171">
        <v>30</v>
      </c>
      <c r="N171">
        <v>4</v>
      </c>
      <c r="O171">
        <v>2025</v>
      </c>
      <c r="R171">
        <f>IF(wallet_records[[#This Row],[type]]="Gasto",wallet_records[[#This Row],[amount]]*(-1),wallet_records[[#This Row],[amount]])</f>
        <v>78246.759999999995</v>
      </c>
    </row>
    <row r="172" spans="1:18" x14ac:dyDescent="0.2">
      <c r="A172" t="s">
        <v>133</v>
      </c>
      <c r="B172" t="s">
        <v>124</v>
      </c>
      <c r="C172" t="s">
        <v>115</v>
      </c>
      <c r="D172" s="291">
        <v>35330.25</v>
      </c>
      <c r="E172">
        <v>35330.25</v>
      </c>
      <c r="F172" t="s">
        <v>121</v>
      </c>
      <c r="G172" t="s">
        <v>117</v>
      </c>
      <c r="H172" t="s">
        <v>125</v>
      </c>
      <c r="I172" s="197">
        <v>45776.791666666664</v>
      </c>
      <c r="J172" t="b">
        <v>0</v>
      </c>
      <c r="K172" t="s">
        <v>123</v>
      </c>
      <c r="L172" t="s">
        <v>123</v>
      </c>
      <c r="M172">
        <v>29</v>
      </c>
      <c r="N172">
        <v>4</v>
      </c>
      <c r="O172">
        <v>2025</v>
      </c>
      <c r="R172">
        <f>IF(wallet_records[[#This Row],[type]]="Gasto",wallet_records[[#This Row],[amount]]*(-1),wallet_records[[#This Row],[amount]])</f>
        <v>35330.25</v>
      </c>
    </row>
    <row r="173" spans="1:18" x14ac:dyDescent="0.2">
      <c r="A173" t="s">
        <v>525</v>
      </c>
      <c r="B173" t="s">
        <v>124</v>
      </c>
      <c r="C173" t="s">
        <v>115</v>
      </c>
      <c r="D173" s="291">
        <v>44131.82</v>
      </c>
      <c r="E173">
        <v>44131.82</v>
      </c>
      <c r="F173" t="s">
        <v>121</v>
      </c>
      <c r="G173" t="s">
        <v>117</v>
      </c>
      <c r="H173" t="s">
        <v>125</v>
      </c>
      <c r="I173" s="197">
        <v>45748.791666666664</v>
      </c>
      <c r="J173" t="b">
        <v>0</v>
      </c>
      <c r="K173" t="s">
        <v>127</v>
      </c>
      <c r="L173" t="s">
        <v>123</v>
      </c>
      <c r="M173">
        <v>1</v>
      </c>
      <c r="N173">
        <v>4</v>
      </c>
      <c r="O173">
        <v>2025</v>
      </c>
      <c r="R173">
        <f>IF(wallet_records[[#This Row],[type]]="Gasto",wallet_records[[#This Row],[amount]]*(-1),wallet_records[[#This Row],[amount]])</f>
        <v>44131.82</v>
      </c>
    </row>
    <row r="174" spans="1:18" x14ac:dyDescent="0.2">
      <c r="A174" t="s">
        <v>119</v>
      </c>
      <c r="B174" t="s">
        <v>124</v>
      </c>
      <c r="C174" t="s">
        <v>115</v>
      </c>
      <c r="D174" s="291">
        <v>80078.02</v>
      </c>
      <c r="E174">
        <v>80078.02</v>
      </c>
      <c r="F174" t="s">
        <v>121</v>
      </c>
      <c r="G174" t="s">
        <v>117</v>
      </c>
      <c r="H174" t="s">
        <v>125</v>
      </c>
      <c r="I174" s="197">
        <v>45748.791666666664</v>
      </c>
      <c r="J174" t="b">
        <v>0</v>
      </c>
      <c r="K174" t="s">
        <v>126</v>
      </c>
      <c r="L174" t="s">
        <v>123</v>
      </c>
      <c r="M174">
        <v>1</v>
      </c>
      <c r="N174">
        <v>4</v>
      </c>
      <c r="O174">
        <v>2025</v>
      </c>
      <c r="R174">
        <f>IF(wallet_records[[#This Row],[type]]="Gasto",wallet_records[[#This Row],[amount]]*(-1),wallet_records[[#This Row],[amount]])</f>
        <v>80078.02</v>
      </c>
    </row>
    <row r="175" spans="1:18" x14ac:dyDescent="0.2">
      <c r="A175" t="s">
        <v>524</v>
      </c>
      <c r="B175" t="s">
        <v>124</v>
      </c>
      <c r="C175" t="s">
        <v>115</v>
      </c>
      <c r="D175" s="291">
        <v>53770.79</v>
      </c>
      <c r="E175">
        <v>53770.79</v>
      </c>
      <c r="F175" t="s">
        <v>121</v>
      </c>
      <c r="G175" t="s">
        <v>117</v>
      </c>
      <c r="H175" t="s">
        <v>125</v>
      </c>
      <c r="I175" s="197">
        <v>45748.791666666664</v>
      </c>
      <c r="J175" t="b">
        <v>0</v>
      </c>
      <c r="K175" t="s">
        <v>127</v>
      </c>
      <c r="L175" t="s">
        <v>123</v>
      </c>
      <c r="M175">
        <v>1</v>
      </c>
      <c r="N175">
        <v>4</v>
      </c>
      <c r="O175">
        <v>2025</v>
      </c>
      <c r="R175">
        <f>IF(wallet_records[[#This Row],[type]]="Gasto",wallet_records[[#This Row],[amount]]*(-1),wallet_records[[#This Row],[amount]])</f>
        <v>53770.79</v>
      </c>
    </row>
    <row r="176" spans="1:18" x14ac:dyDescent="0.2">
      <c r="A176" t="s">
        <v>133</v>
      </c>
      <c r="B176" t="s">
        <v>124</v>
      </c>
      <c r="C176" t="s">
        <v>115</v>
      </c>
      <c r="D176" s="291">
        <v>37023.71</v>
      </c>
      <c r="E176">
        <v>37023.71</v>
      </c>
      <c r="F176" t="s">
        <v>121</v>
      </c>
      <c r="G176" t="s">
        <v>117</v>
      </c>
      <c r="H176" t="s">
        <v>125</v>
      </c>
      <c r="I176" s="197">
        <v>45746.791666666664</v>
      </c>
      <c r="J176" t="b">
        <v>0</v>
      </c>
      <c r="K176" t="s">
        <v>123</v>
      </c>
      <c r="L176" t="s">
        <v>123</v>
      </c>
      <c r="M176">
        <v>30</v>
      </c>
      <c r="N176">
        <v>3</v>
      </c>
      <c r="O176">
        <v>2025</v>
      </c>
      <c r="R176">
        <f>IF(wallet_records[[#This Row],[type]]="Gasto",wallet_records[[#This Row],[amount]]*(-1),wallet_records[[#This Row],[amount]])</f>
        <v>37023.71</v>
      </c>
    </row>
    <row r="177" spans="1:18" x14ac:dyDescent="0.2">
      <c r="A177" t="s">
        <v>119</v>
      </c>
      <c r="B177" t="s">
        <v>124</v>
      </c>
      <c r="C177" t="s">
        <v>115</v>
      </c>
      <c r="D177" s="291">
        <v>72273.91</v>
      </c>
      <c r="E177">
        <v>72273.91</v>
      </c>
      <c r="F177" t="s">
        <v>121</v>
      </c>
      <c r="G177" t="s">
        <v>117</v>
      </c>
      <c r="H177" t="s">
        <v>125</v>
      </c>
      <c r="I177" s="197">
        <v>45717.791666666664</v>
      </c>
      <c r="J177" t="b">
        <v>0</v>
      </c>
      <c r="K177" t="s">
        <v>126</v>
      </c>
      <c r="L177" t="s">
        <v>123</v>
      </c>
      <c r="M177">
        <v>1</v>
      </c>
      <c r="N177">
        <v>3</v>
      </c>
      <c r="O177">
        <v>2025</v>
      </c>
      <c r="R177">
        <f>IF(wallet_records[[#This Row],[type]]="Gasto",wallet_records[[#This Row],[amount]]*(-1),wallet_records[[#This Row],[amount]])</f>
        <v>72273.91</v>
      </c>
    </row>
    <row r="178" spans="1:18" x14ac:dyDescent="0.2">
      <c r="A178" t="s">
        <v>524</v>
      </c>
      <c r="B178" t="s">
        <v>124</v>
      </c>
      <c r="C178" t="s">
        <v>115</v>
      </c>
      <c r="D178" s="291">
        <v>58466.07</v>
      </c>
      <c r="E178">
        <v>58466.07</v>
      </c>
      <c r="F178" t="s">
        <v>121</v>
      </c>
      <c r="G178" t="s">
        <v>117</v>
      </c>
      <c r="H178" t="s">
        <v>125</v>
      </c>
      <c r="I178" s="197">
        <v>45717.791666666664</v>
      </c>
      <c r="J178" t="b">
        <v>0</v>
      </c>
      <c r="K178" t="s">
        <v>127</v>
      </c>
      <c r="L178" t="s">
        <v>123</v>
      </c>
      <c r="M178">
        <v>1</v>
      </c>
      <c r="N178">
        <v>3</v>
      </c>
      <c r="O178">
        <v>2025</v>
      </c>
      <c r="R178">
        <f>IF(wallet_records[[#This Row],[type]]="Gasto",wallet_records[[#This Row],[amount]]*(-1),wallet_records[[#This Row],[amount]])</f>
        <v>58466.07</v>
      </c>
    </row>
    <row r="179" spans="1:18" x14ac:dyDescent="0.2">
      <c r="A179" t="s">
        <v>525</v>
      </c>
      <c r="B179" t="s">
        <v>124</v>
      </c>
      <c r="C179" t="s">
        <v>115</v>
      </c>
      <c r="D179" s="291">
        <v>23582.52</v>
      </c>
      <c r="E179">
        <v>23582.52</v>
      </c>
      <c r="F179" t="s">
        <v>121</v>
      </c>
      <c r="G179" t="s">
        <v>117</v>
      </c>
      <c r="H179" t="s">
        <v>125</v>
      </c>
      <c r="I179" s="197">
        <v>45717.791666666664</v>
      </c>
      <c r="J179" t="b">
        <v>0</v>
      </c>
      <c r="K179" t="s">
        <v>127</v>
      </c>
      <c r="L179" t="s">
        <v>123</v>
      </c>
      <c r="M179">
        <v>1</v>
      </c>
      <c r="N179">
        <v>3</v>
      </c>
      <c r="O179">
        <v>2025</v>
      </c>
      <c r="R179">
        <f>IF(wallet_records[[#This Row],[type]]="Gasto",wallet_records[[#This Row],[amount]]*(-1),wallet_records[[#This Row],[amount]])</f>
        <v>23582.52</v>
      </c>
    </row>
    <row r="180" spans="1:18" x14ac:dyDescent="0.2">
      <c r="A180" t="s">
        <v>133</v>
      </c>
      <c r="B180" t="s">
        <v>124</v>
      </c>
      <c r="C180" t="s">
        <v>115</v>
      </c>
      <c r="D180" s="291">
        <v>30853.439999999999</v>
      </c>
      <c r="E180">
        <v>30853.439999999999</v>
      </c>
      <c r="F180" t="s">
        <v>121</v>
      </c>
      <c r="G180" t="s">
        <v>117</v>
      </c>
      <c r="H180" t="s">
        <v>125</v>
      </c>
      <c r="I180" s="197">
        <v>45715.791666666664</v>
      </c>
      <c r="J180" t="b">
        <v>0</v>
      </c>
      <c r="K180" t="s">
        <v>123</v>
      </c>
      <c r="L180" t="s">
        <v>123</v>
      </c>
      <c r="M180">
        <v>27</v>
      </c>
      <c r="N180">
        <v>2</v>
      </c>
      <c r="O180">
        <v>2025</v>
      </c>
      <c r="R180">
        <f>IF(wallet_records[[#This Row],[type]]="Gasto",wallet_records[[#This Row],[amount]]*(-1),wallet_records[[#This Row],[amount]])</f>
        <v>30853.439999999999</v>
      </c>
    </row>
    <row r="181" spans="1:18" x14ac:dyDescent="0.2">
      <c r="A181" t="s">
        <v>525</v>
      </c>
      <c r="B181" t="s">
        <v>124</v>
      </c>
      <c r="C181" t="s">
        <v>115</v>
      </c>
      <c r="D181" s="291">
        <v>15430.47</v>
      </c>
      <c r="E181">
        <v>15430.47</v>
      </c>
      <c r="F181" t="s">
        <v>121</v>
      </c>
      <c r="G181" t="s">
        <v>117</v>
      </c>
      <c r="H181" t="s">
        <v>125</v>
      </c>
      <c r="I181" s="197">
        <v>45689.791666666664</v>
      </c>
      <c r="J181" t="b">
        <v>0</v>
      </c>
      <c r="K181" t="s">
        <v>127</v>
      </c>
      <c r="L181" t="s">
        <v>123</v>
      </c>
      <c r="M181">
        <v>1</v>
      </c>
      <c r="N181">
        <v>2</v>
      </c>
      <c r="O181">
        <v>2025</v>
      </c>
      <c r="R181">
        <f>IF(wallet_records[[#This Row],[type]]="Gasto",wallet_records[[#This Row],[amount]]*(-1),wallet_records[[#This Row],[amount]])</f>
        <v>15430.47</v>
      </c>
    </row>
    <row r="182" spans="1:18" x14ac:dyDescent="0.2">
      <c r="A182" t="s">
        <v>119</v>
      </c>
      <c r="B182" t="s">
        <v>124</v>
      </c>
      <c r="C182" t="s">
        <v>115</v>
      </c>
      <c r="D182" s="291">
        <v>69505.05</v>
      </c>
      <c r="E182">
        <v>69505.05</v>
      </c>
      <c r="F182" t="s">
        <v>121</v>
      </c>
      <c r="G182" t="s">
        <v>117</v>
      </c>
      <c r="H182" t="s">
        <v>125</v>
      </c>
      <c r="I182" s="197">
        <v>45689.791666666664</v>
      </c>
      <c r="J182" t="b">
        <v>0</v>
      </c>
      <c r="K182" t="s">
        <v>126</v>
      </c>
      <c r="L182" t="s">
        <v>123</v>
      </c>
      <c r="M182">
        <v>1</v>
      </c>
      <c r="N182">
        <v>2</v>
      </c>
      <c r="O182">
        <v>2025</v>
      </c>
      <c r="R182">
        <f>IF(wallet_records[[#This Row],[type]]="Gasto",wallet_records[[#This Row],[amount]]*(-1),wallet_records[[#This Row],[amount]])</f>
        <v>69505.05</v>
      </c>
    </row>
    <row r="183" spans="1:18" x14ac:dyDescent="0.2">
      <c r="A183" t="s">
        <v>524</v>
      </c>
      <c r="B183" t="s">
        <v>124</v>
      </c>
      <c r="C183" t="s">
        <v>115</v>
      </c>
      <c r="D183" s="291">
        <v>171071.66</v>
      </c>
      <c r="E183">
        <v>171071.66</v>
      </c>
      <c r="F183" t="s">
        <v>121</v>
      </c>
      <c r="G183" t="s">
        <v>117</v>
      </c>
      <c r="H183" t="s">
        <v>125</v>
      </c>
      <c r="I183" s="197">
        <v>45689.791666666664</v>
      </c>
      <c r="J183" t="b">
        <v>0</v>
      </c>
      <c r="K183" t="s">
        <v>127</v>
      </c>
      <c r="L183" t="s">
        <v>123</v>
      </c>
      <c r="M183">
        <v>1</v>
      </c>
      <c r="N183">
        <v>2</v>
      </c>
      <c r="O183">
        <v>2025</v>
      </c>
      <c r="R183">
        <f>IF(wallet_records[[#This Row],[type]]="Gasto",wallet_records[[#This Row],[amount]]*(-1),wallet_records[[#This Row],[amount]])</f>
        <v>171071.66</v>
      </c>
    </row>
    <row r="184" spans="1:18" x14ac:dyDescent="0.2">
      <c r="A184" t="s">
        <v>133</v>
      </c>
      <c r="B184" t="s">
        <v>124</v>
      </c>
      <c r="C184" t="s">
        <v>115</v>
      </c>
      <c r="D184" s="291">
        <v>44754.74</v>
      </c>
      <c r="E184">
        <v>44754.74</v>
      </c>
      <c r="F184" t="s">
        <v>121</v>
      </c>
      <c r="G184" t="s">
        <v>117</v>
      </c>
      <c r="H184" t="s">
        <v>125</v>
      </c>
      <c r="I184" s="197">
        <v>45687.791666666664</v>
      </c>
      <c r="J184" t="b">
        <v>0</v>
      </c>
      <c r="K184" t="s">
        <v>123</v>
      </c>
      <c r="L184" t="s">
        <v>123</v>
      </c>
      <c r="M184">
        <v>30</v>
      </c>
      <c r="N184">
        <v>1</v>
      </c>
      <c r="O184">
        <v>2025</v>
      </c>
      <c r="R184">
        <f>IF(wallet_records[[#This Row],[type]]="Gasto",wallet_records[[#This Row],[amount]]*(-1),wallet_records[[#This Row],[amount]])</f>
        <v>44754.74</v>
      </c>
    </row>
    <row r="185" spans="1:18" x14ac:dyDescent="0.2">
      <c r="A185" t="s">
        <v>525</v>
      </c>
      <c r="B185" t="s">
        <v>124</v>
      </c>
      <c r="C185" t="s">
        <v>115</v>
      </c>
      <c r="D185" s="291">
        <v>6770.88</v>
      </c>
      <c r="E185">
        <v>6770.88</v>
      </c>
      <c r="F185" t="s">
        <v>121</v>
      </c>
      <c r="G185" t="s">
        <v>117</v>
      </c>
      <c r="H185" t="s">
        <v>125</v>
      </c>
      <c r="I185" s="197">
        <v>45658.791666666664</v>
      </c>
      <c r="J185" t="b">
        <v>0</v>
      </c>
      <c r="K185" t="s">
        <v>127</v>
      </c>
      <c r="L185" t="s">
        <v>123</v>
      </c>
      <c r="M185">
        <v>1</v>
      </c>
      <c r="N185">
        <v>1</v>
      </c>
      <c r="O185">
        <v>2025</v>
      </c>
      <c r="R185">
        <f>IF(wallet_records[[#This Row],[type]]="Gasto",wallet_records[[#This Row],[amount]]*(-1),wallet_records[[#This Row],[amount]])</f>
        <v>6770.88</v>
      </c>
    </row>
    <row r="186" spans="1:18" x14ac:dyDescent="0.2">
      <c r="A186" t="s">
        <v>524</v>
      </c>
      <c r="B186" t="s">
        <v>124</v>
      </c>
      <c r="C186" t="s">
        <v>115</v>
      </c>
      <c r="D186" s="291">
        <v>270347.19</v>
      </c>
      <c r="E186">
        <v>270347.19</v>
      </c>
      <c r="F186" t="s">
        <v>121</v>
      </c>
      <c r="G186" t="s">
        <v>117</v>
      </c>
      <c r="H186" t="s">
        <v>125</v>
      </c>
      <c r="I186" s="197">
        <v>45658.791666666664</v>
      </c>
      <c r="J186" t="b">
        <v>0</v>
      </c>
      <c r="K186" t="s">
        <v>127</v>
      </c>
      <c r="L186" t="s">
        <v>123</v>
      </c>
      <c r="M186">
        <v>1</v>
      </c>
      <c r="N186">
        <v>1</v>
      </c>
      <c r="O186">
        <v>2025</v>
      </c>
      <c r="R186">
        <f>IF(wallet_records[[#This Row],[type]]="Gasto",wallet_records[[#This Row],[amount]]*(-1),wallet_records[[#This Row],[amount]])</f>
        <v>270347.19</v>
      </c>
    </row>
    <row r="187" spans="1:18" x14ac:dyDescent="0.2">
      <c r="A187" t="s">
        <v>524</v>
      </c>
      <c r="B187" t="s">
        <v>136</v>
      </c>
      <c r="C187" t="s">
        <v>115</v>
      </c>
      <c r="D187" s="291">
        <v>254400</v>
      </c>
      <c r="E187">
        <v>254400</v>
      </c>
      <c r="F187" t="s">
        <v>116</v>
      </c>
      <c r="G187" t="s">
        <v>117</v>
      </c>
      <c r="H187" t="s">
        <v>137</v>
      </c>
      <c r="I187" s="197">
        <v>46007.791666666664</v>
      </c>
      <c r="J187" t="b">
        <v>0</v>
      </c>
      <c r="K187" t="s">
        <v>138</v>
      </c>
      <c r="L187" t="s">
        <v>139</v>
      </c>
      <c r="M187">
        <v>16</v>
      </c>
      <c r="N187">
        <v>12</v>
      </c>
      <c r="O187">
        <v>2025</v>
      </c>
      <c r="R187">
        <f>IF(wallet_records[[#This Row],[type]]="Gasto",wallet_records[[#This Row],[amount]]*(-1),wallet_records[[#This Row],[amount]])</f>
        <v>-254400</v>
      </c>
    </row>
    <row r="188" spans="1:18" x14ac:dyDescent="0.2">
      <c r="A188" t="s">
        <v>127</v>
      </c>
      <c r="B188" t="s">
        <v>136</v>
      </c>
      <c r="C188" t="s">
        <v>115</v>
      </c>
      <c r="D188" s="291">
        <v>477205</v>
      </c>
      <c r="E188">
        <v>477205</v>
      </c>
      <c r="F188" t="s">
        <v>116</v>
      </c>
      <c r="G188" t="s">
        <v>117</v>
      </c>
      <c r="H188" t="s">
        <v>140</v>
      </c>
      <c r="I188" s="197">
        <v>46005.792204884259</v>
      </c>
      <c r="J188" t="b">
        <v>0</v>
      </c>
      <c r="K188" t="s">
        <v>536</v>
      </c>
      <c r="L188" t="s">
        <v>0</v>
      </c>
      <c r="M188">
        <v>14</v>
      </c>
      <c r="N188">
        <v>12</v>
      </c>
      <c r="O188">
        <v>2025</v>
      </c>
      <c r="R188">
        <f>IF(wallet_records[[#This Row],[type]]="Gasto",wallet_records[[#This Row],[amount]]*(-1),wallet_records[[#This Row],[amount]])</f>
        <v>-477205</v>
      </c>
    </row>
    <row r="189" spans="1:18" x14ac:dyDescent="0.2">
      <c r="A189" t="s">
        <v>127</v>
      </c>
      <c r="B189" t="s">
        <v>136</v>
      </c>
      <c r="C189" t="s">
        <v>115</v>
      </c>
      <c r="D189" s="291">
        <v>146000</v>
      </c>
      <c r="E189">
        <v>146000</v>
      </c>
      <c r="F189" t="s">
        <v>116</v>
      </c>
      <c r="G189" t="s">
        <v>117</v>
      </c>
      <c r="H189" t="s">
        <v>140</v>
      </c>
      <c r="I189" s="197">
        <v>46005.792047662035</v>
      </c>
      <c r="J189" t="b">
        <v>0</v>
      </c>
      <c r="K189" t="s">
        <v>537</v>
      </c>
      <c r="L189" t="s">
        <v>1</v>
      </c>
      <c r="M189">
        <v>14</v>
      </c>
      <c r="N189">
        <v>12</v>
      </c>
      <c r="O189">
        <v>2025</v>
      </c>
      <c r="R189">
        <f>IF(wallet_records[[#This Row],[type]]="Gasto",wallet_records[[#This Row],[amount]]*(-1),wallet_records[[#This Row],[amount]])</f>
        <v>-146000</v>
      </c>
    </row>
    <row r="190" spans="1:18" x14ac:dyDescent="0.2">
      <c r="A190" t="s">
        <v>524</v>
      </c>
      <c r="B190" t="s">
        <v>136</v>
      </c>
      <c r="C190" t="s">
        <v>115</v>
      </c>
      <c r="D190" s="291">
        <v>410654.5</v>
      </c>
      <c r="E190">
        <v>410654.5</v>
      </c>
      <c r="F190" t="s">
        <v>121</v>
      </c>
      <c r="G190" t="s">
        <v>117</v>
      </c>
      <c r="H190" t="s">
        <v>522</v>
      </c>
      <c r="I190" s="197">
        <v>46001.791666666664</v>
      </c>
      <c r="J190" t="b">
        <v>0</v>
      </c>
      <c r="K190" t="s">
        <v>123</v>
      </c>
      <c r="L190" t="s">
        <v>123</v>
      </c>
      <c r="M190">
        <v>10</v>
      </c>
      <c r="N190">
        <v>12</v>
      </c>
      <c r="O190">
        <v>2025</v>
      </c>
      <c r="R190">
        <f>IF(wallet_records[[#This Row],[type]]="Gasto",wallet_records[[#This Row],[amount]]*(-1),wallet_records[[#This Row],[amount]])</f>
        <v>410654.5</v>
      </c>
    </row>
    <row r="191" spans="1:18" x14ac:dyDescent="0.2">
      <c r="A191" t="s">
        <v>127</v>
      </c>
      <c r="B191" t="s">
        <v>136</v>
      </c>
      <c r="C191" t="s">
        <v>115</v>
      </c>
      <c r="D191" s="291">
        <v>1886705.74</v>
      </c>
      <c r="E191">
        <v>1886705.74</v>
      </c>
      <c r="F191" t="s">
        <v>116</v>
      </c>
      <c r="G191" t="s">
        <v>117</v>
      </c>
      <c r="H191" t="s">
        <v>522</v>
      </c>
      <c r="I191" s="197">
        <v>46001.791666666664</v>
      </c>
      <c r="J191" t="b">
        <v>0</v>
      </c>
      <c r="K191" t="s">
        <v>123</v>
      </c>
      <c r="L191" t="s">
        <v>123</v>
      </c>
      <c r="M191">
        <v>10</v>
      </c>
      <c r="N191">
        <v>12</v>
      </c>
      <c r="O191">
        <v>2025</v>
      </c>
      <c r="R191">
        <f>IF(wallet_records[[#This Row],[type]]="Gasto",wallet_records[[#This Row],[amount]]*(-1),wallet_records[[#This Row],[amount]])</f>
        <v>-1886705.74</v>
      </c>
    </row>
    <row r="192" spans="1:18" x14ac:dyDescent="0.2">
      <c r="A192" t="s">
        <v>119</v>
      </c>
      <c r="B192" t="s">
        <v>136</v>
      </c>
      <c r="C192" t="s">
        <v>115</v>
      </c>
      <c r="D192" s="291">
        <v>19874.419999999998</v>
      </c>
      <c r="E192">
        <v>19874.419999999998</v>
      </c>
      <c r="F192" t="s">
        <v>116</v>
      </c>
      <c r="G192" t="s">
        <v>117</v>
      </c>
      <c r="H192" t="s">
        <v>522</v>
      </c>
      <c r="I192" s="197">
        <v>46001.791666666664</v>
      </c>
      <c r="J192" t="b">
        <v>0</v>
      </c>
      <c r="K192" t="s">
        <v>123</v>
      </c>
      <c r="L192" t="s">
        <v>123</v>
      </c>
      <c r="M192">
        <v>10</v>
      </c>
      <c r="N192">
        <v>12</v>
      </c>
      <c r="O192">
        <v>2025</v>
      </c>
      <c r="R192">
        <f>IF(wallet_records[[#This Row],[type]]="Gasto",wallet_records[[#This Row],[amount]]*(-1),wallet_records[[#This Row],[amount]])</f>
        <v>-19874.419999999998</v>
      </c>
    </row>
    <row r="193" spans="1:18" x14ac:dyDescent="0.2">
      <c r="A193" t="s">
        <v>525</v>
      </c>
      <c r="B193" t="s">
        <v>136</v>
      </c>
      <c r="C193" t="s">
        <v>115</v>
      </c>
      <c r="D193" s="291">
        <v>2107242.2799999998</v>
      </c>
      <c r="E193">
        <v>2107242.2799999998</v>
      </c>
      <c r="F193" t="s">
        <v>116</v>
      </c>
      <c r="G193" t="s">
        <v>117</v>
      </c>
      <c r="H193" t="s">
        <v>522</v>
      </c>
      <c r="I193" s="197">
        <v>46001.791666666664</v>
      </c>
      <c r="J193" t="b">
        <v>0</v>
      </c>
      <c r="K193" t="s">
        <v>123</v>
      </c>
      <c r="L193" t="s">
        <v>123</v>
      </c>
      <c r="M193">
        <v>10</v>
      </c>
      <c r="N193">
        <v>12</v>
      </c>
      <c r="O193">
        <v>2025</v>
      </c>
      <c r="R193">
        <f>IF(wallet_records[[#This Row],[type]]="Gasto",wallet_records[[#This Row],[amount]]*(-1),wallet_records[[#This Row],[amount]])</f>
        <v>-2107242.2799999998</v>
      </c>
    </row>
    <row r="194" spans="1:18" x14ac:dyDescent="0.2">
      <c r="A194" t="s">
        <v>127</v>
      </c>
      <c r="B194" t="s">
        <v>136</v>
      </c>
      <c r="C194" t="s">
        <v>115</v>
      </c>
      <c r="D194" s="291">
        <v>256300</v>
      </c>
      <c r="E194">
        <v>256300</v>
      </c>
      <c r="F194" t="s">
        <v>116</v>
      </c>
      <c r="G194" t="s">
        <v>117</v>
      </c>
      <c r="H194" t="s">
        <v>140</v>
      </c>
      <c r="I194" s="197">
        <v>45996.792299386572</v>
      </c>
      <c r="J194" t="b">
        <v>0</v>
      </c>
      <c r="K194" t="s">
        <v>538</v>
      </c>
      <c r="L194" t="s">
        <v>77</v>
      </c>
      <c r="M194">
        <v>5</v>
      </c>
      <c r="N194">
        <v>12</v>
      </c>
      <c r="O194">
        <v>2025</v>
      </c>
      <c r="R194">
        <f>IF(wallet_records[[#This Row],[type]]="Gasto",wallet_records[[#This Row],[amount]]*(-1),wallet_records[[#This Row],[amount]])</f>
        <v>-256300</v>
      </c>
    </row>
    <row r="195" spans="1:18" x14ac:dyDescent="0.2">
      <c r="A195" t="s">
        <v>127</v>
      </c>
      <c r="B195" t="s">
        <v>136</v>
      </c>
      <c r="C195" t="s">
        <v>115</v>
      </c>
      <c r="D195" s="291">
        <v>477205</v>
      </c>
      <c r="E195">
        <v>477205</v>
      </c>
      <c r="F195" t="s">
        <v>116</v>
      </c>
      <c r="G195" t="s">
        <v>117</v>
      </c>
      <c r="H195" t="s">
        <v>140</v>
      </c>
      <c r="I195" s="197">
        <v>45974.792316030092</v>
      </c>
      <c r="J195" t="b">
        <v>0</v>
      </c>
      <c r="K195" t="s">
        <v>536</v>
      </c>
      <c r="L195" t="s">
        <v>0</v>
      </c>
      <c r="M195">
        <v>13</v>
      </c>
      <c r="N195">
        <v>11</v>
      </c>
      <c r="O195">
        <v>2025</v>
      </c>
      <c r="R195">
        <f>IF(wallet_records[[#This Row],[type]]="Gasto",wallet_records[[#This Row],[amount]]*(-1),wallet_records[[#This Row],[amount]])</f>
        <v>-477205</v>
      </c>
    </row>
    <row r="196" spans="1:18" x14ac:dyDescent="0.2">
      <c r="A196" t="s">
        <v>127</v>
      </c>
      <c r="B196" t="s">
        <v>136</v>
      </c>
      <c r="C196" t="s">
        <v>115</v>
      </c>
      <c r="D196" s="291">
        <v>146000</v>
      </c>
      <c r="E196">
        <v>146000</v>
      </c>
      <c r="F196" t="s">
        <v>116</v>
      </c>
      <c r="G196" t="s">
        <v>117</v>
      </c>
      <c r="H196" t="s">
        <v>140</v>
      </c>
      <c r="I196" s="197">
        <v>45974.791945763885</v>
      </c>
      <c r="J196" t="b">
        <v>0</v>
      </c>
      <c r="K196" t="s">
        <v>537</v>
      </c>
      <c r="L196" t="s">
        <v>1</v>
      </c>
      <c r="M196">
        <v>13</v>
      </c>
      <c r="N196">
        <v>11</v>
      </c>
      <c r="O196">
        <v>2025</v>
      </c>
      <c r="R196">
        <f>IF(wallet_records[[#This Row],[type]]="Gasto",wallet_records[[#This Row],[amount]]*(-1),wallet_records[[#This Row],[amount]])</f>
        <v>-146000</v>
      </c>
    </row>
    <row r="197" spans="1:18" x14ac:dyDescent="0.2">
      <c r="A197" t="s">
        <v>119</v>
      </c>
      <c r="B197" t="s">
        <v>136</v>
      </c>
      <c r="C197" t="s">
        <v>115</v>
      </c>
      <c r="D197" s="291">
        <v>1294000</v>
      </c>
      <c r="E197">
        <v>1294000</v>
      </c>
      <c r="F197" t="s">
        <v>116</v>
      </c>
      <c r="G197" t="s">
        <v>117</v>
      </c>
      <c r="H197" t="s">
        <v>156</v>
      </c>
      <c r="I197" s="197">
        <v>45972.791666666664</v>
      </c>
      <c r="J197" t="b">
        <v>0</v>
      </c>
      <c r="K197" t="s">
        <v>138</v>
      </c>
      <c r="L197" t="s">
        <v>139</v>
      </c>
      <c r="M197">
        <v>11</v>
      </c>
      <c r="N197">
        <v>11</v>
      </c>
      <c r="O197">
        <v>2025</v>
      </c>
      <c r="R197">
        <f>IF(wallet_records[[#This Row],[type]]="Gasto",wallet_records[[#This Row],[amount]]*(-1),wallet_records[[#This Row],[amount]])</f>
        <v>-1294000</v>
      </c>
    </row>
    <row r="198" spans="1:18" x14ac:dyDescent="0.2">
      <c r="A198" t="s">
        <v>127</v>
      </c>
      <c r="B198" t="s">
        <v>136</v>
      </c>
      <c r="C198" t="s">
        <v>115</v>
      </c>
      <c r="D198" s="291">
        <v>5073798.46</v>
      </c>
      <c r="E198">
        <v>5073798.46</v>
      </c>
      <c r="F198" t="s">
        <v>121</v>
      </c>
      <c r="G198" t="s">
        <v>117</v>
      </c>
      <c r="H198" t="s">
        <v>522</v>
      </c>
      <c r="I198" s="197">
        <v>45971.791666666664</v>
      </c>
      <c r="J198" t="b">
        <v>0</v>
      </c>
      <c r="K198" t="s">
        <v>123</v>
      </c>
      <c r="L198" t="s">
        <v>123</v>
      </c>
      <c r="M198">
        <v>10</v>
      </c>
      <c r="N198">
        <v>11</v>
      </c>
      <c r="O198">
        <v>2025</v>
      </c>
      <c r="R198">
        <f>IF(wallet_records[[#This Row],[type]]="Gasto",wallet_records[[#This Row],[amount]]*(-1),wallet_records[[#This Row],[amount]])</f>
        <v>5073798.46</v>
      </c>
    </row>
    <row r="199" spans="1:18" x14ac:dyDescent="0.2">
      <c r="A199" t="s">
        <v>524</v>
      </c>
      <c r="B199" t="s">
        <v>136</v>
      </c>
      <c r="C199" t="s">
        <v>115</v>
      </c>
      <c r="D199" s="291">
        <v>60029.82</v>
      </c>
      <c r="E199">
        <v>60029.82</v>
      </c>
      <c r="F199" t="s">
        <v>116</v>
      </c>
      <c r="G199" t="s">
        <v>117</v>
      </c>
      <c r="H199" t="s">
        <v>522</v>
      </c>
      <c r="I199" s="197">
        <v>45971.791666666664</v>
      </c>
      <c r="J199" t="b">
        <v>0</v>
      </c>
      <c r="K199" t="s">
        <v>123</v>
      </c>
      <c r="L199" t="s">
        <v>123</v>
      </c>
      <c r="M199">
        <v>10</v>
      </c>
      <c r="N199">
        <v>11</v>
      </c>
      <c r="O199">
        <v>2025</v>
      </c>
      <c r="R199">
        <f>IF(wallet_records[[#This Row],[type]]="Gasto",wallet_records[[#This Row],[amount]]*(-1),wallet_records[[#This Row],[amount]])</f>
        <v>-60029.82</v>
      </c>
    </row>
    <row r="200" spans="1:18" x14ac:dyDescent="0.2">
      <c r="A200" t="s">
        <v>119</v>
      </c>
      <c r="B200" t="s">
        <v>136</v>
      </c>
      <c r="C200" t="s">
        <v>115</v>
      </c>
      <c r="D200" s="291">
        <v>70651.3</v>
      </c>
      <c r="E200">
        <v>70651.3</v>
      </c>
      <c r="F200" t="s">
        <v>121</v>
      </c>
      <c r="G200" t="s">
        <v>117</v>
      </c>
      <c r="H200" t="s">
        <v>522</v>
      </c>
      <c r="I200" s="197">
        <v>45971.791666666664</v>
      </c>
      <c r="J200" t="b">
        <v>0</v>
      </c>
      <c r="K200" t="s">
        <v>123</v>
      </c>
      <c r="L200" t="s">
        <v>123</v>
      </c>
      <c r="M200">
        <v>10</v>
      </c>
      <c r="N200">
        <v>11</v>
      </c>
      <c r="O200">
        <v>2025</v>
      </c>
      <c r="R200">
        <f>IF(wallet_records[[#This Row],[type]]="Gasto",wallet_records[[#This Row],[amount]]*(-1),wallet_records[[#This Row],[amount]])</f>
        <v>70651.3</v>
      </c>
    </row>
    <row r="201" spans="1:18" x14ac:dyDescent="0.2">
      <c r="A201" t="s">
        <v>525</v>
      </c>
      <c r="B201" t="s">
        <v>136</v>
      </c>
      <c r="C201" t="s">
        <v>115</v>
      </c>
      <c r="D201" s="291">
        <v>2664722.39</v>
      </c>
      <c r="E201">
        <v>2664722.39</v>
      </c>
      <c r="F201" t="s">
        <v>116</v>
      </c>
      <c r="G201" t="s">
        <v>117</v>
      </c>
      <c r="H201" t="s">
        <v>522</v>
      </c>
      <c r="I201" s="197">
        <v>45971.791666666664</v>
      </c>
      <c r="J201" t="b">
        <v>0</v>
      </c>
      <c r="K201" t="s">
        <v>123</v>
      </c>
      <c r="L201" t="s">
        <v>123</v>
      </c>
      <c r="M201">
        <v>10</v>
      </c>
      <c r="N201">
        <v>11</v>
      </c>
      <c r="O201">
        <v>2025</v>
      </c>
      <c r="R201">
        <f>IF(wallet_records[[#This Row],[type]]="Gasto",wallet_records[[#This Row],[amount]]*(-1),wallet_records[[#This Row],[amount]])</f>
        <v>-2664722.39</v>
      </c>
    </row>
    <row r="202" spans="1:18" x14ac:dyDescent="0.2">
      <c r="A202" t="s">
        <v>119</v>
      </c>
      <c r="B202" t="s">
        <v>136</v>
      </c>
      <c r="C202" t="s">
        <v>115</v>
      </c>
      <c r="D202" s="291">
        <v>1000000</v>
      </c>
      <c r="E202">
        <v>1000000</v>
      </c>
      <c r="F202" t="s">
        <v>116</v>
      </c>
      <c r="G202" t="s">
        <v>117</v>
      </c>
      <c r="H202" t="s">
        <v>156</v>
      </c>
      <c r="I202" s="197">
        <v>45969.791666666664</v>
      </c>
      <c r="J202" t="b">
        <v>0</v>
      </c>
      <c r="K202" t="s">
        <v>138</v>
      </c>
      <c r="L202" t="s">
        <v>139</v>
      </c>
      <c r="M202">
        <v>8</v>
      </c>
      <c r="N202">
        <v>11</v>
      </c>
      <c r="O202">
        <v>2025</v>
      </c>
      <c r="R202">
        <f>IF(wallet_records[[#This Row],[type]]="Gasto",wallet_records[[#This Row],[amount]]*(-1),wallet_records[[#This Row],[amount]])</f>
        <v>-1000000</v>
      </c>
    </row>
    <row r="203" spans="1:18" x14ac:dyDescent="0.2">
      <c r="A203" t="s">
        <v>127</v>
      </c>
      <c r="B203" t="s">
        <v>136</v>
      </c>
      <c r="C203" t="s">
        <v>115</v>
      </c>
      <c r="D203" s="291">
        <v>272293</v>
      </c>
      <c r="E203">
        <v>272293</v>
      </c>
      <c r="F203" t="s">
        <v>116</v>
      </c>
      <c r="G203" t="s">
        <v>117</v>
      </c>
      <c r="H203" t="s">
        <v>140</v>
      </c>
      <c r="I203" s="197">
        <v>45961.79199096065</v>
      </c>
      <c r="J203" t="b">
        <v>0</v>
      </c>
      <c r="K203" t="s">
        <v>538</v>
      </c>
      <c r="L203" t="s">
        <v>77</v>
      </c>
      <c r="M203">
        <v>31</v>
      </c>
      <c r="N203">
        <v>10</v>
      </c>
      <c r="O203">
        <v>2025</v>
      </c>
      <c r="R203">
        <f>IF(wallet_records[[#This Row],[type]]="Gasto",wallet_records[[#This Row],[amount]]*(-1),wallet_records[[#This Row],[amount]])</f>
        <v>-272293</v>
      </c>
    </row>
    <row r="204" spans="1:18" x14ac:dyDescent="0.2">
      <c r="A204" t="s">
        <v>119</v>
      </c>
      <c r="B204" t="s">
        <v>136</v>
      </c>
      <c r="C204" t="s">
        <v>115</v>
      </c>
      <c r="D204" s="291">
        <v>5000000</v>
      </c>
      <c r="E204">
        <v>5000000</v>
      </c>
      <c r="F204" t="s">
        <v>116</v>
      </c>
      <c r="G204" t="s">
        <v>117</v>
      </c>
      <c r="H204" t="s">
        <v>156</v>
      </c>
      <c r="I204" s="197">
        <v>45954.791666666664</v>
      </c>
      <c r="J204" t="b">
        <v>0</v>
      </c>
      <c r="K204" t="s">
        <v>138</v>
      </c>
      <c r="L204" t="s">
        <v>139</v>
      </c>
      <c r="M204">
        <v>24</v>
      </c>
      <c r="N204">
        <v>10</v>
      </c>
      <c r="O204">
        <v>2025</v>
      </c>
      <c r="R204">
        <f>IF(wallet_records[[#This Row],[type]]="Gasto",wallet_records[[#This Row],[amount]]*(-1),wallet_records[[#This Row],[amount]])</f>
        <v>-5000000</v>
      </c>
    </row>
    <row r="205" spans="1:18" x14ac:dyDescent="0.2">
      <c r="A205" t="s">
        <v>127</v>
      </c>
      <c r="B205" t="s">
        <v>136</v>
      </c>
      <c r="C205" t="s">
        <v>115</v>
      </c>
      <c r="D205" s="291">
        <v>146000</v>
      </c>
      <c r="E205">
        <v>146000</v>
      </c>
      <c r="F205" t="s">
        <v>116</v>
      </c>
      <c r="G205" t="s">
        <v>117</v>
      </c>
      <c r="H205" t="s">
        <v>140</v>
      </c>
      <c r="I205" s="197">
        <v>45944.79183923611</v>
      </c>
      <c r="J205" t="b">
        <v>0</v>
      </c>
      <c r="K205" t="s">
        <v>537</v>
      </c>
      <c r="L205" t="s">
        <v>1</v>
      </c>
      <c r="M205">
        <v>14</v>
      </c>
      <c r="N205">
        <v>10</v>
      </c>
      <c r="O205">
        <v>2025</v>
      </c>
      <c r="R205">
        <f>IF(wallet_records[[#This Row],[type]]="Gasto",wallet_records[[#This Row],[amount]]*(-1),wallet_records[[#This Row],[amount]])</f>
        <v>-146000</v>
      </c>
    </row>
    <row r="206" spans="1:18" x14ac:dyDescent="0.2">
      <c r="A206" t="s">
        <v>127</v>
      </c>
      <c r="B206" t="s">
        <v>136</v>
      </c>
      <c r="C206" t="s">
        <v>115</v>
      </c>
      <c r="D206" s="291">
        <v>477205</v>
      </c>
      <c r="E206">
        <v>477205</v>
      </c>
      <c r="F206" t="s">
        <v>116</v>
      </c>
      <c r="G206" t="s">
        <v>117</v>
      </c>
      <c r="H206" t="s">
        <v>140</v>
      </c>
      <c r="I206" s="197">
        <v>45944.791700069443</v>
      </c>
      <c r="J206" t="b">
        <v>0</v>
      </c>
      <c r="K206" t="s">
        <v>536</v>
      </c>
      <c r="L206" t="s">
        <v>0</v>
      </c>
      <c r="M206">
        <v>14</v>
      </c>
      <c r="N206">
        <v>10</v>
      </c>
      <c r="O206">
        <v>2025</v>
      </c>
      <c r="R206">
        <f>IF(wallet_records[[#This Row],[type]]="Gasto",wallet_records[[#This Row],[amount]]*(-1),wallet_records[[#This Row],[amount]])</f>
        <v>-477205</v>
      </c>
    </row>
    <row r="207" spans="1:18" x14ac:dyDescent="0.2">
      <c r="A207" t="s">
        <v>119</v>
      </c>
      <c r="B207" t="s">
        <v>136</v>
      </c>
      <c r="C207" t="s">
        <v>115</v>
      </c>
      <c r="D207" s="291">
        <v>100000</v>
      </c>
      <c r="E207">
        <v>100000</v>
      </c>
      <c r="F207" t="s">
        <v>116</v>
      </c>
      <c r="G207" t="s">
        <v>117</v>
      </c>
      <c r="H207" t="s">
        <v>156</v>
      </c>
      <c r="I207" s="197">
        <v>45943.791666666664</v>
      </c>
      <c r="J207" t="b">
        <v>0</v>
      </c>
      <c r="K207" t="s">
        <v>138</v>
      </c>
      <c r="L207" t="s">
        <v>139</v>
      </c>
      <c r="M207">
        <v>13</v>
      </c>
      <c r="N207">
        <v>10</v>
      </c>
      <c r="O207">
        <v>2025</v>
      </c>
      <c r="R207">
        <f>IF(wallet_records[[#This Row],[type]]="Gasto",wallet_records[[#This Row],[amount]]*(-1),wallet_records[[#This Row],[amount]])</f>
        <v>-100000</v>
      </c>
    </row>
    <row r="208" spans="1:18" x14ac:dyDescent="0.2">
      <c r="A208" t="s">
        <v>127</v>
      </c>
      <c r="B208" t="s">
        <v>136</v>
      </c>
      <c r="C208" t="s">
        <v>115</v>
      </c>
      <c r="D208" s="291">
        <v>6239702.6500000004</v>
      </c>
      <c r="E208">
        <v>6239702.6500000004</v>
      </c>
      <c r="F208" t="s">
        <v>121</v>
      </c>
      <c r="G208" t="s">
        <v>117</v>
      </c>
      <c r="H208" t="s">
        <v>522</v>
      </c>
      <c r="I208" s="197">
        <v>45941.791666666664</v>
      </c>
      <c r="J208" t="b">
        <v>0</v>
      </c>
      <c r="K208" t="s">
        <v>123</v>
      </c>
      <c r="L208" t="s">
        <v>123</v>
      </c>
      <c r="M208">
        <v>11</v>
      </c>
      <c r="N208">
        <v>10</v>
      </c>
      <c r="O208">
        <v>2025</v>
      </c>
      <c r="R208">
        <f>IF(wallet_records[[#This Row],[type]]="Gasto",wallet_records[[#This Row],[amount]]*(-1),wallet_records[[#This Row],[amount]])</f>
        <v>6239702.6500000004</v>
      </c>
    </row>
    <row r="209" spans="1:18" x14ac:dyDescent="0.2">
      <c r="A209" t="s">
        <v>524</v>
      </c>
      <c r="B209" t="s">
        <v>136</v>
      </c>
      <c r="C209" t="s">
        <v>115</v>
      </c>
      <c r="D209" s="291">
        <v>7000000.1399999997</v>
      </c>
      <c r="E209">
        <v>7000000.1399999997</v>
      </c>
      <c r="F209" t="s">
        <v>116</v>
      </c>
      <c r="G209" t="s">
        <v>117</v>
      </c>
      <c r="H209" t="s">
        <v>522</v>
      </c>
      <c r="I209" s="197">
        <v>45941.791666666664</v>
      </c>
      <c r="J209" t="b">
        <v>0</v>
      </c>
      <c r="K209" t="s">
        <v>123</v>
      </c>
      <c r="L209" t="s">
        <v>123</v>
      </c>
      <c r="M209">
        <v>11</v>
      </c>
      <c r="N209">
        <v>10</v>
      </c>
      <c r="O209">
        <v>2025</v>
      </c>
      <c r="R209">
        <f>IF(wallet_records[[#This Row],[type]]="Gasto",wallet_records[[#This Row],[amount]]*(-1),wallet_records[[#This Row],[amount]])</f>
        <v>-7000000.1399999997</v>
      </c>
    </row>
    <row r="210" spans="1:18" x14ac:dyDescent="0.2">
      <c r="A210" t="s">
        <v>525</v>
      </c>
      <c r="B210" t="s">
        <v>136</v>
      </c>
      <c r="C210" t="s">
        <v>115</v>
      </c>
      <c r="D210" s="291">
        <v>3009483.77</v>
      </c>
      <c r="E210">
        <v>3009483.77</v>
      </c>
      <c r="F210" t="s">
        <v>121</v>
      </c>
      <c r="G210" t="s">
        <v>117</v>
      </c>
      <c r="H210" t="s">
        <v>522</v>
      </c>
      <c r="I210" s="197">
        <v>45941.791666666664</v>
      </c>
      <c r="J210" t="b">
        <v>0</v>
      </c>
      <c r="K210" t="s">
        <v>123</v>
      </c>
      <c r="L210" t="s">
        <v>123</v>
      </c>
      <c r="M210">
        <v>11</v>
      </c>
      <c r="N210">
        <v>10</v>
      </c>
      <c r="O210">
        <v>2025</v>
      </c>
      <c r="R210">
        <f>IF(wallet_records[[#This Row],[type]]="Gasto",wallet_records[[#This Row],[amount]]*(-1),wallet_records[[#This Row],[amount]])</f>
        <v>3009483.77</v>
      </c>
    </row>
    <row r="211" spans="1:18" x14ac:dyDescent="0.2">
      <c r="A211" t="s">
        <v>119</v>
      </c>
      <c r="B211" t="s">
        <v>136</v>
      </c>
      <c r="C211" t="s">
        <v>115</v>
      </c>
      <c r="D211" s="291">
        <v>27231.13</v>
      </c>
      <c r="E211">
        <v>27231.13</v>
      </c>
      <c r="F211" t="s">
        <v>116</v>
      </c>
      <c r="G211" t="s">
        <v>117</v>
      </c>
      <c r="H211" t="s">
        <v>522</v>
      </c>
      <c r="I211" s="197">
        <v>45941.791666666664</v>
      </c>
      <c r="J211" t="b">
        <v>0</v>
      </c>
      <c r="K211" t="s">
        <v>123</v>
      </c>
      <c r="L211" t="s">
        <v>123</v>
      </c>
      <c r="M211">
        <v>11</v>
      </c>
      <c r="N211">
        <v>10</v>
      </c>
      <c r="O211">
        <v>2025</v>
      </c>
      <c r="R211">
        <f>IF(wallet_records[[#This Row],[type]]="Gasto",wallet_records[[#This Row],[amount]]*(-1),wallet_records[[#This Row],[amount]])</f>
        <v>-27231.13</v>
      </c>
    </row>
    <row r="212" spans="1:18" x14ac:dyDescent="0.2">
      <c r="A212" t="s">
        <v>127</v>
      </c>
      <c r="B212" t="s">
        <v>136</v>
      </c>
      <c r="C212" t="s">
        <v>115</v>
      </c>
      <c r="D212" s="291">
        <v>256300</v>
      </c>
      <c r="E212">
        <v>256300</v>
      </c>
      <c r="F212" t="s">
        <v>116</v>
      </c>
      <c r="G212" t="s">
        <v>117</v>
      </c>
      <c r="H212" t="s">
        <v>140</v>
      </c>
      <c r="I212" s="197">
        <v>45931.791811400464</v>
      </c>
      <c r="J212" t="b">
        <v>0</v>
      </c>
      <c r="K212" t="s">
        <v>538</v>
      </c>
      <c r="L212" t="s">
        <v>77</v>
      </c>
      <c r="M212">
        <v>1</v>
      </c>
      <c r="N212">
        <v>10</v>
      </c>
      <c r="O212">
        <v>2025</v>
      </c>
      <c r="R212">
        <f>IF(wallet_records[[#This Row],[type]]="Gasto",wallet_records[[#This Row],[amount]]*(-1),wallet_records[[#This Row],[amount]])</f>
        <v>-256300</v>
      </c>
    </row>
    <row r="213" spans="1:18" x14ac:dyDescent="0.2">
      <c r="A213" t="s">
        <v>127</v>
      </c>
      <c r="B213" t="s">
        <v>136</v>
      </c>
      <c r="C213" t="s">
        <v>115</v>
      </c>
      <c r="D213" s="291">
        <v>477205</v>
      </c>
      <c r="E213">
        <v>477205</v>
      </c>
      <c r="F213" t="s">
        <v>116</v>
      </c>
      <c r="G213" t="s">
        <v>117</v>
      </c>
      <c r="H213" t="s">
        <v>140</v>
      </c>
      <c r="I213" s="197">
        <v>45914.791794004632</v>
      </c>
      <c r="J213" t="b">
        <v>0</v>
      </c>
      <c r="K213" t="s">
        <v>536</v>
      </c>
      <c r="L213" t="s">
        <v>0</v>
      </c>
      <c r="M213">
        <v>14</v>
      </c>
      <c r="N213">
        <v>9</v>
      </c>
      <c r="O213">
        <v>2025</v>
      </c>
      <c r="R213">
        <f>IF(wallet_records[[#This Row],[type]]="Gasto",wallet_records[[#This Row],[amount]]*(-1),wallet_records[[#This Row],[amount]])</f>
        <v>-477205</v>
      </c>
    </row>
    <row r="214" spans="1:18" x14ac:dyDescent="0.2">
      <c r="A214" t="s">
        <v>127</v>
      </c>
      <c r="B214" t="s">
        <v>136</v>
      </c>
      <c r="C214" t="s">
        <v>115</v>
      </c>
      <c r="D214" s="291">
        <v>146000</v>
      </c>
      <c r="E214">
        <v>146000</v>
      </c>
      <c r="F214" t="s">
        <v>116</v>
      </c>
      <c r="G214" t="s">
        <v>117</v>
      </c>
      <c r="H214" t="s">
        <v>140</v>
      </c>
      <c r="I214" s="197">
        <v>45914.791732430553</v>
      </c>
      <c r="J214" t="b">
        <v>0</v>
      </c>
      <c r="K214" t="s">
        <v>537</v>
      </c>
      <c r="L214" t="s">
        <v>1</v>
      </c>
      <c r="M214">
        <v>14</v>
      </c>
      <c r="N214">
        <v>9</v>
      </c>
      <c r="O214">
        <v>2025</v>
      </c>
      <c r="R214">
        <f>IF(wallet_records[[#This Row],[type]]="Gasto",wallet_records[[#This Row],[amount]]*(-1),wallet_records[[#This Row],[amount]])</f>
        <v>-146000</v>
      </c>
    </row>
    <row r="215" spans="1:18" x14ac:dyDescent="0.2">
      <c r="A215" t="s">
        <v>119</v>
      </c>
      <c r="B215" t="s">
        <v>136</v>
      </c>
      <c r="C215" t="s">
        <v>115</v>
      </c>
      <c r="D215" s="291">
        <v>1000000</v>
      </c>
      <c r="E215">
        <v>1000000</v>
      </c>
      <c r="F215" t="s">
        <v>116</v>
      </c>
      <c r="G215" t="s">
        <v>117</v>
      </c>
      <c r="H215" t="s">
        <v>156</v>
      </c>
      <c r="I215" s="197">
        <v>45913.791666666664</v>
      </c>
      <c r="J215" t="b">
        <v>0</v>
      </c>
      <c r="K215" t="s">
        <v>138</v>
      </c>
      <c r="L215" t="s">
        <v>139</v>
      </c>
      <c r="M215">
        <v>13</v>
      </c>
      <c r="N215">
        <v>9</v>
      </c>
      <c r="O215">
        <v>2025</v>
      </c>
      <c r="R215">
        <f>IF(wallet_records[[#This Row],[type]]="Gasto",wallet_records[[#This Row],[amount]]*(-1),wallet_records[[#This Row],[amount]])</f>
        <v>-1000000</v>
      </c>
    </row>
    <row r="216" spans="1:18" x14ac:dyDescent="0.2">
      <c r="A216" t="s">
        <v>525</v>
      </c>
      <c r="B216" t="s">
        <v>136</v>
      </c>
      <c r="C216" t="s">
        <v>115</v>
      </c>
      <c r="D216" s="291">
        <v>2872328</v>
      </c>
      <c r="E216">
        <v>2872328</v>
      </c>
      <c r="F216" t="s">
        <v>121</v>
      </c>
      <c r="G216" t="s">
        <v>117</v>
      </c>
      <c r="H216" t="s">
        <v>522</v>
      </c>
      <c r="I216" s="197">
        <v>45911.791666666664</v>
      </c>
      <c r="J216" t="b">
        <v>0</v>
      </c>
      <c r="K216" t="s">
        <v>123</v>
      </c>
      <c r="L216" t="s">
        <v>123</v>
      </c>
      <c r="M216">
        <v>11</v>
      </c>
      <c r="N216">
        <v>9</v>
      </c>
      <c r="O216">
        <v>2025</v>
      </c>
      <c r="R216">
        <f>IF(wallet_records[[#This Row],[type]]="Gasto",wallet_records[[#This Row],[amount]]*(-1),wallet_records[[#This Row],[amount]])</f>
        <v>2872328</v>
      </c>
    </row>
    <row r="217" spans="1:18" x14ac:dyDescent="0.2">
      <c r="A217" t="s">
        <v>524</v>
      </c>
      <c r="B217" t="s">
        <v>136</v>
      </c>
      <c r="C217" t="s">
        <v>115</v>
      </c>
      <c r="D217" s="291">
        <v>5347499.97</v>
      </c>
      <c r="E217">
        <v>5347499.97</v>
      </c>
      <c r="F217" t="s">
        <v>121</v>
      </c>
      <c r="G217" t="s">
        <v>117</v>
      </c>
      <c r="H217" t="s">
        <v>522</v>
      </c>
      <c r="I217" s="197">
        <v>45911.791666666664</v>
      </c>
      <c r="J217" t="b">
        <v>0</v>
      </c>
      <c r="K217" t="s">
        <v>123</v>
      </c>
      <c r="L217" t="s">
        <v>123</v>
      </c>
      <c r="M217">
        <v>11</v>
      </c>
      <c r="N217">
        <v>9</v>
      </c>
      <c r="O217">
        <v>2025</v>
      </c>
      <c r="R217">
        <f>IF(wallet_records[[#This Row],[type]]="Gasto",wallet_records[[#This Row],[amount]]*(-1),wallet_records[[#This Row],[amount]])</f>
        <v>5347499.97</v>
      </c>
    </row>
    <row r="218" spans="1:18" x14ac:dyDescent="0.2">
      <c r="A218" t="s">
        <v>119</v>
      </c>
      <c r="B218" t="s">
        <v>136</v>
      </c>
      <c r="C218" t="s">
        <v>115</v>
      </c>
      <c r="D218" s="291">
        <v>15549.67</v>
      </c>
      <c r="E218">
        <v>15549.67</v>
      </c>
      <c r="F218" t="s">
        <v>116</v>
      </c>
      <c r="G218" t="s">
        <v>117</v>
      </c>
      <c r="H218" t="s">
        <v>522</v>
      </c>
      <c r="I218" s="197">
        <v>45911.791666666664</v>
      </c>
      <c r="J218" t="b">
        <v>0</v>
      </c>
      <c r="K218" t="s">
        <v>123</v>
      </c>
      <c r="L218" t="s">
        <v>123</v>
      </c>
      <c r="M218">
        <v>11</v>
      </c>
      <c r="N218">
        <v>9</v>
      </c>
      <c r="O218">
        <v>2025</v>
      </c>
      <c r="R218">
        <f>IF(wallet_records[[#This Row],[type]]="Gasto",wallet_records[[#This Row],[amount]]*(-1),wallet_records[[#This Row],[amount]])</f>
        <v>-15549.67</v>
      </c>
    </row>
    <row r="219" spans="1:18" x14ac:dyDescent="0.2">
      <c r="A219" t="s">
        <v>127</v>
      </c>
      <c r="B219" t="s">
        <v>136</v>
      </c>
      <c r="C219" t="s">
        <v>115</v>
      </c>
      <c r="D219" s="291">
        <v>2363927.11</v>
      </c>
      <c r="E219">
        <v>2363927.11</v>
      </c>
      <c r="F219" t="s">
        <v>116</v>
      </c>
      <c r="G219" t="s">
        <v>117</v>
      </c>
      <c r="H219" t="s">
        <v>522</v>
      </c>
      <c r="I219" s="197">
        <v>45911.791666666664</v>
      </c>
      <c r="J219" t="b">
        <v>0</v>
      </c>
      <c r="K219" t="s">
        <v>123</v>
      </c>
      <c r="L219" t="s">
        <v>123</v>
      </c>
      <c r="M219">
        <v>11</v>
      </c>
      <c r="N219">
        <v>9</v>
      </c>
      <c r="O219">
        <v>2025</v>
      </c>
      <c r="R219">
        <f>IF(wallet_records[[#This Row],[type]]="Gasto",wallet_records[[#This Row],[amount]]*(-1),wallet_records[[#This Row],[amount]])</f>
        <v>-2363927.11</v>
      </c>
    </row>
    <row r="220" spans="1:18" x14ac:dyDescent="0.2">
      <c r="A220" t="s">
        <v>119</v>
      </c>
      <c r="B220" t="s">
        <v>136</v>
      </c>
      <c r="C220" t="s">
        <v>115</v>
      </c>
      <c r="D220" s="291">
        <v>1000000</v>
      </c>
      <c r="E220">
        <v>1000000</v>
      </c>
      <c r="F220" t="s">
        <v>116</v>
      </c>
      <c r="G220" t="s">
        <v>117</v>
      </c>
      <c r="H220" t="s">
        <v>156</v>
      </c>
      <c r="I220" s="197">
        <v>45910.791666666664</v>
      </c>
      <c r="J220" t="b">
        <v>0</v>
      </c>
      <c r="K220" t="s">
        <v>138</v>
      </c>
      <c r="L220" t="s">
        <v>139</v>
      </c>
      <c r="M220">
        <v>10</v>
      </c>
      <c r="N220">
        <v>9</v>
      </c>
      <c r="O220">
        <v>2025</v>
      </c>
      <c r="R220">
        <f>IF(wallet_records[[#This Row],[type]]="Gasto",wallet_records[[#This Row],[amount]]*(-1),wallet_records[[#This Row],[amount]])</f>
        <v>-1000000</v>
      </c>
    </row>
    <row r="221" spans="1:18" x14ac:dyDescent="0.2">
      <c r="A221" t="s">
        <v>119</v>
      </c>
      <c r="B221" t="s">
        <v>136</v>
      </c>
      <c r="C221" t="s">
        <v>115</v>
      </c>
      <c r="D221" s="291">
        <v>7000000</v>
      </c>
      <c r="E221">
        <v>7000000</v>
      </c>
      <c r="F221" t="s">
        <v>116</v>
      </c>
      <c r="G221" t="s">
        <v>117</v>
      </c>
      <c r="H221" t="s">
        <v>156</v>
      </c>
      <c r="I221" s="197">
        <v>45909.791666666664</v>
      </c>
      <c r="J221" t="b">
        <v>0</v>
      </c>
      <c r="K221" t="s">
        <v>138</v>
      </c>
      <c r="L221" t="s">
        <v>139</v>
      </c>
      <c r="M221">
        <v>9</v>
      </c>
      <c r="N221">
        <v>9</v>
      </c>
      <c r="O221">
        <v>2025</v>
      </c>
      <c r="R221">
        <f>IF(wallet_records[[#This Row],[type]]="Gasto",wallet_records[[#This Row],[amount]]*(-1),wallet_records[[#This Row],[amount]])</f>
        <v>-7000000</v>
      </c>
    </row>
    <row r="222" spans="1:18" x14ac:dyDescent="0.2">
      <c r="A222" t="s">
        <v>119</v>
      </c>
      <c r="B222" t="s">
        <v>136</v>
      </c>
      <c r="C222" t="s">
        <v>115</v>
      </c>
      <c r="D222" s="291">
        <v>1100000</v>
      </c>
      <c r="E222">
        <v>1100000</v>
      </c>
      <c r="F222" t="s">
        <v>116</v>
      </c>
      <c r="G222" t="s">
        <v>117</v>
      </c>
      <c r="H222" t="s">
        <v>156</v>
      </c>
      <c r="I222" s="197">
        <v>45903.791666666664</v>
      </c>
      <c r="J222" t="b">
        <v>0</v>
      </c>
      <c r="K222" t="s">
        <v>138</v>
      </c>
      <c r="L222" t="s">
        <v>139</v>
      </c>
      <c r="M222">
        <v>3</v>
      </c>
      <c r="N222">
        <v>9</v>
      </c>
      <c r="O222">
        <v>2025</v>
      </c>
      <c r="R222">
        <f>IF(wallet_records[[#This Row],[type]]="Gasto",wallet_records[[#This Row],[amount]]*(-1),wallet_records[[#This Row],[amount]])</f>
        <v>-1100000</v>
      </c>
    </row>
    <row r="223" spans="1:18" x14ac:dyDescent="0.2">
      <c r="A223" t="s">
        <v>127</v>
      </c>
      <c r="B223" t="s">
        <v>136</v>
      </c>
      <c r="C223" t="s">
        <v>115</v>
      </c>
      <c r="D223" s="291">
        <v>256300</v>
      </c>
      <c r="E223">
        <v>256300</v>
      </c>
      <c r="F223" t="s">
        <v>116</v>
      </c>
      <c r="G223" t="s">
        <v>117</v>
      </c>
      <c r="H223" t="s">
        <v>140</v>
      </c>
      <c r="I223" s="197">
        <v>45897.791716747684</v>
      </c>
      <c r="J223" t="b">
        <v>0</v>
      </c>
      <c r="K223" t="s">
        <v>538</v>
      </c>
      <c r="L223" t="s">
        <v>77</v>
      </c>
      <c r="M223">
        <v>28</v>
      </c>
      <c r="N223">
        <v>8</v>
      </c>
      <c r="O223">
        <v>2025</v>
      </c>
      <c r="R223">
        <f>IF(wallet_records[[#This Row],[type]]="Gasto",wallet_records[[#This Row],[amount]]*(-1),wallet_records[[#This Row],[amount]])</f>
        <v>-256300</v>
      </c>
    </row>
    <row r="224" spans="1:18" x14ac:dyDescent="0.2">
      <c r="A224" t="s">
        <v>127</v>
      </c>
      <c r="B224" t="s">
        <v>136</v>
      </c>
      <c r="C224" t="s">
        <v>115</v>
      </c>
      <c r="D224" s="291">
        <v>146000</v>
      </c>
      <c r="E224">
        <v>146000</v>
      </c>
      <c r="F224" t="s">
        <v>116</v>
      </c>
      <c r="G224" t="s">
        <v>117</v>
      </c>
      <c r="H224" t="s">
        <v>140</v>
      </c>
      <c r="I224" s="197">
        <v>45883.792327187497</v>
      </c>
      <c r="J224" t="b">
        <v>0</v>
      </c>
      <c r="K224" t="s">
        <v>537</v>
      </c>
      <c r="L224" t="s">
        <v>1</v>
      </c>
      <c r="M224">
        <v>14</v>
      </c>
      <c r="N224">
        <v>8</v>
      </c>
      <c r="O224">
        <v>2025</v>
      </c>
      <c r="R224">
        <f>IF(wallet_records[[#This Row],[type]]="Gasto",wallet_records[[#This Row],[amount]]*(-1),wallet_records[[#This Row],[amount]])</f>
        <v>-146000</v>
      </c>
    </row>
    <row r="225" spans="1:18" x14ac:dyDescent="0.2">
      <c r="A225" t="s">
        <v>127</v>
      </c>
      <c r="B225" t="s">
        <v>136</v>
      </c>
      <c r="C225" t="s">
        <v>115</v>
      </c>
      <c r="D225" s="291">
        <v>477205</v>
      </c>
      <c r="E225">
        <v>477205</v>
      </c>
      <c r="F225" t="s">
        <v>116</v>
      </c>
      <c r="G225" t="s">
        <v>117</v>
      </c>
      <c r="H225" t="s">
        <v>140</v>
      </c>
      <c r="I225" s="197">
        <v>45883.791883391204</v>
      </c>
      <c r="J225" t="b">
        <v>0</v>
      </c>
      <c r="K225" t="s">
        <v>536</v>
      </c>
      <c r="L225" t="s">
        <v>0</v>
      </c>
      <c r="M225">
        <v>14</v>
      </c>
      <c r="N225">
        <v>8</v>
      </c>
      <c r="O225">
        <v>2025</v>
      </c>
      <c r="R225">
        <f>IF(wallet_records[[#This Row],[type]]="Gasto",wallet_records[[#This Row],[amount]]*(-1),wallet_records[[#This Row],[amount]])</f>
        <v>-477205</v>
      </c>
    </row>
    <row r="226" spans="1:18" x14ac:dyDescent="0.2">
      <c r="A226" t="s">
        <v>127</v>
      </c>
      <c r="B226" t="s">
        <v>136</v>
      </c>
      <c r="C226" t="s">
        <v>115</v>
      </c>
      <c r="D226" s="291">
        <v>1333197.48</v>
      </c>
      <c r="E226">
        <v>1333197.48</v>
      </c>
      <c r="F226" t="s">
        <v>121</v>
      </c>
      <c r="G226" t="s">
        <v>117</v>
      </c>
      <c r="H226" t="s">
        <v>522</v>
      </c>
      <c r="I226" s="197">
        <v>45881.791666666664</v>
      </c>
      <c r="J226" t="b">
        <v>0</v>
      </c>
      <c r="K226" t="s">
        <v>123</v>
      </c>
      <c r="L226" t="s">
        <v>123</v>
      </c>
      <c r="M226">
        <v>12</v>
      </c>
      <c r="N226">
        <v>8</v>
      </c>
      <c r="O226">
        <v>2025</v>
      </c>
      <c r="R226">
        <f>IF(wallet_records[[#This Row],[type]]="Gasto",wallet_records[[#This Row],[amount]]*(-1),wallet_records[[#This Row],[amount]])</f>
        <v>1333197.48</v>
      </c>
    </row>
    <row r="227" spans="1:18" x14ac:dyDescent="0.2">
      <c r="A227" t="s">
        <v>524</v>
      </c>
      <c r="B227" t="s">
        <v>136</v>
      </c>
      <c r="C227" t="s">
        <v>115</v>
      </c>
      <c r="D227" s="291">
        <v>1545899.98</v>
      </c>
      <c r="E227">
        <v>1545899.98</v>
      </c>
      <c r="F227" t="s">
        <v>121</v>
      </c>
      <c r="G227" t="s">
        <v>117</v>
      </c>
      <c r="H227" t="s">
        <v>522</v>
      </c>
      <c r="I227" s="197">
        <v>45881.791666666664</v>
      </c>
      <c r="J227" t="b">
        <v>0</v>
      </c>
      <c r="K227" t="s">
        <v>123</v>
      </c>
      <c r="L227" t="s">
        <v>123</v>
      </c>
      <c r="M227">
        <v>12</v>
      </c>
      <c r="N227">
        <v>8</v>
      </c>
      <c r="O227">
        <v>2025</v>
      </c>
      <c r="R227">
        <f>IF(wallet_records[[#This Row],[type]]="Gasto",wallet_records[[#This Row],[amount]]*(-1),wallet_records[[#This Row],[amount]])</f>
        <v>1545899.98</v>
      </c>
    </row>
    <row r="228" spans="1:18" x14ac:dyDescent="0.2">
      <c r="A228" t="s">
        <v>119</v>
      </c>
      <c r="B228" t="s">
        <v>136</v>
      </c>
      <c r="C228" t="s">
        <v>115</v>
      </c>
      <c r="D228" s="291">
        <v>2423.06</v>
      </c>
      <c r="E228">
        <v>2423.06</v>
      </c>
      <c r="F228" t="s">
        <v>121</v>
      </c>
      <c r="G228" t="s">
        <v>117</v>
      </c>
      <c r="H228" t="s">
        <v>522</v>
      </c>
      <c r="I228" s="197">
        <v>45881.791666666664</v>
      </c>
      <c r="J228" t="b">
        <v>0</v>
      </c>
      <c r="K228" t="s">
        <v>123</v>
      </c>
      <c r="L228" t="s">
        <v>123</v>
      </c>
      <c r="M228">
        <v>12</v>
      </c>
      <c r="N228">
        <v>8</v>
      </c>
      <c r="O228">
        <v>2025</v>
      </c>
      <c r="R228">
        <f>IF(wallet_records[[#This Row],[type]]="Gasto",wallet_records[[#This Row],[amount]]*(-1),wallet_records[[#This Row],[amount]])</f>
        <v>2423.06</v>
      </c>
    </row>
    <row r="229" spans="1:18" x14ac:dyDescent="0.2">
      <c r="A229" t="s">
        <v>525</v>
      </c>
      <c r="B229" t="s">
        <v>136</v>
      </c>
      <c r="C229" t="s">
        <v>115</v>
      </c>
      <c r="D229" s="291">
        <v>1068116.28</v>
      </c>
      <c r="E229">
        <v>1068116.28</v>
      </c>
      <c r="F229" t="s">
        <v>116</v>
      </c>
      <c r="G229" t="s">
        <v>117</v>
      </c>
      <c r="H229" t="s">
        <v>522</v>
      </c>
      <c r="I229" s="197">
        <v>45881.791666666664</v>
      </c>
      <c r="J229" t="b">
        <v>0</v>
      </c>
      <c r="K229" t="s">
        <v>123</v>
      </c>
      <c r="L229" t="s">
        <v>123</v>
      </c>
      <c r="M229">
        <v>12</v>
      </c>
      <c r="N229">
        <v>8</v>
      </c>
      <c r="O229">
        <v>2025</v>
      </c>
      <c r="R229">
        <f>IF(wallet_records[[#This Row],[type]]="Gasto",wallet_records[[#This Row],[amount]]*(-1),wallet_records[[#This Row],[amount]])</f>
        <v>-1068116.28</v>
      </c>
    </row>
    <row r="230" spans="1:18" x14ac:dyDescent="0.2">
      <c r="A230" t="s">
        <v>127</v>
      </c>
      <c r="B230" t="s">
        <v>136</v>
      </c>
      <c r="C230" t="s">
        <v>115</v>
      </c>
      <c r="D230" s="291">
        <v>256300</v>
      </c>
      <c r="E230">
        <v>256300</v>
      </c>
      <c r="F230" t="s">
        <v>116</v>
      </c>
      <c r="G230" t="s">
        <v>117</v>
      </c>
      <c r="H230" t="s">
        <v>140</v>
      </c>
      <c r="I230" s="197">
        <v>45869.792288113429</v>
      </c>
      <c r="J230" t="b">
        <v>0</v>
      </c>
      <c r="K230" t="s">
        <v>538</v>
      </c>
      <c r="L230" t="s">
        <v>77</v>
      </c>
      <c r="M230">
        <v>31</v>
      </c>
      <c r="N230">
        <v>7</v>
      </c>
      <c r="O230">
        <v>2025</v>
      </c>
      <c r="R230">
        <f>IF(wallet_records[[#This Row],[type]]="Gasto",wallet_records[[#This Row],[amount]]*(-1),wallet_records[[#This Row],[amount]])</f>
        <v>-256300</v>
      </c>
    </row>
    <row r="231" spans="1:18" x14ac:dyDescent="0.2">
      <c r="A231" t="s">
        <v>127</v>
      </c>
      <c r="B231" t="s">
        <v>136</v>
      </c>
      <c r="C231" t="s">
        <v>115</v>
      </c>
      <c r="D231" s="291">
        <v>146000</v>
      </c>
      <c r="E231">
        <v>146000</v>
      </c>
      <c r="F231" t="s">
        <v>116</v>
      </c>
      <c r="G231" t="s">
        <v>117</v>
      </c>
      <c r="H231" t="s">
        <v>140</v>
      </c>
      <c r="I231" s="197">
        <v>45852.792196145834</v>
      </c>
      <c r="J231" t="b">
        <v>0</v>
      </c>
      <c r="K231" t="s">
        <v>537</v>
      </c>
      <c r="L231" t="s">
        <v>1</v>
      </c>
      <c r="M231">
        <v>14</v>
      </c>
      <c r="N231">
        <v>7</v>
      </c>
      <c r="O231">
        <v>2025</v>
      </c>
      <c r="R231">
        <f>IF(wallet_records[[#This Row],[type]]="Gasto",wallet_records[[#This Row],[amount]]*(-1),wallet_records[[#This Row],[amount]])</f>
        <v>-146000</v>
      </c>
    </row>
    <row r="232" spans="1:18" x14ac:dyDescent="0.2">
      <c r="A232" t="s">
        <v>127</v>
      </c>
      <c r="B232" t="s">
        <v>136</v>
      </c>
      <c r="C232" t="s">
        <v>115</v>
      </c>
      <c r="D232" s="291">
        <v>477205</v>
      </c>
      <c r="E232">
        <v>477205</v>
      </c>
      <c r="F232" t="s">
        <v>116</v>
      </c>
      <c r="G232" t="s">
        <v>117</v>
      </c>
      <c r="H232" t="s">
        <v>140</v>
      </c>
      <c r="I232" s="197">
        <v>45852.791971597224</v>
      </c>
      <c r="J232" t="b">
        <v>0</v>
      </c>
      <c r="K232" t="s">
        <v>536</v>
      </c>
      <c r="L232" t="s">
        <v>0</v>
      </c>
      <c r="M232">
        <v>14</v>
      </c>
      <c r="N232">
        <v>7</v>
      </c>
      <c r="O232">
        <v>2025</v>
      </c>
      <c r="R232">
        <f>IF(wallet_records[[#This Row],[type]]="Gasto",wallet_records[[#This Row],[amount]]*(-1),wallet_records[[#This Row],[amount]])</f>
        <v>-477205</v>
      </c>
    </row>
    <row r="233" spans="1:18" x14ac:dyDescent="0.2">
      <c r="A233" t="s">
        <v>127</v>
      </c>
      <c r="B233" t="s">
        <v>136</v>
      </c>
      <c r="C233" t="s">
        <v>115</v>
      </c>
      <c r="D233" s="291">
        <v>7521350.0899999999</v>
      </c>
      <c r="E233">
        <v>7521350.0899999999</v>
      </c>
      <c r="F233" t="s">
        <v>121</v>
      </c>
      <c r="G233" t="s">
        <v>117</v>
      </c>
      <c r="H233" t="s">
        <v>522</v>
      </c>
      <c r="I233" s="197">
        <v>45851.791666666664</v>
      </c>
      <c r="J233" t="b">
        <v>0</v>
      </c>
      <c r="K233" t="s">
        <v>123</v>
      </c>
      <c r="L233" t="s">
        <v>123</v>
      </c>
      <c r="M233">
        <v>13</v>
      </c>
      <c r="N233">
        <v>7</v>
      </c>
      <c r="O233">
        <v>2025</v>
      </c>
      <c r="R233">
        <f>IF(wallet_records[[#This Row],[type]]="Gasto",wallet_records[[#This Row],[amount]]*(-1),wallet_records[[#This Row],[amount]])</f>
        <v>7521350.0899999999</v>
      </c>
    </row>
    <row r="234" spans="1:18" x14ac:dyDescent="0.2">
      <c r="A234" t="s">
        <v>119</v>
      </c>
      <c r="B234" t="s">
        <v>136</v>
      </c>
      <c r="C234" t="s">
        <v>115</v>
      </c>
      <c r="D234" s="291">
        <v>30024.77</v>
      </c>
      <c r="E234">
        <v>30024.77</v>
      </c>
      <c r="F234" t="s">
        <v>116</v>
      </c>
      <c r="G234" t="s">
        <v>117</v>
      </c>
      <c r="H234" t="s">
        <v>522</v>
      </c>
      <c r="I234" s="197">
        <v>45851.791666666664</v>
      </c>
      <c r="J234" t="b">
        <v>0</v>
      </c>
      <c r="K234" t="s">
        <v>123</v>
      </c>
      <c r="L234" t="s">
        <v>123</v>
      </c>
      <c r="M234">
        <v>13</v>
      </c>
      <c r="N234">
        <v>7</v>
      </c>
      <c r="O234">
        <v>2025</v>
      </c>
      <c r="R234">
        <f>IF(wallet_records[[#This Row],[type]]="Gasto",wallet_records[[#This Row],[amount]]*(-1),wallet_records[[#This Row],[amount]])</f>
        <v>-30024.77</v>
      </c>
    </row>
    <row r="235" spans="1:18" x14ac:dyDescent="0.2">
      <c r="A235" t="s">
        <v>525</v>
      </c>
      <c r="B235" t="s">
        <v>136</v>
      </c>
      <c r="C235" t="s">
        <v>115</v>
      </c>
      <c r="D235" s="291">
        <v>192999.93</v>
      </c>
      <c r="E235">
        <v>192999.93</v>
      </c>
      <c r="F235" t="s">
        <v>116</v>
      </c>
      <c r="G235" t="s">
        <v>117</v>
      </c>
      <c r="H235" t="s">
        <v>522</v>
      </c>
      <c r="I235" s="197">
        <v>45851.791666666664</v>
      </c>
      <c r="J235" t="b">
        <v>0</v>
      </c>
      <c r="K235" t="s">
        <v>123</v>
      </c>
      <c r="L235" t="s">
        <v>123</v>
      </c>
      <c r="M235">
        <v>13</v>
      </c>
      <c r="N235">
        <v>7</v>
      </c>
      <c r="O235">
        <v>2025</v>
      </c>
      <c r="R235">
        <f>IF(wallet_records[[#This Row],[type]]="Gasto",wallet_records[[#This Row],[amount]]*(-1),wallet_records[[#This Row],[amount]])</f>
        <v>-192999.93</v>
      </c>
    </row>
    <row r="236" spans="1:18" x14ac:dyDescent="0.2">
      <c r="A236" t="s">
        <v>524</v>
      </c>
      <c r="B236" t="s">
        <v>136</v>
      </c>
      <c r="C236" t="s">
        <v>115</v>
      </c>
      <c r="D236" s="291">
        <v>106600.23</v>
      </c>
      <c r="E236">
        <v>106600.23</v>
      </c>
      <c r="F236" t="s">
        <v>121</v>
      </c>
      <c r="G236" t="s">
        <v>117</v>
      </c>
      <c r="H236" t="s">
        <v>522</v>
      </c>
      <c r="I236" s="197">
        <v>45851.791666666664</v>
      </c>
      <c r="J236" t="b">
        <v>0</v>
      </c>
      <c r="K236" t="s">
        <v>123</v>
      </c>
      <c r="L236" t="s">
        <v>123</v>
      </c>
      <c r="M236">
        <v>13</v>
      </c>
      <c r="N236">
        <v>7</v>
      </c>
      <c r="O236">
        <v>2025</v>
      </c>
      <c r="R236">
        <f>IF(wallet_records[[#This Row],[type]]="Gasto",wallet_records[[#This Row],[amount]]*(-1),wallet_records[[#This Row],[amount]])</f>
        <v>106600.23</v>
      </c>
    </row>
    <row r="237" spans="1:18" x14ac:dyDescent="0.2">
      <c r="A237" t="s">
        <v>127</v>
      </c>
      <c r="B237" t="s">
        <v>136</v>
      </c>
      <c r="C237" t="s">
        <v>115</v>
      </c>
      <c r="D237" s="291">
        <v>256300</v>
      </c>
      <c r="E237">
        <v>256300</v>
      </c>
      <c r="F237" t="s">
        <v>116</v>
      </c>
      <c r="G237" t="s">
        <v>117</v>
      </c>
      <c r="H237" t="s">
        <v>140</v>
      </c>
      <c r="I237" s="197">
        <v>45839.792184942133</v>
      </c>
      <c r="J237" t="b">
        <v>0</v>
      </c>
      <c r="K237" t="s">
        <v>538</v>
      </c>
      <c r="L237" t="s">
        <v>77</v>
      </c>
      <c r="M237">
        <v>1</v>
      </c>
      <c r="N237">
        <v>7</v>
      </c>
      <c r="O237">
        <v>2025</v>
      </c>
      <c r="R237">
        <f>IF(wallet_records[[#This Row],[type]]="Gasto",wallet_records[[#This Row],[amount]]*(-1),wallet_records[[#This Row],[amount]])</f>
        <v>-256300</v>
      </c>
    </row>
    <row r="238" spans="1:18" x14ac:dyDescent="0.2">
      <c r="A238" t="s">
        <v>119</v>
      </c>
      <c r="B238" t="s">
        <v>136</v>
      </c>
      <c r="C238" t="s">
        <v>115</v>
      </c>
      <c r="D238" s="291">
        <v>97677.38</v>
      </c>
      <c r="E238">
        <v>97677.38</v>
      </c>
      <c r="F238" t="s">
        <v>121</v>
      </c>
      <c r="G238" t="s">
        <v>117</v>
      </c>
      <c r="H238" t="s">
        <v>522</v>
      </c>
      <c r="I238" s="197">
        <v>45821.791666666664</v>
      </c>
      <c r="J238" t="b">
        <v>0</v>
      </c>
      <c r="K238" t="s">
        <v>123</v>
      </c>
      <c r="L238" t="s">
        <v>123</v>
      </c>
      <c r="M238">
        <v>13</v>
      </c>
      <c r="N238">
        <v>6</v>
      </c>
      <c r="O238">
        <v>2025</v>
      </c>
      <c r="R238">
        <f>IF(wallet_records[[#This Row],[type]]="Gasto",wallet_records[[#This Row],[amount]]*(-1),wallet_records[[#This Row],[amount]])</f>
        <v>97677.38</v>
      </c>
    </row>
    <row r="239" spans="1:18" x14ac:dyDescent="0.2">
      <c r="A239" t="s">
        <v>525</v>
      </c>
      <c r="B239" t="s">
        <v>136</v>
      </c>
      <c r="C239" t="s">
        <v>115</v>
      </c>
      <c r="D239" s="291">
        <v>2376706.8199999998</v>
      </c>
      <c r="E239">
        <v>2376706.8199999998</v>
      </c>
      <c r="F239" t="s">
        <v>121</v>
      </c>
      <c r="G239" t="s">
        <v>117</v>
      </c>
      <c r="H239" t="s">
        <v>522</v>
      </c>
      <c r="I239" s="197">
        <v>45821.791666666664</v>
      </c>
      <c r="J239" t="b">
        <v>0</v>
      </c>
      <c r="K239" t="s">
        <v>123</v>
      </c>
      <c r="L239" t="s">
        <v>123</v>
      </c>
      <c r="M239">
        <v>13</v>
      </c>
      <c r="N239">
        <v>6</v>
      </c>
      <c r="O239">
        <v>2025</v>
      </c>
      <c r="R239">
        <f>IF(wallet_records[[#This Row],[type]]="Gasto",wallet_records[[#This Row],[amount]]*(-1),wallet_records[[#This Row],[amount]])</f>
        <v>2376706.8199999998</v>
      </c>
    </row>
    <row r="240" spans="1:18" x14ac:dyDescent="0.2">
      <c r="A240" t="s">
        <v>524</v>
      </c>
      <c r="B240" t="s">
        <v>136</v>
      </c>
      <c r="C240" t="s">
        <v>115</v>
      </c>
      <c r="D240" s="291">
        <v>75499.509999999995</v>
      </c>
      <c r="E240">
        <v>75499.509999999995</v>
      </c>
      <c r="F240" t="s">
        <v>116</v>
      </c>
      <c r="G240" t="s">
        <v>117</v>
      </c>
      <c r="H240" t="s">
        <v>522</v>
      </c>
      <c r="I240" s="197">
        <v>45821.791666666664</v>
      </c>
      <c r="J240" t="b">
        <v>0</v>
      </c>
      <c r="K240" t="s">
        <v>123</v>
      </c>
      <c r="L240" t="s">
        <v>123</v>
      </c>
      <c r="M240">
        <v>13</v>
      </c>
      <c r="N240">
        <v>6</v>
      </c>
      <c r="O240">
        <v>2025</v>
      </c>
      <c r="R240">
        <f>IF(wallet_records[[#This Row],[type]]="Gasto",wallet_records[[#This Row],[amount]]*(-1),wallet_records[[#This Row],[amount]])</f>
        <v>-75499.509999999995</v>
      </c>
    </row>
    <row r="241" spans="1:18" x14ac:dyDescent="0.2">
      <c r="A241" t="s">
        <v>127</v>
      </c>
      <c r="B241" t="s">
        <v>136</v>
      </c>
      <c r="C241" t="s">
        <v>115</v>
      </c>
      <c r="D241" s="291">
        <v>6396676.0899999999</v>
      </c>
      <c r="E241">
        <v>6396676.0899999999</v>
      </c>
      <c r="F241" t="s">
        <v>116</v>
      </c>
      <c r="G241" t="s">
        <v>117</v>
      </c>
      <c r="H241" t="s">
        <v>522</v>
      </c>
      <c r="I241" s="197">
        <v>45821.791666666664</v>
      </c>
      <c r="J241" t="b">
        <v>0</v>
      </c>
      <c r="K241" t="s">
        <v>123</v>
      </c>
      <c r="L241" t="s">
        <v>123</v>
      </c>
      <c r="M241">
        <v>13</v>
      </c>
      <c r="N241">
        <v>6</v>
      </c>
      <c r="O241">
        <v>2025</v>
      </c>
      <c r="R241">
        <f>IF(wallet_records[[#This Row],[type]]="Gasto",wallet_records[[#This Row],[amount]]*(-1),wallet_records[[#This Row],[amount]])</f>
        <v>-6396676.0899999999</v>
      </c>
    </row>
    <row r="242" spans="1:18" x14ac:dyDescent="0.2">
      <c r="A242" t="s">
        <v>127</v>
      </c>
      <c r="B242" t="s">
        <v>136</v>
      </c>
      <c r="C242" t="s">
        <v>115</v>
      </c>
      <c r="D242" s="291">
        <v>477205</v>
      </c>
      <c r="E242">
        <v>477205</v>
      </c>
      <c r="F242" t="s">
        <v>116</v>
      </c>
      <c r="G242" t="s">
        <v>117</v>
      </c>
      <c r="H242" t="s">
        <v>140</v>
      </c>
      <c r="I242" s="197">
        <v>45820.792095949073</v>
      </c>
      <c r="J242" t="b">
        <v>0</v>
      </c>
      <c r="K242" t="s">
        <v>536</v>
      </c>
      <c r="L242" t="s">
        <v>0</v>
      </c>
      <c r="M242">
        <v>12</v>
      </c>
      <c r="N242">
        <v>6</v>
      </c>
      <c r="O242">
        <v>2025</v>
      </c>
      <c r="R242">
        <f>IF(wallet_records[[#This Row],[type]]="Gasto",wallet_records[[#This Row],[amount]]*(-1),wallet_records[[#This Row],[amount]])</f>
        <v>-477205</v>
      </c>
    </row>
    <row r="243" spans="1:18" x14ac:dyDescent="0.2">
      <c r="A243" t="s">
        <v>127</v>
      </c>
      <c r="B243" t="s">
        <v>136</v>
      </c>
      <c r="C243" t="s">
        <v>115</v>
      </c>
      <c r="D243" s="291">
        <v>146000</v>
      </c>
      <c r="E243">
        <v>146000</v>
      </c>
      <c r="F243" t="s">
        <v>116</v>
      </c>
      <c r="G243" t="s">
        <v>117</v>
      </c>
      <c r="H243" t="s">
        <v>140</v>
      </c>
      <c r="I243" s="197">
        <v>45820.79207333333</v>
      </c>
      <c r="J243" t="b">
        <v>0</v>
      </c>
      <c r="K243" t="s">
        <v>537</v>
      </c>
      <c r="L243" t="s">
        <v>1</v>
      </c>
      <c r="M243">
        <v>12</v>
      </c>
      <c r="N243">
        <v>6</v>
      </c>
      <c r="O243">
        <v>2025</v>
      </c>
      <c r="R243">
        <f>IF(wallet_records[[#This Row],[type]]="Gasto",wallet_records[[#This Row],[amount]]*(-1),wallet_records[[#This Row],[amount]])</f>
        <v>-146000</v>
      </c>
    </row>
    <row r="244" spans="1:18" x14ac:dyDescent="0.2">
      <c r="A244" t="s">
        <v>127</v>
      </c>
      <c r="B244" t="s">
        <v>136</v>
      </c>
      <c r="C244" t="s">
        <v>115</v>
      </c>
      <c r="D244" s="291">
        <v>256300</v>
      </c>
      <c r="E244">
        <v>256300</v>
      </c>
      <c r="F244" t="s">
        <v>116</v>
      </c>
      <c r="G244" t="s">
        <v>117</v>
      </c>
      <c r="H244" t="s">
        <v>140</v>
      </c>
      <c r="I244" s="197">
        <v>45806.792090405092</v>
      </c>
      <c r="J244" t="b">
        <v>0</v>
      </c>
      <c r="K244" t="s">
        <v>538</v>
      </c>
      <c r="L244" t="s">
        <v>77</v>
      </c>
      <c r="M244">
        <v>29</v>
      </c>
      <c r="N244">
        <v>5</v>
      </c>
      <c r="O244">
        <v>2025</v>
      </c>
      <c r="R244">
        <f>IF(wallet_records[[#This Row],[type]]="Gasto",wallet_records[[#This Row],[amount]]*(-1),wallet_records[[#This Row],[amount]])</f>
        <v>-256300</v>
      </c>
    </row>
    <row r="245" spans="1:18" x14ac:dyDescent="0.2">
      <c r="A245" t="s">
        <v>127</v>
      </c>
      <c r="B245" t="s">
        <v>136</v>
      </c>
      <c r="C245" t="s">
        <v>115</v>
      </c>
      <c r="D245" s="291">
        <v>146000</v>
      </c>
      <c r="E245">
        <v>146000</v>
      </c>
      <c r="F245" t="s">
        <v>116</v>
      </c>
      <c r="G245" t="s">
        <v>117</v>
      </c>
      <c r="H245" t="s">
        <v>140</v>
      </c>
      <c r="I245" s="197">
        <v>45791.791954293978</v>
      </c>
      <c r="J245" t="b">
        <v>0</v>
      </c>
      <c r="K245" t="s">
        <v>537</v>
      </c>
      <c r="L245" t="s">
        <v>1</v>
      </c>
      <c r="M245">
        <v>14</v>
      </c>
      <c r="N245">
        <v>5</v>
      </c>
      <c r="O245">
        <v>2025</v>
      </c>
      <c r="R245">
        <f>IF(wallet_records[[#This Row],[type]]="Gasto",wallet_records[[#This Row],[amount]]*(-1),wallet_records[[#This Row],[amount]])</f>
        <v>-146000</v>
      </c>
    </row>
    <row r="246" spans="1:18" x14ac:dyDescent="0.2">
      <c r="A246" t="s">
        <v>127</v>
      </c>
      <c r="B246" t="s">
        <v>136</v>
      </c>
      <c r="C246" t="s">
        <v>115</v>
      </c>
      <c r="D246" s="291">
        <v>979230.3</v>
      </c>
      <c r="E246">
        <v>979230.3</v>
      </c>
      <c r="F246" t="s">
        <v>121</v>
      </c>
      <c r="G246" t="s">
        <v>117</v>
      </c>
      <c r="H246" t="s">
        <v>522</v>
      </c>
      <c r="I246" s="197">
        <v>45791.791666666664</v>
      </c>
      <c r="J246" t="b">
        <v>0</v>
      </c>
      <c r="K246" t="s">
        <v>123</v>
      </c>
      <c r="L246" t="s">
        <v>123</v>
      </c>
      <c r="M246">
        <v>14</v>
      </c>
      <c r="N246">
        <v>5</v>
      </c>
      <c r="O246">
        <v>2025</v>
      </c>
      <c r="R246">
        <f>IF(wallet_records[[#This Row],[type]]="Gasto",wallet_records[[#This Row],[amount]]*(-1),wallet_records[[#This Row],[amount]])</f>
        <v>979230.3</v>
      </c>
    </row>
    <row r="247" spans="1:18" x14ac:dyDescent="0.2">
      <c r="A247" t="s">
        <v>524</v>
      </c>
      <c r="B247" t="s">
        <v>136</v>
      </c>
      <c r="C247" t="s">
        <v>115</v>
      </c>
      <c r="D247" s="291">
        <v>1658563.95</v>
      </c>
      <c r="E247">
        <v>1658563.95</v>
      </c>
      <c r="F247" t="s">
        <v>116</v>
      </c>
      <c r="G247" t="s">
        <v>117</v>
      </c>
      <c r="H247" t="s">
        <v>522</v>
      </c>
      <c r="I247" s="197">
        <v>45791.791666666664</v>
      </c>
      <c r="J247" t="b">
        <v>0</v>
      </c>
      <c r="K247" t="s">
        <v>123</v>
      </c>
      <c r="L247" t="s">
        <v>123</v>
      </c>
      <c r="M247">
        <v>14</v>
      </c>
      <c r="N247">
        <v>5</v>
      </c>
      <c r="O247">
        <v>2025</v>
      </c>
      <c r="R247">
        <f>IF(wallet_records[[#This Row],[type]]="Gasto",wallet_records[[#This Row],[amount]]*(-1),wallet_records[[#This Row],[amount]])</f>
        <v>-1658563.95</v>
      </c>
    </row>
    <row r="248" spans="1:18" x14ac:dyDescent="0.2">
      <c r="A248" t="s">
        <v>119</v>
      </c>
      <c r="B248" t="s">
        <v>136</v>
      </c>
      <c r="C248" t="s">
        <v>115</v>
      </c>
      <c r="D248" s="291">
        <v>1202706.8999999999</v>
      </c>
      <c r="E248">
        <v>1202706.8999999999</v>
      </c>
      <c r="F248" t="s">
        <v>121</v>
      </c>
      <c r="G248" t="s">
        <v>117</v>
      </c>
      <c r="H248" t="s">
        <v>522</v>
      </c>
      <c r="I248" s="197">
        <v>45791.791666666664</v>
      </c>
      <c r="J248" t="b">
        <v>0</v>
      </c>
      <c r="K248" t="s">
        <v>123</v>
      </c>
      <c r="L248" t="s">
        <v>123</v>
      </c>
      <c r="M248">
        <v>14</v>
      </c>
      <c r="N248">
        <v>5</v>
      </c>
      <c r="O248">
        <v>2025</v>
      </c>
      <c r="R248">
        <f>IF(wallet_records[[#This Row],[type]]="Gasto",wallet_records[[#This Row],[amount]]*(-1),wallet_records[[#This Row],[amount]])</f>
        <v>1202706.8999999999</v>
      </c>
    </row>
    <row r="249" spans="1:18" x14ac:dyDescent="0.2">
      <c r="A249" t="s">
        <v>525</v>
      </c>
      <c r="B249" t="s">
        <v>136</v>
      </c>
      <c r="C249" t="s">
        <v>115</v>
      </c>
      <c r="D249" s="291">
        <v>1426260</v>
      </c>
      <c r="E249">
        <v>1426260</v>
      </c>
      <c r="F249" t="s">
        <v>116</v>
      </c>
      <c r="G249" t="s">
        <v>117</v>
      </c>
      <c r="H249" t="s">
        <v>522</v>
      </c>
      <c r="I249" s="197">
        <v>45791.791666666664</v>
      </c>
      <c r="J249" t="b">
        <v>0</v>
      </c>
      <c r="K249" t="s">
        <v>123</v>
      </c>
      <c r="L249" t="s">
        <v>123</v>
      </c>
      <c r="M249">
        <v>14</v>
      </c>
      <c r="N249">
        <v>5</v>
      </c>
      <c r="O249">
        <v>2025</v>
      </c>
      <c r="R249">
        <f>IF(wallet_records[[#This Row],[type]]="Gasto",wallet_records[[#This Row],[amount]]*(-1),wallet_records[[#This Row],[amount]])</f>
        <v>-1426260</v>
      </c>
    </row>
    <row r="250" spans="1:18" x14ac:dyDescent="0.2">
      <c r="A250" t="s">
        <v>127</v>
      </c>
      <c r="B250" t="s">
        <v>136</v>
      </c>
      <c r="C250" t="s">
        <v>115</v>
      </c>
      <c r="D250" s="291">
        <v>477205</v>
      </c>
      <c r="E250">
        <v>477205</v>
      </c>
      <c r="F250" t="s">
        <v>116</v>
      </c>
      <c r="G250" t="s">
        <v>117</v>
      </c>
      <c r="H250" t="s">
        <v>140</v>
      </c>
      <c r="I250" s="197">
        <v>45785.792177557872</v>
      </c>
      <c r="J250" t="b">
        <v>0</v>
      </c>
      <c r="K250" t="s">
        <v>536</v>
      </c>
      <c r="L250" t="s">
        <v>0</v>
      </c>
      <c r="M250">
        <v>8</v>
      </c>
      <c r="N250">
        <v>5</v>
      </c>
      <c r="O250">
        <v>2025</v>
      </c>
      <c r="R250">
        <f>IF(wallet_records[[#This Row],[type]]="Gasto",wallet_records[[#This Row],[amount]]*(-1),wallet_records[[#This Row],[amount]])</f>
        <v>-477205</v>
      </c>
    </row>
    <row r="251" spans="1:18" x14ac:dyDescent="0.2">
      <c r="A251" t="s">
        <v>127</v>
      </c>
      <c r="B251" t="s">
        <v>136</v>
      </c>
      <c r="C251" t="s">
        <v>115</v>
      </c>
      <c r="D251" s="291">
        <v>256300</v>
      </c>
      <c r="E251">
        <v>256300</v>
      </c>
      <c r="F251" t="s">
        <v>116</v>
      </c>
      <c r="G251" t="s">
        <v>117</v>
      </c>
      <c r="H251" t="s">
        <v>140</v>
      </c>
      <c r="I251" s="197">
        <v>45777.791961331015</v>
      </c>
      <c r="J251" t="b">
        <v>0</v>
      </c>
      <c r="K251" t="s">
        <v>538</v>
      </c>
      <c r="L251" t="s">
        <v>77</v>
      </c>
      <c r="M251">
        <v>30</v>
      </c>
      <c r="N251">
        <v>4</v>
      </c>
      <c r="O251">
        <v>2025</v>
      </c>
      <c r="R251">
        <f>IF(wallet_records[[#This Row],[type]]="Gasto",wallet_records[[#This Row],[amount]]*(-1),wallet_records[[#This Row],[amount]])</f>
        <v>-256300</v>
      </c>
    </row>
    <row r="252" spans="1:18" x14ac:dyDescent="0.2">
      <c r="A252" t="s">
        <v>127</v>
      </c>
      <c r="B252" t="s">
        <v>136</v>
      </c>
      <c r="C252" t="s">
        <v>115</v>
      </c>
      <c r="D252" s="291">
        <v>146000</v>
      </c>
      <c r="E252">
        <v>146000</v>
      </c>
      <c r="F252" t="s">
        <v>116</v>
      </c>
      <c r="G252" t="s">
        <v>117</v>
      </c>
      <c r="H252" t="s">
        <v>140</v>
      </c>
      <c r="I252" s="197">
        <v>45761.791848981484</v>
      </c>
      <c r="J252" t="b">
        <v>0</v>
      </c>
      <c r="K252" t="s">
        <v>537</v>
      </c>
      <c r="L252" t="s">
        <v>1</v>
      </c>
      <c r="M252">
        <v>14</v>
      </c>
      <c r="N252">
        <v>4</v>
      </c>
      <c r="O252">
        <v>2025</v>
      </c>
      <c r="R252">
        <f>IF(wallet_records[[#This Row],[type]]="Gasto",wallet_records[[#This Row],[amount]]*(-1),wallet_records[[#This Row],[amount]])</f>
        <v>-146000</v>
      </c>
    </row>
    <row r="253" spans="1:18" x14ac:dyDescent="0.2">
      <c r="A253" t="s">
        <v>525</v>
      </c>
      <c r="B253" t="s">
        <v>136</v>
      </c>
      <c r="C253" t="s">
        <v>115</v>
      </c>
      <c r="D253" s="291">
        <v>344131.18</v>
      </c>
      <c r="E253">
        <v>344131.18</v>
      </c>
      <c r="F253" t="s">
        <v>121</v>
      </c>
      <c r="G253" t="s">
        <v>117</v>
      </c>
      <c r="H253" t="s">
        <v>522</v>
      </c>
      <c r="I253" s="197">
        <v>45761.791666666664</v>
      </c>
      <c r="J253" t="b">
        <v>0</v>
      </c>
      <c r="K253" t="s">
        <v>123</v>
      </c>
      <c r="L253" t="s">
        <v>123</v>
      </c>
      <c r="M253">
        <v>14</v>
      </c>
      <c r="N253">
        <v>4</v>
      </c>
      <c r="O253">
        <v>2025</v>
      </c>
      <c r="R253">
        <f>IF(wallet_records[[#This Row],[type]]="Gasto",wallet_records[[#This Row],[amount]]*(-1),wallet_records[[#This Row],[amount]])</f>
        <v>344131.18</v>
      </c>
    </row>
    <row r="254" spans="1:18" x14ac:dyDescent="0.2">
      <c r="A254" t="s">
        <v>127</v>
      </c>
      <c r="B254" t="s">
        <v>136</v>
      </c>
      <c r="C254" t="s">
        <v>115</v>
      </c>
      <c r="D254" s="291">
        <v>8877500.0999999996</v>
      </c>
      <c r="E254">
        <v>8877500.0999999996</v>
      </c>
      <c r="F254" t="s">
        <v>116</v>
      </c>
      <c r="G254" t="s">
        <v>117</v>
      </c>
      <c r="H254" t="s">
        <v>522</v>
      </c>
      <c r="I254" s="197">
        <v>45761.791666666664</v>
      </c>
      <c r="J254" t="b">
        <v>0</v>
      </c>
      <c r="K254" t="s">
        <v>123</v>
      </c>
      <c r="L254" t="s">
        <v>123</v>
      </c>
      <c r="M254">
        <v>14</v>
      </c>
      <c r="N254">
        <v>4</v>
      </c>
      <c r="O254">
        <v>2025</v>
      </c>
      <c r="R254">
        <f>IF(wallet_records[[#This Row],[type]]="Gasto",wallet_records[[#This Row],[amount]]*(-1),wallet_records[[#This Row],[amount]])</f>
        <v>-8877500.0999999996</v>
      </c>
    </row>
    <row r="255" spans="1:18" x14ac:dyDescent="0.2">
      <c r="A255" t="s">
        <v>119</v>
      </c>
      <c r="B255" t="s">
        <v>136</v>
      </c>
      <c r="C255" t="s">
        <v>115</v>
      </c>
      <c r="D255" s="291">
        <v>1277599.95</v>
      </c>
      <c r="E255">
        <v>1277599.95</v>
      </c>
      <c r="F255" t="s">
        <v>116</v>
      </c>
      <c r="G255" t="s">
        <v>117</v>
      </c>
      <c r="H255" t="s">
        <v>522</v>
      </c>
      <c r="I255" s="197">
        <v>45761.791666666664</v>
      </c>
      <c r="J255" t="b">
        <v>0</v>
      </c>
      <c r="K255" t="s">
        <v>123</v>
      </c>
      <c r="L255" t="s">
        <v>123</v>
      </c>
      <c r="M255">
        <v>14</v>
      </c>
      <c r="N255">
        <v>4</v>
      </c>
      <c r="O255">
        <v>2025</v>
      </c>
      <c r="R255">
        <f>IF(wallet_records[[#This Row],[type]]="Gasto",wallet_records[[#This Row],[amount]]*(-1),wallet_records[[#This Row],[amount]])</f>
        <v>-1277599.95</v>
      </c>
    </row>
    <row r="256" spans="1:18" x14ac:dyDescent="0.2">
      <c r="A256" t="s">
        <v>524</v>
      </c>
      <c r="B256" t="s">
        <v>136</v>
      </c>
      <c r="C256" t="s">
        <v>115</v>
      </c>
      <c r="D256" s="291">
        <v>5756032.21</v>
      </c>
      <c r="E256">
        <v>5756032.21</v>
      </c>
      <c r="F256" t="s">
        <v>121</v>
      </c>
      <c r="G256" t="s">
        <v>117</v>
      </c>
      <c r="H256" t="s">
        <v>522</v>
      </c>
      <c r="I256" s="197">
        <v>45761.791666666664</v>
      </c>
      <c r="J256" t="b">
        <v>0</v>
      </c>
      <c r="K256" t="s">
        <v>123</v>
      </c>
      <c r="L256" t="s">
        <v>123</v>
      </c>
      <c r="M256">
        <v>14</v>
      </c>
      <c r="N256">
        <v>4</v>
      </c>
      <c r="O256">
        <v>2025</v>
      </c>
      <c r="R256">
        <f>IF(wallet_records[[#This Row],[type]]="Gasto",wallet_records[[#This Row],[amount]]*(-1),wallet_records[[#This Row],[amount]])</f>
        <v>5756032.21</v>
      </c>
    </row>
    <row r="257" spans="1:18" x14ac:dyDescent="0.2">
      <c r="A257" t="s">
        <v>127</v>
      </c>
      <c r="B257" t="s">
        <v>136</v>
      </c>
      <c r="C257" t="s">
        <v>115</v>
      </c>
      <c r="D257" s="291">
        <v>286600</v>
      </c>
      <c r="E257">
        <v>286600</v>
      </c>
      <c r="F257" t="s">
        <v>116</v>
      </c>
      <c r="G257" t="s">
        <v>117</v>
      </c>
      <c r="H257" t="s">
        <v>140</v>
      </c>
      <c r="I257" s="197">
        <v>45746.791777523147</v>
      </c>
      <c r="J257" t="b">
        <v>0</v>
      </c>
      <c r="K257" t="s">
        <v>538</v>
      </c>
      <c r="L257" t="s">
        <v>77</v>
      </c>
      <c r="M257">
        <v>30</v>
      </c>
      <c r="N257">
        <v>3</v>
      </c>
      <c r="O257">
        <v>2025</v>
      </c>
      <c r="R257">
        <f>IF(wallet_records[[#This Row],[type]]="Gasto",wallet_records[[#This Row],[amount]]*(-1),wallet_records[[#This Row],[amount]])</f>
        <v>-286600</v>
      </c>
    </row>
    <row r="258" spans="1:18" x14ac:dyDescent="0.2">
      <c r="A258" t="s">
        <v>524</v>
      </c>
      <c r="B258" t="s">
        <v>136</v>
      </c>
      <c r="C258" t="s">
        <v>115</v>
      </c>
      <c r="D258" s="291">
        <v>2511366.0699999998</v>
      </c>
      <c r="E258">
        <v>2511366.0699999998</v>
      </c>
      <c r="F258" t="s">
        <v>116</v>
      </c>
      <c r="G258" t="s">
        <v>117</v>
      </c>
      <c r="H258" t="s">
        <v>522</v>
      </c>
      <c r="I258" s="197">
        <v>45731.791666666664</v>
      </c>
      <c r="J258" t="b">
        <v>0</v>
      </c>
      <c r="K258" t="s">
        <v>123</v>
      </c>
      <c r="L258" t="s">
        <v>123</v>
      </c>
      <c r="M258">
        <v>15</v>
      </c>
      <c r="N258">
        <v>3</v>
      </c>
      <c r="O258">
        <v>2025</v>
      </c>
      <c r="R258">
        <f>IF(wallet_records[[#This Row],[type]]="Gasto",wallet_records[[#This Row],[amount]]*(-1),wallet_records[[#This Row],[amount]])</f>
        <v>-2511366.0699999998</v>
      </c>
    </row>
    <row r="259" spans="1:18" x14ac:dyDescent="0.2">
      <c r="A259" t="s">
        <v>119</v>
      </c>
      <c r="B259" t="s">
        <v>136</v>
      </c>
      <c r="C259" t="s">
        <v>115</v>
      </c>
      <c r="D259" s="291">
        <v>7167.69</v>
      </c>
      <c r="E259">
        <v>7167.69</v>
      </c>
      <c r="F259" t="s">
        <v>121</v>
      </c>
      <c r="G259" t="s">
        <v>117</v>
      </c>
      <c r="H259" t="s">
        <v>522</v>
      </c>
      <c r="I259" s="197">
        <v>45731.791666666664</v>
      </c>
      <c r="J259" t="b">
        <v>0</v>
      </c>
      <c r="K259" t="s">
        <v>123</v>
      </c>
      <c r="L259" t="s">
        <v>123</v>
      </c>
      <c r="M259">
        <v>15</v>
      </c>
      <c r="N259">
        <v>3</v>
      </c>
      <c r="O259">
        <v>2025</v>
      </c>
      <c r="R259">
        <f>IF(wallet_records[[#This Row],[type]]="Gasto",wallet_records[[#This Row],[amount]]*(-1),wallet_records[[#This Row],[amount]])</f>
        <v>7167.69</v>
      </c>
    </row>
    <row r="260" spans="1:18" x14ac:dyDescent="0.2">
      <c r="A260" t="s">
        <v>525</v>
      </c>
      <c r="B260" t="s">
        <v>136</v>
      </c>
      <c r="C260" t="s">
        <v>115</v>
      </c>
      <c r="D260" s="291">
        <v>1486417.52</v>
      </c>
      <c r="E260">
        <v>1486417.52</v>
      </c>
      <c r="F260" t="s">
        <v>116</v>
      </c>
      <c r="G260" t="s">
        <v>117</v>
      </c>
      <c r="H260" t="s">
        <v>522</v>
      </c>
      <c r="I260" s="197">
        <v>45731.791666666664</v>
      </c>
      <c r="J260" t="b">
        <v>0</v>
      </c>
      <c r="K260" t="s">
        <v>123</v>
      </c>
      <c r="L260" t="s">
        <v>123</v>
      </c>
      <c r="M260">
        <v>15</v>
      </c>
      <c r="N260">
        <v>3</v>
      </c>
      <c r="O260">
        <v>2025</v>
      </c>
      <c r="R260">
        <f>IF(wallet_records[[#This Row],[type]]="Gasto",wallet_records[[#This Row],[amount]]*(-1),wallet_records[[#This Row],[amount]])</f>
        <v>-1486417.52</v>
      </c>
    </row>
    <row r="261" spans="1:18" x14ac:dyDescent="0.2">
      <c r="A261" t="s">
        <v>127</v>
      </c>
      <c r="B261" t="s">
        <v>136</v>
      </c>
      <c r="C261" t="s">
        <v>115</v>
      </c>
      <c r="D261" s="291">
        <v>2660797.79</v>
      </c>
      <c r="E261">
        <v>2660797.79</v>
      </c>
      <c r="F261" t="s">
        <v>121</v>
      </c>
      <c r="G261" t="s">
        <v>117</v>
      </c>
      <c r="H261" t="s">
        <v>522</v>
      </c>
      <c r="I261" s="197">
        <v>45731.791666666664</v>
      </c>
      <c r="J261" t="b">
        <v>0</v>
      </c>
      <c r="K261" t="s">
        <v>123</v>
      </c>
      <c r="L261" t="s">
        <v>123</v>
      </c>
      <c r="M261">
        <v>15</v>
      </c>
      <c r="N261">
        <v>3</v>
      </c>
      <c r="O261">
        <v>2025</v>
      </c>
      <c r="R261">
        <f>IF(wallet_records[[#This Row],[type]]="Gasto",wallet_records[[#This Row],[amount]]*(-1),wallet_records[[#This Row],[amount]])</f>
        <v>2660797.79</v>
      </c>
    </row>
    <row r="262" spans="1:18" x14ac:dyDescent="0.2">
      <c r="A262" t="s">
        <v>127</v>
      </c>
      <c r="B262" t="s">
        <v>136</v>
      </c>
      <c r="C262" t="s">
        <v>115</v>
      </c>
      <c r="D262" s="291">
        <v>146000</v>
      </c>
      <c r="E262">
        <v>146000</v>
      </c>
      <c r="F262" t="s">
        <v>116</v>
      </c>
      <c r="G262" t="s">
        <v>117</v>
      </c>
      <c r="H262" t="s">
        <v>140</v>
      </c>
      <c r="I262" s="197">
        <v>45729.791761990738</v>
      </c>
      <c r="J262" t="b">
        <v>0</v>
      </c>
      <c r="K262" t="s">
        <v>537</v>
      </c>
      <c r="L262" t="s">
        <v>1</v>
      </c>
      <c r="M262">
        <v>13</v>
      </c>
      <c r="N262">
        <v>3</v>
      </c>
      <c r="O262">
        <v>2025</v>
      </c>
      <c r="R262">
        <f>IF(wallet_records[[#This Row],[type]]="Gasto",wallet_records[[#This Row],[amount]]*(-1),wallet_records[[#This Row],[amount]])</f>
        <v>-146000</v>
      </c>
    </row>
    <row r="263" spans="1:18" x14ac:dyDescent="0.2">
      <c r="A263" t="s">
        <v>127</v>
      </c>
      <c r="B263" t="s">
        <v>136</v>
      </c>
      <c r="C263" t="s">
        <v>115</v>
      </c>
      <c r="D263" s="291">
        <v>460205</v>
      </c>
      <c r="E263">
        <v>460205</v>
      </c>
      <c r="F263" t="s">
        <v>116</v>
      </c>
      <c r="G263" t="s">
        <v>117</v>
      </c>
      <c r="H263" t="s">
        <v>140</v>
      </c>
      <c r="I263" s="197">
        <v>45718.792348067131</v>
      </c>
      <c r="J263" t="b">
        <v>0</v>
      </c>
      <c r="K263" t="s">
        <v>536</v>
      </c>
      <c r="L263" t="s">
        <v>0</v>
      </c>
      <c r="M263">
        <v>2</v>
      </c>
      <c r="N263">
        <v>3</v>
      </c>
      <c r="O263">
        <v>2025</v>
      </c>
      <c r="R263">
        <f>IF(wallet_records[[#This Row],[type]]="Gasto",wallet_records[[#This Row],[amount]]*(-1),wallet_records[[#This Row],[amount]])</f>
        <v>-460205</v>
      </c>
    </row>
    <row r="264" spans="1:18" x14ac:dyDescent="0.2">
      <c r="A264" t="s">
        <v>127</v>
      </c>
      <c r="B264" t="s">
        <v>136</v>
      </c>
      <c r="C264" t="s">
        <v>115</v>
      </c>
      <c r="D264" s="291">
        <v>477205</v>
      </c>
      <c r="E264">
        <v>477205</v>
      </c>
      <c r="F264" t="s">
        <v>116</v>
      </c>
      <c r="G264" t="s">
        <v>117</v>
      </c>
      <c r="H264" t="s">
        <v>140</v>
      </c>
      <c r="I264" s="197">
        <v>45718.79225510417</v>
      </c>
      <c r="J264" t="b">
        <v>0</v>
      </c>
      <c r="K264" t="s">
        <v>536</v>
      </c>
      <c r="L264" t="s">
        <v>0</v>
      </c>
      <c r="M264">
        <v>2</v>
      </c>
      <c r="N264">
        <v>3</v>
      </c>
      <c r="O264">
        <v>2025</v>
      </c>
      <c r="R264">
        <f>IF(wallet_records[[#This Row],[type]]="Gasto",wallet_records[[#This Row],[amount]]*(-1),wallet_records[[#This Row],[amount]])</f>
        <v>-477205</v>
      </c>
    </row>
    <row r="265" spans="1:18" x14ac:dyDescent="0.2">
      <c r="A265" t="s">
        <v>127</v>
      </c>
      <c r="B265" t="s">
        <v>136</v>
      </c>
      <c r="C265" t="s">
        <v>115</v>
      </c>
      <c r="D265" s="291">
        <v>246200</v>
      </c>
      <c r="E265">
        <v>246200</v>
      </c>
      <c r="F265" t="s">
        <v>116</v>
      </c>
      <c r="G265" t="s">
        <v>117</v>
      </c>
      <c r="H265" t="s">
        <v>140</v>
      </c>
      <c r="I265" s="197">
        <v>45715.792350625001</v>
      </c>
      <c r="J265" t="b">
        <v>0</v>
      </c>
      <c r="K265" t="s">
        <v>538</v>
      </c>
      <c r="L265" t="s">
        <v>77</v>
      </c>
      <c r="M265">
        <v>27</v>
      </c>
      <c r="N265">
        <v>2</v>
      </c>
      <c r="O265">
        <v>2025</v>
      </c>
      <c r="R265">
        <f>IF(wallet_records[[#This Row],[type]]="Gasto",wallet_records[[#This Row],[amount]]*(-1),wallet_records[[#This Row],[amount]])</f>
        <v>-246200</v>
      </c>
    </row>
    <row r="266" spans="1:18" x14ac:dyDescent="0.2">
      <c r="A266" t="s">
        <v>127</v>
      </c>
      <c r="B266" t="s">
        <v>136</v>
      </c>
      <c r="C266" t="s">
        <v>115</v>
      </c>
      <c r="D266" s="291">
        <v>146000</v>
      </c>
      <c r="E266">
        <v>146000</v>
      </c>
      <c r="F266" t="s">
        <v>116</v>
      </c>
      <c r="G266" t="s">
        <v>117</v>
      </c>
      <c r="H266" t="s">
        <v>140</v>
      </c>
      <c r="I266" s="197">
        <v>45702.791680555558</v>
      </c>
      <c r="J266" t="b">
        <v>0</v>
      </c>
      <c r="K266" t="s">
        <v>537</v>
      </c>
      <c r="L266" t="s">
        <v>1</v>
      </c>
      <c r="M266">
        <v>14</v>
      </c>
      <c r="N266">
        <v>2</v>
      </c>
      <c r="O266">
        <v>2025</v>
      </c>
      <c r="R266">
        <f>IF(wallet_records[[#This Row],[type]]="Gasto",wallet_records[[#This Row],[amount]]*(-1),wallet_records[[#This Row],[amount]])</f>
        <v>-146000</v>
      </c>
    </row>
    <row r="267" spans="1:18" x14ac:dyDescent="0.2">
      <c r="A267" t="s">
        <v>525</v>
      </c>
      <c r="B267" t="s">
        <v>136</v>
      </c>
      <c r="C267" t="s">
        <v>115</v>
      </c>
      <c r="D267" s="291">
        <v>15430.53</v>
      </c>
      <c r="E267">
        <v>15430.53</v>
      </c>
      <c r="F267" t="s">
        <v>121</v>
      </c>
      <c r="G267" t="s">
        <v>117</v>
      </c>
      <c r="H267" t="s">
        <v>522</v>
      </c>
      <c r="I267" s="197">
        <v>45701.791666666664</v>
      </c>
      <c r="J267" t="b">
        <v>0</v>
      </c>
      <c r="K267" t="s">
        <v>123</v>
      </c>
      <c r="L267" t="s">
        <v>123</v>
      </c>
      <c r="M267">
        <v>13</v>
      </c>
      <c r="N267">
        <v>2</v>
      </c>
      <c r="O267">
        <v>2025</v>
      </c>
      <c r="R267">
        <f>IF(wallet_records[[#This Row],[type]]="Gasto",wallet_records[[#This Row],[amount]]*(-1),wallet_records[[#This Row],[amount]])</f>
        <v>15430.53</v>
      </c>
    </row>
    <row r="268" spans="1:18" x14ac:dyDescent="0.2">
      <c r="A268" t="s">
        <v>127</v>
      </c>
      <c r="B268" t="s">
        <v>136</v>
      </c>
      <c r="C268" t="s">
        <v>115</v>
      </c>
      <c r="D268" s="291">
        <v>1523411.01</v>
      </c>
      <c r="E268">
        <v>1523411.01</v>
      </c>
      <c r="F268" t="s">
        <v>121</v>
      </c>
      <c r="G268" t="s">
        <v>117</v>
      </c>
      <c r="H268" t="s">
        <v>522</v>
      </c>
      <c r="I268" s="197">
        <v>45701.791666666664</v>
      </c>
      <c r="J268" t="b">
        <v>0</v>
      </c>
      <c r="K268" t="s">
        <v>123</v>
      </c>
      <c r="L268" t="s">
        <v>123</v>
      </c>
      <c r="M268">
        <v>13</v>
      </c>
      <c r="N268">
        <v>2</v>
      </c>
      <c r="O268">
        <v>2025</v>
      </c>
      <c r="R268">
        <f>IF(wallet_records[[#This Row],[type]]="Gasto",wallet_records[[#This Row],[amount]]*(-1),wallet_records[[#This Row],[amount]])</f>
        <v>1523411.01</v>
      </c>
    </row>
    <row r="269" spans="1:18" x14ac:dyDescent="0.2">
      <c r="A269" t="s">
        <v>119</v>
      </c>
      <c r="B269" t="s">
        <v>136</v>
      </c>
      <c r="C269" t="s">
        <v>115</v>
      </c>
      <c r="D269" s="291">
        <v>2723.12</v>
      </c>
      <c r="E269">
        <v>2723.12</v>
      </c>
      <c r="F269" t="s">
        <v>121</v>
      </c>
      <c r="G269" t="s">
        <v>117</v>
      </c>
      <c r="H269" t="s">
        <v>522</v>
      </c>
      <c r="I269" s="197">
        <v>45701.791666666664</v>
      </c>
      <c r="J269" t="b">
        <v>0</v>
      </c>
      <c r="K269" t="s">
        <v>123</v>
      </c>
      <c r="L269" t="s">
        <v>123</v>
      </c>
      <c r="M269">
        <v>13</v>
      </c>
      <c r="N269">
        <v>2</v>
      </c>
      <c r="O269">
        <v>2025</v>
      </c>
      <c r="R269">
        <f>IF(wallet_records[[#This Row],[type]]="Gasto",wallet_records[[#This Row],[amount]]*(-1),wallet_records[[#This Row],[amount]])</f>
        <v>2723.12</v>
      </c>
    </row>
    <row r="270" spans="1:18" x14ac:dyDescent="0.2">
      <c r="A270" t="s">
        <v>524</v>
      </c>
      <c r="B270" t="s">
        <v>136</v>
      </c>
      <c r="C270" t="s">
        <v>115</v>
      </c>
      <c r="D270" s="291">
        <v>1892615.66</v>
      </c>
      <c r="E270">
        <v>1892615.66</v>
      </c>
      <c r="F270" t="s">
        <v>116</v>
      </c>
      <c r="G270" t="s">
        <v>117</v>
      </c>
      <c r="H270" t="s">
        <v>522</v>
      </c>
      <c r="I270" s="197">
        <v>45701.791666666664</v>
      </c>
      <c r="J270" t="b">
        <v>0</v>
      </c>
      <c r="K270" t="s">
        <v>123</v>
      </c>
      <c r="L270" t="s">
        <v>123</v>
      </c>
      <c r="M270">
        <v>13</v>
      </c>
      <c r="N270">
        <v>2</v>
      </c>
      <c r="O270">
        <v>2025</v>
      </c>
      <c r="R270">
        <f>IF(wallet_records[[#This Row],[type]]="Gasto",wallet_records[[#This Row],[amount]]*(-1),wallet_records[[#This Row],[amount]])</f>
        <v>-1892615.66</v>
      </c>
    </row>
    <row r="271" spans="1:18" x14ac:dyDescent="0.2">
      <c r="A271" t="s">
        <v>127</v>
      </c>
      <c r="B271" t="s">
        <v>136</v>
      </c>
      <c r="C271" t="s">
        <v>115</v>
      </c>
      <c r="D271" s="291">
        <v>460205</v>
      </c>
      <c r="E271">
        <v>460205</v>
      </c>
      <c r="F271" t="s">
        <v>116</v>
      </c>
      <c r="G271" t="s">
        <v>117</v>
      </c>
      <c r="H271" t="s">
        <v>140</v>
      </c>
      <c r="I271" s="197">
        <v>45690.791734259263</v>
      </c>
      <c r="J271" t="b">
        <v>0</v>
      </c>
      <c r="K271" t="s">
        <v>536</v>
      </c>
      <c r="L271" t="s">
        <v>0</v>
      </c>
      <c r="M271">
        <v>2</v>
      </c>
      <c r="N271">
        <v>2</v>
      </c>
      <c r="O271">
        <v>2025</v>
      </c>
      <c r="R271">
        <f>IF(wallet_records[[#This Row],[type]]="Gasto",wallet_records[[#This Row],[amount]]*(-1),wallet_records[[#This Row],[amount]])</f>
        <v>-460205</v>
      </c>
    </row>
    <row r="272" spans="1:18" x14ac:dyDescent="0.2">
      <c r="A272" t="s">
        <v>524</v>
      </c>
      <c r="B272" t="s">
        <v>136</v>
      </c>
      <c r="C272" t="s">
        <v>115</v>
      </c>
      <c r="D272" s="291">
        <v>45000</v>
      </c>
      <c r="E272">
        <v>45000</v>
      </c>
      <c r="F272" t="s">
        <v>116</v>
      </c>
      <c r="G272" t="s">
        <v>117</v>
      </c>
      <c r="H272" t="s">
        <v>94</v>
      </c>
      <c r="I272" s="197">
        <v>45689.791666666664</v>
      </c>
      <c r="J272" t="b">
        <v>0</v>
      </c>
      <c r="K272" t="s">
        <v>138</v>
      </c>
      <c r="L272" t="s">
        <v>139</v>
      </c>
      <c r="M272">
        <v>1</v>
      </c>
      <c r="N272">
        <v>2</v>
      </c>
      <c r="O272">
        <v>2025</v>
      </c>
      <c r="R272">
        <f>IF(wallet_records[[#This Row],[type]]="Gasto",wallet_records[[#This Row],[amount]]*(-1),wallet_records[[#This Row],[amount]])</f>
        <v>-45000</v>
      </c>
    </row>
    <row r="273" spans="1:18" x14ac:dyDescent="0.2">
      <c r="A273" t="s">
        <v>127</v>
      </c>
      <c r="B273" t="s">
        <v>136</v>
      </c>
      <c r="C273" t="s">
        <v>115</v>
      </c>
      <c r="D273" s="291">
        <v>246200</v>
      </c>
      <c r="E273">
        <v>246200</v>
      </c>
      <c r="F273" t="s">
        <v>116</v>
      </c>
      <c r="G273" t="s">
        <v>117</v>
      </c>
      <c r="H273" t="s">
        <v>140</v>
      </c>
      <c r="I273" s="197">
        <v>45686.792236886577</v>
      </c>
      <c r="J273" t="b">
        <v>0</v>
      </c>
      <c r="K273" t="s">
        <v>538</v>
      </c>
      <c r="L273" t="s">
        <v>77</v>
      </c>
      <c r="M273">
        <v>29</v>
      </c>
      <c r="N273">
        <v>1</v>
      </c>
      <c r="O273">
        <v>2025</v>
      </c>
      <c r="R273">
        <f>IF(wallet_records[[#This Row],[type]]="Gasto",wallet_records[[#This Row],[amount]]*(-1),wallet_records[[#This Row],[amount]])</f>
        <v>-246200</v>
      </c>
    </row>
    <row r="274" spans="1:18" x14ac:dyDescent="0.2">
      <c r="A274" t="s">
        <v>524</v>
      </c>
      <c r="B274" t="s">
        <v>136</v>
      </c>
      <c r="C274" t="s">
        <v>115</v>
      </c>
      <c r="D274" s="291">
        <v>94800</v>
      </c>
      <c r="E274">
        <v>94800</v>
      </c>
      <c r="F274" t="s">
        <v>116</v>
      </c>
      <c r="G274" t="s">
        <v>117</v>
      </c>
      <c r="H274" t="s">
        <v>95</v>
      </c>
      <c r="I274" s="197">
        <v>45681.791666666664</v>
      </c>
      <c r="J274" t="b">
        <v>0</v>
      </c>
      <c r="K274" t="s">
        <v>138</v>
      </c>
      <c r="L274" t="s">
        <v>139</v>
      </c>
      <c r="M274">
        <v>24</v>
      </c>
      <c r="N274">
        <v>1</v>
      </c>
      <c r="O274">
        <v>2025</v>
      </c>
      <c r="R274">
        <f>IF(wallet_records[[#This Row],[type]]="Gasto",wallet_records[[#This Row],[amount]]*(-1),wallet_records[[#This Row],[amount]])</f>
        <v>-94800</v>
      </c>
    </row>
    <row r="275" spans="1:18" x14ac:dyDescent="0.2">
      <c r="A275" t="s">
        <v>127</v>
      </c>
      <c r="B275" t="s">
        <v>136</v>
      </c>
      <c r="C275" t="s">
        <v>115</v>
      </c>
      <c r="D275" s="291">
        <v>146000</v>
      </c>
      <c r="E275">
        <v>146000</v>
      </c>
      <c r="F275" t="s">
        <v>116</v>
      </c>
      <c r="G275" t="s">
        <v>117</v>
      </c>
      <c r="H275" t="s">
        <v>140</v>
      </c>
      <c r="I275" s="197">
        <v>45671.792309571756</v>
      </c>
      <c r="J275" t="b">
        <v>0</v>
      </c>
      <c r="K275" t="s">
        <v>537</v>
      </c>
      <c r="L275" t="s">
        <v>1</v>
      </c>
      <c r="M275">
        <v>14</v>
      </c>
      <c r="N275">
        <v>1</v>
      </c>
      <c r="O275">
        <v>2025</v>
      </c>
      <c r="R275">
        <f>IF(wallet_records[[#This Row],[type]]="Gasto",wallet_records[[#This Row],[amount]]*(-1),wallet_records[[#This Row],[amount]])</f>
        <v>-146000</v>
      </c>
    </row>
    <row r="276" spans="1:18" x14ac:dyDescent="0.2">
      <c r="A276" t="s">
        <v>524</v>
      </c>
      <c r="B276" t="s">
        <v>136</v>
      </c>
      <c r="C276" t="s">
        <v>115</v>
      </c>
      <c r="D276" s="291">
        <v>1562386.47</v>
      </c>
      <c r="E276">
        <v>1562386.47</v>
      </c>
      <c r="F276" t="s">
        <v>116</v>
      </c>
      <c r="G276" t="s">
        <v>117</v>
      </c>
      <c r="H276" t="s">
        <v>522</v>
      </c>
      <c r="I276" s="197">
        <v>45671.791666666664</v>
      </c>
      <c r="J276" t="b">
        <v>0</v>
      </c>
      <c r="K276" t="s">
        <v>123</v>
      </c>
      <c r="L276" t="s">
        <v>123</v>
      </c>
      <c r="M276">
        <v>14</v>
      </c>
      <c r="N276">
        <v>1</v>
      </c>
      <c r="O276">
        <v>2025</v>
      </c>
      <c r="R276">
        <f>IF(wallet_records[[#This Row],[type]]="Gasto",wallet_records[[#This Row],[amount]]*(-1),wallet_records[[#This Row],[amount]])</f>
        <v>-1562386.47</v>
      </c>
    </row>
    <row r="277" spans="1:18" x14ac:dyDescent="0.2">
      <c r="A277" t="s">
        <v>127</v>
      </c>
      <c r="B277" t="s">
        <v>136</v>
      </c>
      <c r="C277" t="s">
        <v>115</v>
      </c>
      <c r="D277" s="291">
        <v>1674129.18</v>
      </c>
      <c r="E277">
        <v>1674129.18</v>
      </c>
      <c r="F277" t="s">
        <v>116</v>
      </c>
      <c r="G277" t="s">
        <v>117</v>
      </c>
      <c r="H277" t="s">
        <v>522</v>
      </c>
      <c r="I277" s="197">
        <v>45671.791666666664</v>
      </c>
      <c r="J277" t="b">
        <v>0</v>
      </c>
      <c r="K277" t="s">
        <v>123</v>
      </c>
      <c r="L277" t="s">
        <v>123</v>
      </c>
      <c r="M277">
        <v>14</v>
      </c>
      <c r="N277">
        <v>1</v>
      </c>
      <c r="O277">
        <v>2025</v>
      </c>
      <c r="R277">
        <f>IF(wallet_records[[#This Row],[type]]="Gasto",wallet_records[[#This Row],[amount]]*(-1),wallet_records[[#This Row],[amount]])</f>
        <v>-1674129.18</v>
      </c>
    </row>
    <row r="278" spans="1:18" x14ac:dyDescent="0.2">
      <c r="A278" t="s">
        <v>133</v>
      </c>
      <c r="B278" t="s">
        <v>136</v>
      </c>
      <c r="C278" t="s">
        <v>115</v>
      </c>
      <c r="D278" s="291">
        <v>1000000</v>
      </c>
      <c r="E278">
        <v>1000000</v>
      </c>
      <c r="F278" t="s">
        <v>121</v>
      </c>
      <c r="G278" t="s">
        <v>117</v>
      </c>
      <c r="H278" t="s">
        <v>522</v>
      </c>
      <c r="I278" s="197">
        <v>45671.791666666664</v>
      </c>
      <c r="J278" t="b">
        <v>0</v>
      </c>
      <c r="K278" t="s">
        <v>123</v>
      </c>
      <c r="L278" t="s">
        <v>123</v>
      </c>
      <c r="M278">
        <v>14</v>
      </c>
      <c r="N278">
        <v>1</v>
      </c>
      <c r="O278">
        <v>2025</v>
      </c>
      <c r="R278">
        <f>IF(wallet_records[[#This Row],[type]]="Gasto",wallet_records[[#This Row],[amount]]*(-1),wallet_records[[#This Row],[amount]])</f>
        <v>1000000</v>
      </c>
    </row>
    <row r="279" spans="1:18" x14ac:dyDescent="0.2">
      <c r="A279" t="s">
        <v>119</v>
      </c>
      <c r="B279" t="s">
        <v>136</v>
      </c>
      <c r="C279" t="s">
        <v>115</v>
      </c>
      <c r="D279" s="291">
        <v>6691064.8700000001</v>
      </c>
      <c r="E279">
        <v>6691064.8700000001</v>
      </c>
      <c r="F279" t="s">
        <v>116</v>
      </c>
      <c r="G279" t="s">
        <v>117</v>
      </c>
      <c r="H279" t="s">
        <v>522</v>
      </c>
      <c r="I279" s="197">
        <v>45671.791666666664</v>
      </c>
      <c r="J279" t="b">
        <v>0</v>
      </c>
      <c r="K279" t="s">
        <v>123</v>
      </c>
      <c r="L279" t="s">
        <v>123</v>
      </c>
      <c r="M279">
        <v>14</v>
      </c>
      <c r="N279">
        <v>1</v>
      </c>
      <c r="O279">
        <v>2025</v>
      </c>
      <c r="R279">
        <f>IF(wallet_records[[#This Row],[type]]="Gasto",wallet_records[[#This Row],[amount]]*(-1),wallet_records[[#This Row],[amount]])</f>
        <v>-6691064.8700000001</v>
      </c>
    </row>
    <row r="280" spans="1:18" x14ac:dyDescent="0.2">
      <c r="A280" t="s">
        <v>525</v>
      </c>
      <c r="B280" t="s">
        <v>136</v>
      </c>
      <c r="C280" t="s">
        <v>115</v>
      </c>
      <c r="D280" s="291">
        <v>4986883.79</v>
      </c>
      <c r="E280">
        <v>4986883.79</v>
      </c>
      <c r="F280" t="s">
        <v>121</v>
      </c>
      <c r="G280" t="s">
        <v>117</v>
      </c>
      <c r="H280" t="s">
        <v>522</v>
      </c>
      <c r="I280" s="197">
        <v>45671.791666666664</v>
      </c>
      <c r="J280" t="b">
        <v>0</v>
      </c>
      <c r="K280" t="s">
        <v>123</v>
      </c>
      <c r="L280" t="s">
        <v>123</v>
      </c>
      <c r="M280">
        <v>14</v>
      </c>
      <c r="N280">
        <v>1</v>
      </c>
      <c r="O280">
        <v>2025</v>
      </c>
      <c r="R280">
        <f>IF(wallet_records[[#This Row],[type]]="Gasto",wallet_records[[#This Row],[amount]]*(-1),wallet_records[[#This Row],[amount]])</f>
        <v>4986883.79</v>
      </c>
    </row>
    <row r="281" spans="1:18" x14ac:dyDescent="0.2">
      <c r="A281" t="s">
        <v>127</v>
      </c>
      <c r="B281" t="s">
        <v>136</v>
      </c>
      <c r="C281" t="s">
        <v>115</v>
      </c>
      <c r="D281" s="291">
        <v>463323</v>
      </c>
      <c r="E281">
        <v>463323</v>
      </c>
      <c r="F281" t="s">
        <v>116</v>
      </c>
      <c r="G281" t="s">
        <v>117</v>
      </c>
      <c r="H281" t="s">
        <v>140</v>
      </c>
      <c r="I281" s="197">
        <v>45658.791833171294</v>
      </c>
      <c r="J281" t="b">
        <v>0</v>
      </c>
      <c r="K281" t="s">
        <v>536</v>
      </c>
      <c r="L281" t="s">
        <v>0</v>
      </c>
      <c r="M281">
        <v>1</v>
      </c>
      <c r="N281">
        <v>1</v>
      </c>
      <c r="O281">
        <v>2025</v>
      </c>
      <c r="R281">
        <f>IF(wallet_records[[#This Row],[type]]="Gasto",wallet_records[[#This Row],[amount]]*(-1),wallet_records[[#This Row],[amount]])</f>
        <v>-463323</v>
      </c>
    </row>
    <row r="282" spans="1:18" x14ac:dyDescent="0.2">
      <c r="A282" t="s">
        <v>525</v>
      </c>
      <c r="B282" t="s">
        <v>114</v>
      </c>
      <c r="C282" t="s">
        <v>115</v>
      </c>
      <c r="D282" s="291">
        <v>90000</v>
      </c>
      <c r="E282">
        <v>90000</v>
      </c>
      <c r="F282" t="s">
        <v>116</v>
      </c>
      <c r="G282" t="s">
        <v>117</v>
      </c>
      <c r="H282" t="s">
        <v>509</v>
      </c>
      <c r="I282" s="197">
        <v>46010.791666666664</v>
      </c>
      <c r="J282" t="b">
        <v>0</v>
      </c>
      <c r="K282" t="s">
        <v>5</v>
      </c>
      <c r="L282" t="s">
        <v>5</v>
      </c>
      <c r="M282">
        <v>19</v>
      </c>
      <c r="N282">
        <v>12</v>
      </c>
      <c r="O282">
        <v>2025</v>
      </c>
      <c r="R282">
        <f>IF(wallet_records[[#This Row],[type]]="Gasto",wallet_records[[#This Row],[amount]]*(-1),wallet_records[[#This Row],[amount]])</f>
        <v>-90000</v>
      </c>
    </row>
    <row r="283" spans="1:18" x14ac:dyDescent="0.2">
      <c r="A283" t="s">
        <v>525</v>
      </c>
      <c r="B283" t="s">
        <v>114</v>
      </c>
      <c r="C283" t="s">
        <v>115</v>
      </c>
      <c r="D283" s="291">
        <v>90000</v>
      </c>
      <c r="E283">
        <v>90000</v>
      </c>
      <c r="F283" t="s">
        <v>116</v>
      </c>
      <c r="G283" t="s">
        <v>117</v>
      </c>
      <c r="H283" t="s">
        <v>118</v>
      </c>
      <c r="I283" s="197">
        <v>46009.79196790509</v>
      </c>
      <c r="J283" t="b">
        <v>0</v>
      </c>
      <c r="K283" t="s">
        <v>123</v>
      </c>
      <c r="L283" t="s">
        <v>0</v>
      </c>
      <c r="M283">
        <v>18</v>
      </c>
      <c r="N283">
        <v>12</v>
      </c>
      <c r="O283">
        <v>2025</v>
      </c>
      <c r="R283">
        <f>IF(wallet_records[[#This Row],[type]]="Gasto",wallet_records[[#This Row],[amount]]*(-1),wallet_records[[#This Row],[amount]])</f>
        <v>-90000</v>
      </c>
    </row>
    <row r="284" spans="1:18" x14ac:dyDescent="0.2">
      <c r="A284" t="s">
        <v>524</v>
      </c>
      <c r="B284" t="s">
        <v>114</v>
      </c>
      <c r="C284" t="s">
        <v>115</v>
      </c>
      <c r="D284" s="291">
        <v>324523</v>
      </c>
      <c r="E284">
        <v>324523</v>
      </c>
      <c r="F284" t="s">
        <v>116</v>
      </c>
      <c r="G284" t="s">
        <v>117</v>
      </c>
      <c r="H284" t="s">
        <v>87</v>
      </c>
      <c r="I284" s="197">
        <v>45995.791666666664</v>
      </c>
      <c r="J284" t="b">
        <v>0</v>
      </c>
      <c r="K284" t="s">
        <v>5</v>
      </c>
      <c r="L284" t="s">
        <v>5</v>
      </c>
      <c r="M284">
        <v>4</v>
      </c>
      <c r="N284">
        <v>12</v>
      </c>
      <c r="O284">
        <v>2025</v>
      </c>
      <c r="R284">
        <f>IF(wallet_records[[#This Row],[type]]="Gasto",wallet_records[[#This Row],[amount]]*(-1),wallet_records[[#This Row],[amount]])</f>
        <v>-324523</v>
      </c>
    </row>
    <row r="285" spans="1:18" x14ac:dyDescent="0.2">
      <c r="A285" t="s">
        <v>525</v>
      </c>
      <c r="B285" t="s">
        <v>114</v>
      </c>
      <c r="C285" t="s">
        <v>115</v>
      </c>
      <c r="D285" s="291">
        <v>1150000</v>
      </c>
      <c r="E285">
        <v>1150000</v>
      </c>
      <c r="F285" t="s">
        <v>116</v>
      </c>
      <c r="G285" t="s">
        <v>117</v>
      </c>
      <c r="H285" t="s">
        <v>118</v>
      </c>
      <c r="I285" s="197">
        <v>45983.792166041669</v>
      </c>
      <c r="J285" t="b">
        <v>0</v>
      </c>
      <c r="K285" t="s">
        <v>123</v>
      </c>
      <c r="L285" t="s">
        <v>1</v>
      </c>
      <c r="M285">
        <v>22</v>
      </c>
      <c r="N285">
        <v>11</v>
      </c>
      <c r="O285">
        <v>2025</v>
      </c>
      <c r="R285">
        <f>IF(wallet_records[[#This Row],[type]]="Gasto",wallet_records[[#This Row],[amount]]*(-1),wallet_records[[#This Row],[amount]])</f>
        <v>-1150000</v>
      </c>
    </row>
    <row r="286" spans="1:18" x14ac:dyDescent="0.2">
      <c r="A286" t="s">
        <v>525</v>
      </c>
      <c r="B286" t="s">
        <v>114</v>
      </c>
      <c r="C286" t="s">
        <v>115</v>
      </c>
      <c r="D286" s="291">
        <v>1025000</v>
      </c>
      <c r="E286">
        <v>1025000</v>
      </c>
      <c r="F286" t="s">
        <v>116</v>
      </c>
      <c r="G286" t="s">
        <v>117</v>
      </c>
      <c r="H286" t="s">
        <v>118</v>
      </c>
      <c r="I286" s="197">
        <v>45972.791666666664</v>
      </c>
      <c r="J286" t="b">
        <v>0</v>
      </c>
      <c r="K286" t="s">
        <v>7</v>
      </c>
      <c r="L286" t="s">
        <v>7</v>
      </c>
      <c r="M286">
        <v>11</v>
      </c>
      <c r="N286">
        <v>11</v>
      </c>
      <c r="O286">
        <v>2025</v>
      </c>
      <c r="R286">
        <f>IF(wallet_records[[#This Row],[type]]="Gasto",wallet_records[[#This Row],[amount]]*(-1),wallet_records[[#This Row],[amount]])</f>
        <v>-1025000</v>
      </c>
    </row>
    <row r="287" spans="1:18" x14ac:dyDescent="0.2">
      <c r="A287" t="s">
        <v>525</v>
      </c>
      <c r="B287" t="s">
        <v>114</v>
      </c>
      <c r="C287" t="s">
        <v>115</v>
      </c>
      <c r="D287" s="291">
        <v>150000</v>
      </c>
      <c r="E287">
        <v>150000</v>
      </c>
      <c r="F287" t="s">
        <v>116</v>
      </c>
      <c r="G287" t="s">
        <v>117</v>
      </c>
      <c r="H287" t="s">
        <v>118</v>
      </c>
      <c r="I287" s="197">
        <v>45971.791668298611</v>
      </c>
      <c r="J287" t="b">
        <v>0</v>
      </c>
      <c r="K287" t="s">
        <v>123</v>
      </c>
      <c r="L287" t="s">
        <v>6</v>
      </c>
      <c r="M287">
        <v>10</v>
      </c>
      <c r="N287">
        <v>11</v>
      </c>
      <c r="O287">
        <v>2025</v>
      </c>
      <c r="R287">
        <f>IF(wallet_records[[#This Row],[type]]="Gasto",wallet_records[[#This Row],[amount]]*(-1),wallet_records[[#This Row],[amount]])</f>
        <v>-150000</v>
      </c>
    </row>
    <row r="288" spans="1:18" x14ac:dyDescent="0.2">
      <c r="A288" t="s">
        <v>525</v>
      </c>
      <c r="B288" t="s">
        <v>114</v>
      </c>
      <c r="C288" t="s">
        <v>115</v>
      </c>
      <c r="D288" s="291">
        <v>2000000</v>
      </c>
      <c r="E288">
        <v>2000000</v>
      </c>
      <c r="F288" t="s">
        <v>116</v>
      </c>
      <c r="G288" t="s">
        <v>117</v>
      </c>
      <c r="H288" t="s">
        <v>118</v>
      </c>
      <c r="I288" s="197">
        <v>45955.79207221065</v>
      </c>
      <c r="J288" t="b">
        <v>0</v>
      </c>
      <c r="K288" t="s">
        <v>123</v>
      </c>
      <c r="L288" t="s">
        <v>1</v>
      </c>
      <c r="M288">
        <v>25</v>
      </c>
      <c r="N288">
        <v>10</v>
      </c>
      <c r="O288">
        <v>2025</v>
      </c>
      <c r="R288">
        <f>IF(wallet_records[[#This Row],[type]]="Gasto",wallet_records[[#This Row],[amount]]*(-1),wallet_records[[#This Row],[amount]])</f>
        <v>-2000000</v>
      </c>
    </row>
    <row r="289" spans="1:18" x14ac:dyDescent="0.2">
      <c r="A289" t="s">
        <v>525</v>
      </c>
      <c r="B289" t="s">
        <v>114</v>
      </c>
      <c r="C289" t="s">
        <v>115</v>
      </c>
      <c r="D289" s="291">
        <v>3000000</v>
      </c>
      <c r="E289">
        <v>3000000</v>
      </c>
      <c r="F289" t="s">
        <v>116</v>
      </c>
      <c r="G289" t="s">
        <v>117</v>
      </c>
      <c r="H289" t="s">
        <v>118</v>
      </c>
      <c r="I289" s="197">
        <v>45954.791987731478</v>
      </c>
      <c r="J289" t="b">
        <v>0</v>
      </c>
      <c r="K289" t="s">
        <v>123</v>
      </c>
      <c r="L289" t="s">
        <v>1</v>
      </c>
      <c r="M289">
        <v>24</v>
      </c>
      <c r="N289">
        <v>10</v>
      </c>
      <c r="O289">
        <v>2025</v>
      </c>
      <c r="R289">
        <f>IF(wallet_records[[#This Row],[type]]="Gasto",wallet_records[[#This Row],[amount]]*(-1),wallet_records[[#This Row],[amount]])</f>
        <v>-3000000</v>
      </c>
    </row>
    <row r="290" spans="1:18" x14ac:dyDescent="0.2">
      <c r="A290" t="s">
        <v>525</v>
      </c>
      <c r="B290" t="s">
        <v>114</v>
      </c>
      <c r="C290" t="s">
        <v>115</v>
      </c>
      <c r="D290" s="291">
        <v>50000</v>
      </c>
      <c r="E290">
        <v>50000</v>
      </c>
      <c r="F290" t="s">
        <v>116</v>
      </c>
      <c r="G290" t="s">
        <v>117</v>
      </c>
      <c r="H290" t="s">
        <v>118</v>
      </c>
      <c r="I290" s="197">
        <v>45950.791895312497</v>
      </c>
      <c r="J290" t="b">
        <v>0</v>
      </c>
      <c r="K290" t="s">
        <v>123</v>
      </c>
      <c r="L290" t="s">
        <v>1</v>
      </c>
      <c r="M290">
        <v>20</v>
      </c>
      <c r="N290">
        <v>10</v>
      </c>
      <c r="O290">
        <v>2025</v>
      </c>
      <c r="R290">
        <f>IF(wallet_records[[#This Row],[type]]="Gasto",wallet_records[[#This Row],[amount]]*(-1),wallet_records[[#This Row],[amount]])</f>
        <v>-50000</v>
      </c>
    </row>
    <row r="291" spans="1:18" x14ac:dyDescent="0.2">
      <c r="A291" t="s">
        <v>525</v>
      </c>
      <c r="B291" t="s">
        <v>114</v>
      </c>
      <c r="C291" t="s">
        <v>115</v>
      </c>
      <c r="D291" s="291">
        <v>1000000</v>
      </c>
      <c r="E291">
        <v>1000000</v>
      </c>
      <c r="F291" t="s">
        <v>116</v>
      </c>
      <c r="G291" t="s">
        <v>117</v>
      </c>
      <c r="H291" t="s">
        <v>509</v>
      </c>
      <c r="I291" s="197">
        <v>45915.791666666664</v>
      </c>
      <c r="J291" t="b">
        <v>0</v>
      </c>
      <c r="K291" t="s">
        <v>5</v>
      </c>
      <c r="L291" t="s">
        <v>5</v>
      </c>
      <c r="M291">
        <v>15</v>
      </c>
      <c r="N291">
        <v>9</v>
      </c>
      <c r="O291">
        <v>2025</v>
      </c>
      <c r="R291">
        <f>IF(wallet_records[[#This Row],[type]]="Gasto",wallet_records[[#This Row],[amount]]*(-1),wallet_records[[#This Row],[amount]])</f>
        <v>-1000000</v>
      </c>
    </row>
    <row r="292" spans="1:18" x14ac:dyDescent="0.2">
      <c r="A292" t="s">
        <v>525</v>
      </c>
      <c r="B292" t="s">
        <v>114</v>
      </c>
      <c r="C292" t="s">
        <v>115</v>
      </c>
      <c r="D292" s="291">
        <v>1104400</v>
      </c>
      <c r="E292">
        <v>1104400</v>
      </c>
      <c r="F292" t="s">
        <v>116</v>
      </c>
      <c r="G292" t="s">
        <v>117</v>
      </c>
      <c r="H292" t="s">
        <v>118</v>
      </c>
      <c r="I292" s="197">
        <v>45903.791666666664</v>
      </c>
      <c r="J292" t="b">
        <v>0</v>
      </c>
      <c r="K292" t="s">
        <v>7</v>
      </c>
      <c r="L292" t="s">
        <v>7</v>
      </c>
      <c r="M292">
        <v>3</v>
      </c>
      <c r="N292">
        <v>9</v>
      </c>
      <c r="O292">
        <v>2025</v>
      </c>
      <c r="R292">
        <f>IF(wallet_records[[#This Row],[type]]="Gasto",wallet_records[[#This Row],[amount]]*(-1),wallet_records[[#This Row],[amount]])</f>
        <v>-1104400</v>
      </c>
    </row>
    <row r="293" spans="1:18" x14ac:dyDescent="0.2">
      <c r="A293" t="s">
        <v>525</v>
      </c>
      <c r="B293" t="s">
        <v>114</v>
      </c>
      <c r="C293" t="s">
        <v>115</v>
      </c>
      <c r="D293" s="291">
        <v>34500</v>
      </c>
      <c r="E293">
        <v>34500</v>
      </c>
      <c r="F293" t="s">
        <v>116</v>
      </c>
      <c r="G293" t="s">
        <v>117</v>
      </c>
      <c r="H293" t="s">
        <v>118</v>
      </c>
      <c r="I293" s="197">
        <v>45858.792308668984</v>
      </c>
      <c r="J293" t="b">
        <v>0</v>
      </c>
      <c r="K293" t="s">
        <v>123</v>
      </c>
      <c r="L293" t="s">
        <v>1</v>
      </c>
      <c r="M293">
        <v>20</v>
      </c>
      <c r="N293">
        <v>7</v>
      </c>
      <c r="O293">
        <v>2025</v>
      </c>
      <c r="R293">
        <f>IF(wallet_records[[#This Row],[type]]="Gasto",wallet_records[[#This Row],[amount]]*(-1),wallet_records[[#This Row],[amount]])</f>
        <v>-34500</v>
      </c>
    </row>
    <row r="294" spans="1:18" x14ac:dyDescent="0.2">
      <c r="A294" t="s">
        <v>525</v>
      </c>
      <c r="B294" t="s">
        <v>114</v>
      </c>
      <c r="C294" t="s">
        <v>115</v>
      </c>
      <c r="D294" s="291">
        <v>140000</v>
      </c>
      <c r="E294">
        <v>140000</v>
      </c>
      <c r="F294" t="s">
        <v>116</v>
      </c>
      <c r="G294" t="s">
        <v>117</v>
      </c>
      <c r="H294" t="s">
        <v>118</v>
      </c>
      <c r="I294" s="197">
        <v>45858.792222337965</v>
      </c>
      <c r="J294" t="b">
        <v>0</v>
      </c>
      <c r="K294" t="s">
        <v>123</v>
      </c>
      <c r="L294" t="s">
        <v>1</v>
      </c>
      <c r="M294">
        <v>20</v>
      </c>
      <c r="N294">
        <v>7</v>
      </c>
      <c r="O294">
        <v>2025</v>
      </c>
      <c r="R294">
        <f>IF(wallet_records[[#This Row],[type]]="Gasto",wallet_records[[#This Row],[amount]]*(-1),wallet_records[[#This Row],[amount]])</f>
        <v>-140000</v>
      </c>
    </row>
    <row r="295" spans="1:18" x14ac:dyDescent="0.2">
      <c r="A295" t="s">
        <v>525</v>
      </c>
      <c r="B295" t="s">
        <v>114</v>
      </c>
      <c r="C295" t="s">
        <v>115</v>
      </c>
      <c r="D295" s="291">
        <v>155000</v>
      </c>
      <c r="E295">
        <v>155000</v>
      </c>
      <c r="F295" t="s">
        <v>116</v>
      </c>
      <c r="G295" t="s">
        <v>117</v>
      </c>
      <c r="H295" t="s">
        <v>118</v>
      </c>
      <c r="I295" s="197">
        <v>45858.792120069447</v>
      </c>
      <c r="J295" t="b">
        <v>0</v>
      </c>
      <c r="K295" t="s">
        <v>123</v>
      </c>
      <c r="L295" t="s">
        <v>1</v>
      </c>
      <c r="M295">
        <v>20</v>
      </c>
      <c r="N295">
        <v>7</v>
      </c>
      <c r="O295">
        <v>2025</v>
      </c>
      <c r="R295">
        <f>IF(wallet_records[[#This Row],[type]]="Gasto",wallet_records[[#This Row],[amount]]*(-1),wallet_records[[#This Row],[amount]])</f>
        <v>-155000</v>
      </c>
    </row>
    <row r="296" spans="1:18" x14ac:dyDescent="0.2">
      <c r="A296" t="s">
        <v>525</v>
      </c>
      <c r="B296" t="s">
        <v>114</v>
      </c>
      <c r="C296" t="s">
        <v>115</v>
      </c>
      <c r="D296" s="291">
        <v>55000</v>
      </c>
      <c r="E296">
        <v>55000</v>
      </c>
      <c r="F296" t="s">
        <v>116</v>
      </c>
      <c r="G296" t="s">
        <v>117</v>
      </c>
      <c r="H296" t="s">
        <v>118</v>
      </c>
      <c r="I296" s="197">
        <v>45858.792117476849</v>
      </c>
      <c r="J296" t="b">
        <v>0</v>
      </c>
      <c r="K296" t="s">
        <v>123</v>
      </c>
      <c r="L296" t="s">
        <v>6</v>
      </c>
      <c r="M296">
        <v>20</v>
      </c>
      <c r="N296">
        <v>7</v>
      </c>
      <c r="O296">
        <v>2025</v>
      </c>
      <c r="R296">
        <f>IF(wallet_records[[#This Row],[type]]="Gasto",wallet_records[[#This Row],[amount]]*(-1),wallet_records[[#This Row],[amount]])</f>
        <v>-55000</v>
      </c>
    </row>
    <row r="297" spans="1:18" x14ac:dyDescent="0.2">
      <c r="A297" t="s">
        <v>525</v>
      </c>
      <c r="B297" t="s">
        <v>114</v>
      </c>
      <c r="C297" t="s">
        <v>115</v>
      </c>
      <c r="D297" s="291">
        <v>16200</v>
      </c>
      <c r="E297">
        <v>16200</v>
      </c>
      <c r="F297" t="s">
        <v>116</v>
      </c>
      <c r="G297" t="s">
        <v>117</v>
      </c>
      <c r="H297" t="s">
        <v>118</v>
      </c>
      <c r="I297" s="197">
        <v>45858.791721747686</v>
      </c>
      <c r="J297" t="b">
        <v>0</v>
      </c>
      <c r="K297" t="s">
        <v>123</v>
      </c>
      <c r="L297" t="s">
        <v>1</v>
      </c>
      <c r="M297">
        <v>20</v>
      </c>
      <c r="N297">
        <v>7</v>
      </c>
      <c r="O297">
        <v>2025</v>
      </c>
      <c r="R297">
        <f>IF(wallet_records[[#This Row],[type]]="Gasto",wallet_records[[#This Row],[amount]]*(-1),wallet_records[[#This Row],[amount]])</f>
        <v>-16200</v>
      </c>
    </row>
    <row r="298" spans="1:18" x14ac:dyDescent="0.2">
      <c r="A298" t="s">
        <v>525</v>
      </c>
      <c r="B298" t="s">
        <v>114</v>
      </c>
      <c r="C298" t="s">
        <v>115</v>
      </c>
      <c r="D298" s="291">
        <v>120000</v>
      </c>
      <c r="E298">
        <v>120000</v>
      </c>
      <c r="F298" t="s">
        <v>116</v>
      </c>
      <c r="G298" t="s">
        <v>117</v>
      </c>
      <c r="H298" t="s">
        <v>118</v>
      </c>
      <c r="I298" s="197">
        <v>45828.791898171294</v>
      </c>
      <c r="J298" t="b">
        <v>0</v>
      </c>
      <c r="K298" t="s">
        <v>123</v>
      </c>
      <c r="L298" t="s">
        <v>77</v>
      </c>
      <c r="M298">
        <v>20</v>
      </c>
      <c r="N298">
        <v>6</v>
      </c>
      <c r="O298">
        <v>2025</v>
      </c>
      <c r="R298">
        <f>IF(wallet_records[[#This Row],[type]]="Gasto",wallet_records[[#This Row],[amount]]*(-1),wallet_records[[#This Row],[amount]])</f>
        <v>-120000</v>
      </c>
    </row>
    <row r="299" spans="1:18" x14ac:dyDescent="0.2">
      <c r="A299" t="s">
        <v>525</v>
      </c>
      <c r="B299" t="s">
        <v>114</v>
      </c>
      <c r="C299" t="s">
        <v>115</v>
      </c>
      <c r="D299" s="291">
        <v>120000</v>
      </c>
      <c r="E299">
        <v>120000</v>
      </c>
      <c r="F299" t="s">
        <v>116</v>
      </c>
      <c r="G299" t="s">
        <v>117</v>
      </c>
      <c r="H299" t="s">
        <v>118</v>
      </c>
      <c r="I299" s="197">
        <v>45826.791983784722</v>
      </c>
      <c r="J299" t="b">
        <v>0</v>
      </c>
      <c r="K299" t="s">
        <v>123</v>
      </c>
      <c r="L299" t="s">
        <v>6</v>
      </c>
      <c r="M299">
        <v>18</v>
      </c>
      <c r="N299">
        <v>6</v>
      </c>
      <c r="O299">
        <v>2025</v>
      </c>
      <c r="R299">
        <f>IF(wallet_records[[#This Row],[type]]="Gasto",wallet_records[[#This Row],[amount]]*(-1),wallet_records[[#This Row],[amount]])</f>
        <v>-120000</v>
      </c>
    </row>
    <row r="300" spans="1:18" x14ac:dyDescent="0.2">
      <c r="A300" t="s">
        <v>525</v>
      </c>
      <c r="B300" t="s">
        <v>114</v>
      </c>
      <c r="C300" t="s">
        <v>115</v>
      </c>
      <c r="D300" s="291">
        <v>144700</v>
      </c>
      <c r="E300">
        <v>144700</v>
      </c>
      <c r="F300" t="s">
        <v>116</v>
      </c>
      <c r="G300" t="s">
        <v>117</v>
      </c>
      <c r="H300" t="s">
        <v>118</v>
      </c>
      <c r="I300" s="197">
        <v>45826.791778553241</v>
      </c>
      <c r="J300" t="b">
        <v>0</v>
      </c>
      <c r="K300" t="s">
        <v>123</v>
      </c>
      <c r="L300" t="s">
        <v>77</v>
      </c>
      <c r="M300">
        <v>18</v>
      </c>
      <c r="N300">
        <v>6</v>
      </c>
      <c r="O300">
        <v>2025</v>
      </c>
      <c r="R300">
        <f>IF(wallet_records[[#This Row],[type]]="Gasto",wallet_records[[#This Row],[amount]]*(-1),wallet_records[[#This Row],[amount]])</f>
        <v>-144700</v>
      </c>
    </row>
    <row r="301" spans="1:18" x14ac:dyDescent="0.2">
      <c r="A301" t="s">
        <v>525</v>
      </c>
      <c r="B301" t="s">
        <v>114</v>
      </c>
      <c r="C301" t="s">
        <v>115</v>
      </c>
      <c r="D301" s="291">
        <v>50000</v>
      </c>
      <c r="E301">
        <v>50000</v>
      </c>
      <c r="F301" t="s">
        <v>116</v>
      </c>
      <c r="G301" t="s">
        <v>117</v>
      </c>
      <c r="H301" t="s">
        <v>118</v>
      </c>
      <c r="I301" s="197">
        <v>45826.791671238425</v>
      </c>
      <c r="J301" t="b">
        <v>0</v>
      </c>
      <c r="K301" t="s">
        <v>123</v>
      </c>
      <c r="L301" t="s">
        <v>77</v>
      </c>
      <c r="M301">
        <v>18</v>
      </c>
      <c r="N301">
        <v>6</v>
      </c>
      <c r="O301">
        <v>2025</v>
      </c>
      <c r="R301">
        <f>IF(wallet_records[[#This Row],[type]]="Gasto",wallet_records[[#This Row],[amount]]*(-1),wallet_records[[#This Row],[amount]])</f>
        <v>-50000</v>
      </c>
    </row>
    <row r="302" spans="1:18" x14ac:dyDescent="0.2">
      <c r="A302" t="s">
        <v>525</v>
      </c>
      <c r="B302" t="s">
        <v>114</v>
      </c>
      <c r="C302" t="s">
        <v>115</v>
      </c>
      <c r="D302" s="291">
        <v>550000</v>
      </c>
      <c r="E302">
        <v>550000</v>
      </c>
      <c r="F302" t="s">
        <v>116</v>
      </c>
      <c r="G302" t="s">
        <v>117</v>
      </c>
      <c r="H302" t="s">
        <v>118</v>
      </c>
      <c r="I302" s="197">
        <v>45824.792258692127</v>
      </c>
      <c r="J302" t="b">
        <v>0</v>
      </c>
      <c r="K302" t="s">
        <v>123</v>
      </c>
      <c r="L302" t="s">
        <v>77</v>
      </c>
      <c r="M302">
        <v>16</v>
      </c>
      <c r="N302">
        <v>6</v>
      </c>
      <c r="O302">
        <v>2025</v>
      </c>
      <c r="R302">
        <f>IF(wallet_records[[#This Row],[type]]="Gasto",wallet_records[[#This Row],[amount]]*(-1),wallet_records[[#This Row],[amount]])</f>
        <v>-550000</v>
      </c>
    </row>
    <row r="303" spans="1:18" x14ac:dyDescent="0.2">
      <c r="A303" t="s">
        <v>525</v>
      </c>
      <c r="B303" t="s">
        <v>114</v>
      </c>
      <c r="C303" t="s">
        <v>115</v>
      </c>
      <c r="D303" s="291">
        <v>1109000</v>
      </c>
      <c r="E303">
        <v>1109000</v>
      </c>
      <c r="F303" t="s">
        <v>116</v>
      </c>
      <c r="G303" t="s">
        <v>117</v>
      </c>
      <c r="H303" t="s">
        <v>118</v>
      </c>
      <c r="I303" s="197">
        <v>45814.792017824075</v>
      </c>
      <c r="J303" t="b">
        <v>0</v>
      </c>
      <c r="K303" t="s">
        <v>123</v>
      </c>
      <c r="L303" t="s">
        <v>1</v>
      </c>
      <c r="M303">
        <v>6</v>
      </c>
      <c r="N303">
        <v>6</v>
      </c>
      <c r="O303">
        <v>2025</v>
      </c>
      <c r="R303">
        <f>IF(wallet_records[[#This Row],[type]]="Gasto",wallet_records[[#This Row],[amount]]*(-1),wallet_records[[#This Row],[amount]])</f>
        <v>-1109000</v>
      </c>
    </row>
    <row r="304" spans="1:18" x14ac:dyDescent="0.2">
      <c r="A304" t="s">
        <v>525</v>
      </c>
      <c r="B304" t="s">
        <v>114</v>
      </c>
      <c r="C304" t="s">
        <v>115</v>
      </c>
      <c r="D304" s="291">
        <v>22400</v>
      </c>
      <c r="E304">
        <v>22400</v>
      </c>
      <c r="F304" t="s">
        <v>116</v>
      </c>
      <c r="G304" t="s">
        <v>117</v>
      </c>
      <c r="H304" t="s">
        <v>118</v>
      </c>
      <c r="I304" s="197">
        <v>45812.792106643516</v>
      </c>
      <c r="J304" t="b">
        <v>0</v>
      </c>
      <c r="K304" t="s">
        <v>123</v>
      </c>
      <c r="L304" t="s">
        <v>46</v>
      </c>
      <c r="M304">
        <v>4</v>
      </c>
      <c r="N304">
        <v>6</v>
      </c>
      <c r="O304">
        <v>2025</v>
      </c>
      <c r="R304">
        <f>IF(wallet_records[[#This Row],[type]]="Gasto",wallet_records[[#This Row],[amount]]*(-1),wallet_records[[#This Row],[amount]])</f>
        <v>-22400</v>
      </c>
    </row>
    <row r="305" spans="1:18" x14ac:dyDescent="0.2">
      <c r="A305" t="s">
        <v>525</v>
      </c>
      <c r="B305" t="s">
        <v>114</v>
      </c>
      <c r="C305" t="s">
        <v>115</v>
      </c>
      <c r="D305" s="291">
        <v>100000</v>
      </c>
      <c r="E305">
        <v>100000</v>
      </c>
      <c r="F305" t="s">
        <v>116</v>
      </c>
      <c r="G305" t="s">
        <v>117</v>
      </c>
      <c r="H305" t="s">
        <v>118</v>
      </c>
      <c r="I305" s="197">
        <v>45812.791890057873</v>
      </c>
      <c r="J305" t="b">
        <v>0</v>
      </c>
      <c r="K305" t="s">
        <v>123</v>
      </c>
      <c r="L305" t="s">
        <v>46</v>
      </c>
      <c r="M305">
        <v>4</v>
      </c>
      <c r="N305">
        <v>6</v>
      </c>
      <c r="O305">
        <v>2025</v>
      </c>
      <c r="R305">
        <f>IF(wallet_records[[#This Row],[type]]="Gasto",wallet_records[[#This Row],[amount]]*(-1),wallet_records[[#This Row],[amount]])</f>
        <v>-100000</v>
      </c>
    </row>
    <row r="306" spans="1:18" x14ac:dyDescent="0.2">
      <c r="A306" t="s">
        <v>525</v>
      </c>
      <c r="B306" t="s">
        <v>114</v>
      </c>
      <c r="C306" t="s">
        <v>115</v>
      </c>
      <c r="D306" s="291">
        <v>103700</v>
      </c>
      <c r="E306">
        <v>103700</v>
      </c>
      <c r="F306" t="s">
        <v>116</v>
      </c>
      <c r="G306" t="s">
        <v>117</v>
      </c>
      <c r="H306" t="s">
        <v>118</v>
      </c>
      <c r="I306" s="197">
        <v>45811.791880567129</v>
      </c>
      <c r="J306" t="b">
        <v>0</v>
      </c>
      <c r="K306" t="s">
        <v>123</v>
      </c>
      <c r="L306" t="s">
        <v>6</v>
      </c>
      <c r="M306">
        <v>3</v>
      </c>
      <c r="N306">
        <v>6</v>
      </c>
      <c r="O306">
        <v>2025</v>
      </c>
      <c r="R306">
        <f>IF(wallet_records[[#This Row],[type]]="Gasto",wallet_records[[#This Row],[amount]]*(-1),wallet_records[[#This Row],[amount]])</f>
        <v>-103700</v>
      </c>
    </row>
    <row r="307" spans="1:18" x14ac:dyDescent="0.2">
      <c r="A307" t="s">
        <v>525</v>
      </c>
      <c r="B307" t="s">
        <v>114</v>
      </c>
      <c r="C307" t="s">
        <v>115</v>
      </c>
      <c r="D307" s="291">
        <v>22400</v>
      </c>
      <c r="E307">
        <v>22400</v>
      </c>
      <c r="F307" t="s">
        <v>116</v>
      </c>
      <c r="G307" t="s">
        <v>117</v>
      </c>
      <c r="H307" t="s">
        <v>118</v>
      </c>
      <c r="I307" s="197">
        <v>45811.791743831018</v>
      </c>
      <c r="J307" t="b">
        <v>0</v>
      </c>
      <c r="K307" t="s">
        <v>123</v>
      </c>
      <c r="L307" t="s">
        <v>46</v>
      </c>
      <c r="M307">
        <v>3</v>
      </c>
      <c r="N307">
        <v>6</v>
      </c>
      <c r="O307">
        <v>2025</v>
      </c>
      <c r="R307">
        <f>IF(wallet_records[[#This Row],[type]]="Gasto",wallet_records[[#This Row],[amount]]*(-1),wallet_records[[#This Row],[amount]])</f>
        <v>-22400</v>
      </c>
    </row>
    <row r="308" spans="1:18" x14ac:dyDescent="0.2">
      <c r="A308" t="s">
        <v>525</v>
      </c>
      <c r="B308" t="s">
        <v>114</v>
      </c>
      <c r="C308" t="s">
        <v>115</v>
      </c>
      <c r="D308" s="291">
        <v>2500000</v>
      </c>
      <c r="E308">
        <v>2500000</v>
      </c>
      <c r="F308" t="s">
        <v>116</v>
      </c>
      <c r="G308" t="s">
        <v>117</v>
      </c>
      <c r="H308" t="s">
        <v>118</v>
      </c>
      <c r="I308" s="197">
        <v>45779.79193579861</v>
      </c>
      <c r="J308" t="b">
        <v>0</v>
      </c>
      <c r="K308" t="s">
        <v>123</v>
      </c>
      <c r="L308" t="s">
        <v>1</v>
      </c>
      <c r="M308">
        <v>2</v>
      </c>
      <c r="N308">
        <v>5</v>
      </c>
      <c r="O308">
        <v>2025</v>
      </c>
      <c r="R308">
        <f>IF(wallet_records[[#This Row],[type]]="Gasto",wallet_records[[#This Row],[amount]]*(-1),wallet_records[[#This Row],[amount]])</f>
        <v>-2500000</v>
      </c>
    </row>
    <row r="309" spans="1:18" x14ac:dyDescent="0.2">
      <c r="A309" t="s">
        <v>525</v>
      </c>
      <c r="B309" t="s">
        <v>114</v>
      </c>
      <c r="C309" t="s">
        <v>115</v>
      </c>
      <c r="D309" s="291">
        <v>300000</v>
      </c>
      <c r="E309">
        <v>300000</v>
      </c>
      <c r="F309" t="s">
        <v>116</v>
      </c>
      <c r="G309" t="s">
        <v>117</v>
      </c>
      <c r="H309" t="s">
        <v>118</v>
      </c>
      <c r="I309" s="197">
        <v>45760.791820081016</v>
      </c>
      <c r="J309" t="b">
        <v>0</v>
      </c>
      <c r="K309" t="s">
        <v>123</v>
      </c>
      <c r="L309" t="s">
        <v>1</v>
      </c>
      <c r="M309">
        <v>13</v>
      </c>
      <c r="N309">
        <v>4</v>
      </c>
      <c r="O309">
        <v>2025</v>
      </c>
      <c r="R309">
        <f>IF(wallet_records[[#This Row],[type]]="Gasto",wallet_records[[#This Row],[amount]]*(-1),wallet_records[[#This Row],[amount]])</f>
        <v>-300000</v>
      </c>
    </row>
    <row r="310" spans="1:18" x14ac:dyDescent="0.2">
      <c r="A310" t="s">
        <v>525</v>
      </c>
      <c r="B310" t="s">
        <v>114</v>
      </c>
      <c r="C310" t="s">
        <v>115</v>
      </c>
      <c r="D310" s="291">
        <v>450000</v>
      </c>
      <c r="E310">
        <v>450000</v>
      </c>
      <c r="F310" t="s">
        <v>116</v>
      </c>
      <c r="G310" t="s">
        <v>117</v>
      </c>
      <c r="H310" t="s">
        <v>118</v>
      </c>
      <c r="I310" s="197">
        <v>45729.792315069448</v>
      </c>
      <c r="J310" t="b">
        <v>0</v>
      </c>
      <c r="K310" t="s">
        <v>123</v>
      </c>
      <c r="L310" t="s">
        <v>1</v>
      </c>
      <c r="M310">
        <v>13</v>
      </c>
      <c r="N310">
        <v>3</v>
      </c>
      <c r="O310">
        <v>2025</v>
      </c>
      <c r="R310">
        <f>IF(wallet_records[[#This Row],[type]]="Gasto",wallet_records[[#This Row],[amount]]*(-1),wallet_records[[#This Row],[amount]])</f>
        <v>-450000</v>
      </c>
    </row>
    <row r="311" spans="1:18" x14ac:dyDescent="0.2">
      <c r="A311" t="s">
        <v>525</v>
      </c>
      <c r="B311" t="s">
        <v>114</v>
      </c>
      <c r="C311" t="s">
        <v>115</v>
      </c>
      <c r="D311" s="291">
        <v>240000</v>
      </c>
      <c r="E311">
        <v>240000</v>
      </c>
      <c r="F311" t="s">
        <v>116</v>
      </c>
      <c r="G311" t="s">
        <v>117</v>
      </c>
      <c r="H311" t="s">
        <v>118</v>
      </c>
      <c r="I311" s="197">
        <v>45729.791716689811</v>
      </c>
      <c r="J311" t="b">
        <v>0</v>
      </c>
      <c r="K311" t="s">
        <v>123</v>
      </c>
      <c r="L311" t="s">
        <v>1</v>
      </c>
      <c r="M311">
        <v>13</v>
      </c>
      <c r="N311">
        <v>3</v>
      </c>
      <c r="O311">
        <v>2025</v>
      </c>
      <c r="R311">
        <f>IF(wallet_records[[#This Row],[type]]="Gasto",wallet_records[[#This Row],[amount]]*(-1),wallet_records[[#This Row],[amount]])</f>
        <v>-240000</v>
      </c>
    </row>
    <row r="312" spans="1:18" x14ac:dyDescent="0.2">
      <c r="A312" t="s">
        <v>525</v>
      </c>
      <c r="B312" t="s">
        <v>114</v>
      </c>
      <c r="C312" t="s">
        <v>115</v>
      </c>
      <c r="D312" s="291">
        <v>4522000</v>
      </c>
      <c r="E312">
        <v>4522000</v>
      </c>
      <c r="F312" t="s">
        <v>116</v>
      </c>
      <c r="G312" t="s">
        <v>117</v>
      </c>
      <c r="H312" t="s">
        <v>118</v>
      </c>
      <c r="I312" s="197">
        <v>45725.792277789355</v>
      </c>
      <c r="J312" t="b">
        <v>0</v>
      </c>
      <c r="K312" t="s">
        <v>123</v>
      </c>
      <c r="L312" t="s">
        <v>46</v>
      </c>
      <c r="M312">
        <v>9</v>
      </c>
      <c r="N312">
        <v>3</v>
      </c>
      <c r="O312">
        <v>2025</v>
      </c>
      <c r="R312">
        <f>IF(wallet_records[[#This Row],[type]]="Gasto",wallet_records[[#This Row],[amount]]*(-1),wallet_records[[#This Row],[amount]])</f>
        <v>-4522000</v>
      </c>
    </row>
    <row r="313" spans="1:18" x14ac:dyDescent="0.2">
      <c r="A313" t="s">
        <v>525</v>
      </c>
      <c r="B313" t="s">
        <v>114</v>
      </c>
      <c r="C313" t="s">
        <v>115</v>
      </c>
      <c r="D313" s="291">
        <v>600000</v>
      </c>
      <c r="E313">
        <v>600000</v>
      </c>
      <c r="F313" t="s">
        <v>116</v>
      </c>
      <c r="G313" t="s">
        <v>117</v>
      </c>
      <c r="H313" t="s">
        <v>118</v>
      </c>
      <c r="I313" s="197">
        <v>45669.791666666664</v>
      </c>
      <c r="J313" t="b">
        <v>0</v>
      </c>
      <c r="K313" t="s">
        <v>1</v>
      </c>
      <c r="L313" t="s">
        <v>1</v>
      </c>
      <c r="M313">
        <v>12</v>
      </c>
      <c r="N313">
        <v>1</v>
      </c>
      <c r="O313">
        <v>2025</v>
      </c>
      <c r="R313">
        <f>IF(wallet_records[[#This Row],[type]]="Gasto",wallet_records[[#This Row],[amount]]*(-1),wallet_records[[#This Row],[amount]])</f>
        <v>-600000</v>
      </c>
    </row>
    <row r="314" spans="1:18" x14ac:dyDescent="0.2">
      <c r="A314" t="s">
        <v>525</v>
      </c>
      <c r="B314" t="s">
        <v>114</v>
      </c>
      <c r="C314" t="s">
        <v>115</v>
      </c>
      <c r="D314" s="291">
        <v>100000</v>
      </c>
      <c r="E314">
        <v>100000</v>
      </c>
      <c r="F314" t="s">
        <v>116</v>
      </c>
      <c r="G314" t="s">
        <v>117</v>
      </c>
      <c r="H314" t="s">
        <v>118</v>
      </c>
      <c r="I314" s="197">
        <v>45668.791666666664</v>
      </c>
      <c r="J314" t="b">
        <v>0</v>
      </c>
      <c r="K314" t="s">
        <v>1</v>
      </c>
      <c r="L314" t="s">
        <v>1</v>
      </c>
      <c r="M314">
        <v>11</v>
      </c>
      <c r="N314">
        <v>1</v>
      </c>
      <c r="O314">
        <v>2025</v>
      </c>
      <c r="R314">
        <f>IF(wallet_records[[#This Row],[type]]="Gasto",wallet_records[[#This Row],[amount]]*(-1),wallet_records[[#This Row],[amount]])</f>
        <v>-100000</v>
      </c>
    </row>
    <row r="315" spans="1:18" x14ac:dyDescent="0.2">
      <c r="A315" t="s">
        <v>525</v>
      </c>
      <c r="B315" t="s">
        <v>114</v>
      </c>
      <c r="C315" t="s">
        <v>115</v>
      </c>
      <c r="D315" s="291">
        <v>64000</v>
      </c>
      <c r="E315">
        <v>64000</v>
      </c>
      <c r="F315" t="s">
        <v>116</v>
      </c>
      <c r="G315" t="s">
        <v>117</v>
      </c>
      <c r="H315" t="s">
        <v>118</v>
      </c>
      <c r="I315" s="197">
        <v>45667.791666666664</v>
      </c>
      <c r="J315" t="b">
        <v>0</v>
      </c>
      <c r="K315" t="s">
        <v>1</v>
      </c>
      <c r="L315" t="s">
        <v>1</v>
      </c>
      <c r="M315">
        <v>10</v>
      </c>
      <c r="N315">
        <v>1</v>
      </c>
      <c r="O315">
        <v>2025</v>
      </c>
      <c r="R315">
        <f>IF(wallet_records[[#This Row],[type]]="Gasto",wallet_records[[#This Row],[amount]]*(-1),wallet_records[[#This Row],[amount]])</f>
        <v>-64000</v>
      </c>
    </row>
    <row r="316" spans="1:18" x14ac:dyDescent="0.2">
      <c r="A316" t="s">
        <v>525</v>
      </c>
      <c r="B316" t="s">
        <v>114</v>
      </c>
      <c r="C316" t="s">
        <v>115</v>
      </c>
      <c r="D316" s="291">
        <v>100000</v>
      </c>
      <c r="E316">
        <v>100000</v>
      </c>
      <c r="F316" t="s">
        <v>116</v>
      </c>
      <c r="G316" t="s">
        <v>117</v>
      </c>
      <c r="H316" t="s">
        <v>118</v>
      </c>
      <c r="I316" s="197">
        <v>45667.791666666664</v>
      </c>
      <c r="J316" t="b">
        <v>0</v>
      </c>
      <c r="K316" t="s">
        <v>1</v>
      </c>
      <c r="L316" t="s">
        <v>1</v>
      </c>
      <c r="M316">
        <v>10</v>
      </c>
      <c r="N316">
        <v>1</v>
      </c>
      <c r="O316">
        <v>2025</v>
      </c>
      <c r="R316">
        <f>IF(wallet_records[[#This Row],[type]]="Gasto",wallet_records[[#This Row],[amount]]*(-1),wallet_records[[#This Row],[amount]])</f>
        <v>-100000</v>
      </c>
    </row>
    <row r="317" spans="1:18" x14ac:dyDescent="0.2">
      <c r="A317" t="s">
        <v>525</v>
      </c>
      <c r="B317" t="s">
        <v>114</v>
      </c>
      <c r="C317" t="s">
        <v>115</v>
      </c>
      <c r="D317" s="291">
        <v>100000</v>
      </c>
      <c r="E317">
        <v>100000</v>
      </c>
      <c r="F317" t="s">
        <v>116</v>
      </c>
      <c r="G317" t="s">
        <v>117</v>
      </c>
      <c r="H317" t="s">
        <v>118</v>
      </c>
      <c r="I317" s="197">
        <v>45665.791666666664</v>
      </c>
      <c r="J317" t="b">
        <v>0</v>
      </c>
      <c r="K317" t="s">
        <v>1</v>
      </c>
      <c r="L317" t="s">
        <v>1</v>
      </c>
      <c r="M317">
        <v>8</v>
      </c>
      <c r="N317">
        <v>1</v>
      </c>
      <c r="O317">
        <v>2025</v>
      </c>
      <c r="R317">
        <f>IF(wallet_records[[#This Row],[type]]="Gasto",wallet_records[[#This Row],[amount]]*(-1),wallet_records[[#This Row],[amount]])</f>
        <v>-100000</v>
      </c>
    </row>
    <row r="318" spans="1:18" x14ac:dyDescent="0.2">
      <c r="A318" t="s">
        <v>525</v>
      </c>
      <c r="B318" t="s">
        <v>114</v>
      </c>
      <c r="C318" t="s">
        <v>115</v>
      </c>
      <c r="D318" s="291">
        <v>1918100</v>
      </c>
      <c r="E318">
        <v>1918100</v>
      </c>
      <c r="F318" t="s">
        <v>116</v>
      </c>
      <c r="G318" t="s">
        <v>117</v>
      </c>
      <c r="H318" t="s">
        <v>118</v>
      </c>
      <c r="I318" s="197">
        <v>45664.791666666664</v>
      </c>
      <c r="J318" t="b">
        <v>0</v>
      </c>
      <c r="K318" t="s">
        <v>1</v>
      </c>
      <c r="L318" t="s">
        <v>1</v>
      </c>
      <c r="M318">
        <v>7</v>
      </c>
      <c r="N318">
        <v>1</v>
      </c>
      <c r="O318">
        <v>2025</v>
      </c>
      <c r="R318">
        <f>IF(wallet_records[[#This Row],[type]]="Gasto",wallet_records[[#This Row],[amount]]*(-1),wallet_records[[#This Row],[amount]])</f>
        <v>-1918100</v>
      </c>
    </row>
    <row r="319" spans="1:18" x14ac:dyDescent="0.2">
      <c r="A319" t="s">
        <v>525</v>
      </c>
      <c r="B319" t="s">
        <v>114</v>
      </c>
      <c r="C319" t="s">
        <v>115</v>
      </c>
      <c r="D319" s="291">
        <v>106700</v>
      </c>
      <c r="E319">
        <v>106700</v>
      </c>
      <c r="F319" t="s">
        <v>116</v>
      </c>
      <c r="G319" t="s">
        <v>117</v>
      </c>
      <c r="H319" t="s">
        <v>118</v>
      </c>
      <c r="I319" s="197">
        <v>45664.791666666664</v>
      </c>
      <c r="J319" t="b">
        <v>0</v>
      </c>
      <c r="K319" t="s">
        <v>1</v>
      </c>
      <c r="L319" t="s">
        <v>1</v>
      </c>
      <c r="M319">
        <v>7</v>
      </c>
      <c r="N319">
        <v>1</v>
      </c>
      <c r="O319">
        <v>2025</v>
      </c>
      <c r="R319">
        <f>IF(wallet_records[[#This Row],[type]]="Gasto",wallet_records[[#This Row],[amount]]*(-1),wallet_records[[#This Row],[amount]])</f>
        <v>-106700</v>
      </c>
    </row>
    <row r="320" spans="1:18" x14ac:dyDescent="0.2">
      <c r="A320" t="s">
        <v>525</v>
      </c>
      <c r="B320" t="s">
        <v>114</v>
      </c>
      <c r="C320" t="s">
        <v>115</v>
      </c>
      <c r="D320" s="291">
        <v>45000</v>
      </c>
      <c r="E320">
        <v>45000</v>
      </c>
      <c r="F320" t="s">
        <v>116</v>
      </c>
      <c r="G320" t="s">
        <v>117</v>
      </c>
      <c r="H320" t="s">
        <v>118</v>
      </c>
      <c r="I320" s="197">
        <v>45664.791666666664</v>
      </c>
      <c r="J320" t="b">
        <v>0</v>
      </c>
      <c r="K320" t="s">
        <v>1</v>
      </c>
      <c r="L320" t="s">
        <v>1</v>
      </c>
      <c r="M320">
        <v>7</v>
      </c>
      <c r="N320">
        <v>1</v>
      </c>
      <c r="O320">
        <v>2025</v>
      </c>
      <c r="R320">
        <f>IF(wallet_records[[#This Row],[type]]="Gasto",wallet_records[[#This Row],[amount]]*(-1),wallet_records[[#This Row],[amount]])</f>
        <v>-45000</v>
      </c>
    </row>
    <row r="321" spans="1:18" x14ac:dyDescent="0.2">
      <c r="A321" t="s">
        <v>525</v>
      </c>
      <c r="B321" t="s">
        <v>114</v>
      </c>
      <c r="C321" t="s">
        <v>115</v>
      </c>
      <c r="D321" s="291">
        <v>33900</v>
      </c>
      <c r="E321">
        <v>33900</v>
      </c>
      <c r="F321" t="s">
        <v>116</v>
      </c>
      <c r="G321" t="s">
        <v>117</v>
      </c>
      <c r="H321" t="s">
        <v>118</v>
      </c>
      <c r="I321" s="197">
        <v>45663.791666666664</v>
      </c>
      <c r="J321" t="b">
        <v>0</v>
      </c>
      <c r="K321" t="s">
        <v>1</v>
      </c>
      <c r="L321" t="s">
        <v>1</v>
      </c>
      <c r="M321">
        <v>6</v>
      </c>
      <c r="N321">
        <v>1</v>
      </c>
      <c r="O321">
        <v>2025</v>
      </c>
      <c r="R321">
        <f>IF(wallet_records[[#This Row],[type]]="Gasto",wallet_records[[#This Row],[amount]]*(-1),wallet_records[[#This Row],[amount]])</f>
        <v>-33900</v>
      </c>
    </row>
    <row r="322" spans="1:18" x14ac:dyDescent="0.2">
      <c r="A322" t="s">
        <v>525</v>
      </c>
      <c r="B322" t="s">
        <v>114</v>
      </c>
      <c r="C322" t="s">
        <v>115</v>
      </c>
      <c r="D322" s="291">
        <v>95100</v>
      </c>
      <c r="E322">
        <v>95100</v>
      </c>
      <c r="F322" t="s">
        <v>116</v>
      </c>
      <c r="G322" t="s">
        <v>117</v>
      </c>
      <c r="H322" t="s">
        <v>118</v>
      </c>
      <c r="I322" s="197">
        <v>45663.791666666664</v>
      </c>
      <c r="J322" t="b">
        <v>0</v>
      </c>
      <c r="K322" t="s">
        <v>1</v>
      </c>
      <c r="L322" t="s">
        <v>1</v>
      </c>
      <c r="M322">
        <v>6</v>
      </c>
      <c r="N322">
        <v>1</v>
      </c>
      <c r="O322">
        <v>2025</v>
      </c>
      <c r="R322">
        <f>IF(wallet_records[[#This Row],[type]]="Gasto",wallet_records[[#This Row],[amount]]*(-1),wallet_records[[#This Row],[amount]])</f>
        <v>-95100</v>
      </c>
    </row>
    <row r="323" spans="1:18" x14ac:dyDescent="0.2">
      <c r="A323" t="s">
        <v>525</v>
      </c>
      <c r="B323" t="s">
        <v>114</v>
      </c>
      <c r="C323" t="s">
        <v>115</v>
      </c>
      <c r="D323" s="291">
        <v>150000</v>
      </c>
      <c r="E323">
        <v>150000</v>
      </c>
      <c r="F323" t="s">
        <v>116</v>
      </c>
      <c r="G323" t="s">
        <v>117</v>
      </c>
      <c r="H323" t="s">
        <v>118</v>
      </c>
      <c r="I323" s="197">
        <v>45663.791666666664</v>
      </c>
      <c r="J323" t="b">
        <v>0</v>
      </c>
      <c r="K323" t="s">
        <v>1</v>
      </c>
      <c r="L323" t="s">
        <v>1</v>
      </c>
      <c r="M323">
        <v>6</v>
      </c>
      <c r="N323">
        <v>1</v>
      </c>
      <c r="O323">
        <v>2025</v>
      </c>
      <c r="R323">
        <f>IF(wallet_records[[#This Row],[type]]="Gasto",wallet_records[[#This Row],[amount]]*(-1),wallet_records[[#This Row],[amount]])</f>
        <v>-150000</v>
      </c>
    </row>
    <row r="324" spans="1:18" x14ac:dyDescent="0.2">
      <c r="A324" t="s">
        <v>525</v>
      </c>
      <c r="B324" t="s">
        <v>114</v>
      </c>
      <c r="C324" t="s">
        <v>115</v>
      </c>
      <c r="D324" s="291">
        <v>1000000</v>
      </c>
      <c r="E324">
        <v>1000000</v>
      </c>
      <c r="F324" t="s">
        <v>116</v>
      </c>
      <c r="G324" t="s">
        <v>117</v>
      </c>
      <c r="H324" t="s">
        <v>118</v>
      </c>
      <c r="I324" s="197">
        <v>45660.791666666664</v>
      </c>
      <c r="J324" t="b">
        <v>0</v>
      </c>
      <c r="K324" t="s">
        <v>1</v>
      </c>
      <c r="L324" t="s">
        <v>1</v>
      </c>
      <c r="M324">
        <v>3</v>
      </c>
      <c r="N324">
        <v>1</v>
      </c>
      <c r="O324">
        <v>2025</v>
      </c>
      <c r="R324">
        <f>IF(wallet_records[[#This Row],[type]]="Gasto",wallet_records[[#This Row],[amount]]*(-1),wallet_records[[#This Row],[amount]])</f>
        <v>-1000000</v>
      </c>
    </row>
    <row r="325" spans="1:18" x14ac:dyDescent="0.2">
      <c r="A325" t="s">
        <v>525</v>
      </c>
      <c r="B325" t="s">
        <v>114</v>
      </c>
      <c r="C325" t="s">
        <v>115</v>
      </c>
      <c r="D325" s="291">
        <v>432800</v>
      </c>
      <c r="E325">
        <v>432800</v>
      </c>
      <c r="F325" t="s">
        <v>116</v>
      </c>
      <c r="G325" t="s">
        <v>117</v>
      </c>
      <c r="H325" t="s">
        <v>118</v>
      </c>
      <c r="I325" s="197">
        <v>45660.791666666664</v>
      </c>
      <c r="J325" t="b">
        <v>0</v>
      </c>
      <c r="K325" t="s">
        <v>1</v>
      </c>
      <c r="L325" t="s">
        <v>1</v>
      </c>
      <c r="M325">
        <v>3</v>
      </c>
      <c r="N325">
        <v>1</v>
      </c>
      <c r="O325">
        <v>2025</v>
      </c>
      <c r="R325">
        <f>IF(wallet_records[[#This Row],[type]]="Gasto",wallet_records[[#This Row],[amount]]*(-1),wallet_records[[#This Row],[amount]])</f>
        <v>-432800</v>
      </c>
    </row>
    <row r="326" spans="1:18" x14ac:dyDescent="0.2">
      <c r="A326" t="s">
        <v>524</v>
      </c>
      <c r="B326" t="s">
        <v>114</v>
      </c>
      <c r="C326" t="s">
        <v>115</v>
      </c>
      <c r="D326" s="291">
        <v>298492.71999999997</v>
      </c>
      <c r="E326">
        <v>298492.71999999997</v>
      </c>
      <c r="F326" t="s">
        <v>116</v>
      </c>
      <c r="G326" t="s">
        <v>117</v>
      </c>
      <c r="H326" t="s">
        <v>92</v>
      </c>
      <c r="I326" s="197">
        <v>45660.791666666664</v>
      </c>
      <c r="J326" t="b">
        <v>0</v>
      </c>
      <c r="K326" t="s">
        <v>3</v>
      </c>
      <c r="L326" t="s">
        <v>3</v>
      </c>
      <c r="M326">
        <v>3</v>
      </c>
      <c r="N326">
        <v>1</v>
      </c>
      <c r="O326">
        <v>2025</v>
      </c>
      <c r="R326">
        <f>IF(wallet_records[[#This Row],[type]]="Gasto",wallet_records[[#This Row],[amount]]*(-1),wallet_records[[#This Row],[amount]])</f>
        <v>-298492.71999999997</v>
      </c>
    </row>
    <row r="327" spans="1:18" x14ac:dyDescent="0.2">
      <c r="A327" t="s">
        <v>525</v>
      </c>
      <c r="B327" t="s">
        <v>114</v>
      </c>
      <c r="C327" t="s">
        <v>115</v>
      </c>
      <c r="D327" s="291">
        <v>130000</v>
      </c>
      <c r="E327">
        <v>130000</v>
      </c>
      <c r="F327" t="s">
        <v>116</v>
      </c>
      <c r="G327" t="s">
        <v>117</v>
      </c>
      <c r="H327" t="s">
        <v>118</v>
      </c>
      <c r="I327" s="197">
        <v>45659.791666666664</v>
      </c>
      <c r="J327" t="b">
        <v>0</v>
      </c>
      <c r="K327" t="s">
        <v>1</v>
      </c>
      <c r="L327" t="s">
        <v>1</v>
      </c>
      <c r="M327">
        <v>2</v>
      </c>
      <c r="N327">
        <v>1</v>
      </c>
      <c r="O327">
        <v>2025</v>
      </c>
      <c r="R327">
        <f>IF(wallet_records[[#This Row],[type]]="Gasto",wallet_records[[#This Row],[amount]]*(-1),wallet_records[[#This Row],[amount]])</f>
        <v>-130000</v>
      </c>
    </row>
    <row r="328" spans="1:18" x14ac:dyDescent="0.2">
      <c r="A328" t="s">
        <v>525</v>
      </c>
      <c r="B328" t="s">
        <v>114</v>
      </c>
      <c r="C328" t="s">
        <v>115</v>
      </c>
      <c r="D328" s="291">
        <v>788600</v>
      </c>
      <c r="E328">
        <v>788600</v>
      </c>
      <c r="F328" t="s">
        <v>116</v>
      </c>
      <c r="G328" t="s">
        <v>117</v>
      </c>
      <c r="H328" t="s">
        <v>118</v>
      </c>
      <c r="I328" s="197">
        <v>45658.792037638887</v>
      </c>
      <c r="J328" t="b">
        <v>0</v>
      </c>
      <c r="K328" t="s">
        <v>123</v>
      </c>
      <c r="L328" t="s">
        <v>1</v>
      </c>
      <c r="M328">
        <v>1</v>
      </c>
      <c r="N328">
        <v>1</v>
      </c>
      <c r="O328">
        <v>2025</v>
      </c>
      <c r="R328">
        <f>IF(wallet_records[[#This Row],[type]]="Gasto",wallet_records[[#This Row],[amount]]*(-1),wallet_records[[#This Row],[amount]])</f>
        <v>-788600</v>
      </c>
    </row>
    <row r="329" spans="1:18" x14ac:dyDescent="0.2">
      <c r="A329" t="s">
        <v>525</v>
      </c>
      <c r="B329" t="s">
        <v>114</v>
      </c>
      <c r="C329" t="s">
        <v>115</v>
      </c>
      <c r="D329" s="291">
        <v>357499.67</v>
      </c>
      <c r="E329">
        <v>357499.67</v>
      </c>
      <c r="F329" t="s">
        <v>116</v>
      </c>
      <c r="G329" t="s">
        <v>117</v>
      </c>
      <c r="H329" t="s">
        <v>118</v>
      </c>
      <c r="I329" s="197">
        <v>45658.791987951387</v>
      </c>
      <c r="J329" t="b">
        <v>0</v>
      </c>
      <c r="K329" t="s">
        <v>123</v>
      </c>
      <c r="L329" t="s">
        <v>1</v>
      </c>
      <c r="M329">
        <v>1</v>
      </c>
      <c r="N329">
        <v>1</v>
      </c>
      <c r="O329">
        <v>2025</v>
      </c>
      <c r="R329">
        <f>IF(wallet_records[[#This Row],[type]]="Gasto",wallet_records[[#This Row],[amount]]*(-1),wallet_records[[#This Row],[amount]])</f>
        <v>-357499.67</v>
      </c>
    </row>
    <row r="330" spans="1:18" x14ac:dyDescent="0.2">
      <c r="A330" t="s">
        <v>525</v>
      </c>
      <c r="B330" t="s">
        <v>114</v>
      </c>
      <c r="C330" t="s">
        <v>115</v>
      </c>
      <c r="D330" s="291">
        <v>1103138</v>
      </c>
      <c r="E330">
        <v>1103138</v>
      </c>
      <c r="F330" t="s">
        <v>116</v>
      </c>
      <c r="G330" t="s">
        <v>117</v>
      </c>
      <c r="H330" t="s">
        <v>118</v>
      </c>
      <c r="I330" s="197">
        <v>45658.791666666664</v>
      </c>
      <c r="J330" t="b">
        <v>0</v>
      </c>
      <c r="K330" t="s">
        <v>1</v>
      </c>
      <c r="L330" t="s">
        <v>1</v>
      </c>
      <c r="M330">
        <v>1</v>
      </c>
      <c r="N330">
        <v>1</v>
      </c>
      <c r="O330">
        <v>2025</v>
      </c>
      <c r="R330">
        <f>IF(wallet_records[[#This Row],[type]]="Gasto",wallet_records[[#This Row],[amount]]*(-1),wallet_records[[#This Row],[amount]])</f>
        <v>-1103138</v>
      </c>
    </row>
    <row r="331" spans="1:18" x14ac:dyDescent="0.2">
      <c r="A331" t="s">
        <v>127</v>
      </c>
      <c r="B331" t="s">
        <v>130</v>
      </c>
      <c r="C331" t="s">
        <v>115</v>
      </c>
      <c r="D331" s="291">
        <v>1715000</v>
      </c>
      <c r="E331">
        <v>1715000</v>
      </c>
      <c r="F331" t="s">
        <v>121</v>
      </c>
      <c r="G331" t="s">
        <v>117</v>
      </c>
      <c r="H331" t="s">
        <v>506</v>
      </c>
      <c r="I331" s="197">
        <v>46008.792299432869</v>
      </c>
      <c r="J331" t="b">
        <v>0</v>
      </c>
      <c r="K331" t="s">
        <v>543</v>
      </c>
      <c r="L331" t="s">
        <v>77</v>
      </c>
      <c r="M331">
        <v>17</v>
      </c>
      <c r="N331">
        <v>12</v>
      </c>
      <c r="O331">
        <v>2025</v>
      </c>
      <c r="R331">
        <f>IF(wallet_records[[#This Row],[type]]="Gasto",wallet_records[[#This Row],[amount]]*(-1),wallet_records[[#This Row],[amount]])</f>
        <v>1715000</v>
      </c>
    </row>
    <row r="332" spans="1:18" x14ac:dyDescent="0.2">
      <c r="A332" t="s">
        <v>127</v>
      </c>
      <c r="B332" t="s">
        <v>130</v>
      </c>
      <c r="C332" t="s">
        <v>115</v>
      </c>
      <c r="D332" s="291">
        <v>500000</v>
      </c>
      <c r="E332">
        <v>500000</v>
      </c>
      <c r="F332" t="s">
        <v>121</v>
      </c>
      <c r="G332" t="s">
        <v>117</v>
      </c>
      <c r="H332" t="s">
        <v>507</v>
      </c>
      <c r="I332" s="197">
        <v>46008.792168518521</v>
      </c>
      <c r="J332" t="b">
        <v>0</v>
      </c>
      <c r="K332" t="s">
        <v>544</v>
      </c>
      <c r="L332" t="s">
        <v>6</v>
      </c>
      <c r="M332">
        <v>17</v>
      </c>
      <c r="N332">
        <v>12</v>
      </c>
      <c r="O332">
        <v>2025</v>
      </c>
      <c r="R332">
        <f>IF(wallet_records[[#This Row],[type]]="Gasto",wallet_records[[#This Row],[amount]]*(-1),wallet_records[[#This Row],[amount]])</f>
        <v>500000</v>
      </c>
    </row>
    <row r="333" spans="1:18" x14ac:dyDescent="0.2">
      <c r="A333" t="s">
        <v>127</v>
      </c>
      <c r="B333" t="s">
        <v>130</v>
      </c>
      <c r="C333" t="s">
        <v>115</v>
      </c>
      <c r="D333" s="291">
        <v>3144600</v>
      </c>
      <c r="E333">
        <v>3144600</v>
      </c>
      <c r="F333" t="s">
        <v>121</v>
      </c>
      <c r="G333" t="s">
        <v>117</v>
      </c>
      <c r="H333" t="s">
        <v>135</v>
      </c>
      <c r="I333" s="197">
        <v>46008.791906666665</v>
      </c>
      <c r="J333" t="b">
        <v>0</v>
      </c>
      <c r="K333" t="s">
        <v>539</v>
      </c>
      <c r="L333" t="s">
        <v>46</v>
      </c>
      <c r="M333">
        <v>17</v>
      </c>
      <c r="N333">
        <v>12</v>
      </c>
      <c r="O333">
        <v>2025</v>
      </c>
      <c r="R333">
        <f>IF(wallet_records[[#This Row],[type]]="Gasto",wallet_records[[#This Row],[amount]]*(-1),wallet_records[[#This Row],[amount]])</f>
        <v>3144600</v>
      </c>
    </row>
    <row r="334" spans="1:18" x14ac:dyDescent="0.2">
      <c r="A334" t="s">
        <v>127</v>
      </c>
      <c r="B334" t="s">
        <v>130</v>
      </c>
      <c r="C334" t="s">
        <v>115</v>
      </c>
      <c r="D334" s="291">
        <v>881000</v>
      </c>
      <c r="E334">
        <v>881000</v>
      </c>
      <c r="F334" t="s">
        <v>121</v>
      </c>
      <c r="G334" t="s">
        <v>117</v>
      </c>
      <c r="H334" t="s">
        <v>134</v>
      </c>
      <c r="I334" s="197">
        <v>46008.791666666664</v>
      </c>
      <c r="J334" t="b">
        <v>0</v>
      </c>
      <c r="K334" t="s">
        <v>7</v>
      </c>
      <c r="L334" t="s">
        <v>7</v>
      </c>
      <c r="M334">
        <v>17</v>
      </c>
      <c r="N334">
        <v>12</v>
      </c>
      <c r="O334">
        <v>2025</v>
      </c>
      <c r="R334">
        <f>IF(wallet_records[[#This Row],[type]]="Gasto",wallet_records[[#This Row],[amount]]*(-1),wallet_records[[#This Row],[amount]])</f>
        <v>881000</v>
      </c>
    </row>
    <row r="335" spans="1:18" x14ac:dyDescent="0.2">
      <c r="A335" t="s">
        <v>127</v>
      </c>
      <c r="B335" t="s">
        <v>130</v>
      </c>
      <c r="C335" t="s">
        <v>115</v>
      </c>
      <c r="D335" s="291">
        <v>1650000</v>
      </c>
      <c r="E335">
        <v>1650000</v>
      </c>
      <c r="F335" t="s">
        <v>121</v>
      </c>
      <c r="G335" t="s">
        <v>117</v>
      </c>
      <c r="H335" t="s">
        <v>142</v>
      </c>
      <c r="I335" s="197">
        <v>46005.792169594904</v>
      </c>
      <c r="J335" t="b">
        <v>0</v>
      </c>
      <c r="K335" t="s">
        <v>540</v>
      </c>
      <c r="L335" t="s">
        <v>1</v>
      </c>
      <c r="M335">
        <v>14</v>
      </c>
      <c r="N335">
        <v>12</v>
      </c>
      <c r="O335">
        <v>2025</v>
      </c>
      <c r="R335">
        <f>IF(wallet_records[[#This Row],[type]]="Gasto",wallet_records[[#This Row],[amount]]*(-1),wallet_records[[#This Row],[amount]])</f>
        <v>1650000</v>
      </c>
    </row>
    <row r="336" spans="1:18" x14ac:dyDescent="0.2">
      <c r="A336" t="s">
        <v>127</v>
      </c>
      <c r="B336" t="s">
        <v>130</v>
      </c>
      <c r="C336" t="s">
        <v>115</v>
      </c>
      <c r="D336" s="291">
        <v>1520000</v>
      </c>
      <c r="E336">
        <v>1520000</v>
      </c>
      <c r="F336" t="s">
        <v>121</v>
      </c>
      <c r="G336" t="s">
        <v>117</v>
      </c>
      <c r="H336" t="s">
        <v>141</v>
      </c>
      <c r="I336" s="197">
        <v>46005.791761053239</v>
      </c>
      <c r="J336" t="b">
        <v>0</v>
      </c>
      <c r="K336" t="s">
        <v>541</v>
      </c>
      <c r="L336" t="s">
        <v>0</v>
      </c>
      <c r="M336">
        <v>14</v>
      </c>
      <c r="N336">
        <v>12</v>
      </c>
      <c r="O336">
        <v>2025</v>
      </c>
      <c r="R336">
        <f>IF(wallet_records[[#This Row],[type]]="Gasto",wallet_records[[#This Row],[amount]]*(-1),wallet_records[[#This Row],[amount]])</f>
        <v>1520000</v>
      </c>
    </row>
    <row r="337" spans="1:18" x14ac:dyDescent="0.2">
      <c r="A337" t="s">
        <v>127</v>
      </c>
      <c r="B337" t="s">
        <v>130</v>
      </c>
      <c r="C337" t="s">
        <v>115</v>
      </c>
      <c r="D337" s="291">
        <v>1715000</v>
      </c>
      <c r="E337">
        <v>1715000</v>
      </c>
      <c r="F337" t="s">
        <v>121</v>
      </c>
      <c r="G337" t="s">
        <v>117</v>
      </c>
      <c r="H337" t="s">
        <v>143</v>
      </c>
      <c r="I337" s="197">
        <v>45996.791735069448</v>
      </c>
      <c r="J337" t="b">
        <v>0</v>
      </c>
      <c r="K337" t="s">
        <v>543</v>
      </c>
      <c r="L337" t="s">
        <v>77</v>
      </c>
      <c r="M337">
        <v>5</v>
      </c>
      <c r="N337">
        <v>12</v>
      </c>
      <c r="O337">
        <v>2025</v>
      </c>
      <c r="R337">
        <f>IF(wallet_records[[#This Row],[type]]="Gasto",wallet_records[[#This Row],[amount]]*(-1),wallet_records[[#This Row],[amount]])</f>
        <v>1715000</v>
      </c>
    </row>
    <row r="338" spans="1:18" x14ac:dyDescent="0.2">
      <c r="A338" t="s">
        <v>127</v>
      </c>
      <c r="B338" t="s">
        <v>130</v>
      </c>
      <c r="C338" t="s">
        <v>115</v>
      </c>
      <c r="D338" s="291">
        <v>500000</v>
      </c>
      <c r="E338">
        <v>500000</v>
      </c>
      <c r="F338" t="s">
        <v>121</v>
      </c>
      <c r="G338" t="s">
        <v>117</v>
      </c>
      <c r="H338" t="s">
        <v>149</v>
      </c>
      <c r="I338" s="197">
        <v>45990.791934988425</v>
      </c>
      <c r="J338" t="b">
        <v>0</v>
      </c>
      <c r="K338" t="s">
        <v>544</v>
      </c>
      <c r="L338" t="s">
        <v>6</v>
      </c>
      <c r="M338">
        <v>29</v>
      </c>
      <c r="N338">
        <v>11</v>
      </c>
      <c r="O338">
        <v>2025</v>
      </c>
      <c r="R338">
        <f>IF(wallet_records[[#This Row],[type]]="Gasto",wallet_records[[#This Row],[amount]]*(-1),wallet_records[[#This Row],[amount]])</f>
        <v>500000</v>
      </c>
    </row>
    <row r="339" spans="1:18" x14ac:dyDescent="0.2">
      <c r="A339" t="s">
        <v>127</v>
      </c>
      <c r="B339" t="s">
        <v>130</v>
      </c>
      <c r="C339" t="s">
        <v>115</v>
      </c>
      <c r="D339" s="291">
        <v>881000</v>
      </c>
      <c r="E339">
        <v>881000</v>
      </c>
      <c r="F339" t="s">
        <v>121</v>
      </c>
      <c r="G339" t="s">
        <v>117</v>
      </c>
      <c r="H339" t="s">
        <v>150</v>
      </c>
      <c r="I339" s="197">
        <v>45987.791666666664</v>
      </c>
      <c r="J339" t="b">
        <v>0</v>
      </c>
      <c r="K339" t="s">
        <v>7</v>
      </c>
      <c r="L339" t="s">
        <v>7</v>
      </c>
      <c r="M339">
        <v>26</v>
      </c>
      <c r="N339">
        <v>11</v>
      </c>
      <c r="O339">
        <v>2025</v>
      </c>
      <c r="R339">
        <f>IF(wallet_records[[#This Row],[type]]="Gasto",wallet_records[[#This Row],[amount]]*(-1),wallet_records[[#This Row],[amount]])</f>
        <v>881000</v>
      </c>
    </row>
    <row r="340" spans="1:18" x14ac:dyDescent="0.2">
      <c r="A340" t="s">
        <v>127</v>
      </c>
      <c r="B340" t="s">
        <v>130</v>
      </c>
      <c r="C340" t="s">
        <v>115</v>
      </c>
      <c r="D340" s="291">
        <v>3144600</v>
      </c>
      <c r="E340">
        <v>3144600</v>
      </c>
      <c r="F340" t="s">
        <v>121</v>
      </c>
      <c r="G340" t="s">
        <v>117</v>
      </c>
      <c r="H340" t="s">
        <v>151</v>
      </c>
      <c r="I340" s="197">
        <v>45977.791805023146</v>
      </c>
      <c r="J340" t="b">
        <v>0</v>
      </c>
      <c r="K340" t="s">
        <v>539</v>
      </c>
      <c r="L340" t="s">
        <v>46</v>
      </c>
      <c r="M340">
        <v>16</v>
      </c>
      <c r="N340">
        <v>11</v>
      </c>
      <c r="O340">
        <v>2025</v>
      </c>
      <c r="R340">
        <f>IF(wallet_records[[#This Row],[type]]="Gasto",wallet_records[[#This Row],[amount]]*(-1),wallet_records[[#This Row],[amount]])</f>
        <v>3144600</v>
      </c>
    </row>
    <row r="341" spans="1:18" x14ac:dyDescent="0.2">
      <c r="A341" t="s">
        <v>127</v>
      </c>
      <c r="B341" t="s">
        <v>130</v>
      </c>
      <c r="C341" t="s">
        <v>115</v>
      </c>
      <c r="D341" s="291">
        <v>1520000</v>
      </c>
      <c r="E341">
        <v>1520000</v>
      </c>
      <c r="F341" t="s">
        <v>121</v>
      </c>
      <c r="G341" t="s">
        <v>117</v>
      </c>
      <c r="H341" t="s">
        <v>153</v>
      </c>
      <c r="I341" s="197">
        <v>45974.792181550925</v>
      </c>
      <c r="J341" t="b">
        <v>0</v>
      </c>
      <c r="K341" t="s">
        <v>541</v>
      </c>
      <c r="L341" t="s">
        <v>0</v>
      </c>
      <c r="M341">
        <v>13</v>
      </c>
      <c r="N341">
        <v>11</v>
      </c>
      <c r="O341">
        <v>2025</v>
      </c>
      <c r="R341">
        <f>IF(wallet_records[[#This Row],[type]]="Gasto",wallet_records[[#This Row],[amount]]*(-1),wallet_records[[#This Row],[amount]])</f>
        <v>1520000</v>
      </c>
    </row>
    <row r="342" spans="1:18" x14ac:dyDescent="0.2">
      <c r="A342" t="s">
        <v>127</v>
      </c>
      <c r="B342" t="s">
        <v>130</v>
      </c>
      <c r="C342" t="s">
        <v>115</v>
      </c>
      <c r="D342" s="291">
        <v>1650000</v>
      </c>
      <c r="E342">
        <v>1650000</v>
      </c>
      <c r="F342" t="s">
        <v>121</v>
      </c>
      <c r="G342" t="s">
        <v>117</v>
      </c>
      <c r="H342" t="s">
        <v>152</v>
      </c>
      <c r="I342" s="197">
        <v>45974.792038032407</v>
      </c>
      <c r="J342" t="b">
        <v>0</v>
      </c>
      <c r="K342" t="s">
        <v>540</v>
      </c>
      <c r="L342" t="s">
        <v>1</v>
      </c>
      <c r="M342">
        <v>13</v>
      </c>
      <c r="N342">
        <v>11</v>
      </c>
      <c r="O342">
        <v>2025</v>
      </c>
      <c r="R342">
        <f>IF(wallet_records[[#This Row],[type]]="Gasto",wallet_records[[#This Row],[amount]]*(-1),wallet_records[[#This Row],[amount]])</f>
        <v>1650000</v>
      </c>
    </row>
    <row r="343" spans="1:18" x14ac:dyDescent="0.2">
      <c r="A343" t="s">
        <v>127</v>
      </c>
      <c r="B343" t="s">
        <v>130</v>
      </c>
      <c r="C343" t="s">
        <v>115</v>
      </c>
      <c r="D343" s="291">
        <v>500000</v>
      </c>
      <c r="E343">
        <v>500000</v>
      </c>
      <c r="F343" t="s">
        <v>121</v>
      </c>
      <c r="G343" t="s">
        <v>117</v>
      </c>
      <c r="H343" t="s">
        <v>157</v>
      </c>
      <c r="I343" s="197">
        <v>45963.791826562498</v>
      </c>
      <c r="J343" t="b">
        <v>0</v>
      </c>
      <c r="K343" t="s">
        <v>544</v>
      </c>
      <c r="L343" t="s">
        <v>6</v>
      </c>
      <c r="M343">
        <v>2</v>
      </c>
      <c r="N343">
        <v>11</v>
      </c>
      <c r="O343">
        <v>2025</v>
      </c>
      <c r="R343">
        <f>IF(wallet_records[[#This Row],[type]]="Gasto",wallet_records[[#This Row],[amount]]*(-1),wallet_records[[#This Row],[amount]])</f>
        <v>500000</v>
      </c>
    </row>
    <row r="344" spans="1:18" x14ac:dyDescent="0.2">
      <c r="A344" t="s">
        <v>127</v>
      </c>
      <c r="B344" t="s">
        <v>130</v>
      </c>
      <c r="C344" t="s">
        <v>115</v>
      </c>
      <c r="D344" s="291">
        <v>1630000</v>
      </c>
      <c r="E344">
        <v>1630000</v>
      </c>
      <c r="F344" t="s">
        <v>121</v>
      </c>
      <c r="G344" t="s">
        <v>117</v>
      </c>
      <c r="H344" t="s">
        <v>159</v>
      </c>
      <c r="I344" s="197">
        <v>45961.791944965276</v>
      </c>
      <c r="J344" t="b">
        <v>0</v>
      </c>
      <c r="K344" t="s">
        <v>543</v>
      </c>
      <c r="L344" t="s">
        <v>77</v>
      </c>
      <c r="M344">
        <v>31</v>
      </c>
      <c r="N344">
        <v>10</v>
      </c>
      <c r="O344">
        <v>2025</v>
      </c>
      <c r="R344">
        <f>IF(wallet_records[[#This Row],[type]]="Gasto",wallet_records[[#This Row],[amount]]*(-1),wallet_records[[#This Row],[amount]])</f>
        <v>1630000</v>
      </c>
    </row>
    <row r="345" spans="1:18" x14ac:dyDescent="0.2">
      <c r="A345" t="s">
        <v>127</v>
      </c>
      <c r="B345" t="s">
        <v>130</v>
      </c>
      <c r="C345" t="s">
        <v>115</v>
      </c>
      <c r="D345" s="291">
        <v>879000</v>
      </c>
      <c r="E345">
        <v>879000</v>
      </c>
      <c r="F345" t="s">
        <v>121</v>
      </c>
      <c r="G345" t="s">
        <v>117</v>
      </c>
      <c r="H345" t="s">
        <v>160</v>
      </c>
      <c r="I345" s="197">
        <v>45958.791666666664</v>
      </c>
      <c r="J345" t="b">
        <v>0</v>
      </c>
      <c r="K345" t="s">
        <v>7</v>
      </c>
      <c r="L345" t="s">
        <v>7</v>
      </c>
      <c r="M345">
        <v>28</v>
      </c>
      <c r="N345">
        <v>10</v>
      </c>
      <c r="O345">
        <v>2025</v>
      </c>
      <c r="R345">
        <f>IF(wallet_records[[#This Row],[type]]="Gasto",wallet_records[[#This Row],[amount]]*(-1),wallet_records[[#This Row],[amount]])</f>
        <v>879000</v>
      </c>
    </row>
    <row r="346" spans="1:18" x14ac:dyDescent="0.2">
      <c r="A346" t="s">
        <v>127</v>
      </c>
      <c r="B346" t="s">
        <v>130</v>
      </c>
      <c r="C346" t="s">
        <v>115</v>
      </c>
      <c r="D346" s="291">
        <v>3144600</v>
      </c>
      <c r="E346">
        <v>3144600</v>
      </c>
      <c r="F346" t="s">
        <v>121</v>
      </c>
      <c r="G346" t="s">
        <v>117</v>
      </c>
      <c r="H346" t="s">
        <v>161</v>
      </c>
      <c r="I346" s="197">
        <v>45949.791715254629</v>
      </c>
      <c r="J346" t="b">
        <v>0</v>
      </c>
      <c r="K346" t="s">
        <v>539</v>
      </c>
      <c r="L346" t="s">
        <v>46</v>
      </c>
      <c r="M346">
        <v>19</v>
      </c>
      <c r="N346">
        <v>10</v>
      </c>
      <c r="O346">
        <v>2025</v>
      </c>
      <c r="R346">
        <f>IF(wallet_records[[#This Row],[type]]="Gasto",wallet_records[[#This Row],[amount]]*(-1),wallet_records[[#This Row],[amount]])</f>
        <v>3144600</v>
      </c>
    </row>
    <row r="347" spans="1:18" x14ac:dyDescent="0.2">
      <c r="A347" t="s">
        <v>127</v>
      </c>
      <c r="B347" t="s">
        <v>130</v>
      </c>
      <c r="C347" t="s">
        <v>115</v>
      </c>
      <c r="D347" s="291">
        <v>1520000</v>
      </c>
      <c r="E347">
        <v>1520000</v>
      </c>
      <c r="F347" t="s">
        <v>121</v>
      </c>
      <c r="G347" t="s">
        <v>117</v>
      </c>
      <c r="H347" t="s">
        <v>162</v>
      </c>
      <c r="I347" s="197">
        <v>45944.79201351852</v>
      </c>
      <c r="J347" t="b">
        <v>0</v>
      </c>
      <c r="K347" t="s">
        <v>541</v>
      </c>
      <c r="L347" t="s">
        <v>0</v>
      </c>
      <c r="M347">
        <v>14</v>
      </c>
      <c r="N347">
        <v>10</v>
      </c>
      <c r="O347">
        <v>2025</v>
      </c>
      <c r="R347">
        <f>IF(wallet_records[[#This Row],[type]]="Gasto",wallet_records[[#This Row],[amount]]*(-1),wallet_records[[#This Row],[amount]])</f>
        <v>1520000</v>
      </c>
    </row>
    <row r="348" spans="1:18" x14ac:dyDescent="0.2">
      <c r="A348" t="s">
        <v>127</v>
      </c>
      <c r="B348" t="s">
        <v>130</v>
      </c>
      <c r="C348" t="s">
        <v>115</v>
      </c>
      <c r="D348" s="291">
        <v>1650000</v>
      </c>
      <c r="E348">
        <v>1650000</v>
      </c>
      <c r="F348" t="s">
        <v>121</v>
      </c>
      <c r="G348" t="s">
        <v>117</v>
      </c>
      <c r="H348" t="s">
        <v>163</v>
      </c>
      <c r="I348" s="197">
        <v>45944.791943923614</v>
      </c>
      <c r="J348" t="b">
        <v>0</v>
      </c>
      <c r="K348" t="s">
        <v>540</v>
      </c>
      <c r="L348" t="s">
        <v>1</v>
      </c>
      <c r="M348">
        <v>14</v>
      </c>
      <c r="N348">
        <v>10</v>
      </c>
      <c r="O348">
        <v>2025</v>
      </c>
      <c r="R348">
        <f>IF(wallet_records[[#This Row],[type]]="Gasto",wallet_records[[#This Row],[amount]]*(-1),wallet_records[[#This Row],[amount]])</f>
        <v>1650000</v>
      </c>
    </row>
    <row r="349" spans="1:18" x14ac:dyDescent="0.2">
      <c r="A349" t="s">
        <v>127</v>
      </c>
      <c r="B349" t="s">
        <v>130</v>
      </c>
      <c r="C349" t="s">
        <v>115</v>
      </c>
      <c r="D349" s="291">
        <v>1630000</v>
      </c>
      <c r="E349">
        <v>1630000</v>
      </c>
      <c r="F349" t="s">
        <v>121</v>
      </c>
      <c r="G349" t="s">
        <v>117</v>
      </c>
      <c r="H349" t="s">
        <v>164</v>
      </c>
      <c r="I349" s="197">
        <v>45931.791845439817</v>
      </c>
      <c r="J349" t="b">
        <v>0</v>
      </c>
      <c r="K349" t="s">
        <v>543</v>
      </c>
      <c r="L349" t="s">
        <v>77</v>
      </c>
      <c r="M349">
        <v>1</v>
      </c>
      <c r="N349">
        <v>10</v>
      </c>
      <c r="O349">
        <v>2025</v>
      </c>
      <c r="R349">
        <f>IF(wallet_records[[#This Row],[type]]="Gasto",wallet_records[[#This Row],[amount]]*(-1),wallet_records[[#This Row],[amount]])</f>
        <v>1630000</v>
      </c>
    </row>
    <row r="350" spans="1:18" x14ac:dyDescent="0.2">
      <c r="A350" t="s">
        <v>127</v>
      </c>
      <c r="B350" t="s">
        <v>130</v>
      </c>
      <c r="C350" t="s">
        <v>115</v>
      </c>
      <c r="D350" s="291">
        <v>881000</v>
      </c>
      <c r="E350">
        <v>881000</v>
      </c>
      <c r="F350" t="s">
        <v>121</v>
      </c>
      <c r="G350" t="s">
        <v>117</v>
      </c>
      <c r="H350" t="s">
        <v>167</v>
      </c>
      <c r="I350" s="197">
        <v>45931.791666666664</v>
      </c>
      <c r="J350" t="b">
        <v>0</v>
      </c>
      <c r="K350" t="s">
        <v>7</v>
      </c>
      <c r="L350" t="s">
        <v>7</v>
      </c>
      <c r="M350">
        <v>1</v>
      </c>
      <c r="N350">
        <v>10</v>
      </c>
      <c r="O350">
        <v>2025</v>
      </c>
      <c r="R350">
        <f>IF(wallet_records[[#This Row],[type]]="Gasto",wallet_records[[#This Row],[amount]]*(-1),wallet_records[[#This Row],[amount]])</f>
        <v>881000</v>
      </c>
    </row>
    <row r="351" spans="1:18" x14ac:dyDescent="0.2">
      <c r="A351" t="s">
        <v>127</v>
      </c>
      <c r="B351" t="s">
        <v>130</v>
      </c>
      <c r="C351" t="s">
        <v>115</v>
      </c>
      <c r="D351" s="291">
        <v>500000</v>
      </c>
      <c r="E351">
        <v>500000</v>
      </c>
      <c r="F351" t="s">
        <v>121</v>
      </c>
      <c r="G351" t="s">
        <v>117</v>
      </c>
      <c r="H351" t="s">
        <v>168</v>
      </c>
      <c r="I351" s="197">
        <v>45929.792267743054</v>
      </c>
      <c r="J351" t="b">
        <v>0</v>
      </c>
      <c r="K351" t="s">
        <v>544</v>
      </c>
      <c r="L351" t="s">
        <v>6</v>
      </c>
      <c r="M351">
        <v>29</v>
      </c>
      <c r="N351">
        <v>9</v>
      </c>
      <c r="O351">
        <v>2025</v>
      </c>
      <c r="R351">
        <f>IF(wallet_records[[#This Row],[type]]="Gasto",wallet_records[[#This Row],[amount]]*(-1),wallet_records[[#This Row],[amount]])</f>
        <v>500000</v>
      </c>
    </row>
    <row r="352" spans="1:18" x14ac:dyDescent="0.2">
      <c r="A352" t="s">
        <v>127</v>
      </c>
      <c r="B352" t="s">
        <v>130</v>
      </c>
      <c r="C352" t="s">
        <v>115</v>
      </c>
      <c r="D352" s="291">
        <v>3144600</v>
      </c>
      <c r="E352">
        <v>3144600</v>
      </c>
      <c r="F352" t="s">
        <v>121</v>
      </c>
      <c r="G352" t="s">
        <v>117</v>
      </c>
      <c r="H352" t="s">
        <v>171</v>
      </c>
      <c r="I352" s="197">
        <v>45914.792317326392</v>
      </c>
      <c r="J352" t="b">
        <v>0</v>
      </c>
      <c r="K352" t="s">
        <v>539</v>
      </c>
      <c r="L352" t="s">
        <v>46</v>
      </c>
      <c r="M352">
        <v>14</v>
      </c>
      <c r="N352">
        <v>9</v>
      </c>
      <c r="O352">
        <v>2025</v>
      </c>
      <c r="R352">
        <f>IF(wallet_records[[#This Row],[type]]="Gasto",wallet_records[[#This Row],[amount]]*(-1),wallet_records[[#This Row],[amount]])</f>
        <v>3144600</v>
      </c>
    </row>
    <row r="353" spans="1:18" x14ac:dyDescent="0.2">
      <c r="A353" t="s">
        <v>127</v>
      </c>
      <c r="B353" t="s">
        <v>130</v>
      </c>
      <c r="C353" t="s">
        <v>115</v>
      </c>
      <c r="D353" s="291">
        <v>1650000</v>
      </c>
      <c r="E353">
        <v>1650000</v>
      </c>
      <c r="F353" t="s">
        <v>121</v>
      </c>
      <c r="G353" t="s">
        <v>117</v>
      </c>
      <c r="H353" t="s">
        <v>169</v>
      </c>
      <c r="I353" s="197">
        <v>45914.791824745371</v>
      </c>
      <c r="J353" t="b">
        <v>0</v>
      </c>
      <c r="K353" t="s">
        <v>540</v>
      </c>
      <c r="L353" t="s">
        <v>1</v>
      </c>
      <c r="M353">
        <v>14</v>
      </c>
      <c r="N353">
        <v>9</v>
      </c>
      <c r="O353">
        <v>2025</v>
      </c>
      <c r="R353">
        <f>IF(wallet_records[[#This Row],[type]]="Gasto",wallet_records[[#This Row],[amount]]*(-1),wallet_records[[#This Row],[amount]])</f>
        <v>1650000</v>
      </c>
    </row>
    <row r="354" spans="1:18" x14ac:dyDescent="0.2">
      <c r="A354" t="s">
        <v>127</v>
      </c>
      <c r="B354" t="s">
        <v>130</v>
      </c>
      <c r="C354" t="s">
        <v>115</v>
      </c>
      <c r="D354" s="291">
        <v>1520000</v>
      </c>
      <c r="E354">
        <v>1520000</v>
      </c>
      <c r="F354" t="s">
        <v>121</v>
      </c>
      <c r="G354" t="s">
        <v>117</v>
      </c>
      <c r="H354" t="s">
        <v>170</v>
      </c>
      <c r="I354" s="197">
        <v>45914.791800601852</v>
      </c>
      <c r="J354" t="b">
        <v>0</v>
      </c>
      <c r="K354" t="s">
        <v>541</v>
      </c>
      <c r="L354" t="s">
        <v>0</v>
      </c>
      <c r="M354">
        <v>14</v>
      </c>
      <c r="N354">
        <v>9</v>
      </c>
      <c r="O354">
        <v>2025</v>
      </c>
      <c r="R354">
        <f>IF(wallet_records[[#This Row],[type]]="Gasto",wallet_records[[#This Row],[amount]]*(-1),wallet_records[[#This Row],[amount]])</f>
        <v>1520000</v>
      </c>
    </row>
    <row r="355" spans="1:18" x14ac:dyDescent="0.2">
      <c r="A355" t="s">
        <v>127</v>
      </c>
      <c r="B355" t="s">
        <v>130</v>
      </c>
      <c r="C355" t="s">
        <v>115</v>
      </c>
      <c r="D355" s="291">
        <v>500000</v>
      </c>
      <c r="E355">
        <v>500000</v>
      </c>
      <c r="F355" t="s">
        <v>121</v>
      </c>
      <c r="G355" t="s">
        <v>117</v>
      </c>
      <c r="H355" t="s">
        <v>175</v>
      </c>
      <c r="I355" s="197">
        <v>45900.792139814817</v>
      </c>
      <c r="J355" t="b">
        <v>0</v>
      </c>
      <c r="K355" t="s">
        <v>544</v>
      </c>
      <c r="L355" t="s">
        <v>6</v>
      </c>
      <c r="M355">
        <v>31</v>
      </c>
      <c r="N355">
        <v>8</v>
      </c>
      <c r="O355">
        <v>2025</v>
      </c>
      <c r="R355">
        <f>IF(wallet_records[[#This Row],[type]]="Gasto",wallet_records[[#This Row],[amount]]*(-1),wallet_records[[#This Row],[amount]])</f>
        <v>500000</v>
      </c>
    </row>
    <row r="356" spans="1:18" x14ac:dyDescent="0.2">
      <c r="A356" t="s">
        <v>127</v>
      </c>
      <c r="B356" t="s">
        <v>130</v>
      </c>
      <c r="C356" t="s">
        <v>115</v>
      </c>
      <c r="D356" s="291">
        <v>1630000</v>
      </c>
      <c r="E356">
        <v>1630000</v>
      </c>
      <c r="F356" t="s">
        <v>121</v>
      </c>
      <c r="G356" t="s">
        <v>117</v>
      </c>
      <c r="H356" t="s">
        <v>176</v>
      </c>
      <c r="I356" s="197">
        <v>45897.791738854168</v>
      </c>
      <c r="J356" t="b">
        <v>0</v>
      </c>
      <c r="K356" t="s">
        <v>543</v>
      </c>
      <c r="L356" t="s">
        <v>77</v>
      </c>
      <c r="M356">
        <v>28</v>
      </c>
      <c r="N356">
        <v>8</v>
      </c>
      <c r="O356">
        <v>2025</v>
      </c>
      <c r="R356">
        <f>IF(wallet_records[[#This Row],[type]]="Gasto",wallet_records[[#This Row],[amount]]*(-1),wallet_records[[#This Row],[amount]])</f>
        <v>1630000</v>
      </c>
    </row>
    <row r="357" spans="1:18" x14ac:dyDescent="0.2">
      <c r="A357" t="s">
        <v>127</v>
      </c>
      <c r="B357" t="s">
        <v>130</v>
      </c>
      <c r="C357" t="s">
        <v>115</v>
      </c>
      <c r="D357" s="291">
        <v>841000</v>
      </c>
      <c r="E357">
        <v>841000</v>
      </c>
      <c r="F357" t="s">
        <v>121</v>
      </c>
      <c r="G357" t="s">
        <v>117</v>
      </c>
      <c r="H357" t="s">
        <v>177</v>
      </c>
      <c r="I357" s="197">
        <v>45893.791666666664</v>
      </c>
      <c r="J357" t="b">
        <v>0</v>
      </c>
      <c r="K357" t="s">
        <v>7</v>
      </c>
      <c r="L357" t="s">
        <v>7</v>
      </c>
      <c r="M357">
        <v>24</v>
      </c>
      <c r="N357">
        <v>8</v>
      </c>
      <c r="O357">
        <v>2025</v>
      </c>
      <c r="R357">
        <f>IF(wallet_records[[#This Row],[type]]="Gasto",wallet_records[[#This Row],[amount]]*(-1),wallet_records[[#This Row],[amount]])</f>
        <v>841000</v>
      </c>
    </row>
    <row r="358" spans="1:18" x14ac:dyDescent="0.2">
      <c r="A358" t="s">
        <v>127</v>
      </c>
      <c r="B358" t="s">
        <v>130</v>
      </c>
      <c r="C358" t="s">
        <v>115</v>
      </c>
      <c r="D358" s="291">
        <v>3144600</v>
      </c>
      <c r="E358">
        <v>3144600</v>
      </c>
      <c r="F358" t="s">
        <v>121</v>
      </c>
      <c r="G358" t="s">
        <v>117</v>
      </c>
      <c r="H358" t="s">
        <v>178</v>
      </c>
      <c r="I358" s="197">
        <v>45886.792231851854</v>
      </c>
      <c r="J358" t="b">
        <v>0</v>
      </c>
      <c r="K358" t="s">
        <v>539</v>
      </c>
      <c r="L358" t="s">
        <v>46</v>
      </c>
      <c r="M358">
        <v>17</v>
      </c>
      <c r="N358">
        <v>8</v>
      </c>
      <c r="O358">
        <v>2025</v>
      </c>
      <c r="R358">
        <f>IF(wallet_records[[#This Row],[type]]="Gasto",wallet_records[[#This Row],[amount]]*(-1),wallet_records[[#This Row],[amount]])</f>
        <v>3144600</v>
      </c>
    </row>
    <row r="359" spans="1:18" x14ac:dyDescent="0.2">
      <c r="A359" t="s">
        <v>127</v>
      </c>
      <c r="B359" t="s">
        <v>130</v>
      </c>
      <c r="C359" t="s">
        <v>115</v>
      </c>
      <c r="D359" s="291">
        <v>1520000</v>
      </c>
      <c r="E359">
        <v>1520000</v>
      </c>
      <c r="F359" t="s">
        <v>121</v>
      </c>
      <c r="G359" t="s">
        <v>117</v>
      </c>
      <c r="H359" t="s">
        <v>179</v>
      </c>
      <c r="I359" s="197">
        <v>45883.792350011572</v>
      </c>
      <c r="J359" t="b">
        <v>0</v>
      </c>
      <c r="K359" t="s">
        <v>541</v>
      </c>
      <c r="L359" t="s">
        <v>0</v>
      </c>
      <c r="M359">
        <v>14</v>
      </c>
      <c r="N359">
        <v>8</v>
      </c>
      <c r="O359">
        <v>2025</v>
      </c>
      <c r="R359">
        <f>IF(wallet_records[[#This Row],[type]]="Gasto",wallet_records[[#This Row],[amount]]*(-1),wallet_records[[#This Row],[amount]])</f>
        <v>1520000</v>
      </c>
    </row>
    <row r="360" spans="1:18" x14ac:dyDescent="0.2">
      <c r="A360" t="s">
        <v>127</v>
      </c>
      <c r="B360" t="s">
        <v>130</v>
      </c>
      <c r="C360" t="s">
        <v>115</v>
      </c>
      <c r="D360" s="291">
        <v>1650000</v>
      </c>
      <c r="E360">
        <v>1650000</v>
      </c>
      <c r="F360" t="s">
        <v>121</v>
      </c>
      <c r="G360" t="s">
        <v>117</v>
      </c>
      <c r="H360" t="s">
        <v>180</v>
      </c>
      <c r="I360" s="197">
        <v>45883.79171690972</v>
      </c>
      <c r="J360" t="b">
        <v>0</v>
      </c>
      <c r="K360" t="s">
        <v>540</v>
      </c>
      <c r="L360" t="s">
        <v>1</v>
      </c>
      <c r="M360">
        <v>14</v>
      </c>
      <c r="N360">
        <v>8</v>
      </c>
      <c r="O360">
        <v>2025</v>
      </c>
      <c r="R360">
        <f>IF(wallet_records[[#This Row],[type]]="Gasto",wallet_records[[#This Row],[amount]]*(-1),wallet_records[[#This Row],[amount]])</f>
        <v>1650000</v>
      </c>
    </row>
    <row r="361" spans="1:18" x14ac:dyDescent="0.2">
      <c r="A361" t="s">
        <v>127</v>
      </c>
      <c r="B361" t="s">
        <v>130</v>
      </c>
      <c r="C361" t="s">
        <v>115</v>
      </c>
      <c r="D361" s="291">
        <v>1630000</v>
      </c>
      <c r="E361">
        <v>1630000</v>
      </c>
      <c r="F361" t="s">
        <v>121</v>
      </c>
      <c r="G361" t="s">
        <v>117</v>
      </c>
      <c r="H361" t="s">
        <v>181</v>
      </c>
      <c r="I361" s="197">
        <v>45869.792331446763</v>
      </c>
      <c r="J361" t="b">
        <v>0</v>
      </c>
      <c r="K361" t="s">
        <v>543</v>
      </c>
      <c r="L361" t="s">
        <v>77</v>
      </c>
      <c r="M361">
        <v>31</v>
      </c>
      <c r="N361">
        <v>7</v>
      </c>
      <c r="O361">
        <v>2025</v>
      </c>
      <c r="R361">
        <f>IF(wallet_records[[#This Row],[type]]="Gasto",wallet_records[[#This Row],[amount]]*(-1),wallet_records[[#This Row],[amount]])</f>
        <v>1630000</v>
      </c>
    </row>
    <row r="362" spans="1:18" x14ac:dyDescent="0.2">
      <c r="A362" t="s">
        <v>127</v>
      </c>
      <c r="B362" t="s">
        <v>130</v>
      </c>
      <c r="C362" t="s">
        <v>115</v>
      </c>
      <c r="D362" s="291">
        <v>500000</v>
      </c>
      <c r="E362">
        <v>500000</v>
      </c>
      <c r="F362" t="s">
        <v>121</v>
      </c>
      <c r="G362" t="s">
        <v>117</v>
      </c>
      <c r="H362" t="s">
        <v>182</v>
      </c>
      <c r="I362" s="197">
        <v>45866.791957870373</v>
      </c>
      <c r="J362" t="b">
        <v>0</v>
      </c>
      <c r="K362" t="s">
        <v>544</v>
      </c>
      <c r="L362" t="s">
        <v>6</v>
      </c>
      <c r="M362">
        <v>28</v>
      </c>
      <c r="N362">
        <v>7</v>
      </c>
      <c r="O362">
        <v>2025</v>
      </c>
      <c r="R362">
        <f>IF(wallet_records[[#This Row],[type]]="Gasto",wallet_records[[#This Row],[amount]]*(-1),wallet_records[[#This Row],[amount]])</f>
        <v>500000</v>
      </c>
    </row>
    <row r="363" spans="1:18" x14ac:dyDescent="0.2">
      <c r="A363" t="s">
        <v>127</v>
      </c>
      <c r="B363" t="s">
        <v>130</v>
      </c>
      <c r="C363" t="s">
        <v>115</v>
      </c>
      <c r="D363" s="291">
        <v>3144600</v>
      </c>
      <c r="E363">
        <v>3144600</v>
      </c>
      <c r="F363" t="s">
        <v>121</v>
      </c>
      <c r="G363" t="s">
        <v>117</v>
      </c>
      <c r="H363" t="s">
        <v>183</v>
      </c>
      <c r="I363" s="197">
        <v>45855.792085277775</v>
      </c>
      <c r="J363" t="b">
        <v>0</v>
      </c>
      <c r="K363" t="s">
        <v>539</v>
      </c>
      <c r="L363" t="s">
        <v>46</v>
      </c>
      <c r="M363">
        <v>17</v>
      </c>
      <c r="N363">
        <v>7</v>
      </c>
      <c r="O363">
        <v>2025</v>
      </c>
      <c r="R363">
        <f>IF(wallet_records[[#This Row],[type]]="Gasto",wallet_records[[#This Row],[amount]]*(-1),wallet_records[[#This Row],[amount]])</f>
        <v>3144600</v>
      </c>
    </row>
    <row r="364" spans="1:18" x14ac:dyDescent="0.2">
      <c r="A364" t="s">
        <v>127</v>
      </c>
      <c r="B364" t="s">
        <v>130</v>
      </c>
      <c r="C364" t="s">
        <v>115</v>
      </c>
      <c r="D364" s="291">
        <v>1650000</v>
      </c>
      <c r="E364">
        <v>1650000</v>
      </c>
      <c r="F364" t="s">
        <v>121</v>
      </c>
      <c r="G364" t="s">
        <v>117</v>
      </c>
      <c r="H364" t="s">
        <v>184</v>
      </c>
      <c r="I364" s="197">
        <v>45852.792316030092</v>
      </c>
      <c r="J364" t="b">
        <v>0</v>
      </c>
      <c r="K364" t="s">
        <v>540</v>
      </c>
      <c r="L364" t="s">
        <v>1</v>
      </c>
      <c r="M364">
        <v>14</v>
      </c>
      <c r="N364">
        <v>7</v>
      </c>
      <c r="O364">
        <v>2025</v>
      </c>
      <c r="R364">
        <f>IF(wallet_records[[#This Row],[type]]="Gasto",wallet_records[[#This Row],[amount]]*(-1),wallet_records[[#This Row],[amount]])</f>
        <v>1650000</v>
      </c>
    </row>
    <row r="365" spans="1:18" x14ac:dyDescent="0.2">
      <c r="A365" t="s">
        <v>127</v>
      </c>
      <c r="B365" t="s">
        <v>130</v>
      </c>
      <c r="C365" t="s">
        <v>115</v>
      </c>
      <c r="D365" s="291">
        <v>1520000</v>
      </c>
      <c r="E365">
        <v>1520000</v>
      </c>
      <c r="F365" t="s">
        <v>121</v>
      </c>
      <c r="G365" t="s">
        <v>117</v>
      </c>
      <c r="H365" t="s">
        <v>185</v>
      </c>
      <c r="I365" s="197">
        <v>45852.792232638887</v>
      </c>
      <c r="J365" t="b">
        <v>0</v>
      </c>
      <c r="K365" t="s">
        <v>541</v>
      </c>
      <c r="L365" t="s">
        <v>0</v>
      </c>
      <c r="M365">
        <v>14</v>
      </c>
      <c r="N365">
        <v>7</v>
      </c>
      <c r="O365">
        <v>2025</v>
      </c>
      <c r="R365">
        <f>IF(wallet_records[[#This Row],[type]]="Gasto",wallet_records[[#This Row],[amount]]*(-1),wallet_records[[#This Row],[amount]])</f>
        <v>1520000</v>
      </c>
    </row>
    <row r="366" spans="1:18" x14ac:dyDescent="0.2">
      <c r="A366" t="s">
        <v>127</v>
      </c>
      <c r="B366" t="s">
        <v>130</v>
      </c>
      <c r="C366" t="s">
        <v>115</v>
      </c>
      <c r="D366" s="291">
        <v>1630000</v>
      </c>
      <c r="E366">
        <v>1630000</v>
      </c>
      <c r="F366" t="s">
        <v>121</v>
      </c>
      <c r="G366" t="s">
        <v>117</v>
      </c>
      <c r="H366" t="s">
        <v>186</v>
      </c>
      <c r="I366" s="197">
        <v>45839.792209756946</v>
      </c>
      <c r="J366" t="b">
        <v>0</v>
      </c>
      <c r="K366" t="s">
        <v>543</v>
      </c>
      <c r="L366" t="s">
        <v>77</v>
      </c>
      <c r="M366">
        <v>1</v>
      </c>
      <c r="N366">
        <v>7</v>
      </c>
      <c r="O366">
        <v>2025</v>
      </c>
      <c r="R366">
        <f>IF(wallet_records[[#This Row],[type]]="Gasto",wallet_records[[#This Row],[amount]]*(-1),wallet_records[[#This Row],[amount]])</f>
        <v>1630000</v>
      </c>
    </row>
    <row r="367" spans="1:18" x14ac:dyDescent="0.2">
      <c r="A367" t="s">
        <v>127</v>
      </c>
      <c r="B367" t="s">
        <v>130</v>
      </c>
      <c r="C367" t="s">
        <v>115</v>
      </c>
      <c r="D367" s="291">
        <v>450000</v>
      </c>
      <c r="E367">
        <v>450000</v>
      </c>
      <c r="F367" t="s">
        <v>121</v>
      </c>
      <c r="G367" t="s">
        <v>117</v>
      </c>
      <c r="H367" t="s">
        <v>187</v>
      </c>
      <c r="I367" s="197">
        <v>45838.792127615743</v>
      </c>
      <c r="J367" t="b">
        <v>0</v>
      </c>
      <c r="K367" t="s">
        <v>544</v>
      </c>
      <c r="L367" t="s">
        <v>6</v>
      </c>
      <c r="M367">
        <v>30</v>
      </c>
      <c r="N367">
        <v>6</v>
      </c>
      <c r="O367">
        <v>2025</v>
      </c>
      <c r="R367">
        <f>IF(wallet_records[[#This Row],[type]]="Gasto",wallet_records[[#This Row],[amount]]*(-1),wallet_records[[#This Row],[amount]])</f>
        <v>450000</v>
      </c>
    </row>
    <row r="368" spans="1:18" x14ac:dyDescent="0.2">
      <c r="A368" t="s">
        <v>127</v>
      </c>
      <c r="B368" t="s">
        <v>130</v>
      </c>
      <c r="C368" t="s">
        <v>115</v>
      </c>
      <c r="D368" s="291">
        <v>527000</v>
      </c>
      <c r="E368">
        <v>527000</v>
      </c>
      <c r="F368" t="s">
        <v>121</v>
      </c>
      <c r="G368" t="s">
        <v>117</v>
      </c>
      <c r="H368" t="s">
        <v>188</v>
      </c>
      <c r="I368" s="197">
        <v>45823.791666666664</v>
      </c>
      <c r="J368" t="b">
        <v>0</v>
      </c>
      <c r="K368" t="s">
        <v>7</v>
      </c>
      <c r="L368" t="s">
        <v>7</v>
      </c>
      <c r="M368">
        <v>15</v>
      </c>
      <c r="N368">
        <v>6</v>
      </c>
      <c r="O368">
        <v>2025</v>
      </c>
      <c r="R368">
        <f>IF(wallet_records[[#This Row],[type]]="Gasto",wallet_records[[#This Row],[amount]]*(-1),wallet_records[[#This Row],[amount]])</f>
        <v>527000</v>
      </c>
    </row>
    <row r="369" spans="1:18" x14ac:dyDescent="0.2">
      <c r="A369" t="s">
        <v>127</v>
      </c>
      <c r="B369" t="s">
        <v>130</v>
      </c>
      <c r="C369" t="s">
        <v>115</v>
      </c>
      <c r="D369" s="291">
        <v>1650000</v>
      </c>
      <c r="E369">
        <v>1650000</v>
      </c>
      <c r="F369" t="s">
        <v>121</v>
      </c>
      <c r="G369" t="s">
        <v>117</v>
      </c>
      <c r="H369" t="s">
        <v>190</v>
      </c>
      <c r="I369" s="197">
        <v>45820.792223078701</v>
      </c>
      <c r="J369" t="b">
        <v>0</v>
      </c>
      <c r="K369" t="s">
        <v>540</v>
      </c>
      <c r="L369" t="s">
        <v>1</v>
      </c>
      <c r="M369">
        <v>12</v>
      </c>
      <c r="N369">
        <v>6</v>
      </c>
      <c r="O369">
        <v>2025</v>
      </c>
      <c r="R369">
        <f>IF(wallet_records[[#This Row],[type]]="Gasto",wallet_records[[#This Row],[amount]]*(-1),wallet_records[[#This Row],[amount]])</f>
        <v>1650000</v>
      </c>
    </row>
    <row r="370" spans="1:18" x14ac:dyDescent="0.2">
      <c r="A370" t="s">
        <v>127</v>
      </c>
      <c r="B370" t="s">
        <v>130</v>
      </c>
      <c r="C370" t="s">
        <v>115</v>
      </c>
      <c r="D370" s="291">
        <v>1520000</v>
      </c>
      <c r="E370">
        <v>1520000</v>
      </c>
      <c r="F370" t="s">
        <v>121</v>
      </c>
      <c r="G370" t="s">
        <v>117</v>
      </c>
      <c r="H370" t="s">
        <v>189</v>
      </c>
      <c r="I370" s="197">
        <v>45820.79212233796</v>
      </c>
      <c r="J370" t="b">
        <v>0</v>
      </c>
      <c r="K370" t="s">
        <v>541</v>
      </c>
      <c r="L370" t="s">
        <v>0</v>
      </c>
      <c r="M370">
        <v>12</v>
      </c>
      <c r="N370">
        <v>6</v>
      </c>
      <c r="O370">
        <v>2025</v>
      </c>
      <c r="R370">
        <f>IF(wallet_records[[#This Row],[type]]="Gasto",wallet_records[[#This Row],[amount]]*(-1),wallet_records[[#This Row],[amount]])</f>
        <v>1520000</v>
      </c>
    </row>
    <row r="371" spans="1:18" x14ac:dyDescent="0.2">
      <c r="A371" t="s">
        <v>127</v>
      </c>
      <c r="B371" t="s">
        <v>130</v>
      </c>
      <c r="C371" t="s">
        <v>115</v>
      </c>
      <c r="D371" s="291">
        <v>3000000</v>
      </c>
      <c r="E371">
        <v>3000000</v>
      </c>
      <c r="F371" t="s">
        <v>121</v>
      </c>
      <c r="G371" t="s">
        <v>117</v>
      </c>
      <c r="H371" t="s">
        <v>191</v>
      </c>
      <c r="I371" s="197">
        <v>45810.791915208334</v>
      </c>
      <c r="J371" t="b">
        <v>0</v>
      </c>
      <c r="K371" t="s">
        <v>539</v>
      </c>
      <c r="L371" t="s">
        <v>46</v>
      </c>
      <c r="M371">
        <v>2</v>
      </c>
      <c r="N371">
        <v>6</v>
      </c>
      <c r="O371">
        <v>2025</v>
      </c>
      <c r="R371">
        <f>IF(wallet_records[[#This Row],[type]]="Gasto",wallet_records[[#This Row],[amount]]*(-1),wallet_records[[#This Row],[amount]])</f>
        <v>3000000</v>
      </c>
    </row>
    <row r="372" spans="1:18" x14ac:dyDescent="0.2">
      <c r="A372" t="s">
        <v>127</v>
      </c>
      <c r="B372" t="s">
        <v>130</v>
      </c>
      <c r="C372" t="s">
        <v>115</v>
      </c>
      <c r="D372" s="291">
        <v>500000</v>
      </c>
      <c r="E372">
        <v>500000</v>
      </c>
      <c r="F372" t="s">
        <v>121</v>
      </c>
      <c r="G372" t="s">
        <v>117</v>
      </c>
      <c r="H372" t="s">
        <v>192</v>
      </c>
      <c r="I372" s="197">
        <v>45806.792352418983</v>
      </c>
      <c r="J372" t="b">
        <v>0</v>
      </c>
      <c r="K372" t="s">
        <v>544</v>
      </c>
      <c r="L372" t="s">
        <v>6</v>
      </c>
      <c r="M372">
        <v>29</v>
      </c>
      <c r="N372">
        <v>5</v>
      </c>
      <c r="O372">
        <v>2025</v>
      </c>
      <c r="R372">
        <f>IF(wallet_records[[#This Row],[type]]="Gasto",wallet_records[[#This Row],[amount]]*(-1),wallet_records[[#This Row],[amount]])</f>
        <v>500000</v>
      </c>
    </row>
    <row r="373" spans="1:18" x14ac:dyDescent="0.2">
      <c r="A373" t="s">
        <v>127</v>
      </c>
      <c r="B373" t="s">
        <v>130</v>
      </c>
      <c r="C373" t="s">
        <v>115</v>
      </c>
      <c r="D373" s="291">
        <v>1630000</v>
      </c>
      <c r="E373">
        <v>1630000</v>
      </c>
      <c r="F373" t="s">
        <v>121</v>
      </c>
      <c r="G373" t="s">
        <v>117</v>
      </c>
      <c r="H373" t="s">
        <v>193</v>
      </c>
      <c r="I373" s="197">
        <v>45806.792091979165</v>
      </c>
      <c r="J373" t="b">
        <v>0</v>
      </c>
      <c r="K373" t="s">
        <v>543</v>
      </c>
      <c r="L373" t="s">
        <v>77</v>
      </c>
      <c r="M373">
        <v>29</v>
      </c>
      <c r="N373">
        <v>5</v>
      </c>
      <c r="O373">
        <v>2025</v>
      </c>
      <c r="R373">
        <f>IF(wallet_records[[#This Row],[type]]="Gasto",wallet_records[[#This Row],[amount]]*(-1),wallet_records[[#This Row],[amount]])</f>
        <v>1630000</v>
      </c>
    </row>
    <row r="374" spans="1:18" x14ac:dyDescent="0.2">
      <c r="A374" t="s">
        <v>127</v>
      </c>
      <c r="B374" t="s">
        <v>130</v>
      </c>
      <c r="C374" t="s">
        <v>115</v>
      </c>
      <c r="D374" s="291">
        <v>926812</v>
      </c>
      <c r="E374">
        <v>926812</v>
      </c>
      <c r="F374" t="s">
        <v>121</v>
      </c>
      <c r="G374" t="s">
        <v>117</v>
      </c>
      <c r="H374" t="s">
        <v>194</v>
      </c>
      <c r="I374" s="197">
        <v>45803.791666666664</v>
      </c>
      <c r="J374" t="b">
        <v>0</v>
      </c>
      <c r="K374" t="s">
        <v>7</v>
      </c>
      <c r="L374" t="s">
        <v>7</v>
      </c>
      <c r="M374">
        <v>26</v>
      </c>
      <c r="N374">
        <v>5</v>
      </c>
      <c r="O374">
        <v>2025</v>
      </c>
      <c r="R374">
        <f>IF(wallet_records[[#This Row],[type]]="Gasto",wallet_records[[#This Row],[amount]]*(-1),wallet_records[[#This Row],[amount]])</f>
        <v>926812</v>
      </c>
    </row>
    <row r="375" spans="1:18" x14ac:dyDescent="0.2">
      <c r="A375" t="s">
        <v>127</v>
      </c>
      <c r="B375" t="s">
        <v>130</v>
      </c>
      <c r="C375" t="s">
        <v>115</v>
      </c>
      <c r="D375" s="291">
        <v>3000000</v>
      </c>
      <c r="E375">
        <v>3000000</v>
      </c>
      <c r="F375" t="s">
        <v>121</v>
      </c>
      <c r="G375" t="s">
        <v>117</v>
      </c>
      <c r="H375" t="s">
        <v>195</v>
      </c>
      <c r="I375" s="197">
        <v>45792.792175902781</v>
      </c>
      <c r="J375" t="b">
        <v>0</v>
      </c>
      <c r="K375" t="s">
        <v>539</v>
      </c>
      <c r="L375" t="s">
        <v>46</v>
      </c>
      <c r="M375">
        <v>15</v>
      </c>
      <c r="N375">
        <v>5</v>
      </c>
      <c r="O375">
        <v>2025</v>
      </c>
      <c r="R375">
        <f>IF(wallet_records[[#This Row],[type]]="Gasto",wallet_records[[#This Row],[amount]]*(-1),wallet_records[[#This Row],[amount]])</f>
        <v>3000000</v>
      </c>
    </row>
    <row r="376" spans="1:18" x14ac:dyDescent="0.2">
      <c r="A376" t="s">
        <v>127</v>
      </c>
      <c r="B376" t="s">
        <v>130</v>
      </c>
      <c r="C376" t="s">
        <v>115</v>
      </c>
      <c r="D376" s="291">
        <v>1650000</v>
      </c>
      <c r="E376">
        <v>1650000</v>
      </c>
      <c r="F376" t="s">
        <v>121</v>
      </c>
      <c r="G376" t="s">
        <v>117</v>
      </c>
      <c r="H376" t="s">
        <v>196</v>
      </c>
      <c r="I376" s="197">
        <v>45791.792134085648</v>
      </c>
      <c r="J376" t="b">
        <v>0</v>
      </c>
      <c r="K376" t="s">
        <v>540</v>
      </c>
      <c r="L376" t="s">
        <v>1</v>
      </c>
      <c r="M376">
        <v>14</v>
      </c>
      <c r="N376">
        <v>5</v>
      </c>
      <c r="O376">
        <v>2025</v>
      </c>
      <c r="R376">
        <f>IF(wallet_records[[#This Row],[type]]="Gasto",wallet_records[[#This Row],[amount]]*(-1),wallet_records[[#This Row],[amount]])</f>
        <v>1650000</v>
      </c>
    </row>
    <row r="377" spans="1:18" x14ac:dyDescent="0.2">
      <c r="A377" t="s">
        <v>127</v>
      </c>
      <c r="B377" t="s">
        <v>130</v>
      </c>
      <c r="C377" t="s">
        <v>115</v>
      </c>
      <c r="D377" s="291">
        <v>1450000</v>
      </c>
      <c r="E377">
        <v>1450000</v>
      </c>
      <c r="F377" t="s">
        <v>121</v>
      </c>
      <c r="G377" t="s">
        <v>117</v>
      </c>
      <c r="H377" t="s">
        <v>197</v>
      </c>
      <c r="I377" s="197">
        <v>45785.791867465276</v>
      </c>
      <c r="J377" t="b">
        <v>0</v>
      </c>
      <c r="K377" t="s">
        <v>541</v>
      </c>
      <c r="L377" t="s">
        <v>0</v>
      </c>
      <c r="M377">
        <v>8</v>
      </c>
      <c r="N377">
        <v>5</v>
      </c>
      <c r="O377">
        <v>2025</v>
      </c>
      <c r="R377">
        <f>IF(wallet_records[[#This Row],[type]]="Gasto",wallet_records[[#This Row],[amount]]*(-1),wallet_records[[#This Row],[amount]])</f>
        <v>1450000</v>
      </c>
    </row>
    <row r="378" spans="1:18" x14ac:dyDescent="0.2">
      <c r="A378" t="s">
        <v>127</v>
      </c>
      <c r="B378" t="s">
        <v>130</v>
      </c>
      <c r="C378" t="s">
        <v>115</v>
      </c>
      <c r="D378" s="291">
        <v>450000</v>
      </c>
      <c r="E378">
        <v>450000</v>
      </c>
      <c r="F378" t="s">
        <v>121</v>
      </c>
      <c r="G378" t="s">
        <v>117</v>
      </c>
      <c r="H378" t="s">
        <v>198</v>
      </c>
      <c r="I378" s="197">
        <v>45778.791874189817</v>
      </c>
      <c r="J378" t="b">
        <v>0</v>
      </c>
      <c r="K378" t="s">
        <v>544</v>
      </c>
      <c r="L378" t="s">
        <v>6</v>
      </c>
      <c r="M378">
        <v>1</v>
      </c>
      <c r="N378">
        <v>5</v>
      </c>
      <c r="O378">
        <v>2025</v>
      </c>
      <c r="R378">
        <f>IF(wallet_records[[#This Row],[type]]="Gasto",wallet_records[[#This Row],[amount]]*(-1),wallet_records[[#This Row],[amount]])</f>
        <v>450000</v>
      </c>
    </row>
    <row r="379" spans="1:18" x14ac:dyDescent="0.2">
      <c r="A379" t="s">
        <v>127</v>
      </c>
      <c r="B379" t="s">
        <v>130</v>
      </c>
      <c r="C379" t="s">
        <v>115</v>
      </c>
      <c r="D379" s="291">
        <v>1630000</v>
      </c>
      <c r="E379">
        <v>1630000</v>
      </c>
      <c r="F379" t="s">
        <v>121</v>
      </c>
      <c r="G379" t="s">
        <v>117</v>
      </c>
      <c r="H379" t="s">
        <v>199</v>
      </c>
      <c r="I379" s="197">
        <v>45777.79199701389</v>
      </c>
      <c r="J379" t="b">
        <v>0</v>
      </c>
      <c r="K379" t="s">
        <v>543</v>
      </c>
      <c r="L379" t="s">
        <v>77</v>
      </c>
      <c r="M379">
        <v>30</v>
      </c>
      <c r="N379">
        <v>4</v>
      </c>
      <c r="O379">
        <v>2025</v>
      </c>
      <c r="R379">
        <f>IF(wallet_records[[#This Row],[type]]="Gasto",wallet_records[[#This Row],[amount]]*(-1),wallet_records[[#This Row],[amount]])</f>
        <v>1630000</v>
      </c>
    </row>
    <row r="380" spans="1:18" x14ac:dyDescent="0.2">
      <c r="A380" t="s">
        <v>127</v>
      </c>
      <c r="B380" t="s">
        <v>130</v>
      </c>
      <c r="C380" t="s">
        <v>115</v>
      </c>
      <c r="D380" s="291">
        <v>3000000</v>
      </c>
      <c r="E380">
        <v>3000000</v>
      </c>
      <c r="F380" t="s">
        <v>121</v>
      </c>
      <c r="G380" t="s">
        <v>117</v>
      </c>
      <c r="H380" t="s">
        <v>200</v>
      </c>
      <c r="I380" s="197">
        <v>45766.79201315972</v>
      </c>
      <c r="J380" t="b">
        <v>0</v>
      </c>
      <c r="K380" t="s">
        <v>539</v>
      </c>
      <c r="L380" t="s">
        <v>46</v>
      </c>
      <c r="M380">
        <v>19</v>
      </c>
      <c r="N380">
        <v>4</v>
      </c>
      <c r="O380">
        <v>2025</v>
      </c>
      <c r="R380">
        <f>IF(wallet_records[[#This Row],[type]]="Gasto",wallet_records[[#This Row],[amount]]*(-1),wallet_records[[#This Row],[amount]])</f>
        <v>3000000</v>
      </c>
    </row>
    <row r="381" spans="1:18" x14ac:dyDescent="0.2">
      <c r="A381" t="s">
        <v>127</v>
      </c>
      <c r="B381" t="s">
        <v>130</v>
      </c>
      <c r="C381" t="s">
        <v>115</v>
      </c>
      <c r="D381" s="291">
        <v>1650000</v>
      </c>
      <c r="E381">
        <v>1650000</v>
      </c>
      <c r="F381" t="s">
        <v>121</v>
      </c>
      <c r="G381" t="s">
        <v>117</v>
      </c>
      <c r="H381" t="s">
        <v>201</v>
      </c>
      <c r="I381" s="197">
        <v>45761.792027523152</v>
      </c>
      <c r="J381" t="b">
        <v>0</v>
      </c>
      <c r="K381" t="s">
        <v>540</v>
      </c>
      <c r="L381" t="s">
        <v>1</v>
      </c>
      <c r="M381">
        <v>14</v>
      </c>
      <c r="N381">
        <v>4</v>
      </c>
      <c r="O381">
        <v>2025</v>
      </c>
      <c r="R381">
        <f>IF(wallet_records[[#This Row],[type]]="Gasto",wallet_records[[#This Row],[amount]]*(-1),wallet_records[[#This Row],[amount]])</f>
        <v>1650000</v>
      </c>
    </row>
    <row r="382" spans="1:18" x14ac:dyDescent="0.2">
      <c r="A382" t="s">
        <v>127</v>
      </c>
      <c r="B382" t="s">
        <v>130</v>
      </c>
      <c r="C382" t="s">
        <v>115</v>
      </c>
      <c r="D382" s="291">
        <v>881000</v>
      </c>
      <c r="E382">
        <v>881000</v>
      </c>
      <c r="F382" t="s">
        <v>121</v>
      </c>
      <c r="G382" t="s">
        <v>117</v>
      </c>
      <c r="H382" t="s">
        <v>202</v>
      </c>
      <c r="I382" s="197">
        <v>45757.791666666664</v>
      </c>
      <c r="J382" t="b">
        <v>0</v>
      </c>
      <c r="K382" t="s">
        <v>7</v>
      </c>
      <c r="L382" t="s">
        <v>7</v>
      </c>
      <c r="M382">
        <v>10</v>
      </c>
      <c r="N382">
        <v>4</v>
      </c>
      <c r="O382">
        <v>2025</v>
      </c>
      <c r="R382">
        <f>IF(wallet_records[[#This Row],[type]]="Gasto",wallet_records[[#This Row],[amount]]*(-1),wallet_records[[#This Row],[amount]])</f>
        <v>881000</v>
      </c>
    </row>
    <row r="383" spans="1:18" x14ac:dyDescent="0.2">
      <c r="A383" t="s">
        <v>127</v>
      </c>
      <c r="B383" t="s">
        <v>130</v>
      </c>
      <c r="C383" t="s">
        <v>115</v>
      </c>
      <c r="D383" s="291">
        <v>1630000</v>
      </c>
      <c r="E383">
        <v>1630000</v>
      </c>
      <c r="F383" t="s">
        <v>121</v>
      </c>
      <c r="G383" t="s">
        <v>117</v>
      </c>
      <c r="H383" t="s">
        <v>203</v>
      </c>
      <c r="I383" s="197">
        <v>45746.791869189816</v>
      </c>
      <c r="J383" t="b">
        <v>0</v>
      </c>
      <c r="K383" t="s">
        <v>543</v>
      </c>
      <c r="L383" t="s">
        <v>77</v>
      </c>
      <c r="M383">
        <v>30</v>
      </c>
      <c r="N383">
        <v>3</v>
      </c>
      <c r="O383">
        <v>2025</v>
      </c>
      <c r="R383">
        <f>IF(wallet_records[[#This Row],[type]]="Gasto",wallet_records[[#This Row],[amount]]*(-1),wallet_records[[#This Row],[amount]])</f>
        <v>1630000</v>
      </c>
    </row>
    <row r="384" spans="1:18" x14ac:dyDescent="0.2">
      <c r="A384" t="s">
        <v>127</v>
      </c>
      <c r="B384" t="s">
        <v>130</v>
      </c>
      <c r="C384" t="s">
        <v>115</v>
      </c>
      <c r="D384" s="291">
        <v>900000</v>
      </c>
      <c r="E384">
        <v>900000</v>
      </c>
      <c r="F384" t="s">
        <v>121</v>
      </c>
      <c r="G384" t="s">
        <v>117</v>
      </c>
      <c r="H384" t="s">
        <v>204</v>
      </c>
      <c r="I384" s="197">
        <v>45744.791753043981</v>
      </c>
      <c r="J384" t="b">
        <v>0</v>
      </c>
      <c r="K384" t="s">
        <v>544</v>
      </c>
      <c r="L384" t="s">
        <v>6</v>
      </c>
      <c r="M384">
        <v>28</v>
      </c>
      <c r="N384">
        <v>3</v>
      </c>
      <c r="O384">
        <v>2025</v>
      </c>
      <c r="R384">
        <f>IF(wallet_records[[#This Row],[type]]="Gasto",wallet_records[[#This Row],[amount]]*(-1),wallet_records[[#This Row],[amount]])</f>
        <v>900000</v>
      </c>
    </row>
    <row r="385" spans="1:18" x14ac:dyDescent="0.2">
      <c r="A385" t="s">
        <v>127</v>
      </c>
      <c r="B385" t="s">
        <v>130</v>
      </c>
      <c r="C385" t="s">
        <v>115</v>
      </c>
      <c r="D385" s="291">
        <v>881000</v>
      </c>
      <c r="E385">
        <v>881000</v>
      </c>
      <c r="F385" t="s">
        <v>121</v>
      </c>
      <c r="G385" t="s">
        <v>117</v>
      </c>
      <c r="H385" t="s">
        <v>206</v>
      </c>
      <c r="I385" s="197">
        <v>45732.791666666664</v>
      </c>
      <c r="J385" t="b">
        <v>0</v>
      </c>
      <c r="K385" t="s">
        <v>7</v>
      </c>
      <c r="L385" t="s">
        <v>7</v>
      </c>
      <c r="M385">
        <v>16</v>
      </c>
      <c r="N385">
        <v>3</v>
      </c>
      <c r="O385">
        <v>2025</v>
      </c>
      <c r="R385">
        <f>IF(wallet_records[[#This Row],[type]]="Gasto",wallet_records[[#This Row],[amount]]*(-1),wallet_records[[#This Row],[amount]])</f>
        <v>881000</v>
      </c>
    </row>
    <row r="386" spans="1:18" x14ac:dyDescent="0.2">
      <c r="A386" t="s">
        <v>127</v>
      </c>
      <c r="B386" t="s">
        <v>130</v>
      </c>
      <c r="C386" t="s">
        <v>115</v>
      </c>
      <c r="D386" s="291">
        <v>3000000</v>
      </c>
      <c r="E386">
        <v>3000000</v>
      </c>
      <c r="F386" t="s">
        <v>121</v>
      </c>
      <c r="G386" t="s">
        <v>117</v>
      </c>
      <c r="H386" t="s">
        <v>207</v>
      </c>
      <c r="I386" s="197">
        <v>45731.791907766201</v>
      </c>
      <c r="J386" t="b">
        <v>0</v>
      </c>
      <c r="K386" t="s">
        <v>539</v>
      </c>
      <c r="L386" t="s">
        <v>46</v>
      </c>
      <c r="M386">
        <v>15</v>
      </c>
      <c r="N386">
        <v>3</v>
      </c>
      <c r="O386">
        <v>2025</v>
      </c>
      <c r="R386">
        <f>IF(wallet_records[[#This Row],[type]]="Gasto",wallet_records[[#This Row],[amount]]*(-1),wallet_records[[#This Row],[amount]])</f>
        <v>3000000</v>
      </c>
    </row>
    <row r="387" spans="1:18" x14ac:dyDescent="0.2">
      <c r="A387" t="s">
        <v>127</v>
      </c>
      <c r="B387" t="s">
        <v>130</v>
      </c>
      <c r="C387" t="s">
        <v>115</v>
      </c>
      <c r="D387" s="291">
        <v>1650000</v>
      </c>
      <c r="E387">
        <v>1650000</v>
      </c>
      <c r="F387" t="s">
        <v>121</v>
      </c>
      <c r="G387" t="s">
        <v>117</v>
      </c>
      <c r="H387" t="s">
        <v>208</v>
      </c>
      <c r="I387" s="197">
        <v>45729.79190452546</v>
      </c>
      <c r="J387" t="b">
        <v>0</v>
      </c>
      <c r="K387" t="s">
        <v>540</v>
      </c>
      <c r="L387" t="s">
        <v>1</v>
      </c>
      <c r="M387">
        <v>13</v>
      </c>
      <c r="N387">
        <v>3</v>
      </c>
      <c r="O387">
        <v>2025</v>
      </c>
      <c r="R387">
        <f>IF(wallet_records[[#This Row],[type]]="Gasto",wallet_records[[#This Row],[amount]]*(-1),wallet_records[[#This Row],[amount]])</f>
        <v>1650000</v>
      </c>
    </row>
    <row r="388" spans="1:18" x14ac:dyDescent="0.2">
      <c r="A388" t="s">
        <v>127</v>
      </c>
      <c r="B388" t="s">
        <v>130</v>
      </c>
      <c r="C388" t="s">
        <v>115</v>
      </c>
      <c r="D388" s="291">
        <v>1450000</v>
      </c>
      <c r="E388">
        <v>1450000</v>
      </c>
      <c r="F388" t="s">
        <v>121</v>
      </c>
      <c r="G388" t="s">
        <v>117</v>
      </c>
      <c r="H388" t="s">
        <v>209</v>
      </c>
      <c r="I388" s="197">
        <v>45718.792084432869</v>
      </c>
      <c r="J388" t="b">
        <v>0</v>
      </c>
      <c r="K388" t="s">
        <v>541</v>
      </c>
      <c r="L388" t="s">
        <v>0</v>
      </c>
      <c r="M388">
        <v>2</v>
      </c>
      <c r="N388">
        <v>3</v>
      </c>
      <c r="O388">
        <v>2025</v>
      </c>
      <c r="R388">
        <f>IF(wallet_records[[#This Row],[type]]="Gasto",wallet_records[[#This Row],[amount]]*(-1),wallet_records[[#This Row],[amount]])</f>
        <v>1450000</v>
      </c>
    </row>
    <row r="389" spans="1:18" x14ac:dyDescent="0.2">
      <c r="A389" t="s">
        <v>127</v>
      </c>
      <c r="B389" t="s">
        <v>130</v>
      </c>
      <c r="C389" t="s">
        <v>115</v>
      </c>
      <c r="D389" s="291">
        <v>1450000</v>
      </c>
      <c r="E389">
        <v>1450000</v>
      </c>
      <c r="F389" t="s">
        <v>121</v>
      </c>
      <c r="G389" t="s">
        <v>117</v>
      </c>
      <c r="H389" t="s">
        <v>210</v>
      </c>
      <c r="I389" s="197">
        <v>45718.791974363427</v>
      </c>
      <c r="J389" t="b">
        <v>0</v>
      </c>
      <c r="K389" t="s">
        <v>541</v>
      </c>
      <c r="L389" t="s">
        <v>0</v>
      </c>
      <c r="M389">
        <v>2</v>
      </c>
      <c r="N389">
        <v>3</v>
      </c>
      <c r="O389">
        <v>2025</v>
      </c>
      <c r="R389">
        <f>IF(wallet_records[[#This Row],[type]]="Gasto",wallet_records[[#This Row],[amount]]*(-1),wallet_records[[#This Row],[amount]])</f>
        <v>1450000</v>
      </c>
    </row>
    <row r="390" spans="1:18" x14ac:dyDescent="0.2">
      <c r="A390" t="s">
        <v>127</v>
      </c>
      <c r="B390" t="s">
        <v>130</v>
      </c>
      <c r="C390" t="s">
        <v>115</v>
      </c>
      <c r="D390" s="291">
        <v>1650000</v>
      </c>
      <c r="E390">
        <v>1650000</v>
      </c>
      <c r="F390" t="s">
        <v>121</v>
      </c>
      <c r="G390" t="s">
        <v>117</v>
      </c>
      <c r="H390" t="s">
        <v>211</v>
      </c>
      <c r="I390" s="197">
        <v>45715.791763425928</v>
      </c>
      <c r="J390" t="b">
        <v>0</v>
      </c>
      <c r="K390" t="s">
        <v>543</v>
      </c>
      <c r="L390" t="s">
        <v>77</v>
      </c>
      <c r="M390">
        <v>27</v>
      </c>
      <c r="N390">
        <v>2</v>
      </c>
      <c r="O390">
        <v>2025</v>
      </c>
      <c r="R390">
        <f>IF(wallet_records[[#This Row],[type]]="Gasto",wallet_records[[#This Row],[amount]]*(-1),wallet_records[[#This Row],[amount]])</f>
        <v>1650000</v>
      </c>
    </row>
    <row r="391" spans="1:18" x14ac:dyDescent="0.2">
      <c r="A391" t="s">
        <v>127</v>
      </c>
      <c r="B391" t="s">
        <v>130</v>
      </c>
      <c r="C391" t="s">
        <v>115</v>
      </c>
      <c r="D391" s="291">
        <v>881000</v>
      </c>
      <c r="E391">
        <v>881000</v>
      </c>
      <c r="F391" t="s">
        <v>121</v>
      </c>
      <c r="G391" t="s">
        <v>117</v>
      </c>
      <c r="H391" t="s">
        <v>212</v>
      </c>
      <c r="I391" s="197">
        <v>45705.791666666664</v>
      </c>
      <c r="J391" t="b">
        <v>0</v>
      </c>
      <c r="K391" t="s">
        <v>7</v>
      </c>
      <c r="L391" t="s">
        <v>7</v>
      </c>
      <c r="M391">
        <v>17</v>
      </c>
      <c r="N391">
        <v>2</v>
      </c>
      <c r="O391">
        <v>2025</v>
      </c>
      <c r="R391">
        <f>IF(wallet_records[[#This Row],[type]]="Gasto",wallet_records[[#This Row],[amount]]*(-1),wallet_records[[#This Row],[amount]])</f>
        <v>881000</v>
      </c>
    </row>
    <row r="392" spans="1:18" x14ac:dyDescent="0.2">
      <c r="A392" t="s">
        <v>127</v>
      </c>
      <c r="B392" t="s">
        <v>130</v>
      </c>
      <c r="C392" t="s">
        <v>115</v>
      </c>
      <c r="D392" s="291">
        <v>1650000</v>
      </c>
      <c r="E392">
        <v>1650000</v>
      </c>
      <c r="F392" t="s">
        <v>121</v>
      </c>
      <c r="G392" t="s">
        <v>117</v>
      </c>
      <c r="H392" t="s">
        <v>213</v>
      </c>
      <c r="I392" s="197">
        <v>45702.791804548608</v>
      </c>
      <c r="J392" t="b">
        <v>0</v>
      </c>
      <c r="K392" t="s">
        <v>540</v>
      </c>
      <c r="L392" t="s">
        <v>1</v>
      </c>
      <c r="M392">
        <v>14</v>
      </c>
      <c r="N392">
        <v>2</v>
      </c>
      <c r="O392">
        <v>2025</v>
      </c>
      <c r="R392">
        <f>IF(wallet_records[[#This Row],[type]]="Gasto",wallet_records[[#This Row],[amount]]*(-1),wallet_records[[#This Row],[amount]])</f>
        <v>1650000</v>
      </c>
    </row>
    <row r="393" spans="1:18" x14ac:dyDescent="0.2">
      <c r="A393" t="s">
        <v>127</v>
      </c>
      <c r="B393" t="s">
        <v>130</v>
      </c>
      <c r="C393" t="s">
        <v>115</v>
      </c>
      <c r="D393" s="291">
        <v>3000000</v>
      </c>
      <c r="E393">
        <v>3000000</v>
      </c>
      <c r="F393" t="s">
        <v>121</v>
      </c>
      <c r="G393" t="s">
        <v>117</v>
      </c>
      <c r="H393" t="s">
        <v>214</v>
      </c>
      <c r="I393" s="197">
        <v>45701.791811944444</v>
      </c>
      <c r="J393" t="b">
        <v>0</v>
      </c>
      <c r="K393" t="s">
        <v>539</v>
      </c>
      <c r="L393" t="s">
        <v>46</v>
      </c>
      <c r="M393">
        <v>13</v>
      </c>
      <c r="N393">
        <v>2</v>
      </c>
      <c r="O393">
        <v>2025</v>
      </c>
      <c r="R393">
        <f>IF(wallet_records[[#This Row],[type]]="Gasto",wallet_records[[#This Row],[amount]]*(-1),wallet_records[[#This Row],[amount]])</f>
        <v>3000000</v>
      </c>
    </row>
    <row r="394" spans="1:18" x14ac:dyDescent="0.2">
      <c r="A394" t="s">
        <v>127</v>
      </c>
      <c r="B394" t="s">
        <v>130</v>
      </c>
      <c r="C394" t="s">
        <v>115</v>
      </c>
      <c r="D394" s="291">
        <v>1450000</v>
      </c>
      <c r="E394">
        <v>1450000</v>
      </c>
      <c r="F394" t="s">
        <v>121</v>
      </c>
      <c r="G394" t="s">
        <v>117</v>
      </c>
      <c r="H394" t="s">
        <v>217</v>
      </c>
      <c r="I394" s="197">
        <v>45690.792272858795</v>
      </c>
      <c r="J394" t="b">
        <v>0</v>
      </c>
      <c r="K394" t="s">
        <v>541</v>
      </c>
      <c r="L394" t="s">
        <v>0</v>
      </c>
      <c r="M394">
        <v>2</v>
      </c>
      <c r="N394">
        <v>2</v>
      </c>
      <c r="O394">
        <v>2025</v>
      </c>
      <c r="R394">
        <f>IF(wallet_records[[#This Row],[type]]="Gasto",wallet_records[[#This Row],[amount]]*(-1),wallet_records[[#This Row],[amount]])</f>
        <v>1450000</v>
      </c>
    </row>
    <row r="395" spans="1:18" x14ac:dyDescent="0.2">
      <c r="A395" t="s">
        <v>127</v>
      </c>
      <c r="B395" t="s">
        <v>130</v>
      </c>
      <c r="C395" t="s">
        <v>115</v>
      </c>
      <c r="D395" s="291">
        <v>450000</v>
      </c>
      <c r="E395">
        <v>450000</v>
      </c>
      <c r="F395" t="s">
        <v>121</v>
      </c>
      <c r="G395" t="s">
        <v>117</v>
      </c>
      <c r="H395" t="s">
        <v>219</v>
      </c>
      <c r="I395" s="197">
        <v>45687.792315266204</v>
      </c>
      <c r="J395" t="b">
        <v>0</v>
      </c>
      <c r="K395" t="s">
        <v>544</v>
      </c>
      <c r="L395" t="s">
        <v>6</v>
      </c>
      <c r="M395">
        <v>30</v>
      </c>
      <c r="N395">
        <v>1</v>
      </c>
      <c r="O395">
        <v>2025</v>
      </c>
      <c r="R395">
        <f>IF(wallet_records[[#This Row],[type]]="Gasto",wallet_records[[#This Row],[amount]]*(-1),wallet_records[[#This Row],[amount]])</f>
        <v>450000</v>
      </c>
    </row>
    <row r="396" spans="1:18" x14ac:dyDescent="0.2">
      <c r="A396" t="s">
        <v>127</v>
      </c>
      <c r="B396" t="s">
        <v>130</v>
      </c>
      <c r="C396" t="s">
        <v>115</v>
      </c>
      <c r="D396" s="291">
        <v>1630000</v>
      </c>
      <c r="E396">
        <v>1630000</v>
      </c>
      <c r="F396" t="s">
        <v>121</v>
      </c>
      <c r="G396" t="s">
        <v>117</v>
      </c>
      <c r="H396" t="s">
        <v>220</v>
      </c>
      <c r="I396" s="197">
        <v>45686.792303263886</v>
      </c>
      <c r="J396" t="b">
        <v>0</v>
      </c>
      <c r="K396" t="s">
        <v>543</v>
      </c>
      <c r="L396" t="s">
        <v>77</v>
      </c>
      <c r="M396">
        <v>29</v>
      </c>
      <c r="N396">
        <v>1</v>
      </c>
      <c r="O396">
        <v>2025</v>
      </c>
      <c r="R396">
        <f>IF(wallet_records[[#This Row],[type]]="Gasto",wallet_records[[#This Row],[amount]]*(-1),wallet_records[[#This Row],[amount]])</f>
        <v>1630000</v>
      </c>
    </row>
    <row r="397" spans="1:18" x14ac:dyDescent="0.2">
      <c r="A397" t="s">
        <v>127</v>
      </c>
      <c r="B397" t="s">
        <v>130</v>
      </c>
      <c r="C397" t="s">
        <v>115</v>
      </c>
      <c r="D397" s="291">
        <v>881000</v>
      </c>
      <c r="E397">
        <v>881000</v>
      </c>
      <c r="F397" t="s">
        <v>121</v>
      </c>
      <c r="G397" t="s">
        <v>117</v>
      </c>
      <c r="H397" t="s">
        <v>221</v>
      </c>
      <c r="I397" s="197">
        <v>45678.791666666664</v>
      </c>
      <c r="J397" t="b">
        <v>0</v>
      </c>
      <c r="K397" t="s">
        <v>7</v>
      </c>
      <c r="L397" t="s">
        <v>7</v>
      </c>
      <c r="M397">
        <v>21</v>
      </c>
      <c r="N397">
        <v>1</v>
      </c>
      <c r="O397">
        <v>2025</v>
      </c>
      <c r="R397">
        <f>IF(wallet_records[[#This Row],[type]]="Gasto",wallet_records[[#This Row],[amount]]*(-1),wallet_records[[#This Row],[amount]])</f>
        <v>881000</v>
      </c>
    </row>
    <row r="398" spans="1:18" x14ac:dyDescent="0.2">
      <c r="A398" t="s">
        <v>127</v>
      </c>
      <c r="B398" t="s">
        <v>130</v>
      </c>
      <c r="C398" t="s">
        <v>115</v>
      </c>
      <c r="D398" s="291">
        <v>1870000</v>
      </c>
      <c r="E398">
        <v>1870000</v>
      </c>
      <c r="F398" t="s">
        <v>121</v>
      </c>
      <c r="G398" t="s">
        <v>117</v>
      </c>
      <c r="H398" t="s">
        <v>224</v>
      </c>
      <c r="I398" s="197">
        <v>45671.792360185187</v>
      </c>
      <c r="J398" t="b">
        <v>0</v>
      </c>
      <c r="K398" t="s">
        <v>540</v>
      </c>
      <c r="L398" t="s">
        <v>1</v>
      </c>
      <c r="M398">
        <v>14</v>
      </c>
      <c r="N398">
        <v>1</v>
      </c>
      <c r="O398">
        <v>2025</v>
      </c>
      <c r="R398">
        <f>IF(wallet_records[[#This Row],[type]]="Gasto",wallet_records[[#This Row],[amount]]*(-1),wallet_records[[#This Row],[amount]])</f>
        <v>1870000</v>
      </c>
    </row>
    <row r="399" spans="1:18" x14ac:dyDescent="0.2">
      <c r="A399" t="s">
        <v>127</v>
      </c>
      <c r="B399" t="s">
        <v>130</v>
      </c>
      <c r="C399" t="s">
        <v>115</v>
      </c>
      <c r="D399" s="291">
        <v>3000000</v>
      </c>
      <c r="E399">
        <v>3000000</v>
      </c>
      <c r="F399" t="s">
        <v>121</v>
      </c>
      <c r="G399" t="s">
        <v>117</v>
      </c>
      <c r="H399" t="s">
        <v>223</v>
      </c>
      <c r="I399" s="197">
        <v>45671.791699247682</v>
      </c>
      <c r="J399" t="b">
        <v>0</v>
      </c>
      <c r="K399" t="s">
        <v>539</v>
      </c>
      <c r="L399" t="s">
        <v>46</v>
      </c>
      <c r="M399">
        <v>14</v>
      </c>
      <c r="N399">
        <v>1</v>
      </c>
      <c r="O399">
        <v>2025</v>
      </c>
      <c r="R399">
        <f>IF(wallet_records[[#This Row],[type]]="Gasto",wallet_records[[#This Row],[amount]]*(-1),wallet_records[[#This Row],[amount]])</f>
        <v>3000000</v>
      </c>
    </row>
    <row r="400" spans="1:18" x14ac:dyDescent="0.2">
      <c r="A400" t="s">
        <v>127</v>
      </c>
      <c r="B400" t="s">
        <v>130</v>
      </c>
      <c r="C400" t="s">
        <v>115</v>
      </c>
      <c r="D400" s="291">
        <v>1450000</v>
      </c>
      <c r="E400">
        <v>1450000</v>
      </c>
      <c r="F400" t="s">
        <v>121</v>
      </c>
      <c r="G400" t="s">
        <v>117</v>
      </c>
      <c r="H400" t="s">
        <v>226</v>
      </c>
      <c r="I400" s="197">
        <v>45658.791730104167</v>
      </c>
      <c r="J400" t="b">
        <v>0</v>
      </c>
      <c r="K400" t="s">
        <v>541</v>
      </c>
      <c r="L400" t="s">
        <v>0</v>
      </c>
      <c r="M400">
        <v>1</v>
      </c>
      <c r="N400">
        <v>1</v>
      </c>
      <c r="O400">
        <v>2025</v>
      </c>
      <c r="R400">
        <f>IF(wallet_records[[#This Row],[type]]="Gasto",wallet_records[[#This Row],[amount]]*(-1),wallet_records[[#This Row],[amount]])</f>
        <v>1450000</v>
      </c>
    </row>
    <row r="401" spans="1:18" x14ac:dyDescent="0.2">
      <c r="A401" t="s">
        <v>524</v>
      </c>
      <c r="B401" t="s">
        <v>172</v>
      </c>
      <c r="C401" t="s">
        <v>115</v>
      </c>
      <c r="D401" s="291">
        <v>3500000</v>
      </c>
      <c r="E401">
        <v>3500000</v>
      </c>
      <c r="F401" t="s">
        <v>116</v>
      </c>
      <c r="G401" t="s">
        <v>117</v>
      </c>
      <c r="H401" t="s">
        <v>173</v>
      </c>
      <c r="I401" s="197">
        <v>45909.791666666664</v>
      </c>
      <c r="J401" t="b">
        <v>0</v>
      </c>
      <c r="K401" t="s">
        <v>138</v>
      </c>
      <c r="L401" t="s">
        <v>139</v>
      </c>
      <c r="M401">
        <v>9</v>
      </c>
      <c r="N401">
        <v>9</v>
      </c>
      <c r="O401">
        <v>2025</v>
      </c>
      <c r="R401">
        <f>IF(wallet_records[[#This Row],[type]]="Gasto",wallet_records[[#This Row],[amount]]*(-1),wallet_records[[#This Row],[amount]])</f>
        <v>-3500000</v>
      </c>
    </row>
    <row r="402" spans="1:18" x14ac:dyDescent="0.2">
      <c r="A402" t="s">
        <v>524</v>
      </c>
      <c r="B402" t="s">
        <v>172</v>
      </c>
      <c r="C402" t="s">
        <v>115</v>
      </c>
      <c r="D402" s="291">
        <v>3500000</v>
      </c>
      <c r="E402">
        <v>3500000</v>
      </c>
      <c r="F402" t="s">
        <v>116</v>
      </c>
      <c r="G402" t="s">
        <v>117</v>
      </c>
      <c r="H402" t="s">
        <v>173</v>
      </c>
      <c r="I402" s="197">
        <v>45909.791666666664</v>
      </c>
      <c r="J402" t="b">
        <v>0</v>
      </c>
      <c r="K402" t="s">
        <v>138</v>
      </c>
      <c r="L402" t="s">
        <v>139</v>
      </c>
      <c r="M402">
        <v>9</v>
      </c>
      <c r="N402">
        <v>9</v>
      </c>
      <c r="O402">
        <v>2025</v>
      </c>
      <c r="R402">
        <f>IF(wallet_records[[#This Row],[type]]="Gasto",wallet_records[[#This Row],[amount]]*(-1),wallet_records[[#This Row],[amount]])</f>
        <v>-3500000</v>
      </c>
    </row>
    <row r="403" spans="1:18" x14ac:dyDescent="0.2">
      <c r="A403" t="s">
        <v>524</v>
      </c>
      <c r="B403" t="s">
        <v>172</v>
      </c>
      <c r="C403" t="s">
        <v>115</v>
      </c>
      <c r="D403" s="291">
        <v>500000</v>
      </c>
      <c r="E403">
        <v>500000</v>
      </c>
      <c r="F403" t="s">
        <v>116</v>
      </c>
      <c r="G403" t="s">
        <v>117</v>
      </c>
      <c r="H403" t="s">
        <v>174</v>
      </c>
      <c r="I403" s="197">
        <v>45900.791666666664</v>
      </c>
      <c r="J403" t="b">
        <v>0</v>
      </c>
      <c r="K403" t="s">
        <v>138</v>
      </c>
      <c r="L403" t="s">
        <v>139</v>
      </c>
      <c r="M403">
        <v>31</v>
      </c>
      <c r="N403">
        <v>8</v>
      </c>
      <c r="O403">
        <v>2025</v>
      </c>
      <c r="R403">
        <f>IF(wallet_records[[#This Row],[type]]="Gasto",wallet_records[[#This Row],[amount]]*(-1),wallet_records[[#This Row],[amount]])</f>
        <v>-500000</v>
      </c>
    </row>
    <row r="404" spans="1:18" x14ac:dyDescent="0.2">
      <c r="A404" t="s">
        <v>524</v>
      </c>
      <c r="B404" t="s">
        <v>172</v>
      </c>
      <c r="C404" t="s">
        <v>115</v>
      </c>
      <c r="D404" s="291">
        <v>100000</v>
      </c>
      <c r="E404">
        <v>100000</v>
      </c>
      <c r="F404" t="s">
        <v>116</v>
      </c>
      <c r="G404" t="s">
        <v>117</v>
      </c>
      <c r="H404" t="s">
        <v>174</v>
      </c>
      <c r="I404" s="197">
        <v>45900.791666666664</v>
      </c>
      <c r="J404" t="b">
        <v>0</v>
      </c>
      <c r="K404" t="s">
        <v>138</v>
      </c>
      <c r="L404" t="s">
        <v>139</v>
      </c>
      <c r="M404">
        <v>31</v>
      </c>
      <c r="N404">
        <v>8</v>
      </c>
      <c r="O404">
        <v>2025</v>
      </c>
      <c r="R404">
        <f>IF(wallet_records[[#This Row],[type]]="Gasto",wallet_records[[#This Row],[amount]]*(-1),wallet_records[[#This Row],[amount]])</f>
        <v>-100000</v>
      </c>
    </row>
    <row r="405" spans="1:18" x14ac:dyDescent="0.2">
      <c r="A405" t="s">
        <v>524</v>
      </c>
      <c r="B405" t="s">
        <v>172</v>
      </c>
      <c r="C405" t="s">
        <v>115</v>
      </c>
      <c r="D405" s="291">
        <v>10770000</v>
      </c>
      <c r="E405">
        <v>10770000</v>
      </c>
      <c r="F405" t="s">
        <v>116</v>
      </c>
      <c r="G405" t="s">
        <v>117</v>
      </c>
      <c r="H405" t="s">
        <v>173</v>
      </c>
      <c r="I405" s="197">
        <v>45672.791693125</v>
      </c>
      <c r="J405" t="b">
        <v>0</v>
      </c>
      <c r="K405" t="s">
        <v>138</v>
      </c>
      <c r="L405" t="s">
        <v>139</v>
      </c>
      <c r="M405">
        <v>15</v>
      </c>
      <c r="N405">
        <v>1</v>
      </c>
      <c r="O405">
        <v>2025</v>
      </c>
      <c r="R405">
        <f>IF(wallet_records[[#This Row],[type]]="Gasto",wallet_records[[#This Row],[amount]]*(-1),wallet_records[[#This Row],[amount]])</f>
        <v>-10770000</v>
      </c>
    </row>
    <row r="406" spans="1:18" x14ac:dyDescent="0.2">
      <c r="A406" t="s">
        <v>524</v>
      </c>
      <c r="B406" t="s">
        <v>172</v>
      </c>
      <c r="C406" t="s">
        <v>115</v>
      </c>
      <c r="D406" s="291">
        <v>500000</v>
      </c>
      <c r="E406">
        <v>500000</v>
      </c>
      <c r="F406" t="s">
        <v>116</v>
      </c>
      <c r="G406" t="s">
        <v>117</v>
      </c>
      <c r="H406" t="s">
        <v>173</v>
      </c>
      <c r="I406" s="197">
        <v>45660.791666666664</v>
      </c>
      <c r="J406" t="b">
        <v>0</v>
      </c>
      <c r="K406" t="s">
        <v>138</v>
      </c>
      <c r="L406" t="s">
        <v>139</v>
      </c>
      <c r="M406">
        <v>3</v>
      </c>
      <c r="N406">
        <v>1</v>
      </c>
      <c r="O406">
        <v>2025</v>
      </c>
      <c r="R406">
        <f>IF(wallet_records[[#This Row],[type]]="Gasto",wallet_records[[#This Row],[amount]]*(-1),wallet_records[[#This Row],[amount]])</f>
        <v>-500000</v>
      </c>
    </row>
    <row r="407" spans="1:18" x14ac:dyDescent="0.2">
      <c r="A407" t="s">
        <v>127</v>
      </c>
      <c r="B407" t="s">
        <v>144</v>
      </c>
      <c r="C407" t="s">
        <v>115</v>
      </c>
      <c r="D407" s="291">
        <v>405800</v>
      </c>
      <c r="E407">
        <v>405800</v>
      </c>
      <c r="F407" t="s">
        <v>116</v>
      </c>
      <c r="G407" t="s">
        <v>117</v>
      </c>
      <c r="H407" t="s">
        <v>145</v>
      </c>
      <c r="I407" s="197">
        <v>45635.791666666664</v>
      </c>
      <c r="J407" t="b">
        <v>0</v>
      </c>
      <c r="K407" t="s">
        <v>146</v>
      </c>
      <c r="L407" t="s">
        <v>139</v>
      </c>
      <c r="M407">
        <v>9</v>
      </c>
      <c r="N407">
        <v>12</v>
      </c>
      <c r="O407">
        <v>2024</v>
      </c>
      <c r="R407">
        <f>IF(wallet_records[[#This Row],[type]]="Gasto",wallet_records[[#This Row],[amount]]*(-1),wallet_records[[#This Row],[amount]])</f>
        <v>-405800</v>
      </c>
    </row>
    <row r="408" spans="1:18" x14ac:dyDescent="0.2">
      <c r="A408" t="s">
        <v>127</v>
      </c>
      <c r="B408" t="s">
        <v>144</v>
      </c>
      <c r="C408" t="s">
        <v>115</v>
      </c>
      <c r="D408" s="291">
        <v>370500</v>
      </c>
      <c r="E408">
        <v>370500</v>
      </c>
      <c r="F408" t="s">
        <v>116</v>
      </c>
      <c r="G408" t="s">
        <v>117</v>
      </c>
      <c r="H408" t="s">
        <v>145</v>
      </c>
      <c r="I408" s="197">
        <v>45598.791666666664</v>
      </c>
      <c r="J408" t="b">
        <v>0</v>
      </c>
      <c r="K408" t="s">
        <v>146</v>
      </c>
      <c r="L408" t="s">
        <v>139</v>
      </c>
      <c r="M408">
        <v>2</v>
      </c>
      <c r="N408">
        <v>11</v>
      </c>
      <c r="O408">
        <v>2024</v>
      </c>
      <c r="R408">
        <f>IF(wallet_records[[#This Row],[type]]="Gasto",wallet_records[[#This Row],[amount]]*(-1),wallet_records[[#This Row],[amount]])</f>
        <v>-370500</v>
      </c>
    </row>
    <row r="409" spans="1:18" x14ac:dyDescent="0.2">
      <c r="A409" t="s">
        <v>127</v>
      </c>
      <c r="B409" t="s">
        <v>144</v>
      </c>
      <c r="C409" t="s">
        <v>115</v>
      </c>
      <c r="D409" s="291">
        <v>370500</v>
      </c>
      <c r="E409">
        <v>370500</v>
      </c>
      <c r="F409" t="s">
        <v>116</v>
      </c>
      <c r="G409" t="s">
        <v>117</v>
      </c>
      <c r="H409" t="s">
        <v>145</v>
      </c>
      <c r="I409" s="197">
        <v>45569.791666666664</v>
      </c>
      <c r="J409" t="b">
        <v>0</v>
      </c>
      <c r="K409" t="s">
        <v>146</v>
      </c>
      <c r="L409" t="s">
        <v>139</v>
      </c>
      <c r="M409">
        <v>4</v>
      </c>
      <c r="N409">
        <v>10</v>
      </c>
      <c r="O409">
        <v>2024</v>
      </c>
      <c r="R409">
        <f>IF(wallet_records[[#This Row],[type]]="Gasto",wallet_records[[#This Row],[amount]]*(-1),wallet_records[[#This Row],[amount]])</f>
        <v>-370500</v>
      </c>
    </row>
    <row r="410" spans="1:18" x14ac:dyDescent="0.2">
      <c r="A410" t="s">
        <v>127</v>
      </c>
      <c r="B410" t="s">
        <v>144</v>
      </c>
      <c r="C410" t="s">
        <v>115</v>
      </c>
      <c r="D410" s="291">
        <v>370500</v>
      </c>
      <c r="E410">
        <v>370500</v>
      </c>
      <c r="F410" t="s">
        <v>116</v>
      </c>
      <c r="G410" t="s">
        <v>117</v>
      </c>
      <c r="H410" t="s">
        <v>145</v>
      </c>
      <c r="I410" s="197">
        <v>45535.791666666664</v>
      </c>
      <c r="J410" t="b">
        <v>0</v>
      </c>
      <c r="K410" t="s">
        <v>146</v>
      </c>
      <c r="L410" t="s">
        <v>139</v>
      </c>
      <c r="M410">
        <v>31</v>
      </c>
      <c r="N410">
        <v>8</v>
      </c>
      <c r="O410">
        <v>2024</v>
      </c>
      <c r="R410">
        <f>IF(wallet_records[[#This Row],[type]]="Gasto",wallet_records[[#This Row],[amount]]*(-1),wallet_records[[#This Row],[amount]])</f>
        <v>-370500</v>
      </c>
    </row>
    <row r="411" spans="1:18" x14ac:dyDescent="0.2">
      <c r="A411" t="s">
        <v>127</v>
      </c>
      <c r="B411" t="s">
        <v>144</v>
      </c>
      <c r="C411" t="s">
        <v>115</v>
      </c>
      <c r="D411" s="291">
        <v>370500</v>
      </c>
      <c r="E411">
        <v>370500</v>
      </c>
      <c r="F411" t="s">
        <v>116</v>
      </c>
      <c r="G411" t="s">
        <v>117</v>
      </c>
      <c r="H411" t="s">
        <v>145</v>
      </c>
      <c r="I411" s="197">
        <v>45505.791666666664</v>
      </c>
      <c r="J411" t="b">
        <v>0</v>
      </c>
      <c r="K411" t="s">
        <v>146</v>
      </c>
      <c r="L411" t="s">
        <v>139</v>
      </c>
      <c r="M411">
        <v>1</v>
      </c>
      <c r="N411">
        <v>8</v>
      </c>
      <c r="O411">
        <v>2024</v>
      </c>
      <c r="R411">
        <f>IF(wallet_records[[#This Row],[type]]="Gasto",wallet_records[[#This Row],[amount]]*(-1),wallet_records[[#This Row],[amount]])</f>
        <v>-370500</v>
      </c>
    </row>
    <row r="412" spans="1:18" x14ac:dyDescent="0.2">
      <c r="A412" t="s">
        <v>127</v>
      </c>
      <c r="B412" t="s">
        <v>144</v>
      </c>
      <c r="C412" t="s">
        <v>115</v>
      </c>
      <c r="D412" s="291">
        <v>370500</v>
      </c>
      <c r="E412">
        <v>370500</v>
      </c>
      <c r="F412" t="s">
        <v>116</v>
      </c>
      <c r="G412" t="s">
        <v>117</v>
      </c>
      <c r="H412" t="s">
        <v>145</v>
      </c>
      <c r="I412" s="197">
        <v>45476.791666666664</v>
      </c>
      <c r="J412" t="b">
        <v>0</v>
      </c>
      <c r="K412" t="s">
        <v>146</v>
      </c>
      <c r="L412" t="s">
        <v>139</v>
      </c>
      <c r="M412">
        <v>3</v>
      </c>
      <c r="N412">
        <v>7</v>
      </c>
      <c r="O412">
        <v>2024</v>
      </c>
      <c r="R412">
        <f>IF(wallet_records[[#This Row],[type]]="Gasto",wallet_records[[#This Row],[amount]]*(-1),wallet_records[[#This Row],[amount]])</f>
        <v>-370500</v>
      </c>
    </row>
    <row r="413" spans="1:18" x14ac:dyDescent="0.2">
      <c r="A413" t="s">
        <v>127</v>
      </c>
      <c r="B413" t="s">
        <v>144</v>
      </c>
      <c r="C413" t="s">
        <v>115</v>
      </c>
      <c r="D413" s="291">
        <v>370500</v>
      </c>
      <c r="E413">
        <v>370500</v>
      </c>
      <c r="F413" t="s">
        <v>116</v>
      </c>
      <c r="G413" t="s">
        <v>117</v>
      </c>
      <c r="H413" t="s">
        <v>145</v>
      </c>
      <c r="I413" s="197">
        <v>45446.791666666664</v>
      </c>
      <c r="J413" t="b">
        <v>0</v>
      </c>
      <c r="K413" t="s">
        <v>146</v>
      </c>
      <c r="L413" t="s">
        <v>139</v>
      </c>
      <c r="M413">
        <v>3</v>
      </c>
      <c r="N413">
        <v>6</v>
      </c>
      <c r="O413">
        <v>2024</v>
      </c>
      <c r="R413">
        <f>IF(wallet_records[[#This Row],[type]]="Gasto",wallet_records[[#This Row],[amount]]*(-1),wallet_records[[#This Row],[amount]])</f>
        <v>-370500</v>
      </c>
    </row>
    <row r="414" spans="1:18" x14ac:dyDescent="0.2">
      <c r="A414" t="s">
        <v>127</v>
      </c>
      <c r="B414" t="s">
        <v>144</v>
      </c>
      <c r="C414" t="s">
        <v>115</v>
      </c>
      <c r="D414" s="291">
        <v>370500</v>
      </c>
      <c r="E414">
        <v>370500</v>
      </c>
      <c r="F414" t="s">
        <v>116</v>
      </c>
      <c r="G414" t="s">
        <v>117</v>
      </c>
      <c r="H414" t="s">
        <v>145</v>
      </c>
      <c r="I414" s="197">
        <v>45415.791666666664</v>
      </c>
      <c r="J414" t="b">
        <v>0</v>
      </c>
      <c r="K414" t="s">
        <v>146</v>
      </c>
      <c r="L414" t="s">
        <v>139</v>
      </c>
      <c r="M414">
        <v>3</v>
      </c>
      <c r="N414">
        <v>5</v>
      </c>
      <c r="O414">
        <v>2024</v>
      </c>
      <c r="R414">
        <f>IF(wallet_records[[#This Row],[type]]="Gasto",wallet_records[[#This Row],[amount]]*(-1),wallet_records[[#This Row],[amount]])</f>
        <v>-370500</v>
      </c>
    </row>
    <row r="415" spans="1:18" x14ac:dyDescent="0.2">
      <c r="A415" t="s">
        <v>127</v>
      </c>
      <c r="B415" t="s">
        <v>144</v>
      </c>
      <c r="C415" t="s">
        <v>115</v>
      </c>
      <c r="D415" s="291">
        <v>370500</v>
      </c>
      <c r="E415">
        <v>370500</v>
      </c>
      <c r="F415" t="s">
        <v>116</v>
      </c>
      <c r="G415" t="s">
        <v>117</v>
      </c>
      <c r="H415" t="s">
        <v>145</v>
      </c>
      <c r="I415" s="197">
        <v>45382.791666666664</v>
      </c>
      <c r="J415" t="b">
        <v>0</v>
      </c>
      <c r="K415" t="s">
        <v>146</v>
      </c>
      <c r="L415" t="s">
        <v>139</v>
      </c>
      <c r="M415">
        <v>31</v>
      </c>
      <c r="N415">
        <v>3</v>
      </c>
      <c r="O415">
        <v>2024</v>
      </c>
      <c r="R415">
        <f>IF(wallet_records[[#This Row],[type]]="Gasto",wallet_records[[#This Row],[amount]]*(-1),wallet_records[[#This Row],[amount]])</f>
        <v>-370500</v>
      </c>
    </row>
    <row r="416" spans="1:18" x14ac:dyDescent="0.2">
      <c r="A416" t="s">
        <v>127</v>
      </c>
      <c r="B416" t="s">
        <v>144</v>
      </c>
      <c r="C416" t="s">
        <v>115</v>
      </c>
      <c r="D416" s="291">
        <v>370500</v>
      </c>
      <c r="E416">
        <v>370500</v>
      </c>
      <c r="F416" t="s">
        <v>116</v>
      </c>
      <c r="G416" t="s">
        <v>117</v>
      </c>
      <c r="H416" t="s">
        <v>145</v>
      </c>
      <c r="I416" s="197">
        <v>45352.791666666664</v>
      </c>
      <c r="J416" t="b">
        <v>0</v>
      </c>
      <c r="K416" t="s">
        <v>146</v>
      </c>
      <c r="L416" t="s">
        <v>139</v>
      </c>
      <c r="M416">
        <v>1</v>
      </c>
      <c r="N416">
        <v>3</v>
      </c>
      <c r="O416">
        <v>2024</v>
      </c>
      <c r="R416">
        <f>IF(wallet_records[[#This Row],[type]]="Gasto",wallet_records[[#This Row],[amount]]*(-1),wallet_records[[#This Row],[amount]])</f>
        <v>-370500</v>
      </c>
    </row>
    <row r="417" spans="1:18" x14ac:dyDescent="0.2">
      <c r="A417" t="s">
        <v>127</v>
      </c>
      <c r="B417" t="s">
        <v>144</v>
      </c>
      <c r="C417" t="s">
        <v>115</v>
      </c>
      <c r="D417" s="291">
        <v>370500</v>
      </c>
      <c r="E417">
        <v>370500</v>
      </c>
      <c r="F417" t="s">
        <v>116</v>
      </c>
      <c r="G417" t="s">
        <v>117</v>
      </c>
      <c r="H417" t="s">
        <v>145</v>
      </c>
      <c r="I417" s="197">
        <v>45324.791666666664</v>
      </c>
      <c r="J417" t="b">
        <v>0</v>
      </c>
      <c r="K417" t="s">
        <v>146</v>
      </c>
      <c r="L417" t="s">
        <v>139</v>
      </c>
      <c r="M417">
        <v>2</v>
      </c>
      <c r="N417">
        <v>2</v>
      </c>
      <c r="O417">
        <v>2024</v>
      </c>
      <c r="R417">
        <f>IF(wallet_records[[#This Row],[type]]="Gasto",wallet_records[[#This Row],[amount]]*(-1),wallet_records[[#This Row],[amount]])</f>
        <v>-370500</v>
      </c>
    </row>
    <row r="418" spans="1:18" x14ac:dyDescent="0.2">
      <c r="A418" t="s">
        <v>127</v>
      </c>
      <c r="B418" t="s">
        <v>144</v>
      </c>
      <c r="C418" t="s">
        <v>115</v>
      </c>
      <c r="D418" s="291">
        <v>330600</v>
      </c>
      <c r="E418">
        <v>330600</v>
      </c>
      <c r="F418" t="s">
        <v>116</v>
      </c>
      <c r="G418" t="s">
        <v>117</v>
      </c>
      <c r="H418" t="s">
        <v>145</v>
      </c>
      <c r="I418" s="197">
        <v>45292.791666666664</v>
      </c>
      <c r="J418" t="b">
        <v>0</v>
      </c>
      <c r="K418" t="s">
        <v>146</v>
      </c>
      <c r="L418" t="s">
        <v>139</v>
      </c>
      <c r="M418">
        <v>1</v>
      </c>
      <c r="N418">
        <v>1</v>
      </c>
      <c r="O418">
        <v>2024</v>
      </c>
      <c r="R418">
        <f>IF(wallet_records[[#This Row],[type]]="Gasto",wallet_records[[#This Row],[amount]]*(-1),wallet_records[[#This Row],[amount]])</f>
        <v>-330600</v>
      </c>
    </row>
    <row r="419" spans="1:18" x14ac:dyDescent="0.2">
      <c r="A419" t="s">
        <v>524</v>
      </c>
      <c r="B419" t="s">
        <v>154</v>
      </c>
      <c r="C419" t="s">
        <v>115</v>
      </c>
      <c r="D419" s="291">
        <v>111000</v>
      </c>
      <c r="E419">
        <v>111000</v>
      </c>
      <c r="F419" t="s">
        <v>116</v>
      </c>
      <c r="G419" t="s">
        <v>117</v>
      </c>
      <c r="H419" t="s">
        <v>508</v>
      </c>
      <c r="I419" s="197">
        <v>45491.791666666664</v>
      </c>
      <c r="J419" t="b">
        <v>0</v>
      </c>
      <c r="K419" t="s">
        <v>7</v>
      </c>
      <c r="L419" t="s">
        <v>7</v>
      </c>
      <c r="M419">
        <v>18</v>
      </c>
      <c r="N419">
        <v>7</v>
      </c>
      <c r="O419">
        <v>2024</v>
      </c>
      <c r="R419">
        <f>IF(wallet_records[[#This Row],[type]]="Gasto",wallet_records[[#This Row],[amount]]*(-1),wallet_records[[#This Row],[amount]])</f>
        <v>-111000</v>
      </c>
    </row>
    <row r="420" spans="1:18" x14ac:dyDescent="0.2">
      <c r="A420" t="s">
        <v>524</v>
      </c>
      <c r="B420" t="s">
        <v>154</v>
      </c>
      <c r="C420" t="s">
        <v>115</v>
      </c>
      <c r="D420" s="291">
        <v>800108</v>
      </c>
      <c r="E420">
        <v>800108</v>
      </c>
      <c r="F420" t="s">
        <v>116</v>
      </c>
      <c r="G420" t="s">
        <v>117</v>
      </c>
      <c r="H420" t="s">
        <v>508</v>
      </c>
      <c r="I420" s="197">
        <v>45345.791666666664</v>
      </c>
      <c r="J420" t="b">
        <v>0</v>
      </c>
      <c r="K420" t="s">
        <v>7</v>
      </c>
      <c r="L420" t="s">
        <v>7</v>
      </c>
      <c r="M420">
        <v>23</v>
      </c>
      <c r="N420">
        <v>2</v>
      </c>
      <c r="O420">
        <v>2024</v>
      </c>
      <c r="R420">
        <f>IF(wallet_records[[#This Row],[type]]="Gasto",wallet_records[[#This Row],[amount]]*(-1),wallet_records[[#This Row],[amount]])</f>
        <v>-800108</v>
      </c>
    </row>
    <row r="421" spans="1:18" x14ac:dyDescent="0.2">
      <c r="A421" t="s">
        <v>524</v>
      </c>
      <c r="B421" t="s">
        <v>154</v>
      </c>
      <c r="C421" t="s">
        <v>115</v>
      </c>
      <c r="D421" s="291">
        <v>83289</v>
      </c>
      <c r="E421">
        <v>83289</v>
      </c>
      <c r="F421" t="s">
        <v>116</v>
      </c>
      <c r="G421" t="s">
        <v>117</v>
      </c>
      <c r="H421" t="s">
        <v>508</v>
      </c>
      <c r="I421" s="197">
        <v>45312.792217002316</v>
      </c>
      <c r="J421" t="b">
        <v>0</v>
      </c>
      <c r="K421" t="s">
        <v>546</v>
      </c>
      <c r="L421" t="s">
        <v>77</v>
      </c>
      <c r="M421">
        <v>21</v>
      </c>
      <c r="N421">
        <v>1</v>
      </c>
      <c r="O421">
        <v>2024</v>
      </c>
      <c r="R421">
        <f>IF(wallet_records[[#This Row],[type]]="Gasto",wallet_records[[#This Row],[amount]]*(-1),wallet_records[[#This Row],[amount]])</f>
        <v>-83289</v>
      </c>
    </row>
    <row r="422" spans="1:18" x14ac:dyDescent="0.2">
      <c r="A422" t="s">
        <v>524</v>
      </c>
      <c r="B422" t="s">
        <v>154</v>
      </c>
      <c r="C422" t="s">
        <v>115</v>
      </c>
      <c r="D422" s="291">
        <v>949206</v>
      </c>
      <c r="E422">
        <v>949206</v>
      </c>
      <c r="F422" t="s">
        <v>116</v>
      </c>
      <c r="G422" t="s">
        <v>117</v>
      </c>
      <c r="H422" t="s">
        <v>508</v>
      </c>
      <c r="I422" s="197">
        <v>45312.792110127317</v>
      </c>
      <c r="J422" t="b">
        <v>0</v>
      </c>
      <c r="K422" t="s">
        <v>546</v>
      </c>
      <c r="L422" t="s">
        <v>77</v>
      </c>
      <c r="M422">
        <v>21</v>
      </c>
      <c r="N422">
        <v>1</v>
      </c>
      <c r="O422">
        <v>2024</v>
      </c>
      <c r="R422">
        <f>IF(wallet_records[[#This Row],[type]]="Gasto",wallet_records[[#This Row],[amount]]*(-1),wallet_records[[#This Row],[amount]])</f>
        <v>-949206</v>
      </c>
    </row>
    <row r="423" spans="1:18" x14ac:dyDescent="0.2">
      <c r="A423" t="s">
        <v>524</v>
      </c>
      <c r="B423" t="s">
        <v>154</v>
      </c>
      <c r="C423" t="s">
        <v>115</v>
      </c>
      <c r="D423" s="291">
        <v>91549</v>
      </c>
      <c r="E423">
        <v>91549</v>
      </c>
      <c r="F423" t="s">
        <v>116</v>
      </c>
      <c r="G423" t="s">
        <v>117</v>
      </c>
      <c r="H423" t="s">
        <v>508</v>
      </c>
      <c r="I423" s="197">
        <v>45312.791972083331</v>
      </c>
      <c r="J423" t="b">
        <v>0</v>
      </c>
      <c r="K423" t="s">
        <v>546</v>
      </c>
      <c r="L423" t="s">
        <v>1</v>
      </c>
      <c r="M423">
        <v>21</v>
      </c>
      <c r="N423">
        <v>1</v>
      </c>
      <c r="O423">
        <v>2024</v>
      </c>
      <c r="R423">
        <f>IF(wallet_records[[#This Row],[type]]="Gasto",wallet_records[[#This Row],[amount]]*(-1),wallet_records[[#This Row],[amount]])</f>
        <v>-91549</v>
      </c>
    </row>
    <row r="424" spans="1:18" x14ac:dyDescent="0.2">
      <c r="A424" t="s">
        <v>524</v>
      </c>
      <c r="B424" t="s">
        <v>154</v>
      </c>
      <c r="C424" t="s">
        <v>115</v>
      </c>
      <c r="D424" s="291">
        <v>1834910</v>
      </c>
      <c r="E424">
        <v>1834910</v>
      </c>
      <c r="F424" t="s">
        <v>116</v>
      </c>
      <c r="G424" t="s">
        <v>117</v>
      </c>
      <c r="H424" t="s">
        <v>508</v>
      </c>
      <c r="I424" s="197">
        <v>45312.791919675925</v>
      </c>
      <c r="J424" t="b">
        <v>0</v>
      </c>
      <c r="K424" t="s">
        <v>546</v>
      </c>
      <c r="L424" t="s">
        <v>1</v>
      </c>
      <c r="M424">
        <v>21</v>
      </c>
      <c r="N424">
        <v>1</v>
      </c>
      <c r="O424">
        <v>2024</v>
      </c>
      <c r="R424">
        <f>IF(wallet_records[[#This Row],[type]]="Gasto",wallet_records[[#This Row],[amount]]*(-1),wallet_records[[#This Row],[amount]])</f>
        <v>-1834910</v>
      </c>
    </row>
    <row r="425" spans="1:18" x14ac:dyDescent="0.2">
      <c r="A425" t="s">
        <v>524</v>
      </c>
      <c r="B425" t="s">
        <v>154</v>
      </c>
      <c r="C425" t="s">
        <v>115</v>
      </c>
      <c r="D425" s="291">
        <v>279068</v>
      </c>
      <c r="E425">
        <v>279068</v>
      </c>
      <c r="F425" t="s">
        <v>116</v>
      </c>
      <c r="G425" t="s">
        <v>117</v>
      </c>
      <c r="H425" t="s">
        <v>508</v>
      </c>
      <c r="I425" s="197">
        <v>45312.791900555552</v>
      </c>
      <c r="J425" t="b">
        <v>0</v>
      </c>
      <c r="K425" t="s">
        <v>546</v>
      </c>
      <c r="L425" t="s">
        <v>6</v>
      </c>
      <c r="M425">
        <v>21</v>
      </c>
      <c r="N425">
        <v>1</v>
      </c>
      <c r="O425">
        <v>2024</v>
      </c>
      <c r="R425">
        <f>IF(wallet_records[[#This Row],[type]]="Gasto",wallet_records[[#This Row],[amount]]*(-1),wallet_records[[#This Row],[amount]])</f>
        <v>-279068</v>
      </c>
    </row>
    <row r="426" spans="1:18" x14ac:dyDescent="0.2">
      <c r="A426" t="s">
        <v>524</v>
      </c>
      <c r="B426" t="s">
        <v>154</v>
      </c>
      <c r="C426" t="s">
        <v>115</v>
      </c>
      <c r="D426" s="291">
        <v>158977</v>
      </c>
      <c r="E426">
        <v>158977</v>
      </c>
      <c r="F426" t="s">
        <v>116</v>
      </c>
      <c r="G426" t="s">
        <v>117</v>
      </c>
      <c r="H426" t="s">
        <v>508</v>
      </c>
      <c r="I426" s="197">
        <v>45312.791666666664</v>
      </c>
      <c r="J426" t="b">
        <v>0</v>
      </c>
      <c r="K426" t="s">
        <v>0</v>
      </c>
      <c r="L426" t="s">
        <v>0</v>
      </c>
      <c r="M426">
        <v>21</v>
      </c>
      <c r="N426">
        <v>1</v>
      </c>
      <c r="O426">
        <v>2024</v>
      </c>
      <c r="R426">
        <f>IF(wallet_records[[#This Row],[type]]="Gasto",wallet_records[[#This Row],[amount]]*(-1),wallet_records[[#This Row],[amount]])</f>
        <v>-158977</v>
      </c>
    </row>
    <row r="427" spans="1:18" x14ac:dyDescent="0.2">
      <c r="A427" t="s">
        <v>524</v>
      </c>
      <c r="B427" t="s">
        <v>154</v>
      </c>
      <c r="C427" t="s">
        <v>115</v>
      </c>
      <c r="D427" s="291">
        <v>3442766</v>
      </c>
      <c r="E427">
        <v>3442766</v>
      </c>
      <c r="F427" t="s">
        <v>116</v>
      </c>
      <c r="G427" t="s">
        <v>117</v>
      </c>
      <c r="H427" t="s">
        <v>508</v>
      </c>
      <c r="I427" s="197">
        <v>45312.791666666664</v>
      </c>
      <c r="J427" t="b">
        <v>0</v>
      </c>
      <c r="K427" t="s">
        <v>46</v>
      </c>
      <c r="L427" t="s">
        <v>46</v>
      </c>
      <c r="M427">
        <v>21</v>
      </c>
      <c r="N427">
        <v>1</v>
      </c>
      <c r="O427">
        <v>2024</v>
      </c>
      <c r="R427">
        <f>IF(wallet_records[[#This Row],[type]]="Gasto",wallet_records[[#This Row],[amount]]*(-1),wallet_records[[#This Row],[amount]])</f>
        <v>-3442766</v>
      </c>
    </row>
    <row r="428" spans="1:18" x14ac:dyDescent="0.2">
      <c r="A428" t="s">
        <v>524</v>
      </c>
      <c r="B428" t="s">
        <v>154</v>
      </c>
      <c r="C428" t="s">
        <v>115</v>
      </c>
      <c r="D428" s="291">
        <v>1397993</v>
      </c>
      <c r="E428">
        <v>1397993</v>
      </c>
      <c r="F428" t="s">
        <v>116</v>
      </c>
      <c r="G428" t="s">
        <v>117</v>
      </c>
      <c r="H428" t="s">
        <v>508</v>
      </c>
      <c r="I428" s="197">
        <v>45312.791666666664</v>
      </c>
      <c r="J428" t="b">
        <v>0</v>
      </c>
      <c r="K428" t="s">
        <v>0</v>
      </c>
      <c r="L428" t="s">
        <v>0</v>
      </c>
      <c r="M428">
        <v>21</v>
      </c>
      <c r="N428">
        <v>1</v>
      </c>
      <c r="O428">
        <v>2024</v>
      </c>
      <c r="R428">
        <f>IF(wallet_records[[#This Row],[type]]="Gasto",wallet_records[[#This Row],[amount]]*(-1),wallet_records[[#This Row],[amount]])</f>
        <v>-1397993</v>
      </c>
    </row>
    <row r="429" spans="1:18" x14ac:dyDescent="0.2">
      <c r="A429" t="s">
        <v>524</v>
      </c>
      <c r="B429" t="s">
        <v>154</v>
      </c>
      <c r="C429" t="s">
        <v>115</v>
      </c>
      <c r="D429" s="291">
        <v>28140</v>
      </c>
      <c r="E429">
        <v>28140</v>
      </c>
      <c r="F429" t="s">
        <v>116</v>
      </c>
      <c r="G429" t="s">
        <v>117</v>
      </c>
      <c r="H429" t="s">
        <v>99</v>
      </c>
      <c r="I429" s="197">
        <v>45307.791666666664</v>
      </c>
      <c r="J429" t="b">
        <v>0</v>
      </c>
      <c r="K429" t="s">
        <v>5</v>
      </c>
      <c r="L429" t="s">
        <v>5</v>
      </c>
      <c r="M429">
        <v>16</v>
      </c>
      <c r="N429">
        <v>1</v>
      </c>
      <c r="O429">
        <v>2024</v>
      </c>
      <c r="R429">
        <f>IF(wallet_records[[#This Row],[type]]="Gasto",wallet_records[[#This Row],[amount]]*(-1),wallet_records[[#This Row],[amount]])</f>
        <v>-28140</v>
      </c>
    </row>
    <row r="430" spans="1:18" x14ac:dyDescent="0.2">
      <c r="A430" t="s">
        <v>524</v>
      </c>
      <c r="B430" t="s">
        <v>154</v>
      </c>
      <c r="C430" t="s">
        <v>115</v>
      </c>
      <c r="D430" s="291">
        <v>28140</v>
      </c>
      <c r="E430">
        <v>28140</v>
      </c>
      <c r="F430" t="s">
        <v>116</v>
      </c>
      <c r="G430" t="s">
        <v>117</v>
      </c>
      <c r="H430" t="s">
        <v>99</v>
      </c>
      <c r="I430" s="197">
        <v>45307.791666666664</v>
      </c>
      <c r="J430" t="b">
        <v>0</v>
      </c>
      <c r="K430" t="s">
        <v>5</v>
      </c>
      <c r="L430" t="s">
        <v>5</v>
      </c>
      <c r="M430">
        <v>16</v>
      </c>
      <c r="N430">
        <v>1</v>
      </c>
      <c r="O430">
        <v>2024</v>
      </c>
      <c r="R430">
        <f>IF(wallet_records[[#This Row],[type]]="Gasto",wallet_records[[#This Row],[amount]]*(-1),wallet_records[[#This Row],[amount]])</f>
        <v>-28140</v>
      </c>
    </row>
    <row r="431" spans="1:18" x14ac:dyDescent="0.2">
      <c r="A431" t="s">
        <v>524</v>
      </c>
      <c r="B431" t="s">
        <v>154</v>
      </c>
      <c r="C431" t="s">
        <v>115</v>
      </c>
      <c r="D431" s="291">
        <v>43300</v>
      </c>
      <c r="E431">
        <v>43300</v>
      </c>
      <c r="F431" t="s">
        <v>116</v>
      </c>
      <c r="G431" t="s">
        <v>117</v>
      </c>
      <c r="H431" t="s">
        <v>97</v>
      </c>
      <c r="I431" s="197">
        <v>45301.791666666664</v>
      </c>
      <c r="J431" t="b">
        <v>0</v>
      </c>
      <c r="K431" t="s">
        <v>3</v>
      </c>
      <c r="L431" t="s">
        <v>3</v>
      </c>
      <c r="M431">
        <v>10</v>
      </c>
      <c r="N431">
        <v>1</v>
      </c>
      <c r="O431">
        <v>2024</v>
      </c>
      <c r="R431">
        <f>IF(wallet_records[[#This Row],[type]]="Gasto",wallet_records[[#This Row],[amount]]*(-1),wallet_records[[#This Row],[amount]])</f>
        <v>-43300</v>
      </c>
    </row>
    <row r="432" spans="1:18" x14ac:dyDescent="0.2">
      <c r="A432" t="s">
        <v>524</v>
      </c>
      <c r="B432" t="s">
        <v>131</v>
      </c>
      <c r="C432" t="s">
        <v>115</v>
      </c>
      <c r="D432" s="291">
        <v>600300</v>
      </c>
      <c r="E432">
        <v>600300</v>
      </c>
      <c r="F432" t="s">
        <v>116</v>
      </c>
      <c r="G432" t="s">
        <v>117</v>
      </c>
      <c r="H432" t="s">
        <v>132</v>
      </c>
      <c r="I432" s="197">
        <v>45645.791666666664</v>
      </c>
      <c r="J432" t="b">
        <v>0</v>
      </c>
      <c r="K432" t="s">
        <v>5</v>
      </c>
      <c r="L432" t="s">
        <v>5</v>
      </c>
      <c r="M432">
        <v>19</v>
      </c>
      <c r="N432">
        <v>12</v>
      </c>
      <c r="O432">
        <v>2024</v>
      </c>
      <c r="R432">
        <f>IF(wallet_records[[#This Row],[type]]="Gasto",wallet_records[[#This Row],[amount]]*(-1),wallet_records[[#This Row],[amount]])</f>
        <v>-600300</v>
      </c>
    </row>
    <row r="433" spans="1:18" x14ac:dyDescent="0.2">
      <c r="A433" t="s">
        <v>524</v>
      </c>
      <c r="B433" t="s">
        <v>131</v>
      </c>
      <c r="C433" t="s">
        <v>115</v>
      </c>
      <c r="D433" s="291">
        <v>399300</v>
      </c>
      <c r="E433">
        <v>399300</v>
      </c>
      <c r="F433" t="s">
        <v>116</v>
      </c>
      <c r="G433" t="s">
        <v>117</v>
      </c>
      <c r="H433" t="s">
        <v>88</v>
      </c>
      <c r="I433" s="197">
        <v>45632.791666666664</v>
      </c>
      <c r="J433" t="b">
        <v>0</v>
      </c>
      <c r="K433" t="s">
        <v>5</v>
      </c>
      <c r="L433" t="s">
        <v>5</v>
      </c>
      <c r="M433">
        <v>6</v>
      </c>
      <c r="N433">
        <v>12</v>
      </c>
      <c r="O433">
        <v>2024</v>
      </c>
      <c r="R433">
        <f>IF(wallet_records[[#This Row],[type]]="Gasto",wallet_records[[#This Row],[amount]]*(-1),wallet_records[[#This Row],[amount]])</f>
        <v>-399300</v>
      </c>
    </row>
    <row r="434" spans="1:18" x14ac:dyDescent="0.2">
      <c r="A434" t="s">
        <v>524</v>
      </c>
      <c r="B434" t="s">
        <v>131</v>
      </c>
      <c r="C434" t="s">
        <v>115</v>
      </c>
      <c r="D434" s="291">
        <v>2739425</v>
      </c>
      <c r="E434">
        <v>2739425</v>
      </c>
      <c r="F434" t="s">
        <v>116</v>
      </c>
      <c r="G434" t="s">
        <v>117</v>
      </c>
      <c r="H434" t="s">
        <v>93</v>
      </c>
      <c r="I434" s="197">
        <v>45352.791666666664</v>
      </c>
      <c r="J434" t="b">
        <v>0</v>
      </c>
      <c r="K434" t="s">
        <v>3</v>
      </c>
      <c r="L434" t="s">
        <v>3</v>
      </c>
      <c r="M434">
        <v>1</v>
      </c>
      <c r="N434">
        <v>3</v>
      </c>
      <c r="O434">
        <v>2024</v>
      </c>
      <c r="R434">
        <f>IF(wallet_records[[#This Row],[type]]="Gasto",wallet_records[[#This Row],[amount]]*(-1),wallet_records[[#This Row],[amount]])</f>
        <v>-2739425</v>
      </c>
    </row>
    <row r="435" spans="1:18" x14ac:dyDescent="0.2">
      <c r="A435" t="s">
        <v>524</v>
      </c>
      <c r="B435" t="s">
        <v>131</v>
      </c>
      <c r="C435" t="s">
        <v>115</v>
      </c>
      <c r="D435" s="291">
        <v>1995218</v>
      </c>
      <c r="E435">
        <v>1995218</v>
      </c>
      <c r="F435" t="s">
        <v>116</v>
      </c>
      <c r="G435" t="s">
        <v>117</v>
      </c>
      <c r="H435" t="s">
        <v>222</v>
      </c>
      <c r="I435" s="197">
        <v>45312.791666666664</v>
      </c>
      <c r="J435" t="b">
        <v>0</v>
      </c>
      <c r="K435" t="s">
        <v>5</v>
      </c>
      <c r="L435" t="s">
        <v>5</v>
      </c>
      <c r="M435">
        <v>21</v>
      </c>
      <c r="N435">
        <v>1</v>
      </c>
      <c r="O435">
        <v>2024</v>
      </c>
      <c r="R435">
        <f>IF(wallet_records[[#This Row],[type]]="Gasto",wallet_records[[#This Row],[amount]]*(-1),wallet_records[[#This Row],[amount]])</f>
        <v>-1995218</v>
      </c>
    </row>
    <row r="436" spans="1:18" x14ac:dyDescent="0.2">
      <c r="A436" t="s">
        <v>524</v>
      </c>
      <c r="B436" t="s">
        <v>131</v>
      </c>
      <c r="C436" t="s">
        <v>115</v>
      </c>
      <c r="D436" s="291">
        <v>738600</v>
      </c>
      <c r="E436">
        <v>738600</v>
      </c>
      <c r="F436" t="s">
        <v>116</v>
      </c>
      <c r="G436" t="s">
        <v>117</v>
      </c>
      <c r="H436" t="s">
        <v>225</v>
      </c>
      <c r="I436" s="197">
        <v>45301.791666666664</v>
      </c>
      <c r="J436" t="b">
        <v>0</v>
      </c>
      <c r="K436" t="s">
        <v>3</v>
      </c>
      <c r="L436" t="s">
        <v>3</v>
      </c>
      <c r="M436">
        <v>10</v>
      </c>
      <c r="N436">
        <v>1</v>
      </c>
      <c r="O436">
        <v>2024</v>
      </c>
      <c r="R436">
        <f>IF(wallet_records[[#This Row],[type]]="Gasto",wallet_records[[#This Row],[amount]]*(-1),wallet_records[[#This Row],[amount]])</f>
        <v>-738600</v>
      </c>
    </row>
    <row r="437" spans="1:18" x14ac:dyDescent="0.2">
      <c r="A437" t="s">
        <v>524</v>
      </c>
      <c r="B437" t="s">
        <v>124</v>
      </c>
      <c r="C437" t="s">
        <v>115</v>
      </c>
      <c r="D437" s="291">
        <v>256908.33</v>
      </c>
      <c r="E437">
        <v>256908.33</v>
      </c>
      <c r="F437" t="s">
        <v>121</v>
      </c>
      <c r="G437" t="s">
        <v>117</v>
      </c>
      <c r="H437" t="s">
        <v>125</v>
      </c>
      <c r="I437" s="197">
        <v>45627.791666666664</v>
      </c>
      <c r="J437" t="b">
        <v>0</v>
      </c>
      <c r="K437" t="s">
        <v>127</v>
      </c>
      <c r="L437" t="s">
        <v>123</v>
      </c>
      <c r="M437">
        <v>1</v>
      </c>
      <c r="N437">
        <v>12</v>
      </c>
      <c r="O437">
        <v>2024</v>
      </c>
      <c r="R437">
        <f>IF(wallet_records[[#This Row],[type]]="Gasto",wallet_records[[#This Row],[amount]]*(-1),wallet_records[[#This Row],[amount]])</f>
        <v>256908.33</v>
      </c>
    </row>
    <row r="438" spans="1:18" x14ac:dyDescent="0.2">
      <c r="A438" t="s">
        <v>525</v>
      </c>
      <c r="B438" t="s">
        <v>124</v>
      </c>
      <c r="C438" t="s">
        <v>115</v>
      </c>
      <c r="D438" s="291">
        <v>166274.49</v>
      </c>
      <c r="E438">
        <v>166274.49</v>
      </c>
      <c r="F438" t="s">
        <v>121</v>
      </c>
      <c r="G438" t="s">
        <v>117</v>
      </c>
      <c r="H438" t="s">
        <v>125</v>
      </c>
      <c r="I438" s="197">
        <v>45627.791666666664</v>
      </c>
      <c r="J438" t="b">
        <v>0</v>
      </c>
      <c r="K438" t="s">
        <v>127</v>
      </c>
      <c r="L438" t="s">
        <v>123</v>
      </c>
      <c r="M438">
        <v>1</v>
      </c>
      <c r="N438">
        <v>12</v>
      </c>
      <c r="O438">
        <v>2024</v>
      </c>
      <c r="R438">
        <f>IF(wallet_records[[#This Row],[type]]="Gasto",wallet_records[[#This Row],[amount]]*(-1),wallet_records[[#This Row],[amount]])</f>
        <v>166274.49</v>
      </c>
    </row>
    <row r="439" spans="1:18" x14ac:dyDescent="0.2">
      <c r="A439" t="s">
        <v>525</v>
      </c>
      <c r="B439" t="s">
        <v>124</v>
      </c>
      <c r="C439" t="s">
        <v>115</v>
      </c>
      <c r="D439" s="291">
        <v>157084.98000000001</v>
      </c>
      <c r="E439">
        <v>157084.98000000001</v>
      </c>
      <c r="F439" t="s">
        <v>121</v>
      </c>
      <c r="G439" t="s">
        <v>117</v>
      </c>
      <c r="H439" t="s">
        <v>125</v>
      </c>
      <c r="I439" s="197">
        <v>45597.791666666664</v>
      </c>
      <c r="J439" t="b">
        <v>0</v>
      </c>
      <c r="K439" t="s">
        <v>127</v>
      </c>
      <c r="L439" t="s">
        <v>123</v>
      </c>
      <c r="M439">
        <v>1</v>
      </c>
      <c r="N439">
        <v>11</v>
      </c>
      <c r="O439">
        <v>2024</v>
      </c>
      <c r="R439">
        <f>IF(wallet_records[[#This Row],[type]]="Gasto",wallet_records[[#This Row],[amount]]*(-1),wallet_records[[#This Row],[amount]])</f>
        <v>157084.98000000001</v>
      </c>
    </row>
    <row r="440" spans="1:18" x14ac:dyDescent="0.2">
      <c r="A440" t="s">
        <v>524</v>
      </c>
      <c r="B440" t="s">
        <v>124</v>
      </c>
      <c r="C440" t="s">
        <v>115</v>
      </c>
      <c r="D440" s="291">
        <v>237764.13</v>
      </c>
      <c r="E440">
        <v>237764.13</v>
      </c>
      <c r="F440" t="s">
        <v>121</v>
      </c>
      <c r="G440" t="s">
        <v>117</v>
      </c>
      <c r="H440" t="s">
        <v>125</v>
      </c>
      <c r="I440" s="197">
        <v>45597.791666666664</v>
      </c>
      <c r="J440" t="b">
        <v>0</v>
      </c>
      <c r="K440" t="s">
        <v>127</v>
      </c>
      <c r="L440" t="s">
        <v>123</v>
      </c>
      <c r="M440">
        <v>1</v>
      </c>
      <c r="N440">
        <v>11</v>
      </c>
      <c r="O440">
        <v>2024</v>
      </c>
      <c r="R440">
        <f>IF(wallet_records[[#This Row],[type]]="Gasto",wallet_records[[#This Row],[amount]]*(-1),wallet_records[[#This Row],[amount]])</f>
        <v>237764.13</v>
      </c>
    </row>
    <row r="441" spans="1:18" x14ac:dyDescent="0.2">
      <c r="A441" t="s">
        <v>525</v>
      </c>
      <c r="B441" t="s">
        <v>124</v>
      </c>
      <c r="C441" t="s">
        <v>115</v>
      </c>
      <c r="D441" s="291">
        <v>148022.21</v>
      </c>
      <c r="E441">
        <v>148022.21</v>
      </c>
      <c r="F441" t="s">
        <v>121</v>
      </c>
      <c r="G441" t="s">
        <v>117</v>
      </c>
      <c r="H441" t="s">
        <v>125</v>
      </c>
      <c r="I441" s="197">
        <v>45566.791666666664</v>
      </c>
      <c r="J441" t="b">
        <v>0</v>
      </c>
      <c r="K441" t="s">
        <v>127</v>
      </c>
      <c r="L441" t="s">
        <v>123</v>
      </c>
      <c r="M441">
        <v>1</v>
      </c>
      <c r="N441">
        <v>10</v>
      </c>
      <c r="O441">
        <v>2024</v>
      </c>
      <c r="R441">
        <f>IF(wallet_records[[#This Row],[type]]="Gasto",wallet_records[[#This Row],[amount]]*(-1),wallet_records[[#This Row],[amount]])</f>
        <v>148022.21</v>
      </c>
    </row>
    <row r="442" spans="1:18" x14ac:dyDescent="0.2">
      <c r="A442" t="s">
        <v>524</v>
      </c>
      <c r="B442" t="s">
        <v>124</v>
      </c>
      <c r="C442" t="s">
        <v>115</v>
      </c>
      <c r="D442" s="291">
        <v>218752.87</v>
      </c>
      <c r="E442">
        <v>218752.87</v>
      </c>
      <c r="F442" t="s">
        <v>121</v>
      </c>
      <c r="G442" t="s">
        <v>117</v>
      </c>
      <c r="H442" t="s">
        <v>125</v>
      </c>
      <c r="I442" s="197">
        <v>45566.791666666664</v>
      </c>
      <c r="J442" t="b">
        <v>0</v>
      </c>
      <c r="K442" t="s">
        <v>127</v>
      </c>
      <c r="L442" t="s">
        <v>123</v>
      </c>
      <c r="M442">
        <v>1</v>
      </c>
      <c r="N442">
        <v>10</v>
      </c>
      <c r="O442">
        <v>2024</v>
      </c>
      <c r="R442">
        <f>IF(wallet_records[[#This Row],[type]]="Gasto",wallet_records[[#This Row],[amount]]*(-1),wallet_records[[#This Row],[amount]])</f>
        <v>218752.87</v>
      </c>
    </row>
    <row r="443" spans="1:18" x14ac:dyDescent="0.2">
      <c r="A443" t="s">
        <v>525</v>
      </c>
      <c r="B443" t="s">
        <v>124</v>
      </c>
      <c r="C443" t="s">
        <v>115</v>
      </c>
      <c r="D443" s="291">
        <v>137653.06</v>
      </c>
      <c r="E443">
        <v>137653.06</v>
      </c>
      <c r="F443" t="s">
        <v>121</v>
      </c>
      <c r="G443" t="s">
        <v>117</v>
      </c>
      <c r="H443" t="s">
        <v>125</v>
      </c>
      <c r="I443" s="197">
        <v>45536.791666666664</v>
      </c>
      <c r="J443" t="b">
        <v>0</v>
      </c>
      <c r="K443" t="s">
        <v>127</v>
      </c>
      <c r="L443" t="s">
        <v>123</v>
      </c>
      <c r="M443">
        <v>1</v>
      </c>
      <c r="N443">
        <v>9</v>
      </c>
      <c r="O443">
        <v>2024</v>
      </c>
      <c r="R443">
        <f>IF(wallet_records[[#This Row],[type]]="Gasto",wallet_records[[#This Row],[amount]]*(-1),wallet_records[[#This Row],[amount]])</f>
        <v>137653.06</v>
      </c>
    </row>
    <row r="444" spans="1:18" x14ac:dyDescent="0.2">
      <c r="A444" t="s">
        <v>524</v>
      </c>
      <c r="B444" t="s">
        <v>124</v>
      </c>
      <c r="C444" t="s">
        <v>115</v>
      </c>
      <c r="D444" s="291">
        <v>199102.83</v>
      </c>
      <c r="E444">
        <v>199102.83</v>
      </c>
      <c r="F444" t="s">
        <v>121</v>
      </c>
      <c r="G444" t="s">
        <v>117</v>
      </c>
      <c r="H444" t="s">
        <v>125</v>
      </c>
      <c r="I444" s="197">
        <v>45536.791666666664</v>
      </c>
      <c r="J444" t="b">
        <v>0</v>
      </c>
      <c r="K444" t="s">
        <v>127</v>
      </c>
      <c r="L444" t="s">
        <v>123</v>
      </c>
      <c r="M444">
        <v>1</v>
      </c>
      <c r="N444">
        <v>9</v>
      </c>
      <c r="O444">
        <v>2024</v>
      </c>
      <c r="R444">
        <f>IF(wallet_records[[#This Row],[type]]="Gasto",wallet_records[[#This Row],[amount]]*(-1),wallet_records[[#This Row],[amount]])</f>
        <v>199102.83</v>
      </c>
    </row>
    <row r="445" spans="1:18" x14ac:dyDescent="0.2">
      <c r="A445" t="s">
        <v>525</v>
      </c>
      <c r="B445" t="s">
        <v>124</v>
      </c>
      <c r="C445" t="s">
        <v>115</v>
      </c>
      <c r="D445" s="291">
        <v>128948.81</v>
      </c>
      <c r="E445">
        <v>128948.81</v>
      </c>
      <c r="F445" t="s">
        <v>121</v>
      </c>
      <c r="G445" t="s">
        <v>117</v>
      </c>
      <c r="H445" t="s">
        <v>125</v>
      </c>
      <c r="I445" s="197">
        <v>45505.791666666664</v>
      </c>
      <c r="J445" t="b">
        <v>0</v>
      </c>
      <c r="K445" t="s">
        <v>127</v>
      </c>
      <c r="L445" t="s">
        <v>123</v>
      </c>
      <c r="M445">
        <v>1</v>
      </c>
      <c r="N445">
        <v>8</v>
      </c>
      <c r="O445">
        <v>2024</v>
      </c>
      <c r="R445">
        <f>IF(wallet_records[[#This Row],[type]]="Gasto",wallet_records[[#This Row],[amount]]*(-1),wallet_records[[#This Row],[amount]])</f>
        <v>128948.81</v>
      </c>
    </row>
    <row r="446" spans="1:18" x14ac:dyDescent="0.2">
      <c r="A446" t="s">
        <v>524</v>
      </c>
      <c r="B446" t="s">
        <v>124</v>
      </c>
      <c r="C446" t="s">
        <v>115</v>
      </c>
      <c r="D446" s="291">
        <v>180360.04</v>
      </c>
      <c r="E446">
        <v>180360.04</v>
      </c>
      <c r="F446" t="s">
        <v>121</v>
      </c>
      <c r="G446" t="s">
        <v>117</v>
      </c>
      <c r="H446" t="s">
        <v>125</v>
      </c>
      <c r="I446" s="197">
        <v>45505.791666666664</v>
      </c>
      <c r="J446" t="b">
        <v>0</v>
      </c>
      <c r="K446" t="s">
        <v>127</v>
      </c>
      <c r="L446" t="s">
        <v>123</v>
      </c>
      <c r="M446">
        <v>1</v>
      </c>
      <c r="N446">
        <v>8</v>
      </c>
      <c r="O446">
        <v>2024</v>
      </c>
      <c r="R446">
        <f>IF(wallet_records[[#This Row],[type]]="Gasto",wallet_records[[#This Row],[amount]]*(-1),wallet_records[[#This Row],[amount]])</f>
        <v>180360.04</v>
      </c>
    </row>
    <row r="447" spans="1:18" x14ac:dyDescent="0.2">
      <c r="A447" t="s">
        <v>524</v>
      </c>
      <c r="B447" t="s">
        <v>124</v>
      </c>
      <c r="C447" t="s">
        <v>115</v>
      </c>
      <c r="D447" s="291">
        <v>161747.4</v>
      </c>
      <c r="E447">
        <v>161747.4</v>
      </c>
      <c r="F447" t="s">
        <v>121</v>
      </c>
      <c r="G447" t="s">
        <v>117</v>
      </c>
      <c r="H447" t="s">
        <v>125</v>
      </c>
      <c r="I447" s="197">
        <v>45474.791666666664</v>
      </c>
      <c r="J447" t="b">
        <v>0</v>
      </c>
      <c r="K447" t="s">
        <v>127</v>
      </c>
      <c r="L447" t="s">
        <v>123</v>
      </c>
      <c r="M447">
        <v>1</v>
      </c>
      <c r="N447">
        <v>7</v>
      </c>
      <c r="O447">
        <v>2024</v>
      </c>
      <c r="R447">
        <f>IF(wallet_records[[#This Row],[type]]="Gasto",wallet_records[[#This Row],[amount]]*(-1),wallet_records[[#This Row],[amount]])</f>
        <v>161747.4</v>
      </c>
    </row>
    <row r="448" spans="1:18" x14ac:dyDescent="0.2">
      <c r="A448" t="s">
        <v>525</v>
      </c>
      <c r="B448" t="s">
        <v>124</v>
      </c>
      <c r="C448" t="s">
        <v>115</v>
      </c>
      <c r="D448" s="291">
        <v>120363.38</v>
      </c>
      <c r="E448">
        <v>120363.38</v>
      </c>
      <c r="F448" t="s">
        <v>121</v>
      </c>
      <c r="G448" t="s">
        <v>117</v>
      </c>
      <c r="H448" t="s">
        <v>125</v>
      </c>
      <c r="I448" s="197">
        <v>45474.791666666664</v>
      </c>
      <c r="J448" t="b">
        <v>0</v>
      </c>
      <c r="K448" t="s">
        <v>127</v>
      </c>
      <c r="L448" t="s">
        <v>123</v>
      </c>
      <c r="M448">
        <v>1</v>
      </c>
      <c r="N448">
        <v>7</v>
      </c>
      <c r="O448">
        <v>2024</v>
      </c>
      <c r="R448">
        <f>IF(wallet_records[[#This Row],[type]]="Gasto",wallet_records[[#This Row],[amount]]*(-1),wallet_records[[#This Row],[amount]])</f>
        <v>120363.38</v>
      </c>
    </row>
    <row r="449" spans="1:18" x14ac:dyDescent="0.2">
      <c r="A449" t="s">
        <v>525</v>
      </c>
      <c r="B449" t="s">
        <v>124</v>
      </c>
      <c r="C449" t="s">
        <v>115</v>
      </c>
      <c r="D449" s="291">
        <v>111895.14</v>
      </c>
      <c r="E449">
        <v>111895.14</v>
      </c>
      <c r="F449" t="s">
        <v>121</v>
      </c>
      <c r="G449" t="s">
        <v>117</v>
      </c>
      <c r="H449" t="s">
        <v>125</v>
      </c>
      <c r="I449" s="197">
        <v>45444.791666666664</v>
      </c>
      <c r="J449" t="b">
        <v>0</v>
      </c>
      <c r="K449" t="s">
        <v>127</v>
      </c>
      <c r="L449" t="s">
        <v>123</v>
      </c>
      <c r="M449">
        <v>1</v>
      </c>
      <c r="N449">
        <v>6</v>
      </c>
      <c r="O449">
        <v>2024</v>
      </c>
      <c r="R449">
        <f>IF(wallet_records[[#This Row],[type]]="Gasto",wallet_records[[#This Row],[amount]]*(-1),wallet_records[[#This Row],[amount]])</f>
        <v>111895.14</v>
      </c>
    </row>
    <row r="450" spans="1:18" x14ac:dyDescent="0.2">
      <c r="A450" t="s">
        <v>524</v>
      </c>
      <c r="B450" t="s">
        <v>124</v>
      </c>
      <c r="C450" t="s">
        <v>115</v>
      </c>
      <c r="D450" s="291">
        <v>143264.01</v>
      </c>
      <c r="E450">
        <v>143264.01</v>
      </c>
      <c r="F450" t="s">
        <v>121</v>
      </c>
      <c r="G450" t="s">
        <v>117</v>
      </c>
      <c r="H450" t="s">
        <v>125</v>
      </c>
      <c r="I450" s="197">
        <v>45444.791666666664</v>
      </c>
      <c r="J450" t="b">
        <v>0</v>
      </c>
      <c r="K450" t="s">
        <v>127</v>
      </c>
      <c r="L450" t="s">
        <v>123</v>
      </c>
      <c r="M450">
        <v>1</v>
      </c>
      <c r="N450">
        <v>6</v>
      </c>
      <c r="O450">
        <v>2024</v>
      </c>
      <c r="R450">
        <f>IF(wallet_records[[#This Row],[type]]="Gasto",wallet_records[[#This Row],[amount]]*(-1),wallet_records[[#This Row],[amount]])</f>
        <v>143264.01</v>
      </c>
    </row>
    <row r="451" spans="1:18" x14ac:dyDescent="0.2">
      <c r="A451" t="s">
        <v>524</v>
      </c>
      <c r="B451" t="s">
        <v>124</v>
      </c>
      <c r="C451" t="s">
        <v>115</v>
      </c>
      <c r="D451" s="291">
        <v>129658.05</v>
      </c>
      <c r="E451">
        <v>129658.05</v>
      </c>
      <c r="F451" t="s">
        <v>121</v>
      </c>
      <c r="G451" t="s">
        <v>117</v>
      </c>
      <c r="H451" t="s">
        <v>125</v>
      </c>
      <c r="I451" s="197">
        <v>45413.791666666664</v>
      </c>
      <c r="J451" t="b">
        <v>0</v>
      </c>
      <c r="K451" t="s">
        <v>127</v>
      </c>
      <c r="L451" t="s">
        <v>123</v>
      </c>
      <c r="M451">
        <v>1</v>
      </c>
      <c r="N451">
        <v>5</v>
      </c>
      <c r="O451">
        <v>2024</v>
      </c>
      <c r="R451">
        <f>IF(wallet_records[[#This Row],[type]]="Gasto",wallet_records[[#This Row],[amount]]*(-1),wallet_records[[#This Row],[amount]])</f>
        <v>129658.05</v>
      </c>
    </row>
    <row r="452" spans="1:18" x14ac:dyDescent="0.2">
      <c r="A452" t="s">
        <v>525</v>
      </c>
      <c r="B452" t="s">
        <v>124</v>
      </c>
      <c r="C452" t="s">
        <v>115</v>
      </c>
      <c r="D452" s="291">
        <v>100713.4</v>
      </c>
      <c r="E452">
        <v>100713.4</v>
      </c>
      <c r="F452" t="s">
        <v>121</v>
      </c>
      <c r="G452" t="s">
        <v>117</v>
      </c>
      <c r="H452" t="s">
        <v>125</v>
      </c>
      <c r="I452" s="197">
        <v>45413.791666666664</v>
      </c>
      <c r="J452" t="b">
        <v>0</v>
      </c>
      <c r="K452" t="s">
        <v>127</v>
      </c>
      <c r="L452" t="s">
        <v>123</v>
      </c>
      <c r="M452">
        <v>1</v>
      </c>
      <c r="N452">
        <v>5</v>
      </c>
      <c r="O452">
        <v>2024</v>
      </c>
      <c r="R452">
        <f>IF(wallet_records[[#This Row],[type]]="Gasto",wallet_records[[#This Row],[amount]]*(-1),wallet_records[[#This Row],[amount]])</f>
        <v>100713.4</v>
      </c>
    </row>
    <row r="453" spans="1:18" x14ac:dyDescent="0.2">
      <c r="A453" t="s">
        <v>525</v>
      </c>
      <c r="B453" t="s">
        <v>124</v>
      </c>
      <c r="C453" t="s">
        <v>115</v>
      </c>
      <c r="D453" s="291">
        <v>96049.07</v>
      </c>
      <c r="E453">
        <v>96049.07</v>
      </c>
      <c r="F453" t="s">
        <v>121</v>
      </c>
      <c r="G453" t="s">
        <v>117</v>
      </c>
      <c r="H453" t="s">
        <v>125</v>
      </c>
      <c r="I453" s="197">
        <v>45383.791666666664</v>
      </c>
      <c r="J453" t="b">
        <v>0</v>
      </c>
      <c r="K453" t="s">
        <v>127</v>
      </c>
      <c r="L453" t="s">
        <v>123</v>
      </c>
      <c r="M453">
        <v>1</v>
      </c>
      <c r="N453">
        <v>4</v>
      </c>
      <c r="O453">
        <v>2024</v>
      </c>
      <c r="R453">
        <f>IF(wallet_records[[#This Row],[type]]="Gasto",wallet_records[[#This Row],[amount]]*(-1),wallet_records[[#This Row],[amount]])</f>
        <v>96049.07</v>
      </c>
    </row>
    <row r="454" spans="1:18" x14ac:dyDescent="0.2">
      <c r="A454" t="s">
        <v>524</v>
      </c>
      <c r="B454" t="s">
        <v>124</v>
      </c>
      <c r="C454" t="s">
        <v>115</v>
      </c>
      <c r="D454" s="291">
        <v>114590.5</v>
      </c>
      <c r="E454">
        <v>114590.5</v>
      </c>
      <c r="F454" t="s">
        <v>121</v>
      </c>
      <c r="G454" t="s">
        <v>117</v>
      </c>
      <c r="H454" t="s">
        <v>125</v>
      </c>
      <c r="I454" s="197">
        <v>45383.791666666664</v>
      </c>
      <c r="J454" t="b">
        <v>0</v>
      </c>
      <c r="K454" t="s">
        <v>127</v>
      </c>
      <c r="L454" t="s">
        <v>123</v>
      </c>
      <c r="M454">
        <v>1</v>
      </c>
      <c r="N454">
        <v>4</v>
      </c>
      <c r="O454">
        <v>2024</v>
      </c>
      <c r="R454">
        <f>IF(wallet_records[[#This Row],[type]]="Gasto",wallet_records[[#This Row],[amount]]*(-1),wallet_records[[#This Row],[amount]])</f>
        <v>114590.5</v>
      </c>
    </row>
    <row r="455" spans="1:18" x14ac:dyDescent="0.2">
      <c r="A455" t="s">
        <v>524</v>
      </c>
      <c r="B455" t="s">
        <v>124</v>
      </c>
      <c r="C455" t="s">
        <v>115</v>
      </c>
      <c r="D455" s="291">
        <v>59316.36</v>
      </c>
      <c r="E455">
        <v>59316.36</v>
      </c>
      <c r="F455" t="s">
        <v>121</v>
      </c>
      <c r="G455" t="s">
        <v>117</v>
      </c>
      <c r="H455" t="s">
        <v>125</v>
      </c>
      <c r="I455" s="197">
        <v>45352.791666666664</v>
      </c>
      <c r="J455" t="b">
        <v>0</v>
      </c>
      <c r="K455" t="s">
        <v>127</v>
      </c>
      <c r="L455" t="s">
        <v>123</v>
      </c>
      <c r="M455">
        <v>1</v>
      </c>
      <c r="N455">
        <v>3</v>
      </c>
      <c r="O455">
        <v>2024</v>
      </c>
      <c r="R455">
        <f>IF(wallet_records[[#This Row],[type]]="Gasto",wallet_records[[#This Row],[amount]]*(-1),wallet_records[[#This Row],[amount]])</f>
        <v>59316.36</v>
      </c>
    </row>
    <row r="456" spans="1:18" x14ac:dyDescent="0.2">
      <c r="A456" t="s">
        <v>525</v>
      </c>
      <c r="B456" t="s">
        <v>124</v>
      </c>
      <c r="C456" t="s">
        <v>115</v>
      </c>
      <c r="D456" s="291">
        <v>90347.18</v>
      </c>
      <c r="E456">
        <v>90347.18</v>
      </c>
      <c r="F456" t="s">
        <v>121</v>
      </c>
      <c r="G456" t="s">
        <v>117</v>
      </c>
      <c r="H456" t="s">
        <v>125</v>
      </c>
      <c r="I456" s="197">
        <v>45352.791666666664</v>
      </c>
      <c r="J456" t="b">
        <v>0</v>
      </c>
      <c r="K456" t="s">
        <v>127</v>
      </c>
      <c r="L456" t="s">
        <v>123</v>
      </c>
      <c r="M456">
        <v>1</v>
      </c>
      <c r="N456">
        <v>3</v>
      </c>
      <c r="O456">
        <v>2024</v>
      </c>
      <c r="R456">
        <f>IF(wallet_records[[#This Row],[type]]="Gasto",wallet_records[[#This Row],[amount]]*(-1),wallet_records[[#This Row],[amount]])</f>
        <v>90347.18</v>
      </c>
    </row>
    <row r="457" spans="1:18" x14ac:dyDescent="0.2">
      <c r="A457" t="s">
        <v>525</v>
      </c>
      <c r="B457" t="s">
        <v>124</v>
      </c>
      <c r="C457" t="s">
        <v>115</v>
      </c>
      <c r="D457" s="291">
        <v>98319.94</v>
      </c>
      <c r="E457">
        <v>98319.94</v>
      </c>
      <c r="F457" t="s">
        <v>121</v>
      </c>
      <c r="G457" t="s">
        <v>117</v>
      </c>
      <c r="H457" t="s">
        <v>125</v>
      </c>
      <c r="I457" s="197">
        <v>45323.791666666664</v>
      </c>
      <c r="J457" t="b">
        <v>0</v>
      </c>
      <c r="K457" t="s">
        <v>127</v>
      </c>
      <c r="L457" t="s">
        <v>123</v>
      </c>
      <c r="M457">
        <v>1</v>
      </c>
      <c r="N457">
        <v>2</v>
      </c>
      <c r="O457">
        <v>2024</v>
      </c>
      <c r="R457">
        <f>IF(wallet_records[[#This Row],[type]]="Gasto",wallet_records[[#This Row],[amount]]*(-1),wallet_records[[#This Row],[amount]])</f>
        <v>98319.94</v>
      </c>
    </row>
    <row r="458" spans="1:18" x14ac:dyDescent="0.2">
      <c r="A458" t="s">
        <v>524</v>
      </c>
      <c r="B458" t="s">
        <v>124</v>
      </c>
      <c r="C458" t="s">
        <v>115</v>
      </c>
      <c r="D458" s="291">
        <v>48227.67</v>
      </c>
      <c r="E458">
        <v>48227.67</v>
      </c>
      <c r="F458" t="s">
        <v>121</v>
      </c>
      <c r="G458" t="s">
        <v>117</v>
      </c>
      <c r="H458" t="s">
        <v>125</v>
      </c>
      <c r="I458" s="197">
        <v>45323.791666666664</v>
      </c>
      <c r="J458" t="b">
        <v>0</v>
      </c>
      <c r="K458" t="s">
        <v>127</v>
      </c>
      <c r="L458" t="s">
        <v>123</v>
      </c>
      <c r="M458">
        <v>1</v>
      </c>
      <c r="N458">
        <v>2</v>
      </c>
      <c r="O458">
        <v>2024</v>
      </c>
      <c r="R458">
        <f>IF(wallet_records[[#This Row],[type]]="Gasto",wallet_records[[#This Row],[amount]]*(-1),wallet_records[[#This Row],[amount]])</f>
        <v>48227.67</v>
      </c>
    </row>
    <row r="459" spans="1:18" x14ac:dyDescent="0.2">
      <c r="A459" t="s">
        <v>525</v>
      </c>
      <c r="B459" t="s">
        <v>124</v>
      </c>
      <c r="C459" t="s">
        <v>115</v>
      </c>
      <c r="D459" s="291">
        <v>99523.64</v>
      </c>
      <c r="E459">
        <v>99523.64</v>
      </c>
      <c r="F459" t="s">
        <v>121</v>
      </c>
      <c r="G459" t="s">
        <v>117</v>
      </c>
      <c r="H459" t="s">
        <v>125</v>
      </c>
      <c r="I459" s="197">
        <v>45292.791666666664</v>
      </c>
      <c r="J459" t="b">
        <v>0</v>
      </c>
      <c r="K459" t="s">
        <v>127</v>
      </c>
      <c r="L459" t="s">
        <v>123</v>
      </c>
      <c r="M459">
        <v>1</v>
      </c>
      <c r="N459">
        <v>1</v>
      </c>
      <c r="O459">
        <v>2024</v>
      </c>
      <c r="R459">
        <f>IF(wallet_records[[#This Row],[type]]="Gasto",wallet_records[[#This Row],[amount]]*(-1),wallet_records[[#This Row],[amount]])</f>
        <v>99523.64</v>
      </c>
    </row>
    <row r="460" spans="1:18" x14ac:dyDescent="0.2">
      <c r="A460" t="s">
        <v>524</v>
      </c>
      <c r="B460" t="s">
        <v>124</v>
      </c>
      <c r="C460" t="s">
        <v>115</v>
      </c>
      <c r="D460" s="291">
        <v>222461.81</v>
      </c>
      <c r="E460">
        <v>222461.81</v>
      </c>
      <c r="F460" t="s">
        <v>121</v>
      </c>
      <c r="G460" t="s">
        <v>117</v>
      </c>
      <c r="H460" t="s">
        <v>125</v>
      </c>
      <c r="I460" s="197">
        <v>45292.791666666664</v>
      </c>
      <c r="J460" t="b">
        <v>0</v>
      </c>
      <c r="K460" t="s">
        <v>127</v>
      </c>
      <c r="L460" t="s">
        <v>123</v>
      </c>
      <c r="M460">
        <v>1</v>
      </c>
      <c r="N460">
        <v>1</v>
      </c>
      <c r="O460">
        <v>2024</v>
      </c>
      <c r="R460">
        <f>IF(wallet_records[[#This Row],[type]]="Gasto",wallet_records[[#This Row],[amount]]*(-1),wallet_records[[#This Row],[amount]])</f>
        <v>222461.81</v>
      </c>
    </row>
    <row r="461" spans="1:18" x14ac:dyDescent="0.2">
      <c r="A461" t="s">
        <v>525</v>
      </c>
      <c r="B461" t="s">
        <v>531</v>
      </c>
      <c r="C461" t="s">
        <v>115</v>
      </c>
      <c r="D461" s="291">
        <v>17088111.82</v>
      </c>
      <c r="E461">
        <v>17088111.82</v>
      </c>
      <c r="F461" t="s">
        <v>121</v>
      </c>
      <c r="G461" t="s">
        <v>117</v>
      </c>
      <c r="H461" t="s">
        <v>529</v>
      </c>
      <c r="I461" s="197">
        <v>45371.791666666664</v>
      </c>
      <c r="J461" t="b">
        <v>0</v>
      </c>
      <c r="K461" t="s">
        <v>123</v>
      </c>
      <c r="L461" t="s">
        <v>123</v>
      </c>
      <c r="M461">
        <v>20</v>
      </c>
      <c r="N461">
        <v>3</v>
      </c>
      <c r="O461">
        <v>2024</v>
      </c>
      <c r="R461">
        <f>IF(wallet_records[[#This Row],[type]]="Gasto",wallet_records[[#This Row],[amount]]*(-1),wallet_records[[#This Row],[amount]])</f>
        <v>17088111.82</v>
      </c>
    </row>
    <row r="462" spans="1:18" x14ac:dyDescent="0.2">
      <c r="A462" t="s">
        <v>525</v>
      </c>
      <c r="B462" t="s">
        <v>531</v>
      </c>
      <c r="C462" t="s">
        <v>115</v>
      </c>
      <c r="D462" s="291">
        <v>21338987.059999999</v>
      </c>
      <c r="E462">
        <v>21338987.059999999</v>
      </c>
      <c r="F462" t="s">
        <v>121</v>
      </c>
      <c r="G462" t="s">
        <v>117</v>
      </c>
      <c r="H462" t="s">
        <v>529</v>
      </c>
      <c r="I462" s="197">
        <v>45341.791666666664</v>
      </c>
      <c r="J462" t="b">
        <v>0</v>
      </c>
      <c r="K462" t="s">
        <v>123</v>
      </c>
      <c r="L462" t="s">
        <v>123</v>
      </c>
      <c r="M462">
        <v>19</v>
      </c>
      <c r="N462">
        <v>2</v>
      </c>
      <c r="O462">
        <v>2024</v>
      </c>
      <c r="R462">
        <f>IF(wallet_records[[#This Row],[type]]="Gasto",wallet_records[[#This Row],[amount]]*(-1),wallet_records[[#This Row],[amount]])</f>
        <v>21338987.059999999</v>
      </c>
    </row>
    <row r="463" spans="1:18" x14ac:dyDescent="0.2">
      <c r="A463" t="s">
        <v>127</v>
      </c>
      <c r="B463" t="s">
        <v>531</v>
      </c>
      <c r="C463" t="s">
        <v>115</v>
      </c>
      <c r="D463" s="291">
        <v>13235247.5</v>
      </c>
      <c r="E463">
        <v>13235247.5</v>
      </c>
      <c r="F463" t="s">
        <v>121</v>
      </c>
      <c r="G463" t="s">
        <v>117</v>
      </c>
      <c r="H463" t="s">
        <v>529</v>
      </c>
      <c r="I463" s="197">
        <v>45341.791666666664</v>
      </c>
      <c r="J463" t="b">
        <v>0</v>
      </c>
      <c r="K463" t="s">
        <v>123</v>
      </c>
      <c r="L463" t="s">
        <v>123</v>
      </c>
      <c r="M463">
        <v>19</v>
      </c>
      <c r="N463">
        <v>2</v>
      </c>
      <c r="O463">
        <v>2024</v>
      </c>
      <c r="R463">
        <f>IF(wallet_records[[#This Row],[type]]="Gasto",wallet_records[[#This Row],[amount]]*(-1),wallet_records[[#This Row],[amount]])</f>
        <v>13235247.5</v>
      </c>
    </row>
    <row r="464" spans="1:18" x14ac:dyDescent="0.2">
      <c r="A464" t="s">
        <v>127</v>
      </c>
      <c r="B464" t="s">
        <v>136</v>
      </c>
      <c r="C464" t="s">
        <v>115</v>
      </c>
      <c r="D464" s="291">
        <v>209557</v>
      </c>
      <c r="E464">
        <v>209557</v>
      </c>
      <c r="F464" t="s">
        <v>116</v>
      </c>
      <c r="G464" t="s">
        <v>117</v>
      </c>
      <c r="H464" t="s">
        <v>140</v>
      </c>
      <c r="I464" s="197">
        <v>45642.791720451387</v>
      </c>
      <c r="J464" t="b">
        <v>0</v>
      </c>
      <c r="K464" t="s">
        <v>538</v>
      </c>
      <c r="L464" t="s">
        <v>77</v>
      </c>
      <c r="M464">
        <v>16</v>
      </c>
      <c r="N464">
        <v>12</v>
      </c>
      <c r="O464">
        <v>2024</v>
      </c>
      <c r="R464">
        <f>IF(wallet_records[[#This Row],[type]]="Gasto",wallet_records[[#This Row],[amount]]*(-1),wallet_records[[#This Row],[amount]])</f>
        <v>-209557</v>
      </c>
    </row>
    <row r="465" spans="1:18" x14ac:dyDescent="0.2">
      <c r="A465" t="s">
        <v>525</v>
      </c>
      <c r="B465" t="s">
        <v>136</v>
      </c>
      <c r="C465" t="s">
        <v>115</v>
      </c>
      <c r="D465" s="291">
        <v>7824273.4900000002</v>
      </c>
      <c r="E465">
        <v>7824273.4900000002</v>
      </c>
      <c r="F465" t="s">
        <v>116</v>
      </c>
      <c r="G465" t="s">
        <v>117</v>
      </c>
      <c r="H465" t="s">
        <v>522</v>
      </c>
      <c r="I465" s="197">
        <v>45641.791666666664</v>
      </c>
      <c r="J465" t="b">
        <v>0</v>
      </c>
      <c r="K465" t="s">
        <v>123</v>
      </c>
      <c r="L465" t="s">
        <v>123</v>
      </c>
      <c r="M465">
        <v>15</v>
      </c>
      <c r="N465">
        <v>12</v>
      </c>
      <c r="O465">
        <v>2024</v>
      </c>
      <c r="R465">
        <f>IF(wallet_records[[#This Row],[type]]="Gasto",wallet_records[[#This Row],[amount]]*(-1),wallet_records[[#This Row],[amount]])</f>
        <v>-7824273.4900000002</v>
      </c>
    </row>
    <row r="466" spans="1:18" x14ac:dyDescent="0.2">
      <c r="A466" t="s">
        <v>524</v>
      </c>
      <c r="B466" t="s">
        <v>136</v>
      </c>
      <c r="C466" t="s">
        <v>115</v>
      </c>
      <c r="D466" s="291">
        <v>1722399.67</v>
      </c>
      <c r="E466">
        <v>1722399.67</v>
      </c>
      <c r="F466" t="s">
        <v>121</v>
      </c>
      <c r="G466" t="s">
        <v>117</v>
      </c>
      <c r="H466" t="s">
        <v>522</v>
      </c>
      <c r="I466" s="197">
        <v>45641.791666666664</v>
      </c>
      <c r="J466" t="b">
        <v>0</v>
      </c>
      <c r="K466" t="s">
        <v>123</v>
      </c>
      <c r="L466" t="s">
        <v>123</v>
      </c>
      <c r="M466">
        <v>15</v>
      </c>
      <c r="N466">
        <v>12</v>
      </c>
      <c r="O466">
        <v>2024</v>
      </c>
      <c r="R466">
        <f>IF(wallet_records[[#This Row],[type]]="Gasto",wallet_records[[#This Row],[amount]]*(-1),wallet_records[[#This Row],[amount]])</f>
        <v>1722399.67</v>
      </c>
    </row>
    <row r="467" spans="1:18" x14ac:dyDescent="0.2">
      <c r="A467" t="s">
        <v>127</v>
      </c>
      <c r="B467" t="s">
        <v>136</v>
      </c>
      <c r="C467" t="s">
        <v>115</v>
      </c>
      <c r="D467" s="291">
        <v>5114371.99</v>
      </c>
      <c r="E467">
        <v>5114371.99</v>
      </c>
      <c r="F467" t="s">
        <v>121</v>
      </c>
      <c r="G467" t="s">
        <v>117</v>
      </c>
      <c r="H467" t="s">
        <v>522</v>
      </c>
      <c r="I467" s="197">
        <v>45641.791666666664</v>
      </c>
      <c r="J467" t="b">
        <v>0</v>
      </c>
      <c r="K467" t="s">
        <v>123</v>
      </c>
      <c r="L467" t="s">
        <v>123</v>
      </c>
      <c r="M467">
        <v>15</v>
      </c>
      <c r="N467">
        <v>12</v>
      </c>
      <c r="O467">
        <v>2024</v>
      </c>
      <c r="R467">
        <f>IF(wallet_records[[#This Row],[type]]="Gasto",wallet_records[[#This Row],[amount]]*(-1),wallet_records[[#This Row],[amount]])</f>
        <v>5114371.99</v>
      </c>
    </row>
    <row r="468" spans="1:18" x14ac:dyDescent="0.2">
      <c r="A468" t="s">
        <v>119</v>
      </c>
      <c r="B468" t="s">
        <v>136</v>
      </c>
      <c r="C468" t="s">
        <v>115</v>
      </c>
      <c r="D468" s="291">
        <v>1461240</v>
      </c>
      <c r="E468">
        <v>1461240</v>
      </c>
      <c r="F468" t="s">
        <v>121</v>
      </c>
      <c r="G468" t="s">
        <v>117</v>
      </c>
      <c r="H468" t="s">
        <v>522</v>
      </c>
      <c r="I468" s="197">
        <v>45641.791666666664</v>
      </c>
      <c r="J468" t="b">
        <v>0</v>
      </c>
      <c r="K468" t="s">
        <v>123</v>
      </c>
      <c r="L468" t="s">
        <v>123</v>
      </c>
      <c r="M468">
        <v>15</v>
      </c>
      <c r="N468">
        <v>12</v>
      </c>
      <c r="O468">
        <v>2024</v>
      </c>
      <c r="R468">
        <f>IF(wallet_records[[#This Row],[type]]="Gasto",wallet_records[[#This Row],[amount]]*(-1),wallet_records[[#This Row],[amount]])</f>
        <v>1461240</v>
      </c>
    </row>
    <row r="469" spans="1:18" x14ac:dyDescent="0.2">
      <c r="A469" t="s">
        <v>133</v>
      </c>
      <c r="B469" t="s">
        <v>136</v>
      </c>
      <c r="C469" t="s">
        <v>115</v>
      </c>
      <c r="D469" s="291">
        <v>26306.14</v>
      </c>
      <c r="E469">
        <v>26306.14</v>
      </c>
      <c r="F469" t="s">
        <v>121</v>
      </c>
      <c r="G469" t="s">
        <v>117</v>
      </c>
      <c r="H469" t="s">
        <v>522</v>
      </c>
      <c r="I469" s="197">
        <v>45641.791666666664</v>
      </c>
      <c r="J469" t="b">
        <v>0</v>
      </c>
      <c r="K469" t="s">
        <v>123</v>
      </c>
      <c r="L469" t="s">
        <v>123</v>
      </c>
      <c r="M469">
        <v>15</v>
      </c>
      <c r="N469">
        <v>12</v>
      </c>
      <c r="O469">
        <v>2024</v>
      </c>
      <c r="R469">
        <f>IF(wallet_records[[#This Row],[type]]="Gasto",wallet_records[[#This Row],[amount]]*(-1),wallet_records[[#This Row],[amount]])</f>
        <v>26306.14</v>
      </c>
    </row>
    <row r="470" spans="1:18" x14ac:dyDescent="0.2">
      <c r="A470" t="s">
        <v>525</v>
      </c>
      <c r="B470" t="s">
        <v>136</v>
      </c>
      <c r="C470" t="s">
        <v>115</v>
      </c>
      <c r="D470" s="291">
        <v>138000</v>
      </c>
      <c r="E470">
        <v>138000</v>
      </c>
      <c r="F470" t="s">
        <v>116</v>
      </c>
      <c r="G470" t="s">
        <v>117</v>
      </c>
      <c r="H470" t="s">
        <v>140</v>
      </c>
      <c r="I470" s="197">
        <v>45640.791666666664</v>
      </c>
      <c r="J470" t="b">
        <v>0</v>
      </c>
      <c r="K470" t="s">
        <v>1</v>
      </c>
      <c r="L470" t="s">
        <v>1</v>
      </c>
      <c r="M470">
        <v>14</v>
      </c>
      <c r="N470">
        <v>12</v>
      </c>
      <c r="O470">
        <v>2024</v>
      </c>
      <c r="R470">
        <f>IF(wallet_records[[#This Row],[type]]="Gasto",wallet_records[[#This Row],[amount]]*(-1),wallet_records[[#This Row],[amount]])</f>
        <v>-138000</v>
      </c>
    </row>
    <row r="471" spans="1:18" x14ac:dyDescent="0.2">
      <c r="A471" t="s">
        <v>127</v>
      </c>
      <c r="B471" t="s">
        <v>136</v>
      </c>
      <c r="C471" t="s">
        <v>115</v>
      </c>
      <c r="D471" s="291">
        <v>138000</v>
      </c>
      <c r="E471">
        <v>138000</v>
      </c>
      <c r="F471" t="s">
        <v>116</v>
      </c>
      <c r="G471" t="s">
        <v>117</v>
      </c>
      <c r="H471" t="s">
        <v>140</v>
      </c>
      <c r="I471" s="197">
        <v>45640.791666666664</v>
      </c>
      <c r="J471" t="b">
        <v>0</v>
      </c>
      <c r="K471" t="s">
        <v>1</v>
      </c>
      <c r="L471" t="s">
        <v>1</v>
      </c>
      <c r="M471">
        <v>14</v>
      </c>
      <c r="N471">
        <v>12</v>
      </c>
      <c r="O471">
        <v>2024</v>
      </c>
      <c r="R471">
        <f>IF(wallet_records[[#This Row],[type]]="Gasto",wallet_records[[#This Row],[amount]]*(-1),wallet_records[[#This Row],[amount]])</f>
        <v>-138000</v>
      </c>
    </row>
    <row r="472" spans="1:18" x14ac:dyDescent="0.2">
      <c r="A472" t="s">
        <v>524</v>
      </c>
      <c r="B472" t="s">
        <v>136</v>
      </c>
      <c r="C472" t="s">
        <v>115</v>
      </c>
      <c r="D472" s="291">
        <v>430800</v>
      </c>
      <c r="E472">
        <v>430800</v>
      </c>
      <c r="F472" t="s">
        <v>116</v>
      </c>
      <c r="G472" t="s">
        <v>117</v>
      </c>
      <c r="H472" t="s">
        <v>137</v>
      </c>
      <c r="I472" s="197">
        <v>45631.791666666664</v>
      </c>
      <c r="J472" t="b">
        <v>0</v>
      </c>
      <c r="K472" t="s">
        <v>138</v>
      </c>
      <c r="L472" t="s">
        <v>139</v>
      </c>
      <c r="M472">
        <v>5</v>
      </c>
      <c r="N472">
        <v>12</v>
      </c>
      <c r="O472">
        <v>2024</v>
      </c>
      <c r="R472">
        <f>IF(wallet_records[[#This Row],[type]]="Gasto",wallet_records[[#This Row],[amount]]*(-1),wallet_records[[#This Row],[amount]])</f>
        <v>-430800</v>
      </c>
    </row>
    <row r="473" spans="1:18" x14ac:dyDescent="0.2">
      <c r="A473" t="s">
        <v>127</v>
      </c>
      <c r="B473" t="s">
        <v>136</v>
      </c>
      <c r="C473" t="s">
        <v>115</v>
      </c>
      <c r="D473" s="291">
        <v>437205</v>
      </c>
      <c r="E473">
        <v>437205</v>
      </c>
      <c r="F473" t="s">
        <v>116</v>
      </c>
      <c r="G473" t="s">
        <v>117</v>
      </c>
      <c r="H473" t="s">
        <v>140</v>
      </c>
      <c r="I473" s="197">
        <v>45625.792119062498</v>
      </c>
      <c r="J473" t="b">
        <v>0</v>
      </c>
      <c r="K473" t="s">
        <v>536</v>
      </c>
      <c r="L473" t="s">
        <v>0</v>
      </c>
      <c r="M473">
        <v>29</v>
      </c>
      <c r="N473">
        <v>11</v>
      </c>
      <c r="O473">
        <v>2024</v>
      </c>
      <c r="R473">
        <f>IF(wallet_records[[#This Row],[type]]="Gasto",wallet_records[[#This Row],[amount]]*(-1),wallet_records[[#This Row],[amount]])</f>
        <v>-437205</v>
      </c>
    </row>
    <row r="474" spans="1:18" x14ac:dyDescent="0.2">
      <c r="A474" t="s">
        <v>127</v>
      </c>
      <c r="B474" t="s">
        <v>136</v>
      </c>
      <c r="C474" t="s">
        <v>115</v>
      </c>
      <c r="D474" s="291">
        <v>243000</v>
      </c>
      <c r="E474">
        <v>243000</v>
      </c>
      <c r="F474" t="s">
        <v>116</v>
      </c>
      <c r="G474" t="s">
        <v>117</v>
      </c>
      <c r="H474" t="s">
        <v>140</v>
      </c>
      <c r="I474" s="197">
        <v>45625.79188571759</v>
      </c>
      <c r="J474" t="b">
        <v>0</v>
      </c>
      <c r="K474" t="s">
        <v>538</v>
      </c>
      <c r="L474" t="s">
        <v>77</v>
      </c>
      <c r="M474">
        <v>29</v>
      </c>
      <c r="N474">
        <v>11</v>
      </c>
      <c r="O474">
        <v>2024</v>
      </c>
      <c r="R474">
        <f>IF(wallet_records[[#This Row],[type]]="Gasto",wallet_records[[#This Row],[amount]]*(-1),wallet_records[[#This Row],[amount]])</f>
        <v>-243000</v>
      </c>
    </row>
    <row r="475" spans="1:18" x14ac:dyDescent="0.2">
      <c r="A475" t="s">
        <v>127</v>
      </c>
      <c r="B475" t="s">
        <v>136</v>
      </c>
      <c r="C475" t="s">
        <v>115</v>
      </c>
      <c r="D475" s="291">
        <v>138000</v>
      </c>
      <c r="E475">
        <v>138000</v>
      </c>
      <c r="F475" t="s">
        <v>116</v>
      </c>
      <c r="G475" t="s">
        <v>117</v>
      </c>
      <c r="H475" t="s">
        <v>140</v>
      </c>
      <c r="I475" s="197">
        <v>45621.791666666664</v>
      </c>
      <c r="J475" t="b">
        <v>0</v>
      </c>
      <c r="K475" t="s">
        <v>1</v>
      </c>
      <c r="L475" t="s">
        <v>1</v>
      </c>
      <c r="M475">
        <v>25</v>
      </c>
      <c r="N475">
        <v>11</v>
      </c>
      <c r="O475">
        <v>2024</v>
      </c>
      <c r="R475">
        <f>IF(wallet_records[[#This Row],[type]]="Gasto",wallet_records[[#This Row],[amount]]*(-1),wallet_records[[#This Row],[amount]])</f>
        <v>-138000</v>
      </c>
    </row>
    <row r="476" spans="1:18" x14ac:dyDescent="0.2">
      <c r="A476" t="s">
        <v>524</v>
      </c>
      <c r="B476" t="s">
        <v>136</v>
      </c>
      <c r="C476" t="s">
        <v>115</v>
      </c>
      <c r="D476" s="291">
        <v>0.13</v>
      </c>
      <c r="E476">
        <v>0.13</v>
      </c>
      <c r="F476" t="s">
        <v>116</v>
      </c>
      <c r="G476" t="s">
        <v>117</v>
      </c>
      <c r="H476" t="s">
        <v>522</v>
      </c>
      <c r="I476" s="197">
        <v>45611.791666666664</v>
      </c>
      <c r="J476" t="b">
        <v>0</v>
      </c>
      <c r="K476" t="s">
        <v>123</v>
      </c>
      <c r="L476" t="s">
        <v>123</v>
      </c>
      <c r="M476">
        <v>15</v>
      </c>
      <c r="N476">
        <v>11</v>
      </c>
      <c r="O476">
        <v>2024</v>
      </c>
      <c r="R476">
        <f>IF(wallet_records[[#This Row],[type]]="Gasto",wallet_records[[#This Row],[amount]]*(-1),wallet_records[[#This Row],[amount]])</f>
        <v>-0.13</v>
      </c>
    </row>
    <row r="477" spans="1:18" x14ac:dyDescent="0.2">
      <c r="A477" t="s">
        <v>525</v>
      </c>
      <c r="B477" t="s">
        <v>136</v>
      </c>
      <c r="C477" t="s">
        <v>115</v>
      </c>
      <c r="D477" s="291">
        <v>157084.01999999999</v>
      </c>
      <c r="E477">
        <v>157084.01999999999</v>
      </c>
      <c r="F477" t="s">
        <v>121</v>
      </c>
      <c r="G477" t="s">
        <v>117</v>
      </c>
      <c r="H477" t="s">
        <v>522</v>
      </c>
      <c r="I477" s="197">
        <v>45611.791666666664</v>
      </c>
      <c r="J477" t="b">
        <v>0</v>
      </c>
      <c r="K477" t="s">
        <v>123</v>
      </c>
      <c r="L477" t="s">
        <v>123</v>
      </c>
      <c r="M477">
        <v>15</v>
      </c>
      <c r="N477">
        <v>11</v>
      </c>
      <c r="O477">
        <v>2024</v>
      </c>
      <c r="R477">
        <f>IF(wallet_records[[#This Row],[type]]="Gasto",wallet_records[[#This Row],[amount]]*(-1),wallet_records[[#This Row],[amount]])</f>
        <v>157084.01999999999</v>
      </c>
    </row>
    <row r="478" spans="1:18" x14ac:dyDescent="0.2">
      <c r="A478" t="s">
        <v>133</v>
      </c>
      <c r="B478" t="s">
        <v>136</v>
      </c>
      <c r="C478" t="s">
        <v>115</v>
      </c>
      <c r="D478" s="291">
        <v>1534590.89</v>
      </c>
      <c r="E478">
        <v>1534590.89</v>
      </c>
      <c r="F478" t="s">
        <v>121</v>
      </c>
      <c r="G478" t="s">
        <v>117</v>
      </c>
      <c r="H478" t="s">
        <v>522</v>
      </c>
      <c r="I478" s="197">
        <v>45611.791666666664</v>
      </c>
      <c r="J478" t="b">
        <v>0</v>
      </c>
      <c r="K478" t="s">
        <v>123</v>
      </c>
      <c r="L478" t="s">
        <v>123</v>
      </c>
      <c r="M478">
        <v>15</v>
      </c>
      <c r="N478">
        <v>11</v>
      </c>
      <c r="O478">
        <v>2024</v>
      </c>
      <c r="R478">
        <f>IF(wallet_records[[#This Row],[type]]="Gasto",wallet_records[[#This Row],[amount]]*(-1),wallet_records[[#This Row],[amount]])</f>
        <v>1534590.89</v>
      </c>
    </row>
    <row r="479" spans="1:18" x14ac:dyDescent="0.2">
      <c r="A479" t="s">
        <v>119</v>
      </c>
      <c r="B479" t="s">
        <v>136</v>
      </c>
      <c r="C479" t="s">
        <v>115</v>
      </c>
      <c r="D479" s="291">
        <v>607902</v>
      </c>
      <c r="E479">
        <v>607902</v>
      </c>
      <c r="F479" t="s">
        <v>121</v>
      </c>
      <c r="G479" t="s">
        <v>117</v>
      </c>
      <c r="H479" t="s">
        <v>522</v>
      </c>
      <c r="I479" s="197">
        <v>45611.791666666664</v>
      </c>
      <c r="J479" t="b">
        <v>0</v>
      </c>
      <c r="K479" t="s">
        <v>123</v>
      </c>
      <c r="L479" t="s">
        <v>123</v>
      </c>
      <c r="M479">
        <v>15</v>
      </c>
      <c r="N479">
        <v>11</v>
      </c>
      <c r="O479">
        <v>2024</v>
      </c>
      <c r="R479">
        <f>IF(wallet_records[[#This Row],[type]]="Gasto",wallet_records[[#This Row],[amount]]*(-1),wallet_records[[#This Row],[amount]])</f>
        <v>607902</v>
      </c>
    </row>
    <row r="480" spans="1:18" x14ac:dyDescent="0.2">
      <c r="A480" t="s">
        <v>127</v>
      </c>
      <c r="B480" t="s">
        <v>136</v>
      </c>
      <c r="C480" t="s">
        <v>115</v>
      </c>
      <c r="D480" s="291">
        <v>2930682.6</v>
      </c>
      <c r="E480">
        <v>2930682.6</v>
      </c>
      <c r="F480" t="s">
        <v>116</v>
      </c>
      <c r="G480" t="s">
        <v>117</v>
      </c>
      <c r="H480" t="s">
        <v>522</v>
      </c>
      <c r="I480" s="197">
        <v>45611.791666666664</v>
      </c>
      <c r="J480" t="b">
        <v>0</v>
      </c>
      <c r="K480" t="s">
        <v>123</v>
      </c>
      <c r="L480" t="s">
        <v>123</v>
      </c>
      <c r="M480">
        <v>15</v>
      </c>
      <c r="N480">
        <v>11</v>
      </c>
      <c r="O480">
        <v>2024</v>
      </c>
      <c r="R480">
        <f>IF(wallet_records[[#This Row],[type]]="Gasto",wallet_records[[#This Row],[amount]]*(-1),wallet_records[[#This Row],[amount]])</f>
        <v>-2930682.6</v>
      </c>
    </row>
    <row r="481" spans="1:18" x14ac:dyDescent="0.2">
      <c r="A481" t="s">
        <v>127</v>
      </c>
      <c r="B481" t="s">
        <v>136</v>
      </c>
      <c r="C481" t="s">
        <v>115</v>
      </c>
      <c r="D481" s="291">
        <v>437205</v>
      </c>
      <c r="E481">
        <v>437205</v>
      </c>
      <c r="F481" t="s">
        <v>116</v>
      </c>
      <c r="G481" t="s">
        <v>117</v>
      </c>
      <c r="H481" t="s">
        <v>140</v>
      </c>
      <c r="I481" s="197">
        <v>45600.79219025463</v>
      </c>
      <c r="J481" t="b">
        <v>0</v>
      </c>
      <c r="K481" t="s">
        <v>536</v>
      </c>
      <c r="L481" t="s">
        <v>0</v>
      </c>
      <c r="M481">
        <v>4</v>
      </c>
      <c r="N481">
        <v>11</v>
      </c>
      <c r="O481">
        <v>2024</v>
      </c>
      <c r="R481">
        <f>IF(wallet_records[[#This Row],[type]]="Gasto",wallet_records[[#This Row],[amount]]*(-1),wallet_records[[#This Row],[amount]])</f>
        <v>-437205</v>
      </c>
    </row>
    <row r="482" spans="1:18" x14ac:dyDescent="0.2">
      <c r="A482" t="s">
        <v>127</v>
      </c>
      <c r="B482" t="s">
        <v>136</v>
      </c>
      <c r="C482" t="s">
        <v>115</v>
      </c>
      <c r="D482" s="291">
        <v>243000</v>
      </c>
      <c r="E482">
        <v>243000</v>
      </c>
      <c r="F482" t="s">
        <v>116</v>
      </c>
      <c r="G482" t="s">
        <v>117</v>
      </c>
      <c r="H482" t="s">
        <v>140</v>
      </c>
      <c r="I482" s="197">
        <v>45598.792040590277</v>
      </c>
      <c r="J482" t="b">
        <v>0</v>
      </c>
      <c r="K482" t="s">
        <v>538</v>
      </c>
      <c r="L482" t="s">
        <v>77</v>
      </c>
      <c r="M482">
        <v>2</v>
      </c>
      <c r="N482">
        <v>11</v>
      </c>
      <c r="O482">
        <v>2024</v>
      </c>
      <c r="R482">
        <f>IF(wallet_records[[#This Row],[type]]="Gasto",wallet_records[[#This Row],[amount]]*(-1),wallet_records[[#This Row],[amount]])</f>
        <v>-243000</v>
      </c>
    </row>
    <row r="483" spans="1:18" x14ac:dyDescent="0.2">
      <c r="A483" t="s">
        <v>524</v>
      </c>
      <c r="B483" t="s">
        <v>136</v>
      </c>
      <c r="C483" t="s">
        <v>115</v>
      </c>
      <c r="D483" s="291">
        <v>0.13</v>
      </c>
      <c r="E483">
        <v>0.13</v>
      </c>
      <c r="F483" t="s">
        <v>121</v>
      </c>
      <c r="G483" t="s">
        <v>117</v>
      </c>
      <c r="H483" t="s">
        <v>522</v>
      </c>
      <c r="I483" s="197">
        <v>45581.791666666664</v>
      </c>
      <c r="J483" t="b">
        <v>0</v>
      </c>
      <c r="K483" t="s">
        <v>123</v>
      </c>
      <c r="L483" t="s">
        <v>123</v>
      </c>
      <c r="M483">
        <v>16</v>
      </c>
      <c r="N483">
        <v>10</v>
      </c>
      <c r="O483">
        <v>2024</v>
      </c>
      <c r="R483">
        <f>IF(wallet_records[[#This Row],[type]]="Gasto",wallet_records[[#This Row],[amount]]*(-1),wallet_records[[#This Row],[amount]])</f>
        <v>0.13</v>
      </c>
    </row>
    <row r="484" spans="1:18" x14ac:dyDescent="0.2">
      <c r="A484" t="s">
        <v>119</v>
      </c>
      <c r="B484" t="s">
        <v>136</v>
      </c>
      <c r="C484" t="s">
        <v>115</v>
      </c>
      <c r="D484" s="291">
        <v>2450575</v>
      </c>
      <c r="E484">
        <v>2450575</v>
      </c>
      <c r="F484" t="s">
        <v>116</v>
      </c>
      <c r="G484" t="s">
        <v>117</v>
      </c>
      <c r="H484" t="s">
        <v>522</v>
      </c>
      <c r="I484" s="197">
        <v>45581.791666666664</v>
      </c>
      <c r="J484" t="b">
        <v>0</v>
      </c>
      <c r="K484" t="s">
        <v>123</v>
      </c>
      <c r="L484" t="s">
        <v>123</v>
      </c>
      <c r="M484">
        <v>16</v>
      </c>
      <c r="N484">
        <v>10</v>
      </c>
      <c r="O484">
        <v>2024</v>
      </c>
      <c r="R484">
        <f>IF(wallet_records[[#This Row],[type]]="Gasto",wallet_records[[#This Row],[amount]]*(-1),wallet_records[[#This Row],[amount]])</f>
        <v>-2450575</v>
      </c>
    </row>
    <row r="485" spans="1:18" x14ac:dyDescent="0.2">
      <c r="A485" t="s">
        <v>525</v>
      </c>
      <c r="B485" t="s">
        <v>136</v>
      </c>
      <c r="C485" t="s">
        <v>115</v>
      </c>
      <c r="D485" s="291">
        <v>290022.78999999998</v>
      </c>
      <c r="E485">
        <v>290022.78999999998</v>
      </c>
      <c r="F485" t="s">
        <v>121</v>
      </c>
      <c r="G485" t="s">
        <v>117</v>
      </c>
      <c r="H485" t="s">
        <v>522</v>
      </c>
      <c r="I485" s="197">
        <v>45581.791666666664</v>
      </c>
      <c r="J485" t="b">
        <v>0</v>
      </c>
      <c r="K485" t="s">
        <v>123</v>
      </c>
      <c r="L485" t="s">
        <v>123</v>
      </c>
      <c r="M485">
        <v>16</v>
      </c>
      <c r="N485">
        <v>10</v>
      </c>
      <c r="O485">
        <v>2024</v>
      </c>
      <c r="R485">
        <f>IF(wallet_records[[#This Row],[type]]="Gasto",wallet_records[[#This Row],[amount]]*(-1),wallet_records[[#This Row],[amount]])</f>
        <v>290022.78999999998</v>
      </c>
    </row>
    <row r="486" spans="1:18" x14ac:dyDescent="0.2">
      <c r="A486" t="s">
        <v>133</v>
      </c>
      <c r="B486" t="s">
        <v>136</v>
      </c>
      <c r="C486" t="s">
        <v>115</v>
      </c>
      <c r="D486" s="291">
        <v>15363.61</v>
      </c>
      <c r="E486">
        <v>15363.61</v>
      </c>
      <c r="F486" t="s">
        <v>121</v>
      </c>
      <c r="G486" t="s">
        <v>117</v>
      </c>
      <c r="H486" t="s">
        <v>522</v>
      </c>
      <c r="I486" s="197">
        <v>45581.791666666664</v>
      </c>
      <c r="J486" t="b">
        <v>0</v>
      </c>
      <c r="K486" t="s">
        <v>123</v>
      </c>
      <c r="L486" t="s">
        <v>123</v>
      </c>
      <c r="M486">
        <v>16</v>
      </c>
      <c r="N486">
        <v>10</v>
      </c>
      <c r="O486">
        <v>2024</v>
      </c>
      <c r="R486">
        <f>IF(wallet_records[[#This Row],[type]]="Gasto",wallet_records[[#This Row],[amount]]*(-1),wallet_records[[#This Row],[amount]])</f>
        <v>15363.61</v>
      </c>
    </row>
    <row r="487" spans="1:18" x14ac:dyDescent="0.2">
      <c r="A487" t="s">
        <v>127</v>
      </c>
      <c r="B487" t="s">
        <v>136</v>
      </c>
      <c r="C487" t="s">
        <v>115</v>
      </c>
      <c r="D487" s="291">
        <v>834284.96</v>
      </c>
      <c r="E487">
        <v>834284.96</v>
      </c>
      <c r="F487" t="s">
        <v>121</v>
      </c>
      <c r="G487" t="s">
        <v>117</v>
      </c>
      <c r="H487" t="s">
        <v>522</v>
      </c>
      <c r="I487" s="197">
        <v>45581.791666666664</v>
      </c>
      <c r="J487" t="b">
        <v>0</v>
      </c>
      <c r="K487" t="s">
        <v>123</v>
      </c>
      <c r="L487" t="s">
        <v>123</v>
      </c>
      <c r="M487">
        <v>16</v>
      </c>
      <c r="N487">
        <v>10</v>
      </c>
      <c r="O487">
        <v>2024</v>
      </c>
      <c r="R487">
        <f>IF(wallet_records[[#This Row],[type]]="Gasto",wallet_records[[#This Row],[amount]]*(-1),wallet_records[[#This Row],[amount]])</f>
        <v>834284.96</v>
      </c>
    </row>
    <row r="488" spans="1:18" x14ac:dyDescent="0.2">
      <c r="A488" t="s">
        <v>127</v>
      </c>
      <c r="B488" t="s">
        <v>136</v>
      </c>
      <c r="C488" t="s">
        <v>115</v>
      </c>
      <c r="D488" s="291">
        <v>437205</v>
      </c>
      <c r="E488">
        <v>437205</v>
      </c>
      <c r="F488" t="s">
        <v>116</v>
      </c>
      <c r="G488" t="s">
        <v>117</v>
      </c>
      <c r="H488" t="s">
        <v>140</v>
      </c>
      <c r="I488" s="197">
        <v>45577.792271736114</v>
      </c>
      <c r="J488" t="b">
        <v>0</v>
      </c>
      <c r="K488" t="s">
        <v>536</v>
      </c>
      <c r="L488" t="s">
        <v>0</v>
      </c>
      <c r="M488">
        <v>12</v>
      </c>
      <c r="N488">
        <v>10</v>
      </c>
      <c r="O488">
        <v>2024</v>
      </c>
      <c r="R488">
        <f>IF(wallet_records[[#This Row],[type]]="Gasto",wallet_records[[#This Row],[amount]]*(-1),wallet_records[[#This Row],[amount]])</f>
        <v>-437205</v>
      </c>
    </row>
    <row r="489" spans="1:18" x14ac:dyDescent="0.2">
      <c r="A489" t="s">
        <v>127</v>
      </c>
      <c r="B489" t="s">
        <v>136</v>
      </c>
      <c r="C489" t="s">
        <v>115</v>
      </c>
      <c r="D489" s="291">
        <v>138000</v>
      </c>
      <c r="E489">
        <v>138000</v>
      </c>
      <c r="F489" t="s">
        <v>116</v>
      </c>
      <c r="G489" t="s">
        <v>117</v>
      </c>
      <c r="H489" t="s">
        <v>140</v>
      </c>
      <c r="I489" s="197">
        <v>45577.791666666664</v>
      </c>
      <c r="J489" t="b">
        <v>0</v>
      </c>
      <c r="K489" t="s">
        <v>1</v>
      </c>
      <c r="L489" t="s">
        <v>1</v>
      </c>
      <c r="M489">
        <v>12</v>
      </c>
      <c r="N489">
        <v>10</v>
      </c>
      <c r="O489">
        <v>2024</v>
      </c>
      <c r="R489">
        <f>IF(wallet_records[[#This Row],[type]]="Gasto",wallet_records[[#This Row],[amount]]*(-1),wallet_records[[#This Row],[amount]])</f>
        <v>-138000</v>
      </c>
    </row>
    <row r="490" spans="1:18" x14ac:dyDescent="0.2">
      <c r="A490" t="s">
        <v>127</v>
      </c>
      <c r="B490" t="s">
        <v>136</v>
      </c>
      <c r="C490" t="s">
        <v>115</v>
      </c>
      <c r="D490" s="291">
        <v>243000</v>
      </c>
      <c r="E490">
        <v>243000</v>
      </c>
      <c r="F490" t="s">
        <v>116</v>
      </c>
      <c r="G490" t="s">
        <v>117</v>
      </c>
      <c r="H490" t="s">
        <v>140</v>
      </c>
      <c r="I490" s="197">
        <v>45566.791929108796</v>
      </c>
      <c r="J490" t="b">
        <v>0</v>
      </c>
      <c r="K490" t="s">
        <v>538</v>
      </c>
      <c r="L490" t="s">
        <v>77</v>
      </c>
      <c r="M490">
        <v>1</v>
      </c>
      <c r="N490">
        <v>10</v>
      </c>
      <c r="O490">
        <v>2024</v>
      </c>
      <c r="R490">
        <f>IF(wallet_records[[#This Row],[type]]="Gasto",wallet_records[[#This Row],[amount]]*(-1),wallet_records[[#This Row],[amount]])</f>
        <v>-243000</v>
      </c>
    </row>
    <row r="491" spans="1:18" x14ac:dyDescent="0.2">
      <c r="A491" t="s">
        <v>524</v>
      </c>
      <c r="B491" t="s">
        <v>136</v>
      </c>
      <c r="C491" t="s">
        <v>115</v>
      </c>
      <c r="D491" s="291">
        <v>111000.17</v>
      </c>
      <c r="E491">
        <v>111000.17</v>
      </c>
      <c r="F491" t="s">
        <v>121</v>
      </c>
      <c r="G491" t="s">
        <v>117</v>
      </c>
      <c r="H491" t="s">
        <v>522</v>
      </c>
      <c r="I491" s="197">
        <v>45551.791666666664</v>
      </c>
      <c r="J491" t="b">
        <v>0</v>
      </c>
      <c r="K491" t="s">
        <v>123</v>
      </c>
      <c r="L491" t="s">
        <v>123</v>
      </c>
      <c r="M491">
        <v>16</v>
      </c>
      <c r="N491">
        <v>9</v>
      </c>
      <c r="O491">
        <v>2024</v>
      </c>
      <c r="R491">
        <f>IF(wallet_records[[#This Row],[type]]="Gasto",wallet_records[[#This Row],[amount]]*(-1),wallet_records[[#This Row],[amount]])</f>
        <v>111000.17</v>
      </c>
    </row>
    <row r="492" spans="1:18" x14ac:dyDescent="0.2">
      <c r="A492" t="s">
        <v>133</v>
      </c>
      <c r="B492" t="s">
        <v>136</v>
      </c>
      <c r="C492" t="s">
        <v>115</v>
      </c>
      <c r="D492" s="291">
        <v>1021854.92</v>
      </c>
      <c r="E492">
        <v>1021854.92</v>
      </c>
      <c r="F492" t="s">
        <v>121</v>
      </c>
      <c r="G492" t="s">
        <v>117</v>
      </c>
      <c r="H492" t="s">
        <v>522</v>
      </c>
      <c r="I492" s="197">
        <v>45551.791666666664</v>
      </c>
      <c r="J492" t="b">
        <v>0</v>
      </c>
      <c r="K492" t="s">
        <v>123</v>
      </c>
      <c r="L492" t="s">
        <v>123</v>
      </c>
      <c r="M492">
        <v>16</v>
      </c>
      <c r="N492">
        <v>9</v>
      </c>
      <c r="O492">
        <v>2024</v>
      </c>
      <c r="R492">
        <f>IF(wallet_records[[#This Row],[type]]="Gasto",wallet_records[[#This Row],[amount]]*(-1),wallet_records[[#This Row],[amount]])</f>
        <v>1021854.92</v>
      </c>
    </row>
    <row r="493" spans="1:18" x14ac:dyDescent="0.2">
      <c r="A493" t="s">
        <v>525</v>
      </c>
      <c r="B493" t="s">
        <v>136</v>
      </c>
      <c r="C493" t="s">
        <v>115</v>
      </c>
      <c r="D493" s="291">
        <v>200252.93</v>
      </c>
      <c r="E493">
        <v>200252.93</v>
      </c>
      <c r="F493" t="s">
        <v>121</v>
      </c>
      <c r="G493" t="s">
        <v>117</v>
      </c>
      <c r="H493" t="s">
        <v>522</v>
      </c>
      <c r="I493" s="197">
        <v>45551.791666666664</v>
      </c>
      <c r="J493" t="b">
        <v>0</v>
      </c>
      <c r="K493" t="s">
        <v>123</v>
      </c>
      <c r="L493" t="s">
        <v>123</v>
      </c>
      <c r="M493">
        <v>16</v>
      </c>
      <c r="N493">
        <v>9</v>
      </c>
      <c r="O493">
        <v>2024</v>
      </c>
      <c r="R493">
        <f>IF(wallet_records[[#This Row],[type]]="Gasto",wallet_records[[#This Row],[amount]]*(-1),wallet_records[[#This Row],[amount]])</f>
        <v>200252.93</v>
      </c>
    </row>
    <row r="494" spans="1:18" x14ac:dyDescent="0.2">
      <c r="A494" t="s">
        <v>119</v>
      </c>
      <c r="B494" t="s">
        <v>136</v>
      </c>
      <c r="C494" t="s">
        <v>115</v>
      </c>
      <c r="D494" s="291">
        <v>1042213</v>
      </c>
      <c r="E494">
        <v>1042213</v>
      </c>
      <c r="F494" t="s">
        <v>121</v>
      </c>
      <c r="G494" t="s">
        <v>117</v>
      </c>
      <c r="H494" t="s">
        <v>522</v>
      </c>
      <c r="I494" s="197">
        <v>45551.791666666664</v>
      </c>
      <c r="J494" t="b">
        <v>0</v>
      </c>
      <c r="K494" t="s">
        <v>123</v>
      </c>
      <c r="L494" t="s">
        <v>123</v>
      </c>
      <c r="M494">
        <v>16</v>
      </c>
      <c r="N494">
        <v>9</v>
      </c>
      <c r="O494">
        <v>2024</v>
      </c>
      <c r="R494">
        <f>IF(wallet_records[[#This Row],[type]]="Gasto",wallet_records[[#This Row],[amount]]*(-1),wallet_records[[#This Row],[amount]])</f>
        <v>1042213</v>
      </c>
    </row>
    <row r="495" spans="1:18" x14ac:dyDescent="0.2">
      <c r="A495" t="s">
        <v>127</v>
      </c>
      <c r="B495" t="s">
        <v>136</v>
      </c>
      <c r="C495" t="s">
        <v>115</v>
      </c>
      <c r="D495" s="291">
        <v>11746869.24</v>
      </c>
      <c r="E495">
        <v>11746869.24</v>
      </c>
      <c r="F495" t="s">
        <v>116</v>
      </c>
      <c r="G495" t="s">
        <v>117</v>
      </c>
      <c r="H495" t="s">
        <v>522</v>
      </c>
      <c r="I495" s="197">
        <v>45551.791666666664</v>
      </c>
      <c r="J495" t="b">
        <v>0</v>
      </c>
      <c r="K495" t="s">
        <v>123</v>
      </c>
      <c r="L495" t="s">
        <v>123</v>
      </c>
      <c r="M495">
        <v>16</v>
      </c>
      <c r="N495">
        <v>9</v>
      </c>
      <c r="O495">
        <v>2024</v>
      </c>
      <c r="R495">
        <f>IF(wallet_records[[#This Row],[type]]="Gasto",wallet_records[[#This Row],[amount]]*(-1),wallet_records[[#This Row],[amount]])</f>
        <v>-11746869.24</v>
      </c>
    </row>
    <row r="496" spans="1:18" x14ac:dyDescent="0.2">
      <c r="A496" t="s">
        <v>127</v>
      </c>
      <c r="B496" t="s">
        <v>136</v>
      </c>
      <c r="C496" t="s">
        <v>115</v>
      </c>
      <c r="D496" s="291">
        <v>138000</v>
      </c>
      <c r="E496">
        <v>138000</v>
      </c>
      <c r="F496" t="s">
        <v>116</v>
      </c>
      <c r="G496" t="s">
        <v>117</v>
      </c>
      <c r="H496" t="s">
        <v>140</v>
      </c>
      <c r="I496" s="197">
        <v>45549.791666666664</v>
      </c>
      <c r="J496" t="b">
        <v>0</v>
      </c>
      <c r="K496" t="s">
        <v>1</v>
      </c>
      <c r="L496" t="s">
        <v>1</v>
      </c>
      <c r="M496">
        <v>14</v>
      </c>
      <c r="N496">
        <v>9</v>
      </c>
      <c r="O496">
        <v>2024</v>
      </c>
      <c r="R496">
        <f>IF(wallet_records[[#This Row],[type]]="Gasto",wallet_records[[#This Row],[amount]]*(-1),wallet_records[[#This Row],[amount]])</f>
        <v>-138000</v>
      </c>
    </row>
    <row r="497" spans="1:18" x14ac:dyDescent="0.2">
      <c r="A497" t="s">
        <v>127</v>
      </c>
      <c r="B497" t="s">
        <v>136</v>
      </c>
      <c r="C497" t="s">
        <v>115</v>
      </c>
      <c r="D497" s="291">
        <v>437205</v>
      </c>
      <c r="E497">
        <v>437205</v>
      </c>
      <c r="F497" t="s">
        <v>116</v>
      </c>
      <c r="G497" t="s">
        <v>117</v>
      </c>
      <c r="H497" t="s">
        <v>140</v>
      </c>
      <c r="I497" s="197">
        <v>45541.792354513891</v>
      </c>
      <c r="J497" t="b">
        <v>0</v>
      </c>
      <c r="K497" t="s">
        <v>536</v>
      </c>
      <c r="L497" t="s">
        <v>0</v>
      </c>
      <c r="M497">
        <v>6</v>
      </c>
      <c r="N497">
        <v>9</v>
      </c>
      <c r="O497">
        <v>2024</v>
      </c>
      <c r="R497">
        <f>IF(wallet_records[[#This Row],[type]]="Gasto",wallet_records[[#This Row],[amount]]*(-1),wallet_records[[#This Row],[amount]])</f>
        <v>-437205</v>
      </c>
    </row>
    <row r="498" spans="1:18" x14ac:dyDescent="0.2">
      <c r="A498" t="s">
        <v>127</v>
      </c>
      <c r="B498" t="s">
        <v>136</v>
      </c>
      <c r="C498" t="s">
        <v>115</v>
      </c>
      <c r="D498" s="291">
        <v>243000</v>
      </c>
      <c r="E498">
        <v>243000</v>
      </c>
      <c r="F498" t="s">
        <v>116</v>
      </c>
      <c r="G498" t="s">
        <v>117</v>
      </c>
      <c r="H498" t="s">
        <v>140</v>
      </c>
      <c r="I498" s="197">
        <v>45534.79181761574</v>
      </c>
      <c r="J498" t="b">
        <v>0</v>
      </c>
      <c r="K498" t="s">
        <v>538</v>
      </c>
      <c r="L498" t="s">
        <v>77</v>
      </c>
      <c r="M498">
        <v>30</v>
      </c>
      <c r="N498">
        <v>8</v>
      </c>
      <c r="O498">
        <v>2024</v>
      </c>
      <c r="R498">
        <f>IF(wallet_records[[#This Row],[type]]="Gasto",wallet_records[[#This Row],[amount]]*(-1),wallet_records[[#This Row],[amount]])</f>
        <v>-243000</v>
      </c>
    </row>
    <row r="499" spans="1:18" x14ac:dyDescent="0.2">
      <c r="A499" t="s">
        <v>119</v>
      </c>
      <c r="B499" t="s">
        <v>136</v>
      </c>
      <c r="C499" t="s">
        <v>115</v>
      </c>
      <c r="D499" s="291">
        <v>1035051</v>
      </c>
      <c r="E499">
        <v>1035051</v>
      </c>
      <c r="F499" t="s">
        <v>121</v>
      </c>
      <c r="G499" t="s">
        <v>117</v>
      </c>
      <c r="H499" t="s">
        <v>522</v>
      </c>
      <c r="I499" s="197">
        <v>45521.791666666664</v>
      </c>
      <c r="J499" t="b">
        <v>0</v>
      </c>
      <c r="K499" t="s">
        <v>123</v>
      </c>
      <c r="L499" t="s">
        <v>123</v>
      </c>
      <c r="M499">
        <v>17</v>
      </c>
      <c r="N499">
        <v>8</v>
      </c>
      <c r="O499">
        <v>2024</v>
      </c>
      <c r="R499">
        <f>IF(wallet_records[[#This Row],[type]]="Gasto",wallet_records[[#This Row],[amount]]*(-1),wallet_records[[#This Row],[amount]])</f>
        <v>1035051</v>
      </c>
    </row>
    <row r="500" spans="1:18" x14ac:dyDescent="0.2">
      <c r="A500" t="s">
        <v>525</v>
      </c>
      <c r="B500" t="s">
        <v>136</v>
      </c>
      <c r="C500" t="s">
        <v>115</v>
      </c>
      <c r="D500" s="291">
        <v>128948.19</v>
      </c>
      <c r="E500">
        <v>128948.19</v>
      </c>
      <c r="F500" t="s">
        <v>121</v>
      </c>
      <c r="G500" t="s">
        <v>117</v>
      </c>
      <c r="H500" t="s">
        <v>522</v>
      </c>
      <c r="I500" s="197">
        <v>45521.791666666664</v>
      </c>
      <c r="J500" t="b">
        <v>0</v>
      </c>
      <c r="K500" t="s">
        <v>123</v>
      </c>
      <c r="L500" t="s">
        <v>123</v>
      </c>
      <c r="M500">
        <v>17</v>
      </c>
      <c r="N500">
        <v>8</v>
      </c>
      <c r="O500">
        <v>2024</v>
      </c>
      <c r="R500">
        <f>IF(wallet_records[[#This Row],[type]]="Gasto",wallet_records[[#This Row],[amount]]*(-1),wallet_records[[#This Row],[amount]])</f>
        <v>128948.19</v>
      </c>
    </row>
    <row r="501" spans="1:18" x14ac:dyDescent="0.2">
      <c r="A501" t="s">
        <v>133</v>
      </c>
      <c r="B501" t="s">
        <v>136</v>
      </c>
      <c r="C501" t="s">
        <v>115</v>
      </c>
      <c r="D501" s="291">
        <v>1018859.05</v>
      </c>
      <c r="E501">
        <v>1018859.05</v>
      </c>
      <c r="F501" t="s">
        <v>121</v>
      </c>
      <c r="G501" t="s">
        <v>117</v>
      </c>
      <c r="H501" t="s">
        <v>522</v>
      </c>
      <c r="I501" s="197">
        <v>45521.791666666664</v>
      </c>
      <c r="J501" t="b">
        <v>0</v>
      </c>
      <c r="K501" t="s">
        <v>123</v>
      </c>
      <c r="L501" t="s">
        <v>123</v>
      </c>
      <c r="M501">
        <v>17</v>
      </c>
      <c r="N501">
        <v>8</v>
      </c>
      <c r="O501">
        <v>2024</v>
      </c>
      <c r="R501">
        <f>IF(wallet_records[[#This Row],[type]]="Gasto",wallet_records[[#This Row],[amount]]*(-1),wallet_records[[#This Row],[amount]])</f>
        <v>1018859.05</v>
      </c>
    </row>
    <row r="502" spans="1:18" x14ac:dyDescent="0.2">
      <c r="A502" t="s">
        <v>127</v>
      </c>
      <c r="B502" t="s">
        <v>136</v>
      </c>
      <c r="C502" t="s">
        <v>115</v>
      </c>
      <c r="D502" s="291">
        <v>3360071.73</v>
      </c>
      <c r="E502">
        <v>3360071.73</v>
      </c>
      <c r="F502" t="s">
        <v>116</v>
      </c>
      <c r="G502" t="s">
        <v>117</v>
      </c>
      <c r="H502" t="s">
        <v>522</v>
      </c>
      <c r="I502" s="197">
        <v>45521.791666666664</v>
      </c>
      <c r="J502" t="b">
        <v>0</v>
      </c>
      <c r="K502" t="s">
        <v>123</v>
      </c>
      <c r="L502" t="s">
        <v>123</v>
      </c>
      <c r="M502">
        <v>17</v>
      </c>
      <c r="N502">
        <v>8</v>
      </c>
      <c r="O502">
        <v>2024</v>
      </c>
      <c r="R502">
        <f>IF(wallet_records[[#This Row],[type]]="Gasto",wallet_records[[#This Row],[amount]]*(-1),wallet_records[[#This Row],[amount]])</f>
        <v>-3360071.73</v>
      </c>
    </row>
    <row r="503" spans="1:18" x14ac:dyDescent="0.2">
      <c r="A503" t="s">
        <v>524</v>
      </c>
      <c r="B503" t="s">
        <v>136</v>
      </c>
      <c r="C503" t="s">
        <v>115</v>
      </c>
      <c r="D503" s="291">
        <v>0.04</v>
      </c>
      <c r="E503">
        <v>0.04</v>
      </c>
      <c r="F503" t="s">
        <v>116</v>
      </c>
      <c r="G503" t="s">
        <v>117</v>
      </c>
      <c r="H503" t="s">
        <v>522</v>
      </c>
      <c r="I503" s="197">
        <v>45521.791666666664</v>
      </c>
      <c r="J503" t="b">
        <v>0</v>
      </c>
      <c r="K503" t="s">
        <v>123</v>
      </c>
      <c r="L503" t="s">
        <v>123</v>
      </c>
      <c r="M503">
        <v>17</v>
      </c>
      <c r="N503">
        <v>8</v>
      </c>
      <c r="O503">
        <v>2024</v>
      </c>
      <c r="R503">
        <f>IF(wallet_records[[#This Row],[type]]="Gasto",wallet_records[[#This Row],[amount]]*(-1),wallet_records[[#This Row],[amount]])</f>
        <v>-0.04</v>
      </c>
    </row>
    <row r="504" spans="1:18" x14ac:dyDescent="0.2">
      <c r="A504" t="s">
        <v>127</v>
      </c>
      <c r="B504" t="s">
        <v>136</v>
      </c>
      <c r="C504" t="s">
        <v>115</v>
      </c>
      <c r="D504" s="291">
        <v>138000</v>
      </c>
      <c r="E504">
        <v>138000</v>
      </c>
      <c r="F504" t="s">
        <v>116</v>
      </c>
      <c r="G504" t="s">
        <v>117</v>
      </c>
      <c r="H504" t="s">
        <v>140</v>
      </c>
      <c r="I504" s="197">
        <v>45520.791666666664</v>
      </c>
      <c r="J504" t="b">
        <v>0</v>
      </c>
      <c r="K504" t="s">
        <v>1</v>
      </c>
      <c r="L504" t="s">
        <v>1</v>
      </c>
      <c r="M504">
        <v>16</v>
      </c>
      <c r="N504">
        <v>8</v>
      </c>
      <c r="O504">
        <v>2024</v>
      </c>
      <c r="R504">
        <f>IF(wallet_records[[#This Row],[type]]="Gasto",wallet_records[[#This Row],[amount]]*(-1),wallet_records[[#This Row],[amount]])</f>
        <v>-138000</v>
      </c>
    </row>
    <row r="505" spans="1:18" x14ac:dyDescent="0.2">
      <c r="A505" t="s">
        <v>127</v>
      </c>
      <c r="B505" t="s">
        <v>136</v>
      </c>
      <c r="C505" t="s">
        <v>115</v>
      </c>
      <c r="D505" s="291">
        <v>437205</v>
      </c>
      <c r="E505">
        <v>437205</v>
      </c>
      <c r="F505" t="s">
        <v>116</v>
      </c>
      <c r="G505" t="s">
        <v>117</v>
      </c>
      <c r="H505" t="s">
        <v>140</v>
      </c>
      <c r="I505" s="197">
        <v>45507.791740324072</v>
      </c>
      <c r="J505" t="b">
        <v>0</v>
      </c>
      <c r="K505" t="s">
        <v>536</v>
      </c>
      <c r="L505" t="s">
        <v>0</v>
      </c>
      <c r="M505">
        <v>3</v>
      </c>
      <c r="N505">
        <v>8</v>
      </c>
      <c r="O505">
        <v>2024</v>
      </c>
      <c r="R505">
        <f>IF(wallet_records[[#This Row],[type]]="Gasto",wallet_records[[#This Row],[amount]]*(-1),wallet_records[[#This Row],[amount]])</f>
        <v>-437205</v>
      </c>
    </row>
    <row r="506" spans="1:18" x14ac:dyDescent="0.2">
      <c r="A506" t="s">
        <v>127</v>
      </c>
      <c r="B506" t="s">
        <v>136</v>
      </c>
      <c r="C506" t="s">
        <v>115</v>
      </c>
      <c r="D506" s="291">
        <v>234000</v>
      </c>
      <c r="E506">
        <v>234000</v>
      </c>
      <c r="F506" t="s">
        <v>116</v>
      </c>
      <c r="G506" t="s">
        <v>117</v>
      </c>
      <c r="H506" t="s">
        <v>140</v>
      </c>
      <c r="I506" s="197">
        <v>45503.79229459491</v>
      </c>
      <c r="J506" t="b">
        <v>0</v>
      </c>
      <c r="K506" t="s">
        <v>538</v>
      </c>
      <c r="L506" t="s">
        <v>77</v>
      </c>
      <c r="M506">
        <v>30</v>
      </c>
      <c r="N506">
        <v>7</v>
      </c>
      <c r="O506">
        <v>2024</v>
      </c>
      <c r="R506">
        <f>IF(wallet_records[[#This Row],[type]]="Gasto",wallet_records[[#This Row],[amount]]*(-1),wallet_records[[#This Row],[amount]])</f>
        <v>-234000</v>
      </c>
    </row>
    <row r="507" spans="1:18" x14ac:dyDescent="0.2">
      <c r="A507" t="s">
        <v>525</v>
      </c>
      <c r="B507" t="s">
        <v>136</v>
      </c>
      <c r="C507" t="s">
        <v>115</v>
      </c>
      <c r="D507" s="291">
        <v>740363.62</v>
      </c>
      <c r="E507">
        <v>740363.62</v>
      </c>
      <c r="F507" t="s">
        <v>121</v>
      </c>
      <c r="G507" t="s">
        <v>117</v>
      </c>
      <c r="H507" t="s">
        <v>522</v>
      </c>
      <c r="I507" s="197">
        <v>45491.791666666664</v>
      </c>
      <c r="J507" t="b">
        <v>0</v>
      </c>
      <c r="K507" t="s">
        <v>123</v>
      </c>
      <c r="L507" t="s">
        <v>123</v>
      </c>
      <c r="M507">
        <v>18</v>
      </c>
      <c r="N507">
        <v>7</v>
      </c>
      <c r="O507">
        <v>2024</v>
      </c>
      <c r="R507">
        <f>IF(wallet_records[[#This Row],[type]]="Gasto",wallet_records[[#This Row],[amount]]*(-1),wallet_records[[#This Row],[amount]])</f>
        <v>740363.62</v>
      </c>
    </row>
    <row r="508" spans="1:18" x14ac:dyDescent="0.2">
      <c r="A508" t="s">
        <v>127</v>
      </c>
      <c r="B508" t="s">
        <v>136</v>
      </c>
      <c r="C508" t="s">
        <v>115</v>
      </c>
      <c r="D508" s="291">
        <v>3465951.61</v>
      </c>
      <c r="E508">
        <v>3465951.61</v>
      </c>
      <c r="F508" t="s">
        <v>116</v>
      </c>
      <c r="G508" t="s">
        <v>117</v>
      </c>
      <c r="H508" t="s">
        <v>522</v>
      </c>
      <c r="I508" s="197">
        <v>45491.791666666664</v>
      </c>
      <c r="J508" t="b">
        <v>0</v>
      </c>
      <c r="K508" t="s">
        <v>123</v>
      </c>
      <c r="L508" t="s">
        <v>123</v>
      </c>
      <c r="M508">
        <v>18</v>
      </c>
      <c r="N508">
        <v>7</v>
      </c>
      <c r="O508">
        <v>2024</v>
      </c>
      <c r="R508">
        <f>IF(wallet_records[[#This Row],[type]]="Gasto",wallet_records[[#This Row],[amount]]*(-1),wallet_records[[#This Row],[amount]])</f>
        <v>-3465951.61</v>
      </c>
    </row>
    <row r="509" spans="1:18" x14ac:dyDescent="0.2">
      <c r="A509" t="s">
        <v>524</v>
      </c>
      <c r="B509" t="s">
        <v>136</v>
      </c>
      <c r="C509" t="s">
        <v>115</v>
      </c>
      <c r="D509" s="291">
        <v>110999.6</v>
      </c>
      <c r="E509">
        <v>110999.6</v>
      </c>
      <c r="F509" t="s">
        <v>121</v>
      </c>
      <c r="G509" t="s">
        <v>117</v>
      </c>
      <c r="H509" t="s">
        <v>522</v>
      </c>
      <c r="I509" s="197">
        <v>45491.791666666664</v>
      </c>
      <c r="J509" t="b">
        <v>0</v>
      </c>
      <c r="K509" t="s">
        <v>123</v>
      </c>
      <c r="L509" t="s">
        <v>123</v>
      </c>
      <c r="M509">
        <v>18</v>
      </c>
      <c r="N509">
        <v>7</v>
      </c>
      <c r="O509">
        <v>2024</v>
      </c>
      <c r="R509">
        <f>IF(wallet_records[[#This Row],[type]]="Gasto",wallet_records[[#This Row],[amount]]*(-1),wallet_records[[#This Row],[amount]])</f>
        <v>110999.6</v>
      </c>
    </row>
    <row r="510" spans="1:18" x14ac:dyDescent="0.2">
      <c r="A510" t="s">
        <v>133</v>
      </c>
      <c r="B510" t="s">
        <v>136</v>
      </c>
      <c r="C510" t="s">
        <v>115</v>
      </c>
      <c r="D510" s="291">
        <v>1008639.09</v>
      </c>
      <c r="E510">
        <v>1008639.09</v>
      </c>
      <c r="F510" t="s">
        <v>121</v>
      </c>
      <c r="G510" t="s">
        <v>117</v>
      </c>
      <c r="H510" t="s">
        <v>522</v>
      </c>
      <c r="I510" s="197">
        <v>45491.791666666664</v>
      </c>
      <c r="J510" t="b">
        <v>0</v>
      </c>
      <c r="K510" t="s">
        <v>123</v>
      </c>
      <c r="L510" t="s">
        <v>123</v>
      </c>
      <c r="M510">
        <v>18</v>
      </c>
      <c r="N510">
        <v>7</v>
      </c>
      <c r="O510">
        <v>2024</v>
      </c>
      <c r="R510">
        <f>IF(wallet_records[[#This Row],[type]]="Gasto",wallet_records[[#This Row],[amount]]*(-1),wallet_records[[#This Row],[amount]])</f>
        <v>1008639.09</v>
      </c>
    </row>
    <row r="511" spans="1:18" x14ac:dyDescent="0.2">
      <c r="A511" t="s">
        <v>119</v>
      </c>
      <c r="B511" t="s">
        <v>136</v>
      </c>
      <c r="C511" t="s">
        <v>115</v>
      </c>
      <c r="D511" s="291">
        <v>1027938</v>
      </c>
      <c r="E511">
        <v>1027938</v>
      </c>
      <c r="F511" t="s">
        <v>121</v>
      </c>
      <c r="G511" t="s">
        <v>117</v>
      </c>
      <c r="H511" t="s">
        <v>522</v>
      </c>
      <c r="I511" s="197">
        <v>45491.791666666664</v>
      </c>
      <c r="J511" t="b">
        <v>0</v>
      </c>
      <c r="K511" t="s">
        <v>123</v>
      </c>
      <c r="L511" t="s">
        <v>123</v>
      </c>
      <c r="M511">
        <v>18</v>
      </c>
      <c r="N511">
        <v>7</v>
      </c>
      <c r="O511">
        <v>2024</v>
      </c>
      <c r="R511">
        <f>IF(wallet_records[[#This Row],[type]]="Gasto",wallet_records[[#This Row],[amount]]*(-1),wallet_records[[#This Row],[amount]])</f>
        <v>1027938</v>
      </c>
    </row>
    <row r="512" spans="1:18" x14ac:dyDescent="0.2">
      <c r="A512" t="s">
        <v>127</v>
      </c>
      <c r="B512" t="s">
        <v>136</v>
      </c>
      <c r="C512" t="s">
        <v>115</v>
      </c>
      <c r="D512" s="291">
        <v>138000</v>
      </c>
      <c r="E512">
        <v>138000</v>
      </c>
      <c r="F512" t="s">
        <v>116</v>
      </c>
      <c r="G512" t="s">
        <v>117</v>
      </c>
      <c r="H512" t="s">
        <v>140</v>
      </c>
      <c r="I512" s="197">
        <v>45486.791666666664</v>
      </c>
      <c r="J512" t="b">
        <v>0</v>
      </c>
      <c r="K512" t="s">
        <v>1</v>
      </c>
      <c r="L512" t="s">
        <v>1</v>
      </c>
      <c r="M512">
        <v>13</v>
      </c>
      <c r="N512">
        <v>7</v>
      </c>
      <c r="O512">
        <v>2024</v>
      </c>
      <c r="R512">
        <f>IF(wallet_records[[#This Row],[type]]="Gasto",wallet_records[[#This Row],[amount]]*(-1),wallet_records[[#This Row],[amount]])</f>
        <v>-138000</v>
      </c>
    </row>
    <row r="513" spans="1:18" x14ac:dyDescent="0.2">
      <c r="A513" t="s">
        <v>127</v>
      </c>
      <c r="B513" t="s">
        <v>136</v>
      </c>
      <c r="C513" t="s">
        <v>115</v>
      </c>
      <c r="D513" s="291">
        <v>447340</v>
      </c>
      <c r="E513">
        <v>447340</v>
      </c>
      <c r="F513" t="s">
        <v>116</v>
      </c>
      <c r="G513" t="s">
        <v>117</v>
      </c>
      <c r="H513" t="s">
        <v>140</v>
      </c>
      <c r="I513" s="197">
        <v>45476.791834270836</v>
      </c>
      <c r="J513" t="b">
        <v>0</v>
      </c>
      <c r="K513" t="s">
        <v>536</v>
      </c>
      <c r="L513" t="s">
        <v>0</v>
      </c>
      <c r="M513">
        <v>3</v>
      </c>
      <c r="N513">
        <v>7</v>
      </c>
      <c r="O513">
        <v>2024</v>
      </c>
      <c r="R513">
        <f>IF(wallet_records[[#This Row],[type]]="Gasto",wallet_records[[#This Row],[amount]]*(-1),wallet_records[[#This Row],[amount]])</f>
        <v>-447340</v>
      </c>
    </row>
    <row r="514" spans="1:18" x14ac:dyDescent="0.2">
      <c r="A514" t="s">
        <v>127</v>
      </c>
      <c r="B514" t="s">
        <v>136</v>
      </c>
      <c r="C514" t="s">
        <v>115</v>
      </c>
      <c r="D514" s="291">
        <v>234000</v>
      </c>
      <c r="E514">
        <v>234000</v>
      </c>
      <c r="F514" t="s">
        <v>116</v>
      </c>
      <c r="G514" t="s">
        <v>117</v>
      </c>
      <c r="H514" t="s">
        <v>140</v>
      </c>
      <c r="I514" s="197">
        <v>45469.79221359954</v>
      </c>
      <c r="J514" t="b">
        <v>0</v>
      </c>
      <c r="K514" t="s">
        <v>538</v>
      </c>
      <c r="L514" t="s">
        <v>77</v>
      </c>
      <c r="M514">
        <v>26</v>
      </c>
      <c r="N514">
        <v>6</v>
      </c>
      <c r="O514">
        <v>2024</v>
      </c>
      <c r="R514">
        <f>IF(wallet_records[[#This Row],[type]]="Gasto",wallet_records[[#This Row],[amount]]*(-1),wallet_records[[#This Row],[amount]])</f>
        <v>-234000</v>
      </c>
    </row>
    <row r="515" spans="1:18" x14ac:dyDescent="0.2">
      <c r="A515" t="s">
        <v>127</v>
      </c>
      <c r="B515" t="s">
        <v>136</v>
      </c>
      <c r="C515" t="s">
        <v>115</v>
      </c>
      <c r="D515" s="291">
        <v>4379509.0199999996</v>
      </c>
      <c r="E515">
        <v>4379509.0199999996</v>
      </c>
      <c r="F515" t="s">
        <v>116</v>
      </c>
      <c r="G515" t="s">
        <v>117</v>
      </c>
      <c r="H515" t="s">
        <v>522</v>
      </c>
      <c r="I515" s="197">
        <v>45461.791666666664</v>
      </c>
      <c r="J515" t="b">
        <v>0</v>
      </c>
      <c r="K515" t="s">
        <v>123</v>
      </c>
      <c r="L515" t="s">
        <v>123</v>
      </c>
      <c r="M515">
        <v>18</v>
      </c>
      <c r="N515">
        <v>6</v>
      </c>
      <c r="O515">
        <v>2024</v>
      </c>
      <c r="R515">
        <f>IF(wallet_records[[#This Row],[type]]="Gasto",wallet_records[[#This Row],[amount]]*(-1),wallet_records[[#This Row],[amount]])</f>
        <v>-4379509.0199999996</v>
      </c>
    </row>
    <row r="516" spans="1:18" x14ac:dyDescent="0.2">
      <c r="A516" t="s">
        <v>524</v>
      </c>
      <c r="B516" t="s">
        <v>136</v>
      </c>
      <c r="C516" t="s">
        <v>115</v>
      </c>
      <c r="D516" s="291">
        <v>0.01</v>
      </c>
      <c r="E516">
        <v>0.01</v>
      </c>
      <c r="F516" t="s">
        <v>116</v>
      </c>
      <c r="G516" t="s">
        <v>117</v>
      </c>
      <c r="H516" t="s">
        <v>522</v>
      </c>
      <c r="I516" s="197">
        <v>45461.791666666664</v>
      </c>
      <c r="J516" t="b">
        <v>0</v>
      </c>
      <c r="K516" t="s">
        <v>123</v>
      </c>
      <c r="L516" t="s">
        <v>123</v>
      </c>
      <c r="M516">
        <v>18</v>
      </c>
      <c r="N516">
        <v>6</v>
      </c>
      <c r="O516">
        <v>2024</v>
      </c>
      <c r="R516">
        <f>IF(wallet_records[[#This Row],[type]]="Gasto",wallet_records[[#This Row],[amount]]*(-1),wallet_records[[#This Row],[amount]])</f>
        <v>-0.01</v>
      </c>
    </row>
    <row r="517" spans="1:18" x14ac:dyDescent="0.2">
      <c r="A517" t="s">
        <v>525</v>
      </c>
      <c r="B517" t="s">
        <v>136</v>
      </c>
      <c r="C517" t="s">
        <v>115</v>
      </c>
      <c r="D517" s="291">
        <v>111894.86</v>
      </c>
      <c r="E517">
        <v>111894.86</v>
      </c>
      <c r="F517" t="s">
        <v>121</v>
      </c>
      <c r="G517" t="s">
        <v>117</v>
      </c>
      <c r="H517" t="s">
        <v>522</v>
      </c>
      <c r="I517" s="197">
        <v>45461.791666666664</v>
      </c>
      <c r="J517" t="b">
        <v>0</v>
      </c>
      <c r="K517" t="s">
        <v>123</v>
      </c>
      <c r="L517" t="s">
        <v>123</v>
      </c>
      <c r="M517">
        <v>18</v>
      </c>
      <c r="N517">
        <v>6</v>
      </c>
      <c r="O517">
        <v>2024</v>
      </c>
      <c r="R517">
        <f>IF(wallet_records[[#This Row],[type]]="Gasto",wallet_records[[#This Row],[amount]]*(-1),wallet_records[[#This Row],[amount]])</f>
        <v>111894.86</v>
      </c>
    </row>
    <row r="518" spans="1:18" x14ac:dyDescent="0.2">
      <c r="A518" t="s">
        <v>119</v>
      </c>
      <c r="B518" t="s">
        <v>136</v>
      </c>
      <c r="C518" t="s">
        <v>115</v>
      </c>
      <c r="D518" s="291">
        <v>2622789</v>
      </c>
      <c r="E518">
        <v>2622789</v>
      </c>
      <c r="F518" t="s">
        <v>121</v>
      </c>
      <c r="G518" t="s">
        <v>117</v>
      </c>
      <c r="H518" t="s">
        <v>522</v>
      </c>
      <c r="I518" s="197">
        <v>45461.791666666664</v>
      </c>
      <c r="J518" t="b">
        <v>0</v>
      </c>
      <c r="K518" t="s">
        <v>123</v>
      </c>
      <c r="L518" t="s">
        <v>123</v>
      </c>
      <c r="M518">
        <v>18</v>
      </c>
      <c r="N518">
        <v>6</v>
      </c>
      <c r="O518">
        <v>2024</v>
      </c>
      <c r="R518">
        <f>IF(wallet_records[[#This Row],[type]]="Gasto",wallet_records[[#This Row],[amount]]*(-1),wallet_records[[#This Row],[amount]])</f>
        <v>2622789</v>
      </c>
    </row>
    <row r="519" spans="1:18" x14ac:dyDescent="0.2">
      <c r="A519" t="s">
        <v>133</v>
      </c>
      <c r="B519" t="s">
        <v>136</v>
      </c>
      <c r="C519" t="s">
        <v>115</v>
      </c>
      <c r="D519" s="291">
        <v>519717.54</v>
      </c>
      <c r="E519">
        <v>519717.54</v>
      </c>
      <c r="F519" t="s">
        <v>121</v>
      </c>
      <c r="G519" t="s">
        <v>117</v>
      </c>
      <c r="H519" t="s">
        <v>522</v>
      </c>
      <c r="I519" s="197">
        <v>45461.791666666664</v>
      </c>
      <c r="J519" t="b">
        <v>0</v>
      </c>
      <c r="K519" t="s">
        <v>123</v>
      </c>
      <c r="L519" t="s">
        <v>123</v>
      </c>
      <c r="M519">
        <v>18</v>
      </c>
      <c r="N519">
        <v>6</v>
      </c>
      <c r="O519">
        <v>2024</v>
      </c>
      <c r="R519">
        <f>IF(wallet_records[[#This Row],[type]]="Gasto",wallet_records[[#This Row],[amount]]*(-1),wallet_records[[#This Row],[amount]])</f>
        <v>519717.54</v>
      </c>
    </row>
    <row r="520" spans="1:18" x14ac:dyDescent="0.2">
      <c r="A520" t="s">
        <v>127</v>
      </c>
      <c r="B520" t="s">
        <v>136</v>
      </c>
      <c r="C520" t="s">
        <v>115</v>
      </c>
      <c r="D520" s="291">
        <v>138000</v>
      </c>
      <c r="E520">
        <v>138000</v>
      </c>
      <c r="F520" t="s">
        <v>116</v>
      </c>
      <c r="G520" t="s">
        <v>117</v>
      </c>
      <c r="H520" t="s">
        <v>140</v>
      </c>
      <c r="I520" s="197">
        <v>45457.791666666664</v>
      </c>
      <c r="J520" t="b">
        <v>0</v>
      </c>
      <c r="K520" t="s">
        <v>1</v>
      </c>
      <c r="L520" t="s">
        <v>1</v>
      </c>
      <c r="M520">
        <v>14</v>
      </c>
      <c r="N520">
        <v>6</v>
      </c>
      <c r="O520">
        <v>2024</v>
      </c>
      <c r="R520">
        <f>IF(wallet_records[[#This Row],[type]]="Gasto",wallet_records[[#This Row],[amount]]*(-1),wallet_records[[#This Row],[amount]])</f>
        <v>-138000</v>
      </c>
    </row>
    <row r="521" spans="1:18" x14ac:dyDescent="0.2">
      <c r="A521" t="s">
        <v>127</v>
      </c>
      <c r="B521" t="s">
        <v>136</v>
      </c>
      <c r="C521" t="s">
        <v>115</v>
      </c>
      <c r="D521" s="291">
        <v>429205</v>
      </c>
      <c r="E521">
        <v>429205</v>
      </c>
      <c r="F521" t="s">
        <v>116</v>
      </c>
      <c r="G521" t="s">
        <v>117</v>
      </c>
      <c r="H521" t="s">
        <v>140</v>
      </c>
      <c r="I521" s="197">
        <v>45452.792004664348</v>
      </c>
      <c r="J521" t="b">
        <v>0</v>
      </c>
      <c r="K521" t="s">
        <v>536</v>
      </c>
      <c r="L521" t="s">
        <v>0</v>
      </c>
      <c r="M521">
        <v>9</v>
      </c>
      <c r="N521">
        <v>6</v>
      </c>
      <c r="O521">
        <v>2024</v>
      </c>
      <c r="R521">
        <f>IF(wallet_records[[#This Row],[type]]="Gasto",wallet_records[[#This Row],[amount]]*(-1),wallet_records[[#This Row],[amount]])</f>
        <v>-429205</v>
      </c>
    </row>
    <row r="522" spans="1:18" x14ac:dyDescent="0.2">
      <c r="A522" t="s">
        <v>127</v>
      </c>
      <c r="B522" t="s">
        <v>136</v>
      </c>
      <c r="C522" t="s">
        <v>115</v>
      </c>
      <c r="D522" s="291">
        <v>234000</v>
      </c>
      <c r="E522">
        <v>234000</v>
      </c>
      <c r="F522" t="s">
        <v>116</v>
      </c>
      <c r="G522" t="s">
        <v>117</v>
      </c>
      <c r="H522" t="s">
        <v>140</v>
      </c>
      <c r="I522" s="197">
        <v>45442.792107280089</v>
      </c>
      <c r="J522" t="b">
        <v>0</v>
      </c>
      <c r="K522" t="s">
        <v>538</v>
      </c>
      <c r="L522" t="s">
        <v>77</v>
      </c>
      <c r="M522">
        <v>30</v>
      </c>
      <c r="N522">
        <v>5</v>
      </c>
      <c r="O522">
        <v>2024</v>
      </c>
      <c r="R522">
        <f>IF(wallet_records[[#This Row],[type]]="Gasto",wallet_records[[#This Row],[amount]]*(-1),wallet_records[[#This Row],[amount]])</f>
        <v>-234000</v>
      </c>
    </row>
    <row r="523" spans="1:18" x14ac:dyDescent="0.2">
      <c r="A523" t="s">
        <v>119</v>
      </c>
      <c r="B523" t="s">
        <v>136</v>
      </c>
      <c r="C523" t="s">
        <v>115</v>
      </c>
      <c r="D523" s="291">
        <v>602798</v>
      </c>
      <c r="E523">
        <v>602798</v>
      </c>
      <c r="F523" t="s">
        <v>121</v>
      </c>
      <c r="G523" t="s">
        <v>117</v>
      </c>
      <c r="H523" t="s">
        <v>522</v>
      </c>
      <c r="I523" s="197">
        <v>45431.791666666664</v>
      </c>
      <c r="J523" t="b">
        <v>0</v>
      </c>
      <c r="K523" t="s">
        <v>123</v>
      </c>
      <c r="L523" t="s">
        <v>123</v>
      </c>
      <c r="M523">
        <v>19</v>
      </c>
      <c r="N523">
        <v>5</v>
      </c>
      <c r="O523">
        <v>2024</v>
      </c>
      <c r="R523">
        <f>IF(wallet_records[[#This Row],[type]]="Gasto",wallet_records[[#This Row],[amount]]*(-1),wallet_records[[#This Row],[amount]])</f>
        <v>602798</v>
      </c>
    </row>
    <row r="524" spans="1:18" x14ac:dyDescent="0.2">
      <c r="A524" t="s">
        <v>127</v>
      </c>
      <c r="B524" t="s">
        <v>136</v>
      </c>
      <c r="C524" t="s">
        <v>115</v>
      </c>
      <c r="D524" s="291">
        <v>7659713.2999999998</v>
      </c>
      <c r="E524">
        <v>7659713.2999999998</v>
      </c>
      <c r="F524" t="s">
        <v>116</v>
      </c>
      <c r="G524" t="s">
        <v>117</v>
      </c>
      <c r="H524" t="s">
        <v>522</v>
      </c>
      <c r="I524" s="197">
        <v>45431.791666666664</v>
      </c>
      <c r="J524" t="b">
        <v>0</v>
      </c>
      <c r="K524" t="s">
        <v>123</v>
      </c>
      <c r="L524" t="s">
        <v>123</v>
      </c>
      <c r="M524">
        <v>19</v>
      </c>
      <c r="N524">
        <v>5</v>
      </c>
      <c r="O524">
        <v>2024</v>
      </c>
      <c r="R524">
        <f>IF(wallet_records[[#This Row],[type]]="Gasto",wallet_records[[#This Row],[amount]]*(-1),wallet_records[[#This Row],[amount]])</f>
        <v>-7659713.2999999998</v>
      </c>
    </row>
    <row r="525" spans="1:18" x14ac:dyDescent="0.2">
      <c r="A525" t="s">
        <v>525</v>
      </c>
      <c r="B525" t="s">
        <v>136</v>
      </c>
      <c r="C525" t="s">
        <v>115</v>
      </c>
      <c r="D525" s="291">
        <v>7297042.5999999996</v>
      </c>
      <c r="E525">
        <v>7297042.5999999996</v>
      </c>
      <c r="F525" t="s">
        <v>121</v>
      </c>
      <c r="G525" t="s">
        <v>117</v>
      </c>
      <c r="H525" t="s">
        <v>522</v>
      </c>
      <c r="I525" s="197">
        <v>45431.791666666664</v>
      </c>
      <c r="J525" t="b">
        <v>0</v>
      </c>
      <c r="K525" t="s">
        <v>123</v>
      </c>
      <c r="L525" t="s">
        <v>123</v>
      </c>
      <c r="M525">
        <v>19</v>
      </c>
      <c r="N525">
        <v>5</v>
      </c>
      <c r="O525">
        <v>2024</v>
      </c>
      <c r="R525">
        <f>IF(wallet_records[[#This Row],[type]]="Gasto",wallet_records[[#This Row],[amount]]*(-1),wallet_records[[#This Row],[amount]])</f>
        <v>7297042.5999999996</v>
      </c>
    </row>
    <row r="526" spans="1:18" x14ac:dyDescent="0.2">
      <c r="A526" t="s">
        <v>524</v>
      </c>
      <c r="B526" t="s">
        <v>136</v>
      </c>
      <c r="C526" t="s">
        <v>115</v>
      </c>
      <c r="D526" s="291">
        <v>0.05</v>
      </c>
      <c r="E526">
        <v>0.05</v>
      </c>
      <c r="F526" t="s">
        <v>116</v>
      </c>
      <c r="G526" t="s">
        <v>117</v>
      </c>
      <c r="H526" t="s">
        <v>522</v>
      </c>
      <c r="I526" s="197">
        <v>45431.791666666664</v>
      </c>
      <c r="J526" t="b">
        <v>0</v>
      </c>
      <c r="K526" t="s">
        <v>123</v>
      </c>
      <c r="L526" t="s">
        <v>123</v>
      </c>
      <c r="M526">
        <v>19</v>
      </c>
      <c r="N526">
        <v>5</v>
      </c>
      <c r="O526">
        <v>2024</v>
      </c>
      <c r="R526">
        <f>IF(wallet_records[[#This Row],[type]]="Gasto",wallet_records[[#This Row],[amount]]*(-1),wallet_records[[#This Row],[amount]])</f>
        <v>-0.05</v>
      </c>
    </row>
    <row r="527" spans="1:18" x14ac:dyDescent="0.2">
      <c r="A527" t="s">
        <v>127</v>
      </c>
      <c r="B527" t="s">
        <v>136</v>
      </c>
      <c r="C527" t="s">
        <v>115</v>
      </c>
      <c r="D527" s="291">
        <v>542807</v>
      </c>
      <c r="E527">
        <v>542807</v>
      </c>
      <c r="F527" t="s">
        <v>116</v>
      </c>
      <c r="G527" t="s">
        <v>117</v>
      </c>
      <c r="H527" t="s">
        <v>140</v>
      </c>
      <c r="I527" s="197">
        <v>45429.791666666664</v>
      </c>
      <c r="J527" t="b">
        <v>0</v>
      </c>
      <c r="K527" t="s">
        <v>0</v>
      </c>
      <c r="L527" t="s">
        <v>0</v>
      </c>
      <c r="M527">
        <v>17</v>
      </c>
      <c r="N527">
        <v>5</v>
      </c>
      <c r="O527">
        <v>2024</v>
      </c>
      <c r="R527">
        <f>IF(wallet_records[[#This Row],[type]]="Gasto",wallet_records[[#This Row],[amount]]*(-1),wallet_records[[#This Row],[amount]])</f>
        <v>-542807</v>
      </c>
    </row>
    <row r="528" spans="1:18" x14ac:dyDescent="0.2">
      <c r="A528" t="s">
        <v>127</v>
      </c>
      <c r="B528" t="s">
        <v>136</v>
      </c>
      <c r="C528" t="s">
        <v>115</v>
      </c>
      <c r="D528" s="291">
        <v>315192</v>
      </c>
      <c r="E528">
        <v>315192</v>
      </c>
      <c r="F528" t="s">
        <v>116</v>
      </c>
      <c r="G528" t="s">
        <v>117</v>
      </c>
      <c r="H528" t="s">
        <v>140</v>
      </c>
      <c r="I528" s="197">
        <v>45425.792027129632</v>
      </c>
      <c r="J528" t="b">
        <v>0</v>
      </c>
      <c r="K528" t="s">
        <v>538</v>
      </c>
      <c r="L528" t="s">
        <v>77</v>
      </c>
      <c r="M528">
        <v>13</v>
      </c>
      <c r="N528">
        <v>5</v>
      </c>
      <c r="O528">
        <v>2024</v>
      </c>
      <c r="R528">
        <f>IF(wallet_records[[#This Row],[type]]="Gasto",wallet_records[[#This Row],[amount]]*(-1),wallet_records[[#This Row],[amount]])</f>
        <v>-315192</v>
      </c>
    </row>
    <row r="529" spans="1:18" x14ac:dyDescent="0.2">
      <c r="A529" t="s">
        <v>127</v>
      </c>
      <c r="B529" t="s">
        <v>136</v>
      </c>
      <c r="C529" t="s">
        <v>115</v>
      </c>
      <c r="D529" s="291">
        <v>138000</v>
      </c>
      <c r="E529">
        <v>138000</v>
      </c>
      <c r="F529" t="s">
        <v>116</v>
      </c>
      <c r="G529" t="s">
        <v>117</v>
      </c>
      <c r="H529" t="s">
        <v>140</v>
      </c>
      <c r="I529" s="197">
        <v>45425.791666666664</v>
      </c>
      <c r="J529" t="b">
        <v>0</v>
      </c>
      <c r="K529" t="s">
        <v>1</v>
      </c>
      <c r="L529" t="s">
        <v>1</v>
      </c>
      <c r="M529">
        <v>13</v>
      </c>
      <c r="N529">
        <v>5</v>
      </c>
      <c r="O529">
        <v>2024</v>
      </c>
      <c r="R529">
        <f>IF(wallet_records[[#This Row],[type]]="Gasto",wallet_records[[#This Row],[amount]]*(-1),wallet_records[[#This Row],[amount]])</f>
        <v>-138000</v>
      </c>
    </row>
    <row r="530" spans="1:18" x14ac:dyDescent="0.2">
      <c r="A530" t="s">
        <v>127</v>
      </c>
      <c r="B530" t="s">
        <v>136</v>
      </c>
      <c r="C530" t="s">
        <v>115</v>
      </c>
      <c r="D530" s="291">
        <v>138000</v>
      </c>
      <c r="E530">
        <v>138000</v>
      </c>
      <c r="F530" t="s">
        <v>116</v>
      </c>
      <c r="G530" t="s">
        <v>117</v>
      </c>
      <c r="H530" t="s">
        <v>140</v>
      </c>
      <c r="I530" s="197">
        <v>45406.791666666664</v>
      </c>
      <c r="J530" t="b">
        <v>0</v>
      </c>
      <c r="K530" t="s">
        <v>1</v>
      </c>
      <c r="L530" t="s">
        <v>1</v>
      </c>
      <c r="M530">
        <v>24</v>
      </c>
      <c r="N530">
        <v>4</v>
      </c>
      <c r="O530">
        <v>2024</v>
      </c>
      <c r="R530">
        <f>IF(wallet_records[[#This Row],[type]]="Gasto",wallet_records[[#This Row],[amount]]*(-1),wallet_records[[#This Row],[amount]])</f>
        <v>-138000</v>
      </c>
    </row>
    <row r="531" spans="1:18" x14ac:dyDescent="0.2">
      <c r="A531" t="s">
        <v>127</v>
      </c>
      <c r="B531" t="s">
        <v>136</v>
      </c>
      <c r="C531" t="s">
        <v>115</v>
      </c>
      <c r="D531" s="291">
        <v>542807</v>
      </c>
      <c r="E531">
        <v>542807</v>
      </c>
      <c r="F531" t="s">
        <v>116</v>
      </c>
      <c r="G531" t="s">
        <v>117</v>
      </c>
      <c r="H531" t="s">
        <v>140</v>
      </c>
      <c r="I531" s="197">
        <v>45404.791666666664</v>
      </c>
      <c r="J531" t="b">
        <v>0</v>
      </c>
      <c r="K531" t="s">
        <v>0</v>
      </c>
      <c r="L531" t="s">
        <v>0</v>
      </c>
      <c r="M531">
        <v>22</v>
      </c>
      <c r="N531">
        <v>4</v>
      </c>
      <c r="O531">
        <v>2024</v>
      </c>
      <c r="R531">
        <f>IF(wallet_records[[#This Row],[type]]="Gasto",wallet_records[[#This Row],[amount]]*(-1),wallet_records[[#This Row],[amount]])</f>
        <v>-542807</v>
      </c>
    </row>
    <row r="532" spans="1:18" x14ac:dyDescent="0.2">
      <c r="A532" t="s">
        <v>525</v>
      </c>
      <c r="B532" t="s">
        <v>136</v>
      </c>
      <c r="C532" t="s">
        <v>115</v>
      </c>
      <c r="D532" s="291">
        <v>4379294.93</v>
      </c>
      <c r="E532">
        <v>4379294.93</v>
      </c>
      <c r="F532" t="s">
        <v>121</v>
      </c>
      <c r="G532" t="s">
        <v>117</v>
      </c>
      <c r="H532" t="s">
        <v>522</v>
      </c>
      <c r="I532" s="197">
        <v>45401.791666666664</v>
      </c>
      <c r="J532" t="b">
        <v>0</v>
      </c>
      <c r="K532" t="s">
        <v>123</v>
      </c>
      <c r="L532" t="s">
        <v>123</v>
      </c>
      <c r="M532">
        <v>19</v>
      </c>
      <c r="N532">
        <v>4</v>
      </c>
      <c r="O532">
        <v>2024</v>
      </c>
      <c r="R532">
        <f>IF(wallet_records[[#This Row],[type]]="Gasto",wallet_records[[#This Row],[amount]]*(-1),wallet_records[[#This Row],[amount]])</f>
        <v>4379294.93</v>
      </c>
    </row>
    <row r="533" spans="1:18" x14ac:dyDescent="0.2">
      <c r="A533" t="s">
        <v>524</v>
      </c>
      <c r="B533" t="s">
        <v>136</v>
      </c>
      <c r="C533" t="s">
        <v>115</v>
      </c>
      <c r="D533" s="291">
        <v>39999.5</v>
      </c>
      <c r="E533">
        <v>39999.5</v>
      </c>
      <c r="F533" t="s">
        <v>116</v>
      </c>
      <c r="G533" t="s">
        <v>117</v>
      </c>
      <c r="H533" t="s">
        <v>522</v>
      </c>
      <c r="I533" s="197">
        <v>45401.791666666664</v>
      </c>
      <c r="J533" t="b">
        <v>0</v>
      </c>
      <c r="K533" t="s">
        <v>123</v>
      </c>
      <c r="L533" t="s">
        <v>123</v>
      </c>
      <c r="M533">
        <v>19</v>
      </c>
      <c r="N533">
        <v>4</v>
      </c>
      <c r="O533">
        <v>2024</v>
      </c>
      <c r="R533">
        <f>IF(wallet_records[[#This Row],[type]]="Gasto",wallet_records[[#This Row],[amount]]*(-1),wallet_records[[#This Row],[amount]])</f>
        <v>-39999.5</v>
      </c>
    </row>
    <row r="534" spans="1:18" x14ac:dyDescent="0.2">
      <c r="A534" t="s">
        <v>127</v>
      </c>
      <c r="B534" t="s">
        <v>136</v>
      </c>
      <c r="C534" t="s">
        <v>115</v>
      </c>
      <c r="D534" s="291">
        <v>5293281.9400000004</v>
      </c>
      <c r="E534">
        <v>5293281.9400000004</v>
      </c>
      <c r="F534" t="s">
        <v>116</v>
      </c>
      <c r="G534" t="s">
        <v>117</v>
      </c>
      <c r="H534" t="s">
        <v>522</v>
      </c>
      <c r="I534" s="197">
        <v>45401.791666666664</v>
      </c>
      <c r="J534" t="b">
        <v>0</v>
      </c>
      <c r="K534" t="s">
        <v>123</v>
      </c>
      <c r="L534" t="s">
        <v>123</v>
      </c>
      <c r="M534">
        <v>19</v>
      </c>
      <c r="N534">
        <v>4</v>
      </c>
      <c r="O534">
        <v>2024</v>
      </c>
      <c r="R534">
        <f>IF(wallet_records[[#This Row],[type]]="Gasto",wallet_records[[#This Row],[amount]]*(-1),wallet_records[[#This Row],[amount]])</f>
        <v>-5293281.9400000004</v>
      </c>
    </row>
    <row r="535" spans="1:18" x14ac:dyDescent="0.2">
      <c r="A535" t="s">
        <v>119</v>
      </c>
      <c r="B535" t="s">
        <v>136</v>
      </c>
      <c r="C535" t="s">
        <v>115</v>
      </c>
      <c r="D535" s="291">
        <v>128927</v>
      </c>
      <c r="E535">
        <v>128927</v>
      </c>
      <c r="F535" t="s">
        <v>121</v>
      </c>
      <c r="G535" t="s">
        <v>117</v>
      </c>
      <c r="H535" t="s">
        <v>522</v>
      </c>
      <c r="I535" s="197">
        <v>45401.791666666664</v>
      </c>
      <c r="J535" t="b">
        <v>0</v>
      </c>
      <c r="K535" t="s">
        <v>123</v>
      </c>
      <c r="L535" t="s">
        <v>123</v>
      </c>
      <c r="M535">
        <v>19</v>
      </c>
      <c r="N535">
        <v>4</v>
      </c>
      <c r="O535">
        <v>2024</v>
      </c>
      <c r="R535">
        <f>IF(wallet_records[[#This Row],[type]]="Gasto",wallet_records[[#This Row],[amount]]*(-1),wallet_records[[#This Row],[amount]])</f>
        <v>128927</v>
      </c>
    </row>
    <row r="536" spans="1:18" x14ac:dyDescent="0.2">
      <c r="A536" t="s">
        <v>127</v>
      </c>
      <c r="B536" t="s">
        <v>136</v>
      </c>
      <c r="C536" t="s">
        <v>115</v>
      </c>
      <c r="D536" s="291">
        <v>214100</v>
      </c>
      <c r="E536">
        <v>214100</v>
      </c>
      <c r="F536" t="s">
        <v>116</v>
      </c>
      <c r="G536" t="s">
        <v>117</v>
      </c>
      <c r="H536" t="s">
        <v>140</v>
      </c>
      <c r="I536" s="197">
        <v>45376.791921909724</v>
      </c>
      <c r="J536" t="b">
        <v>0</v>
      </c>
      <c r="K536" t="s">
        <v>538</v>
      </c>
      <c r="L536" t="s">
        <v>77</v>
      </c>
      <c r="M536">
        <v>25</v>
      </c>
      <c r="N536">
        <v>3</v>
      </c>
      <c r="O536">
        <v>2024</v>
      </c>
      <c r="R536">
        <f>IF(wallet_records[[#This Row],[type]]="Gasto",wallet_records[[#This Row],[amount]]*(-1),wallet_records[[#This Row],[amount]])</f>
        <v>-214100</v>
      </c>
    </row>
    <row r="537" spans="1:18" x14ac:dyDescent="0.2">
      <c r="A537" t="s">
        <v>119</v>
      </c>
      <c r="B537" t="s">
        <v>136</v>
      </c>
      <c r="C537" t="s">
        <v>115</v>
      </c>
      <c r="D537" s="291">
        <v>7538982</v>
      </c>
      <c r="E537">
        <v>7538982</v>
      </c>
      <c r="F537" t="s">
        <v>116</v>
      </c>
      <c r="G537" t="s">
        <v>117</v>
      </c>
      <c r="H537" t="s">
        <v>522</v>
      </c>
      <c r="I537" s="197">
        <v>45371.791666666664</v>
      </c>
      <c r="J537" t="b">
        <v>0</v>
      </c>
      <c r="K537" t="s">
        <v>123</v>
      </c>
      <c r="L537" t="s">
        <v>123</v>
      </c>
      <c r="M537">
        <v>20</v>
      </c>
      <c r="N537">
        <v>3</v>
      </c>
      <c r="O537">
        <v>2024</v>
      </c>
      <c r="R537">
        <f>IF(wallet_records[[#This Row],[type]]="Gasto",wallet_records[[#This Row],[amount]]*(-1),wallet_records[[#This Row],[amount]])</f>
        <v>-7538982</v>
      </c>
    </row>
    <row r="538" spans="1:18" x14ac:dyDescent="0.2">
      <c r="A538" t="s">
        <v>524</v>
      </c>
      <c r="B538" t="s">
        <v>136</v>
      </c>
      <c r="C538" t="s">
        <v>115</v>
      </c>
      <c r="D538" s="291">
        <v>3880514.64</v>
      </c>
      <c r="E538">
        <v>3880514.64</v>
      </c>
      <c r="F538" t="s">
        <v>121</v>
      </c>
      <c r="G538" t="s">
        <v>117</v>
      </c>
      <c r="H538" t="s">
        <v>522</v>
      </c>
      <c r="I538" s="197">
        <v>45371.791666666664</v>
      </c>
      <c r="J538" t="b">
        <v>0</v>
      </c>
      <c r="K538" t="s">
        <v>123</v>
      </c>
      <c r="L538" t="s">
        <v>123</v>
      </c>
      <c r="M538">
        <v>20</v>
      </c>
      <c r="N538">
        <v>3</v>
      </c>
      <c r="O538">
        <v>2024</v>
      </c>
      <c r="R538">
        <f>IF(wallet_records[[#This Row],[type]]="Gasto",wallet_records[[#This Row],[amount]]*(-1),wallet_records[[#This Row],[amount]])</f>
        <v>3880514.64</v>
      </c>
    </row>
    <row r="539" spans="1:18" x14ac:dyDescent="0.2">
      <c r="A539" t="s">
        <v>127</v>
      </c>
      <c r="B539" t="s">
        <v>136</v>
      </c>
      <c r="C539" t="s">
        <v>115</v>
      </c>
      <c r="D539" s="291">
        <v>12639323.470000001</v>
      </c>
      <c r="E539">
        <v>12639323.470000001</v>
      </c>
      <c r="F539" t="s">
        <v>116</v>
      </c>
      <c r="G539" t="s">
        <v>117</v>
      </c>
      <c r="H539" t="s">
        <v>522</v>
      </c>
      <c r="I539" s="197">
        <v>45371.791666666664</v>
      </c>
      <c r="J539" t="b">
        <v>0</v>
      </c>
      <c r="K539" t="s">
        <v>123</v>
      </c>
      <c r="L539" t="s">
        <v>123</v>
      </c>
      <c r="M539">
        <v>20</v>
      </c>
      <c r="N539">
        <v>3</v>
      </c>
      <c r="O539">
        <v>2024</v>
      </c>
      <c r="R539">
        <f>IF(wallet_records[[#This Row],[type]]="Gasto",wallet_records[[#This Row],[amount]]*(-1),wallet_records[[#This Row],[amount]])</f>
        <v>-12639323.470000001</v>
      </c>
    </row>
    <row r="540" spans="1:18" x14ac:dyDescent="0.2">
      <c r="A540" t="s">
        <v>127</v>
      </c>
      <c r="B540" t="s">
        <v>136</v>
      </c>
      <c r="C540" t="s">
        <v>115</v>
      </c>
      <c r="D540" s="291">
        <v>429205</v>
      </c>
      <c r="E540">
        <v>429205</v>
      </c>
      <c r="F540" t="s">
        <v>116</v>
      </c>
      <c r="G540" t="s">
        <v>117</v>
      </c>
      <c r="H540" t="s">
        <v>140</v>
      </c>
      <c r="I540" s="197">
        <v>45366.791666666664</v>
      </c>
      <c r="J540" t="b">
        <v>0</v>
      </c>
      <c r="K540" t="s">
        <v>0</v>
      </c>
      <c r="L540" t="s">
        <v>0</v>
      </c>
      <c r="M540">
        <v>15</v>
      </c>
      <c r="N540">
        <v>3</v>
      </c>
      <c r="O540">
        <v>2024</v>
      </c>
      <c r="R540">
        <f>IF(wallet_records[[#This Row],[type]]="Gasto",wallet_records[[#This Row],[amount]]*(-1),wallet_records[[#This Row],[amount]])</f>
        <v>-429205</v>
      </c>
    </row>
    <row r="541" spans="1:18" x14ac:dyDescent="0.2">
      <c r="A541" t="s">
        <v>127</v>
      </c>
      <c r="B541" t="s">
        <v>136</v>
      </c>
      <c r="C541" t="s">
        <v>115</v>
      </c>
      <c r="D541" s="291">
        <v>138000</v>
      </c>
      <c r="E541">
        <v>138000</v>
      </c>
      <c r="F541" t="s">
        <v>116</v>
      </c>
      <c r="G541" t="s">
        <v>117</v>
      </c>
      <c r="H541" t="s">
        <v>140</v>
      </c>
      <c r="I541" s="197">
        <v>45366.791666666664</v>
      </c>
      <c r="J541" t="b">
        <v>0</v>
      </c>
      <c r="K541" t="s">
        <v>1</v>
      </c>
      <c r="L541" t="s">
        <v>1</v>
      </c>
      <c r="M541">
        <v>15</v>
      </c>
      <c r="N541">
        <v>3</v>
      </c>
      <c r="O541">
        <v>2024</v>
      </c>
      <c r="R541">
        <f>IF(wallet_records[[#This Row],[type]]="Gasto",wallet_records[[#This Row],[amount]]*(-1),wallet_records[[#This Row],[amount]])</f>
        <v>-138000</v>
      </c>
    </row>
    <row r="542" spans="1:18" x14ac:dyDescent="0.2">
      <c r="A542" t="s">
        <v>127</v>
      </c>
      <c r="B542" t="s">
        <v>136</v>
      </c>
      <c r="C542" t="s">
        <v>115</v>
      </c>
      <c r="D542" s="291">
        <v>214100</v>
      </c>
      <c r="E542">
        <v>214100</v>
      </c>
      <c r="F542" t="s">
        <v>116</v>
      </c>
      <c r="G542" t="s">
        <v>117</v>
      </c>
      <c r="H542" t="s">
        <v>140</v>
      </c>
      <c r="I542" s="197">
        <v>45353.79183584491</v>
      </c>
      <c r="J542" t="b">
        <v>0</v>
      </c>
      <c r="K542" t="s">
        <v>538</v>
      </c>
      <c r="L542" t="s">
        <v>77</v>
      </c>
      <c r="M542">
        <v>2</v>
      </c>
      <c r="N542">
        <v>3</v>
      </c>
      <c r="O542">
        <v>2024</v>
      </c>
      <c r="R542">
        <f>IF(wallet_records[[#This Row],[type]]="Gasto",wallet_records[[#This Row],[amount]]*(-1),wallet_records[[#This Row],[amount]])</f>
        <v>-214100</v>
      </c>
    </row>
    <row r="543" spans="1:18" x14ac:dyDescent="0.2">
      <c r="A543" t="s">
        <v>524</v>
      </c>
      <c r="B543" t="s">
        <v>136</v>
      </c>
      <c r="C543" t="s">
        <v>115</v>
      </c>
      <c r="D543" s="291">
        <v>40000</v>
      </c>
      <c r="E543">
        <v>40000</v>
      </c>
      <c r="F543" t="s">
        <v>116</v>
      </c>
      <c r="G543" t="s">
        <v>117</v>
      </c>
      <c r="H543" t="s">
        <v>94</v>
      </c>
      <c r="I543" s="197">
        <v>45352.791666666664</v>
      </c>
      <c r="J543" t="b">
        <v>0</v>
      </c>
      <c r="K543" t="s">
        <v>138</v>
      </c>
      <c r="L543" t="s">
        <v>139</v>
      </c>
      <c r="M543">
        <v>1</v>
      </c>
      <c r="N543">
        <v>3</v>
      </c>
      <c r="O543">
        <v>2024</v>
      </c>
      <c r="R543">
        <f>IF(wallet_records[[#This Row],[type]]="Gasto",wallet_records[[#This Row],[amount]]*(-1),wallet_records[[#This Row],[amount]])</f>
        <v>-40000</v>
      </c>
    </row>
    <row r="544" spans="1:18" x14ac:dyDescent="0.2">
      <c r="A544" t="s">
        <v>524</v>
      </c>
      <c r="B544" t="s">
        <v>136</v>
      </c>
      <c r="C544" t="s">
        <v>115</v>
      </c>
      <c r="D544" s="291">
        <v>649800.67000000004</v>
      </c>
      <c r="E544">
        <v>649800.67000000004</v>
      </c>
      <c r="F544" t="s">
        <v>116</v>
      </c>
      <c r="G544" t="s">
        <v>117</v>
      </c>
      <c r="H544" t="s">
        <v>522</v>
      </c>
      <c r="I544" s="197">
        <v>45341.791666666664</v>
      </c>
      <c r="J544" t="b">
        <v>0</v>
      </c>
      <c r="K544" t="s">
        <v>123</v>
      </c>
      <c r="L544" t="s">
        <v>123</v>
      </c>
      <c r="M544">
        <v>19</v>
      </c>
      <c r="N544">
        <v>2</v>
      </c>
      <c r="O544">
        <v>2024</v>
      </c>
      <c r="R544">
        <f>IF(wallet_records[[#This Row],[type]]="Gasto",wallet_records[[#This Row],[amount]]*(-1),wallet_records[[#This Row],[amount]])</f>
        <v>-649800.67000000004</v>
      </c>
    </row>
    <row r="545" spans="1:18" x14ac:dyDescent="0.2">
      <c r="A545" t="s">
        <v>119</v>
      </c>
      <c r="B545" t="s">
        <v>136</v>
      </c>
      <c r="C545" t="s">
        <v>115</v>
      </c>
      <c r="D545" s="291">
        <v>2470690</v>
      </c>
      <c r="E545">
        <v>2470690</v>
      </c>
      <c r="F545" t="s">
        <v>121</v>
      </c>
      <c r="G545" t="s">
        <v>117</v>
      </c>
      <c r="H545" t="s">
        <v>522</v>
      </c>
      <c r="I545" s="197">
        <v>45341.791666666664</v>
      </c>
      <c r="J545" t="b">
        <v>0</v>
      </c>
      <c r="K545" t="s">
        <v>123</v>
      </c>
      <c r="L545" t="s">
        <v>123</v>
      </c>
      <c r="M545">
        <v>19</v>
      </c>
      <c r="N545">
        <v>2</v>
      </c>
      <c r="O545">
        <v>2024</v>
      </c>
      <c r="R545">
        <f>IF(wallet_records[[#This Row],[type]]="Gasto",wallet_records[[#This Row],[amount]]*(-1),wallet_records[[#This Row],[amount]])</f>
        <v>2470690</v>
      </c>
    </row>
    <row r="546" spans="1:18" x14ac:dyDescent="0.2">
      <c r="A546" t="s">
        <v>127</v>
      </c>
      <c r="B546" t="s">
        <v>136</v>
      </c>
      <c r="C546" t="s">
        <v>115</v>
      </c>
      <c r="D546" s="291">
        <v>429205</v>
      </c>
      <c r="E546">
        <v>429205</v>
      </c>
      <c r="F546" t="s">
        <v>116</v>
      </c>
      <c r="G546" t="s">
        <v>117</v>
      </c>
      <c r="H546" t="s">
        <v>140</v>
      </c>
      <c r="I546" s="197">
        <v>45331.791666666664</v>
      </c>
      <c r="J546" t="b">
        <v>0</v>
      </c>
      <c r="K546" t="s">
        <v>0</v>
      </c>
      <c r="L546" t="s">
        <v>0</v>
      </c>
      <c r="M546">
        <v>9</v>
      </c>
      <c r="N546">
        <v>2</v>
      </c>
      <c r="O546">
        <v>2024</v>
      </c>
      <c r="R546">
        <f>IF(wallet_records[[#This Row],[type]]="Gasto",wallet_records[[#This Row],[amount]]*(-1),wallet_records[[#This Row],[amount]])</f>
        <v>-429205</v>
      </c>
    </row>
    <row r="547" spans="1:18" x14ac:dyDescent="0.2">
      <c r="A547" t="s">
        <v>127</v>
      </c>
      <c r="B547" t="s">
        <v>136</v>
      </c>
      <c r="C547" t="s">
        <v>115</v>
      </c>
      <c r="D547" s="291">
        <v>138000</v>
      </c>
      <c r="E547">
        <v>138000</v>
      </c>
      <c r="F547" t="s">
        <v>116</v>
      </c>
      <c r="G547" t="s">
        <v>117</v>
      </c>
      <c r="H547" t="s">
        <v>140</v>
      </c>
      <c r="I547" s="197">
        <v>45331.791666666664</v>
      </c>
      <c r="J547" t="b">
        <v>0</v>
      </c>
      <c r="K547" t="s">
        <v>1</v>
      </c>
      <c r="L547" t="s">
        <v>1</v>
      </c>
      <c r="M547">
        <v>9</v>
      </c>
      <c r="N547">
        <v>2</v>
      </c>
      <c r="O547">
        <v>2024</v>
      </c>
      <c r="R547">
        <f>IF(wallet_records[[#This Row],[type]]="Gasto",wallet_records[[#This Row],[amount]]*(-1),wallet_records[[#This Row],[amount]])</f>
        <v>-138000</v>
      </c>
    </row>
    <row r="548" spans="1:18" x14ac:dyDescent="0.2">
      <c r="A548" t="s">
        <v>127</v>
      </c>
      <c r="B548" t="s">
        <v>136</v>
      </c>
      <c r="C548" t="s">
        <v>115</v>
      </c>
      <c r="D548" s="291">
        <v>214100</v>
      </c>
      <c r="E548">
        <v>214100</v>
      </c>
      <c r="F548" t="s">
        <v>116</v>
      </c>
      <c r="G548" t="s">
        <v>117</v>
      </c>
      <c r="H548" t="s">
        <v>140</v>
      </c>
      <c r="I548" s="197">
        <v>45322.791707581018</v>
      </c>
      <c r="J548" t="b">
        <v>0</v>
      </c>
      <c r="K548" t="s">
        <v>538</v>
      </c>
      <c r="L548" t="s">
        <v>77</v>
      </c>
      <c r="M548">
        <v>31</v>
      </c>
      <c r="N548">
        <v>1</v>
      </c>
      <c r="O548">
        <v>2024</v>
      </c>
      <c r="R548">
        <f>IF(wallet_records[[#This Row],[type]]="Gasto",wallet_records[[#This Row],[amount]]*(-1),wallet_records[[#This Row],[amount]])</f>
        <v>-214100</v>
      </c>
    </row>
    <row r="549" spans="1:18" x14ac:dyDescent="0.2">
      <c r="A549" t="s">
        <v>524</v>
      </c>
      <c r="B549" t="s">
        <v>136</v>
      </c>
      <c r="C549" t="s">
        <v>115</v>
      </c>
      <c r="D549" s="291">
        <v>46600</v>
      </c>
      <c r="E549">
        <v>46600</v>
      </c>
      <c r="F549" t="s">
        <v>116</v>
      </c>
      <c r="G549" t="s">
        <v>117</v>
      </c>
      <c r="H549" t="s">
        <v>95</v>
      </c>
      <c r="I549" s="197">
        <v>45319.791666666664</v>
      </c>
      <c r="J549" t="b">
        <v>0</v>
      </c>
      <c r="K549" t="s">
        <v>138</v>
      </c>
      <c r="L549" t="s">
        <v>139</v>
      </c>
      <c r="M549">
        <v>28</v>
      </c>
      <c r="N549">
        <v>1</v>
      </c>
      <c r="O549">
        <v>2024</v>
      </c>
      <c r="R549">
        <f>IF(wallet_records[[#This Row],[type]]="Gasto",wallet_records[[#This Row],[amount]]*(-1),wallet_records[[#This Row],[amount]])</f>
        <v>-46600</v>
      </c>
    </row>
    <row r="550" spans="1:18" x14ac:dyDescent="0.2">
      <c r="A550" t="s">
        <v>127</v>
      </c>
      <c r="B550" t="s">
        <v>136</v>
      </c>
      <c r="C550" t="s">
        <v>115</v>
      </c>
      <c r="D550" s="291">
        <v>429205</v>
      </c>
      <c r="E550">
        <v>429205</v>
      </c>
      <c r="F550" t="s">
        <v>116</v>
      </c>
      <c r="G550" t="s">
        <v>117</v>
      </c>
      <c r="H550" t="s">
        <v>140</v>
      </c>
      <c r="I550" s="197">
        <v>45313.791666666664</v>
      </c>
      <c r="J550" t="b">
        <v>0</v>
      </c>
      <c r="K550" t="s">
        <v>0</v>
      </c>
      <c r="L550" t="s">
        <v>0</v>
      </c>
      <c r="M550">
        <v>22</v>
      </c>
      <c r="N550">
        <v>1</v>
      </c>
      <c r="O550">
        <v>2024</v>
      </c>
      <c r="R550">
        <f>IF(wallet_records[[#This Row],[type]]="Gasto",wallet_records[[#This Row],[amount]]*(-1),wallet_records[[#This Row],[amount]])</f>
        <v>-429205</v>
      </c>
    </row>
    <row r="551" spans="1:18" x14ac:dyDescent="0.2">
      <c r="A551" t="s">
        <v>127</v>
      </c>
      <c r="B551" t="s">
        <v>136</v>
      </c>
      <c r="C551" t="s">
        <v>115</v>
      </c>
      <c r="D551" s="291">
        <v>7544873.5199999996</v>
      </c>
      <c r="E551">
        <v>7544873.5199999996</v>
      </c>
      <c r="F551" t="s">
        <v>121</v>
      </c>
      <c r="G551" t="s">
        <v>117</v>
      </c>
      <c r="H551" t="s">
        <v>522</v>
      </c>
      <c r="I551" s="197">
        <v>45311.791666666664</v>
      </c>
      <c r="J551" t="b">
        <v>0</v>
      </c>
      <c r="K551" t="s">
        <v>123</v>
      </c>
      <c r="L551" t="s">
        <v>123</v>
      </c>
      <c r="M551">
        <v>20</v>
      </c>
      <c r="N551">
        <v>1</v>
      </c>
      <c r="O551">
        <v>2024</v>
      </c>
      <c r="R551">
        <f>IF(wallet_records[[#This Row],[type]]="Gasto",wallet_records[[#This Row],[amount]]*(-1),wallet_records[[#This Row],[amount]])</f>
        <v>7544873.5199999996</v>
      </c>
    </row>
    <row r="552" spans="1:18" x14ac:dyDescent="0.2">
      <c r="A552" t="s">
        <v>525</v>
      </c>
      <c r="B552" t="s">
        <v>136</v>
      </c>
      <c r="C552" t="s">
        <v>115</v>
      </c>
      <c r="D552" s="291">
        <v>2760764.36</v>
      </c>
      <c r="E552">
        <v>2760764.36</v>
      </c>
      <c r="F552" t="s">
        <v>121</v>
      </c>
      <c r="G552" t="s">
        <v>117</v>
      </c>
      <c r="H552" t="s">
        <v>522</v>
      </c>
      <c r="I552" s="197">
        <v>45311.791666666664</v>
      </c>
      <c r="J552" t="b">
        <v>0</v>
      </c>
      <c r="K552" t="s">
        <v>123</v>
      </c>
      <c r="L552" t="s">
        <v>123</v>
      </c>
      <c r="M552">
        <v>20</v>
      </c>
      <c r="N552">
        <v>1</v>
      </c>
      <c r="O552">
        <v>2024</v>
      </c>
      <c r="R552">
        <f>IF(wallet_records[[#This Row],[type]]="Gasto",wallet_records[[#This Row],[amount]]*(-1),wallet_records[[#This Row],[amount]])</f>
        <v>2760764.36</v>
      </c>
    </row>
    <row r="553" spans="1:18" x14ac:dyDescent="0.2">
      <c r="A553" t="s">
        <v>119</v>
      </c>
      <c r="B553" t="s">
        <v>136</v>
      </c>
      <c r="C553" t="s">
        <v>115</v>
      </c>
      <c r="D553" s="291">
        <v>2878953</v>
      </c>
      <c r="E553">
        <v>2878953</v>
      </c>
      <c r="F553" t="s">
        <v>116</v>
      </c>
      <c r="G553" t="s">
        <v>117</v>
      </c>
      <c r="H553" t="s">
        <v>522</v>
      </c>
      <c r="I553" s="197">
        <v>45311.791666666664</v>
      </c>
      <c r="J553" t="b">
        <v>0</v>
      </c>
      <c r="K553" t="s">
        <v>123</v>
      </c>
      <c r="L553" t="s">
        <v>123</v>
      </c>
      <c r="M553">
        <v>20</v>
      </c>
      <c r="N553">
        <v>1</v>
      </c>
      <c r="O553">
        <v>2024</v>
      </c>
      <c r="R553">
        <f>IF(wallet_records[[#This Row],[type]]="Gasto",wallet_records[[#This Row],[amount]]*(-1),wallet_records[[#This Row],[amount]])</f>
        <v>-2878953</v>
      </c>
    </row>
    <row r="554" spans="1:18" x14ac:dyDescent="0.2">
      <c r="A554" t="s">
        <v>524</v>
      </c>
      <c r="B554" t="s">
        <v>136</v>
      </c>
      <c r="C554" t="s">
        <v>115</v>
      </c>
      <c r="D554" s="291">
        <v>3190713.81</v>
      </c>
      <c r="E554">
        <v>3190713.81</v>
      </c>
      <c r="F554" t="s">
        <v>116</v>
      </c>
      <c r="G554" t="s">
        <v>117</v>
      </c>
      <c r="H554" t="s">
        <v>522</v>
      </c>
      <c r="I554" s="197">
        <v>45311.791666666664</v>
      </c>
      <c r="J554" t="b">
        <v>0</v>
      </c>
      <c r="K554" t="s">
        <v>123</v>
      </c>
      <c r="L554" t="s">
        <v>123</v>
      </c>
      <c r="M554">
        <v>20</v>
      </c>
      <c r="N554">
        <v>1</v>
      </c>
      <c r="O554">
        <v>2024</v>
      </c>
      <c r="R554">
        <f>IF(wallet_records[[#This Row],[type]]="Gasto",wallet_records[[#This Row],[amount]]*(-1),wallet_records[[#This Row],[amount]])</f>
        <v>-3190713.81</v>
      </c>
    </row>
    <row r="555" spans="1:18" x14ac:dyDescent="0.2">
      <c r="A555" t="s">
        <v>127</v>
      </c>
      <c r="B555" t="s">
        <v>136</v>
      </c>
      <c r="C555" t="s">
        <v>115</v>
      </c>
      <c r="D555" s="291">
        <v>126000</v>
      </c>
      <c r="E555">
        <v>126000</v>
      </c>
      <c r="F555" t="s">
        <v>116</v>
      </c>
      <c r="G555" t="s">
        <v>117</v>
      </c>
      <c r="H555" t="s">
        <v>140</v>
      </c>
      <c r="I555" s="197">
        <v>45303.791666666664</v>
      </c>
      <c r="J555" t="b">
        <v>0</v>
      </c>
      <c r="K555" t="s">
        <v>1</v>
      </c>
      <c r="L555" t="s">
        <v>1</v>
      </c>
      <c r="M555">
        <v>12</v>
      </c>
      <c r="N555">
        <v>1</v>
      </c>
      <c r="O555">
        <v>2024</v>
      </c>
      <c r="R555">
        <f>IF(wallet_records[[#This Row],[type]]="Gasto",wallet_records[[#This Row],[amount]]*(-1),wallet_records[[#This Row],[amount]])</f>
        <v>-126000</v>
      </c>
    </row>
    <row r="556" spans="1:18" x14ac:dyDescent="0.2">
      <c r="A556" t="s">
        <v>127</v>
      </c>
      <c r="B556" t="s">
        <v>136</v>
      </c>
      <c r="C556" t="s">
        <v>115</v>
      </c>
      <c r="D556" s="291">
        <v>214100</v>
      </c>
      <c r="E556">
        <v>214100</v>
      </c>
      <c r="F556" t="s">
        <v>116</v>
      </c>
      <c r="G556" t="s">
        <v>117</v>
      </c>
      <c r="H556" t="s">
        <v>140</v>
      </c>
      <c r="I556" s="197">
        <v>45292.792284988427</v>
      </c>
      <c r="J556" t="b">
        <v>0</v>
      </c>
      <c r="K556" t="s">
        <v>538</v>
      </c>
      <c r="L556" t="s">
        <v>77</v>
      </c>
      <c r="M556">
        <v>1</v>
      </c>
      <c r="N556">
        <v>1</v>
      </c>
      <c r="O556">
        <v>2024</v>
      </c>
      <c r="R556">
        <f>IF(wallet_records[[#This Row],[type]]="Gasto",wallet_records[[#This Row],[amount]]*(-1),wallet_records[[#This Row],[amount]])</f>
        <v>-214100</v>
      </c>
    </row>
    <row r="557" spans="1:18" x14ac:dyDescent="0.2">
      <c r="A557" t="s">
        <v>525</v>
      </c>
      <c r="B557" t="s">
        <v>114</v>
      </c>
      <c r="C557" t="s">
        <v>115</v>
      </c>
      <c r="D557" s="291">
        <v>10000</v>
      </c>
      <c r="E557">
        <v>10000</v>
      </c>
      <c r="F557" t="s">
        <v>116</v>
      </c>
      <c r="G557" t="s">
        <v>117</v>
      </c>
      <c r="H557" t="s">
        <v>118</v>
      </c>
      <c r="I557" s="197">
        <v>45656.791666666664</v>
      </c>
      <c r="J557" t="b">
        <v>0</v>
      </c>
      <c r="K557" t="s">
        <v>1</v>
      </c>
      <c r="L557" t="s">
        <v>1</v>
      </c>
      <c r="M557">
        <v>30</v>
      </c>
      <c r="N557">
        <v>12</v>
      </c>
      <c r="O557">
        <v>2024</v>
      </c>
      <c r="R557">
        <f>IF(wallet_records[[#This Row],[type]]="Gasto",wallet_records[[#This Row],[amount]]*(-1),wallet_records[[#This Row],[amount]])</f>
        <v>-10000</v>
      </c>
    </row>
    <row r="558" spans="1:18" x14ac:dyDescent="0.2">
      <c r="A558" t="s">
        <v>525</v>
      </c>
      <c r="B558" t="s">
        <v>114</v>
      </c>
      <c r="C558" t="s">
        <v>115</v>
      </c>
      <c r="D558" s="291">
        <v>48000</v>
      </c>
      <c r="E558">
        <v>48000</v>
      </c>
      <c r="F558" t="s">
        <v>116</v>
      </c>
      <c r="G558" t="s">
        <v>117</v>
      </c>
      <c r="H558" t="s">
        <v>118</v>
      </c>
      <c r="I558" s="197">
        <v>45656.791666666664</v>
      </c>
      <c r="J558" t="b">
        <v>0</v>
      </c>
      <c r="K558" t="s">
        <v>1</v>
      </c>
      <c r="L558" t="s">
        <v>1</v>
      </c>
      <c r="M558">
        <v>30</v>
      </c>
      <c r="N558">
        <v>12</v>
      </c>
      <c r="O558">
        <v>2024</v>
      </c>
      <c r="R558">
        <f>IF(wallet_records[[#This Row],[type]]="Gasto",wallet_records[[#This Row],[amount]]*(-1),wallet_records[[#This Row],[amount]])</f>
        <v>-48000</v>
      </c>
    </row>
    <row r="559" spans="1:18" x14ac:dyDescent="0.2">
      <c r="A559" t="s">
        <v>525</v>
      </c>
      <c r="B559" t="s">
        <v>114</v>
      </c>
      <c r="C559" t="s">
        <v>115</v>
      </c>
      <c r="D559" s="291">
        <v>100000</v>
      </c>
      <c r="E559">
        <v>100000</v>
      </c>
      <c r="F559" t="s">
        <v>116</v>
      </c>
      <c r="G559" t="s">
        <v>117</v>
      </c>
      <c r="H559" t="s">
        <v>118</v>
      </c>
      <c r="I559" s="197">
        <v>45656.791666666664</v>
      </c>
      <c r="J559" t="b">
        <v>0</v>
      </c>
      <c r="K559" t="s">
        <v>1</v>
      </c>
      <c r="L559" t="s">
        <v>1</v>
      </c>
      <c r="M559">
        <v>30</v>
      </c>
      <c r="N559">
        <v>12</v>
      </c>
      <c r="O559">
        <v>2024</v>
      </c>
      <c r="R559">
        <f>IF(wallet_records[[#This Row],[type]]="Gasto",wallet_records[[#This Row],[amount]]*(-1),wallet_records[[#This Row],[amount]])</f>
        <v>-100000</v>
      </c>
    </row>
    <row r="560" spans="1:18" x14ac:dyDescent="0.2">
      <c r="A560" t="s">
        <v>525</v>
      </c>
      <c r="B560" t="s">
        <v>114</v>
      </c>
      <c r="C560" t="s">
        <v>115</v>
      </c>
      <c r="D560" s="291">
        <v>2160000</v>
      </c>
      <c r="E560">
        <v>2160000</v>
      </c>
      <c r="F560" t="s">
        <v>116</v>
      </c>
      <c r="G560" t="s">
        <v>117</v>
      </c>
      <c r="H560" t="s">
        <v>118</v>
      </c>
      <c r="I560" s="197">
        <v>45653.791666666664</v>
      </c>
      <c r="J560" t="b">
        <v>0</v>
      </c>
      <c r="K560" t="s">
        <v>1</v>
      </c>
      <c r="L560" t="s">
        <v>1</v>
      </c>
      <c r="M560">
        <v>27</v>
      </c>
      <c r="N560">
        <v>12</v>
      </c>
      <c r="O560">
        <v>2024</v>
      </c>
      <c r="R560">
        <f>IF(wallet_records[[#This Row],[type]]="Gasto",wallet_records[[#This Row],[amount]]*(-1),wallet_records[[#This Row],[amount]])</f>
        <v>-2160000</v>
      </c>
    </row>
    <row r="561" spans="1:18" x14ac:dyDescent="0.2">
      <c r="A561" t="s">
        <v>525</v>
      </c>
      <c r="B561" t="s">
        <v>114</v>
      </c>
      <c r="C561" t="s">
        <v>115</v>
      </c>
      <c r="D561" s="291">
        <v>174700</v>
      </c>
      <c r="E561">
        <v>174700</v>
      </c>
      <c r="F561" t="s">
        <v>116</v>
      </c>
      <c r="G561" t="s">
        <v>117</v>
      </c>
      <c r="H561" t="s">
        <v>118</v>
      </c>
      <c r="I561" s="197">
        <v>45651.791666666664</v>
      </c>
      <c r="J561" t="b">
        <v>0</v>
      </c>
      <c r="K561" t="s">
        <v>1</v>
      </c>
      <c r="L561" t="s">
        <v>1</v>
      </c>
      <c r="M561">
        <v>25</v>
      </c>
      <c r="N561">
        <v>12</v>
      </c>
      <c r="O561">
        <v>2024</v>
      </c>
      <c r="R561">
        <f>IF(wallet_records[[#This Row],[type]]="Gasto",wallet_records[[#This Row],[amount]]*(-1),wallet_records[[#This Row],[amount]])</f>
        <v>-174700</v>
      </c>
    </row>
    <row r="562" spans="1:18" x14ac:dyDescent="0.2">
      <c r="A562" t="s">
        <v>525</v>
      </c>
      <c r="B562" t="s">
        <v>114</v>
      </c>
      <c r="C562" t="s">
        <v>115</v>
      </c>
      <c r="D562" s="291">
        <v>429200</v>
      </c>
      <c r="E562">
        <v>429200</v>
      </c>
      <c r="F562" t="s">
        <v>116</v>
      </c>
      <c r="G562" t="s">
        <v>117</v>
      </c>
      <c r="H562" t="s">
        <v>118</v>
      </c>
      <c r="I562" s="197">
        <v>45651.791666666664</v>
      </c>
      <c r="J562" t="b">
        <v>0</v>
      </c>
      <c r="K562" t="s">
        <v>1</v>
      </c>
      <c r="L562" t="s">
        <v>1</v>
      </c>
      <c r="M562">
        <v>25</v>
      </c>
      <c r="N562">
        <v>12</v>
      </c>
      <c r="O562">
        <v>2024</v>
      </c>
      <c r="R562">
        <f>IF(wallet_records[[#This Row],[type]]="Gasto",wallet_records[[#This Row],[amount]]*(-1),wallet_records[[#This Row],[amount]])</f>
        <v>-429200</v>
      </c>
    </row>
    <row r="563" spans="1:18" x14ac:dyDescent="0.2">
      <c r="A563" t="s">
        <v>525</v>
      </c>
      <c r="B563" t="s">
        <v>114</v>
      </c>
      <c r="C563" t="s">
        <v>115</v>
      </c>
      <c r="D563" s="291">
        <v>999301</v>
      </c>
      <c r="E563">
        <v>999301</v>
      </c>
      <c r="F563" t="s">
        <v>116</v>
      </c>
      <c r="G563" t="s">
        <v>117</v>
      </c>
      <c r="H563" t="s">
        <v>118</v>
      </c>
      <c r="I563" s="197">
        <v>45651.791666666664</v>
      </c>
      <c r="J563" t="b">
        <v>0</v>
      </c>
      <c r="K563" t="s">
        <v>1</v>
      </c>
      <c r="L563" t="s">
        <v>1</v>
      </c>
      <c r="M563">
        <v>25</v>
      </c>
      <c r="N563">
        <v>12</v>
      </c>
      <c r="O563">
        <v>2024</v>
      </c>
      <c r="R563">
        <f>IF(wallet_records[[#This Row],[type]]="Gasto",wallet_records[[#This Row],[amount]]*(-1),wallet_records[[#This Row],[amount]])</f>
        <v>-999301</v>
      </c>
    </row>
    <row r="564" spans="1:18" x14ac:dyDescent="0.2">
      <c r="A564" t="s">
        <v>525</v>
      </c>
      <c r="B564" t="s">
        <v>114</v>
      </c>
      <c r="C564" t="s">
        <v>115</v>
      </c>
      <c r="D564" s="291">
        <v>856800</v>
      </c>
      <c r="E564">
        <v>856800</v>
      </c>
      <c r="F564" t="s">
        <v>116</v>
      </c>
      <c r="G564" t="s">
        <v>117</v>
      </c>
      <c r="H564" t="s">
        <v>118</v>
      </c>
      <c r="I564" s="197">
        <v>45649.791666666664</v>
      </c>
      <c r="J564" t="b">
        <v>0</v>
      </c>
      <c r="K564" t="s">
        <v>1</v>
      </c>
      <c r="L564" t="s">
        <v>1</v>
      </c>
      <c r="M564">
        <v>23</v>
      </c>
      <c r="N564">
        <v>12</v>
      </c>
      <c r="O564">
        <v>2024</v>
      </c>
      <c r="R564">
        <f>IF(wallet_records[[#This Row],[type]]="Gasto",wallet_records[[#This Row],[amount]]*(-1),wallet_records[[#This Row],[amount]])</f>
        <v>-856800</v>
      </c>
    </row>
    <row r="565" spans="1:18" x14ac:dyDescent="0.2">
      <c r="A565" t="s">
        <v>525</v>
      </c>
      <c r="B565" t="s">
        <v>114</v>
      </c>
      <c r="C565" t="s">
        <v>115</v>
      </c>
      <c r="D565" s="291">
        <v>457100</v>
      </c>
      <c r="E565">
        <v>457100</v>
      </c>
      <c r="F565" t="s">
        <v>116</v>
      </c>
      <c r="G565" t="s">
        <v>117</v>
      </c>
      <c r="H565" t="s">
        <v>118</v>
      </c>
      <c r="I565" s="197">
        <v>45649.791666666664</v>
      </c>
      <c r="J565" t="b">
        <v>0</v>
      </c>
      <c r="K565" t="s">
        <v>1</v>
      </c>
      <c r="L565" t="s">
        <v>1</v>
      </c>
      <c r="M565">
        <v>23</v>
      </c>
      <c r="N565">
        <v>12</v>
      </c>
      <c r="O565">
        <v>2024</v>
      </c>
      <c r="R565">
        <f>IF(wallet_records[[#This Row],[type]]="Gasto",wallet_records[[#This Row],[amount]]*(-1),wallet_records[[#This Row],[amount]])</f>
        <v>-457100</v>
      </c>
    </row>
    <row r="566" spans="1:18" x14ac:dyDescent="0.2">
      <c r="A566" t="s">
        <v>525</v>
      </c>
      <c r="B566" t="s">
        <v>114</v>
      </c>
      <c r="C566" t="s">
        <v>115</v>
      </c>
      <c r="D566" s="291">
        <v>200000</v>
      </c>
      <c r="E566">
        <v>200000</v>
      </c>
      <c r="F566" t="s">
        <v>116</v>
      </c>
      <c r="G566" t="s">
        <v>117</v>
      </c>
      <c r="H566" t="s">
        <v>118</v>
      </c>
      <c r="I566" s="197">
        <v>45648.791666666664</v>
      </c>
      <c r="J566" t="b">
        <v>0</v>
      </c>
      <c r="K566" t="s">
        <v>1</v>
      </c>
      <c r="L566" t="s">
        <v>1</v>
      </c>
      <c r="M566">
        <v>22</v>
      </c>
      <c r="N566">
        <v>12</v>
      </c>
      <c r="O566">
        <v>2024</v>
      </c>
      <c r="R566">
        <f>IF(wallet_records[[#This Row],[type]]="Gasto",wallet_records[[#This Row],[amount]]*(-1),wallet_records[[#This Row],[amount]])</f>
        <v>-200000</v>
      </c>
    </row>
    <row r="567" spans="1:18" x14ac:dyDescent="0.2">
      <c r="A567" t="s">
        <v>525</v>
      </c>
      <c r="B567" t="s">
        <v>114</v>
      </c>
      <c r="C567" t="s">
        <v>115</v>
      </c>
      <c r="D567" s="291">
        <v>34900</v>
      </c>
      <c r="E567">
        <v>34900</v>
      </c>
      <c r="F567" t="s">
        <v>116</v>
      </c>
      <c r="G567" t="s">
        <v>117</v>
      </c>
      <c r="H567" t="s">
        <v>118</v>
      </c>
      <c r="I567" s="197">
        <v>45647.791666666664</v>
      </c>
      <c r="J567" t="b">
        <v>0</v>
      </c>
      <c r="K567" t="s">
        <v>1</v>
      </c>
      <c r="L567" t="s">
        <v>1</v>
      </c>
      <c r="M567">
        <v>21</v>
      </c>
      <c r="N567">
        <v>12</v>
      </c>
      <c r="O567">
        <v>2024</v>
      </c>
      <c r="R567">
        <f>IF(wallet_records[[#This Row],[type]]="Gasto",wallet_records[[#This Row],[amount]]*(-1),wallet_records[[#This Row],[amount]])</f>
        <v>-34900</v>
      </c>
    </row>
    <row r="568" spans="1:18" x14ac:dyDescent="0.2">
      <c r="A568" t="s">
        <v>525</v>
      </c>
      <c r="B568" t="s">
        <v>114</v>
      </c>
      <c r="C568" t="s">
        <v>115</v>
      </c>
      <c r="D568" s="291">
        <v>1000000</v>
      </c>
      <c r="E568">
        <v>1000000</v>
      </c>
      <c r="F568" t="s">
        <v>116</v>
      </c>
      <c r="G568" t="s">
        <v>117</v>
      </c>
      <c r="H568" t="s">
        <v>118</v>
      </c>
      <c r="I568" s="197">
        <v>45645.791666666664</v>
      </c>
      <c r="J568" t="b">
        <v>0</v>
      </c>
      <c r="K568" t="s">
        <v>1</v>
      </c>
      <c r="L568" t="s">
        <v>1</v>
      </c>
      <c r="M568">
        <v>19</v>
      </c>
      <c r="N568">
        <v>12</v>
      </c>
      <c r="O568">
        <v>2024</v>
      </c>
      <c r="R568">
        <f>IF(wallet_records[[#This Row],[type]]="Gasto",wallet_records[[#This Row],[amount]]*(-1),wallet_records[[#This Row],[amount]])</f>
        <v>-1000000</v>
      </c>
    </row>
    <row r="569" spans="1:18" x14ac:dyDescent="0.2">
      <c r="A569" t="s">
        <v>525</v>
      </c>
      <c r="B569" t="s">
        <v>114</v>
      </c>
      <c r="C569" t="s">
        <v>115</v>
      </c>
      <c r="D569" s="291">
        <v>155300</v>
      </c>
      <c r="E569">
        <v>155300</v>
      </c>
      <c r="F569" t="s">
        <v>116</v>
      </c>
      <c r="G569" t="s">
        <v>117</v>
      </c>
      <c r="H569" t="s">
        <v>118</v>
      </c>
      <c r="I569" s="197">
        <v>45643.791666666664</v>
      </c>
      <c r="J569" t="b">
        <v>0</v>
      </c>
      <c r="K569" t="s">
        <v>1</v>
      </c>
      <c r="L569" t="s">
        <v>1</v>
      </c>
      <c r="M569">
        <v>17</v>
      </c>
      <c r="N569">
        <v>12</v>
      </c>
      <c r="O569">
        <v>2024</v>
      </c>
      <c r="R569">
        <f>IF(wallet_records[[#This Row],[type]]="Gasto",wallet_records[[#This Row],[amount]]*(-1),wallet_records[[#This Row],[amount]])</f>
        <v>-155300</v>
      </c>
    </row>
    <row r="570" spans="1:18" x14ac:dyDescent="0.2">
      <c r="A570" t="s">
        <v>525</v>
      </c>
      <c r="B570" t="s">
        <v>114</v>
      </c>
      <c r="C570" t="s">
        <v>115</v>
      </c>
      <c r="D570" s="291">
        <v>140000</v>
      </c>
      <c r="E570">
        <v>140000</v>
      </c>
      <c r="F570" t="s">
        <v>116</v>
      </c>
      <c r="G570" t="s">
        <v>117</v>
      </c>
      <c r="H570" t="s">
        <v>118</v>
      </c>
      <c r="I570" s="197">
        <v>45642.791666666664</v>
      </c>
      <c r="J570" t="b">
        <v>0</v>
      </c>
      <c r="K570" t="s">
        <v>1</v>
      </c>
      <c r="L570" t="s">
        <v>1</v>
      </c>
      <c r="M570">
        <v>16</v>
      </c>
      <c r="N570">
        <v>12</v>
      </c>
      <c r="O570">
        <v>2024</v>
      </c>
      <c r="R570">
        <f>IF(wallet_records[[#This Row],[type]]="Gasto",wallet_records[[#This Row],[amount]]*(-1),wallet_records[[#This Row],[amount]])</f>
        <v>-140000</v>
      </c>
    </row>
    <row r="571" spans="1:18" x14ac:dyDescent="0.2">
      <c r="A571" t="s">
        <v>525</v>
      </c>
      <c r="B571" t="s">
        <v>114</v>
      </c>
      <c r="C571" t="s">
        <v>115</v>
      </c>
      <c r="D571" s="291">
        <v>20800</v>
      </c>
      <c r="E571">
        <v>20800</v>
      </c>
      <c r="F571" t="s">
        <v>116</v>
      </c>
      <c r="G571" t="s">
        <v>117</v>
      </c>
      <c r="H571" t="s">
        <v>118</v>
      </c>
      <c r="I571" s="197">
        <v>45642.791666666664</v>
      </c>
      <c r="J571" t="b">
        <v>0</v>
      </c>
      <c r="K571" t="s">
        <v>1</v>
      </c>
      <c r="L571" t="s">
        <v>1</v>
      </c>
      <c r="M571">
        <v>16</v>
      </c>
      <c r="N571">
        <v>12</v>
      </c>
      <c r="O571">
        <v>2024</v>
      </c>
      <c r="R571">
        <f>IF(wallet_records[[#This Row],[type]]="Gasto",wallet_records[[#This Row],[amount]]*(-1),wallet_records[[#This Row],[amount]])</f>
        <v>-20800</v>
      </c>
    </row>
    <row r="572" spans="1:18" x14ac:dyDescent="0.2">
      <c r="A572" t="s">
        <v>525</v>
      </c>
      <c r="B572" t="s">
        <v>114</v>
      </c>
      <c r="C572" t="s">
        <v>115</v>
      </c>
      <c r="D572" s="291">
        <v>900000</v>
      </c>
      <c r="E572">
        <v>900000</v>
      </c>
      <c r="F572" t="s">
        <v>116</v>
      </c>
      <c r="G572" t="s">
        <v>117</v>
      </c>
      <c r="H572" t="s">
        <v>118</v>
      </c>
      <c r="I572" s="197">
        <v>45639.791666666664</v>
      </c>
      <c r="J572" t="b">
        <v>0</v>
      </c>
      <c r="K572" t="s">
        <v>1</v>
      </c>
      <c r="L572" t="s">
        <v>1</v>
      </c>
      <c r="M572">
        <v>13</v>
      </c>
      <c r="N572">
        <v>12</v>
      </c>
      <c r="O572">
        <v>2024</v>
      </c>
      <c r="R572">
        <f>IF(wallet_records[[#This Row],[type]]="Gasto",wallet_records[[#This Row],[amount]]*(-1),wallet_records[[#This Row],[amount]])</f>
        <v>-900000</v>
      </c>
    </row>
    <row r="573" spans="1:18" x14ac:dyDescent="0.2">
      <c r="A573" t="s">
        <v>525</v>
      </c>
      <c r="B573" t="s">
        <v>114</v>
      </c>
      <c r="C573" t="s">
        <v>115</v>
      </c>
      <c r="D573" s="291">
        <v>50600</v>
      </c>
      <c r="E573">
        <v>50600</v>
      </c>
      <c r="F573" t="s">
        <v>116</v>
      </c>
      <c r="G573" t="s">
        <v>117</v>
      </c>
      <c r="H573" t="s">
        <v>118</v>
      </c>
      <c r="I573" s="197">
        <v>45638.791666666664</v>
      </c>
      <c r="J573" t="b">
        <v>0</v>
      </c>
      <c r="K573" t="s">
        <v>1</v>
      </c>
      <c r="L573" t="s">
        <v>1</v>
      </c>
      <c r="M573">
        <v>12</v>
      </c>
      <c r="N573">
        <v>12</v>
      </c>
      <c r="O573">
        <v>2024</v>
      </c>
      <c r="R573">
        <f>IF(wallet_records[[#This Row],[type]]="Gasto",wallet_records[[#This Row],[amount]]*(-1),wallet_records[[#This Row],[amount]])</f>
        <v>-50600</v>
      </c>
    </row>
    <row r="574" spans="1:18" x14ac:dyDescent="0.2">
      <c r="A574" t="s">
        <v>525</v>
      </c>
      <c r="B574" t="s">
        <v>114</v>
      </c>
      <c r="C574" t="s">
        <v>115</v>
      </c>
      <c r="D574" s="291">
        <v>1600000</v>
      </c>
      <c r="E574">
        <v>1600000</v>
      </c>
      <c r="F574" t="s">
        <v>116</v>
      </c>
      <c r="G574" t="s">
        <v>117</v>
      </c>
      <c r="H574" t="s">
        <v>118</v>
      </c>
      <c r="I574" s="197">
        <v>45638.791666666664</v>
      </c>
      <c r="J574" t="b">
        <v>0</v>
      </c>
      <c r="K574" t="s">
        <v>1</v>
      </c>
      <c r="L574" t="s">
        <v>1</v>
      </c>
      <c r="M574">
        <v>12</v>
      </c>
      <c r="N574">
        <v>12</v>
      </c>
      <c r="O574">
        <v>2024</v>
      </c>
      <c r="R574">
        <f>IF(wallet_records[[#This Row],[type]]="Gasto",wallet_records[[#This Row],[amount]]*(-1),wallet_records[[#This Row],[amount]])</f>
        <v>-1600000</v>
      </c>
    </row>
    <row r="575" spans="1:18" x14ac:dyDescent="0.2">
      <c r="A575" t="s">
        <v>525</v>
      </c>
      <c r="B575" t="s">
        <v>114</v>
      </c>
      <c r="C575" t="s">
        <v>115</v>
      </c>
      <c r="D575" s="291">
        <v>31600</v>
      </c>
      <c r="E575">
        <v>31600</v>
      </c>
      <c r="F575" t="s">
        <v>116</v>
      </c>
      <c r="G575" t="s">
        <v>117</v>
      </c>
      <c r="H575" t="s">
        <v>118</v>
      </c>
      <c r="I575" s="197">
        <v>45638.791666666664</v>
      </c>
      <c r="J575" t="b">
        <v>0</v>
      </c>
      <c r="K575" t="s">
        <v>1</v>
      </c>
      <c r="L575" t="s">
        <v>1</v>
      </c>
      <c r="M575">
        <v>12</v>
      </c>
      <c r="N575">
        <v>12</v>
      </c>
      <c r="O575">
        <v>2024</v>
      </c>
      <c r="R575">
        <f>IF(wallet_records[[#This Row],[type]]="Gasto",wallet_records[[#This Row],[amount]]*(-1),wallet_records[[#This Row],[amount]])</f>
        <v>-31600</v>
      </c>
    </row>
    <row r="576" spans="1:18" x14ac:dyDescent="0.2">
      <c r="A576" t="s">
        <v>525</v>
      </c>
      <c r="B576" t="s">
        <v>114</v>
      </c>
      <c r="C576" t="s">
        <v>115</v>
      </c>
      <c r="D576" s="291">
        <v>26500</v>
      </c>
      <c r="E576">
        <v>26500</v>
      </c>
      <c r="F576" t="s">
        <v>116</v>
      </c>
      <c r="G576" t="s">
        <v>117</v>
      </c>
      <c r="H576" t="s">
        <v>118</v>
      </c>
      <c r="I576" s="197">
        <v>45638.791666666664</v>
      </c>
      <c r="J576" t="b">
        <v>0</v>
      </c>
      <c r="K576" t="s">
        <v>1</v>
      </c>
      <c r="L576" t="s">
        <v>1</v>
      </c>
      <c r="M576">
        <v>12</v>
      </c>
      <c r="N576">
        <v>12</v>
      </c>
      <c r="O576">
        <v>2024</v>
      </c>
      <c r="R576">
        <f>IF(wallet_records[[#This Row],[type]]="Gasto",wallet_records[[#This Row],[amount]]*(-1),wallet_records[[#This Row],[amount]])</f>
        <v>-26500</v>
      </c>
    </row>
    <row r="577" spans="1:18" x14ac:dyDescent="0.2">
      <c r="A577" t="s">
        <v>525</v>
      </c>
      <c r="B577" t="s">
        <v>114</v>
      </c>
      <c r="C577" t="s">
        <v>115</v>
      </c>
      <c r="D577" s="291">
        <v>21100</v>
      </c>
      <c r="E577">
        <v>21100</v>
      </c>
      <c r="F577" t="s">
        <v>116</v>
      </c>
      <c r="G577" t="s">
        <v>117</v>
      </c>
      <c r="H577" t="s">
        <v>118</v>
      </c>
      <c r="I577" s="197">
        <v>45638.791666666664</v>
      </c>
      <c r="J577" t="b">
        <v>0</v>
      </c>
      <c r="K577" t="s">
        <v>1</v>
      </c>
      <c r="L577" t="s">
        <v>1</v>
      </c>
      <c r="M577">
        <v>12</v>
      </c>
      <c r="N577">
        <v>12</v>
      </c>
      <c r="O577">
        <v>2024</v>
      </c>
      <c r="R577">
        <f>IF(wallet_records[[#This Row],[type]]="Gasto",wallet_records[[#This Row],[amount]]*(-1),wallet_records[[#This Row],[amount]])</f>
        <v>-21100</v>
      </c>
    </row>
    <row r="578" spans="1:18" x14ac:dyDescent="0.2">
      <c r="A578" t="s">
        <v>525</v>
      </c>
      <c r="B578" t="s">
        <v>114</v>
      </c>
      <c r="C578" t="s">
        <v>115</v>
      </c>
      <c r="D578" s="291">
        <v>1023200</v>
      </c>
      <c r="E578">
        <v>1023200</v>
      </c>
      <c r="F578" t="s">
        <v>116</v>
      </c>
      <c r="G578" t="s">
        <v>117</v>
      </c>
      <c r="H578" t="s">
        <v>118</v>
      </c>
      <c r="I578" s="197">
        <v>45637.791666666664</v>
      </c>
      <c r="J578" t="b">
        <v>0</v>
      </c>
      <c r="K578" t="s">
        <v>1</v>
      </c>
      <c r="L578" t="s">
        <v>1</v>
      </c>
      <c r="M578">
        <v>11</v>
      </c>
      <c r="N578">
        <v>12</v>
      </c>
      <c r="O578">
        <v>2024</v>
      </c>
      <c r="R578">
        <f>IF(wallet_records[[#This Row],[type]]="Gasto",wallet_records[[#This Row],[amount]]*(-1),wallet_records[[#This Row],[amount]])</f>
        <v>-1023200</v>
      </c>
    </row>
    <row r="579" spans="1:18" x14ac:dyDescent="0.2">
      <c r="A579" t="s">
        <v>525</v>
      </c>
      <c r="B579" t="s">
        <v>114</v>
      </c>
      <c r="C579" t="s">
        <v>115</v>
      </c>
      <c r="D579" s="291">
        <v>34900</v>
      </c>
      <c r="E579">
        <v>34900</v>
      </c>
      <c r="F579" t="s">
        <v>116</v>
      </c>
      <c r="G579" t="s">
        <v>117</v>
      </c>
      <c r="H579" t="s">
        <v>118</v>
      </c>
      <c r="I579" s="197">
        <v>45637.791666666664</v>
      </c>
      <c r="J579" t="b">
        <v>0</v>
      </c>
      <c r="K579" t="s">
        <v>1</v>
      </c>
      <c r="L579" t="s">
        <v>1</v>
      </c>
      <c r="M579">
        <v>11</v>
      </c>
      <c r="N579">
        <v>12</v>
      </c>
      <c r="O579">
        <v>2024</v>
      </c>
      <c r="R579">
        <f>IF(wallet_records[[#This Row],[type]]="Gasto",wallet_records[[#This Row],[amount]]*(-1),wallet_records[[#This Row],[amount]])</f>
        <v>-34900</v>
      </c>
    </row>
    <row r="580" spans="1:18" x14ac:dyDescent="0.2">
      <c r="A580" t="s">
        <v>525</v>
      </c>
      <c r="B580" t="s">
        <v>114</v>
      </c>
      <c r="C580" t="s">
        <v>115</v>
      </c>
      <c r="D580" s="291">
        <v>860000</v>
      </c>
      <c r="E580">
        <v>860000</v>
      </c>
      <c r="F580" t="s">
        <v>116</v>
      </c>
      <c r="G580" t="s">
        <v>117</v>
      </c>
      <c r="H580" t="s">
        <v>118</v>
      </c>
      <c r="I580" s="197">
        <v>45637.791666666664</v>
      </c>
      <c r="J580" t="b">
        <v>0</v>
      </c>
      <c r="K580" t="s">
        <v>1</v>
      </c>
      <c r="L580" t="s">
        <v>1</v>
      </c>
      <c r="M580">
        <v>11</v>
      </c>
      <c r="N580">
        <v>12</v>
      </c>
      <c r="O580">
        <v>2024</v>
      </c>
      <c r="R580">
        <f>IF(wallet_records[[#This Row],[type]]="Gasto",wallet_records[[#This Row],[amount]]*(-1),wallet_records[[#This Row],[amount]])</f>
        <v>-860000</v>
      </c>
    </row>
    <row r="581" spans="1:18" x14ac:dyDescent="0.2">
      <c r="A581" t="s">
        <v>525</v>
      </c>
      <c r="B581" t="s">
        <v>114</v>
      </c>
      <c r="C581" t="s">
        <v>115</v>
      </c>
      <c r="D581" s="291">
        <v>30000</v>
      </c>
      <c r="E581">
        <v>30000</v>
      </c>
      <c r="F581" t="s">
        <v>116</v>
      </c>
      <c r="G581" t="s">
        <v>117</v>
      </c>
      <c r="H581" t="s">
        <v>118</v>
      </c>
      <c r="I581" s="197">
        <v>45636.792089976851</v>
      </c>
      <c r="J581" t="b">
        <v>0</v>
      </c>
      <c r="K581" t="s">
        <v>123</v>
      </c>
      <c r="L581" t="s">
        <v>46</v>
      </c>
      <c r="M581">
        <v>10</v>
      </c>
      <c r="N581">
        <v>12</v>
      </c>
      <c r="O581">
        <v>2024</v>
      </c>
      <c r="R581">
        <f>IF(wallet_records[[#This Row],[type]]="Gasto",wallet_records[[#This Row],[amount]]*(-1),wallet_records[[#This Row],[amount]])</f>
        <v>-30000</v>
      </c>
    </row>
    <row r="582" spans="1:18" x14ac:dyDescent="0.2">
      <c r="A582" t="s">
        <v>525</v>
      </c>
      <c r="B582" t="s">
        <v>114</v>
      </c>
      <c r="C582" t="s">
        <v>115</v>
      </c>
      <c r="D582" s="291">
        <v>18500</v>
      </c>
      <c r="E582">
        <v>18500</v>
      </c>
      <c r="F582" t="s">
        <v>116</v>
      </c>
      <c r="G582" t="s">
        <v>117</v>
      </c>
      <c r="H582" t="s">
        <v>118</v>
      </c>
      <c r="I582" s="197">
        <v>45636.791666666664</v>
      </c>
      <c r="J582" t="b">
        <v>0</v>
      </c>
      <c r="K582" t="s">
        <v>1</v>
      </c>
      <c r="L582" t="s">
        <v>1</v>
      </c>
      <c r="M582">
        <v>10</v>
      </c>
      <c r="N582">
        <v>12</v>
      </c>
      <c r="O582">
        <v>2024</v>
      </c>
      <c r="R582">
        <f>IF(wallet_records[[#This Row],[type]]="Gasto",wallet_records[[#This Row],[amount]]*(-1),wallet_records[[#This Row],[amount]])</f>
        <v>-18500</v>
      </c>
    </row>
    <row r="583" spans="1:18" x14ac:dyDescent="0.2">
      <c r="A583" t="s">
        <v>525</v>
      </c>
      <c r="B583" t="s">
        <v>114</v>
      </c>
      <c r="C583" t="s">
        <v>115</v>
      </c>
      <c r="D583" s="291">
        <v>100000</v>
      </c>
      <c r="E583">
        <v>100000</v>
      </c>
      <c r="F583" t="s">
        <v>116</v>
      </c>
      <c r="G583" t="s">
        <v>117</v>
      </c>
      <c r="H583" t="s">
        <v>118</v>
      </c>
      <c r="I583" s="197">
        <v>45635.791666666664</v>
      </c>
      <c r="J583" t="b">
        <v>0</v>
      </c>
      <c r="K583" t="s">
        <v>1</v>
      </c>
      <c r="L583" t="s">
        <v>1</v>
      </c>
      <c r="M583">
        <v>9</v>
      </c>
      <c r="N583">
        <v>12</v>
      </c>
      <c r="O583">
        <v>2024</v>
      </c>
      <c r="R583">
        <f>IF(wallet_records[[#This Row],[type]]="Gasto",wallet_records[[#This Row],[amount]]*(-1),wallet_records[[#This Row],[amount]])</f>
        <v>-100000</v>
      </c>
    </row>
    <row r="584" spans="1:18" x14ac:dyDescent="0.2">
      <c r="A584" t="s">
        <v>525</v>
      </c>
      <c r="B584" t="s">
        <v>114</v>
      </c>
      <c r="C584" t="s">
        <v>115</v>
      </c>
      <c r="D584" s="291">
        <v>1500000</v>
      </c>
      <c r="E584">
        <v>1500000</v>
      </c>
      <c r="F584" t="s">
        <v>116</v>
      </c>
      <c r="G584" t="s">
        <v>117</v>
      </c>
      <c r="H584" t="s">
        <v>118</v>
      </c>
      <c r="I584" s="197">
        <v>45635.791666666664</v>
      </c>
      <c r="J584" t="b">
        <v>0</v>
      </c>
      <c r="K584" t="s">
        <v>1</v>
      </c>
      <c r="L584" t="s">
        <v>1</v>
      </c>
      <c r="M584">
        <v>9</v>
      </c>
      <c r="N584">
        <v>12</v>
      </c>
      <c r="O584">
        <v>2024</v>
      </c>
      <c r="R584">
        <f>IF(wallet_records[[#This Row],[type]]="Gasto",wallet_records[[#This Row],[amount]]*(-1),wallet_records[[#This Row],[amount]])</f>
        <v>-1500000</v>
      </c>
    </row>
    <row r="585" spans="1:18" x14ac:dyDescent="0.2">
      <c r="A585" t="s">
        <v>525</v>
      </c>
      <c r="B585" t="s">
        <v>114</v>
      </c>
      <c r="C585" t="s">
        <v>115</v>
      </c>
      <c r="D585" s="291">
        <v>3000000</v>
      </c>
      <c r="E585">
        <v>3000000</v>
      </c>
      <c r="F585" t="s">
        <v>116</v>
      </c>
      <c r="G585" t="s">
        <v>117</v>
      </c>
      <c r="H585" t="s">
        <v>118</v>
      </c>
      <c r="I585" s="197">
        <v>45634.791666666664</v>
      </c>
      <c r="J585" t="b">
        <v>0</v>
      </c>
      <c r="K585" t="s">
        <v>1</v>
      </c>
      <c r="L585" t="s">
        <v>1</v>
      </c>
      <c r="M585">
        <v>8</v>
      </c>
      <c r="N585">
        <v>12</v>
      </c>
      <c r="O585">
        <v>2024</v>
      </c>
      <c r="R585">
        <f>IF(wallet_records[[#This Row],[type]]="Gasto",wallet_records[[#This Row],[amount]]*(-1),wallet_records[[#This Row],[amount]])</f>
        <v>-3000000</v>
      </c>
    </row>
    <row r="586" spans="1:18" x14ac:dyDescent="0.2">
      <c r="A586" t="s">
        <v>524</v>
      </c>
      <c r="B586" t="s">
        <v>114</v>
      </c>
      <c r="C586" t="s">
        <v>115</v>
      </c>
      <c r="D586" s="291">
        <v>292000</v>
      </c>
      <c r="E586">
        <v>292000</v>
      </c>
      <c r="F586" t="s">
        <v>116</v>
      </c>
      <c r="G586" t="s">
        <v>117</v>
      </c>
      <c r="H586" t="s">
        <v>87</v>
      </c>
      <c r="I586" s="197">
        <v>45631.791666666664</v>
      </c>
      <c r="J586" t="b">
        <v>0</v>
      </c>
      <c r="K586" t="s">
        <v>5</v>
      </c>
      <c r="L586" t="s">
        <v>5</v>
      </c>
      <c r="M586">
        <v>5</v>
      </c>
      <c r="N586">
        <v>12</v>
      </c>
      <c r="O586">
        <v>2024</v>
      </c>
      <c r="R586">
        <f>IF(wallet_records[[#This Row],[type]]="Gasto",wallet_records[[#This Row],[amount]]*(-1),wallet_records[[#This Row],[amount]])</f>
        <v>-292000</v>
      </c>
    </row>
    <row r="587" spans="1:18" x14ac:dyDescent="0.2">
      <c r="A587" t="s">
        <v>525</v>
      </c>
      <c r="B587" t="s">
        <v>114</v>
      </c>
      <c r="C587" t="s">
        <v>115</v>
      </c>
      <c r="D587" s="291">
        <v>142000</v>
      </c>
      <c r="E587">
        <v>142000</v>
      </c>
      <c r="F587" t="s">
        <v>116</v>
      </c>
      <c r="G587" t="s">
        <v>117</v>
      </c>
      <c r="H587" t="s">
        <v>118</v>
      </c>
      <c r="I587" s="197">
        <v>45587.791666666664</v>
      </c>
      <c r="J587" t="b">
        <v>0</v>
      </c>
      <c r="K587" t="s">
        <v>7</v>
      </c>
      <c r="L587" t="s">
        <v>7</v>
      </c>
      <c r="M587">
        <v>22</v>
      </c>
      <c r="N587">
        <v>10</v>
      </c>
      <c r="O587">
        <v>2024</v>
      </c>
      <c r="R587">
        <f>IF(wallet_records[[#This Row],[type]]="Gasto",wallet_records[[#This Row],[amount]]*(-1),wallet_records[[#This Row],[amount]])</f>
        <v>-142000</v>
      </c>
    </row>
    <row r="588" spans="1:18" x14ac:dyDescent="0.2">
      <c r="A588" t="s">
        <v>525</v>
      </c>
      <c r="B588" t="s">
        <v>114</v>
      </c>
      <c r="C588" t="s">
        <v>115</v>
      </c>
      <c r="D588" s="291">
        <v>62599.99</v>
      </c>
      <c r="E588">
        <v>62599.99</v>
      </c>
      <c r="F588" t="s">
        <v>116</v>
      </c>
      <c r="G588" t="s">
        <v>117</v>
      </c>
      <c r="H588" t="s">
        <v>118</v>
      </c>
      <c r="I588" s="197">
        <v>45564.792235011577</v>
      </c>
      <c r="J588" t="b">
        <v>0</v>
      </c>
      <c r="K588" t="s">
        <v>123</v>
      </c>
      <c r="L588" t="s">
        <v>6</v>
      </c>
      <c r="M588">
        <v>29</v>
      </c>
      <c r="N588">
        <v>9</v>
      </c>
      <c r="O588">
        <v>2024</v>
      </c>
      <c r="R588">
        <f>IF(wallet_records[[#This Row],[type]]="Gasto",wallet_records[[#This Row],[amount]]*(-1),wallet_records[[#This Row],[amount]])</f>
        <v>-62599.99</v>
      </c>
    </row>
    <row r="589" spans="1:18" x14ac:dyDescent="0.2">
      <c r="A589" t="s">
        <v>525</v>
      </c>
      <c r="B589" t="s">
        <v>114</v>
      </c>
      <c r="C589" t="s">
        <v>115</v>
      </c>
      <c r="D589" s="291">
        <v>620000</v>
      </c>
      <c r="E589">
        <v>620000</v>
      </c>
      <c r="F589" t="s">
        <v>116</v>
      </c>
      <c r="G589" t="s">
        <v>117</v>
      </c>
      <c r="H589" t="s">
        <v>118</v>
      </c>
      <c r="I589" s="197">
        <v>45485.791666666664</v>
      </c>
      <c r="J589" t="b">
        <v>0</v>
      </c>
      <c r="K589" t="s">
        <v>46</v>
      </c>
      <c r="L589" t="s">
        <v>46</v>
      </c>
      <c r="M589">
        <v>12</v>
      </c>
      <c r="N589">
        <v>7</v>
      </c>
      <c r="O589">
        <v>2024</v>
      </c>
      <c r="R589">
        <f>IF(wallet_records[[#This Row],[type]]="Gasto",wallet_records[[#This Row],[amount]]*(-1),wallet_records[[#This Row],[amount]])</f>
        <v>-620000</v>
      </c>
    </row>
    <row r="590" spans="1:18" x14ac:dyDescent="0.2">
      <c r="A590" t="s">
        <v>525</v>
      </c>
      <c r="B590" t="s">
        <v>114</v>
      </c>
      <c r="C590" t="s">
        <v>115</v>
      </c>
      <c r="D590" s="291">
        <v>41760</v>
      </c>
      <c r="E590">
        <v>41760</v>
      </c>
      <c r="F590" t="s">
        <v>116</v>
      </c>
      <c r="G590" t="s">
        <v>117</v>
      </c>
      <c r="H590" t="s">
        <v>118</v>
      </c>
      <c r="I590" s="197">
        <v>45437.791666666664</v>
      </c>
      <c r="J590" t="b">
        <v>0</v>
      </c>
      <c r="K590" t="s">
        <v>7</v>
      </c>
      <c r="L590" t="s">
        <v>7</v>
      </c>
      <c r="M590">
        <v>25</v>
      </c>
      <c r="N590">
        <v>5</v>
      </c>
      <c r="O590">
        <v>2024</v>
      </c>
      <c r="R590">
        <f>IF(wallet_records[[#This Row],[type]]="Gasto",wallet_records[[#This Row],[amount]]*(-1),wallet_records[[#This Row],[amount]])</f>
        <v>-41760</v>
      </c>
    </row>
    <row r="591" spans="1:18" x14ac:dyDescent="0.2">
      <c r="A591" t="s">
        <v>525</v>
      </c>
      <c r="B591" t="s">
        <v>114</v>
      </c>
      <c r="C591" t="s">
        <v>115</v>
      </c>
      <c r="D591" s="291">
        <v>100000</v>
      </c>
      <c r="E591">
        <v>100000</v>
      </c>
      <c r="F591" t="s">
        <v>116</v>
      </c>
      <c r="G591" t="s">
        <v>117</v>
      </c>
      <c r="H591" t="s">
        <v>118</v>
      </c>
      <c r="I591" s="197">
        <v>45430.791666666664</v>
      </c>
      <c r="J591" t="b">
        <v>0</v>
      </c>
      <c r="K591" t="s">
        <v>7</v>
      </c>
      <c r="L591" t="s">
        <v>7</v>
      </c>
      <c r="M591">
        <v>18</v>
      </c>
      <c r="N591">
        <v>5</v>
      </c>
      <c r="O591">
        <v>2024</v>
      </c>
      <c r="R591">
        <f>IF(wallet_records[[#This Row],[type]]="Gasto",wallet_records[[#This Row],[amount]]*(-1),wallet_records[[#This Row],[amount]])</f>
        <v>-100000</v>
      </c>
    </row>
    <row r="592" spans="1:18" x14ac:dyDescent="0.2">
      <c r="A592" t="s">
        <v>525</v>
      </c>
      <c r="B592" t="s">
        <v>114</v>
      </c>
      <c r="C592" t="s">
        <v>115</v>
      </c>
      <c r="D592" s="291">
        <v>1140000</v>
      </c>
      <c r="E592">
        <v>1140000</v>
      </c>
      <c r="F592" t="s">
        <v>116</v>
      </c>
      <c r="G592" t="s">
        <v>117</v>
      </c>
      <c r="H592" t="s">
        <v>118</v>
      </c>
      <c r="I592" s="197">
        <v>45423.791666666664</v>
      </c>
      <c r="J592" t="b">
        <v>0</v>
      </c>
      <c r="K592" t="s">
        <v>46</v>
      </c>
      <c r="L592" t="s">
        <v>46</v>
      </c>
      <c r="M592">
        <v>11</v>
      </c>
      <c r="N592">
        <v>5</v>
      </c>
      <c r="O592">
        <v>2024</v>
      </c>
      <c r="R592">
        <f>IF(wallet_records[[#This Row],[type]]="Gasto",wallet_records[[#This Row],[amount]]*(-1),wallet_records[[#This Row],[amount]])</f>
        <v>-1140000</v>
      </c>
    </row>
    <row r="593" spans="1:18" x14ac:dyDescent="0.2">
      <c r="A593" t="s">
        <v>525</v>
      </c>
      <c r="B593" t="s">
        <v>114</v>
      </c>
      <c r="C593" t="s">
        <v>115</v>
      </c>
      <c r="D593" s="291">
        <v>2650000</v>
      </c>
      <c r="E593">
        <v>2650000</v>
      </c>
      <c r="F593" t="s">
        <v>116</v>
      </c>
      <c r="G593" t="s">
        <v>117</v>
      </c>
      <c r="H593" t="s">
        <v>118</v>
      </c>
      <c r="I593" s="197">
        <v>45423.791666666664</v>
      </c>
      <c r="J593" t="b">
        <v>0</v>
      </c>
      <c r="K593" t="s">
        <v>46</v>
      </c>
      <c r="L593" t="s">
        <v>46</v>
      </c>
      <c r="M593">
        <v>11</v>
      </c>
      <c r="N593">
        <v>5</v>
      </c>
      <c r="O593">
        <v>2024</v>
      </c>
      <c r="R593">
        <f>IF(wallet_records[[#This Row],[type]]="Gasto",wallet_records[[#This Row],[amount]]*(-1),wallet_records[[#This Row],[amount]])</f>
        <v>-2650000</v>
      </c>
    </row>
    <row r="594" spans="1:18" x14ac:dyDescent="0.2">
      <c r="A594" t="s">
        <v>525</v>
      </c>
      <c r="B594" t="s">
        <v>114</v>
      </c>
      <c r="C594" t="s">
        <v>115</v>
      </c>
      <c r="D594" s="291">
        <v>400000</v>
      </c>
      <c r="E594">
        <v>400000</v>
      </c>
      <c r="F594" t="s">
        <v>116</v>
      </c>
      <c r="G594" t="s">
        <v>117</v>
      </c>
      <c r="H594" t="s">
        <v>118</v>
      </c>
      <c r="I594" s="197">
        <v>45418.791666666664</v>
      </c>
      <c r="J594" t="b">
        <v>0</v>
      </c>
      <c r="K594" t="s">
        <v>46</v>
      </c>
      <c r="L594" t="s">
        <v>46</v>
      </c>
      <c r="M594">
        <v>6</v>
      </c>
      <c r="N594">
        <v>5</v>
      </c>
      <c r="O594">
        <v>2024</v>
      </c>
      <c r="R594">
        <f>IF(wallet_records[[#This Row],[type]]="Gasto",wallet_records[[#This Row],[amount]]*(-1),wallet_records[[#This Row],[amount]])</f>
        <v>-400000</v>
      </c>
    </row>
    <row r="595" spans="1:18" x14ac:dyDescent="0.2">
      <c r="A595" t="s">
        <v>525</v>
      </c>
      <c r="B595" t="s">
        <v>114</v>
      </c>
      <c r="C595" t="s">
        <v>115</v>
      </c>
      <c r="D595" s="291">
        <v>500000</v>
      </c>
      <c r="E595">
        <v>500000</v>
      </c>
      <c r="F595" t="s">
        <v>116</v>
      </c>
      <c r="G595" t="s">
        <v>117</v>
      </c>
      <c r="H595" t="s">
        <v>118</v>
      </c>
      <c r="I595" s="197">
        <v>45416.791666666664</v>
      </c>
      <c r="J595" t="b">
        <v>0</v>
      </c>
      <c r="K595" t="s">
        <v>46</v>
      </c>
      <c r="L595" t="s">
        <v>46</v>
      </c>
      <c r="M595">
        <v>4</v>
      </c>
      <c r="N595">
        <v>5</v>
      </c>
      <c r="O595">
        <v>2024</v>
      </c>
      <c r="R595">
        <f>IF(wallet_records[[#This Row],[type]]="Gasto",wallet_records[[#This Row],[amount]]*(-1),wallet_records[[#This Row],[amount]])</f>
        <v>-500000</v>
      </c>
    </row>
    <row r="596" spans="1:18" x14ac:dyDescent="0.2">
      <c r="A596" t="s">
        <v>525</v>
      </c>
      <c r="B596" t="s">
        <v>114</v>
      </c>
      <c r="C596" t="s">
        <v>115</v>
      </c>
      <c r="D596" s="291">
        <v>1200000</v>
      </c>
      <c r="E596">
        <v>1200000</v>
      </c>
      <c r="F596" t="s">
        <v>116</v>
      </c>
      <c r="G596" t="s">
        <v>117</v>
      </c>
      <c r="H596" t="s">
        <v>118</v>
      </c>
      <c r="I596" s="197">
        <v>45415.791666666664</v>
      </c>
      <c r="J596" t="b">
        <v>0</v>
      </c>
      <c r="K596" t="s">
        <v>46</v>
      </c>
      <c r="L596" t="s">
        <v>46</v>
      </c>
      <c r="M596">
        <v>3</v>
      </c>
      <c r="N596">
        <v>5</v>
      </c>
      <c r="O596">
        <v>2024</v>
      </c>
      <c r="R596">
        <f>IF(wallet_records[[#This Row],[type]]="Gasto",wallet_records[[#This Row],[amount]]*(-1),wallet_records[[#This Row],[amount]])</f>
        <v>-1200000</v>
      </c>
    </row>
    <row r="597" spans="1:18" x14ac:dyDescent="0.2">
      <c r="A597" t="s">
        <v>525</v>
      </c>
      <c r="B597" t="s">
        <v>114</v>
      </c>
      <c r="C597" t="s">
        <v>115</v>
      </c>
      <c r="D597" s="291">
        <v>2000000</v>
      </c>
      <c r="E597">
        <v>2000000</v>
      </c>
      <c r="F597" t="s">
        <v>116</v>
      </c>
      <c r="G597" t="s">
        <v>117</v>
      </c>
      <c r="H597" t="s">
        <v>118</v>
      </c>
      <c r="I597" s="197">
        <v>45408.791666666664</v>
      </c>
      <c r="J597" t="b">
        <v>0</v>
      </c>
      <c r="K597" t="s">
        <v>46</v>
      </c>
      <c r="L597" t="s">
        <v>46</v>
      </c>
      <c r="M597">
        <v>26</v>
      </c>
      <c r="N597">
        <v>4</v>
      </c>
      <c r="O597">
        <v>2024</v>
      </c>
      <c r="R597">
        <f>IF(wallet_records[[#This Row],[type]]="Gasto",wallet_records[[#This Row],[amount]]*(-1),wallet_records[[#This Row],[amount]])</f>
        <v>-2000000</v>
      </c>
    </row>
    <row r="598" spans="1:18" x14ac:dyDescent="0.2">
      <c r="A598" t="s">
        <v>525</v>
      </c>
      <c r="B598" t="s">
        <v>114</v>
      </c>
      <c r="C598" t="s">
        <v>115</v>
      </c>
      <c r="D598" s="291">
        <v>917681</v>
      </c>
      <c r="E598">
        <v>917681</v>
      </c>
      <c r="F598" t="s">
        <v>116</v>
      </c>
      <c r="G598" t="s">
        <v>117</v>
      </c>
      <c r="H598" t="s">
        <v>118</v>
      </c>
      <c r="I598" s="197">
        <v>45401.791666666664</v>
      </c>
      <c r="J598" t="b">
        <v>0</v>
      </c>
      <c r="K598" t="s">
        <v>46</v>
      </c>
      <c r="L598" t="s">
        <v>46</v>
      </c>
      <c r="M598">
        <v>19</v>
      </c>
      <c r="N598">
        <v>4</v>
      </c>
      <c r="O598">
        <v>2024</v>
      </c>
      <c r="R598">
        <f>IF(wallet_records[[#This Row],[type]]="Gasto",wallet_records[[#This Row],[amount]]*(-1),wallet_records[[#This Row],[amount]])</f>
        <v>-917681</v>
      </c>
    </row>
    <row r="599" spans="1:18" x14ac:dyDescent="0.2">
      <c r="A599" t="s">
        <v>525</v>
      </c>
      <c r="B599" t="s">
        <v>114</v>
      </c>
      <c r="C599" t="s">
        <v>115</v>
      </c>
      <c r="D599" s="291">
        <v>1000000</v>
      </c>
      <c r="E599">
        <v>1000000</v>
      </c>
      <c r="F599" t="s">
        <v>116</v>
      </c>
      <c r="G599" t="s">
        <v>117</v>
      </c>
      <c r="H599" t="s">
        <v>118</v>
      </c>
      <c r="I599" s="197">
        <v>45401.791666666664</v>
      </c>
      <c r="J599" t="b">
        <v>0</v>
      </c>
      <c r="K599" t="s">
        <v>46</v>
      </c>
      <c r="L599" t="s">
        <v>46</v>
      </c>
      <c r="M599">
        <v>19</v>
      </c>
      <c r="N599">
        <v>4</v>
      </c>
      <c r="O599">
        <v>2024</v>
      </c>
      <c r="R599">
        <f>IF(wallet_records[[#This Row],[type]]="Gasto",wallet_records[[#This Row],[amount]]*(-1),wallet_records[[#This Row],[amount]])</f>
        <v>-1000000</v>
      </c>
    </row>
    <row r="600" spans="1:18" x14ac:dyDescent="0.2">
      <c r="A600" t="s">
        <v>525</v>
      </c>
      <c r="B600" t="s">
        <v>114</v>
      </c>
      <c r="C600" t="s">
        <v>115</v>
      </c>
      <c r="D600" s="291">
        <v>466614</v>
      </c>
      <c r="E600">
        <v>466614</v>
      </c>
      <c r="F600" t="s">
        <v>116</v>
      </c>
      <c r="G600" t="s">
        <v>117</v>
      </c>
      <c r="H600" t="s">
        <v>118</v>
      </c>
      <c r="I600" s="197">
        <v>45384.791666666664</v>
      </c>
      <c r="J600" t="b">
        <v>0</v>
      </c>
      <c r="K600" t="s">
        <v>7</v>
      </c>
      <c r="L600" t="s">
        <v>7</v>
      </c>
      <c r="M600">
        <v>2</v>
      </c>
      <c r="N600">
        <v>4</v>
      </c>
      <c r="O600">
        <v>2024</v>
      </c>
      <c r="R600">
        <f>IF(wallet_records[[#This Row],[type]]="Gasto",wallet_records[[#This Row],[amount]]*(-1),wallet_records[[#This Row],[amount]])</f>
        <v>-466614</v>
      </c>
    </row>
    <row r="601" spans="1:18" x14ac:dyDescent="0.2">
      <c r="A601" t="s">
        <v>525</v>
      </c>
      <c r="B601" t="s">
        <v>114</v>
      </c>
      <c r="C601" t="s">
        <v>115</v>
      </c>
      <c r="D601" s="291">
        <v>5000000</v>
      </c>
      <c r="E601">
        <v>5000000</v>
      </c>
      <c r="F601" t="s">
        <v>116</v>
      </c>
      <c r="G601" t="s">
        <v>117</v>
      </c>
      <c r="H601" t="s">
        <v>118</v>
      </c>
      <c r="I601" s="197">
        <v>45379.791666666664</v>
      </c>
      <c r="J601" t="b">
        <v>0</v>
      </c>
      <c r="K601" t="s">
        <v>46</v>
      </c>
      <c r="L601" t="s">
        <v>46</v>
      </c>
      <c r="M601">
        <v>28</v>
      </c>
      <c r="N601">
        <v>3</v>
      </c>
      <c r="O601">
        <v>2024</v>
      </c>
      <c r="R601">
        <f>IF(wallet_records[[#This Row],[type]]="Gasto",wallet_records[[#This Row],[amount]]*(-1),wallet_records[[#This Row],[amount]])</f>
        <v>-5000000</v>
      </c>
    </row>
    <row r="602" spans="1:18" x14ac:dyDescent="0.2">
      <c r="A602" t="s">
        <v>525</v>
      </c>
      <c r="B602" t="s">
        <v>114</v>
      </c>
      <c r="C602" t="s">
        <v>115</v>
      </c>
      <c r="D602" s="291">
        <v>339588</v>
      </c>
      <c r="E602">
        <v>339588</v>
      </c>
      <c r="F602" t="s">
        <v>116</v>
      </c>
      <c r="G602" t="s">
        <v>117</v>
      </c>
      <c r="H602" t="s">
        <v>118</v>
      </c>
      <c r="I602" s="197">
        <v>45376.791666666664</v>
      </c>
      <c r="J602" t="b">
        <v>0</v>
      </c>
      <c r="K602" t="s">
        <v>46</v>
      </c>
      <c r="L602" t="s">
        <v>46</v>
      </c>
      <c r="M602">
        <v>25</v>
      </c>
      <c r="N602">
        <v>3</v>
      </c>
      <c r="O602">
        <v>2024</v>
      </c>
      <c r="R602">
        <f>IF(wallet_records[[#This Row],[type]]="Gasto",wallet_records[[#This Row],[amount]]*(-1),wallet_records[[#This Row],[amount]])</f>
        <v>-339588</v>
      </c>
    </row>
    <row r="603" spans="1:18" x14ac:dyDescent="0.2">
      <c r="A603" t="s">
        <v>525</v>
      </c>
      <c r="B603" t="s">
        <v>114</v>
      </c>
      <c r="C603" t="s">
        <v>115</v>
      </c>
      <c r="D603" s="291">
        <v>88904</v>
      </c>
      <c r="E603">
        <v>88904</v>
      </c>
      <c r="F603" t="s">
        <v>116</v>
      </c>
      <c r="G603" t="s">
        <v>117</v>
      </c>
      <c r="H603" t="s">
        <v>118</v>
      </c>
      <c r="I603" s="197">
        <v>45371.791666666664</v>
      </c>
      <c r="J603" t="b">
        <v>0</v>
      </c>
      <c r="K603" t="s">
        <v>46</v>
      </c>
      <c r="L603" t="s">
        <v>46</v>
      </c>
      <c r="M603">
        <v>20</v>
      </c>
      <c r="N603">
        <v>3</v>
      </c>
      <c r="O603">
        <v>2024</v>
      </c>
      <c r="R603">
        <f>IF(wallet_records[[#This Row],[type]]="Gasto",wallet_records[[#This Row],[amount]]*(-1),wallet_records[[#This Row],[amount]])</f>
        <v>-88904</v>
      </c>
    </row>
    <row r="604" spans="1:18" x14ac:dyDescent="0.2">
      <c r="A604" t="s">
        <v>525</v>
      </c>
      <c r="B604" t="s">
        <v>114</v>
      </c>
      <c r="C604" t="s">
        <v>115</v>
      </c>
      <c r="D604" s="291">
        <v>650000</v>
      </c>
      <c r="E604">
        <v>650000</v>
      </c>
      <c r="F604" t="s">
        <v>116</v>
      </c>
      <c r="G604" t="s">
        <v>117</v>
      </c>
      <c r="H604" t="s">
        <v>118</v>
      </c>
      <c r="I604" s="197">
        <v>45360.791666666664</v>
      </c>
      <c r="J604" t="b">
        <v>0</v>
      </c>
      <c r="K604" t="s">
        <v>46</v>
      </c>
      <c r="L604" t="s">
        <v>46</v>
      </c>
      <c r="M604">
        <v>9</v>
      </c>
      <c r="N604">
        <v>3</v>
      </c>
      <c r="O604">
        <v>2024</v>
      </c>
      <c r="R604">
        <f>IF(wallet_records[[#This Row],[type]]="Gasto",wallet_records[[#This Row],[amount]]*(-1),wallet_records[[#This Row],[amount]])</f>
        <v>-650000</v>
      </c>
    </row>
    <row r="605" spans="1:18" x14ac:dyDescent="0.2">
      <c r="A605" t="s">
        <v>525</v>
      </c>
      <c r="B605" t="s">
        <v>114</v>
      </c>
      <c r="C605" t="s">
        <v>115</v>
      </c>
      <c r="D605" s="291">
        <v>30000</v>
      </c>
      <c r="E605">
        <v>30000</v>
      </c>
      <c r="F605" t="s">
        <v>116</v>
      </c>
      <c r="G605" t="s">
        <v>117</v>
      </c>
      <c r="H605" t="s">
        <v>118</v>
      </c>
      <c r="I605" s="197">
        <v>45360.791666666664</v>
      </c>
      <c r="J605" t="b">
        <v>0</v>
      </c>
      <c r="K605" t="s">
        <v>46</v>
      </c>
      <c r="L605" t="s">
        <v>46</v>
      </c>
      <c r="M605">
        <v>9</v>
      </c>
      <c r="N605">
        <v>3</v>
      </c>
      <c r="O605">
        <v>2024</v>
      </c>
      <c r="R605">
        <f>IF(wallet_records[[#This Row],[type]]="Gasto",wallet_records[[#This Row],[amount]]*(-1),wallet_records[[#This Row],[amount]])</f>
        <v>-30000</v>
      </c>
    </row>
    <row r="606" spans="1:18" x14ac:dyDescent="0.2">
      <c r="A606" t="s">
        <v>525</v>
      </c>
      <c r="B606" t="s">
        <v>114</v>
      </c>
      <c r="C606" t="s">
        <v>115</v>
      </c>
      <c r="D606" s="291">
        <v>8000000</v>
      </c>
      <c r="E606">
        <v>8000000</v>
      </c>
      <c r="F606" t="s">
        <v>116</v>
      </c>
      <c r="G606" t="s">
        <v>117</v>
      </c>
      <c r="H606" t="s">
        <v>118</v>
      </c>
      <c r="I606" s="197">
        <v>45359.791666666664</v>
      </c>
      <c r="J606" t="b">
        <v>0</v>
      </c>
      <c r="K606" t="s">
        <v>46</v>
      </c>
      <c r="L606" t="s">
        <v>46</v>
      </c>
      <c r="M606">
        <v>8</v>
      </c>
      <c r="N606">
        <v>3</v>
      </c>
      <c r="O606">
        <v>2024</v>
      </c>
      <c r="R606">
        <f>IF(wallet_records[[#This Row],[type]]="Gasto",wallet_records[[#This Row],[amount]]*(-1),wallet_records[[#This Row],[amount]])</f>
        <v>-8000000</v>
      </c>
    </row>
    <row r="607" spans="1:18" x14ac:dyDescent="0.2">
      <c r="A607" t="s">
        <v>525</v>
      </c>
      <c r="B607" t="s">
        <v>114</v>
      </c>
      <c r="C607" t="s">
        <v>115</v>
      </c>
      <c r="D607" s="291">
        <v>600000</v>
      </c>
      <c r="E607">
        <v>600000</v>
      </c>
      <c r="F607" t="s">
        <v>116</v>
      </c>
      <c r="G607" t="s">
        <v>117</v>
      </c>
      <c r="H607" t="s">
        <v>118</v>
      </c>
      <c r="I607" s="197">
        <v>45355.791666666664</v>
      </c>
      <c r="J607" t="b">
        <v>0</v>
      </c>
      <c r="K607" t="s">
        <v>46</v>
      </c>
      <c r="L607" t="s">
        <v>46</v>
      </c>
      <c r="M607">
        <v>4</v>
      </c>
      <c r="N607">
        <v>3</v>
      </c>
      <c r="O607">
        <v>2024</v>
      </c>
      <c r="R607">
        <f>IF(wallet_records[[#This Row],[type]]="Gasto",wallet_records[[#This Row],[amount]]*(-1),wallet_records[[#This Row],[amount]])</f>
        <v>-600000</v>
      </c>
    </row>
    <row r="608" spans="1:18" x14ac:dyDescent="0.2">
      <c r="A608" t="s">
        <v>525</v>
      </c>
      <c r="B608" t="s">
        <v>114</v>
      </c>
      <c r="C608" t="s">
        <v>115</v>
      </c>
      <c r="D608" s="291">
        <v>230000</v>
      </c>
      <c r="E608">
        <v>230000</v>
      </c>
      <c r="F608" t="s">
        <v>116</v>
      </c>
      <c r="G608" t="s">
        <v>117</v>
      </c>
      <c r="H608" t="s">
        <v>118</v>
      </c>
      <c r="I608" s="197">
        <v>45343.791666666664</v>
      </c>
      <c r="J608" t="b">
        <v>0</v>
      </c>
      <c r="K608" t="s">
        <v>46</v>
      </c>
      <c r="L608" t="s">
        <v>46</v>
      </c>
      <c r="M608">
        <v>21</v>
      </c>
      <c r="N608">
        <v>2</v>
      </c>
      <c r="O608">
        <v>2024</v>
      </c>
      <c r="R608">
        <f>IF(wallet_records[[#This Row],[type]]="Gasto",wallet_records[[#This Row],[amount]]*(-1),wallet_records[[#This Row],[amount]])</f>
        <v>-230000</v>
      </c>
    </row>
    <row r="609" spans="1:18" x14ac:dyDescent="0.2">
      <c r="A609" t="s">
        <v>525</v>
      </c>
      <c r="B609" t="s">
        <v>114</v>
      </c>
      <c r="C609" t="s">
        <v>115</v>
      </c>
      <c r="D609" s="291">
        <v>7000000</v>
      </c>
      <c r="E609">
        <v>7000000</v>
      </c>
      <c r="F609" t="s">
        <v>116</v>
      </c>
      <c r="G609" t="s">
        <v>117</v>
      </c>
      <c r="H609" t="s">
        <v>118</v>
      </c>
      <c r="I609" s="197">
        <v>45343.791666666664</v>
      </c>
      <c r="J609" t="b">
        <v>0</v>
      </c>
      <c r="K609" t="s">
        <v>46</v>
      </c>
      <c r="L609" t="s">
        <v>46</v>
      </c>
      <c r="M609">
        <v>21</v>
      </c>
      <c r="N609">
        <v>2</v>
      </c>
      <c r="O609">
        <v>2024</v>
      </c>
      <c r="R609">
        <f>IF(wallet_records[[#This Row],[type]]="Gasto",wallet_records[[#This Row],[amount]]*(-1),wallet_records[[#This Row],[amount]])</f>
        <v>-7000000</v>
      </c>
    </row>
    <row r="610" spans="1:18" x14ac:dyDescent="0.2">
      <c r="A610" t="s">
        <v>525</v>
      </c>
      <c r="B610" t="s">
        <v>114</v>
      </c>
      <c r="C610" t="s">
        <v>115</v>
      </c>
      <c r="D610" s="291">
        <v>885198</v>
      </c>
      <c r="E610">
        <v>885198</v>
      </c>
      <c r="F610" t="s">
        <v>116</v>
      </c>
      <c r="G610" t="s">
        <v>117</v>
      </c>
      <c r="H610" t="s">
        <v>118</v>
      </c>
      <c r="I610" s="197">
        <v>45338.791666666664</v>
      </c>
      <c r="J610" t="b">
        <v>0</v>
      </c>
      <c r="K610" t="s">
        <v>46</v>
      </c>
      <c r="L610" t="s">
        <v>46</v>
      </c>
      <c r="M610">
        <v>16</v>
      </c>
      <c r="N610">
        <v>2</v>
      </c>
      <c r="O610">
        <v>2024</v>
      </c>
      <c r="R610">
        <f>IF(wallet_records[[#This Row],[type]]="Gasto",wallet_records[[#This Row],[amount]]*(-1),wallet_records[[#This Row],[amount]])</f>
        <v>-885198</v>
      </c>
    </row>
    <row r="611" spans="1:18" x14ac:dyDescent="0.2">
      <c r="A611" t="s">
        <v>525</v>
      </c>
      <c r="B611" t="s">
        <v>114</v>
      </c>
      <c r="C611" t="s">
        <v>115</v>
      </c>
      <c r="D611" s="291">
        <v>1500000</v>
      </c>
      <c r="E611">
        <v>1500000</v>
      </c>
      <c r="F611" t="s">
        <v>116</v>
      </c>
      <c r="G611" t="s">
        <v>117</v>
      </c>
      <c r="H611" t="s">
        <v>118</v>
      </c>
      <c r="I611" s="197">
        <v>45338.791666666664</v>
      </c>
      <c r="J611" t="b">
        <v>0</v>
      </c>
      <c r="K611" t="s">
        <v>46</v>
      </c>
      <c r="L611" t="s">
        <v>46</v>
      </c>
      <c r="M611">
        <v>16</v>
      </c>
      <c r="N611">
        <v>2</v>
      </c>
      <c r="O611">
        <v>2024</v>
      </c>
      <c r="R611">
        <f>IF(wallet_records[[#This Row],[type]]="Gasto",wallet_records[[#This Row],[amount]]*(-1),wallet_records[[#This Row],[amount]])</f>
        <v>-1500000</v>
      </c>
    </row>
    <row r="612" spans="1:18" x14ac:dyDescent="0.2">
      <c r="A612" t="s">
        <v>525</v>
      </c>
      <c r="B612" t="s">
        <v>114</v>
      </c>
      <c r="C612" t="s">
        <v>115</v>
      </c>
      <c r="D612" s="291">
        <v>334550</v>
      </c>
      <c r="E612">
        <v>334550</v>
      </c>
      <c r="F612" t="s">
        <v>116</v>
      </c>
      <c r="G612" t="s">
        <v>117</v>
      </c>
      <c r="H612" t="s">
        <v>118</v>
      </c>
      <c r="I612" s="197">
        <v>45338.791666666664</v>
      </c>
      <c r="J612" t="b">
        <v>0</v>
      </c>
      <c r="K612" t="s">
        <v>46</v>
      </c>
      <c r="L612" t="s">
        <v>46</v>
      </c>
      <c r="M612">
        <v>16</v>
      </c>
      <c r="N612">
        <v>2</v>
      </c>
      <c r="O612">
        <v>2024</v>
      </c>
      <c r="R612">
        <f>IF(wallet_records[[#This Row],[type]]="Gasto",wallet_records[[#This Row],[amount]]*(-1),wallet_records[[#This Row],[amount]])</f>
        <v>-334550</v>
      </c>
    </row>
    <row r="613" spans="1:18" x14ac:dyDescent="0.2">
      <c r="A613" t="s">
        <v>525</v>
      </c>
      <c r="B613" t="s">
        <v>114</v>
      </c>
      <c r="C613" t="s">
        <v>115</v>
      </c>
      <c r="D613" s="291">
        <v>791920</v>
      </c>
      <c r="E613">
        <v>791920</v>
      </c>
      <c r="F613" t="s">
        <v>116</v>
      </c>
      <c r="G613" t="s">
        <v>117</v>
      </c>
      <c r="H613" t="s">
        <v>118</v>
      </c>
      <c r="I613" s="197">
        <v>45337.791666666664</v>
      </c>
      <c r="J613" t="b">
        <v>0</v>
      </c>
      <c r="K613" t="s">
        <v>46</v>
      </c>
      <c r="L613" t="s">
        <v>46</v>
      </c>
      <c r="M613">
        <v>15</v>
      </c>
      <c r="N613">
        <v>2</v>
      </c>
      <c r="O613">
        <v>2024</v>
      </c>
      <c r="R613">
        <f>IF(wallet_records[[#This Row],[type]]="Gasto",wallet_records[[#This Row],[amount]]*(-1),wallet_records[[#This Row],[amount]])</f>
        <v>-791920</v>
      </c>
    </row>
    <row r="614" spans="1:18" x14ac:dyDescent="0.2">
      <c r="A614" t="s">
        <v>525</v>
      </c>
      <c r="B614" t="s">
        <v>114</v>
      </c>
      <c r="C614" t="s">
        <v>115</v>
      </c>
      <c r="D614" s="291">
        <v>10000000</v>
      </c>
      <c r="E614">
        <v>10000000</v>
      </c>
      <c r="F614" t="s">
        <v>116</v>
      </c>
      <c r="G614" t="s">
        <v>117</v>
      </c>
      <c r="H614" t="s">
        <v>118</v>
      </c>
      <c r="I614" s="197">
        <v>45331.791666666664</v>
      </c>
      <c r="J614" t="b">
        <v>0</v>
      </c>
      <c r="K614" t="s">
        <v>46</v>
      </c>
      <c r="L614" t="s">
        <v>46</v>
      </c>
      <c r="M614">
        <v>9</v>
      </c>
      <c r="N614">
        <v>2</v>
      </c>
      <c r="O614">
        <v>2024</v>
      </c>
      <c r="R614">
        <f>IF(wallet_records[[#This Row],[type]]="Gasto",wallet_records[[#This Row],[amount]]*(-1),wallet_records[[#This Row],[amount]])</f>
        <v>-10000000</v>
      </c>
    </row>
    <row r="615" spans="1:18" x14ac:dyDescent="0.2">
      <c r="A615" t="s">
        <v>525</v>
      </c>
      <c r="B615" t="s">
        <v>114</v>
      </c>
      <c r="C615" t="s">
        <v>115</v>
      </c>
      <c r="D615" s="291">
        <v>560903</v>
      </c>
      <c r="E615">
        <v>560903</v>
      </c>
      <c r="F615" t="s">
        <v>116</v>
      </c>
      <c r="G615" t="s">
        <v>117</v>
      </c>
      <c r="H615" t="s">
        <v>118</v>
      </c>
      <c r="I615" s="197">
        <v>45325.791666666664</v>
      </c>
      <c r="J615" t="b">
        <v>0</v>
      </c>
      <c r="K615" t="s">
        <v>7</v>
      </c>
      <c r="L615" t="s">
        <v>7</v>
      </c>
      <c r="M615">
        <v>3</v>
      </c>
      <c r="N615">
        <v>2</v>
      </c>
      <c r="O615">
        <v>2024</v>
      </c>
      <c r="R615">
        <f>IF(wallet_records[[#This Row],[type]]="Gasto",wallet_records[[#This Row],[amount]]*(-1),wallet_records[[#This Row],[amount]])</f>
        <v>-560903</v>
      </c>
    </row>
    <row r="616" spans="1:18" x14ac:dyDescent="0.2">
      <c r="A616" t="s">
        <v>525</v>
      </c>
      <c r="B616" t="s">
        <v>114</v>
      </c>
      <c r="C616" t="s">
        <v>115</v>
      </c>
      <c r="D616" s="291">
        <v>4150000</v>
      </c>
      <c r="E616">
        <v>4150000</v>
      </c>
      <c r="F616" t="s">
        <v>116</v>
      </c>
      <c r="G616" t="s">
        <v>117</v>
      </c>
      <c r="H616" t="s">
        <v>118</v>
      </c>
      <c r="I616" s="197">
        <v>45322.791666666664</v>
      </c>
      <c r="J616" t="b">
        <v>0</v>
      </c>
      <c r="K616" t="s">
        <v>46</v>
      </c>
      <c r="L616" t="s">
        <v>46</v>
      </c>
      <c r="M616">
        <v>31</v>
      </c>
      <c r="N616">
        <v>1</v>
      </c>
      <c r="O616">
        <v>2024</v>
      </c>
      <c r="R616">
        <f>IF(wallet_records[[#This Row],[type]]="Gasto",wallet_records[[#This Row],[amount]]*(-1),wallet_records[[#This Row],[amount]])</f>
        <v>-4150000</v>
      </c>
    </row>
    <row r="617" spans="1:18" x14ac:dyDescent="0.2">
      <c r="A617" t="s">
        <v>525</v>
      </c>
      <c r="B617" t="s">
        <v>114</v>
      </c>
      <c r="C617" t="s">
        <v>115</v>
      </c>
      <c r="D617" s="291">
        <v>620000</v>
      </c>
      <c r="E617">
        <v>620000</v>
      </c>
      <c r="F617" t="s">
        <v>116</v>
      </c>
      <c r="G617" t="s">
        <v>117</v>
      </c>
      <c r="H617" t="s">
        <v>118</v>
      </c>
      <c r="I617" s="197">
        <v>45303.792023368056</v>
      </c>
      <c r="J617" t="b">
        <v>0</v>
      </c>
      <c r="K617" t="s">
        <v>123</v>
      </c>
      <c r="L617" t="s">
        <v>6</v>
      </c>
      <c r="M617">
        <v>12</v>
      </c>
      <c r="N617">
        <v>1</v>
      </c>
      <c r="O617">
        <v>2024</v>
      </c>
      <c r="R617">
        <f>IF(wallet_records[[#This Row],[type]]="Gasto",wallet_records[[#This Row],[amount]]*(-1),wallet_records[[#This Row],[amount]])</f>
        <v>-620000</v>
      </c>
    </row>
    <row r="618" spans="1:18" x14ac:dyDescent="0.2">
      <c r="A618" t="s">
        <v>525</v>
      </c>
      <c r="B618" t="s">
        <v>114</v>
      </c>
      <c r="C618" t="s">
        <v>115</v>
      </c>
      <c r="D618" s="291">
        <v>50000</v>
      </c>
      <c r="E618">
        <v>50000</v>
      </c>
      <c r="F618" t="s">
        <v>116</v>
      </c>
      <c r="G618" t="s">
        <v>117</v>
      </c>
      <c r="H618" t="s">
        <v>118</v>
      </c>
      <c r="I618" s="197">
        <v>45300.791666666664</v>
      </c>
      <c r="J618" t="b">
        <v>0</v>
      </c>
      <c r="K618" t="s">
        <v>1</v>
      </c>
      <c r="L618" t="s">
        <v>1</v>
      </c>
      <c r="M618">
        <v>9</v>
      </c>
      <c r="N618">
        <v>1</v>
      </c>
      <c r="O618">
        <v>2024</v>
      </c>
      <c r="R618">
        <f>IF(wallet_records[[#This Row],[type]]="Gasto",wallet_records[[#This Row],[amount]]*(-1),wallet_records[[#This Row],[amount]])</f>
        <v>-50000</v>
      </c>
    </row>
    <row r="619" spans="1:18" x14ac:dyDescent="0.2">
      <c r="A619" t="s">
        <v>524</v>
      </c>
      <c r="B619" t="s">
        <v>114</v>
      </c>
      <c r="C619" t="s">
        <v>115</v>
      </c>
      <c r="D619" s="291">
        <v>204150</v>
      </c>
      <c r="E619">
        <v>204150</v>
      </c>
      <c r="F619" t="s">
        <v>116</v>
      </c>
      <c r="G619" t="s">
        <v>117</v>
      </c>
      <c r="H619" t="s">
        <v>92</v>
      </c>
      <c r="I619" s="197">
        <v>45299.791666666664</v>
      </c>
      <c r="J619" t="b">
        <v>0</v>
      </c>
      <c r="K619" t="s">
        <v>3</v>
      </c>
      <c r="L619" t="s">
        <v>3</v>
      </c>
      <c r="M619">
        <v>8</v>
      </c>
      <c r="N619">
        <v>1</v>
      </c>
      <c r="O619">
        <v>2024</v>
      </c>
      <c r="R619">
        <f>IF(wallet_records[[#This Row],[type]]="Gasto",wallet_records[[#This Row],[amount]]*(-1),wallet_records[[#This Row],[amount]])</f>
        <v>-204150</v>
      </c>
    </row>
    <row r="620" spans="1:18" x14ac:dyDescent="0.2">
      <c r="A620" t="s">
        <v>525</v>
      </c>
      <c r="B620" t="s">
        <v>114</v>
      </c>
      <c r="C620" t="s">
        <v>115</v>
      </c>
      <c r="D620" s="291">
        <v>106800</v>
      </c>
      <c r="E620">
        <v>106800</v>
      </c>
      <c r="F620" t="s">
        <v>116</v>
      </c>
      <c r="G620" t="s">
        <v>117</v>
      </c>
      <c r="H620" t="s">
        <v>118</v>
      </c>
      <c r="I620" s="197">
        <v>45297.79188650463</v>
      </c>
      <c r="J620" t="b">
        <v>0</v>
      </c>
      <c r="K620" t="s">
        <v>123</v>
      </c>
      <c r="L620" t="s">
        <v>6</v>
      </c>
      <c r="M620">
        <v>6</v>
      </c>
      <c r="N620">
        <v>1</v>
      </c>
      <c r="O620">
        <v>2024</v>
      </c>
      <c r="R620">
        <f>IF(wallet_records[[#This Row],[type]]="Gasto",wallet_records[[#This Row],[amount]]*(-1),wallet_records[[#This Row],[amount]])</f>
        <v>-106800</v>
      </c>
    </row>
    <row r="621" spans="1:18" x14ac:dyDescent="0.2">
      <c r="A621" t="s">
        <v>525</v>
      </c>
      <c r="B621" t="s">
        <v>114</v>
      </c>
      <c r="C621" t="s">
        <v>115</v>
      </c>
      <c r="D621" s="291">
        <v>250000</v>
      </c>
      <c r="E621">
        <v>250000</v>
      </c>
      <c r="F621" t="s">
        <v>116</v>
      </c>
      <c r="G621" t="s">
        <v>117</v>
      </c>
      <c r="H621" t="s">
        <v>118</v>
      </c>
      <c r="I621" s="197">
        <v>45297.791666666664</v>
      </c>
      <c r="J621" t="b">
        <v>0</v>
      </c>
      <c r="K621" t="s">
        <v>0</v>
      </c>
      <c r="L621" t="s">
        <v>0</v>
      </c>
      <c r="M621">
        <v>6</v>
      </c>
      <c r="N621">
        <v>1</v>
      </c>
      <c r="O621">
        <v>2024</v>
      </c>
      <c r="R621">
        <f>IF(wallet_records[[#This Row],[type]]="Gasto",wallet_records[[#This Row],[amount]]*(-1),wallet_records[[#This Row],[amount]])</f>
        <v>-250000</v>
      </c>
    </row>
    <row r="622" spans="1:18" x14ac:dyDescent="0.2">
      <c r="A622" t="s">
        <v>524</v>
      </c>
      <c r="B622" t="s">
        <v>114</v>
      </c>
      <c r="C622" t="s">
        <v>115</v>
      </c>
      <c r="D622" s="291">
        <v>314500</v>
      </c>
      <c r="E622">
        <v>314500</v>
      </c>
      <c r="F622" t="s">
        <v>116</v>
      </c>
      <c r="G622" t="s">
        <v>117</v>
      </c>
      <c r="H622" t="s">
        <v>287</v>
      </c>
      <c r="I622" s="197">
        <v>45294.791666666664</v>
      </c>
      <c r="J622" t="b">
        <v>0</v>
      </c>
      <c r="K622" t="s">
        <v>3</v>
      </c>
      <c r="L622" t="s">
        <v>3</v>
      </c>
      <c r="M622">
        <v>3</v>
      </c>
      <c r="N622">
        <v>1</v>
      </c>
      <c r="O622">
        <v>2024</v>
      </c>
      <c r="R622">
        <f>IF(wallet_records[[#This Row],[type]]="Gasto",wallet_records[[#This Row],[amount]]*(-1),wallet_records[[#This Row],[amount]])</f>
        <v>-314500</v>
      </c>
    </row>
    <row r="623" spans="1:18" x14ac:dyDescent="0.2">
      <c r="A623" t="s">
        <v>127</v>
      </c>
      <c r="B623" t="s">
        <v>130</v>
      </c>
      <c r="C623" t="s">
        <v>115</v>
      </c>
      <c r="D623" s="291">
        <v>450000</v>
      </c>
      <c r="E623">
        <v>450000</v>
      </c>
      <c r="F623" t="s">
        <v>121</v>
      </c>
      <c r="G623" t="s">
        <v>117</v>
      </c>
      <c r="H623" t="s">
        <v>227</v>
      </c>
      <c r="I623" s="197">
        <v>45644.791694097221</v>
      </c>
      <c r="J623" t="b">
        <v>0</v>
      </c>
      <c r="K623" t="s">
        <v>544</v>
      </c>
      <c r="L623" t="s">
        <v>6</v>
      </c>
      <c r="M623">
        <v>18</v>
      </c>
      <c r="N623">
        <v>12</v>
      </c>
      <c r="O623">
        <v>2024</v>
      </c>
      <c r="R623">
        <f>IF(wallet_records[[#This Row],[type]]="Gasto",wallet_records[[#This Row],[amount]]*(-1),wallet_records[[#This Row],[amount]])</f>
        <v>450000</v>
      </c>
    </row>
    <row r="624" spans="1:18" x14ac:dyDescent="0.2">
      <c r="A624" t="s">
        <v>127</v>
      </c>
      <c r="B624" t="s">
        <v>130</v>
      </c>
      <c r="C624" t="s">
        <v>115</v>
      </c>
      <c r="D624" s="291">
        <v>1630000</v>
      </c>
      <c r="E624">
        <v>1630000</v>
      </c>
      <c r="F624" t="s">
        <v>121</v>
      </c>
      <c r="G624" t="s">
        <v>117</v>
      </c>
      <c r="H624" t="s">
        <v>228</v>
      </c>
      <c r="I624" s="197">
        <v>45642.792267523146</v>
      </c>
      <c r="J624" t="b">
        <v>0</v>
      </c>
      <c r="K624" t="s">
        <v>543</v>
      </c>
      <c r="L624" t="s">
        <v>77</v>
      </c>
      <c r="M624">
        <v>16</v>
      </c>
      <c r="N624">
        <v>12</v>
      </c>
      <c r="O624">
        <v>2024</v>
      </c>
      <c r="R624">
        <f>IF(wallet_records[[#This Row],[type]]="Gasto",wallet_records[[#This Row],[amount]]*(-1),wallet_records[[#This Row],[amount]])</f>
        <v>1630000</v>
      </c>
    </row>
    <row r="625" spans="1:18" x14ac:dyDescent="0.2">
      <c r="A625" t="s">
        <v>127</v>
      </c>
      <c r="B625" t="s">
        <v>130</v>
      </c>
      <c r="C625" t="s">
        <v>115</v>
      </c>
      <c r="D625" s="291">
        <v>3000000</v>
      </c>
      <c r="E625">
        <v>3000000</v>
      </c>
      <c r="F625" t="s">
        <v>121</v>
      </c>
      <c r="G625" t="s">
        <v>117</v>
      </c>
      <c r="H625" t="s">
        <v>230</v>
      </c>
      <c r="I625" s="197">
        <v>45640.791978275462</v>
      </c>
      <c r="J625" t="b">
        <v>0</v>
      </c>
      <c r="K625" t="s">
        <v>539</v>
      </c>
      <c r="L625" t="s">
        <v>46</v>
      </c>
      <c r="M625">
        <v>14</v>
      </c>
      <c r="N625">
        <v>12</v>
      </c>
      <c r="O625">
        <v>2024</v>
      </c>
      <c r="R625">
        <f>IF(wallet_records[[#This Row],[type]]="Gasto",wallet_records[[#This Row],[amount]]*(-1),wallet_records[[#This Row],[amount]])</f>
        <v>3000000</v>
      </c>
    </row>
    <row r="626" spans="1:18" x14ac:dyDescent="0.2">
      <c r="A626" t="s">
        <v>127</v>
      </c>
      <c r="B626" t="s">
        <v>130</v>
      </c>
      <c r="C626" t="s">
        <v>115</v>
      </c>
      <c r="D626" s="291">
        <v>881000</v>
      </c>
      <c r="E626">
        <v>881000</v>
      </c>
      <c r="F626" t="s">
        <v>121</v>
      </c>
      <c r="G626" t="s">
        <v>117</v>
      </c>
      <c r="H626" t="s">
        <v>229</v>
      </c>
      <c r="I626" s="197">
        <v>45640.791666666664</v>
      </c>
      <c r="J626" t="b">
        <v>0</v>
      </c>
      <c r="K626" t="s">
        <v>7</v>
      </c>
      <c r="L626" t="s">
        <v>7</v>
      </c>
      <c r="M626">
        <v>14</v>
      </c>
      <c r="N626">
        <v>12</v>
      </c>
      <c r="O626">
        <v>2024</v>
      </c>
      <c r="R626">
        <f>IF(wallet_records[[#This Row],[type]]="Gasto",wallet_records[[#This Row],[amount]]*(-1),wallet_records[[#This Row],[amount]])</f>
        <v>881000</v>
      </c>
    </row>
    <row r="627" spans="1:18" x14ac:dyDescent="0.2">
      <c r="A627" t="s">
        <v>127</v>
      </c>
      <c r="B627" t="s">
        <v>130</v>
      </c>
      <c r="C627" t="s">
        <v>115</v>
      </c>
      <c r="D627" s="291">
        <v>500000</v>
      </c>
      <c r="E627">
        <v>500000</v>
      </c>
      <c r="F627" t="s">
        <v>121</v>
      </c>
      <c r="G627" t="s">
        <v>117</v>
      </c>
      <c r="H627" t="s">
        <v>233</v>
      </c>
      <c r="I627" s="197">
        <v>45625.792273437502</v>
      </c>
      <c r="J627" t="b">
        <v>0</v>
      </c>
      <c r="K627" t="s">
        <v>544</v>
      </c>
      <c r="L627" t="s">
        <v>6</v>
      </c>
      <c r="M627">
        <v>29</v>
      </c>
      <c r="N627">
        <v>11</v>
      </c>
      <c r="O627">
        <v>2024</v>
      </c>
      <c r="R627">
        <f>IF(wallet_records[[#This Row],[type]]="Gasto",wallet_records[[#This Row],[amount]]*(-1),wallet_records[[#This Row],[amount]])</f>
        <v>500000</v>
      </c>
    </row>
    <row r="628" spans="1:18" x14ac:dyDescent="0.2">
      <c r="A628" t="s">
        <v>127</v>
      </c>
      <c r="B628" t="s">
        <v>130</v>
      </c>
      <c r="C628" t="s">
        <v>115</v>
      </c>
      <c r="D628" s="291">
        <v>1400000</v>
      </c>
      <c r="E628">
        <v>1400000</v>
      </c>
      <c r="F628" t="s">
        <v>121</v>
      </c>
      <c r="G628" t="s">
        <v>117</v>
      </c>
      <c r="H628" t="s">
        <v>231</v>
      </c>
      <c r="I628" s="197">
        <v>45625.791854930554</v>
      </c>
      <c r="J628" t="b">
        <v>0</v>
      </c>
      <c r="K628" t="s">
        <v>541</v>
      </c>
      <c r="L628" t="s">
        <v>0</v>
      </c>
      <c r="M628">
        <v>29</v>
      </c>
      <c r="N628">
        <v>11</v>
      </c>
      <c r="O628">
        <v>2024</v>
      </c>
      <c r="R628">
        <f>IF(wallet_records[[#This Row],[type]]="Gasto",wallet_records[[#This Row],[amount]]*(-1),wallet_records[[#This Row],[amount]])</f>
        <v>1400000</v>
      </c>
    </row>
    <row r="629" spans="1:18" x14ac:dyDescent="0.2">
      <c r="A629" t="s">
        <v>127</v>
      </c>
      <c r="B629" t="s">
        <v>130</v>
      </c>
      <c r="C629" t="s">
        <v>115</v>
      </c>
      <c r="D629" s="291">
        <v>1630000</v>
      </c>
      <c r="E629">
        <v>1630000</v>
      </c>
      <c r="F629" t="s">
        <v>121</v>
      </c>
      <c r="G629" t="s">
        <v>117</v>
      </c>
      <c r="H629" t="s">
        <v>232</v>
      </c>
      <c r="I629" s="197">
        <v>45625.791717453707</v>
      </c>
      <c r="J629" t="b">
        <v>0</v>
      </c>
      <c r="K629" t="s">
        <v>543</v>
      </c>
      <c r="L629" t="s">
        <v>77</v>
      </c>
      <c r="M629">
        <v>29</v>
      </c>
      <c r="N629">
        <v>11</v>
      </c>
      <c r="O629">
        <v>2024</v>
      </c>
      <c r="R629">
        <f>IF(wallet_records[[#This Row],[type]]="Gasto",wallet_records[[#This Row],[amount]]*(-1),wallet_records[[#This Row],[amount]])</f>
        <v>1630000</v>
      </c>
    </row>
    <row r="630" spans="1:18" x14ac:dyDescent="0.2">
      <c r="A630" t="s">
        <v>127</v>
      </c>
      <c r="B630" t="s">
        <v>130</v>
      </c>
      <c r="C630" t="s">
        <v>115</v>
      </c>
      <c r="D630" s="291">
        <v>675000</v>
      </c>
      <c r="E630">
        <v>675000</v>
      </c>
      <c r="F630" t="s">
        <v>121</v>
      </c>
      <c r="G630" t="s">
        <v>117</v>
      </c>
      <c r="H630" t="s">
        <v>234</v>
      </c>
      <c r="I630" s="197">
        <v>45621.791666666664</v>
      </c>
      <c r="J630" t="b">
        <v>0</v>
      </c>
      <c r="K630" t="s">
        <v>1</v>
      </c>
      <c r="L630" t="s">
        <v>1</v>
      </c>
      <c r="M630">
        <v>25</v>
      </c>
      <c r="N630">
        <v>11</v>
      </c>
      <c r="O630">
        <v>2024</v>
      </c>
      <c r="R630">
        <f>IF(wallet_records[[#This Row],[type]]="Gasto",wallet_records[[#This Row],[amount]]*(-1),wallet_records[[#This Row],[amount]])</f>
        <v>675000</v>
      </c>
    </row>
    <row r="631" spans="1:18" x14ac:dyDescent="0.2">
      <c r="A631" t="s">
        <v>127</v>
      </c>
      <c r="B631" t="s">
        <v>130</v>
      </c>
      <c r="C631" t="s">
        <v>115</v>
      </c>
      <c r="D631" s="291">
        <v>2500000</v>
      </c>
      <c r="E631">
        <v>2500000</v>
      </c>
      <c r="F631" t="s">
        <v>121</v>
      </c>
      <c r="G631" t="s">
        <v>117</v>
      </c>
      <c r="H631" t="s">
        <v>235</v>
      </c>
      <c r="I631" s="197">
        <v>45619.791847233799</v>
      </c>
      <c r="J631" t="b">
        <v>0</v>
      </c>
      <c r="K631" t="s">
        <v>539</v>
      </c>
      <c r="L631" t="s">
        <v>46</v>
      </c>
      <c r="M631">
        <v>23</v>
      </c>
      <c r="N631">
        <v>11</v>
      </c>
      <c r="O631">
        <v>2024</v>
      </c>
      <c r="R631">
        <f>IF(wallet_records[[#This Row],[type]]="Gasto",wallet_records[[#This Row],[amount]]*(-1),wallet_records[[#This Row],[amount]])</f>
        <v>2500000</v>
      </c>
    </row>
    <row r="632" spans="1:18" x14ac:dyDescent="0.2">
      <c r="A632" t="s">
        <v>127</v>
      </c>
      <c r="B632" t="s">
        <v>130</v>
      </c>
      <c r="C632" t="s">
        <v>115</v>
      </c>
      <c r="D632" s="291">
        <v>869500</v>
      </c>
      <c r="E632">
        <v>869500</v>
      </c>
      <c r="F632" t="s">
        <v>121</v>
      </c>
      <c r="G632" t="s">
        <v>117</v>
      </c>
      <c r="H632" t="s">
        <v>236</v>
      </c>
      <c r="I632" s="197">
        <v>45614.791666666664</v>
      </c>
      <c r="J632" t="b">
        <v>0</v>
      </c>
      <c r="K632" t="s">
        <v>7</v>
      </c>
      <c r="L632" t="s">
        <v>7</v>
      </c>
      <c r="M632">
        <v>18</v>
      </c>
      <c r="N632">
        <v>11</v>
      </c>
      <c r="O632">
        <v>2024</v>
      </c>
      <c r="R632">
        <f>IF(wallet_records[[#This Row],[type]]="Gasto",wallet_records[[#This Row],[amount]]*(-1),wallet_records[[#This Row],[amount]])</f>
        <v>869500</v>
      </c>
    </row>
    <row r="633" spans="1:18" x14ac:dyDescent="0.2">
      <c r="A633" t="s">
        <v>127</v>
      </c>
      <c r="B633" t="s">
        <v>130</v>
      </c>
      <c r="C633" t="s">
        <v>115</v>
      </c>
      <c r="D633" s="291">
        <v>1400000</v>
      </c>
      <c r="E633">
        <v>1400000</v>
      </c>
      <c r="F633" t="s">
        <v>121</v>
      </c>
      <c r="G633" t="s">
        <v>117</v>
      </c>
      <c r="H633" t="s">
        <v>237</v>
      </c>
      <c r="I633" s="197">
        <v>45600.79176896991</v>
      </c>
      <c r="J633" t="b">
        <v>0</v>
      </c>
      <c r="K633" t="s">
        <v>541</v>
      </c>
      <c r="L633" t="s">
        <v>0</v>
      </c>
      <c r="M633">
        <v>4</v>
      </c>
      <c r="N633">
        <v>11</v>
      </c>
      <c r="O633">
        <v>2024</v>
      </c>
      <c r="R633">
        <f>IF(wallet_records[[#This Row],[type]]="Gasto",wallet_records[[#This Row],[amount]]*(-1),wallet_records[[#This Row],[amount]])</f>
        <v>1400000</v>
      </c>
    </row>
    <row r="634" spans="1:18" x14ac:dyDescent="0.2">
      <c r="A634" t="s">
        <v>127</v>
      </c>
      <c r="B634" t="s">
        <v>130</v>
      </c>
      <c r="C634" t="s">
        <v>115</v>
      </c>
      <c r="D634" s="291">
        <v>3000000</v>
      </c>
      <c r="E634">
        <v>3000000</v>
      </c>
      <c r="F634" t="s">
        <v>121</v>
      </c>
      <c r="G634" t="s">
        <v>117</v>
      </c>
      <c r="H634" t="s">
        <v>238</v>
      </c>
      <c r="I634" s="197">
        <v>45599.792304803239</v>
      </c>
      <c r="J634" t="b">
        <v>0</v>
      </c>
      <c r="K634" t="s">
        <v>539</v>
      </c>
      <c r="L634" t="s">
        <v>46</v>
      </c>
      <c r="M634">
        <v>3</v>
      </c>
      <c r="N634">
        <v>11</v>
      </c>
      <c r="O634">
        <v>2024</v>
      </c>
      <c r="R634">
        <f>IF(wallet_records[[#This Row],[type]]="Gasto",wallet_records[[#This Row],[amount]]*(-1),wallet_records[[#This Row],[amount]])</f>
        <v>3000000</v>
      </c>
    </row>
    <row r="635" spans="1:18" x14ac:dyDescent="0.2">
      <c r="A635" t="s">
        <v>127</v>
      </c>
      <c r="B635" t="s">
        <v>130</v>
      </c>
      <c r="C635" t="s">
        <v>115</v>
      </c>
      <c r="D635" s="291">
        <v>1500000</v>
      </c>
      <c r="E635">
        <v>1500000</v>
      </c>
      <c r="F635" t="s">
        <v>121</v>
      </c>
      <c r="G635" t="s">
        <v>117</v>
      </c>
      <c r="H635" t="s">
        <v>239</v>
      </c>
      <c r="I635" s="197">
        <v>45598.792041550929</v>
      </c>
      <c r="J635" t="b">
        <v>0</v>
      </c>
      <c r="K635" t="s">
        <v>543</v>
      </c>
      <c r="L635" t="s">
        <v>77</v>
      </c>
      <c r="M635">
        <v>2</v>
      </c>
      <c r="N635">
        <v>11</v>
      </c>
      <c r="O635">
        <v>2024</v>
      </c>
      <c r="R635">
        <f>IF(wallet_records[[#This Row],[type]]="Gasto",wallet_records[[#This Row],[amount]]*(-1),wallet_records[[#This Row],[amount]])</f>
        <v>1500000</v>
      </c>
    </row>
    <row r="636" spans="1:18" x14ac:dyDescent="0.2">
      <c r="A636" t="s">
        <v>127</v>
      </c>
      <c r="B636" t="s">
        <v>130</v>
      </c>
      <c r="C636" t="s">
        <v>115</v>
      </c>
      <c r="D636" s="291">
        <v>470000</v>
      </c>
      <c r="E636">
        <v>470000</v>
      </c>
      <c r="F636" t="s">
        <v>121</v>
      </c>
      <c r="G636" t="s">
        <v>117</v>
      </c>
      <c r="H636" t="s">
        <v>240</v>
      </c>
      <c r="I636" s="197">
        <v>45595.792145219908</v>
      </c>
      <c r="J636" t="b">
        <v>0</v>
      </c>
      <c r="K636" t="s">
        <v>544</v>
      </c>
      <c r="L636" t="s">
        <v>6</v>
      </c>
      <c r="M636">
        <v>30</v>
      </c>
      <c r="N636">
        <v>10</v>
      </c>
      <c r="O636">
        <v>2024</v>
      </c>
      <c r="R636">
        <f>IF(wallet_records[[#This Row],[type]]="Gasto",wallet_records[[#This Row],[amount]]*(-1),wallet_records[[#This Row],[amount]])</f>
        <v>470000</v>
      </c>
    </row>
    <row r="637" spans="1:18" x14ac:dyDescent="0.2">
      <c r="A637" t="s">
        <v>127</v>
      </c>
      <c r="B637" t="s">
        <v>130</v>
      </c>
      <c r="C637" t="s">
        <v>115</v>
      </c>
      <c r="D637" s="291">
        <v>881000</v>
      </c>
      <c r="E637">
        <v>881000</v>
      </c>
      <c r="F637" t="s">
        <v>121</v>
      </c>
      <c r="G637" t="s">
        <v>117</v>
      </c>
      <c r="H637" t="s">
        <v>241</v>
      </c>
      <c r="I637" s="197">
        <v>45587.791666666664</v>
      </c>
      <c r="J637" t="b">
        <v>0</v>
      </c>
      <c r="K637" t="s">
        <v>7</v>
      </c>
      <c r="L637" t="s">
        <v>7</v>
      </c>
      <c r="M637">
        <v>22</v>
      </c>
      <c r="N637">
        <v>10</v>
      </c>
      <c r="O637">
        <v>2024</v>
      </c>
      <c r="R637">
        <f>IF(wallet_records[[#This Row],[type]]="Gasto",wallet_records[[#This Row],[amount]]*(-1),wallet_records[[#This Row],[amount]])</f>
        <v>881000</v>
      </c>
    </row>
    <row r="638" spans="1:18" x14ac:dyDescent="0.2">
      <c r="A638" t="s">
        <v>127</v>
      </c>
      <c r="B638" t="s">
        <v>130</v>
      </c>
      <c r="C638" t="s">
        <v>115</v>
      </c>
      <c r="D638" s="291">
        <v>1400000</v>
      </c>
      <c r="E638">
        <v>1400000</v>
      </c>
      <c r="F638" t="s">
        <v>121</v>
      </c>
      <c r="G638" t="s">
        <v>117</v>
      </c>
      <c r="H638" t="s">
        <v>242</v>
      </c>
      <c r="I638" s="197">
        <v>45577.791678703703</v>
      </c>
      <c r="J638" t="b">
        <v>0</v>
      </c>
      <c r="K638" t="s">
        <v>541</v>
      </c>
      <c r="L638" t="s">
        <v>0</v>
      </c>
      <c r="M638">
        <v>12</v>
      </c>
      <c r="N638">
        <v>10</v>
      </c>
      <c r="O638">
        <v>2024</v>
      </c>
      <c r="R638">
        <f>IF(wallet_records[[#This Row],[type]]="Gasto",wallet_records[[#This Row],[amount]]*(-1),wallet_records[[#This Row],[amount]])</f>
        <v>1400000</v>
      </c>
    </row>
    <row r="639" spans="1:18" x14ac:dyDescent="0.2">
      <c r="A639" t="s">
        <v>127</v>
      </c>
      <c r="B639" t="s">
        <v>130</v>
      </c>
      <c r="C639" t="s">
        <v>115</v>
      </c>
      <c r="D639" s="291">
        <v>1350000</v>
      </c>
      <c r="E639">
        <v>1350000</v>
      </c>
      <c r="F639" t="s">
        <v>121</v>
      </c>
      <c r="G639" t="s">
        <v>117</v>
      </c>
      <c r="H639" t="s">
        <v>243</v>
      </c>
      <c r="I639" s="197">
        <v>45577.791666666664</v>
      </c>
      <c r="J639" t="b">
        <v>0</v>
      </c>
      <c r="K639" t="s">
        <v>1</v>
      </c>
      <c r="L639" t="s">
        <v>1</v>
      </c>
      <c r="M639">
        <v>12</v>
      </c>
      <c r="N639">
        <v>10</v>
      </c>
      <c r="O639">
        <v>2024</v>
      </c>
      <c r="R639">
        <f>IF(wallet_records[[#This Row],[type]]="Gasto",wallet_records[[#This Row],[amount]]*(-1),wallet_records[[#This Row],[amount]])</f>
        <v>1350000</v>
      </c>
    </row>
    <row r="640" spans="1:18" x14ac:dyDescent="0.2">
      <c r="A640" t="s">
        <v>127</v>
      </c>
      <c r="B640" t="s">
        <v>130</v>
      </c>
      <c r="C640" t="s">
        <v>115</v>
      </c>
      <c r="D640" s="291">
        <v>480000</v>
      </c>
      <c r="E640">
        <v>480000</v>
      </c>
      <c r="F640" t="s">
        <v>121</v>
      </c>
      <c r="G640" t="s">
        <v>117</v>
      </c>
      <c r="H640" t="s">
        <v>244</v>
      </c>
      <c r="I640" s="197">
        <v>45570.792039247688</v>
      </c>
      <c r="J640" t="b">
        <v>0</v>
      </c>
      <c r="K640" t="s">
        <v>544</v>
      </c>
      <c r="L640" t="s">
        <v>6</v>
      </c>
      <c r="M640">
        <v>5</v>
      </c>
      <c r="N640">
        <v>10</v>
      </c>
      <c r="O640">
        <v>2024</v>
      </c>
      <c r="R640">
        <f>IF(wallet_records[[#This Row],[type]]="Gasto",wallet_records[[#This Row],[amount]]*(-1),wallet_records[[#This Row],[amount]])</f>
        <v>480000</v>
      </c>
    </row>
    <row r="641" spans="1:18" x14ac:dyDescent="0.2">
      <c r="A641" t="s">
        <v>127</v>
      </c>
      <c r="B641" t="s">
        <v>130</v>
      </c>
      <c r="C641" t="s">
        <v>115</v>
      </c>
      <c r="D641" s="291">
        <v>1500000</v>
      </c>
      <c r="E641">
        <v>1500000</v>
      </c>
      <c r="F641" t="s">
        <v>121</v>
      </c>
      <c r="G641" t="s">
        <v>117</v>
      </c>
      <c r="H641" t="s">
        <v>245</v>
      </c>
      <c r="I641" s="197">
        <v>45566.792154768518</v>
      </c>
      <c r="J641" t="b">
        <v>0</v>
      </c>
      <c r="K641" t="s">
        <v>543</v>
      </c>
      <c r="L641" t="s">
        <v>77</v>
      </c>
      <c r="M641">
        <v>1</v>
      </c>
      <c r="N641">
        <v>10</v>
      </c>
      <c r="O641">
        <v>2024</v>
      </c>
      <c r="R641">
        <f>IF(wallet_records[[#This Row],[type]]="Gasto",wallet_records[[#This Row],[amount]]*(-1),wallet_records[[#This Row],[amount]])</f>
        <v>1500000</v>
      </c>
    </row>
    <row r="642" spans="1:18" x14ac:dyDescent="0.2">
      <c r="A642" t="s">
        <v>127</v>
      </c>
      <c r="B642" t="s">
        <v>130</v>
      </c>
      <c r="C642" t="s">
        <v>115</v>
      </c>
      <c r="D642" s="291">
        <v>3000000</v>
      </c>
      <c r="E642">
        <v>3000000</v>
      </c>
      <c r="F642" t="s">
        <v>121</v>
      </c>
      <c r="G642" t="s">
        <v>117</v>
      </c>
      <c r="H642" t="s">
        <v>247</v>
      </c>
      <c r="I642" s="197">
        <v>45552.79218290509</v>
      </c>
      <c r="J642" t="b">
        <v>0</v>
      </c>
      <c r="K642" t="s">
        <v>539</v>
      </c>
      <c r="L642" t="s">
        <v>46</v>
      </c>
      <c r="M642">
        <v>17</v>
      </c>
      <c r="N642">
        <v>9</v>
      </c>
      <c r="O642">
        <v>2024</v>
      </c>
      <c r="R642">
        <f>IF(wallet_records[[#This Row],[type]]="Gasto",wallet_records[[#This Row],[amount]]*(-1),wallet_records[[#This Row],[amount]])</f>
        <v>3000000</v>
      </c>
    </row>
    <row r="643" spans="1:18" x14ac:dyDescent="0.2">
      <c r="A643" t="s">
        <v>127</v>
      </c>
      <c r="B643" t="s">
        <v>130</v>
      </c>
      <c r="C643" t="s">
        <v>115</v>
      </c>
      <c r="D643" s="291">
        <v>881000</v>
      </c>
      <c r="E643">
        <v>881000</v>
      </c>
      <c r="F643" t="s">
        <v>121</v>
      </c>
      <c r="G643" t="s">
        <v>117</v>
      </c>
      <c r="H643" t="s">
        <v>246</v>
      </c>
      <c r="I643" s="197">
        <v>45552.791666666664</v>
      </c>
      <c r="J643" t="b">
        <v>0</v>
      </c>
      <c r="K643" t="s">
        <v>7</v>
      </c>
      <c r="L643" t="s">
        <v>7</v>
      </c>
      <c r="M643">
        <v>17</v>
      </c>
      <c r="N643">
        <v>9</v>
      </c>
      <c r="O643">
        <v>2024</v>
      </c>
      <c r="R643">
        <f>IF(wallet_records[[#This Row],[type]]="Gasto",wallet_records[[#This Row],[amount]]*(-1),wallet_records[[#This Row],[amount]])</f>
        <v>881000</v>
      </c>
    </row>
    <row r="644" spans="1:18" x14ac:dyDescent="0.2">
      <c r="A644" t="s">
        <v>127</v>
      </c>
      <c r="B644" t="s">
        <v>130</v>
      </c>
      <c r="C644" t="s">
        <v>115</v>
      </c>
      <c r="D644" s="291">
        <v>1350000</v>
      </c>
      <c r="E644">
        <v>1350000</v>
      </c>
      <c r="F644" t="s">
        <v>121</v>
      </c>
      <c r="G644" t="s">
        <v>117</v>
      </c>
      <c r="H644" t="s">
        <v>248</v>
      </c>
      <c r="I644" s="197">
        <v>45549.791666666664</v>
      </c>
      <c r="J644" t="b">
        <v>0</v>
      </c>
      <c r="K644" t="s">
        <v>1</v>
      </c>
      <c r="L644" t="s">
        <v>1</v>
      </c>
      <c r="M644">
        <v>14</v>
      </c>
      <c r="N644">
        <v>9</v>
      </c>
      <c r="O644">
        <v>2024</v>
      </c>
      <c r="R644">
        <f>IF(wallet_records[[#This Row],[type]]="Gasto",wallet_records[[#This Row],[amount]]*(-1),wallet_records[[#This Row],[amount]])</f>
        <v>1350000</v>
      </c>
    </row>
    <row r="645" spans="1:18" x14ac:dyDescent="0.2">
      <c r="A645" t="s">
        <v>127</v>
      </c>
      <c r="B645" t="s">
        <v>130</v>
      </c>
      <c r="C645" t="s">
        <v>115</v>
      </c>
      <c r="D645" s="291">
        <v>1400000</v>
      </c>
      <c r="E645">
        <v>1400000</v>
      </c>
      <c r="F645" t="s">
        <v>121</v>
      </c>
      <c r="G645" t="s">
        <v>117</v>
      </c>
      <c r="H645" t="s">
        <v>249</v>
      </c>
      <c r="I645" s="197">
        <v>45541.792282754628</v>
      </c>
      <c r="J645" t="b">
        <v>0</v>
      </c>
      <c r="K645" t="s">
        <v>541</v>
      </c>
      <c r="L645" t="s">
        <v>0</v>
      </c>
      <c r="M645">
        <v>6</v>
      </c>
      <c r="N645">
        <v>9</v>
      </c>
      <c r="O645">
        <v>2024</v>
      </c>
      <c r="R645">
        <f>IF(wallet_records[[#This Row],[type]]="Gasto",wallet_records[[#This Row],[amount]]*(-1),wallet_records[[#This Row],[amount]])</f>
        <v>1400000</v>
      </c>
    </row>
    <row r="646" spans="1:18" x14ac:dyDescent="0.2">
      <c r="A646" t="s">
        <v>127</v>
      </c>
      <c r="B646" t="s">
        <v>130</v>
      </c>
      <c r="C646" t="s">
        <v>115</v>
      </c>
      <c r="D646" s="291">
        <v>480000</v>
      </c>
      <c r="E646">
        <v>480000</v>
      </c>
      <c r="F646" t="s">
        <v>121</v>
      </c>
      <c r="G646" t="s">
        <v>117</v>
      </c>
      <c r="H646" t="s">
        <v>250</v>
      </c>
      <c r="I646" s="197">
        <v>45536.791937175927</v>
      </c>
      <c r="J646" t="b">
        <v>0</v>
      </c>
      <c r="K646" t="s">
        <v>544</v>
      </c>
      <c r="L646" t="s">
        <v>6</v>
      </c>
      <c r="M646">
        <v>1</v>
      </c>
      <c r="N646">
        <v>9</v>
      </c>
      <c r="O646">
        <v>2024</v>
      </c>
      <c r="R646">
        <f>IF(wallet_records[[#This Row],[type]]="Gasto",wallet_records[[#This Row],[amount]]*(-1),wallet_records[[#This Row],[amount]])</f>
        <v>480000</v>
      </c>
    </row>
    <row r="647" spans="1:18" x14ac:dyDescent="0.2">
      <c r="A647" t="s">
        <v>127</v>
      </c>
      <c r="B647" t="s">
        <v>130</v>
      </c>
      <c r="C647" t="s">
        <v>115</v>
      </c>
      <c r="D647" s="291">
        <v>1500000</v>
      </c>
      <c r="E647">
        <v>1500000</v>
      </c>
      <c r="F647" t="s">
        <v>121</v>
      </c>
      <c r="G647" t="s">
        <v>117</v>
      </c>
      <c r="H647" t="s">
        <v>251</v>
      </c>
      <c r="I647" s="197">
        <v>45534.79224077546</v>
      </c>
      <c r="J647" t="b">
        <v>0</v>
      </c>
      <c r="K647" t="s">
        <v>543</v>
      </c>
      <c r="L647" t="s">
        <v>77</v>
      </c>
      <c r="M647">
        <v>30</v>
      </c>
      <c r="N647">
        <v>8</v>
      </c>
      <c r="O647">
        <v>2024</v>
      </c>
      <c r="R647">
        <f>IF(wallet_records[[#This Row],[type]]="Gasto",wallet_records[[#This Row],[amount]]*(-1),wallet_records[[#This Row],[amount]])</f>
        <v>1500000</v>
      </c>
    </row>
    <row r="648" spans="1:18" x14ac:dyDescent="0.2">
      <c r="A648" t="s">
        <v>127</v>
      </c>
      <c r="B648" t="s">
        <v>130</v>
      </c>
      <c r="C648" t="s">
        <v>115</v>
      </c>
      <c r="D648" s="291">
        <v>797500</v>
      </c>
      <c r="E648">
        <v>797500</v>
      </c>
      <c r="F648" t="s">
        <v>121</v>
      </c>
      <c r="G648" t="s">
        <v>117</v>
      </c>
      <c r="H648" t="s">
        <v>252</v>
      </c>
      <c r="I648" s="197">
        <v>45524.791666666664</v>
      </c>
      <c r="J648" t="b">
        <v>0</v>
      </c>
      <c r="K648" t="s">
        <v>7</v>
      </c>
      <c r="L648" t="s">
        <v>7</v>
      </c>
      <c r="M648">
        <v>20</v>
      </c>
      <c r="N648">
        <v>8</v>
      </c>
      <c r="O648">
        <v>2024</v>
      </c>
      <c r="R648">
        <f>IF(wallet_records[[#This Row],[type]]="Gasto",wallet_records[[#This Row],[amount]]*(-1),wallet_records[[#This Row],[amount]])</f>
        <v>797500</v>
      </c>
    </row>
    <row r="649" spans="1:18" x14ac:dyDescent="0.2">
      <c r="A649" t="s">
        <v>127</v>
      </c>
      <c r="B649" t="s">
        <v>130</v>
      </c>
      <c r="C649" t="s">
        <v>115</v>
      </c>
      <c r="D649" s="291">
        <v>3000000</v>
      </c>
      <c r="E649">
        <v>3000000</v>
      </c>
      <c r="F649" t="s">
        <v>121</v>
      </c>
      <c r="G649" t="s">
        <v>117</v>
      </c>
      <c r="H649" t="s">
        <v>253</v>
      </c>
      <c r="I649" s="197">
        <v>45522.792038217594</v>
      </c>
      <c r="J649" t="b">
        <v>0</v>
      </c>
      <c r="K649" t="s">
        <v>539</v>
      </c>
      <c r="L649" t="s">
        <v>46</v>
      </c>
      <c r="M649">
        <v>18</v>
      </c>
      <c r="N649">
        <v>8</v>
      </c>
      <c r="O649">
        <v>2024</v>
      </c>
      <c r="R649">
        <f>IF(wallet_records[[#This Row],[type]]="Gasto",wallet_records[[#This Row],[amount]]*(-1),wallet_records[[#This Row],[amount]])</f>
        <v>3000000</v>
      </c>
    </row>
    <row r="650" spans="1:18" x14ac:dyDescent="0.2">
      <c r="A650" t="s">
        <v>127</v>
      </c>
      <c r="B650" t="s">
        <v>130</v>
      </c>
      <c r="C650" t="s">
        <v>115</v>
      </c>
      <c r="D650" s="291">
        <v>1350000</v>
      </c>
      <c r="E650">
        <v>1350000</v>
      </c>
      <c r="F650" t="s">
        <v>121</v>
      </c>
      <c r="G650" t="s">
        <v>117</v>
      </c>
      <c r="H650" t="s">
        <v>254</v>
      </c>
      <c r="I650" s="197">
        <v>45520.791666666664</v>
      </c>
      <c r="J650" t="b">
        <v>0</v>
      </c>
      <c r="K650" t="s">
        <v>1</v>
      </c>
      <c r="L650" t="s">
        <v>1</v>
      </c>
      <c r="M650">
        <v>16</v>
      </c>
      <c r="N650">
        <v>8</v>
      </c>
      <c r="O650">
        <v>2024</v>
      </c>
      <c r="R650">
        <f>IF(wallet_records[[#This Row],[type]]="Gasto",wallet_records[[#This Row],[amount]]*(-1),wallet_records[[#This Row],[amount]])</f>
        <v>1350000</v>
      </c>
    </row>
    <row r="651" spans="1:18" x14ac:dyDescent="0.2">
      <c r="A651" t="s">
        <v>127</v>
      </c>
      <c r="B651" t="s">
        <v>130</v>
      </c>
      <c r="C651" t="s">
        <v>115</v>
      </c>
      <c r="D651" s="291">
        <v>1400000</v>
      </c>
      <c r="E651">
        <v>1400000</v>
      </c>
      <c r="F651" t="s">
        <v>121</v>
      </c>
      <c r="G651" t="s">
        <v>117</v>
      </c>
      <c r="H651" t="s">
        <v>255</v>
      </c>
      <c r="I651" s="197">
        <v>45507.792176168979</v>
      </c>
      <c r="J651" t="b">
        <v>0</v>
      </c>
      <c r="K651" t="s">
        <v>541</v>
      </c>
      <c r="L651" t="s">
        <v>0</v>
      </c>
      <c r="M651">
        <v>3</v>
      </c>
      <c r="N651">
        <v>8</v>
      </c>
      <c r="O651">
        <v>2024</v>
      </c>
      <c r="R651">
        <f>IF(wallet_records[[#This Row],[type]]="Gasto",wallet_records[[#This Row],[amount]]*(-1),wallet_records[[#This Row],[amount]])</f>
        <v>1400000</v>
      </c>
    </row>
    <row r="652" spans="1:18" x14ac:dyDescent="0.2">
      <c r="A652" t="s">
        <v>127</v>
      </c>
      <c r="B652" t="s">
        <v>130</v>
      </c>
      <c r="C652" t="s">
        <v>115</v>
      </c>
      <c r="D652" s="291">
        <v>480000</v>
      </c>
      <c r="E652">
        <v>480000</v>
      </c>
      <c r="F652" t="s">
        <v>121</v>
      </c>
      <c r="G652" t="s">
        <v>117</v>
      </c>
      <c r="H652" t="s">
        <v>256</v>
      </c>
      <c r="I652" s="197">
        <v>45505.791824525462</v>
      </c>
      <c r="J652" t="b">
        <v>0</v>
      </c>
      <c r="K652" t="s">
        <v>544</v>
      </c>
      <c r="L652" t="s">
        <v>6</v>
      </c>
      <c r="M652">
        <v>1</v>
      </c>
      <c r="N652">
        <v>8</v>
      </c>
      <c r="O652">
        <v>2024</v>
      </c>
      <c r="R652">
        <f>IF(wallet_records[[#This Row],[type]]="Gasto",wallet_records[[#This Row],[amount]]*(-1),wallet_records[[#This Row],[amount]])</f>
        <v>480000</v>
      </c>
    </row>
    <row r="653" spans="1:18" x14ac:dyDescent="0.2">
      <c r="A653" t="s">
        <v>127</v>
      </c>
      <c r="B653" t="s">
        <v>130</v>
      </c>
      <c r="C653" t="s">
        <v>115</v>
      </c>
      <c r="D653" s="291">
        <v>1500000</v>
      </c>
      <c r="E653">
        <v>1500000</v>
      </c>
      <c r="F653" t="s">
        <v>121</v>
      </c>
      <c r="G653" t="s">
        <v>117</v>
      </c>
      <c r="H653" t="s">
        <v>257</v>
      </c>
      <c r="I653" s="197">
        <v>45503.792327418982</v>
      </c>
      <c r="J653" t="b">
        <v>0</v>
      </c>
      <c r="K653" t="s">
        <v>543</v>
      </c>
      <c r="L653" t="s">
        <v>77</v>
      </c>
      <c r="M653">
        <v>30</v>
      </c>
      <c r="N653">
        <v>7</v>
      </c>
      <c r="O653">
        <v>2024</v>
      </c>
      <c r="R653">
        <f>IF(wallet_records[[#This Row],[type]]="Gasto",wallet_records[[#This Row],[amount]]*(-1),wallet_records[[#This Row],[amount]])</f>
        <v>1500000</v>
      </c>
    </row>
    <row r="654" spans="1:18" x14ac:dyDescent="0.2">
      <c r="A654" t="s">
        <v>127</v>
      </c>
      <c r="B654" t="s">
        <v>130</v>
      </c>
      <c r="C654" t="s">
        <v>115</v>
      </c>
      <c r="D654" s="291">
        <v>3000000</v>
      </c>
      <c r="E654">
        <v>3000000</v>
      </c>
      <c r="F654" t="s">
        <v>121</v>
      </c>
      <c r="G654" t="s">
        <v>117</v>
      </c>
      <c r="H654" t="s">
        <v>258</v>
      </c>
      <c r="I654" s="197">
        <v>45491.791938090275</v>
      </c>
      <c r="J654" t="b">
        <v>0</v>
      </c>
      <c r="K654" t="s">
        <v>539</v>
      </c>
      <c r="L654" t="s">
        <v>46</v>
      </c>
      <c r="M654">
        <v>18</v>
      </c>
      <c r="N654">
        <v>7</v>
      </c>
      <c r="O654">
        <v>2024</v>
      </c>
      <c r="R654">
        <f>IF(wallet_records[[#This Row],[type]]="Gasto",wallet_records[[#This Row],[amount]]*(-1),wallet_records[[#This Row],[amount]])</f>
        <v>3000000</v>
      </c>
    </row>
    <row r="655" spans="1:18" x14ac:dyDescent="0.2">
      <c r="A655" t="s">
        <v>127</v>
      </c>
      <c r="B655" t="s">
        <v>130</v>
      </c>
      <c r="C655" t="s">
        <v>115</v>
      </c>
      <c r="D655" s="291">
        <v>881000</v>
      </c>
      <c r="E655">
        <v>881000</v>
      </c>
      <c r="F655" t="s">
        <v>121</v>
      </c>
      <c r="G655" t="s">
        <v>117</v>
      </c>
      <c r="H655" t="s">
        <v>259</v>
      </c>
      <c r="I655" s="197">
        <v>45491.791666666664</v>
      </c>
      <c r="J655" t="b">
        <v>0</v>
      </c>
      <c r="K655" t="s">
        <v>7</v>
      </c>
      <c r="L655" t="s">
        <v>7</v>
      </c>
      <c r="M655">
        <v>18</v>
      </c>
      <c r="N655">
        <v>7</v>
      </c>
      <c r="O655">
        <v>2024</v>
      </c>
      <c r="R655">
        <f>IF(wallet_records[[#This Row],[type]]="Gasto",wallet_records[[#This Row],[amount]]*(-1),wallet_records[[#This Row],[amount]])</f>
        <v>881000</v>
      </c>
    </row>
    <row r="656" spans="1:18" x14ac:dyDescent="0.2">
      <c r="A656" t="s">
        <v>127</v>
      </c>
      <c r="B656" t="s">
        <v>130</v>
      </c>
      <c r="C656" t="s">
        <v>115</v>
      </c>
      <c r="D656" s="291">
        <v>1350000</v>
      </c>
      <c r="E656">
        <v>1350000</v>
      </c>
      <c r="F656" t="s">
        <v>121</v>
      </c>
      <c r="G656" t="s">
        <v>117</v>
      </c>
      <c r="H656" t="s">
        <v>260</v>
      </c>
      <c r="I656" s="197">
        <v>45486.791666666664</v>
      </c>
      <c r="J656" t="b">
        <v>0</v>
      </c>
      <c r="K656" t="s">
        <v>1</v>
      </c>
      <c r="L656" t="s">
        <v>1</v>
      </c>
      <c r="M656">
        <v>13</v>
      </c>
      <c r="N656">
        <v>7</v>
      </c>
      <c r="O656">
        <v>2024</v>
      </c>
      <c r="R656">
        <f>IF(wallet_records[[#This Row],[type]]="Gasto",wallet_records[[#This Row],[amount]]*(-1),wallet_records[[#This Row],[amount]])</f>
        <v>1350000</v>
      </c>
    </row>
    <row r="657" spans="1:18" x14ac:dyDescent="0.2">
      <c r="A657" t="s">
        <v>127</v>
      </c>
      <c r="B657" t="s">
        <v>130</v>
      </c>
      <c r="C657" t="s">
        <v>115</v>
      </c>
      <c r="D657" s="291">
        <v>1400000</v>
      </c>
      <c r="E657">
        <v>1400000</v>
      </c>
      <c r="F657" t="s">
        <v>121</v>
      </c>
      <c r="G657" t="s">
        <v>117</v>
      </c>
      <c r="H657" t="s">
        <v>261</v>
      </c>
      <c r="I657" s="197">
        <v>45476.792037372688</v>
      </c>
      <c r="J657" t="b">
        <v>0</v>
      </c>
      <c r="K657" t="s">
        <v>541</v>
      </c>
      <c r="L657" t="s">
        <v>0</v>
      </c>
      <c r="M657">
        <v>3</v>
      </c>
      <c r="N657">
        <v>7</v>
      </c>
      <c r="O657">
        <v>2024</v>
      </c>
      <c r="R657">
        <f>IF(wallet_records[[#This Row],[type]]="Gasto",wallet_records[[#This Row],[amount]]*(-1),wallet_records[[#This Row],[amount]])</f>
        <v>1400000</v>
      </c>
    </row>
    <row r="658" spans="1:18" x14ac:dyDescent="0.2">
      <c r="A658" t="s">
        <v>127</v>
      </c>
      <c r="B658" t="s">
        <v>130</v>
      </c>
      <c r="C658" t="s">
        <v>115</v>
      </c>
      <c r="D658" s="291">
        <v>450000</v>
      </c>
      <c r="E658">
        <v>450000</v>
      </c>
      <c r="F658" t="s">
        <v>121</v>
      </c>
      <c r="G658" t="s">
        <v>117</v>
      </c>
      <c r="H658" t="s">
        <v>262</v>
      </c>
      <c r="I658" s="197">
        <v>45471.791898564814</v>
      </c>
      <c r="J658" t="b">
        <v>0</v>
      </c>
      <c r="K658" t="s">
        <v>544</v>
      </c>
      <c r="L658" t="s">
        <v>6</v>
      </c>
      <c r="M658">
        <v>28</v>
      </c>
      <c r="N658">
        <v>6</v>
      </c>
      <c r="O658">
        <v>2024</v>
      </c>
      <c r="R658">
        <f>IF(wallet_records[[#This Row],[type]]="Gasto",wallet_records[[#This Row],[amount]]*(-1),wallet_records[[#This Row],[amount]])</f>
        <v>450000</v>
      </c>
    </row>
    <row r="659" spans="1:18" x14ac:dyDescent="0.2">
      <c r="A659" t="s">
        <v>127</v>
      </c>
      <c r="B659" t="s">
        <v>130</v>
      </c>
      <c r="C659" t="s">
        <v>115</v>
      </c>
      <c r="D659" s="291">
        <v>1500000</v>
      </c>
      <c r="E659">
        <v>1500000</v>
      </c>
      <c r="F659" t="s">
        <v>121</v>
      </c>
      <c r="G659" t="s">
        <v>117</v>
      </c>
      <c r="H659" t="s">
        <v>263</v>
      </c>
      <c r="I659" s="197">
        <v>45469.791745416667</v>
      </c>
      <c r="J659" t="b">
        <v>0</v>
      </c>
      <c r="K659" t="s">
        <v>543</v>
      </c>
      <c r="L659" t="s">
        <v>77</v>
      </c>
      <c r="M659">
        <v>26</v>
      </c>
      <c r="N659">
        <v>6</v>
      </c>
      <c r="O659">
        <v>2024</v>
      </c>
      <c r="R659">
        <f>IF(wallet_records[[#This Row],[type]]="Gasto",wallet_records[[#This Row],[amount]]*(-1),wallet_records[[#This Row],[amount]])</f>
        <v>1500000</v>
      </c>
    </row>
    <row r="660" spans="1:18" x14ac:dyDescent="0.2">
      <c r="A660" t="s">
        <v>127</v>
      </c>
      <c r="B660" t="s">
        <v>130</v>
      </c>
      <c r="C660" t="s">
        <v>115</v>
      </c>
      <c r="D660" s="291">
        <v>881000</v>
      </c>
      <c r="E660">
        <v>881000</v>
      </c>
      <c r="F660" t="s">
        <v>121</v>
      </c>
      <c r="G660" t="s">
        <v>117</v>
      </c>
      <c r="H660" t="s">
        <v>264</v>
      </c>
      <c r="I660" s="197">
        <v>45467.791666666664</v>
      </c>
      <c r="J660" t="b">
        <v>0</v>
      </c>
      <c r="K660" t="s">
        <v>7</v>
      </c>
      <c r="L660" t="s">
        <v>7</v>
      </c>
      <c r="M660">
        <v>24</v>
      </c>
      <c r="N660">
        <v>6</v>
      </c>
      <c r="O660">
        <v>2024</v>
      </c>
      <c r="R660">
        <f>IF(wallet_records[[#This Row],[type]]="Gasto",wallet_records[[#This Row],[amount]]*(-1),wallet_records[[#This Row],[amount]])</f>
        <v>881000</v>
      </c>
    </row>
    <row r="661" spans="1:18" x14ac:dyDescent="0.2">
      <c r="A661" t="s">
        <v>127</v>
      </c>
      <c r="B661" t="s">
        <v>130</v>
      </c>
      <c r="C661" t="s">
        <v>115</v>
      </c>
      <c r="D661" s="291">
        <v>2000000</v>
      </c>
      <c r="E661">
        <v>2000000</v>
      </c>
      <c r="F661" t="s">
        <v>121</v>
      </c>
      <c r="G661" t="s">
        <v>117</v>
      </c>
      <c r="H661" t="s">
        <v>265</v>
      </c>
      <c r="I661" s="197">
        <v>45460.791806909721</v>
      </c>
      <c r="J661" t="b">
        <v>0</v>
      </c>
      <c r="K661" t="s">
        <v>539</v>
      </c>
      <c r="L661" t="s">
        <v>46</v>
      </c>
      <c r="M661">
        <v>17</v>
      </c>
      <c r="N661">
        <v>6</v>
      </c>
      <c r="O661">
        <v>2024</v>
      </c>
      <c r="R661">
        <f>IF(wallet_records[[#This Row],[type]]="Gasto",wallet_records[[#This Row],[amount]]*(-1),wallet_records[[#This Row],[amount]])</f>
        <v>2000000</v>
      </c>
    </row>
    <row r="662" spans="1:18" x14ac:dyDescent="0.2">
      <c r="A662" t="s">
        <v>127</v>
      </c>
      <c r="B662" t="s">
        <v>130</v>
      </c>
      <c r="C662" t="s">
        <v>115</v>
      </c>
      <c r="D662" s="291">
        <v>1350000</v>
      </c>
      <c r="E662">
        <v>1350000</v>
      </c>
      <c r="F662" t="s">
        <v>121</v>
      </c>
      <c r="G662" t="s">
        <v>117</v>
      </c>
      <c r="H662" t="s">
        <v>266</v>
      </c>
      <c r="I662" s="197">
        <v>45457.791666666664</v>
      </c>
      <c r="J662" t="b">
        <v>0</v>
      </c>
      <c r="K662" t="s">
        <v>1</v>
      </c>
      <c r="L662" t="s">
        <v>1</v>
      </c>
      <c r="M662">
        <v>14</v>
      </c>
      <c r="N662">
        <v>6</v>
      </c>
      <c r="O662">
        <v>2024</v>
      </c>
      <c r="R662">
        <f>IF(wallet_records[[#This Row],[type]]="Gasto",wallet_records[[#This Row],[amount]]*(-1),wallet_records[[#This Row],[amount]])</f>
        <v>1350000</v>
      </c>
    </row>
    <row r="663" spans="1:18" x14ac:dyDescent="0.2">
      <c r="A663" t="s">
        <v>127</v>
      </c>
      <c r="B663" t="s">
        <v>130</v>
      </c>
      <c r="C663" t="s">
        <v>115</v>
      </c>
      <c r="D663" s="291">
        <v>1400000</v>
      </c>
      <c r="E663">
        <v>1400000</v>
      </c>
      <c r="F663" t="s">
        <v>121</v>
      </c>
      <c r="G663" t="s">
        <v>117</v>
      </c>
      <c r="H663" t="s">
        <v>267</v>
      </c>
      <c r="I663" s="197">
        <v>45452.791940474533</v>
      </c>
      <c r="J663" t="b">
        <v>0</v>
      </c>
      <c r="K663" t="s">
        <v>541</v>
      </c>
      <c r="L663" t="s">
        <v>0</v>
      </c>
      <c r="M663">
        <v>9</v>
      </c>
      <c r="N663">
        <v>6</v>
      </c>
      <c r="O663">
        <v>2024</v>
      </c>
      <c r="R663">
        <f>IF(wallet_records[[#This Row],[type]]="Gasto",wallet_records[[#This Row],[amount]]*(-1),wallet_records[[#This Row],[amount]])</f>
        <v>1400000</v>
      </c>
    </row>
    <row r="664" spans="1:18" x14ac:dyDescent="0.2">
      <c r="A664" t="s">
        <v>127</v>
      </c>
      <c r="B664" t="s">
        <v>130</v>
      </c>
      <c r="C664" t="s">
        <v>115</v>
      </c>
      <c r="D664" s="291">
        <v>400000</v>
      </c>
      <c r="E664">
        <v>400000</v>
      </c>
      <c r="F664" t="s">
        <v>121</v>
      </c>
      <c r="G664" t="s">
        <v>117</v>
      </c>
      <c r="H664" t="s">
        <v>268</v>
      </c>
      <c r="I664" s="197">
        <v>45447.791738668981</v>
      </c>
      <c r="J664" t="b">
        <v>0</v>
      </c>
      <c r="K664" t="s">
        <v>544</v>
      </c>
      <c r="L664" t="s">
        <v>6</v>
      </c>
      <c r="M664">
        <v>4</v>
      </c>
      <c r="N664">
        <v>6</v>
      </c>
      <c r="O664">
        <v>2024</v>
      </c>
      <c r="R664">
        <f>IF(wallet_records[[#This Row],[type]]="Gasto",wallet_records[[#This Row],[amount]]*(-1),wallet_records[[#This Row],[amount]])</f>
        <v>400000</v>
      </c>
    </row>
    <row r="665" spans="1:18" x14ac:dyDescent="0.2">
      <c r="A665" t="s">
        <v>127</v>
      </c>
      <c r="B665" t="s">
        <v>130</v>
      </c>
      <c r="C665" t="s">
        <v>115</v>
      </c>
      <c r="D665" s="291">
        <v>1500000</v>
      </c>
      <c r="E665">
        <v>1500000</v>
      </c>
      <c r="F665" t="s">
        <v>121</v>
      </c>
      <c r="G665" t="s">
        <v>117</v>
      </c>
      <c r="H665" t="s">
        <v>269</v>
      </c>
      <c r="I665" s="197">
        <v>45442.791864861108</v>
      </c>
      <c r="J665" t="b">
        <v>0</v>
      </c>
      <c r="K665" t="s">
        <v>543</v>
      </c>
      <c r="L665" t="s">
        <v>77</v>
      </c>
      <c r="M665">
        <v>30</v>
      </c>
      <c r="N665">
        <v>5</v>
      </c>
      <c r="O665">
        <v>2024</v>
      </c>
      <c r="R665">
        <f>IF(wallet_records[[#This Row],[type]]="Gasto",wallet_records[[#This Row],[amount]]*(-1),wallet_records[[#This Row],[amount]])</f>
        <v>1500000</v>
      </c>
    </row>
    <row r="666" spans="1:18" x14ac:dyDescent="0.2">
      <c r="A666" t="s">
        <v>127</v>
      </c>
      <c r="B666" t="s">
        <v>130</v>
      </c>
      <c r="C666" t="s">
        <v>115</v>
      </c>
      <c r="D666" s="291">
        <v>3000000</v>
      </c>
      <c r="E666">
        <v>3000000</v>
      </c>
      <c r="F666" t="s">
        <v>121</v>
      </c>
      <c r="G666" t="s">
        <v>117</v>
      </c>
      <c r="H666" t="s">
        <v>270</v>
      </c>
      <c r="I666" s="197">
        <v>45437.791666666664</v>
      </c>
      <c r="J666" t="b">
        <v>0</v>
      </c>
      <c r="K666" t="s">
        <v>46</v>
      </c>
      <c r="L666" t="s">
        <v>46</v>
      </c>
      <c r="M666">
        <v>25</v>
      </c>
      <c r="N666">
        <v>5</v>
      </c>
      <c r="O666">
        <v>2024</v>
      </c>
      <c r="R666">
        <f>IF(wallet_records[[#This Row],[type]]="Gasto",wallet_records[[#This Row],[amount]]*(-1),wallet_records[[#This Row],[amount]])</f>
        <v>3000000</v>
      </c>
    </row>
    <row r="667" spans="1:18" x14ac:dyDescent="0.2">
      <c r="A667" t="s">
        <v>127</v>
      </c>
      <c r="B667" t="s">
        <v>130</v>
      </c>
      <c r="C667" t="s">
        <v>115</v>
      </c>
      <c r="D667" s="291">
        <v>881000</v>
      </c>
      <c r="E667">
        <v>881000</v>
      </c>
      <c r="F667" t="s">
        <v>121</v>
      </c>
      <c r="G667" t="s">
        <v>117</v>
      </c>
      <c r="H667" t="s">
        <v>271</v>
      </c>
      <c r="I667" s="197">
        <v>45430.791666666664</v>
      </c>
      <c r="J667" t="b">
        <v>0</v>
      </c>
      <c r="K667" t="s">
        <v>7</v>
      </c>
      <c r="L667" t="s">
        <v>7</v>
      </c>
      <c r="M667">
        <v>18</v>
      </c>
      <c r="N667">
        <v>5</v>
      </c>
      <c r="O667">
        <v>2024</v>
      </c>
      <c r="R667">
        <f>IF(wallet_records[[#This Row],[type]]="Gasto",wallet_records[[#This Row],[amount]]*(-1),wallet_records[[#This Row],[amount]])</f>
        <v>881000</v>
      </c>
    </row>
    <row r="668" spans="1:18" x14ac:dyDescent="0.2">
      <c r="A668" t="s">
        <v>127</v>
      </c>
      <c r="B668" t="s">
        <v>130</v>
      </c>
      <c r="C668" t="s">
        <v>115</v>
      </c>
      <c r="D668" s="291">
        <v>400000</v>
      </c>
      <c r="E668">
        <v>400000</v>
      </c>
      <c r="F668" t="s">
        <v>121</v>
      </c>
      <c r="G668" t="s">
        <v>117</v>
      </c>
      <c r="H668" t="s">
        <v>272</v>
      </c>
      <c r="I668" s="197">
        <v>45429.791850497684</v>
      </c>
      <c r="J668" t="b">
        <v>0</v>
      </c>
      <c r="K668" t="s">
        <v>544</v>
      </c>
      <c r="L668" t="s">
        <v>6</v>
      </c>
      <c r="M668">
        <v>17</v>
      </c>
      <c r="N668">
        <v>5</v>
      </c>
      <c r="O668">
        <v>2024</v>
      </c>
      <c r="R668">
        <f>IF(wallet_records[[#This Row],[type]]="Gasto",wallet_records[[#This Row],[amount]]*(-1),wallet_records[[#This Row],[amount]])</f>
        <v>400000</v>
      </c>
    </row>
    <row r="669" spans="1:18" x14ac:dyDescent="0.2">
      <c r="A669" t="s">
        <v>127</v>
      </c>
      <c r="B669" t="s">
        <v>130</v>
      </c>
      <c r="C669" t="s">
        <v>115</v>
      </c>
      <c r="D669" s="291">
        <v>750000</v>
      </c>
      <c r="E669">
        <v>750000</v>
      </c>
      <c r="F669" t="s">
        <v>121</v>
      </c>
      <c r="G669" t="s">
        <v>117</v>
      </c>
      <c r="H669" t="s">
        <v>273</v>
      </c>
      <c r="I669" s="197">
        <v>45429.791666666664</v>
      </c>
      <c r="J669" t="b">
        <v>0</v>
      </c>
      <c r="K669" t="s">
        <v>0</v>
      </c>
      <c r="L669" t="s">
        <v>0</v>
      </c>
      <c r="M669">
        <v>17</v>
      </c>
      <c r="N669">
        <v>5</v>
      </c>
      <c r="O669">
        <v>2024</v>
      </c>
      <c r="R669">
        <f>IF(wallet_records[[#This Row],[type]]="Gasto",wallet_records[[#This Row],[amount]]*(-1),wallet_records[[#This Row],[amount]])</f>
        <v>750000</v>
      </c>
    </row>
    <row r="670" spans="1:18" x14ac:dyDescent="0.2">
      <c r="A670" t="s">
        <v>127</v>
      </c>
      <c r="B670" t="s">
        <v>130</v>
      </c>
      <c r="C670" t="s">
        <v>115</v>
      </c>
      <c r="D670" s="291">
        <v>1500000</v>
      </c>
      <c r="E670">
        <v>1500000</v>
      </c>
      <c r="F670" t="s">
        <v>121</v>
      </c>
      <c r="G670" t="s">
        <v>117</v>
      </c>
      <c r="H670" t="s">
        <v>274</v>
      </c>
      <c r="I670" s="197">
        <v>45425.791976319444</v>
      </c>
      <c r="J670" t="b">
        <v>0</v>
      </c>
      <c r="K670" t="s">
        <v>543</v>
      </c>
      <c r="L670" t="s">
        <v>77</v>
      </c>
      <c r="M670">
        <v>13</v>
      </c>
      <c r="N670">
        <v>5</v>
      </c>
      <c r="O670">
        <v>2024</v>
      </c>
      <c r="R670">
        <f>IF(wallet_records[[#This Row],[type]]="Gasto",wallet_records[[#This Row],[amount]]*(-1),wallet_records[[#This Row],[amount]])</f>
        <v>1500000</v>
      </c>
    </row>
    <row r="671" spans="1:18" x14ac:dyDescent="0.2">
      <c r="A671" t="s">
        <v>127</v>
      </c>
      <c r="B671" t="s">
        <v>130</v>
      </c>
      <c r="C671" t="s">
        <v>115</v>
      </c>
      <c r="D671" s="291">
        <v>1350000</v>
      </c>
      <c r="E671">
        <v>1350000</v>
      </c>
      <c r="F671" t="s">
        <v>121</v>
      </c>
      <c r="G671" t="s">
        <v>117</v>
      </c>
      <c r="H671" t="s">
        <v>275</v>
      </c>
      <c r="I671" s="197">
        <v>45425.791666666664</v>
      </c>
      <c r="J671" t="b">
        <v>0</v>
      </c>
      <c r="K671" t="s">
        <v>1</v>
      </c>
      <c r="L671" t="s">
        <v>1</v>
      </c>
      <c r="M671">
        <v>13</v>
      </c>
      <c r="N671">
        <v>5</v>
      </c>
      <c r="O671">
        <v>2024</v>
      </c>
      <c r="R671">
        <f>IF(wallet_records[[#This Row],[type]]="Gasto",wallet_records[[#This Row],[amount]]*(-1),wallet_records[[#This Row],[amount]])</f>
        <v>1350000</v>
      </c>
    </row>
    <row r="672" spans="1:18" x14ac:dyDescent="0.2">
      <c r="A672" t="s">
        <v>127</v>
      </c>
      <c r="B672" t="s">
        <v>130</v>
      </c>
      <c r="C672" t="s">
        <v>115</v>
      </c>
      <c r="D672" s="291">
        <v>1350000</v>
      </c>
      <c r="E672">
        <v>1350000</v>
      </c>
      <c r="F672" t="s">
        <v>121</v>
      </c>
      <c r="G672" t="s">
        <v>117</v>
      </c>
      <c r="H672" t="s">
        <v>276</v>
      </c>
      <c r="I672" s="197">
        <v>45406.791666666664</v>
      </c>
      <c r="J672" t="b">
        <v>0</v>
      </c>
      <c r="K672" t="s">
        <v>1</v>
      </c>
      <c r="L672" t="s">
        <v>1</v>
      </c>
      <c r="M672">
        <v>24</v>
      </c>
      <c r="N672">
        <v>4</v>
      </c>
      <c r="O672">
        <v>2024</v>
      </c>
      <c r="R672">
        <f>IF(wallet_records[[#This Row],[type]]="Gasto",wallet_records[[#This Row],[amount]]*(-1),wallet_records[[#This Row],[amount]])</f>
        <v>1350000</v>
      </c>
    </row>
    <row r="673" spans="1:18" x14ac:dyDescent="0.2">
      <c r="A673" t="s">
        <v>127</v>
      </c>
      <c r="B673" t="s">
        <v>130</v>
      </c>
      <c r="C673" t="s">
        <v>115</v>
      </c>
      <c r="D673" s="291">
        <v>1500000</v>
      </c>
      <c r="E673">
        <v>1500000</v>
      </c>
      <c r="F673" t="s">
        <v>121</v>
      </c>
      <c r="G673" t="s">
        <v>117</v>
      </c>
      <c r="H673" t="s">
        <v>276</v>
      </c>
      <c r="I673" s="197">
        <v>45404.791666666664</v>
      </c>
      <c r="J673" t="b">
        <v>0</v>
      </c>
      <c r="K673" t="s">
        <v>0</v>
      </c>
      <c r="L673" t="s">
        <v>0</v>
      </c>
      <c r="M673">
        <v>22</v>
      </c>
      <c r="N673">
        <v>4</v>
      </c>
      <c r="O673">
        <v>2024</v>
      </c>
      <c r="R673">
        <f>IF(wallet_records[[#This Row],[type]]="Gasto",wallet_records[[#This Row],[amount]]*(-1),wallet_records[[#This Row],[amount]])</f>
        <v>1500000</v>
      </c>
    </row>
    <row r="674" spans="1:18" x14ac:dyDescent="0.2">
      <c r="A674" t="s">
        <v>127</v>
      </c>
      <c r="B674" t="s">
        <v>130</v>
      </c>
      <c r="C674" t="s">
        <v>115</v>
      </c>
      <c r="D674" s="291">
        <v>881000</v>
      </c>
      <c r="E674">
        <v>881000</v>
      </c>
      <c r="F674" t="s">
        <v>121</v>
      </c>
      <c r="G674" t="s">
        <v>117</v>
      </c>
      <c r="H674" t="s">
        <v>277</v>
      </c>
      <c r="I674" s="197">
        <v>45401.791666666664</v>
      </c>
      <c r="J674" t="b">
        <v>0</v>
      </c>
      <c r="K674" t="s">
        <v>7</v>
      </c>
      <c r="L674" t="s">
        <v>7</v>
      </c>
      <c r="M674">
        <v>19</v>
      </c>
      <c r="N674">
        <v>4</v>
      </c>
      <c r="O674">
        <v>2024</v>
      </c>
      <c r="R674">
        <f>IF(wallet_records[[#This Row],[type]]="Gasto",wallet_records[[#This Row],[amount]]*(-1),wallet_records[[#This Row],[amount]])</f>
        <v>881000</v>
      </c>
    </row>
    <row r="675" spans="1:18" x14ac:dyDescent="0.2">
      <c r="A675" t="s">
        <v>127</v>
      </c>
      <c r="B675" t="s">
        <v>130</v>
      </c>
      <c r="C675" t="s">
        <v>115</v>
      </c>
      <c r="D675" s="291">
        <v>400000</v>
      </c>
      <c r="E675">
        <v>400000</v>
      </c>
      <c r="F675" t="s">
        <v>121</v>
      </c>
      <c r="G675" t="s">
        <v>117</v>
      </c>
      <c r="H675" t="s">
        <v>278</v>
      </c>
      <c r="I675" s="197">
        <v>45382.791996550928</v>
      </c>
      <c r="J675" t="b">
        <v>0</v>
      </c>
      <c r="K675" t="s">
        <v>544</v>
      </c>
      <c r="L675" t="s">
        <v>6</v>
      </c>
      <c r="M675">
        <v>31</v>
      </c>
      <c r="N675">
        <v>3</v>
      </c>
      <c r="O675">
        <v>2024</v>
      </c>
      <c r="R675">
        <f>IF(wallet_records[[#This Row],[type]]="Gasto",wallet_records[[#This Row],[amount]]*(-1),wallet_records[[#This Row],[amount]])</f>
        <v>400000</v>
      </c>
    </row>
    <row r="676" spans="1:18" x14ac:dyDescent="0.2">
      <c r="A676" t="s">
        <v>127</v>
      </c>
      <c r="B676" t="s">
        <v>130</v>
      </c>
      <c r="C676" t="s">
        <v>115</v>
      </c>
      <c r="D676" s="291">
        <v>1500000</v>
      </c>
      <c r="E676">
        <v>1500000</v>
      </c>
      <c r="F676" t="s">
        <v>121</v>
      </c>
      <c r="G676" t="s">
        <v>117</v>
      </c>
      <c r="H676" t="s">
        <v>279</v>
      </c>
      <c r="I676" s="197">
        <v>45376.792093379627</v>
      </c>
      <c r="J676" t="b">
        <v>0</v>
      </c>
      <c r="K676" t="s">
        <v>543</v>
      </c>
      <c r="L676" t="s">
        <v>77</v>
      </c>
      <c r="M676">
        <v>25</v>
      </c>
      <c r="N676">
        <v>3</v>
      </c>
      <c r="O676">
        <v>2024</v>
      </c>
      <c r="R676">
        <f>IF(wallet_records[[#This Row],[type]]="Gasto",wallet_records[[#This Row],[amount]]*(-1),wallet_records[[#This Row],[amount]])</f>
        <v>1500000</v>
      </c>
    </row>
    <row r="677" spans="1:18" x14ac:dyDescent="0.2">
      <c r="A677" t="s">
        <v>127</v>
      </c>
      <c r="B677" t="s">
        <v>130</v>
      </c>
      <c r="C677" t="s">
        <v>115</v>
      </c>
      <c r="D677" s="291">
        <v>400000</v>
      </c>
      <c r="E677">
        <v>400000</v>
      </c>
      <c r="F677" t="s">
        <v>121</v>
      </c>
      <c r="G677" t="s">
        <v>117</v>
      </c>
      <c r="H677" t="s">
        <v>281</v>
      </c>
      <c r="I677" s="197">
        <v>45366.792136099539</v>
      </c>
      <c r="J677" t="b">
        <v>0</v>
      </c>
      <c r="K677" t="s">
        <v>544</v>
      </c>
      <c r="L677" t="s">
        <v>6</v>
      </c>
      <c r="M677">
        <v>15</v>
      </c>
      <c r="N677">
        <v>3</v>
      </c>
      <c r="O677">
        <v>2024</v>
      </c>
      <c r="R677">
        <f>IF(wallet_records[[#This Row],[type]]="Gasto",wallet_records[[#This Row],[amount]]*(-1),wallet_records[[#This Row],[amount]])</f>
        <v>400000</v>
      </c>
    </row>
    <row r="678" spans="1:18" x14ac:dyDescent="0.2">
      <c r="A678" t="s">
        <v>127</v>
      </c>
      <c r="B678" t="s">
        <v>130</v>
      </c>
      <c r="C678" t="s">
        <v>115</v>
      </c>
      <c r="D678" s="291">
        <v>1500000</v>
      </c>
      <c r="E678">
        <v>1500000</v>
      </c>
      <c r="F678" t="s">
        <v>121</v>
      </c>
      <c r="G678" t="s">
        <v>117</v>
      </c>
      <c r="H678" t="s">
        <v>280</v>
      </c>
      <c r="I678" s="197">
        <v>45366.791666666664</v>
      </c>
      <c r="J678" t="b">
        <v>0</v>
      </c>
      <c r="K678" t="s">
        <v>0</v>
      </c>
      <c r="L678" t="s">
        <v>0</v>
      </c>
      <c r="M678">
        <v>15</v>
      </c>
      <c r="N678">
        <v>3</v>
      </c>
      <c r="O678">
        <v>2024</v>
      </c>
      <c r="R678">
        <f>IF(wallet_records[[#This Row],[type]]="Gasto",wallet_records[[#This Row],[amount]]*(-1),wallet_records[[#This Row],[amount]])</f>
        <v>1500000</v>
      </c>
    </row>
    <row r="679" spans="1:18" x14ac:dyDescent="0.2">
      <c r="A679" t="s">
        <v>127</v>
      </c>
      <c r="B679" t="s">
        <v>130</v>
      </c>
      <c r="C679" t="s">
        <v>115</v>
      </c>
      <c r="D679" s="291">
        <v>1350000</v>
      </c>
      <c r="E679">
        <v>1350000</v>
      </c>
      <c r="F679" t="s">
        <v>121</v>
      </c>
      <c r="G679" t="s">
        <v>117</v>
      </c>
      <c r="H679" t="s">
        <v>280</v>
      </c>
      <c r="I679" s="197">
        <v>45366.791666666664</v>
      </c>
      <c r="J679" t="b">
        <v>0</v>
      </c>
      <c r="K679" t="s">
        <v>1</v>
      </c>
      <c r="L679" t="s">
        <v>1</v>
      </c>
      <c r="M679">
        <v>15</v>
      </c>
      <c r="N679">
        <v>3</v>
      </c>
      <c r="O679">
        <v>2024</v>
      </c>
      <c r="R679">
        <f>IF(wallet_records[[#This Row],[type]]="Gasto",wallet_records[[#This Row],[amount]]*(-1),wallet_records[[#This Row],[amount]])</f>
        <v>1350000</v>
      </c>
    </row>
    <row r="680" spans="1:18" x14ac:dyDescent="0.2">
      <c r="A680" t="s">
        <v>127</v>
      </c>
      <c r="B680" t="s">
        <v>130</v>
      </c>
      <c r="C680" t="s">
        <v>115</v>
      </c>
      <c r="D680" s="291">
        <v>1500000</v>
      </c>
      <c r="E680">
        <v>1500000</v>
      </c>
      <c r="F680" t="s">
        <v>121</v>
      </c>
      <c r="G680" t="s">
        <v>117</v>
      </c>
      <c r="H680" t="s">
        <v>282</v>
      </c>
      <c r="I680" s="197">
        <v>45353.79217310185</v>
      </c>
      <c r="J680" t="b">
        <v>0</v>
      </c>
      <c r="K680" t="s">
        <v>543</v>
      </c>
      <c r="L680" t="s">
        <v>77</v>
      </c>
      <c r="M680">
        <v>2</v>
      </c>
      <c r="N680">
        <v>3</v>
      </c>
      <c r="O680">
        <v>2024</v>
      </c>
      <c r="R680">
        <f>IF(wallet_records[[#This Row],[type]]="Gasto",wallet_records[[#This Row],[amount]]*(-1),wallet_records[[#This Row],[amount]])</f>
        <v>1500000</v>
      </c>
    </row>
    <row r="681" spans="1:18" x14ac:dyDescent="0.2">
      <c r="A681" t="s">
        <v>127</v>
      </c>
      <c r="B681" t="s">
        <v>130</v>
      </c>
      <c r="C681" t="s">
        <v>115</v>
      </c>
      <c r="D681" s="291">
        <v>1500000</v>
      </c>
      <c r="E681">
        <v>1500000</v>
      </c>
      <c r="F681" t="s">
        <v>121</v>
      </c>
      <c r="G681" t="s">
        <v>117</v>
      </c>
      <c r="H681" t="s">
        <v>283</v>
      </c>
      <c r="I681" s="197">
        <v>45331.791666666664</v>
      </c>
      <c r="J681" t="b">
        <v>0</v>
      </c>
      <c r="K681" t="s">
        <v>0</v>
      </c>
      <c r="L681" t="s">
        <v>0</v>
      </c>
      <c r="M681">
        <v>9</v>
      </c>
      <c r="N681">
        <v>2</v>
      </c>
      <c r="O681">
        <v>2024</v>
      </c>
      <c r="R681">
        <f>IF(wallet_records[[#This Row],[type]]="Gasto",wallet_records[[#This Row],[amount]]*(-1),wallet_records[[#This Row],[amount]])</f>
        <v>1500000</v>
      </c>
    </row>
    <row r="682" spans="1:18" x14ac:dyDescent="0.2">
      <c r="A682" t="s">
        <v>127</v>
      </c>
      <c r="B682" t="s">
        <v>130</v>
      </c>
      <c r="C682" t="s">
        <v>115</v>
      </c>
      <c r="D682" s="291">
        <v>1350000</v>
      </c>
      <c r="E682">
        <v>1350000</v>
      </c>
      <c r="F682" t="s">
        <v>121</v>
      </c>
      <c r="G682" t="s">
        <v>117</v>
      </c>
      <c r="H682" t="s">
        <v>283</v>
      </c>
      <c r="I682" s="197">
        <v>45331.791666666664</v>
      </c>
      <c r="J682" t="b">
        <v>0</v>
      </c>
      <c r="K682" t="s">
        <v>1</v>
      </c>
      <c r="L682" t="s">
        <v>1</v>
      </c>
      <c r="M682">
        <v>9</v>
      </c>
      <c r="N682">
        <v>2</v>
      </c>
      <c r="O682">
        <v>2024</v>
      </c>
      <c r="R682">
        <f>IF(wallet_records[[#This Row],[type]]="Gasto",wallet_records[[#This Row],[amount]]*(-1),wallet_records[[#This Row],[amount]])</f>
        <v>1350000</v>
      </c>
    </row>
    <row r="683" spans="1:18" x14ac:dyDescent="0.2">
      <c r="A683" t="s">
        <v>127</v>
      </c>
      <c r="B683" t="s">
        <v>130</v>
      </c>
      <c r="C683" t="s">
        <v>115</v>
      </c>
      <c r="D683" s="291">
        <v>1500000</v>
      </c>
      <c r="E683">
        <v>1500000</v>
      </c>
      <c r="F683" t="s">
        <v>121</v>
      </c>
      <c r="G683" t="s">
        <v>117</v>
      </c>
      <c r="H683" t="s">
        <v>285</v>
      </c>
      <c r="I683" s="197">
        <v>45322.792326273149</v>
      </c>
      <c r="J683" t="b">
        <v>0</v>
      </c>
      <c r="K683" t="s">
        <v>543</v>
      </c>
      <c r="L683" t="s">
        <v>77</v>
      </c>
      <c r="M683">
        <v>31</v>
      </c>
      <c r="N683">
        <v>1</v>
      </c>
      <c r="O683">
        <v>2024</v>
      </c>
      <c r="R683">
        <f>IF(wallet_records[[#This Row],[type]]="Gasto",wallet_records[[#This Row],[amount]]*(-1),wallet_records[[#This Row],[amount]])</f>
        <v>1500000</v>
      </c>
    </row>
    <row r="684" spans="1:18" x14ac:dyDescent="0.2">
      <c r="A684" t="s">
        <v>127</v>
      </c>
      <c r="B684" t="s">
        <v>130</v>
      </c>
      <c r="C684" t="s">
        <v>115</v>
      </c>
      <c r="D684" s="291">
        <v>400000</v>
      </c>
      <c r="E684">
        <v>400000</v>
      </c>
      <c r="F684" t="s">
        <v>121</v>
      </c>
      <c r="G684" t="s">
        <v>117</v>
      </c>
      <c r="H684" t="s">
        <v>284</v>
      </c>
      <c r="I684" s="197">
        <v>45322.791785312504</v>
      </c>
      <c r="J684" t="b">
        <v>0</v>
      </c>
      <c r="K684" t="s">
        <v>544</v>
      </c>
      <c r="L684" t="s">
        <v>6</v>
      </c>
      <c r="M684">
        <v>31</v>
      </c>
      <c r="N684">
        <v>1</v>
      </c>
      <c r="O684">
        <v>2024</v>
      </c>
      <c r="R684">
        <f>IF(wallet_records[[#This Row],[type]]="Gasto",wallet_records[[#This Row],[amount]]*(-1),wallet_records[[#This Row],[amount]])</f>
        <v>400000</v>
      </c>
    </row>
    <row r="685" spans="1:18" x14ac:dyDescent="0.2">
      <c r="A685" t="s">
        <v>127</v>
      </c>
      <c r="B685" t="s">
        <v>130</v>
      </c>
      <c r="C685" t="s">
        <v>115</v>
      </c>
      <c r="D685" s="291">
        <v>1500000</v>
      </c>
      <c r="E685">
        <v>1500000</v>
      </c>
      <c r="F685" t="s">
        <v>121</v>
      </c>
      <c r="G685" t="s">
        <v>117</v>
      </c>
      <c r="H685" t="s">
        <v>286</v>
      </c>
      <c r="I685" s="197">
        <v>45313.791666666664</v>
      </c>
      <c r="J685" t="b">
        <v>0</v>
      </c>
      <c r="K685" t="s">
        <v>0</v>
      </c>
      <c r="L685" t="s">
        <v>0</v>
      </c>
      <c r="M685">
        <v>22</v>
      </c>
      <c r="N685">
        <v>1</v>
      </c>
      <c r="O685">
        <v>2024</v>
      </c>
      <c r="R685">
        <f>IF(wallet_records[[#This Row],[type]]="Gasto",wallet_records[[#This Row],[amount]]*(-1),wallet_records[[#This Row],[amount]])</f>
        <v>1500000</v>
      </c>
    </row>
    <row r="686" spans="1:18" x14ac:dyDescent="0.2">
      <c r="A686" t="s">
        <v>127</v>
      </c>
      <c r="B686" t="s">
        <v>130</v>
      </c>
      <c r="C686" t="s">
        <v>115</v>
      </c>
      <c r="D686" s="291">
        <v>1350000</v>
      </c>
      <c r="E686">
        <v>1350000</v>
      </c>
      <c r="F686" t="s">
        <v>121</v>
      </c>
      <c r="G686" t="s">
        <v>117</v>
      </c>
      <c r="H686" t="s">
        <v>286</v>
      </c>
      <c r="I686" s="197">
        <v>45303.791666666664</v>
      </c>
      <c r="J686" t="b">
        <v>0</v>
      </c>
      <c r="K686" t="s">
        <v>1</v>
      </c>
      <c r="L686" t="s">
        <v>1</v>
      </c>
      <c r="M686">
        <v>12</v>
      </c>
      <c r="N686">
        <v>1</v>
      </c>
      <c r="O686">
        <v>2024</v>
      </c>
      <c r="R686">
        <f>IF(wallet_records[[#This Row],[type]]="Gasto",wallet_records[[#This Row],[amount]]*(-1),wallet_records[[#This Row],[amount]])</f>
        <v>1350000</v>
      </c>
    </row>
    <row r="687" spans="1:18" x14ac:dyDescent="0.2">
      <c r="A687" t="s">
        <v>127</v>
      </c>
      <c r="B687" t="s">
        <v>130</v>
      </c>
      <c r="C687" t="s">
        <v>115</v>
      </c>
      <c r="D687" s="291">
        <v>1500000</v>
      </c>
      <c r="E687">
        <v>1500000</v>
      </c>
      <c r="F687" t="s">
        <v>121</v>
      </c>
      <c r="G687" t="s">
        <v>117</v>
      </c>
      <c r="H687" t="s">
        <v>288</v>
      </c>
      <c r="I687" s="197">
        <v>45292.791739062501</v>
      </c>
      <c r="J687" t="b">
        <v>0</v>
      </c>
      <c r="K687" t="s">
        <v>543</v>
      </c>
      <c r="L687" t="s">
        <v>77</v>
      </c>
      <c r="M687">
        <v>1</v>
      </c>
      <c r="N687">
        <v>1</v>
      </c>
      <c r="O687">
        <v>2024</v>
      </c>
      <c r="R687">
        <f>IF(wallet_records[[#This Row],[type]]="Gasto",wallet_records[[#This Row],[amount]]*(-1),wallet_records[[#This Row],[amount]])</f>
        <v>1500000</v>
      </c>
    </row>
    <row r="688" spans="1:18" x14ac:dyDescent="0.2">
      <c r="A688" t="s">
        <v>127</v>
      </c>
      <c r="B688" t="s">
        <v>144</v>
      </c>
      <c r="C688" t="s">
        <v>115</v>
      </c>
      <c r="D688" s="291">
        <v>330600</v>
      </c>
      <c r="E688">
        <v>330600</v>
      </c>
      <c r="F688" t="s">
        <v>116</v>
      </c>
      <c r="G688" t="s">
        <v>117</v>
      </c>
      <c r="H688" t="s">
        <v>145</v>
      </c>
      <c r="I688" s="197">
        <v>45261.791666666664</v>
      </c>
      <c r="J688" t="b">
        <v>0</v>
      </c>
      <c r="K688" t="s">
        <v>146</v>
      </c>
      <c r="L688" t="s">
        <v>139</v>
      </c>
      <c r="M688">
        <v>1</v>
      </c>
      <c r="N688">
        <v>12</v>
      </c>
      <c r="O688">
        <v>2023</v>
      </c>
      <c r="R688">
        <f>IF(wallet_records[[#This Row],[type]]="Gasto",wallet_records[[#This Row],[amount]]*(-1),wallet_records[[#This Row],[amount]])</f>
        <v>-330600</v>
      </c>
    </row>
    <row r="689" spans="1:18" x14ac:dyDescent="0.2">
      <c r="A689" t="s">
        <v>127</v>
      </c>
      <c r="B689" t="s">
        <v>144</v>
      </c>
      <c r="C689" t="s">
        <v>115</v>
      </c>
      <c r="D689" s="291">
        <v>330600</v>
      </c>
      <c r="E689">
        <v>330600</v>
      </c>
      <c r="F689" t="s">
        <v>116</v>
      </c>
      <c r="G689" t="s">
        <v>117</v>
      </c>
      <c r="H689" t="s">
        <v>145</v>
      </c>
      <c r="I689" s="197">
        <v>45231.791666666664</v>
      </c>
      <c r="J689" t="b">
        <v>0</v>
      </c>
      <c r="K689" t="s">
        <v>146</v>
      </c>
      <c r="L689" t="s">
        <v>139</v>
      </c>
      <c r="M689">
        <v>1</v>
      </c>
      <c r="N689">
        <v>11</v>
      </c>
      <c r="O689">
        <v>2023</v>
      </c>
      <c r="R689">
        <f>IF(wallet_records[[#This Row],[type]]="Gasto",wallet_records[[#This Row],[amount]]*(-1),wallet_records[[#This Row],[amount]])</f>
        <v>-330600</v>
      </c>
    </row>
    <row r="690" spans="1:18" x14ac:dyDescent="0.2">
      <c r="A690" t="s">
        <v>127</v>
      </c>
      <c r="B690" t="s">
        <v>144</v>
      </c>
      <c r="C690" t="s">
        <v>115</v>
      </c>
      <c r="D690" s="291">
        <v>330600</v>
      </c>
      <c r="E690">
        <v>330600</v>
      </c>
      <c r="F690" t="s">
        <v>116</v>
      </c>
      <c r="G690" t="s">
        <v>117</v>
      </c>
      <c r="H690" t="s">
        <v>145</v>
      </c>
      <c r="I690" s="197">
        <v>45200.791666666664</v>
      </c>
      <c r="J690" t="b">
        <v>0</v>
      </c>
      <c r="K690" t="s">
        <v>146</v>
      </c>
      <c r="L690" t="s">
        <v>139</v>
      </c>
      <c r="M690">
        <v>1</v>
      </c>
      <c r="N690">
        <v>10</v>
      </c>
      <c r="O690">
        <v>2023</v>
      </c>
      <c r="R690">
        <f>IF(wallet_records[[#This Row],[type]]="Gasto",wallet_records[[#This Row],[amount]]*(-1),wallet_records[[#This Row],[amount]])</f>
        <v>-330600</v>
      </c>
    </row>
    <row r="691" spans="1:18" x14ac:dyDescent="0.2">
      <c r="A691" t="s">
        <v>127</v>
      </c>
      <c r="B691" t="s">
        <v>144</v>
      </c>
      <c r="C691" t="s">
        <v>115</v>
      </c>
      <c r="D691" s="291">
        <v>330600</v>
      </c>
      <c r="E691">
        <v>330600</v>
      </c>
      <c r="F691" t="s">
        <v>116</v>
      </c>
      <c r="G691" t="s">
        <v>117</v>
      </c>
      <c r="H691" t="s">
        <v>145</v>
      </c>
      <c r="I691" s="197">
        <v>45170.791666666664</v>
      </c>
      <c r="J691" t="b">
        <v>0</v>
      </c>
      <c r="K691" t="s">
        <v>146</v>
      </c>
      <c r="L691" t="s">
        <v>139</v>
      </c>
      <c r="M691">
        <v>1</v>
      </c>
      <c r="N691">
        <v>9</v>
      </c>
      <c r="O691">
        <v>2023</v>
      </c>
      <c r="R691">
        <f>IF(wallet_records[[#This Row],[type]]="Gasto",wallet_records[[#This Row],[amount]]*(-1),wallet_records[[#This Row],[amount]])</f>
        <v>-330600</v>
      </c>
    </row>
    <row r="692" spans="1:18" x14ac:dyDescent="0.2">
      <c r="A692" t="s">
        <v>127</v>
      </c>
      <c r="B692" t="s">
        <v>144</v>
      </c>
      <c r="C692" t="s">
        <v>115</v>
      </c>
      <c r="D692" s="291">
        <v>330600</v>
      </c>
      <c r="E692">
        <v>330600</v>
      </c>
      <c r="F692" t="s">
        <v>116</v>
      </c>
      <c r="G692" t="s">
        <v>117</v>
      </c>
      <c r="H692" t="s">
        <v>145</v>
      </c>
      <c r="I692" s="197">
        <v>45139.791666666664</v>
      </c>
      <c r="J692" t="b">
        <v>0</v>
      </c>
      <c r="K692" t="s">
        <v>146</v>
      </c>
      <c r="L692" t="s">
        <v>139</v>
      </c>
      <c r="M692">
        <v>1</v>
      </c>
      <c r="N692">
        <v>8</v>
      </c>
      <c r="O692">
        <v>2023</v>
      </c>
      <c r="R692">
        <f>IF(wallet_records[[#This Row],[type]]="Gasto",wallet_records[[#This Row],[amount]]*(-1),wallet_records[[#This Row],[amount]])</f>
        <v>-330600</v>
      </c>
    </row>
    <row r="693" spans="1:18" x14ac:dyDescent="0.2">
      <c r="A693" t="s">
        <v>127</v>
      </c>
      <c r="B693" t="s">
        <v>144</v>
      </c>
      <c r="C693" t="s">
        <v>115</v>
      </c>
      <c r="D693" s="291">
        <v>330600</v>
      </c>
      <c r="E693">
        <v>330600</v>
      </c>
      <c r="F693" t="s">
        <v>116</v>
      </c>
      <c r="G693" t="s">
        <v>117</v>
      </c>
      <c r="H693" t="s">
        <v>145</v>
      </c>
      <c r="I693" s="197">
        <v>45108.791666666664</v>
      </c>
      <c r="J693" t="b">
        <v>0</v>
      </c>
      <c r="K693" t="s">
        <v>146</v>
      </c>
      <c r="L693" t="s">
        <v>139</v>
      </c>
      <c r="M693">
        <v>1</v>
      </c>
      <c r="N693">
        <v>7</v>
      </c>
      <c r="O693">
        <v>2023</v>
      </c>
      <c r="R693">
        <f>IF(wallet_records[[#This Row],[type]]="Gasto",wallet_records[[#This Row],[amount]]*(-1),wallet_records[[#This Row],[amount]])</f>
        <v>-330600</v>
      </c>
    </row>
    <row r="694" spans="1:18" x14ac:dyDescent="0.2">
      <c r="A694" t="s">
        <v>127</v>
      </c>
      <c r="B694" t="s">
        <v>144</v>
      </c>
      <c r="C694" t="s">
        <v>115</v>
      </c>
      <c r="D694" s="291">
        <v>330600</v>
      </c>
      <c r="E694">
        <v>330600</v>
      </c>
      <c r="F694" t="s">
        <v>116</v>
      </c>
      <c r="G694" t="s">
        <v>117</v>
      </c>
      <c r="H694" t="s">
        <v>145</v>
      </c>
      <c r="I694" s="197">
        <v>45079.791666666664</v>
      </c>
      <c r="J694" t="b">
        <v>0</v>
      </c>
      <c r="K694" t="s">
        <v>146</v>
      </c>
      <c r="L694" t="s">
        <v>139</v>
      </c>
      <c r="M694">
        <v>2</v>
      </c>
      <c r="N694">
        <v>6</v>
      </c>
      <c r="O694">
        <v>2023</v>
      </c>
      <c r="R694">
        <f>IF(wallet_records[[#This Row],[type]]="Gasto",wallet_records[[#This Row],[amount]]*(-1),wallet_records[[#This Row],[amount]])</f>
        <v>-330600</v>
      </c>
    </row>
    <row r="695" spans="1:18" x14ac:dyDescent="0.2">
      <c r="A695" t="s">
        <v>127</v>
      </c>
      <c r="B695" t="s">
        <v>144</v>
      </c>
      <c r="C695" t="s">
        <v>115</v>
      </c>
      <c r="D695" s="291">
        <v>330600</v>
      </c>
      <c r="E695">
        <v>330600</v>
      </c>
      <c r="F695" t="s">
        <v>116</v>
      </c>
      <c r="G695" t="s">
        <v>117</v>
      </c>
      <c r="H695" t="s">
        <v>145</v>
      </c>
      <c r="I695" s="197">
        <v>45050.791666666664</v>
      </c>
      <c r="J695" t="b">
        <v>0</v>
      </c>
      <c r="K695" t="s">
        <v>146</v>
      </c>
      <c r="L695" t="s">
        <v>139</v>
      </c>
      <c r="M695">
        <v>4</v>
      </c>
      <c r="N695">
        <v>5</v>
      </c>
      <c r="O695">
        <v>2023</v>
      </c>
      <c r="R695">
        <f>IF(wallet_records[[#This Row],[type]]="Gasto",wallet_records[[#This Row],[amount]]*(-1),wallet_records[[#This Row],[amount]])</f>
        <v>-330600</v>
      </c>
    </row>
    <row r="696" spans="1:18" x14ac:dyDescent="0.2">
      <c r="A696" t="s">
        <v>127</v>
      </c>
      <c r="B696" t="s">
        <v>144</v>
      </c>
      <c r="C696" t="s">
        <v>115</v>
      </c>
      <c r="D696" s="291">
        <v>330600</v>
      </c>
      <c r="E696">
        <v>330600</v>
      </c>
      <c r="F696" t="s">
        <v>116</v>
      </c>
      <c r="G696" t="s">
        <v>117</v>
      </c>
      <c r="H696" t="s">
        <v>145</v>
      </c>
      <c r="I696" s="197">
        <v>45016.791666666664</v>
      </c>
      <c r="J696" t="b">
        <v>0</v>
      </c>
      <c r="K696" t="s">
        <v>146</v>
      </c>
      <c r="L696" t="s">
        <v>139</v>
      </c>
      <c r="M696">
        <v>31</v>
      </c>
      <c r="N696">
        <v>3</v>
      </c>
      <c r="O696">
        <v>2023</v>
      </c>
      <c r="R696">
        <f>IF(wallet_records[[#This Row],[type]]="Gasto",wallet_records[[#This Row],[amount]]*(-1),wallet_records[[#This Row],[amount]])</f>
        <v>-330600</v>
      </c>
    </row>
    <row r="697" spans="1:18" x14ac:dyDescent="0.2">
      <c r="A697" t="s">
        <v>127</v>
      </c>
      <c r="B697" t="s">
        <v>144</v>
      </c>
      <c r="C697" t="s">
        <v>115</v>
      </c>
      <c r="D697" s="291">
        <v>330600</v>
      </c>
      <c r="E697">
        <v>330600</v>
      </c>
      <c r="F697" t="s">
        <v>116</v>
      </c>
      <c r="G697" t="s">
        <v>117</v>
      </c>
      <c r="H697" t="s">
        <v>145</v>
      </c>
      <c r="I697" s="197">
        <v>44989.791666666664</v>
      </c>
      <c r="J697" t="b">
        <v>0</v>
      </c>
      <c r="K697" t="s">
        <v>146</v>
      </c>
      <c r="L697" t="s">
        <v>139</v>
      </c>
      <c r="M697">
        <v>4</v>
      </c>
      <c r="N697">
        <v>3</v>
      </c>
      <c r="O697">
        <v>2023</v>
      </c>
      <c r="R697">
        <f>IF(wallet_records[[#This Row],[type]]="Gasto",wallet_records[[#This Row],[amount]]*(-1),wallet_records[[#This Row],[amount]])</f>
        <v>-330600</v>
      </c>
    </row>
    <row r="698" spans="1:18" x14ac:dyDescent="0.2">
      <c r="A698" t="s">
        <v>127</v>
      </c>
      <c r="B698" t="s">
        <v>144</v>
      </c>
      <c r="C698" t="s">
        <v>115</v>
      </c>
      <c r="D698" s="291">
        <v>330600</v>
      </c>
      <c r="E698">
        <v>330600</v>
      </c>
      <c r="F698" t="s">
        <v>116</v>
      </c>
      <c r="G698" t="s">
        <v>117</v>
      </c>
      <c r="H698" t="s">
        <v>145</v>
      </c>
      <c r="I698" s="197">
        <v>44957.791666666664</v>
      </c>
      <c r="J698" t="b">
        <v>0</v>
      </c>
      <c r="K698" t="s">
        <v>146</v>
      </c>
      <c r="L698" t="s">
        <v>139</v>
      </c>
      <c r="M698">
        <v>31</v>
      </c>
      <c r="N698">
        <v>1</v>
      </c>
      <c r="O698">
        <v>2023</v>
      </c>
      <c r="R698">
        <f>IF(wallet_records[[#This Row],[type]]="Gasto",wallet_records[[#This Row],[amount]]*(-1),wallet_records[[#This Row],[amount]])</f>
        <v>-330600</v>
      </c>
    </row>
    <row r="699" spans="1:18" x14ac:dyDescent="0.2">
      <c r="A699" t="s">
        <v>524</v>
      </c>
      <c r="B699" t="s">
        <v>154</v>
      </c>
      <c r="C699" t="s">
        <v>115</v>
      </c>
      <c r="D699" s="291">
        <v>574185</v>
      </c>
      <c r="E699">
        <v>574185</v>
      </c>
      <c r="F699" t="s">
        <v>116</v>
      </c>
      <c r="G699" t="s">
        <v>117</v>
      </c>
      <c r="H699" t="s">
        <v>508</v>
      </c>
      <c r="I699" s="197">
        <v>45005.791666666664</v>
      </c>
      <c r="J699" t="b">
        <v>0</v>
      </c>
      <c r="K699" t="s">
        <v>7</v>
      </c>
      <c r="L699" t="s">
        <v>7</v>
      </c>
      <c r="M699">
        <v>20</v>
      </c>
      <c r="N699">
        <v>3</v>
      </c>
      <c r="O699">
        <v>2023</v>
      </c>
      <c r="R699">
        <f>IF(wallet_records[[#This Row],[type]]="Gasto",wallet_records[[#This Row],[amount]]*(-1),wallet_records[[#This Row],[amount]])</f>
        <v>-574185</v>
      </c>
    </row>
    <row r="700" spans="1:18" x14ac:dyDescent="0.2">
      <c r="A700" t="s">
        <v>524</v>
      </c>
      <c r="B700" t="s">
        <v>154</v>
      </c>
      <c r="C700" t="s">
        <v>115</v>
      </c>
      <c r="D700" s="291">
        <v>191395</v>
      </c>
      <c r="E700">
        <v>191395</v>
      </c>
      <c r="F700" t="s">
        <v>116</v>
      </c>
      <c r="G700" t="s">
        <v>117</v>
      </c>
      <c r="H700" t="s">
        <v>508</v>
      </c>
      <c r="I700" s="197">
        <v>44988.791666666664</v>
      </c>
      <c r="J700" t="b">
        <v>0</v>
      </c>
      <c r="K700" t="s">
        <v>7</v>
      </c>
      <c r="L700" t="s">
        <v>7</v>
      </c>
      <c r="M700">
        <v>3</v>
      </c>
      <c r="N700">
        <v>3</v>
      </c>
      <c r="O700">
        <v>2023</v>
      </c>
      <c r="R700">
        <f>IF(wallet_records[[#This Row],[type]]="Gasto",wallet_records[[#This Row],[amount]]*(-1),wallet_records[[#This Row],[amount]])</f>
        <v>-191395</v>
      </c>
    </row>
    <row r="701" spans="1:18" x14ac:dyDescent="0.2">
      <c r="A701" t="s">
        <v>524</v>
      </c>
      <c r="B701" t="s">
        <v>154</v>
      </c>
      <c r="C701" t="s">
        <v>115</v>
      </c>
      <c r="D701" s="291">
        <v>269629</v>
      </c>
      <c r="E701">
        <v>269629</v>
      </c>
      <c r="F701" t="s">
        <v>116</v>
      </c>
      <c r="G701" t="s">
        <v>117</v>
      </c>
      <c r="H701" t="s">
        <v>508</v>
      </c>
      <c r="I701" s="197">
        <v>44957.792065208334</v>
      </c>
      <c r="J701" t="b">
        <v>0</v>
      </c>
      <c r="K701" t="s">
        <v>546</v>
      </c>
      <c r="L701" t="s">
        <v>6</v>
      </c>
      <c r="M701">
        <v>31</v>
      </c>
      <c r="N701">
        <v>1</v>
      </c>
      <c r="O701">
        <v>2023</v>
      </c>
      <c r="R701">
        <f>IF(wallet_records[[#This Row],[type]]="Gasto",wallet_records[[#This Row],[amount]]*(-1),wallet_records[[#This Row],[amount]])</f>
        <v>-269629</v>
      </c>
    </row>
    <row r="702" spans="1:18" x14ac:dyDescent="0.2">
      <c r="A702" t="s">
        <v>524</v>
      </c>
      <c r="B702" t="s">
        <v>154</v>
      </c>
      <c r="C702" t="s">
        <v>115</v>
      </c>
      <c r="D702" s="291">
        <v>2905777</v>
      </c>
      <c r="E702">
        <v>2905777</v>
      </c>
      <c r="F702" t="s">
        <v>116</v>
      </c>
      <c r="G702" t="s">
        <v>117</v>
      </c>
      <c r="H702" t="s">
        <v>508</v>
      </c>
      <c r="I702" s="197">
        <v>44957.791666666664</v>
      </c>
      <c r="J702" t="b">
        <v>0</v>
      </c>
      <c r="K702" t="s">
        <v>46</v>
      </c>
      <c r="L702" t="s">
        <v>46</v>
      </c>
      <c r="M702">
        <v>31</v>
      </c>
      <c r="N702">
        <v>1</v>
      </c>
      <c r="O702">
        <v>2023</v>
      </c>
      <c r="R702">
        <f>IF(wallet_records[[#This Row],[type]]="Gasto",wallet_records[[#This Row],[amount]]*(-1),wallet_records[[#This Row],[amount]])</f>
        <v>-2905777</v>
      </c>
    </row>
    <row r="703" spans="1:18" x14ac:dyDescent="0.2">
      <c r="A703" t="s">
        <v>524</v>
      </c>
      <c r="B703" t="s">
        <v>154</v>
      </c>
      <c r="C703" t="s">
        <v>115</v>
      </c>
      <c r="D703" s="291">
        <v>196050</v>
      </c>
      <c r="E703">
        <v>196050</v>
      </c>
      <c r="F703" t="s">
        <v>116</v>
      </c>
      <c r="G703" t="s">
        <v>117</v>
      </c>
      <c r="H703" t="s">
        <v>98</v>
      </c>
      <c r="I703" s="197">
        <v>44957.791666666664</v>
      </c>
      <c r="J703" t="b">
        <v>0</v>
      </c>
      <c r="K703" t="s">
        <v>3</v>
      </c>
      <c r="L703" t="s">
        <v>3</v>
      </c>
      <c r="M703">
        <v>31</v>
      </c>
      <c r="N703">
        <v>1</v>
      </c>
      <c r="O703">
        <v>2023</v>
      </c>
      <c r="R703">
        <f>IF(wallet_records[[#This Row],[type]]="Gasto",wallet_records[[#This Row],[amount]]*(-1),wallet_records[[#This Row],[amount]])</f>
        <v>-196050</v>
      </c>
    </row>
    <row r="704" spans="1:18" x14ac:dyDescent="0.2">
      <c r="A704" t="s">
        <v>524</v>
      </c>
      <c r="B704" t="s">
        <v>154</v>
      </c>
      <c r="C704" t="s">
        <v>115</v>
      </c>
      <c r="D704" s="291">
        <v>39000</v>
      </c>
      <c r="E704">
        <v>39000</v>
      </c>
      <c r="F704" t="s">
        <v>116</v>
      </c>
      <c r="G704" t="s">
        <v>117</v>
      </c>
      <c r="H704" t="s">
        <v>97</v>
      </c>
      <c r="I704" s="197">
        <v>44957.791666666664</v>
      </c>
      <c r="J704" t="b">
        <v>0</v>
      </c>
      <c r="K704" t="s">
        <v>3</v>
      </c>
      <c r="L704" t="s">
        <v>3</v>
      </c>
      <c r="M704">
        <v>31</v>
      </c>
      <c r="N704">
        <v>1</v>
      </c>
      <c r="O704">
        <v>2023</v>
      </c>
      <c r="R704">
        <f>IF(wallet_records[[#This Row],[type]]="Gasto",wallet_records[[#This Row],[amount]]*(-1),wallet_records[[#This Row],[amount]])</f>
        <v>-39000</v>
      </c>
    </row>
    <row r="705" spans="1:18" x14ac:dyDescent="0.2">
      <c r="A705" t="s">
        <v>524</v>
      </c>
      <c r="B705" t="s">
        <v>154</v>
      </c>
      <c r="C705" t="s">
        <v>115</v>
      </c>
      <c r="D705" s="291">
        <v>84880</v>
      </c>
      <c r="E705">
        <v>84880</v>
      </c>
      <c r="F705" t="s">
        <v>116</v>
      </c>
      <c r="G705" t="s">
        <v>117</v>
      </c>
      <c r="H705" t="s">
        <v>508</v>
      </c>
      <c r="I705" s="197">
        <v>44957.791666666664</v>
      </c>
      <c r="J705" t="b">
        <v>0</v>
      </c>
      <c r="K705" t="s">
        <v>218</v>
      </c>
      <c r="L705" t="s">
        <v>1</v>
      </c>
      <c r="M705">
        <v>31</v>
      </c>
      <c r="N705">
        <v>1</v>
      </c>
      <c r="O705">
        <v>2023</v>
      </c>
      <c r="R705">
        <f>IF(wallet_records[[#This Row],[type]]="Gasto",wallet_records[[#This Row],[amount]]*(-1),wallet_records[[#This Row],[amount]])</f>
        <v>-84880</v>
      </c>
    </row>
    <row r="706" spans="1:18" x14ac:dyDescent="0.2">
      <c r="A706" t="s">
        <v>524</v>
      </c>
      <c r="B706" t="s">
        <v>154</v>
      </c>
      <c r="C706" t="s">
        <v>115</v>
      </c>
      <c r="D706" s="291">
        <v>1567413</v>
      </c>
      <c r="E706">
        <v>1567413</v>
      </c>
      <c r="F706" t="s">
        <v>116</v>
      </c>
      <c r="G706" t="s">
        <v>117</v>
      </c>
      <c r="H706" t="s">
        <v>508</v>
      </c>
      <c r="I706" s="197">
        <v>44957.791666666664</v>
      </c>
      <c r="J706" t="b">
        <v>0</v>
      </c>
      <c r="K706" t="s">
        <v>1</v>
      </c>
      <c r="L706" t="s">
        <v>1</v>
      </c>
      <c r="M706">
        <v>31</v>
      </c>
      <c r="N706">
        <v>1</v>
      </c>
      <c r="O706">
        <v>2023</v>
      </c>
      <c r="R706">
        <f>IF(wallet_records[[#This Row],[type]]="Gasto",wallet_records[[#This Row],[amount]]*(-1),wallet_records[[#This Row],[amount]])</f>
        <v>-1567413</v>
      </c>
    </row>
    <row r="707" spans="1:18" x14ac:dyDescent="0.2">
      <c r="A707" t="s">
        <v>524</v>
      </c>
      <c r="B707" t="s">
        <v>154</v>
      </c>
      <c r="C707" t="s">
        <v>115</v>
      </c>
      <c r="D707" s="291">
        <v>70269</v>
      </c>
      <c r="E707">
        <v>70269</v>
      </c>
      <c r="F707" t="s">
        <v>116</v>
      </c>
      <c r="G707" t="s">
        <v>117</v>
      </c>
      <c r="H707" t="s">
        <v>508</v>
      </c>
      <c r="I707" s="197">
        <v>44957.791666666664</v>
      </c>
      <c r="J707" t="b">
        <v>0</v>
      </c>
      <c r="K707" t="s">
        <v>77</v>
      </c>
      <c r="L707" t="s">
        <v>77</v>
      </c>
      <c r="M707">
        <v>31</v>
      </c>
      <c r="N707">
        <v>1</v>
      </c>
      <c r="O707">
        <v>2023</v>
      </c>
      <c r="R707">
        <f>IF(wallet_records[[#This Row],[type]]="Gasto",wallet_records[[#This Row],[amount]]*(-1),wallet_records[[#This Row],[amount]])</f>
        <v>-70269</v>
      </c>
    </row>
    <row r="708" spans="1:18" x14ac:dyDescent="0.2">
      <c r="A708" t="s">
        <v>524</v>
      </c>
      <c r="B708" t="s">
        <v>154</v>
      </c>
      <c r="C708" t="s">
        <v>115</v>
      </c>
      <c r="D708" s="291">
        <v>26800</v>
      </c>
      <c r="E708">
        <v>26800</v>
      </c>
      <c r="F708" t="s">
        <v>116</v>
      </c>
      <c r="G708" t="s">
        <v>117</v>
      </c>
      <c r="H708" t="s">
        <v>99</v>
      </c>
      <c r="I708" s="197">
        <v>44957.791666666664</v>
      </c>
      <c r="J708" t="b">
        <v>0</v>
      </c>
      <c r="K708" t="s">
        <v>5</v>
      </c>
      <c r="L708" t="s">
        <v>5</v>
      </c>
      <c r="M708">
        <v>31</v>
      </c>
      <c r="N708">
        <v>1</v>
      </c>
      <c r="O708">
        <v>2023</v>
      </c>
      <c r="R708">
        <f>IF(wallet_records[[#This Row],[type]]="Gasto",wallet_records[[#This Row],[amount]]*(-1),wallet_records[[#This Row],[amount]])</f>
        <v>-26800</v>
      </c>
    </row>
    <row r="709" spans="1:18" x14ac:dyDescent="0.2">
      <c r="A709" t="s">
        <v>524</v>
      </c>
      <c r="B709" t="s">
        <v>154</v>
      </c>
      <c r="C709" t="s">
        <v>115</v>
      </c>
      <c r="D709" s="291">
        <v>1308743</v>
      </c>
      <c r="E709">
        <v>1308743</v>
      </c>
      <c r="F709" t="s">
        <v>116</v>
      </c>
      <c r="G709" t="s">
        <v>117</v>
      </c>
      <c r="H709" t="s">
        <v>508</v>
      </c>
      <c r="I709" s="197">
        <v>44957.791666666664</v>
      </c>
      <c r="J709" t="b">
        <v>0</v>
      </c>
      <c r="K709" t="s">
        <v>0</v>
      </c>
      <c r="L709" t="s">
        <v>0</v>
      </c>
      <c r="M709">
        <v>31</v>
      </c>
      <c r="N709">
        <v>1</v>
      </c>
      <c r="O709">
        <v>2023</v>
      </c>
      <c r="R709">
        <f>IF(wallet_records[[#This Row],[type]]="Gasto",wallet_records[[#This Row],[amount]]*(-1),wallet_records[[#This Row],[amount]])</f>
        <v>-1308743</v>
      </c>
    </row>
    <row r="710" spans="1:18" x14ac:dyDescent="0.2">
      <c r="A710" t="s">
        <v>524</v>
      </c>
      <c r="B710" t="s">
        <v>154</v>
      </c>
      <c r="C710" t="s">
        <v>115</v>
      </c>
      <c r="D710" s="291">
        <v>26800</v>
      </c>
      <c r="E710">
        <v>26800</v>
      </c>
      <c r="F710" t="s">
        <v>116</v>
      </c>
      <c r="G710" t="s">
        <v>117</v>
      </c>
      <c r="H710" t="s">
        <v>99</v>
      </c>
      <c r="I710" s="197">
        <v>44957.791666666664</v>
      </c>
      <c r="J710" t="b">
        <v>0</v>
      </c>
      <c r="K710" t="s">
        <v>5</v>
      </c>
      <c r="L710" t="s">
        <v>5</v>
      </c>
      <c r="M710">
        <v>31</v>
      </c>
      <c r="N710">
        <v>1</v>
      </c>
      <c r="O710">
        <v>2023</v>
      </c>
      <c r="R710">
        <f>IF(wallet_records[[#This Row],[type]]="Gasto",wallet_records[[#This Row],[amount]]*(-1),wallet_records[[#This Row],[amount]])</f>
        <v>-26800</v>
      </c>
    </row>
    <row r="711" spans="1:18" x14ac:dyDescent="0.2">
      <c r="A711" t="s">
        <v>524</v>
      </c>
      <c r="B711" t="s">
        <v>154</v>
      </c>
      <c r="C711" t="s">
        <v>115</v>
      </c>
      <c r="D711" s="291">
        <v>801150</v>
      </c>
      <c r="E711">
        <v>801150</v>
      </c>
      <c r="F711" t="s">
        <v>116</v>
      </c>
      <c r="G711" t="s">
        <v>117</v>
      </c>
      <c r="H711" t="s">
        <v>508</v>
      </c>
      <c r="I711" s="197">
        <v>44957.791666666664</v>
      </c>
      <c r="J711" t="b">
        <v>0</v>
      </c>
      <c r="K711" t="s">
        <v>77</v>
      </c>
      <c r="L711" t="s">
        <v>77</v>
      </c>
      <c r="M711">
        <v>31</v>
      </c>
      <c r="N711">
        <v>1</v>
      </c>
      <c r="O711">
        <v>2023</v>
      </c>
      <c r="R711">
        <f>IF(wallet_records[[#This Row],[type]]="Gasto",wallet_records[[#This Row],[amount]]*(-1),wallet_records[[#This Row],[amount]])</f>
        <v>-801150</v>
      </c>
    </row>
    <row r="712" spans="1:18" x14ac:dyDescent="0.2">
      <c r="A712" t="s">
        <v>524</v>
      </c>
      <c r="B712" t="s">
        <v>154</v>
      </c>
      <c r="C712" t="s">
        <v>115</v>
      </c>
      <c r="D712" s="291">
        <v>134178</v>
      </c>
      <c r="E712">
        <v>134178</v>
      </c>
      <c r="F712" t="s">
        <v>116</v>
      </c>
      <c r="G712" t="s">
        <v>117</v>
      </c>
      <c r="H712" t="s">
        <v>508</v>
      </c>
      <c r="I712" s="197">
        <v>44957.791666666664</v>
      </c>
      <c r="J712" t="b">
        <v>0</v>
      </c>
      <c r="K712" t="s">
        <v>0</v>
      </c>
      <c r="L712" t="s">
        <v>0</v>
      </c>
      <c r="M712">
        <v>31</v>
      </c>
      <c r="N712">
        <v>1</v>
      </c>
      <c r="O712">
        <v>2023</v>
      </c>
      <c r="R712">
        <f>IF(wallet_records[[#This Row],[type]]="Gasto",wallet_records[[#This Row],[amount]]*(-1),wallet_records[[#This Row],[amount]])</f>
        <v>-134178</v>
      </c>
    </row>
    <row r="713" spans="1:18" x14ac:dyDescent="0.2">
      <c r="A713" t="s">
        <v>524</v>
      </c>
      <c r="B713" t="s">
        <v>131</v>
      </c>
      <c r="C713" t="s">
        <v>115</v>
      </c>
      <c r="D713" s="291">
        <v>2551010</v>
      </c>
      <c r="E713">
        <v>2551010</v>
      </c>
      <c r="F713" t="s">
        <v>116</v>
      </c>
      <c r="G713" t="s">
        <v>117</v>
      </c>
      <c r="H713" t="s">
        <v>93</v>
      </c>
      <c r="I713" s="197">
        <v>44957.791666666664</v>
      </c>
      <c r="J713" t="b">
        <v>0</v>
      </c>
      <c r="K713" t="s">
        <v>3</v>
      </c>
      <c r="L713" t="s">
        <v>3</v>
      </c>
      <c r="M713">
        <v>31</v>
      </c>
      <c r="N713">
        <v>1</v>
      </c>
      <c r="O713">
        <v>2023</v>
      </c>
      <c r="R713">
        <f>IF(wallet_records[[#This Row],[type]]="Gasto",wallet_records[[#This Row],[amount]]*(-1),wallet_records[[#This Row],[amount]])</f>
        <v>-2551010</v>
      </c>
    </row>
    <row r="714" spans="1:18" x14ac:dyDescent="0.2">
      <c r="A714" t="s">
        <v>524</v>
      </c>
      <c r="B714" t="s">
        <v>131</v>
      </c>
      <c r="C714" t="s">
        <v>115</v>
      </c>
      <c r="D714" s="291">
        <v>624000</v>
      </c>
      <c r="E714">
        <v>624000</v>
      </c>
      <c r="F714" t="s">
        <v>116</v>
      </c>
      <c r="G714" t="s">
        <v>117</v>
      </c>
      <c r="H714" t="s">
        <v>225</v>
      </c>
      <c r="I714" s="197">
        <v>44957.791666666664</v>
      </c>
      <c r="J714" t="b">
        <v>0</v>
      </c>
      <c r="K714" t="s">
        <v>3</v>
      </c>
      <c r="L714" t="s">
        <v>3</v>
      </c>
      <c r="M714">
        <v>31</v>
      </c>
      <c r="N714">
        <v>1</v>
      </c>
      <c r="O714">
        <v>2023</v>
      </c>
      <c r="R714">
        <f>IF(wallet_records[[#This Row],[type]]="Gasto",wallet_records[[#This Row],[amount]]*(-1),wallet_records[[#This Row],[amount]])</f>
        <v>-624000</v>
      </c>
    </row>
    <row r="715" spans="1:18" x14ac:dyDescent="0.2">
      <c r="A715" t="s">
        <v>525</v>
      </c>
      <c r="B715" t="s">
        <v>124</v>
      </c>
      <c r="C715" t="s">
        <v>115</v>
      </c>
      <c r="D715" s="291">
        <v>92306.17</v>
      </c>
      <c r="E715">
        <v>92306.17</v>
      </c>
      <c r="F715" t="s">
        <v>121</v>
      </c>
      <c r="G715" t="s">
        <v>117</v>
      </c>
      <c r="H715" t="s">
        <v>125</v>
      </c>
      <c r="I715" s="197">
        <v>45261.791666666664</v>
      </c>
      <c r="J715" t="b">
        <v>0</v>
      </c>
      <c r="K715" t="s">
        <v>127</v>
      </c>
      <c r="L715" t="s">
        <v>123</v>
      </c>
      <c r="M715">
        <v>1</v>
      </c>
      <c r="N715">
        <v>12</v>
      </c>
      <c r="O715">
        <v>2023</v>
      </c>
      <c r="R715">
        <f>IF(wallet_records[[#This Row],[type]]="Gasto",wallet_records[[#This Row],[amount]]*(-1),wallet_records[[#This Row],[amount]])</f>
        <v>92306.17</v>
      </c>
    </row>
    <row r="716" spans="1:18" x14ac:dyDescent="0.2">
      <c r="A716" t="s">
        <v>524</v>
      </c>
      <c r="B716" t="s">
        <v>124</v>
      </c>
      <c r="C716" t="s">
        <v>115</v>
      </c>
      <c r="D716" s="291">
        <v>215306.14</v>
      </c>
      <c r="E716">
        <v>215306.14</v>
      </c>
      <c r="F716" t="s">
        <v>121</v>
      </c>
      <c r="G716" t="s">
        <v>117</v>
      </c>
      <c r="H716" t="s">
        <v>125</v>
      </c>
      <c r="I716" s="197">
        <v>45261.791666666664</v>
      </c>
      <c r="J716" t="b">
        <v>0</v>
      </c>
      <c r="K716" t="s">
        <v>127</v>
      </c>
      <c r="L716" t="s">
        <v>123</v>
      </c>
      <c r="M716">
        <v>1</v>
      </c>
      <c r="N716">
        <v>12</v>
      </c>
      <c r="O716">
        <v>2023</v>
      </c>
      <c r="R716">
        <f>IF(wallet_records[[#This Row],[type]]="Gasto",wallet_records[[#This Row],[amount]]*(-1),wallet_records[[#This Row],[amount]])</f>
        <v>215306.14</v>
      </c>
    </row>
    <row r="717" spans="1:18" x14ac:dyDescent="0.2">
      <c r="A717" t="s">
        <v>524</v>
      </c>
      <c r="B717" t="s">
        <v>124</v>
      </c>
      <c r="C717" t="s">
        <v>115</v>
      </c>
      <c r="D717" s="291">
        <v>199325.67</v>
      </c>
      <c r="E717">
        <v>199325.67</v>
      </c>
      <c r="F717" t="s">
        <v>121</v>
      </c>
      <c r="G717" t="s">
        <v>117</v>
      </c>
      <c r="H717" t="s">
        <v>125</v>
      </c>
      <c r="I717" s="197">
        <v>45231.791666666664</v>
      </c>
      <c r="J717" t="b">
        <v>0</v>
      </c>
      <c r="K717" t="s">
        <v>127</v>
      </c>
      <c r="L717" t="s">
        <v>123</v>
      </c>
      <c r="M717">
        <v>1</v>
      </c>
      <c r="N717">
        <v>11</v>
      </c>
      <c r="O717">
        <v>2023</v>
      </c>
      <c r="R717">
        <f>IF(wallet_records[[#This Row],[type]]="Gasto",wallet_records[[#This Row],[amount]]*(-1),wallet_records[[#This Row],[amount]])</f>
        <v>199325.67</v>
      </c>
    </row>
    <row r="718" spans="1:18" x14ac:dyDescent="0.2">
      <c r="A718" t="s">
        <v>525</v>
      </c>
      <c r="B718" t="s">
        <v>124</v>
      </c>
      <c r="C718" t="s">
        <v>115</v>
      </c>
      <c r="D718" s="291">
        <v>88743</v>
      </c>
      <c r="E718">
        <v>88743</v>
      </c>
      <c r="F718" t="s">
        <v>121</v>
      </c>
      <c r="G718" t="s">
        <v>117</v>
      </c>
      <c r="H718" t="s">
        <v>125</v>
      </c>
      <c r="I718" s="197">
        <v>45231.791666666664</v>
      </c>
      <c r="J718" t="b">
        <v>0</v>
      </c>
      <c r="K718" t="s">
        <v>127</v>
      </c>
      <c r="L718" t="s">
        <v>123</v>
      </c>
      <c r="M718">
        <v>1</v>
      </c>
      <c r="N718">
        <v>11</v>
      </c>
      <c r="O718">
        <v>2023</v>
      </c>
      <c r="R718">
        <f>IF(wallet_records[[#This Row],[type]]="Gasto",wallet_records[[#This Row],[amount]]*(-1),wallet_records[[#This Row],[amount]])</f>
        <v>88743</v>
      </c>
    </row>
    <row r="719" spans="1:18" x14ac:dyDescent="0.2">
      <c r="A719" t="s">
        <v>525</v>
      </c>
      <c r="B719" t="s">
        <v>124</v>
      </c>
      <c r="C719" t="s">
        <v>115</v>
      </c>
      <c r="D719" s="291">
        <v>87311.88</v>
      </c>
      <c r="E719">
        <v>87311.88</v>
      </c>
      <c r="F719" t="s">
        <v>121</v>
      </c>
      <c r="G719" t="s">
        <v>117</v>
      </c>
      <c r="H719" t="s">
        <v>125</v>
      </c>
      <c r="I719" s="197">
        <v>45200.791666666664</v>
      </c>
      <c r="J719" t="b">
        <v>0</v>
      </c>
      <c r="K719" t="s">
        <v>127</v>
      </c>
      <c r="L719" t="s">
        <v>123</v>
      </c>
      <c r="M719">
        <v>1</v>
      </c>
      <c r="N719">
        <v>10</v>
      </c>
      <c r="O719">
        <v>2023</v>
      </c>
      <c r="R719">
        <f>IF(wallet_records[[#This Row],[type]]="Gasto",wallet_records[[#This Row],[amount]]*(-1),wallet_records[[#This Row],[amount]])</f>
        <v>87311.88</v>
      </c>
    </row>
    <row r="720" spans="1:18" x14ac:dyDescent="0.2">
      <c r="A720" t="s">
        <v>524</v>
      </c>
      <c r="B720" t="s">
        <v>124</v>
      </c>
      <c r="C720" t="s">
        <v>115</v>
      </c>
      <c r="D720" s="291">
        <v>186240.26</v>
      </c>
      <c r="E720">
        <v>186240.26</v>
      </c>
      <c r="F720" t="s">
        <v>121</v>
      </c>
      <c r="G720" t="s">
        <v>117</v>
      </c>
      <c r="H720" t="s">
        <v>125</v>
      </c>
      <c r="I720" s="197">
        <v>45200.791666666664</v>
      </c>
      <c r="J720" t="b">
        <v>0</v>
      </c>
      <c r="K720" t="s">
        <v>127</v>
      </c>
      <c r="L720" t="s">
        <v>123</v>
      </c>
      <c r="M720">
        <v>1</v>
      </c>
      <c r="N720">
        <v>10</v>
      </c>
      <c r="O720">
        <v>2023</v>
      </c>
      <c r="R720">
        <f>IF(wallet_records[[#This Row],[type]]="Gasto",wallet_records[[#This Row],[amount]]*(-1),wallet_records[[#This Row],[amount]])</f>
        <v>186240.26</v>
      </c>
    </row>
    <row r="721" spans="1:18" x14ac:dyDescent="0.2">
      <c r="A721" t="s">
        <v>525</v>
      </c>
      <c r="B721" t="s">
        <v>124</v>
      </c>
      <c r="C721" t="s">
        <v>115</v>
      </c>
      <c r="D721" s="291">
        <v>80526.649999999994</v>
      </c>
      <c r="E721">
        <v>80526.649999999994</v>
      </c>
      <c r="F721" t="s">
        <v>121</v>
      </c>
      <c r="G721" t="s">
        <v>117</v>
      </c>
      <c r="H721" t="s">
        <v>125</v>
      </c>
      <c r="I721" s="197">
        <v>45170.791666666664</v>
      </c>
      <c r="J721" t="b">
        <v>0</v>
      </c>
      <c r="K721" t="s">
        <v>127</v>
      </c>
      <c r="L721" t="s">
        <v>123</v>
      </c>
      <c r="M721">
        <v>1</v>
      </c>
      <c r="N721">
        <v>9</v>
      </c>
      <c r="O721">
        <v>2023</v>
      </c>
      <c r="R721">
        <f>IF(wallet_records[[#This Row],[type]]="Gasto",wallet_records[[#This Row],[amount]]*(-1),wallet_records[[#This Row],[amount]])</f>
        <v>80526.649999999994</v>
      </c>
    </row>
    <row r="722" spans="1:18" x14ac:dyDescent="0.2">
      <c r="A722" t="s">
        <v>524</v>
      </c>
      <c r="B722" t="s">
        <v>124</v>
      </c>
      <c r="C722" t="s">
        <v>115</v>
      </c>
      <c r="D722" s="291">
        <v>163047.78</v>
      </c>
      <c r="E722">
        <v>163047.78</v>
      </c>
      <c r="F722" t="s">
        <v>121</v>
      </c>
      <c r="G722" t="s">
        <v>117</v>
      </c>
      <c r="H722" t="s">
        <v>125</v>
      </c>
      <c r="I722" s="197">
        <v>45170.791666666664</v>
      </c>
      <c r="J722" t="b">
        <v>0</v>
      </c>
      <c r="K722" t="s">
        <v>127</v>
      </c>
      <c r="L722" t="s">
        <v>123</v>
      </c>
      <c r="M722">
        <v>1</v>
      </c>
      <c r="N722">
        <v>9</v>
      </c>
      <c r="O722">
        <v>2023</v>
      </c>
      <c r="R722">
        <f>IF(wallet_records[[#This Row],[type]]="Gasto",wallet_records[[#This Row],[amount]]*(-1),wallet_records[[#This Row],[amount]])</f>
        <v>163047.78</v>
      </c>
    </row>
    <row r="723" spans="1:18" x14ac:dyDescent="0.2">
      <c r="A723" t="s">
        <v>525</v>
      </c>
      <c r="B723" t="s">
        <v>124</v>
      </c>
      <c r="C723" t="s">
        <v>115</v>
      </c>
      <c r="D723" s="291">
        <v>73808.41</v>
      </c>
      <c r="E723">
        <v>73808.41</v>
      </c>
      <c r="F723" t="s">
        <v>121</v>
      </c>
      <c r="G723" t="s">
        <v>117</v>
      </c>
      <c r="H723" t="s">
        <v>125</v>
      </c>
      <c r="I723" s="197">
        <v>45139.791666666664</v>
      </c>
      <c r="J723" t="b">
        <v>0</v>
      </c>
      <c r="K723" t="s">
        <v>127</v>
      </c>
      <c r="L723" t="s">
        <v>123</v>
      </c>
      <c r="M723">
        <v>1</v>
      </c>
      <c r="N723">
        <v>8</v>
      </c>
      <c r="O723">
        <v>2023</v>
      </c>
      <c r="R723">
        <f>IF(wallet_records[[#This Row],[type]]="Gasto",wallet_records[[#This Row],[amount]]*(-1),wallet_records[[#This Row],[amount]])</f>
        <v>73808.41</v>
      </c>
    </row>
    <row r="724" spans="1:18" x14ac:dyDescent="0.2">
      <c r="A724" t="s">
        <v>524</v>
      </c>
      <c r="B724" t="s">
        <v>124</v>
      </c>
      <c r="C724" t="s">
        <v>115</v>
      </c>
      <c r="D724" s="291">
        <v>132934.07</v>
      </c>
      <c r="E724">
        <v>132934.07</v>
      </c>
      <c r="F724" t="s">
        <v>121</v>
      </c>
      <c r="G724" t="s">
        <v>117</v>
      </c>
      <c r="H724" t="s">
        <v>125</v>
      </c>
      <c r="I724" s="197">
        <v>45139.791666666664</v>
      </c>
      <c r="J724" t="b">
        <v>0</v>
      </c>
      <c r="K724" t="s">
        <v>127</v>
      </c>
      <c r="L724" t="s">
        <v>123</v>
      </c>
      <c r="M724">
        <v>1</v>
      </c>
      <c r="N724">
        <v>8</v>
      </c>
      <c r="O724">
        <v>2023</v>
      </c>
      <c r="R724">
        <f>IF(wallet_records[[#This Row],[type]]="Gasto",wallet_records[[#This Row],[amount]]*(-1),wallet_records[[#This Row],[amount]])</f>
        <v>132934.07</v>
      </c>
    </row>
    <row r="725" spans="1:18" x14ac:dyDescent="0.2">
      <c r="A725" t="s">
        <v>525</v>
      </c>
      <c r="B725" t="s">
        <v>124</v>
      </c>
      <c r="C725" t="s">
        <v>115</v>
      </c>
      <c r="D725" s="291">
        <v>51678.84</v>
      </c>
      <c r="E725">
        <v>51678.84</v>
      </c>
      <c r="F725" t="s">
        <v>121</v>
      </c>
      <c r="G725" t="s">
        <v>117</v>
      </c>
      <c r="H725" t="s">
        <v>125</v>
      </c>
      <c r="I725" s="197">
        <v>45108.791666666664</v>
      </c>
      <c r="J725" t="b">
        <v>0</v>
      </c>
      <c r="K725" t="s">
        <v>127</v>
      </c>
      <c r="L725" t="s">
        <v>123</v>
      </c>
      <c r="M725">
        <v>1</v>
      </c>
      <c r="N725">
        <v>7</v>
      </c>
      <c r="O725">
        <v>2023</v>
      </c>
      <c r="R725">
        <f>IF(wallet_records[[#This Row],[type]]="Gasto",wallet_records[[#This Row],[amount]]*(-1),wallet_records[[#This Row],[amount]])</f>
        <v>51678.84</v>
      </c>
    </row>
    <row r="726" spans="1:18" x14ac:dyDescent="0.2">
      <c r="A726" t="s">
        <v>524</v>
      </c>
      <c r="B726" t="s">
        <v>124</v>
      </c>
      <c r="C726" t="s">
        <v>115</v>
      </c>
      <c r="D726" s="291">
        <v>86092.91</v>
      </c>
      <c r="E726">
        <v>86092.91</v>
      </c>
      <c r="F726" t="s">
        <v>121</v>
      </c>
      <c r="G726" t="s">
        <v>117</v>
      </c>
      <c r="H726" t="s">
        <v>125</v>
      </c>
      <c r="I726" s="197">
        <v>45108.791666666664</v>
      </c>
      <c r="J726" t="b">
        <v>0</v>
      </c>
      <c r="K726" t="s">
        <v>127</v>
      </c>
      <c r="L726" t="s">
        <v>123</v>
      </c>
      <c r="M726">
        <v>1</v>
      </c>
      <c r="N726">
        <v>7</v>
      </c>
      <c r="O726">
        <v>2023</v>
      </c>
      <c r="R726">
        <f>IF(wallet_records[[#This Row],[type]]="Gasto",wallet_records[[#This Row],[amount]]*(-1),wallet_records[[#This Row],[amount]])</f>
        <v>86092.91</v>
      </c>
    </row>
    <row r="727" spans="1:18" x14ac:dyDescent="0.2">
      <c r="A727" t="s">
        <v>524</v>
      </c>
      <c r="B727" t="s">
        <v>124</v>
      </c>
      <c r="C727" t="s">
        <v>115</v>
      </c>
      <c r="D727" s="291">
        <v>70245.100000000006</v>
      </c>
      <c r="E727">
        <v>70245.100000000006</v>
      </c>
      <c r="F727" t="s">
        <v>121</v>
      </c>
      <c r="G727" t="s">
        <v>117</v>
      </c>
      <c r="H727" t="s">
        <v>125</v>
      </c>
      <c r="I727" s="197">
        <v>45078.791666666664</v>
      </c>
      <c r="J727" t="b">
        <v>0</v>
      </c>
      <c r="K727" t="s">
        <v>127</v>
      </c>
      <c r="L727" t="s">
        <v>123</v>
      </c>
      <c r="M727">
        <v>1</v>
      </c>
      <c r="N727">
        <v>6</v>
      </c>
      <c r="O727">
        <v>2023</v>
      </c>
      <c r="R727">
        <f>IF(wallet_records[[#This Row],[type]]="Gasto",wallet_records[[#This Row],[amount]]*(-1),wallet_records[[#This Row],[amount]])</f>
        <v>70245.100000000006</v>
      </c>
    </row>
    <row r="728" spans="1:18" x14ac:dyDescent="0.2">
      <c r="A728" t="s">
        <v>525</v>
      </c>
      <c r="B728" t="s">
        <v>124</v>
      </c>
      <c r="C728" t="s">
        <v>115</v>
      </c>
      <c r="D728" s="291">
        <v>46750.89</v>
      </c>
      <c r="E728">
        <v>46750.89</v>
      </c>
      <c r="F728" t="s">
        <v>121</v>
      </c>
      <c r="G728" t="s">
        <v>117</v>
      </c>
      <c r="H728" t="s">
        <v>125</v>
      </c>
      <c r="I728" s="197">
        <v>45078.791666666664</v>
      </c>
      <c r="J728" t="b">
        <v>0</v>
      </c>
      <c r="K728" t="s">
        <v>127</v>
      </c>
      <c r="L728" t="s">
        <v>123</v>
      </c>
      <c r="M728">
        <v>1</v>
      </c>
      <c r="N728">
        <v>6</v>
      </c>
      <c r="O728">
        <v>2023</v>
      </c>
      <c r="R728">
        <f>IF(wallet_records[[#This Row],[type]]="Gasto",wallet_records[[#This Row],[amount]]*(-1),wallet_records[[#This Row],[amount]])</f>
        <v>46750.89</v>
      </c>
    </row>
    <row r="729" spans="1:18" x14ac:dyDescent="0.2">
      <c r="A729" t="s">
        <v>524</v>
      </c>
      <c r="B729" t="s">
        <v>124</v>
      </c>
      <c r="C729" t="s">
        <v>115</v>
      </c>
      <c r="D729" s="291">
        <v>63003.67</v>
      </c>
      <c r="E729">
        <v>63003.67</v>
      </c>
      <c r="F729" t="s">
        <v>121</v>
      </c>
      <c r="G729" t="s">
        <v>117</v>
      </c>
      <c r="H729" t="s">
        <v>125</v>
      </c>
      <c r="I729" s="197">
        <v>45046.791666666664</v>
      </c>
      <c r="J729" t="b">
        <v>0</v>
      </c>
      <c r="K729" t="s">
        <v>127</v>
      </c>
      <c r="L729" t="s">
        <v>123</v>
      </c>
      <c r="M729">
        <v>30</v>
      </c>
      <c r="N729">
        <v>4</v>
      </c>
      <c r="O729">
        <v>2023</v>
      </c>
      <c r="R729">
        <f>IF(wallet_records[[#This Row],[type]]="Gasto",wallet_records[[#This Row],[amount]]*(-1),wallet_records[[#This Row],[amount]])</f>
        <v>63003.67</v>
      </c>
    </row>
    <row r="730" spans="1:18" x14ac:dyDescent="0.2">
      <c r="A730" t="s">
        <v>525</v>
      </c>
      <c r="B730" t="s">
        <v>124</v>
      </c>
      <c r="C730" t="s">
        <v>115</v>
      </c>
      <c r="D730" s="291">
        <v>47019.6</v>
      </c>
      <c r="E730">
        <v>47019.6</v>
      </c>
      <c r="F730" t="s">
        <v>121</v>
      </c>
      <c r="G730" t="s">
        <v>117</v>
      </c>
      <c r="H730" t="s">
        <v>125</v>
      </c>
      <c r="I730" s="197">
        <v>45046.791666666664</v>
      </c>
      <c r="J730" t="b">
        <v>0</v>
      </c>
      <c r="K730" t="s">
        <v>127</v>
      </c>
      <c r="L730" t="s">
        <v>123</v>
      </c>
      <c r="M730">
        <v>30</v>
      </c>
      <c r="N730">
        <v>4</v>
      </c>
      <c r="O730">
        <v>2023</v>
      </c>
      <c r="R730">
        <f>IF(wallet_records[[#This Row],[type]]="Gasto",wallet_records[[#This Row],[amount]]*(-1),wallet_records[[#This Row],[amount]])</f>
        <v>47019.6</v>
      </c>
    </row>
    <row r="731" spans="1:18" x14ac:dyDescent="0.2">
      <c r="A731" t="s">
        <v>525</v>
      </c>
      <c r="B731" t="s">
        <v>124</v>
      </c>
      <c r="C731" t="s">
        <v>115</v>
      </c>
      <c r="D731" s="291">
        <v>42886.45</v>
      </c>
      <c r="E731">
        <v>42886.45</v>
      </c>
      <c r="F731" t="s">
        <v>121</v>
      </c>
      <c r="G731" t="s">
        <v>117</v>
      </c>
      <c r="H731" t="s">
        <v>125</v>
      </c>
      <c r="I731" s="197">
        <v>45016.791666666664</v>
      </c>
      <c r="J731" t="b">
        <v>0</v>
      </c>
      <c r="K731" t="s">
        <v>127</v>
      </c>
      <c r="L731" t="s">
        <v>123</v>
      </c>
      <c r="M731">
        <v>31</v>
      </c>
      <c r="N731">
        <v>3</v>
      </c>
      <c r="O731">
        <v>2023</v>
      </c>
      <c r="R731">
        <f>IF(wallet_records[[#This Row],[type]]="Gasto",wallet_records[[#This Row],[amount]]*(-1),wallet_records[[#This Row],[amount]])</f>
        <v>42886.45</v>
      </c>
    </row>
    <row r="732" spans="1:18" x14ac:dyDescent="0.2">
      <c r="A732" t="s">
        <v>524</v>
      </c>
      <c r="B732" t="s">
        <v>124</v>
      </c>
      <c r="C732" t="s">
        <v>115</v>
      </c>
      <c r="D732" s="291">
        <v>55451.56</v>
      </c>
      <c r="E732">
        <v>55451.56</v>
      </c>
      <c r="F732" t="s">
        <v>121</v>
      </c>
      <c r="G732" t="s">
        <v>117</v>
      </c>
      <c r="H732" t="s">
        <v>125</v>
      </c>
      <c r="I732" s="197">
        <v>45016.791666666664</v>
      </c>
      <c r="J732" t="b">
        <v>0</v>
      </c>
      <c r="K732" t="s">
        <v>127</v>
      </c>
      <c r="L732" t="s">
        <v>123</v>
      </c>
      <c r="M732">
        <v>31</v>
      </c>
      <c r="N732">
        <v>3</v>
      </c>
      <c r="O732">
        <v>2023</v>
      </c>
      <c r="R732">
        <f>IF(wallet_records[[#This Row],[type]]="Gasto",wallet_records[[#This Row],[amount]]*(-1),wallet_records[[#This Row],[amount]])</f>
        <v>55451.56</v>
      </c>
    </row>
    <row r="733" spans="1:18" x14ac:dyDescent="0.2">
      <c r="A733" t="s">
        <v>524</v>
      </c>
      <c r="B733" t="s">
        <v>124</v>
      </c>
      <c r="C733" t="s">
        <v>115</v>
      </c>
      <c r="D733" s="291">
        <v>41053.32</v>
      </c>
      <c r="E733">
        <v>41053.32</v>
      </c>
      <c r="F733" t="s">
        <v>121</v>
      </c>
      <c r="G733" t="s">
        <v>117</v>
      </c>
      <c r="H733" t="s">
        <v>125</v>
      </c>
      <c r="I733" s="197">
        <v>44985.791666666664</v>
      </c>
      <c r="J733" t="b">
        <v>0</v>
      </c>
      <c r="K733" t="s">
        <v>127</v>
      </c>
      <c r="L733" t="s">
        <v>123</v>
      </c>
      <c r="M733">
        <v>28</v>
      </c>
      <c r="N733">
        <v>2</v>
      </c>
      <c r="O733">
        <v>2023</v>
      </c>
      <c r="R733">
        <f>IF(wallet_records[[#This Row],[type]]="Gasto",wallet_records[[#This Row],[amount]]*(-1),wallet_records[[#This Row],[amount]])</f>
        <v>41053.32</v>
      </c>
    </row>
    <row r="734" spans="1:18" x14ac:dyDescent="0.2">
      <c r="A734" t="s">
        <v>525</v>
      </c>
      <c r="B734" t="s">
        <v>124</v>
      </c>
      <c r="C734" t="s">
        <v>115</v>
      </c>
      <c r="D734" s="291">
        <v>38118.239999999998</v>
      </c>
      <c r="E734">
        <v>38118.239999999998</v>
      </c>
      <c r="F734" t="s">
        <v>121</v>
      </c>
      <c r="G734" t="s">
        <v>117</v>
      </c>
      <c r="H734" t="s">
        <v>125</v>
      </c>
      <c r="I734" s="197">
        <v>44985.791666666664</v>
      </c>
      <c r="J734" t="b">
        <v>0</v>
      </c>
      <c r="K734" t="s">
        <v>127</v>
      </c>
      <c r="L734" t="s">
        <v>123</v>
      </c>
      <c r="M734">
        <v>28</v>
      </c>
      <c r="N734">
        <v>2</v>
      </c>
      <c r="O734">
        <v>2023</v>
      </c>
      <c r="R734">
        <f>IF(wallet_records[[#This Row],[type]]="Gasto",wallet_records[[#This Row],[amount]]*(-1),wallet_records[[#This Row],[amount]])</f>
        <v>38118.239999999998</v>
      </c>
    </row>
    <row r="735" spans="1:18" x14ac:dyDescent="0.2">
      <c r="A735" t="s">
        <v>524</v>
      </c>
      <c r="B735" t="s">
        <v>124</v>
      </c>
      <c r="C735" t="s">
        <v>115</v>
      </c>
      <c r="D735" s="291">
        <v>115682.93</v>
      </c>
      <c r="E735">
        <v>115682.93</v>
      </c>
      <c r="F735" t="s">
        <v>121</v>
      </c>
      <c r="G735" t="s">
        <v>117</v>
      </c>
      <c r="H735" t="s">
        <v>125</v>
      </c>
      <c r="I735" s="197">
        <v>44957.791666666664</v>
      </c>
      <c r="J735" t="b">
        <v>0</v>
      </c>
      <c r="K735" t="s">
        <v>127</v>
      </c>
      <c r="L735" t="s">
        <v>123</v>
      </c>
      <c r="M735">
        <v>31</v>
      </c>
      <c r="N735">
        <v>1</v>
      </c>
      <c r="O735">
        <v>2023</v>
      </c>
      <c r="R735">
        <f>IF(wallet_records[[#This Row],[type]]="Gasto",wallet_records[[#This Row],[amount]]*(-1),wallet_records[[#This Row],[amount]])</f>
        <v>115682.93</v>
      </c>
    </row>
    <row r="736" spans="1:18" x14ac:dyDescent="0.2">
      <c r="A736" t="s">
        <v>525</v>
      </c>
      <c r="B736" t="s">
        <v>124</v>
      </c>
      <c r="C736" t="s">
        <v>115</v>
      </c>
      <c r="D736" s="291">
        <v>32991.06</v>
      </c>
      <c r="E736">
        <v>32991.06</v>
      </c>
      <c r="F736" t="s">
        <v>121</v>
      </c>
      <c r="G736" t="s">
        <v>117</v>
      </c>
      <c r="H736" t="s">
        <v>125</v>
      </c>
      <c r="I736" s="197">
        <v>44957.791666666664</v>
      </c>
      <c r="J736" t="b">
        <v>0</v>
      </c>
      <c r="K736" t="s">
        <v>127</v>
      </c>
      <c r="L736" t="s">
        <v>123</v>
      </c>
      <c r="M736">
        <v>31</v>
      </c>
      <c r="N736">
        <v>1</v>
      </c>
      <c r="O736">
        <v>2023</v>
      </c>
      <c r="R736">
        <f>IF(wallet_records[[#This Row],[type]]="Gasto",wallet_records[[#This Row],[amount]]*(-1),wallet_records[[#This Row],[amount]])</f>
        <v>32991.06</v>
      </c>
    </row>
    <row r="737" spans="1:18" x14ac:dyDescent="0.2">
      <c r="A737" t="s">
        <v>525</v>
      </c>
      <c r="B737" t="s">
        <v>531</v>
      </c>
      <c r="C737" t="s">
        <v>115</v>
      </c>
      <c r="D737" s="291">
        <v>18525700</v>
      </c>
      <c r="E737">
        <v>18525700</v>
      </c>
      <c r="F737" t="s">
        <v>121</v>
      </c>
      <c r="G737" t="s">
        <v>117</v>
      </c>
      <c r="H737" t="s">
        <v>529</v>
      </c>
      <c r="I737" s="197">
        <v>45251.791666666664</v>
      </c>
      <c r="J737" t="b">
        <v>0</v>
      </c>
      <c r="K737" t="s">
        <v>123</v>
      </c>
      <c r="L737" t="s">
        <v>123</v>
      </c>
      <c r="M737">
        <v>21</v>
      </c>
      <c r="N737">
        <v>11</v>
      </c>
      <c r="O737">
        <v>2023</v>
      </c>
      <c r="R737">
        <f>IF(wallet_records[[#This Row],[type]]="Gasto",wallet_records[[#This Row],[amount]]*(-1),wallet_records[[#This Row],[amount]])</f>
        <v>18525700</v>
      </c>
    </row>
    <row r="738" spans="1:18" x14ac:dyDescent="0.2">
      <c r="A738" t="s">
        <v>127</v>
      </c>
      <c r="B738" t="s">
        <v>531</v>
      </c>
      <c r="C738" t="s">
        <v>115</v>
      </c>
      <c r="D738" s="291">
        <v>15648666.01</v>
      </c>
      <c r="E738">
        <v>15648666.01</v>
      </c>
      <c r="F738" t="s">
        <v>121</v>
      </c>
      <c r="G738" t="s">
        <v>117</v>
      </c>
      <c r="H738" t="s">
        <v>529</v>
      </c>
      <c r="I738" s="197">
        <v>45191.791666666664</v>
      </c>
      <c r="J738" t="b">
        <v>0</v>
      </c>
      <c r="K738" t="s">
        <v>123</v>
      </c>
      <c r="L738" t="s">
        <v>123</v>
      </c>
      <c r="M738">
        <v>22</v>
      </c>
      <c r="N738">
        <v>9</v>
      </c>
      <c r="O738">
        <v>2023</v>
      </c>
      <c r="R738">
        <f>IF(wallet_records[[#This Row],[type]]="Gasto",wallet_records[[#This Row],[amount]]*(-1),wallet_records[[#This Row],[amount]])</f>
        <v>15648666.01</v>
      </c>
    </row>
    <row r="739" spans="1:18" x14ac:dyDescent="0.2">
      <c r="A739" t="s">
        <v>524</v>
      </c>
      <c r="B739" t="s">
        <v>531</v>
      </c>
      <c r="C739" t="s">
        <v>115</v>
      </c>
      <c r="D739" s="291">
        <v>10582797.07</v>
      </c>
      <c r="E739">
        <v>10582797.07</v>
      </c>
      <c r="F739" t="s">
        <v>121</v>
      </c>
      <c r="G739" t="s">
        <v>117</v>
      </c>
      <c r="H739" t="s">
        <v>529</v>
      </c>
      <c r="I739" s="197">
        <v>44951.791666666664</v>
      </c>
      <c r="J739" t="b">
        <v>0</v>
      </c>
      <c r="K739" t="s">
        <v>123</v>
      </c>
      <c r="L739" t="s">
        <v>123</v>
      </c>
      <c r="M739">
        <v>25</v>
      </c>
      <c r="N739">
        <v>1</v>
      </c>
      <c r="O739">
        <v>2023</v>
      </c>
      <c r="R739">
        <f>IF(wallet_records[[#This Row],[type]]="Gasto",wallet_records[[#This Row],[amount]]*(-1),wallet_records[[#This Row],[amount]])</f>
        <v>10582797.07</v>
      </c>
    </row>
    <row r="740" spans="1:18" x14ac:dyDescent="0.2">
      <c r="A740" t="s">
        <v>127</v>
      </c>
      <c r="B740" t="s">
        <v>136</v>
      </c>
      <c r="C740" t="s">
        <v>115</v>
      </c>
      <c r="D740" s="291">
        <v>664355.59</v>
      </c>
      <c r="E740">
        <v>664355.59</v>
      </c>
      <c r="F740" t="s">
        <v>121</v>
      </c>
      <c r="G740" t="s">
        <v>117</v>
      </c>
      <c r="H740" t="s">
        <v>522</v>
      </c>
      <c r="I740" s="197">
        <v>45281.791666666664</v>
      </c>
      <c r="J740" t="b">
        <v>0</v>
      </c>
      <c r="K740" t="s">
        <v>123</v>
      </c>
      <c r="L740" t="s">
        <v>123</v>
      </c>
      <c r="M740">
        <v>21</v>
      </c>
      <c r="N740">
        <v>12</v>
      </c>
      <c r="O740">
        <v>2023</v>
      </c>
      <c r="R740">
        <f>IF(wallet_records[[#This Row],[type]]="Gasto",wallet_records[[#This Row],[amount]]*(-1),wallet_records[[#This Row],[amount]])</f>
        <v>664355.59</v>
      </c>
    </row>
    <row r="741" spans="1:18" x14ac:dyDescent="0.2">
      <c r="A741" t="s">
        <v>119</v>
      </c>
      <c r="B741" t="s">
        <v>136</v>
      </c>
      <c r="C741" t="s">
        <v>115</v>
      </c>
      <c r="D741" s="291">
        <v>743683</v>
      </c>
      <c r="E741">
        <v>743683</v>
      </c>
      <c r="F741" t="s">
        <v>121</v>
      </c>
      <c r="G741" t="s">
        <v>117</v>
      </c>
      <c r="H741" t="s">
        <v>522</v>
      </c>
      <c r="I741" s="197">
        <v>45281.791666666664</v>
      </c>
      <c r="J741" t="b">
        <v>0</v>
      </c>
      <c r="K741" t="s">
        <v>123</v>
      </c>
      <c r="L741" t="s">
        <v>123</v>
      </c>
      <c r="M741">
        <v>21</v>
      </c>
      <c r="N741">
        <v>12</v>
      </c>
      <c r="O741">
        <v>2023</v>
      </c>
      <c r="R741">
        <f>IF(wallet_records[[#This Row],[type]]="Gasto",wallet_records[[#This Row],[amount]]*(-1),wallet_records[[#This Row],[amount]])</f>
        <v>743683</v>
      </c>
    </row>
    <row r="742" spans="1:18" x14ac:dyDescent="0.2">
      <c r="A742" t="s">
        <v>524</v>
      </c>
      <c r="B742" t="s">
        <v>136</v>
      </c>
      <c r="C742" t="s">
        <v>115</v>
      </c>
      <c r="D742" s="291">
        <v>1435943.14</v>
      </c>
      <c r="E742">
        <v>1435943.14</v>
      </c>
      <c r="F742" t="s">
        <v>116</v>
      </c>
      <c r="G742" t="s">
        <v>117</v>
      </c>
      <c r="H742" t="s">
        <v>522</v>
      </c>
      <c r="I742" s="197">
        <v>45281.791666666664</v>
      </c>
      <c r="J742" t="b">
        <v>0</v>
      </c>
      <c r="K742" t="s">
        <v>123</v>
      </c>
      <c r="L742" t="s">
        <v>123</v>
      </c>
      <c r="M742">
        <v>21</v>
      </c>
      <c r="N742">
        <v>12</v>
      </c>
      <c r="O742">
        <v>2023</v>
      </c>
      <c r="R742">
        <f>IF(wallet_records[[#This Row],[type]]="Gasto",wallet_records[[#This Row],[amount]]*(-1),wallet_records[[#This Row],[amount]])</f>
        <v>-1435943.14</v>
      </c>
    </row>
    <row r="743" spans="1:18" x14ac:dyDescent="0.2">
      <c r="A743" t="s">
        <v>525</v>
      </c>
      <c r="B743" t="s">
        <v>136</v>
      </c>
      <c r="C743" t="s">
        <v>115</v>
      </c>
      <c r="D743" s="291">
        <v>197076.83</v>
      </c>
      <c r="E743">
        <v>197076.83</v>
      </c>
      <c r="F743" t="s">
        <v>121</v>
      </c>
      <c r="G743" t="s">
        <v>117</v>
      </c>
      <c r="H743" t="s">
        <v>522</v>
      </c>
      <c r="I743" s="197">
        <v>45281.791666666664</v>
      </c>
      <c r="J743" t="b">
        <v>0</v>
      </c>
      <c r="K743" t="s">
        <v>123</v>
      </c>
      <c r="L743" t="s">
        <v>123</v>
      </c>
      <c r="M743">
        <v>21</v>
      </c>
      <c r="N743">
        <v>12</v>
      </c>
      <c r="O743">
        <v>2023</v>
      </c>
      <c r="R743">
        <f>IF(wallet_records[[#This Row],[type]]="Gasto",wallet_records[[#This Row],[amount]]*(-1),wallet_records[[#This Row],[amount]])</f>
        <v>197076.83</v>
      </c>
    </row>
    <row r="744" spans="1:18" x14ac:dyDescent="0.2">
      <c r="A744" t="s">
        <v>127</v>
      </c>
      <c r="B744" t="s">
        <v>136</v>
      </c>
      <c r="C744" t="s">
        <v>115</v>
      </c>
      <c r="D744" s="291">
        <v>393205</v>
      </c>
      <c r="E744">
        <v>393205</v>
      </c>
      <c r="F744" t="s">
        <v>116</v>
      </c>
      <c r="G744" t="s">
        <v>117</v>
      </c>
      <c r="H744" t="s">
        <v>140</v>
      </c>
      <c r="I744" s="197">
        <v>45272.791666666664</v>
      </c>
      <c r="J744" t="b">
        <v>0</v>
      </c>
      <c r="K744" t="s">
        <v>0</v>
      </c>
      <c r="L744" t="s">
        <v>0</v>
      </c>
      <c r="M744">
        <v>12</v>
      </c>
      <c r="N744">
        <v>12</v>
      </c>
      <c r="O744">
        <v>2023</v>
      </c>
      <c r="R744">
        <f>IF(wallet_records[[#This Row],[type]]="Gasto",wallet_records[[#This Row],[amount]]*(-1),wallet_records[[#This Row],[amount]])</f>
        <v>-393205</v>
      </c>
    </row>
    <row r="745" spans="1:18" x14ac:dyDescent="0.2">
      <c r="A745" t="s">
        <v>127</v>
      </c>
      <c r="B745" t="s">
        <v>136</v>
      </c>
      <c r="C745" t="s">
        <v>115</v>
      </c>
      <c r="D745" s="291">
        <v>126000</v>
      </c>
      <c r="E745">
        <v>126000</v>
      </c>
      <c r="F745" t="s">
        <v>116</v>
      </c>
      <c r="G745" t="s">
        <v>117</v>
      </c>
      <c r="H745" t="s">
        <v>140</v>
      </c>
      <c r="I745" s="197">
        <v>45272.791666666664</v>
      </c>
      <c r="J745" t="b">
        <v>0</v>
      </c>
      <c r="K745" t="s">
        <v>1</v>
      </c>
      <c r="L745" t="s">
        <v>1</v>
      </c>
      <c r="M745">
        <v>12</v>
      </c>
      <c r="N745">
        <v>12</v>
      </c>
      <c r="O745">
        <v>2023</v>
      </c>
      <c r="R745">
        <f>IF(wallet_records[[#This Row],[type]]="Gasto",wallet_records[[#This Row],[amount]]*(-1),wallet_records[[#This Row],[amount]])</f>
        <v>-126000</v>
      </c>
    </row>
    <row r="746" spans="1:18" x14ac:dyDescent="0.2">
      <c r="A746" t="s">
        <v>127</v>
      </c>
      <c r="B746" t="s">
        <v>136</v>
      </c>
      <c r="C746" t="s">
        <v>115</v>
      </c>
      <c r="D746" s="291">
        <v>392977</v>
      </c>
      <c r="E746">
        <v>392977</v>
      </c>
      <c r="F746" t="s">
        <v>116</v>
      </c>
      <c r="G746" t="s">
        <v>117</v>
      </c>
      <c r="H746" t="s">
        <v>140</v>
      </c>
      <c r="I746" s="197">
        <v>45270.791666666664</v>
      </c>
      <c r="J746" t="b">
        <v>0</v>
      </c>
      <c r="K746" t="s">
        <v>77</v>
      </c>
      <c r="L746" t="s">
        <v>77</v>
      </c>
      <c r="M746">
        <v>10</v>
      </c>
      <c r="N746">
        <v>12</v>
      </c>
      <c r="O746">
        <v>2023</v>
      </c>
      <c r="R746">
        <f>IF(wallet_records[[#This Row],[type]]="Gasto",wallet_records[[#This Row],[amount]]*(-1),wallet_records[[#This Row],[amount]])</f>
        <v>-392977</v>
      </c>
    </row>
    <row r="747" spans="1:18" x14ac:dyDescent="0.2">
      <c r="A747" t="s">
        <v>127</v>
      </c>
      <c r="B747" t="s">
        <v>136</v>
      </c>
      <c r="C747" t="s">
        <v>115</v>
      </c>
      <c r="D747" s="291">
        <v>126000</v>
      </c>
      <c r="E747">
        <v>126000</v>
      </c>
      <c r="F747" t="s">
        <v>116</v>
      </c>
      <c r="G747" t="s">
        <v>117</v>
      </c>
      <c r="H747" t="s">
        <v>140</v>
      </c>
      <c r="I747" s="197">
        <v>45256.791666666664</v>
      </c>
      <c r="J747" t="b">
        <v>0</v>
      </c>
      <c r="K747" t="s">
        <v>1</v>
      </c>
      <c r="L747" t="s">
        <v>1</v>
      </c>
      <c r="M747">
        <v>26</v>
      </c>
      <c r="N747">
        <v>11</v>
      </c>
      <c r="O747">
        <v>2023</v>
      </c>
      <c r="R747">
        <f>IF(wallet_records[[#This Row],[type]]="Gasto",wallet_records[[#This Row],[amount]]*(-1),wallet_records[[#This Row],[amount]])</f>
        <v>-126000</v>
      </c>
    </row>
    <row r="748" spans="1:18" x14ac:dyDescent="0.2">
      <c r="A748" t="s">
        <v>127</v>
      </c>
      <c r="B748" t="s">
        <v>136</v>
      </c>
      <c r="C748" t="s">
        <v>115</v>
      </c>
      <c r="D748" s="291">
        <v>393205</v>
      </c>
      <c r="E748">
        <v>393205</v>
      </c>
      <c r="F748" t="s">
        <v>116</v>
      </c>
      <c r="G748" t="s">
        <v>117</v>
      </c>
      <c r="H748" t="s">
        <v>140</v>
      </c>
      <c r="I748" s="197">
        <v>45252.791666666664</v>
      </c>
      <c r="J748" t="b">
        <v>0</v>
      </c>
      <c r="K748" t="s">
        <v>0</v>
      </c>
      <c r="L748" t="s">
        <v>0</v>
      </c>
      <c r="M748">
        <v>22</v>
      </c>
      <c r="N748">
        <v>11</v>
      </c>
      <c r="O748">
        <v>2023</v>
      </c>
      <c r="R748">
        <f>IF(wallet_records[[#This Row],[type]]="Gasto",wallet_records[[#This Row],[amount]]*(-1),wallet_records[[#This Row],[amount]])</f>
        <v>-393205</v>
      </c>
    </row>
    <row r="749" spans="1:18" x14ac:dyDescent="0.2">
      <c r="A749" t="s">
        <v>127</v>
      </c>
      <c r="B749" t="s">
        <v>136</v>
      </c>
      <c r="C749" t="s">
        <v>115</v>
      </c>
      <c r="D749" s="291">
        <v>2249202.6800000002</v>
      </c>
      <c r="E749">
        <v>2249202.6800000002</v>
      </c>
      <c r="F749" t="s">
        <v>116</v>
      </c>
      <c r="G749" t="s">
        <v>117</v>
      </c>
      <c r="H749" t="s">
        <v>522</v>
      </c>
      <c r="I749" s="197">
        <v>45251.791666666664</v>
      </c>
      <c r="J749" t="b">
        <v>0</v>
      </c>
      <c r="K749" t="s">
        <v>123</v>
      </c>
      <c r="L749" t="s">
        <v>123</v>
      </c>
      <c r="M749">
        <v>21</v>
      </c>
      <c r="N749">
        <v>11</v>
      </c>
      <c r="O749">
        <v>2023</v>
      </c>
      <c r="R749">
        <f>IF(wallet_records[[#This Row],[type]]="Gasto",wallet_records[[#This Row],[amount]]*(-1),wallet_records[[#This Row],[amount]])</f>
        <v>-2249202.6800000002</v>
      </c>
    </row>
    <row r="750" spans="1:18" x14ac:dyDescent="0.2">
      <c r="A750" t="s">
        <v>524</v>
      </c>
      <c r="B750" t="s">
        <v>136</v>
      </c>
      <c r="C750" t="s">
        <v>115</v>
      </c>
      <c r="D750" s="291">
        <v>199326.33</v>
      </c>
      <c r="E750">
        <v>199326.33</v>
      </c>
      <c r="F750" t="s">
        <v>121</v>
      </c>
      <c r="G750" t="s">
        <v>117</v>
      </c>
      <c r="H750" t="s">
        <v>522</v>
      </c>
      <c r="I750" s="197">
        <v>45251.791666666664</v>
      </c>
      <c r="J750" t="b">
        <v>0</v>
      </c>
      <c r="K750" t="s">
        <v>123</v>
      </c>
      <c r="L750" t="s">
        <v>123</v>
      </c>
      <c r="M750">
        <v>21</v>
      </c>
      <c r="N750">
        <v>11</v>
      </c>
      <c r="O750">
        <v>2023</v>
      </c>
      <c r="R750">
        <f>IF(wallet_records[[#This Row],[type]]="Gasto",wallet_records[[#This Row],[amount]]*(-1),wallet_records[[#This Row],[amount]])</f>
        <v>199326.33</v>
      </c>
    </row>
    <row r="751" spans="1:18" x14ac:dyDescent="0.2">
      <c r="A751" t="s">
        <v>119</v>
      </c>
      <c r="B751" t="s">
        <v>136</v>
      </c>
      <c r="C751" t="s">
        <v>115</v>
      </c>
      <c r="D751" s="291">
        <v>636254</v>
      </c>
      <c r="E751">
        <v>636254</v>
      </c>
      <c r="F751" t="s">
        <v>121</v>
      </c>
      <c r="G751" t="s">
        <v>117</v>
      </c>
      <c r="H751" t="s">
        <v>522</v>
      </c>
      <c r="I751" s="197">
        <v>45251.791666666664</v>
      </c>
      <c r="J751" t="b">
        <v>0</v>
      </c>
      <c r="K751" t="s">
        <v>123</v>
      </c>
      <c r="L751" t="s">
        <v>123</v>
      </c>
      <c r="M751">
        <v>21</v>
      </c>
      <c r="N751">
        <v>11</v>
      </c>
      <c r="O751">
        <v>2023</v>
      </c>
      <c r="R751">
        <f>IF(wallet_records[[#This Row],[type]]="Gasto",wallet_records[[#This Row],[amount]]*(-1),wallet_records[[#This Row],[amount]])</f>
        <v>636254</v>
      </c>
    </row>
    <row r="752" spans="1:18" x14ac:dyDescent="0.2">
      <c r="A752" t="s">
        <v>127</v>
      </c>
      <c r="B752" t="s">
        <v>136</v>
      </c>
      <c r="C752" t="s">
        <v>115</v>
      </c>
      <c r="D752" s="291">
        <v>195900</v>
      </c>
      <c r="E752">
        <v>195900</v>
      </c>
      <c r="F752" t="s">
        <v>116</v>
      </c>
      <c r="G752" t="s">
        <v>117</v>
      </c>
      <c r="H752" t="s">
        <v>140</v>
      </c>
      <c r="I752" s="197">
        <v>45230.791666666664</v>
      </c>
      <c r="J752" t="b">
        <v>0</v>
      </c>
      <c r="K752" t="s">
        <v>77</v>
      </c>
      <c r="L752" t="s">
        <v>77</v>
      </c>
      <c r="M752">
        <v>31</v>
      </c>
      <c r="N752">
        <v>10</v>
      </c>
      <c r="O752">
        <v>2023</v>
      </c>
      <c r="R752">
        <f>IF(wallet_records[[#This Row],[type]]="Gasto",wallet_records[[#This Row],[amount]]*(-1),wallet_records[[#This Row],[amount]])</f>
        <v>-195900</v>
      </c>
    </row>
    <row r="753" spans="1:18" x14ac:dyDescent="0.2">
      <c r="A753" t="s">
        <v>525</v>
      </c>
      <c r="B753" t="s">
        <v>136</v>
      </c>
      <c r="C753" t="s">
        <v>115</v>
      </c>
      <c r="D753" s="291">
        <v>4040180.75</v>
      </c>
      <c r="E753">
        <v>4040180.75</v>
      </c>
      <c r="F753" t="s">
        <v>121</v>
      </c>
      <c r="G753" t="s">
        <v>117</v>
      </c>
      <c r="H753" t="s">
        <v>522</v>
      </c>
      <c r="I753" s="197">
        <v>45221.791666666664</v>
      </c>
      <c r="J753" t="b">
        <v>0</v>
      </c>
      <c r="K753" t="s">
        <v>123</v>
      </c>
      <c r="L753" t="s">
        <v>123</v>
      </c>
      <c r="M753">
        <v>22</v>
      </c>
      <c r="N753">
        <v>10</v>
      </c>
      <c r="O753">
        <v>2023</v>
      </c>
      <c r="R753">
        <f>IF(wallet_records[[#This Row],[type]]="Gasto",wallet_records[[#This Row],[amount]]*(-1),wallet_records[[#This Row],[amount]])</f>
        <v>4040180.75</v>
      </c>
    </row>
    <row r="754" spans="1:18" x14ac:dyDescent="0.2">
      <c r="A754" t="s">
        <v>119</v>
      </c>
      <c r="B754" t="s">
        <v>136</v>
      </c>
      <c r="C754" t="s">
        <v>115</v>
      </c>
      <c r="D754" s="291">
        <v>2250265</v>
      </c>
      <c r="E754">
        <v>2250265</v>
      </c>
      <c r="F754" t="s">
        <v>121</v>
      </c>
      <c r="G754" t="s">
        <v>117</v>
      </c>
      <c r="H754" t="s">
        <v>522</v>
      </c>
      <c r="I754" s="197">
        <v>45221.791666666664</v>
      </c>
      <c r="J754" t="b">
        <v>0</v>
      </c>
      <c r="K754" t="s">
        <v>123</v>
      </c>
      <c r="L754" t="s">
        <v>123</v>
      </c>
      <c r="M754">
        <v>22</v>
      </c>
      <c r="N754">
        <v>10</v>
      </c>
      <c r="O754">
        <v>2023</v>
      </c>
      <c r="R754">
        <f>IF(wallet_records[[#This Row],[type]]="Gasto",wallet_records[[#This Row],[amount]]*(-1),wallet_records[[#This Row],[amount]])</f>
        <v>2250265</v>
      </c>
    </row>
    <row r="755" spans="1:18" x14ac:dyDescent="0.2">
      <c r="A755" t="s">
        <v>127</v>
      </c>
      <c r="B755" t="s">
        <v>136</v>
      </c>
      <c r="C755" t="s">
        <v>115</v>
      </c>
      <c r="D755" s="291">
        <v>13475251.529999999</v>
      </c>
      <c r="E755">
        <v>13475251.529999999</v>
      </c>
      <c r="F755" t="s">
        <v>116</v>
      </c>
      <c r="G755" t="s">
        <v>117</v>
      </c>
      <c r="H755" t="s">
        <v>522</v>
      </c>
      <c r="I755" s="197">
        <v>45221.791666666664</v>
      </c>
      <c r="J755" t="b">
        <v>0</v>
      </c>
      <c r="K755" t="s">
        <v>123</v>
      </c>
      <c r="L755" t="s">
        <v>123</v>
      </c>
      <c r="M755">
        <v>22</v>
      </c>
      <c r="N755">
        <v>10</v>
      </c>
      <c r="O755">
        <v>2023</v>
      </c>
      <c r="R755">
        <f>IF(wallet_records[[#This Row],[type]]="Gasto",wallet_records[[#This Row],[amount]]*(-1),wallet_records[[#This Row],[amount]])</f>
        <v>-13475251.529999999</v>
      </c>
    </row>
    <row r="756" spans="1:18" x14ac:dyDescent="0.2">
      <c r="A756" t="s">
        <v>524</v>
      </c>
      <c r="B756" t="s">
        <v>136</v>
      </c>
      <c r="C756" t="s">
        <v>115</v>
      </c>
      <c r="D756" s="291">
        <v>186239.74</v>
      </c>
      <c r="E756">
        <v>186239.74</v>
      </c>
      <c r="F756" t="s">
        <v>121</v>
      </c>
      <c r="G756" t="s">
        <v>117</v>
      </c>
      <c r="H756" t="s">
        <v>522</v>
      </c>
      <c r="I756" s="197">
        <v>45221.791666666664</v>
      </c>
      <c r="J756" t="b">
        <v>0</v>
      </c>
      <c r="K756" t="s">
        <v>123</v>
      </c>
      <c r="L756" t="s">
        <v>123</v>
      </c>
      <c r="M756">
        <v>22</v>
      </c>
      <c r="N756">
        <v>10</v>
      </c>
      <c r="O756">
        <v>2023</v>
      </c>
      <c r="R756">
        <f>IF(wallet_records[[#This Row],[type]]="Gasto",wallet_records[[#This Row],[amount]]*(-1),wallet_records[[#This Row],[amount]])</f>
        <v>186239.74</v>
      </c>
    </row>
    <row r="757" spans="1:18" x14ac:dyDescent="0.2">
      <c r="A757" t="s">
        <v>525</v>
      </c>
      <c r="B757" t="s">
        <v>136</v>
      </c>
      <c r="C757" t="s">
        <v>115</v>
      </c>
      <c r="D757" s="291">
        <v>393205</v>
      </c>
      <c r="E757">
        <v>393205</v>
      </c>
      <c r="F757" t="s">
        <v>116</v>
      </c>
      <c r="G757" t="s">
        <v>117</v>
      </c>
      <c r="H757" t="s">
        <v>140</v>
      </c>
      <c r="I757" s="197">
        <v>45214.791666666664</v>
      </c>
      <c r="J757" t="b">
        <v>0</v>
      </c>
      <c r="K757" t="s">
        <v>0</v>
      </c>
      <c r="L757" t="s">
        <v>0</v>
      </c>
      <c r="M757">
        <v>15</v>
      </c>
      <c r="N757">
        <v>10</v>
      </c>
      <c r="O757">
        <v>2023</v>
      </c>
      <c r="R757">
        <f>IF(wallet_records[[#This Row],[type]]="Gasto",wallet_records[[#This Row],[amount]]*(-1),wallet_records[[#This Row],[amount]])</f>
        <v>-393205</v>
      </c>
    </row>
    <row r="758" spans="1:18" x14ac:dyDescent="0.2">
      <c r="A758" t="s">
        <v>127</v>
      </c>
      <c r="B758" t="s">
        <v>136</v>
      </c>
      <c r="C758" t="s">
        <v>115</v>
      </c>
      <c r="D758" s="291">
        <v>126000</v>
      </c>
      <c r="E758">
        <v>126000</v>
      </c>
      <c r="F758" t="s">
        <v>116</v>
      </c>
      <c r="G758" t="s">
        <v>117</v>
      </c>
      <c r="H758" t="s">
        <v>140</v>
      </c>
      <c r="I758" s="197">
        <v>45199.791666666664</v>
      </c>
      <c r="J758" t="b">
        <v>0</v>
      </c>
      <c r="K758" t="s">
        <v>1</v>
      </c>
      <c r="L758" t="s">
        <v>1</v>
      </c>
      <c r="M758">
        <v>30</v>
      </c>
      <c r="N758">
        <v>9</v>
      </c>
      <c r="O758">
        <v>2023</v>
      </c>
      <c r="R758">
        <f>IF(wallet_records[[#This Row],[type]]="Gasto",wallet_records[[#This Row],[amount]]*(-1),wallet_records[[#This Row],[amount]])</f>
        <v>-126000</v>
      </c>
    </row>
    <row r="759" spans="1:18" x14ac:dyDescent="0.2">
      <c r="A759" t="s">
        <v>127</v>
      </c>
      <c r="B759" t="s">
        <v>136</v>
      </c>
      <c r="C759" t="s">
        <v>115</v>
      </c>
      <c r="D759" s="291">
        <v>195900</v>
      </c>
      <c r="E759">
        <v>195900</v>
      </c>
      <c r="F759" t="s">
        <v>116</v>
      </c>
      <c r="G759" t="s">
        <v>117</v>
      </c>
      <c r="H759" t="s">
        <v>140</v>
      </c>
      <c r="I759" s="197">
        <v>45199.791666666664</v>
      </c>
      <c r="J759" t="b">
        <v>0</v>
      </c>
      <c r="K759" t="s">
        <v>77</v>
      </c>
      <c r="L759" t="s">
        <v>77</v>
      </c>
      <c r="M759">
        <v>30</v>
      </c>
      <c r="N759">
        <v>9</v>
      </c>
      <c r="O759">
        <v>2023</v>
      </c>
      <c r="R759">
        <f>IF(wallet_records[[#This Row],[type]]="Gasto",wallet_records[[#This Row],[amount]]*(-1),wallet_records[[#This Row],[amount]])</f>
        <v>-195900</v>
      </c>
    </row>
    <row r="760" spans="1:18" x14ac:dyDescent="0.2">
      <c r="A760" t="s">
        <v>127</v>
      </c>
      <c r="B760" t="s">
        <v>136</v>
      </c>
      <c r="C760" t="s">
        <v>115</v>
      </c>
      <c r="D760" s="291">
        <v>393205</v>
      </c>
      <c r="E760">
        <v>393205</v>
      </c>
      <c r="F760" t="s">
        <v>116</v>
      </c>
      <c r="G760" t="s">
        <v>117</v>
      </c>
      <c r="H760" t="s">
        <v>140</v>
      </c>
      <c r="I760" s="197">
        <v>45199.791666666664</v>
      </c>
      <c r="J760" t="b">
        <v>0</v>
      </c>
      <c r="K760" t="s">
        <v>0</v>
      </c>
      <c r="L760" t="s">
        <v>0</v>
      </c>
      <c r="M760">
        <v>30</v>
      </c>
      <c r="N760">
        <v>9</v>
      </c>
      <c r="O760">
        <v>2023</v>
      </c>
      <c r="R760">
        <f>IF(wallet_records[[#This Row],[type]]="Gasto",wallet_records[[#This Row],[amount]]*(-1),wallet_records[[#This Row],[amount]])</f>
        <v>-393205</v>
      </c>
    </row>
    <row r="761" spans="1:18" x14ac:dyDescent="0.2">
      <c r="A761" t="s">
        <v>119</v>
      </c>
      <c r="B761" t="s">
        <v>136</v>
      </c>
      <c r="C761" t="s">
        <v>115</v>
      </c>
      <c r="D761" s="291">
        <v>1000000</v>
      </c>
      <c r="E761">
        <v>1000000</v>
      </c>
      <c r="F761" t="s">
        <v>121</v>
      </c>
      <c r="G761" t="s">
        <v>117</v>
      </c>
      <c r="H761" t="s">
        <v>522</v>
      </c>
      <c r="I761" s="197">
        <v>45191.791666666664</v>
      </c>
      <c r="J761" t="b">
        <v>0</v>
      </c>
      <c r="K761" t="s">
        <v>123</v>
      </c>
      <c r="L761" t="s">
        <v>123</v>
      </c>
      <c r="M761">
        <v>22</v>
      </c>
      <c r="N761">
        <v>9</v>
      </c>
      <c r="O761">
        <v>2023</v>
      </c>
      <c r="R761">
        <f>IF(wallet_records[[#This Row],[type]]="Gasto",wallet_records[[#This Row],[amount]]*(-1),wallet_records[[#This Row],[amount]])</f>
        <v>1000000</v>
      </c>
    </row>
    <row r="762" spans="1:18" x14ac:dyDescent="0.2">
      <c r="A762" t="s">
        <v>525</v>
      </c>
      <c r="B762" t="s">
        <v>136</v>
      </c>
      <c r="C762" t="s">
        <v>115</v>
      </c>
      <c r="D762" s="291">
        <v>393205.35</v>
      </c>
      <c r="E762">
        <v>393205.35</v>
      </c>
      <c r="F762" t="s">
        <v>121</v>
      </c>
      <c r="G762" t="s">
        <v>117</v>
      </c>
      <c r="H762" t="s">
        <v>522</v>
      </c>
      <c r="I762" s="197">
        <v>45191.791666666664</v>
      </c>
      <c r="J762" t="b">
        <v>0</v>
      </c>
      <c r="K762" t="s">
        <v>123</v>
      </c>
      <c r="L762" t="s">
        <v>123</v>
      </c>
      <c r="M762">
        <v>22</v>
      </c>
      <c r="N762">
        <v>9</v>
      </c>
      <c r="O762">
        <v>2023</v>
      </c>
      <c r="R762">
        <f>IF(wallet_records[[#This Row],[type]]="Gasto",wallet_records[[#This Row],[amount]]*(-1),wallet_records[[#This Row],[amount]])</f>
        <v>393205.35</v>
      </c>
    </row>
    <row r="763" spans="1:18" x14ac:dyDescent="0.2">
      <c r="A763" t="s">
        <v>524</v>
      </c>
      <c r="B763" t="s">
        <v>136</v>
      </c>
      <c r="C763" t="s">
        <v>115</v>
      </c>
      <c r="D763" s="291">
        <v>163048.22</v>
      </c>
      <c r="E763">
        <v>163048.22</v>
      </c>
      <c r="F763" t="s">
        <v>121</v>
      </c>
      <c r="G763" t="s">
        <v>117</v>
      </c>
      <c r="H763" t="s">
        <v>522</v>
      </c>
      <c r="I763" s="197">
        <v>45191.791666666664</v>
      </c>
      <c r="J763" t="b">
        <v>0</v>
      </c>
      <c r="K763" t="s">
        <v>123</v>
      </c>
      <c r="L763" t="s">
        <v>123</v>
      </c>
      <c r="M763">
        <v>22</v>
      </c>
      <c r="N763">
        <v>9</v>
      </c>
      <c r="O763">
        <v>2023</v>
      </c>
      <c r="R763">
        <f>IF(wallet_records[[#This Row],[type]]="Gasto",wallet_records[[#This Row],[amount]]*(-1),wallet_records[[#This Row],[amount]])</f>
        <v>163048.22</v>
      </c>
    </row>
    <row r="764" spans="1:18" x14ac:dyDescent="0.2">
      <c r="A764" t="s">
        <v>525</v>
      </c>
      <c r="B764" t="s">
        <v>136</v>
      </c>
      <c r="C764" t="s">
        <v>115</v>
      </c>
      <c r="D764" s="291">
        <v>393205</v>
      </c>
      <c r="E764">
        <v>393205</v>
      </c>
      <c r="F764" t="s">
        <v>116</v>
      </c>
      <c r="G764" t="s">
        <v>117</v>
      </c>
      <c r="H764" t="s">
        <v>140</v>
      </c>
      <c r="I764" s="197">
        <v>45178.791666666664</v>
      </c>
      <c r="J764" t="b">
        <v>0</v>
      </c>
      <c r="K764" t="s">
        <v>0</v>
      </c>
      <c r="L764" t="s">
        <v>0</v>
      </c>
      <c r="M764">
        <v>9</v>
      </c>
      <c r="N764">
        <v>9</v>
      </c>
      <c r="O764">
        <v>2023</v>
      </c>
      <c r="R764">
        <f>IF(wallet_records[[#This Row],[type]]="Gasto",wallet_records[[#This Row],[amount]]*(-1),wallet_records[[#This Row],[amount]])</f>
        <v>-393205</v>
      </c>
    </row>
    <row r="765" spans="1:18" x14ac:dyDescent="0.2">
      <c r="A765" t="s">
        <v>127</v>
      </c>
      <c r="B765" t="s">
        <v>136</v>
      </c>
      <c r="C765" t="s">
        <v>115</v>
      </c>
      <c r="D765" s="291">
        <v>195900</v>
      </c>
      <c r="E765">
        <v>195900</v>
      </c>
      <c r="F765" t="s">
        <v>116</v>
      </c>
      <c r="G765" t="s">
        <v>117</v>
      </c>
      <c r="H765" t="s">
        <v>140</v>
      </c>
      <c r="I765" s="197">
        <v>45169.791666666664</v>
      </c>
      <c r="J765" t="b">
        <v>0</v>
      </c>
      <c r="K765" t="s">
        <v>77</v>
      </c>
      <c r="L765" t="s">
        <v>77</v>
      </c>
      <c r="M765">
        <v>31</v>
      </c>
      <c r="N765">
        <v>8</v>
      </c>
      <c r="O765">
        <v>2023</v>
      </c>
      <c r="R765">
        <f>IF(wallet_records[[#This Row],[type]]="Gasto",wallet_records[[#This Row],[amount]]*(-1),wallet_records[[#This Row],[amount]])</f>
        <v>-195900</v>
      </c>
    </row>
    <row r="766" spans="1:18" x14ac:dyDescent="0.2">
      <c r="A766" t="s">
        <v>127</v>
      </c>
      <c r="B766" t="s">
        <v>136</v>
      </c>
      <c r="C766" t="s">
        <v>115</v>
      </c>
      <c r="D766" s="291">
        <v>126000</v>
      </c>
      <c r="E766">
        <v>126000</v>
      </c>
      <c r="F766" t="s">
        <v>116</v>
      </c>
      <c r="G766" t="s">
        <v>117</v>
      </c>
      <c r="H766" t="s">
        <v>140</v>
      </c>
      <c r="I766" s="197">
        <v>45169.791666666664</v>
      </c>
      <c r="J766" t="b">
        <v>0</v>
      </c>
      <c r="K766" t="s">
        <v>1</v>
      </c>
      <c r="L766" t="s">
        <v>1</v>
      </c>
      <c r="M766">
        <v>31</v>
      </c>
      <c r="N766">
        <v>8</v>
      </c>
      <c r="O766">
        <v>2023</v>
      </c>
      <c r="R766">
        <f>IF(wallet_records[[#This Row],[type]]="Gasto",wallet_records[[#This Row],[amount]]*(-1),wallet_records[[#This Row],[amount]])</f>
        <v>-126000</v>
      </c>
    </row>
    <row r="767" spans="1:18" x14ac:dyDescent="0.2">
      <c r="A767" t="s">
        <v>127</v>
      </c>
      <c r="B767" t="s">
        <v>136</v>
      </c>
      <c r="C767" t="s">
        <v>115</v>
      </c>
      <c r="D767" s="291">
        <v>393205</v>
      </c>
      <c r="E767">
        <v>393205</v>
      </c>
      <c r="F767" t="s">
        <v>116</v>
      </c>
      <c r="G767" t="s">
        <v>117</v>
      </c>
      <c r="H767" t="s">
        <v>140</v>
      </c>
      <c r="I767" s="197">
        <v>45169.791666666664</v>
      </c>
      <c r="J767" t="b">
        <v>0</v>
      </c>
      <c r="K767" t="s">
        <v>0</v>
      </c>
      <c r="L767" t="s">
        <v>0</v>
      </c>
      <c r="M767">
        <v>31</v>
      </c>
      <c r="N767">
        <v>8</v>
      </c>
      <c r="O767">
        <v>2023</v>
      </c>
      <c r="R767">
        <f>IF(wallet_records[[#This Row],[type]]="Gasto",wallet_records[[#This Row],[amount]]*(-1),wallet_records[[#This Row],[amount]])</f>
        <v>-393205</v>
      </c>
    </row>
    <row r="768" spans="1:18" x14ac:dyDescent="0.2">
      <c r="A768" t="s">
        <v>525</v>
      </c>
      <c r="B768" t="s">
        <v>136</v>
      </c>
      <c r="C768" t="s">
        <v>115</v>
      </c>
      <c r="D768" s="291">
        <v>393204.59</v>
      </c>
      <c r="E768">
        <v>393204.59</v>
      </c>
      <c r="F768" t="s">
        <v>121</v>
      </c>
      <c r="G768" t="s">
        <v>117</v>
      </c>
      <c r="H768" t="s">
        <v>522</v>
      </c>
      <c r="I768" s="197">
        <v>45161.791666666664</v>
      </c>
      <c r="J768" t="b">
        <v>0</v>
      </c>
      <c r="K768" t="s">
        <v>123</v>
      </c>
      <c r="L768" t="s">
        <v>123</v>
      </c>
      <c r="M768">
        <v>23</v>
      </c>
      <c r="N768">
        <v>8</v>
      </c>
      <c r="O768">
        <v>2023</v>
      </c>
      <c r="R768">
        <f>IF(wallet_records[[#This Row],[type]]="Gasto",wallet_records[[#This Row],[amount]]*(-1),wallet_records[[#This Row],[amount]])</f>
        <v>393204.59</v>
      </c>
    </row>
    <row r="769" spans="1:18" x14ac:dyDescent="0.2">
      <c r="A769" t="s">
        <v>127</v>
      </c>
      <c r="B769" t="s">
        <v>136</v>
      </c>
      <c r="C769" t="s">
        <v>115</v>
      </c>
      <c r="D769" s="291">
        <v>3092372.4</v>
      </c>
      <c r="E769">
        <v>3092372.4</v>
      </c>
      <c r="F769" t="s">
        <v>116</v>
      </c>
      <c r="G769" t="s">
        <v>117</v>
      </c>
      <c r="H769" t="s">
        <v>522</v>
      </c>
      <c r="I769" s="197">
        <v>45161.791666666664</v>
      </c>
      <c r="J769" t="b">
        <v>0</v>
      </c>
      <c r="K769" t="s">
        <v>123</v>
      </c>
      <c r="L769" t="s">
        <v>123</v>
      </c>
      <c r="M769">
        <v>23</v>
      </c>
      <c r="N769">
        <v>8</v>
      </c>
      <c r="O769">
        <v>2023</v>
      </c>
      <c r="R769">
        <f>IF(wallet_records[[#This Row],[type]]="Gasto",wallet_records[[#This Row],[amount]]*(-1),wallet_records[[#This Row],[amount]])</f>
        <v>-3092372.4</v>
      </c>
    </row>
    <row r="770" spans="1:18" x14ac:dyDescent="0.2">
      <c r="A770" t="s">
        <v>119</v>
      </c>
      <c r="B770" t="s">
        <v>136</v>
      </c>
      <c r="C770" t="s">
        <v>115</v>
      </c>
      <c r="D770" s="291">
        <v>1294607</v>
      </c>
      <c r="E770">
        <v>1294607</v>
      </c>
      <c r="F770" t="s">
        <v>116</v>
      </c>
      <c r="G770" t="s">
        <v>117</v>
      </c>
      <c r="H770" t="s">
        <v>522</v>
      </c>
      <c r="I770" s="197">
        <v>45161.791666666664</v>
      </c>
      <c r="J770" t="b">
        <v>0</v>
      </c>
      <c r="K770" t="s">
        <v>123</v>
      </c>
      <c r="L770" t="s">
        <v>123</v>
      </c>
      <c r="M770">
        <v>23</v>
      </c>
      <c r="N770">
        <v>8</v>
      </c>
      <c r="O770">
        <v>2023</v>
      </c>
      <c r="R770">
        <f>IF(wallet_records[[#This Row],[type]]="Gasto",wallet_records[[#This Row],[amount]]*(-1),wallet_records[[#This Row],[amount]])</f>
        <v>-1294607</v>
      </c>
    </row>
    <row r="771" spans="1:18" x14ac:dyDescent="0.2">
      <c r="A771" t="s">
        <v>524</v>
      </c>
      <c r="B771" t="s">
        <v>136</v>
      </c>
      <c r="C771" t="s">
        <v>115</v>
      </c>
      <c r="D771" s="291">
        <v>887328.93</v>
      </c>
      <c r="E771">
        <v>887328.93</v>
      </c>
      <c r="F771" t="s">
        <v>121</v>
      </c>
      <c r="G771" t="s">
        <v>117</v>
      </c>
      <c r="H771" t="s">
        <v>522</v>
      </c>
      <c r="I771" s="197">
        <v>45161.791666666664</v>
      </c>
      <c r="J771" t="b">
        <v>0</v>
      </c>
      <c r="K771" t="s">
        <v>123</v>
      </c>
      <c r="L771" t="s">
        <v>123</v>
      </c>
      <c r="M771">
        <v>23</v>
      </c>
      <c r="N771">
        <v>8</v>
      </c>
      <c r="O771">
        <v>2023</v>
      </c>
      <c r="R771">
        <f>IF(wallet_records[[#This Row],[type]]="Gasto",wallet_records[[#This Row],[amount]]*(-1),wallet_records[[#This Row],[amount]])</f>
        <v>887328.93</v>
      </c>
    </row>
    <row r="772" spans="1:18" x14ac:dyDescent="0.2">
      <c r="A772" t="s">
        <v>525</v>
      </c>
      <c r="B772" t="s">
        <v>136</v>
      </c>
      <c r="C772" t="s">
        <v>115</v>
      </c>
      <c r="D772" s="291">
        <v>393205</v>
      </c>
      <c r="E772">
        <v>393205</v>
      </c>
      <c r="F772" t="s">
        <v>116</v>
      </c>
      <c r="G772" t="s">
        <v>117</v>
      </c>
      <c r="H772" t="s">
        <v>140</v>
      </c>
      <c r="I772" s="197">
        <v>45152.791666666664</v>
      </c>
      <c r="J772" t="b">
        <v>0</v>
      </c>
      <c r="K772" t="s">
        <v>0</v>
      </c>
      <c r="L772" t="s">
        <v>0</v>
      </c>
      <c r="M772">
        <v>14</v>
      </c>
      <c r="N772">
        <v>8</v>
      </c>
      <c r="O772">
        <v>2023</v>
      </c>
      <c r="R772">
        <f>IF(wallet_records[[#This Row],[type]]="Gasto",wallet_records[[#This Row],[amount]]*(-1),wallet_records[[#This Row],[amount]])</f>
        <v>-393205</v>
      </c>
    </row>
    <row r="773" spans="1:18" x14ac:dyDescent="0.2">
      <c r="A773" t="s">
        <v>127</v>
      </c>
      <c r="B773" t="s">
        <v>136</v>
      </c>
      <c r="C773" t="s">
        <v>115</v>
      </c>
      <c r="D773" s="291">
        <v>393205</v>
      </c>
      <c r="E773">
        <v>393205</v>
      </c>
      <c r="F773" t="s">
        <v>116</v>
      </c>
      <c r="G773" t="s">
        <v>117</v>
      </c>
      <c r="H773" t="s">
        <v>140</v>
      </c>
      <c r="I773" s="197">
        <v>45139.791666666664</v>
      </c>
      <c r="J773" t="b">
        <v>0</v>
      </c>
      <c r="K773" t="s">
        <v>0</v>
      </c>
      <c r="L773" t="s">
        <v>0</v>
      </c>
      <c r="M773">
        <v>1</v>
      </c>
      <c r="N773">
        <v>8</v>
      </c>
      <c r="O773">
        <v>2023</v>
      </c>
      <c r="R773">
        <f>IF(wallet_records[[#This Row],[type]]="Gasto",wallet_records[[#This Row],[amount]]*(-1),wallet_records[[#This Row],[amount]])</f>
        <v>-393205</v>
      </c>
    </row>
    <row r="774" spans="1:18" x14ac:dyDescent="0.2">
      <c r="A774" t="s">
        <v>127</v>
      </c>
      <c r="B774" t="s">
        <v>136</v>
      </c>
      <c r="C774" t="s">
        <v>115</v>
      </c>
      <c r="D774" s="291">
        <v>126000</v>
      </c>
      <c r="E774">
        <v>126000</v>
      </c>
      <c r="F774" t="s">
        <v>116</v>
      </c>
      <c r="G774" t="s">
        <v>117</v>
      </c>
      <c r="H774" t="s">
        <v>140</v>
      </c>
      <c r="I774" s="197">
        <v>45139.791666666664</v>
      </c>
      <c r="J774" t="b">
        <v>0</v>
      </c>
      <c r="K774" t="s">
        <v>1</v>
      </c>
      <c r="L774" t="s">
        <v>1</v>
      </c>
      <c r="M774">
        <v>1</v>
      </c>
      <c r="N774">
        <v>8</v>
      </c>
      <c r="O774">
        <v>2023</v>
      </c>
      <c r="R774">
        <f>IF(wallet_records[[#This Row],[type]]="Gasto",wallet_records[[#This Row],[amount]]*(-1),wallet_records[[#This Row],[amount]])</f>
        <v>-126000</v>
      </c>
    </row>
    <row r="775" spans="1:18" x14ac:dyDescent="0.2">
      <c r="A775" t="s">
        <v>127</v>
      </c>
      <c r="B775" t="s">
        <v>136</v>
      </c>
      <c r="C775" t="s">
        <v>115</v>
      </c>
      <c r="D775" s="291">
        <v>195900</v>
      </c>
      <c r="E775">
        <v>195900</v>
      </c>
      <c r="F775" t="s">
        <v>116</v>
      </c>
      <c r="G775" t="s">
        <v>117</v>
      </c>
      <c r="H775" t="s">
        <v>140</v>
      </c>
      <c r="I775" s="197">
        <v>45139.791666666664</v>
      </c>
      <c r="J775" t="b">
        <v>0</v>
      </c>
      <c r="K775" t="s">
        <v>77</v>
      </c>
      <c r="L775" t="s">
        <v>77</v>
      </c>
      <c r="M775">
        <v>1</v>
      </c>
      <c r="N775">
        <v>8</v>
      </c>
      <c r="O775">
        <v>2023</v>
      </c>
      <c r="R775">
        <f>IF(wallet_records[[#This Row],[type]]="Gasto",wallet_records[[#This Row],[amount]]*(-1),wallet_records[[#This Row],[amount]])</f>
        <v>-195900</v>
      </c>
    </row>
    <row r="776" spans="1:18" x14ac:dyDescent="0.2">
      <c r="A776" t="s">
        <v>127</v>
      </c>
      <c r="B776" t="s">
        <v>136</v>
      </c>
      <c r="C776" t="s">
        <v>115</v>
      </c>
      <c r="D776" s="291">
        <v>1343759.29</v>
      </c>
      <c r="E776">
        <v>1343759.29</v>
      </c>
      <c r="F776" t="s">
        <v>116</v>
      </c>
      <c r="G776" t="s">
        <v>117</v>
      </c>
      <c r="H776" t="s">
        <v>522</v>
      </c>
      <c r="I776" s="197">
        <v>45131.791666666664</v>
      </c>
      <c r="J776" t="b">
        <v>0</v>
      </c>
      <c r="K776" t="s">
        <v>123</v>
      </c>
      <c r="L776" t="s">
        <v>123</v>
      </c>
      <c r="M776">
        <v>24</v>
      </c>
      <c r="N776">
        <v>7</v>
      </c>
      <c r="O776">
        <v>2023</v>
      </c>
      <c r="R776">
        <f>IF(wallet_records[[#This Row],[type]]="Gasto",wallet_records[[#This Row],[amount]]*(-1),wallet_records[[#This Row],[amount]])</f>
        <v>-1343759.29</v>
      </c>
    </row>
    <row r="777" spans="1:18" x14ac:dyDescent="0.2">
      <c r="A777" t="s">
        <v>524</v>
      </c>
      <c r="B777" t="s">
        <v>136</v>
      </c>
      <c r="C777" t="s">
        <v>115</v>
      </c>
      <c r="D777" s="291">
        <v>0.09</v>
      </c>
      <c r="E777">
        <v>0.09</v>
      </c>
      <c r="F777" t="s">
        <v>121</v>
      </c>
      <c r="G777" t="s">
        <v>117</v>
      </c>
      <c r="H777" t="s">
        <v>522</v>
      </c>
      <c r="I777" s="197">
        <v>45131.791666666664</v>
      </c>
      <c r="J777" t="b">
        <v>0</v>
      </c>
      <c r="K777" t="s">
        <v>123</v>
      </c>
      <c r="L777" t="s">
        <v>123</v>
      </c>
      <c r="M777">
        <v>24</v>
      </c>
      <c r="N777">
        <v>7</v>
      </c>
      <c r="O777">
        <v>2023</v>
      </c>
      <c r="R777">
        <f>IF(wallet_records[[#This Row],[type]]="Gasto",wallet_records[[#This Row],[amount]]*(-1),wallet_records[[#This Row],[amount]])</f>
        <v>0.09</v>
      </c>
    </row>
    <row r="778" spans="1:18" x14ac:dyDescent="0.2">
      <c r="A778" t="s">
        <v>525</v>
      </c>
      <c r="B778" t="s">
        <v>136</v>
      </c>
      <c r="C778" t="s">
        <v>115</v>
      </c>
      <c r="D778" s="291">
        <v>393205.16</v>
      </c>
      <c r="E778">
        <v>393205.16</v>
      </c>
      <c r="F778" t="s">
        <v>121</v>
      </c>
      <c r="G778" t="s">
        <v>117</v>
      </c>
      <c r="H778" t="s">
        <v>522</v>
      </c>
      <c r="I778" s="197">
        <v>45131.791666666664</v>
      </c>
      <c r="J778" t="b">
        <v>0</v>
      </c>
      <c r="K778" t="s">
        <v>123</v>
      </c>
      <c r="L778" t="s">
        <v>123</v>
      </c>
      <c r="M778">
        <v>24</v>
      </c>
      <c r="N778">
        <v>7</v>
      </c>
      <c r="O778">
        <v>2023</v>
      </c>
      <c r="R778">
        <f>IF(wallet_records[[#This Row],[type]]="Gasto",wallet_records[[#This Row],[amount]]*(-1),wallet_records[[#This Row],[amount]])</f>
        <v>393205.16</v>
      </c>
    </row>
    <row r="779" spans="1:18" x14ac:dyDescent="0.2">
      <c r="A779" t="s">
        <v>119</v>
      </c>
      <c r="B779" t="s">
        <v>136</v>
      </c>
      <c r="C779" t="s">
        <v>115</v>
      </c>
      <c r="D779" s="291">
        <v>536424</v>
      </c>
      <c r="E779">
        <v>536424</v>
      </c>
      <c r="F779" t="s">
        <v>121</v>
      </c>
      <c r="G779" t="s">
        <v>117</v>
      </c>
      <c r="H779" t="s">
        <v>522</v>
      </c>
      <c r="I779" s="197">
        <v>45131.791666666664</v>
      </c>
      <c r="J779" t="b">
        <v>0</v>
      </c>
      <c r="K779" t="s">
        <v>123</v>
      </c>
      <c r="L779" t="s">
        <v>123</v>
      </c>
      <c r="M779">
        <v>24</v>
      </c>
      <c r="N779">
        <v>7</v>
      </c>
      <c r="O779">
        <v>2023</v>
      </c>
      <c r="R779">
        <f>IF(wallet_records[[#This Row],[type]]="Gasto",wallet_records[[#This Row],[amount]]*(-1),wallet_records[[#This Row],[amount]])</f>
        <v>536424</v>
      </c>
    </row>
    <row r="780" spans="1:18" x14ac:dyDescent="0.2">
      <c r="A780" t="s">
        <v>525</v>
      </c>
      <c r="B780" t="s">
        <v>136</v>
      </c>
      <c r="C780" t="s">
        <v>115</v>
      </c>
      <c r="D780" s="291">
        <v>393205</v>
      </c>
      <c r="E780">
        <v>393205</v>
      </c>
      <c r="F780" t="s">
        <v>116</v>
      </c>
      <c r="G780" t="s">
        <v>117</v>
      </c>
      <c r="H780" t="s">
        <v>140</v>
      </c>
      <c r="I780" s="197">
        <v>45121.791666666664</v>
      </c>
      <c r="J780" t="b">
        <v>0</v>
      </c>
      <c r="K780" t="s">
        <v>0</v>
      </c>
      <c r="L780" t="s">
        <v>0</v>
      </c>
      <c r="M780">
        <v>14</v>
      </c>
      <c r="N780">
        <v>7</v>
      </c>
      <c r="O780">
        <v>2023</v>
      </c>
      <c r="R780">
        <f>IF(wallet_records[[#This Row],[type]]="Gasto",wallet_records[[#This Row],[amount]]*(-1),wallet_records[[#This Row],[amount]])</f>
        <v>-393205</v>
      </c>
    </row>
    <row r="781" spans="1:18" x14ac:dyDescent="0.2">
      <c r="A781" t="s">
        <v>127</v>
      </c>
      <c r="B781" t="s">
        <v>136</v>
      </c>
      <c r="C781" t="s">
        <v>115</v>
      </c>
      <c r="D781" s="291">
        <v>393205</v>
      </c>
      <c r="E781">
        <v>393205</v>
      </c>
      <c r="F781" t="s">
        <v>116</v>
      </c>
      <c r="G781" t="s">
        <v>117</v>
      </c>
      <c r="H781" t="s">
        <v>140</v>
      </c>
      <c r="I781" s="197">
        <v>45120.791666666664</v>
      </c>
      <c r="J781" t="b">
        <v>0</v>
      </c>
      <c r="K781" t="s">
        <v>0</v>
      </c>
      <c r="L781" t="s">
        <v>0</v>
      </c>
      <c r="M781">
        <v>13</v>
      </c>
      <c r="N781">
        <v>7</v>
      </c>
      <c r="O781">
        <v>2023</v>
      </c>
      <c r="R781">
        <f>IF(wallet_records[[#This Row],[type]]="Gasto",wallet_records[[#This Row],[amount]]*(-1),wallet_records[[#This Row],[amount]])</f>
        <v>-393205</v>
      </c>
    </row>
    <row r="782" spans="1:18" x14ac:dyDescent="0.2">
      <c r="A782" t="s">
        <v>127</v>
      </c>
      <c r="B782" t="s">
        <v>136</v>
      </c>
      <c r="C782" t="s">
        <v>115</v>
      </c>
      <c r="D782" s="291">
        <v>126000</v>
      </c>
      <c r="E782">
        <v>126000</v>
      </c>
      <c r="F782" t="s">
        <v>116</v>
      </c>
      <c r="G782" t="s">
        <v>117</v>
      </c>
      <c r="H782" t="s">
        <v>140</v>
      </c>
      <c r="I782" s="197">
        <v>45116.791666666664</v>
      </c>
      <c r="J782" t="b">
        <v>0</v>
      </c>
      <c r="K782" t="s">
        <v>1</v>
      </c>
      <c r="L782" t="s">
        <v>1</v>
      </c>
      <c r="M782">
        <v>9</v>
      </c>
      <c r="N782">
        <v>7</v>
      </c>
      <c r="O782">
        <v>2023</v>
      </c>
      <c r="R782">
        <f>IF(wallet_records[[#This Row],[type]]="Gasto",wallet_records[[#This Row],[amount]]*(-1),wallet_records[[#This Row],[amount]])</f>
        <v>-126000</v>
      </c>
    </row>
    <row r="783" spans="1:18" x14ac:dyDescent="0.2">
      <c r="A783" t="s">
        <v>127</v>
      </c>
      <c r="B783" t="s">
        <v>136</v>
      </c>
      <c r="C783" t="s">
        <v>115</v>
      </c>
      <c r="D783" s="291">
        <v>195900</v>
      </c>
      <c r="E783">
        <v>195900</v>
      </c>
      <c r="F783" t="s">
        <v>116</v>
      </c>
      <c r="G783" t="s">
        <v>117</v>
      </c>
      <c r="H783" t="s">
        <v>140</v>
      </c>
      <c r="I783" s="197">
        <v>45105.791666666664</v>
      </c>
      <c r="J783" t="b">
        <v>0</v>
      </c>
      <c r="K783" t="s">
        <v>77</v>
      </c>
      <c r="L783" t="s">
        <v>77</v>
      </c>
      <c r="M783">
        <v>28</v>
      </c>
      <c r="N783">
        <v>6</v>
      </c>
      <c r="O783">
        <v>2023</v>
      </c>
      <c r="R783">
        <f>IF(wallet_records[[#This Row],[type]]="Gasto",wallet_records[[#This Row],[amount]]*(-1),wallet_records[[#This Row],[amount]])</f>
        <v>-195900</v>
      </c>
    </row>
    <row r="784" spans="1:18" x14ac:dyDescent="0.2">
      <c r="A784" t="s">
        <v>127</v>
      </c>
      <c r="B784" t="s">
        <v>136</v>
      </c>
      <c r="C784" t="s">
        <v>115</v>
      </c>
      <c r="D784" s="291">
        <v>126000</v>
      </c>
      <c r="E784">
        <v>126000</v>
      </c>
      <c r="F784" t="s">
        <v>116</v>
      </c>
      <c r="G784" t="s">
        <v>117</v>
      </c>
      <c r="H784" t="s">
        <v>140</v>
      </c>
      <c r="I784" s="197">
        <v>45105.791666666664</v>
      </c>
      <c r="J784" t="b">
        <v>0</v>
      </c>
      <c r="K784" t="s">
        <v>1</v>
      </c>
      <c r="L784" t="s">
        <v>1</v>
      </c>
      <c r="M784">
        <v>28</v>
      </c>
      <c r="N784">
        <v>6</v>
      </c>
      <c r="O784">
        <v>2023</v>
      </c>
      <c r="R784">
        <f>IF(wallet_records[[#This Row],[type]]="Gasto",wallet_records[[#This Row],[amount]]*(-1),wallet_records[[#This Row],[amount]])</f>
        <v>-126000</v>
      </c>
    </row>
    <row r="785" spans="1:18" x14ac:dyDescent="0.2">
      <c r="A785" t="s">
        <v>127</v>
      </c>
      <c r="B785" t="s">
        <v>136</v>
      </c>
      <c r="C785" t="s">
        <v>115</v>
      </c>
      <c r="D785" s="291">
        <v>2895100.55</v>
      </c>
      <c r="E785">
        <v>2895100.55</v>
      </c>
      <c r="F785" t="s">
        <v>116</v>
      </c>
      <c r="G785" t="s">
        <v>117</v>
      </c>
      <c r="H785" t="s">
        <v>522</v>
      </c>
      <c r="I785" s="197">
        <v>45101.791666666664</v>
      </c>
      <c r="J785" t="b">
        <v>0</v>
      </c>
      <c r="K785" t="s">
        <v>123</v>
      </c>
      <c r="L785" t="s">
        <v>123</v>
      </c>
      <c r="M785">
        <v>24</v>
      </c>
      <c r="N785">
        <v>6</v>
      </c>
      <c r="O785">
        <v>2023</v>
      </c>
      <c r="R785">
        <f>IF(wallet_records[[#This Row],[type]]="Gasto",wallet_records[[#This Row],[amount]]*(-1),wallet_records[[#This Row],[amount]])</f>
        <v>-2895100.55</v>
      </c>
    </row>
    <row r="786" spans="1:18" x14ac:dyDescent="0.2">
      <c r="A786" t="s">
        <v>524</v>
      </c>
      <c r="B786" t="s">
        <v>136</v>
      </c>
      <c r="C786" t="s">
        <v>115</v>
      </c>
      <c r="D786" s="291">
        <v>0.1</v>
      </c>
      <c r="E786">
        <v>0.1</v>
      </c>
      <c r="F786" t="s">
        <v>116</v>
      </c>
      <c r="G786" t="s">
        <v>117</v>
      </c>
      <c r="H786" t="s">
        <v>522</v>
      </c>
      <c r="I786" s="197">
        <v>45101.791666666664</v>
      </c>
      <c r="J786" t="b">
        <v>0</v>
      </c>
      <c r="K786" t="s">
        <v>123</v>
      </c>
      <c r="L786" t="s">
        <v>123</v>
      </c>
      <c r="M786">
        <v>24</v>
      </c>
      <c r="N786">
        <v>6</v>
      </c>
      <c r="O786">
        <v>2023</v>
      </c>
      <c r="R786">
        <f>IF(wallet_records[[#This Row],[type]]="Gasto",wallet_records[[#This Row],[amount]]*(-1),wallet_records[[#This Row],[amount]])</f>
        <v>-0.1</v>
      </c>
    </row>
    <row r="787" spans="1:18" x14ac:dyDescent="0.2">
      <c r="A787" t="s">
        <v>119</v>
      </c>
      <c r="B787" t="s">
        <v>136</v>
      </c>
      <c r="C787" t="s">
        <v>115</v>
      </c>
      <c r="D787" s="291">
        <v>532349</v>
      </c>
      <c r="E787">
        <v>532349</v>
      </c>
      <c r="F787" t="s">
        <v>121</v>
      </c>
      <c r="G787" t="s">
        <v>117</v>
      </c>
      <c r="H787" t="s">
        <v>522</v>
      </c>
      <c r="I787" s="197">
        <v>45101.791666666664</v>
      </c>
      <c r="J787" t="b">
        <v>0</v>
      </c>
      <c r="K787" t="s">
        <v>123</v>
      </c>
      <c r="L787" t="s">
        <v>123</v>
      </c>
      <c r="M787">
        <v>24</v>
      </c>
      <c r="N787">
        <v>6</v>
      </c>
      <c r="O787">
        <v>2023</v>
      </c>
      <c r="R787">
        <f>IF(wallet_records[[#This Row],[type]]="Gasto",wallet_records[[#This Row],[amount]]*(-1),wallet_records[[#This Row],[amount]])</f>
        <v>532349</v>
      </c>
    </row>
    <row r="788" spans="1:18" x14ac:dyDescent="0.2">
      <c r="A788" t="s">
        <v>525</v>
      </c>
      <c r="B788" t="s">
        <v>136</v>
      </c>
      <c r="C788" t="s">
        <v>115</v>
      </c>
      <c r="D788" s="291">
        <v>2999.89</v>
      </c>
      <c r="E788">
        <v>2999.89</v>
      </c>
      <c r="F788" t="s">
        <v>116</v>
      </c>
      <c r="G788" t="s">
        <v>117</v>
      </c>
      <c r="H788" t="s">
        <v>522</v>
      </c>
      <c r="I788" s="197">
        <v>45101.791666666664</v>
      </c>
      <c r="J788" t="b">
        <v>0</v>
      </c>
      <c r="K788" t="s">
        <v>123</v>
      </c>
      <c r="L788" t="s">
        <v>123</v>
      </c>
      <c r="M788">
        <v>24</v>
      </c>
      <c r="N788">
        <v>6</v>
      </c>
      <c r="O788">
        <v>2023</v>
      </c>
      <c r="R788">
        <f>IF(wallet_records[[#This Row],[type]]="Gasto",wallet_records[[#This Row],[amount]]*(-1),wallet_records[[#This Row],[amount]])</f>
        <v>-2999.89</v>
      </c>
    </row>
    <row r="789" spans="1:18" x14ac:dyDescent="0.2">
      <c r="A789" t="s">
        <v>127</v>
      </c>
      <c r="B789" t="s">
        <v>136</v>
      </c>
      <c r="C789" t="s">
        <v>115</v>
      </c>
      <c r="D789" s="291">
        <v>393205</v>
      </c>
      <c r="E789">
        <v>393205</v>
      </c>
      <c r="F789" t="s">
        <v>116</v>
      </c>
      <c r="G789" t="s">
        <v>117</v>
      </c>
      <c r="H789" t="s">
        <v>140</v>
      </c>
      <c r="I789" s="197">
        <v>45090.791666666664</v>
      </c>
      <c r="J789" t="b">
        <v>0</v>
      </c>
      <c r="K789" t="s">
        <v>0</v>
      </c>
      <c r="L789" t="s">
        <v>0</v>
      </c>
      <c r="M789">
        <v>13</v>
      </c>
      <c r="N789">
        <v>6</v>
      </c>
      <c r="O789">
        <v>2023</v>
      </c>
      <c r="R789">
        <f>IF(wallet_records[[#This Row],[type]]="Gasto",wallet_records[[#This Row],[amount]]*(-1),wallet_records[[#This Row],[amount]])</f>
        <v>-393205</v>
      </c>
    </row>
    <row r="790" spans="1:18" x14ac:dyDescent="0.2">
      <c r="A790" t="s">
        <v>127</v>
      </c>
      <c r="B790" t="s">
        <v>136</v>
      </c>
      <c r="C790" t="s">
        <v>115</v>
      </c>
      <c r="D790" s="291">
        <v>195900</v>
      </c>
      <c r="E790">
        <v>195900</v>
      </c>
      <c r="F790" t="s">
        <v>116</v>
      </c>
      <c r="G790" t="s">
        <v>117</v>
      </c>
      <c r="H790" t="s">
        <v>140</v>
      </c>
      <c r="I790" s="197">
        <v>45073.791666666664</v>
      </c>
      <c r="J790" t="b">
        <v>0</v>
      </c>
      <c r="K790" t="s">
        <v>77</v>
      </c>
      <c r="L790" t="s">
        <v>77</v>
      </c>
      <c r="M790">
        <v>27</v>
      </c>
      <c r="N790">
        <v>5</v>
      </c>
      <c r="O790">
        <v>2023</v>
      </c>
      <c r="R790">
        <f>IF(wallet_records[[#This Row],[type]]="Gasto",wallet_records[[#This Row],[amount]]*(-1),wallet_records[[#This Row],[amount]])</f>
        <v>-195900</v>
      </c>
    </row>
    <row r="791" spans="1:18" x14ac:dyDescent="0.2">
      <c r="A791" t="s">
        <v>119</v>
      </c>
      <c r="B791" t="s">
        <v>136</v>
      </c>
      <c r="C791" t="s">
        <v>115</v>
      </c>
      <c r="D791" s="291">
        <v>530983</v>
      </c>
      <c r="E791">
        <v>530983</v>
      </c>
      <c r="F791" t="s">
        <v>121</v>
      </c>
      <c r="G791" t="s">
        <v>117</v>
      </c>
      <c r="H791" t="s">
        <v>522</v>
      </c>
      <c r="I791" s="197">
        <v>45071.791666666664</v>
      </c>
      <c r="J791" t="b">
        <v>0</v>
      </c>
      <c r="K791" t="s">
        <v>123</v>
      </c>
      <c r="L791" t="s">
        <v>123</v>
      </c>
      <c r="M791">
        <v>25</v>
      </c>
      <c r="N791">
        <v>5</v>
      </c>
      <c r="O791">
        <v>2023</v>
      </c>
      <c r="R791">
        <f>IF(wallet_records[[#This Row],[type]]="Gasto",wallet_records[[#This Row],[amount]]*(-1),wallet_records[[#This Row],[amount]])</f>
        <v>530983</v>
      </c>
    </row>
    <row r="792" spans="1:18" x14ac:dyDescent="0.2">
      <c r="A792" t="s">
        <v>524</v>
      </c>
      <c r="B792" t="s">
        <v>136</v>
      </c>
      <c r="C792" t="s">
        <v>115</v>
      </c>
      <c r="D792" s="291">
        <v>1663003</v>
      </c>
      <c r="E792">
        <v>1663003</v>
      </c>
      <c r="F792" t="s">
        <v>121</v>
      </c>
      <c r="G792" t="s">
        <v>117</v>
      </c>
      <c r="H792" t="s">
        <v>522</v>
      </c>
      <c r="I792" s="197">
        <v>45071.791666666664</v>
      </c>
      <c r="J792" t="b">
        <v>0</v>
      </c>
      <c r="K792" t="s">
        <v>123</v>
      </c>
      <c r="L792" t="s">
        <v>123</v>
      </c>
      <c r="M792">
        <v>25</v>
      </c>
      <c r="N792">
        <v>5</v>
      </c>
      <c r="O792">
        <v>2023</v>
      </c>
      <c r="R792">
        <f>IF(wallet_records[[#This Row],[type]]="Gasto",wallet_records[[#This Row],[amount]]*(-1),wallet_records[[#This Row],[amount]])</f>
        <v>1663003</v>
      </c>
    </row>
    <row r="793" spans="1:18" x14ac:dyDescent="0.2">
      <c r="A793" t="s">
        <v>525</v>
      </c>
      <c r="B793" t="s">
        <v>136</v>
      </c>
      <c r="C793" t="s">
        <v>115</v>
      </c>
      <c r="D793" s="291">
        <v>546153</v>
      </c>
      <c r="E793">
        <v>546153</v>
      </c>
      <c r="F793" t="s">
        <v>121</v>
      </c>
      <c r="G793" t="s">
        <v>117</v>
      </c>
      <c r="H793" t="s">
        <v>522</v>
      </c>
      <c r="I793" s="197">
        <v>45071.791666666664</v>
      </c>
      <c r="J793" t="b">
        <v>0</v>
      </c>
      <c r="K793" t="s">
        <v>123</v>
      </c>
      <c r="L793" t="s">
        <v>123</v>
      </c>
      <c r="M793">
        <v>25</v>
      </c>
      <c r="N793">
        <v>5</v>
      </c>
      <c r="O793">
        <v>2023</v>
      </c>
      <c r="R793">
        <f>IF(wallet_records[[#This Row],[type]]="Gasto",wallet_records[[#This Row],[amount]]*(-1),wallet_records[[#This Row],[amount]])</f>
        <v>546153</v>
      </c>
    </row>
    <row r="794" spans="1:18" x14ac:dyDescent="0.2">
      <c r="A794" t="s">
        <v>127</v>
      </c>
      <c r="B794" t="s">
        <v>136</v>
      </c>
      <c r="C794" t="s">
        <v>115</v>
      </c>
      <c r="D794" s="291">
        <v>1864961.12</v>
      </c>
      <c r="E794">
        <v>1864961.12</v>
      </c>
      <c r="F794" t="s">
        <v>116</v>
      </c>
      <c r="G794" t="s">
        <v>117</v>
      </c>
      <c r="H794" t="s">
        <v>522</v>
      </c>
      <c r="I794" s="197">
        <v>45071.791666666664</v>
      </c>
      <c r="J794" t="b">
        <v>0</v>
      </c>
      <c r="K794" t="s">
        <v>123</v>
      </c>
      <c r="L794" t="s">
        <v>123</v>
      </c>
      <c r="M794">
        <v>25</v>
      </c>
      <c r="N794">
        <v>5</v>
      </c>
      <c r="O794">
        <v>2023</v>
      </c>
      <c r="R794">
        <f>IF(wallet_records[[#This Row],[type]]="Gasto",wallet_records[[#This Row],[amount]]*(-1),wallet_records[[#This Row],[amount]])</f>
        <v>-1864961.12</v>
      </c>
    </row>
    <row r="795" spans="1:18" x14ac:dyDescent="0.2">
      <c r="A795" t="s">
        <v>127</v>
      </c>
      <c r="B795" t="s">
        <v>136</v>
      </c>
      <c r="C795" t="s">
        <v>115</v>
      </c>
      <c r="D795" s="291">
        <v>393205</v>
      </c>
      <c r="E795">
        <v>393205</v>
      </c>
      <c r="F795" t="s">
        <v>116</v>
      </c>
      <c r="G795" t="s">
        <v>117</v>
      </c>
      <c r="H795" t="s">
        <v>140</v>
      </c>
      <c r="I795" s="197">
        <v>45059.791666666664</v>
      </c>
      <c r="J795" t="b">
        <v>0</v>
      </c>
      <c r="K795" t="s">
        <v>0</v>
      </c>
      <c r="L795" t="s">
        <v>0</v>
      </c>
      <c r="M795">
        <v>13</v>
      </c>
      <c r="N795">
        <v>5</v>
      </c>
      <c r="O795">
        <v>2023</v>
      </c>
      <c r="R795">
        <f>IF(wallet_records[[#This Row],[type]]="Gasto",wallet_records[[#This Row],[amount]]*(-1),wallet_records[[#This Row],[amount]])</f>
        <v>-393205</v>
      </c>
    </row>
    <row r="796" spans="1:18" x14ac:dyDescent="0.2">
      <c r="A796" t="s">
        <v>127</v>
      </c>
      <c r="B796" t="s">
        <v>136</v>
      </c>
      <c r="C796" t="s">
        <v>115</v>
      </c>
      <c r="D796" s="291">
        <v>126000</v>
      </c>
      <c r="E796">
        <v>126000</v>
      </c>
      <c r="F796" t="s">
        <v>116</v>
      </c>
      <c r="G796" t="s">
        <v>117</v>
      </c>
      <c r="H796" t="s">
        <v>140</v>
      </c>
      <c r="I796" s="197">
        <v>45059.791666666664</v>
      </c>
      <c r="J796" t="b">
        <v>0</v>
      </c>
      <c r="K796" t="s">
        <v>1</v>
      </c>
      <c r="L796" t="s">
        <v>1</v>
      </c>
      <c r="M796">
        <v>13</v>
      </c>
      <c r="N796">
        <v>5</v>
      </c>
      <c r="O796">
        <v>2023</v>
      </c>
      <c r="R796">
        <f>IF(wallet_records[[#This Row],[type]]="Gasto",wallet_records[[#This Row],[amount]]*(-1),wallet_records[[#This Row],[amount]])</f>
        <v>-126000</v>
      </c>
    </row>
    <row r="797" spans="1:18" x14ac:dyDescent="0.2">
      <c r="A797" t="s">
        <v>127</v>
      </c>
      <c r="B797" t="s">
        <v>136</v>
      </c>
      <c r="C797" t="s">
        <v>115</v>
      </c>
      <c r="D797" s="291">
        <v>195900</v>
      </c>
      <c r="E797">
        <v>195900</v>
      </c>
      <c r="F797" t="s">
        <v>116</v>
      </c>
      <c r="G797" t="s">
        <v>117</v>
      </c>
      <c r="H797" t="s">
        <v>140</v>
      </c>
      <c r="I797" s="197">
        <v>45046.791666666664</v>
      </c>
      <c r="J797" t="b">
        <v>0</v>
      </c>
      <c r="K797" t="s">
        <v>77</v>
      </c>
      <c r="L797" t="s">
        <v>77</v>
      </c>
      <c r="M797">
        <v>30</v>
      </c>
      <c r="N797">
        <v>4</v>
      </c>
      <c r="O797">
        <v>2023</v>
      </c>
      <c r="R797">
        <f>IF(wallet_records[[#This Row],[type]]="Gasto",wallet_records[[#This Row],[amount]]*(-1),wallet_records[[#This Row],[amount]])</f>
        <v>-195900</v>
      </c>
    </row>
    <row r="798" spans="1:18" x14ac:dyDescent="0.2">
      <c r="A798" t="s">
        <v>127</v>
      </c>
      <c r="B798" t="s">
        <v>136</v>
      </c>
      <c r="C798" t="s">
        <v>115</v>
      </c>
      <c r="D798" s="291">
        <v>2269867.5099999998</v>
      </c>
      <c r="E798">
        <v>2269867.5099999998</v>
      </c>
      <c r="F798" t="s">
        <v>116</v>
      </c>
      <c r="G798" t="s">
        <v>117</v>
      </c>
      <c r="H798" t="s">
        <v>522</v>
      </c>
      <c r="I798" s="197">
        <v>45041.791666666664</v>
      </c>
      <c r="J798" t="b">
        <v>0</v>
      </c>
      <c r="K798" t="s">
        <v>123</v>
      </c>
      <c r="L798" t="s">
        <v>123</v>
      </c>
      <c r="M798">
        <v>25</v>
      </c>
      <c r="N798">
        <v>4</v>
      </c>
      <c r="O798">
        <v>2023</v>
      </c>
      <c r="R798">
        <f>IF(wallet_records[[#This Row],[type]]="Gasto",wallet_records[[#This Row],[amount]]*(-1),wallet_records[[#This Row],[amount]])</f>
        <v>-2269867.5099999998</v>
      </c>
    </row>
    <row r="799" spans="1:18" x14ac:dyDescent="0.2">
      <c r="A799" t="s">
        <v>119</v>
      </c>
      <c r="B799" t="s">
        <v>136</v>
      </c>
      <c r="C799" t="s">
        <v>115</v>
      </c>
      <c r="D799" s="291">
        <v>526568</v>
      </c>
      <c r="E799">
        <v>526568</v>
      </c>
      <c r="F799" t="s">
        <v>121</v>
      </c>
      <c r="G799" t="s">
        <v>117</v>
      </c>
      <c r="H799" t="s">
        <v>522</v>
      </c>
      <c r="I799" s="197">
        <v>45041.791666666664</v>
      </c>
      <c r="J799" t="b">
        <v>0</v>
      </c>
      <c r="K799" t="s">
        <v>123</v>
      </c>
      <c r="L799" t="s">
        <v>123</v>
      </c>
      <c r="M799">
        <v>25</v>
      </c>
      <c r="N799">
        <v>4</v>
      </c>
      <c r="O799">
        <v>2023</v>
      </c>
      <c r="R799">
        <f>IF(wallet_records[[#This Row],[type]]="Gasto",wallet_records[[#This Row],[amount]]*(-1),wallet_records[[#This Row],[amount]])</f>
        <v>526568</v>
      </c>
    </row>
    <row r="800" spans="1:18" x14ac:dyDescent="0.2">
      <c r="A800" t="s">
        <v>525</v>
      </c>
      <c r="B800" t="s">
        <v>136</v>
      </c>
      <c r="C800" t="s">
        <v>115</v>
      </c>
      <c r="D800" s="291">
        <v>110797.4</v>
      </c>
      <c r="E800">
        <v>110797.4</v>
      </c>
      <c r="F800" t="s">
        <v>121</v>
      </c>
      <c r="G800" t="s">
        <v>117</v>
      </c>
      <c r="H800" t="s">
        <v>522</v>
      </c>
      <c r="I800" s="197">
        <v>45041.791666666664</v>
      </c>
      <c r="J800" t="b">
        <v>0</v>
      </c>
      <c r="K800" t="s">
        <v>123</v>
      </c>
      <c r="L800" t="s">
        <v>123</v>
      </c>
      <c r="M800">
        <v>25</v>
      </c>
      <c r="N800">
        <v>4</v>
      </c>
      <c r="O800">
        <v>2023</v>
      </c>
      <c r="R800">
        <f>IF(wallet_records[[#This Row],[type]]="Gasto",wallet_records[[#This Row],[amount]]*(-1),wallet_records[[#This Row],[amount]])</f>
        <v>110797.4</v>
      </c>
    </row>
    <row r="801" spans="1:18" x14ac:dyDescent="0.2">
      <c r="A801" t="s">
        <v>524</v>
      </c>
      <c r="B801" t="s">
        <v>136</v>
      </c>
      <c r="C801" t="s">
        <v>115</v>
      </c>
      <c r="D801" s="291">
        <v>773131.67</v>
      </c>
      <c r="E801">
        <v>773131.67</v>
      </c>
      <c r="F801" t="s">
        <v>116</v>
      </c>
      <c r="G801" t="s">
        <v>117</v>
      </c>
      <c r="H801" t="s">
        <v>522</v>
      </c>
      <c r="I801" s="197">
        <v>45041.791666666664</v>
      </c>
      <c r="J801" t="b">
        <v>0</v>
      </c>
      <c r="K801" t="s">
        <v>123</v>
      </c>
      <c r="L801" t="s">
        <v>123</v>
      </c>
      <c r="M801">
        <v>25</v>
      </c>
      <c r="N801">
        <v>4</v>
      </c>
      <c r="O801">
        <v>2023</v>
      </c>
      <c r="R801">
        <f>IF(wallet_records[[#This Row],[type]]="Gasto",wallet_records[[#This Row],[amount]]*(-1),wallet_records[[#This Row],[amount]])</f>
        <v>-773131.67</v>
      </c>
    </row>
    <row r="802" spans="1:18" x14ac:dyDescent="0.2">
      <c r="A802" t="s">
        <v>127</v>
      </c>
      <c r="B802" t="s">
        <v>136</v>
      </c>
      <c r="C802" t="s">
        <v>115</v>
      </c>
      <c r="D802" s="291">
        <v>393205</v>
      </c>
      <c r="E802">
        <v>393205</v>
      </c>
      <c r="F802" t="s">
        <v>116</v>
      </c>
      <c r="G802" t="s">
        <v>117</v>
      </c>
      <c r="H802" t="s">
        <v>140</v>
      </c>
      <c r="I802" s="197">
        <v>45033.791666666664</v>
      </c>
      <c r="J802" t="b">
        <v>0</v>
      </c>
      <c r="K802" t="s">
        <v>0</v>
      </c>
      <c r="L802" t="s">
        <v>0</v>
      </c>
      <c r="M802">
        <v>17</v>
      </c>
      <c r="N802">
        <v>4</v>
      </c>
      <c r="O802">
        <v>2023</v>
      </c>
      <c r="R802">
        <f>IF(wallet_records[[#This Row],[type]]="Gasto",wallet_records[[#This Row],[amount]]*(-1),wallet_records[[#This Row],[amount]])</f>
        <v>-393205</v>
      </c>
    </row>
    <row r="803" spans="1:18" x14ac:dyDescent="0.2">
      <c r="A803" t="s">
        <v>127</v>
      </c>
      <c r="B803" t="s">
        <v>136</v>
      </c>
      <c r="C803" t="s">
        <v>115</v>
      </c>
      <c r="D803" s="291">
        <v>226000</v>
      </c>
      <c r="E803">
        <v>226000</v>
      </c>
      <c r="F803" t="s">
        <v>116</v>
      </c>
      <c r="G803" t="s">
        <v>117</v>
      </c>
      <c r="H803" t="s">
        <v>140</v>
      </c>
      <c r="I803" s="197">
        <v>45033.791666666664</v>
      </c>
      <c r="J803" t="b">
        <v>0</v>
      </c>
      <c r="K803" t="s">
        <v>1</v>
      </c>
      <c r="L803" t="s">
        <v>1</v>
      </c>
      <c r="M803">
        <v>17</v>
      </c>
      <c r="N803">
        <v>4</v>
      </c>
      <c r="O803">
        <v>2023</v>
      </c>
      <c r="R803">
        <f>IF(wallet_records[[#This Row],[type]]="Gasto",wallet_records[[#This Row],[amount]]*(-1),wallet_records[[#This Row],[amount]])</f>
        <v>-226000</v>
      </c>
    </row>
    <row r="804" spans="1:18" x14ac:dyDescent="0.2">
      <c r="A804" t="s">
        <v>127</v>
      </c>
      <c r="B804" t="s">
        <v>136</v>
      </c>
      <c r="C804" t="s">
        <v>115</v>
      </c>
      <c r="D804" s="291">
        <v>195900</v>
      </c>
      <c r="E804">
        <v>195900</v>
      </c>
      <c r="F804" t="s">
        <v>116</v>
      </c>
      <c r="G804" t="s">
        <v>117</v>
      </c>
      <c r="H804" t="s">
        <v>140</v>
      </c>
      <c r="I804" s="197">
        <v>45016.791666666664</v>
      </c>
      <c r="J804" t="b">
        <v>0</v>
      </c>
      <c r="K804" t="s">
        <v>77</v>
      </c>
      <c r="L804" t="s">
        <v>77</v>
      </c>
      <c r="M804">
        <v>31</v>
      </c>
      <c r="N804">
        <v>3</v>
      </c>
      <c r="O804">
        <v>2023</v>
      </c>
      <c r="R804">
        <f>IF(wallet_records[[#This Row],[type]]="Gasto",wallet_records[[#This Row],[amount]]*(-1),wallet_records[[#This Row],[amount]])</f>
        <v>-195900</v>
      </c>
    </row>
    <row r="805" spans="1:18" x14ac:dyDescent="0.2">
      <c r="A805" t="s">
        <v>524</v>
      </c>
      <c r="B805" t="s">
        <v>136</v>
      </c>
      <c r="C805" t="s">
        <v>115</v>
      </c>
      <c r="D805" s="291">
        <v>751181.44</v>
      </c>
      <c r="E805">
        <v>751181.44</v>
      </c>
      <c r="F805" t="s">
        <v>121</v>
      </c>
      <c r="G805" t="s">
        <v>117</v>
      </c>
      <c r="H805" t="s">
        <v>522</v>
      </c>
      <c r="I805" s="197">
        <v>45011.791666666664</v>
      </c>
      <c r="J805" t="b">
        <v>0</v>
      </c>
      <c r="K805" t="s">
        <v>123</v>
      </c>
      <c r="L805" t="s">
        <v>123</v>
      </c>
      <c r="M805">
        <v>26</v>
      </c>
      <c r="N805">
        <v>3</v>
      </c>
      <c r="O805">
        <v>2023</v>
      </c>
      <c r="R805">
        <f>IF(wallet_records[[#This Row],[type]]="Gasto",wallet_records[[#This Row],[amount]]*(-1),wallet_records[[#This Row],[amount]])</f>
        <v>751181.44</v>
      </c>
    </row>
    <row r="806" spans="1:18" x14ac:dyDescent="0.2">
      <c r="A806" t="s">
        <v>525</v>
      </c>
      <c r="B806" t="s">
        <v>136</v>
      </c>
      <c r="C806" t="s">
        <v>115</v>
      </c>
      <c r="D806" s="291">
        <v>10923.55</v>
      </c>
      <c r="E806">
        <v>10923.55</v>
      </c>
      <c r="F806" t="s">
        <v>121</v>
      </c>
      <c r="G806" t="s">
        <v>117</v>
      </c>
      <c r="H806" t="s">
        <v>522</v>
      </c>
      <c r="I806" s="197">
        <v>45011.791666666664</v>
      </c>
      <c r="J806" t="b">
        <v>0</v>
      </c>
      <c r="K806" t="s">
        <v>123</v>
      </c>
      <c r="L806" t="s">
        <v>123</v>
      </c>
      <c r="M806">
        <v>26</v>
      </c>
      <c r="N806">
        <v>3</v>
      </c>
      <c r="O806">
        <v>2023</v>
      </c>
      <c r="R806">
        <f>IF(wallet_records[[#This Row],[type]]="Gasto",wallet_records[[#This Row],[amount]]*(-1),wallet_records[[#This Row],[amount]])</f>
        <v>10923.55</v>
      </c>
    </row>
    <row r="807" spans="1:18" x14ac:dyDescent="0.2">
      <c r="A807" t="s">
        <v>127</v>
      </c>
      <c r="B807" t="s">
        <v>136</v>
      </c>
      <c r="C807" t="s">
        <v>115</v>
      </c>
      <c r="D807" s="291">
        <v>4524590.74</v>
      </c>
      <c r="E807">
        <v>4524590.74</v>
      </c>
      <c r="F807" t="s">
        <v>116</v>
      </c>
      <c r="G807" t="s">
        <v>117</v>
      </c>
      <c r="H807" t="s">
        <v>522</v>
      </c>
      <c r="I807" s="197">
        <v>45011.791666666664</v>
      </c>
      <c r="J807" t="b">
        <v>0</v>
      </c>
      <c r="K807" t="s">
        <v>123</v>
      </c>
      <c r="L807" t="s">
        <v>123</v>
      </c>
      <c r="M807">
        <v>26</v>
      </c>
      <c r="N807">
        <v>3</v>
      </c>
      <c r="O807">
        <v>2023</v>
      </c>
      <c r="R807">
        <f>IF(wallet_records[[#This Row],[type]]="Gasto",wallet_records[[#This Row],[amount]]*(-1),wallet_records[[#This Row],[amount]])</f>
        <v>-4524590.74</v>
      </c>
    </row>
    <row r="808" spans="1:18" x14ac:dyDescent="0.2">
      <c r="A808" t="s">
        <v>119</v>
      </c>
      <c r="B808" t="s">
        <v>136</v>
      </c>
      <c r="C808" t="s">
        <v>115</v>
      </c>
      <c r="D808" s="291">
        <v>521805</v>
      </c>
      <c r="E808">
        <v>521805</v>
      </c>
      <c r="F808" t="s">
        <v>121</v>
      </c>
      <c r="G808" t="s">
        <v>117</v>
      </c>
      <c r="H808" t="s">
        <v>522</v>
      </c>
      <c r="I808" s="197">
        <v>45011.791666666664</v>
      </c>
      <c r="J808" t="b">
        <v>0</v>
      </c>
      <c r="K808" t="s">
        <v>123</v>
      </c>
      <c r="L808" t="s">
        <v>123</v>
      </c>
      <c r="M808">
        <v>26</v>
      </c>
      <c r="N808">
        <v>3</v>
      </c>
      <c r="O808">
        <v>2023</v>
      </c>
      <c r="R808">
        <f>IF(wallet_records[[#This Row],[type]]="Gasto",wallet_records[[#This Row],[amount]]*(-1),wallet_records[[#This Row],[amount]])</f>
        <v>521805</v>
      </c>
    </row>
    <row r="809" spans="1:18" x14ac:dyDescent="0.2">
      <c r="A809" t="s">
        <v>127</v>
      </c>
      <c r="B809" t="s">
        <v>136</v>
      </c>
      <c r="C809" t="s">
        <v>115</v>
      </c>
      <c r="D809" s="291">
        <v>126000</v>
      </c>
      <c r="E809">
        <v>126000</v>
      </c>
      <c r="F809" t="s">
        <v>116</v>
      </c>
      <c r="G809" t="s">
        <v>117</v>
      </c>
      <c r="H809" t="s">
        <v>140</v>
      </c>
      <c r="I809" s="197">
        <v>45002.791666666664</v>
      </c>
      <c r="J809" t="b">
        <v>0</v>
      </c>
      <c r="K809" t="s">
        <v>1</v>
      </c>
      <c r="L809" t="s">
        <v>1</v>
      </c>
      <c r="M809">
        <v>17</v>
      </c>
      <c r="N809">
        <v>3</v>
      </c>
      <c r="O809">
        <v>2023</v>
      </c>
      <c r="R809">
        <f>IF(wallet_records[[#This Row],[type]]="Gasto",wallet_records[[#This Row],[amount]]*(-1),wallet_records[[#This Row],[amount]])</f>
        <v>-126000</v>
      </c>
    </row>
    <row r="810" spans="1:18" x14ac:dyDescent="0.2">
      <c r="A810" t="s">
        <v>127</v>
      </c>
      <c r="B810" t="s">
        <v>136</v>
      </c>
      <c r="C810" t="s">
        <v>115</v>
      </c>
      <c r="D810" s="291">
        <v>371205</v>
      </c>
      <c r="E810">
        <v>371205</v>
      </c>
      <c r="F810" t="s">
        <v>116</v>
      </c>
      <c r="G810" t="s">
        <v>117</v>
      </c>
      <c r="H810" t="s">
        <v>140</v>
      </c>
      <c r="I810" s="197">
        <v>45002.791666666664</v>
      </c>
      <c r="J810" t="b">
        <v>0</v>
      </c>
      <c r="K810" t="s">
        <v>0</v>
      </c>
      <c r="L810" t="s">
        <v>0</v>
      </c>
      <c r="M810">
        <v>17</v>
      </c>
      <c r="N810">
        <v>3</v>
      </c>
      <c r="O810">
        <v>2023</v>
      </c>
      <c r="R810">
        <f>IF(wallet_records[[#This Row],[type]]="Gasto",wallet_records[[#This Row],[amount]]*(-1),wallet_records[[#This Row],[amount]])</f>
        <v>-371205</v>
      </c>
    </row>
    <row r="811" spans="1:18" x14ac:dyDescent="0.2">
      <c r="A811" t="s">
        <v>127</v>
      </c>
      <c r="B811" t="s">
        <v>136</v>
      </c>
      <c r="C811" t="s">
        <v>115</v>
      </c>
      <c r="D811" s="291">
        <v>195900</v>
      </c>
      <c r="E811">
        <v>195900</v>
      </c>
      <c r="F811" t="s">
        <v>116</v>
      </c>
      <c r="G811" t="s">
        <v>117</v>
      </c>
      <c r="H811" t="s">
        <v>140</v>
      </c>
      <c r="I811" s="197">
        <v>44985.791666666664</v>
      </c>
      <c r="J811" t="b">
        <v>0</v>
      </c>
      <c r="K811" t="s">
        <v>77</v>
      </c>
      <c r="L811" t="s">
        <v>77</v>
      </c>
      <c r="M811">
        <v>28</v>
      </c>
      <c r="N811">
        <v>2</v>
      </c>
      <c r="O811">
        <v>2023</v>
      </c>
      <c r="R811">
        <f>IF(wallet_records[[#This Row],[type]]="Gasto",wallet_records[[#This Row],[amount]]*(-1),wallet_records[[#This Row],[amount]])</f>
        <v>-195900</v>
      </c>
    </row>
    <row r="812" spans="1:18" x14ac:dyDescent="0.2">
      <c r="A812" t="s">
        <v>524</v>
      </c>
      <c r="B812" t="s">
        <v>136</v>
      </c>
      <c r="C812" t="s">
        <v>115</v>
      </c>
      <c r="D812" s="291">
        <v>11081527.32</v>
      </c>
      <c r="E812">
        <v>11081527.32</v>
      </c>
      <c r="F812" t="s">
        <v>116</v>
      </c>
      <c r="G812" t="s">
        <v>117</v>
      </c>
      <c r="H812" t="s">
        <v>522</v>
      </c>
      <c r="I812" s="197">
        <v>44981.791666666664</v>
      </c>
      <c r="J812" t="b">
        <v>0</v>
      </c>
      <c r="K812" t="s">
        <v>123</v>
      </c>
      <c r="L812" t="s">
        <v>123</v>
      </c>
      <c r="M812">
        <v>24</v>
      </c>
      <c r="N812">
        <v>2</v>
      </c>
      <c r="O812">
        <v>2023</v>
      </c>
      <c r="R812">
        <f>IF(wallet_records[[#This Row],[type]]="Gasto",wallet_records[[#This Row],[amount]]*(-1),wallet_records[[#This Row],[amount]])</f>
        <v>-11081527.32</v>
      </c>
    </row>
    <row r="813" spans="1:18" x14ac:dyDescent="0.2">
      <c r="A813" t="s">
        <v>127</v>
      </c>
      <c r="B813" t="s">
        <v>136</v>
      </c>
      <c r="C813" t="s">
        <v>115</v>
      </c>
      <c r="D813" s="291">
        <v>5746085.7300000004</v>
      </c>
      <c r="E813">
        <v>5746085.7300000004</v>
      </c>
      <c r="F813" t="s">
        <v>121</v>
      </c>
      <c r="G813" t="s">
        <v>117</v>
      </c>
      <c r="H813" t="s">
        <v>522</v>
      </c>
      <c r="I813" s="197">
        <v>44981.791666666664</v>
      </c>
      <c r="J813" t="b">
        <v>0</v>
      </c>
      <c r="K813" t="s">
        <v>123</v>
      </c>
      <c r="L813" t="s">
        <v>123</v>
      </c>
      <c r="M813">
        <v>24</v>
      </c>
      <c r="N813">
        <v>2</v>
      </c>
      <c r="O813">
        <v>2023</v>
      </c>
      <c r="R813">
        <f>IF(wallet_records[[#This Row],[type]]="Gasto",wallet_records[[#This Row],[amount]]*(-1),wallet_records[[#This Row],[amount]])</f>
        <v>5746085.7300000004</v>
      </c>
    </row>
    <row r="814" spans="1:18" x14ac:dyDescent="0.2">
      <c r="A814" t="s">
        <v>119</v>
      </c>
      <c r="B814" t="s">
        <v>136</v>
      </c>
      <c r="C814" t="s">
        <v>115</v>
      </c>
      <c r="D814" s="291">
        <v>1136116</v>
      </c>
      <c r="E814">
        <v>1136116</v>
      </c>
      <c r="F814" t="s">
        <v>121</v>
      </c>
      <c r="G814" t="s">
        <v>117</v>
      </c>
      <c r="H814" t="s">
        <v>522</v>
      </c>
      <c r="I814" s="197">
        <v>44981.791666666664</v>
      </c>
      <c r="J814" t="b">
        <v>0</v>
      </c>
      <c r="K814" t="s">
        <v>123</v>
      </c>
      <c r="L814" t="s">
        <v>123</v>
      </c>
      <c r="M814">
        <v>24</v>
      </c>
      <c r="N814">
        <v>2</v>
      </c>
      <c r="O814">
        <v>2023</v>
      </c>
      <c r="R814">
        <f>IF(wallet_records[[#This Row],[type]]="Gasto",wallet_records[[#This Row],[amount]]*(-1),wallet_records[[#This Row],[amount]])</f>
        <v>1136116</v>
      </c>
    </row>
    <row r="815" spans="1:18" x14ac:dyDescent="0.2">
      <c r="A815" t="s">
        <v>525</v>
      </c>
      <c r="B815" t="s">
        <v>136</v>
      </c>
      <c r="C815" t="s">
        <v>115</v>
      </c>
      <c r="D815" s="291">
        <v>60845.760000000002</v>
      </c>
      <c r="E815">
        <v>60845.760000000002</v>
      </c>
      <c r="F815" t="s">
        <v>121</v>
      </c>
      <c r="G815" t="s">
        <v>117</v>
      </c>
      <c r="H815" t="s">
        <v>522</v>
      </c>
      <c r="I815" s="197">
        <v>44981.791666666664</v>
      </c>
      <c r="J815" t="b">
        <v>0</v>
      </c>
      <c r="K815" t="s">
        <v>123</v>
      </c>
      <c r="L815" t="s">
        <v>123</v>
      </c>
      <c r="M815">
        <v>24</v>
      </c>
      <c r="N815">
        <v>2</v>
      </c>
      <c r="O815">
        <v>2023</v>
      </c>
      <c r="R815">
        <f>IF(wallet_records[[#This Row],[type]]="Gasto",wallet_records[[#This Row],[amount]]*(-1),wallet_records[[#This Row],[amount]])</f>
        <v>60845.760000000002</v>
      </c>
    </row>
    <row r="816" spans="1:18" x14ac:dyDescent="0.2">
      <c r="A816" t="s">
        <v>127</v>
      </c>
      <c r="B816" t="s">
        <v>136</v>
      </c>
      <c r="C816" t="s">
        <v>115</v>
      </c>
      <c r="D816" s="291">
        <v>373205</v>
      </c>
      <c r="E816">
        <v>373205</v>
      </c>
      <c r="F816" t="s">
        <v>116</v>
      </c>
      <c r="G816" t="s">
        <v>117</v>
      </c>
      <c r="H816" t="s">
        <v>140</v>
      </c>
      <c r="I816" s="197">
        <v>44967.791666666664</v>
      </c>
      <c r="J816" t="b">
        <v>0</v>
      </c>
      <c r="K816" t="s">
        <v>0</v>
      </c>
      <c r="L816" t="s">
        <v>0</v>
      </c>
      <c r="M816">
        <v>10</v>
      </c>
      <c r="N816">
        <v>2</v>
      </c>
      <c r="O816">
        <v>2023</v>
      </c>
      <c r="R816">
        <f>IF(wallet_records[[#This Row],[type]]="Gasto",wallet_records[[#This Row],[amount]]*(-1),wallet_records[[#This Row],[amount]])</f>
        <v>-373205</v>
      </c>
    </row>
    <row r="817" spans="1:18" x14ac:dyDescent="0.2">
      <c r="A817" t="s">
        <v>127</v>
      </c>
      <c r="B817" t="s">
        <v>136</v>
      </c>
      <c r="C817" t="s">
        <v>115</v>
      </c>
      <c r="D817" s="291">
        <v>126000</v>
      </c>
      <c r="E817">
        <v>126000</v>
      </c>
      <c r="F817" t="s">
        <v>116</v>
      </c>
      <c r="G817" t="s">
        <v>117</v>
      </c>
      <c r="H817" t="s">
        <v>140</v>
      </c>
      <c r="I817" s="197">
        <v>44967.791666666664</v>
      </c>
      <c r="J817" t="b">
        <v>0</v>
      </c>
      <c r="K817" t="s">
        <v>1</v>
      </c>
      <c r="L817" t="s">
        <v>1</v>
      </c>
      <c r="M817">
        <v>10</v>
      </c>
      <c r="N817">
        <v>2</v>
      </c>
      <c r="O817">
        <v>2023</v>
      </c>
      <c r="R817">
        <f>IF(wallet_records[[#This Row],[type]]="Gasto",wallet_records[[#This Row],[amount]]*(-1),wallet_records[[#This Row],[amount]])</f>
        <v>-126000</v>
      </c>
    </row>
    <row r="818" spans="1:18" x14ac:dyDescent="0.2">
      <c r="A818" t="s">
        <v>127</v>
      </c>
      <c r="B818" t="s">
        <v>136</v>
      </c>
      <c r="C818" t="s">
        <v>115</v>
      </c>
      <c r="D818" s="291">
        <v>218600</v>
      </c>
      <c r="E818">
        <v>218600</v>
      </c>
      <c r="F818" t="s">
        <v>116</v>
      </c>
      <c r="G818" t="s">
        <v>117</v>
      </c>
      <c r="H818" t="s">
        <v>140</v>
      </c>
      <c r="I818" s="197">
        <v>44961.791666666664</v>
      </c>
      <c r="J818" t="b">
        <v>0</v>
      </c>
      <c r="K818" t="s">
        <v>77</v>
      </c>
      <c r="L818" t="s">
        <v>77</v>
      </c>
      <c r="M818">
        <v>4</v>
      </c>
      <c r="N818">
        <v>2</v>
      </c>
      <c r="O818">
        <v>2023</v>
      </c>
      <c r="R818">
        <f>IF(wallet_records[[#This Row],[type]]="Gasto",wallet_records[[#This Row],[amount]]*(-1),wallet_records[[#This Row],[amount]])</f>
        <v>-218600</v>
      </c>
    </row>
    <row r="819" spans="1:18" x14ac:dyDescent="0.2">
      <c r="A819" t="s">
        <v>119</v>
      </c>
      <c r="B819" t="s">
        <v>136</v>
      </c>
      <c r="C819" t="s">
        <v>115</v>
      </c>
      <c r="D819" s="291">
        <v>507310</v>
      </c>
      <c r="E819">
        <v>507310</v>
      </c>
      <c r="F819" t="s">
        <v>121</v>
      </c>
      <c r="G819" t="s">
        <v>117</v>
      </c>
      <c r="H819" t="s">
        <v>522</v>
      </c>
      <c r="I819" s="197">
        <v>44951.791666666664</v>
      </c>
      <c r="J819" t="b">
        <v>0</v>
      </c>
      <c r="K819" t="s">
        <v>123</v>
      </c>
      <c r="L819" t="s">
        <v>123</v>
      </c>
      <c r="M819">
        <v>25</v>
      </c>
      <c r="N819">
        <v>1</v>
      </c>
      <c r="O819">
        <v>2023</v>
      </c>
      <c r="R819">
        <f>IF(wallet_records[[#This Row],[type]]="Gasto",wallet_records[[#This Row],[amount]]*(-1),wallet_records[[#This Row],[amount]])</f>
        <v>507310</v>
      </c>
    </row>
    <row r="820" spans="1:18" x14ac:dyDescent="0.2">
      <c r="A820" t="s">
        <v>127</v>
      </c>
      <c r="B820" t="s">
        <v>136</v>
      </c>
      <c r="C820" t="s">
        <v>115</v>
      </c>
      <c r="D820" s="291">
        <v>819773.35</v>
      </c>
      <c r="E820">
        <v>819773.35</v>
      </c>
      <c r="F820" t="s">
        <v>116</v>
      </c>
      <c r="G820" t="s">
        <v>117</v>
      </c>
      <c r="H820" t="s">
        <v>522</v>
      </c>
      <c r="I820" s="197">
        <v>44951.791666666664</v>
      </c>
      <c r="J820" t="b">
        <v>0</v>
      </c>
      <c r="K820" t="s">
        <v>123</v>
      </c>
      <c r="L820" t="s">
        <v>123</v>
      </c>
      <c r="M820">
        <v>25</v>
      </c>
      <c r="N820">
        <v>1</v>
      </c>
      <c r="O820">
        <v>2023</v>
      </c>
      <c r="R820">
        <f>IF(wallet_records[[#This Row],[type]]="Gasto",wallet_records[[#This Row],[amount]]*(-1),wallet_records[[#This Row],[amount]])</f>
        <v>-819773.35</v>
      </c>
    </row>
    <row r="821" spans="1:18" x14ac:dyDescent="0.2">
      <c r="A821" t="s">
        <v>525</v>
      </c>
      <c r="B821" t="s">
        <v>136</v>
      </c>
      <c r="C821" t="s">
        <v>115</v>
      </c>
      <c r="D821" s="291">
        <v>60843.94</v>
      </c>
      <c r="E821">
        <v>60843.94</v>
      </c>
      <c r="F821" t="s">
        <v>121</v>
      </c>
      <c r="G821" t="s">
        <v>117</v>
      </c>
      <c r="H821" t="s">
        <v>522</v>
      </c>
      <c r="I821" s="197">
        <v>44951.791666666664</v>
      </c>
      <c r="J821" t="b">
        <v>0</v>
      </c>
      <c r="K821" t="s">
        <v>123</v>
      </c>
      <c r="L821" t="s">
        <v>123</v>
      </c>
      <c r="M821">
        <v>25</v>
      </c>
      <c r="N821">
        <v>1</v>
      </c>
      <c r="O821">
        <v>2023</v>
      </c>
      <c r="R821">
        <f>IF(wallet_records[[#This Row],[type]]="Gasto",wallet_records[[#This Row],[amount]]*(-1),wallet_records[[#This Row],[amount]])</f>
        <v>60843.94</v>
      </c>
    </row>
    <row r="822" spans="1:18" x14ac:dyDescent="0.2">
      <c r="A822" t="s">
        <v>127</v>
      </c>
      <c r="B822" t="s">
        <v>136</v>
      </c>
      <c r="C822" t="s">
        <v>115</v>
      </c>
      <c r="D822" s="291">
        <v>114000</v>
      </c>
      <c r="E822">
        <v>114000</v>
      </c>
      <c r="F822" t="s">
        <v>116</v>
      </c>
      <c r="G822" t="s">
        <v>117</v>
      </c>
      <c r="H822" t="s">
        <v>140</v>
      </c>
      <c r="I822" s="197">
        <v>44941.791666666664</v>
      </c>
      <c r="J822" t="b">
        <v>0</v>
      </c>
      <c r="K822" t="s">
        <v>1</v>
      </c>
      <c r="L822" t="s">
        <v>1</v>
      </c>
      <c r="M822">
        <v>15</v>
      </c>
      <c r="N822">
        <v>1</v>
      </c>
      <c r="O822">
        <v>2023</v>
      </c>
      <c r="R822">
        <f>IF(wallet_records[[#This Row],[type]]="Gasto",wallet_records[[#This Row],[amount]]*(-1),wallet_records[[#This Row],[amount]])</f>
        <v>-114000</v>
      </c>
    </row>
    <row r="823" spans="1:18" x14ac:dyDescent="0.2">
      <c r="A823" t="s">
        <v>127</v>
      </c>
      <c r="B823" t="s">
        <v>136</v>
      </c>
      <c r="C823" t="s">
        <v>115</v>
      </c>
      <c r="D823" s="291">
        <v>373205</v>
      </c>
      <c r="E823">
        <v>373205</v>
      </c>
      <c r="F823" t="s">
        <v>116</v>
      </c>
      <c r="G823" t="s">
        <v>117</v>
      </c>
      <c r="H823" t="s">
        <v>140</v>
      </c>
      <c r="I823" s="197">
        <v>44939.791666666664</v>
      </c>
      <c r="J823" t="b">
        <v>0</v>
      </c>
      <c r="K823" t="s">
        <v>0</v>
      </c>
      <c r="L823" t="s">
        <v>0</v>
      </c>
      <c r="M823">
        <v>13</v>
      </c>
      <c r="N823">
        <v>1</v>
      </c>
      <c r="O823">
        <v>2023</v>
      </c>
      <c r="R823">
        <f>IF(wallet_records[[#This Row],[type]]="Gasto",wallet_records[[#This Row],[amount]]*(-1),wallet_records[[#This Row],[amount]])</f>
        <v>-373205</v>
      </c>
    </row>
    <row r="824" spans="1:18" x14ac:dyDescent="0.2">
      <c r="A824" t="s">
        <v>127</v>
      </c>
      <c r="B824" t="s">
        <v>136</v>
      </c>
      <c r="C824" t="s">
        <v>115</v>
      </c>
      <c r="D824" s="291">
        <v>173200</v>
      </c>
      <c r="E824">
        <v>173200</v>
      </c>
      <c r="F824" t="s">
        <v>116</v>
      </c>
      <c r="G824" t="s">
        <v>117</v>
      </c>
      <c r="H824" t="s">
        <v>140</v>
      </c>
      <c r="I824" s="197">
        <v>44929.791666666664</v>
      </c>
      <c r="J824" t="b">
        <v>0</v>
      </c>
      <c r="K824" t="s">
        <v>77</v>
      </c>
      <c r="L824" t="s">
        <v>77</v>
      </c>
      <c r="M824">
        <v>3</v>
      </c>
      <c r="N824">
        <v>1</v>
      </c>
      <c r="O824">
        <v>2023</v>
      </c>
      <c r="R824">
        <f>IF(wallet_records[[#This Row],[type]]="Gasto",wallet_records[[#This Row],[amount]]*(-1),wallet_records[[#This Row],[amount]])</f>
        <v>-173200</v>
      </c>
    </row>
    <row r="825" spans="1:18" x14ac:dyDescent="0.2">
      <c r="A825" t="s">
        <v>525</v>
      </c>
      <c r="B825" t="s">
        <v>114</v>
      </c>
      <c r="C825" t="s">
        <v>115</v>
      </c>
      <c r="D825" s="291">
        <v>197077</v>
      </c>
      <c r="E825">
        <v>197077</v>
      </c>
      <c r="F825" t="s">
        <v>116</v>
      </c>
      <c r="G825" t="s">
        <v>117</v>
      </c>
      <c r="H825" t="s">
        <v>118</v>
      </c>
      <c r="I825" s="197">
        <v>45270.791666666664</v>
      </c>
      <c r="J825" t="b">
        <v>0</v>
      </c>
      <c r="K825" t="s">
        <v>77</v>
      </c>
      <c r="L825" t="s">
        <v>77</v>
      </c>
      <c r="M825">
        <v>10</v>
      </c>
      <c r="N825">
        <v>12</v>
      </c>
      <c r="O825">
        <v>2023</v>
      </c>
      <c r="R825">
        <f>IF(wallet_records[[#This Row],[type]]="Gasto",wallet_records[[#This Row],[amount]]*(-1),wallet_records[[#This Row],[amount]])</f>
        <v>-197077</v>
      </c>
    </row>
    <row r="826" spans="1:18" x14ac:dyDescent="0.2">
      <c r="A826" t="s">
        <v>525</v>
      </c>
      <c r="B826" t="s">
        <v>114</v>
      </c>
      <c r="C826" t="s">
        <v>115</v>
      </c>
      <c r="D826" s="291">
        <v>18350000</v>
      </c>
      <c r="E826">
        <v>18350000</v>
      </c>
      <c r="F826" t="s">
        <v>116</v>
      </c>
      <c r="G826" t="s">
        <v>117</v>
      </c>
      <c r="H826" t="s">
        <v>118</v>
      </c>
      <c r="I826" s="197">
        <v>45251.79167353009</v>
      </c>
      <c r="J826" t="b">
        <v>0</v>
      </c>
      <c r="K826" t="s">
        <v>123</v>
      </c>
      <c r="L826" t="s">
        <v>6</v>
      </c>
      <c r="M826">
        <v>21</v>
      </c>
      <c r="N826">
        <v>11</v>
      </c>
      <c r="O826">
        <v>2023</v>
      </c>
      <c r="R826">
        <f>IF(wallet_records[[#This Row],[type]]="Gasto",wallet_records[[#This Row],[amount]]*(-1),wallet_records[[#This Row],[amount]])</f>
        <v>-18350000</v>
      </c>
    </row>
    <row r="827" spans="1:18" x14ac:dyDescent="0.2">
      <c r="A827" t="s">
        <v>525</v>
      </c>
      <c r="B827" t="s">
        <v>114</v>
      </c>
      <c r="C827" t="s">
        <v>115</v>
      </c>
      <c r="D827" s="291">
        <v>95700</v>
      </c>
      <c r="E827">
        <v>95700</v>
      </c>
      <c r="F827" t="s">
        <v>116</v>
      </c>
      <c r="G827" t="s">
        <v>117</v>
      </c>
      <c r="H827" t="s">
        <v>118</v>
      </c>
      <c r="I827" s="197">
        <v>45232.791666666664</v>
      </c>
      <c r="J827" t="b">
        <v>0</v>
      </c>
      <c r="K827" t="s">
        <v>0</v>
      </c>
      <c r="L827" t="s">
        <v>0</v>
      </c>
      <c r="M827">
        <v>2</v>
      </c>
      <c r="N827">
        <v>11</v>
      </c>
      <c r="O827">
        <v>2023</v>
      </c>
      <c r="R827">
        <f>IF(wallet_records[[#This Row],[type]]="Gasto",wallet_records[[#This Row],[amount]]*(-1),wallet_records[[#This Row],[amount]])</f>
        <v>-95700</v>
      </c>
    </row>
    <row r="828" spans="1:18" x14ac:dyDescent="0.2">
      <c r="A828" t="s">
        <v>525</v>
      </c>
      <c r="B828" t="s">
        <v>114</v>
      </c>
      <c r="C828" t="s">
        <v>115</v>
      </c>
      <c r="D828" s="291">
        <v>80000</v>
      </c>
      <c r="E828">
        <v>80000</v>
      </c>
      <c r="F828" t="s">
        <v>116</v>
      </c>
      <c r="G828" t="s">
        <v>117</v>
      </c>
      <c r="H828" t="s">
        <v>118</v>
      </c>
      <c r="I828" s="197">
        <v>45231.792269490739</v>
      </c>
      <c r="J828" t="b">
        <v>0</v>
      </c>
      <c r="K828" t="s">
        <v>123</v>
      </c>
      <c r="L828" t="s">
        <v>6</v>
      </c>
      <c r="M828">
        <v>1</v>
      </c>
      <c r="N828">
        <v>11</v>
      </c>
      <c r="O828">
        <v>2023</v>
      </c>
      <c r="R828">
        <f>IF(wallet_records[[#This Row],[type]]="Gasto",wallet_records[[#This Row],[amount]]*(-1),wallet_records[[#This Row],[amount]])</f>
        <v>-80000</v>
      </c>
    </row>
    <row r="829" spans="1:18" x14ac:dyDescent="0.2">
      <c r="A829" t="s">
        <v>525</v>
      </c>
      <c r="B829" t="s">
        <v>114</v>
      </c>
      <c r="C829" t="s">
        <v>115</v>
      </c>
      <c r="D829" s="291">
        <v>500000</v>
      </c>
      <c r="E829">
        <v>500000</v>
      </c>
      <c r="F829" t="s">
        <v>116</v>
      </c>
      <c r="G829" t="s">
        <v>117</v>
      </c>
      <c r="H829" t="s">
        <v>118</v>
      </c>
      <c r="I829" s="197">
        <v>45226.791666666664</v>
      </c>
      <c r="J829" t="b">
        <v>0</v>
      </c>
      <c r="K829" t="s">
        <v>0</v>
      </c>
      <c r="L829" t="s">
        <v>0</v>
      </c>
      <c r="M829">
        <v>27</v>
      </c>
      <c r="N829">
        <v>10</v>
      </c>
      <c r="O829">
        <v>2023</v>
      </c>
      <c r="R829">
        <f>IF(wallet_records[[#This Row],[type]]="Gasto",wallet_records[[#This Row],[amount]]*(-1),wallet_records[[#This Row],[amount]])</f>
        <v>-500000</v>
      </c>
    </row>
    <row r="830" spans="1:18" x14ac:dyDescent="0.2">
      <c r="A830" t="s">
        <v>525</v>
      </c>
      <c r="B830" t="s">
        <v>114</v>
      </c>
      <c r="C830" t="s">
        <v>115</v>
      </c>
      <c r="D830" s="291">
        <v>1500000</v>
      </c>
      <c r="E830">
        <v>1500000</v>
      </c>
      <c r="F830" t="s">
        <v>116</v>
      </c>
      <c r="G830" t="s">
        <v>117</v>
      </c>
      <c r="H830" t="s">
        <v>118</v>
      </c>
      <c r="I830" s="197">
        <v>45223.791666666664</v>
      </c>
      <c r="J830" t="b">
        <v>0</v>
      </c>
      <c r="K830" t="s">
        <v>0</v>
      </c>
      <c r="L830" t="s">
        <v>0</v>
      </c>
      <c r="M830">
        <v>24</v>
      </c>
      <c r="N830">
        <v>10</v>
      </c>
      <c r="O830">
        <v>2023</v>
      </c>
      <c r="R830">
        <f>IF(wallet_records[[#This Row],[type]]="Gasto",wallet_records[[#This Row],[amount]]*(-1),wallet_records[[#This Row],[amount]])</f>
        <v>-1500000</v>
      </c>
    </row>
    <row r="831" spans="1:18" x14ac:dyDescent="0.2">
      <c r="A831" t="s">
        <v>525</v>
      </c>
      <c r="B831" t="s">
        <v>114</v>
      </c>
      <c r="C831" t="s">
        <v>115</v>
      </c>
      <c r="D831" s="291">
        <v>259300</v>
      </c>
      <c r="E831">
        <v>259300</v>
      </c>
      <c r="F831" t="s">
        <v>116</v>
      </c>
      <c r="G831" t="s">
        <v>117</v>
      </c>
      <c r="H831" t="s">
        <v>118</v>
      </c>
      <c r="I831" s="197">
        <v>45223.791666666664</v>
      </c>
      <c r="J831" t="b">
        <v>0</v>
      </c>
      <c r="K831" t="s">
        <v>0</v>
      </c>
      <c r="L831" t="s">
        <v>0</v>
      </c>
      <c r="M831">
        <v>24</v>
      </c>
      <c r="N831">
        <v>10</v>
      </c>
      <c r="O831">
        <v>2023</v>
      </c>
      <c r="R831">
        <f>IF(wallet_records[[#This Row],[type]]="Gasto",wallet_records[[#This Row],[amount]]*(-1),wallet_records[[#This Row],[amount]])</f>
        <v>-259300</v>
      </c>
    </row>
    <row r="832" spans="1:18" x14ac:dyDescent="0.2">
      <c r="A832" t="s">
        <v>525</v>
      </c>
      <c r="B832" t="s">
        <v>114</v>
      </c>
      <c r="C832" t="s">
        <v>115</v>
      </c>
      <c r="D832" s="291">
        <v>880000</v>
      </c>
      <c r="E832">
        <v>880000</v>
      </c>
      <c r="F832" t="s">
        <v>116</v>
      </c>
      <c r="G832" t="s">
        <v>117</v>
      </c>
      <c r="H832" t="s">
        <v>118</v>
      </c>
      <c r="I832" s="197">
        <v>45223.791666666664</v>
      </c>
      <c r="J832" t="b">
        <v>0</v>
      </c>
      <c r="K832" t="s">
        <v>0</v>
      </c>
      <c r="L832" t="s">
        <v>0</v>
      </c>
      <c r="M832">
        <v>24</v>
      </c>
      <c r="N832">
        <v>10</v>
      </c>
      <c r="O832">
        <v>2023</v>
      </c>
      <c r="R832">
        <f>IF(wallet_records[[#This Row],[type]]="Gasto",wallet_records[[#This Row],[amount]]*(-1),wallet_records[[#This Row],[amount]])</f>
        <v>-880000</v>
      </c>
    </row>
    <row r="833" spans="1:18" x14ac:dyDescent="0.2">
      <c r="A833" t="s">
        <v>525</v>
      </c>
      <c r="B833" t="s">
        <v>114</v>
      </c>
      <c r="C833" t="s">
        <v>115</v>
      </c>
      <c r="D833" s="291">
        <v>132600</v>
      </c>
      <c r="E833">
        <v>132600</v>
      </c>
      <c r="F833" t="s">
        <v>116</v>
      </c>
      <c r="G833" t="s">
        <v>117</v>
      </c>
      <c r="H833" t="s">
        <v>118</v>
      </c>
      <c r="I833" s="197">
        <v>45223.791666666664</v>
      </c>
      <c r="J833" t="b">
        <v>0</v>
      </c>
      <c r="K833" t="s">
        <v>0</v>
      </c>
      <c r="L833" t="s">
        <v>0</v>
      </c>
      <c r="M833">
        <v>24</v>
      </c>
      <c r="N833">
        <v>10</v>
      </c>
      <c r="O833">
        <v>2023</v>
      </c>
      <c r="R833">
        <f>IF(wallet_records[[#This Row],[type]]="Gasto",wallet_records[[#This Row],[amount]]*(-1),wallet_records[[#This Row],[amount]])</f>
        <v>-132600</v>
      </c>
    </row>
    <row r="834" spans="1:18" x14ac:dyDescent="0.2">
      <c r="A834" t="s">
        <v>525</v>
      </c>
      <c r="B834" t="s">
        <v>114</v>
      </c>
      <c r="C834" t="s">
        <v>115</v>
      </c>
      <c r="D834" s="291">
        <v>336000</v>
      </c>
      <c r="E834">
        <v>336000</v>
      </c>
      <c r="F834" t="s">
        <v>116</v>
      </c>
      <c r="G834" t="s">
        <v>117</v>
      </c>
      <c r="H834" t="s">
        <v>118</v>
      </c>
      <c r="I834" s="197">
        <v>45222.791666666664</v>
      </c>
      <c r="J834" t="b">
        <v>0</v>
      </c>
      <c r="K834" t="s">
        <v>0</v>
      </c>
      <c r="L834" t="s">
        <v>0</v>
      </c>
      <c r="M834">
        <v>23</v>
      </c>
      <c r="N834">
        <v>10</v>
      </c>
      <c r="O834">
        <v>2023</v>
      </c>
      <c r="R834">
        <f>IF(wallet_records[[#This Row],[type]]="Gasto",wallet_records[[#This Row],[amount]]*(-1),wallet_records[[#This Row],[amount]])</f>
        <v>-336000</v>
      </c>
    </row>
    <row r="835" spans="1:18" x14ac:dyDescent="0.2">
      <c r="A835" t="s">
        <v>525</v>
      </c>
      <c r="B835" t="s">
        <v>114</v>
      </c>
      <c r="C835" t="s">
        <v>115</v>
      </c>
      <c r="D835" s="291">
        <v>39075.629999999997</v>
      </c>
      <c r="E835">
        <v>39075.629999999997</v>
      </c>
      <c r="F835" t="s">
        <v>116</v>
      </c>
      <c r="G835" t="s">
        <v>117</v>
      </c>
      <c r="H835" t="s">
        <v>118</v>
      </c>
      <c r="I835" s="197">
        <v>45222.791666666664</v>
      </c>
      <c r="J835" t="b">
        <v>0</v>
      </c>
      <c r="K835" t="s">
        <v>0</v>
      </c>
      <c r="L835" t="s">
        <v>0</v>
      </c>
      <c r="M835">
        <v>23</v>
      </c>
      <c r="N835">
        <v>10</v>
      </c>
      <c r="O835">
        <v>2023</v>
      </c>
      <c r="R835">
        <f>IF(wallet_records[[#This Row],[type]]="Gasto",wallet_records[[#This Row],[amount]]*(-1),wallet_records[[#This Row],[amount]])</f>
        <v>-39075.629999999997</v>
      </c>
    </row>
    <row r="836" spans="1:18" x14ac:dyDescent="0.2">
      <c r="A836" t="s">
        <v>525</v>
      </c>
      <c r="B836" t="s">
        <v>114</v>
      </c>
      <c r="C836" t="s">
        <v>115</v>
      </c>
      <c r="D836" s="291">
        <v>40000</v>
      </c>
      <c r="E836">
        <v>40000</v>
      </c>
      <c r="F836" t="s">
        <v>116</v>
      </c>
      <c r="G836" t="s">
        <v>117</v>
      </c>
      <c r="H836" t="s">
        <v>118</v>
      </c>
      <c r="I836" s="197">
        <v>44939.791666666664</v>
      </c>
      <c r="J836" t="b">
        <v>0</v>
      </c>
      <c r="K836" t="s">
        <v>1</v>
      </c>
      <c r="L836" t="s">
        <v>1</v>
      </c>
      <c r="M836">
        <v>13</v>
      </c>
      <c r="N836">
        <v>1</v>
      </c>
      <c r="O836">
        <v>2023</v>
      </c>
      <c r="R836">
        <f>IF(wallet_records[[#This Row],[type]]="Gasto",wallet_records[[#This Row],[amount]]*(-1),wallet_records[[#This Row],[amount]])</f>
        <v>-40000</v>
      </c>
    </row>
    <row r="837" spans="1:18" x14ac:dyDescent="0.2">
      <c r="A837" t="s">
        <v>127</v>
      </c>
      <c r="B837" t="s">
        <v>130</v>
      </c>
      <c r="C837" t="s">
        <v>115</v>
      </c>
      <c r="D837" s="291">
        <v>1500000</v>
      </c>
      <c r="E837">
        <v>1500000</v>
      </c>
      <c r="F837" t="s">
        <v>121</v>
      </c>
      <c r="G837" t="s">
        <v>117</v>
      </c>
      <c r="H837" t="s">
        <v>289</v>
      </c>
      <c r="I837" s="197">
        <v>45272.791666666664</v>
      </c>
      <c r="J837" t="b">
        <v>0</v>
      </c>
      <c r="K837" t="s">
        <v>0</v>
      </c>
      <c r="L837" t="s">
        <v>0</v>
      </c>
      <c r="M837">
        <v>12</v>
      </c>
      <c r="N837">
        <v>12</v>
      </c>
      <c r="O837">
        <v>2023</v>
      </c>
      <c r="R837">
        <f>IF(wallet_records[[#This Row],[type]]="Gasto",wallet_records[[#This Row],[amount]]*(-1),wallet_records[[#This Row],[amount]])</f>
        <v>1500000</v>
      </c>
    </row>
    <row r="838" spans="1:18" x14ac:dyDescent="0.2">
      <c r="A838" t="s">
        <v>127</v>
      </c>
      <c r="B838" t="s">
        <v>130</v>
      </c>
      <c r="C838" t="s">
        <v>115</v>
      </c>
      <c r="D838" s="291">
        <v>1350000</v>
      </c>
      <c r="E838">
        <v>1350000</v>
      </c>
      <c r="F838" t="s">
        <v>121</v>
      </c>
      <c r="G838" t="s">
        <v>117</v>
      </c>
      <c r="H838" t="s">
        <v>289</v>
      </c>
      <c r="I838" s="197">
        <v>45272.791666666664</v>
      </c>
      <c r="J838" t="b">
        <v>0</v>
      </c>
      <c r="K838" t="s">
        <v>1</v>
      </c>
      <c r="L838" t="s">
        <v>1</v>
      </c>
      <c r="M838">
        <v>12</v>
      </c>
      <c r="N838">
        <v>12</v>
      </c>
      <c r="O838">
        <v>2023</v>
      </c>
      <c r="R838">
        <f>IF(wallet_records[[#This Row],[type]]="Gasto",wallet_records[[#This Row],[amount]]*(-1),wallet_records[[#This Row],[amount]])</f>
        <v>1350000</v>
      </c>
    </row>
    <row r="839" spans="1:18" x14ac:dyDescent="0.2">
      <c r="A839" t="s">
        <v>127</v>
      </c>
      <c r="B839" t="s">
        <v>130</v>
      </c>
      <c r="C839" t="s">
        <v>115</v>
      </c>
      <c r="D839" s="291">
        <v>1500000</v>
      </c>
      <c r="E839">
        <v>1500000</v>
      </c>
      <c r="F839" t="s">
        <v>121</v>
      </c>
      <c r="G839" t="s">
        <v>117</v>
      </c>
      <c r="H839" t="s">
        <v>290</v>
      </c>
      <c r="I839" s="197">
        <v>45270.791945740741</v>
      </c>
      <c r="J839" t="b">
        <v>0</v>
      </c>
      <c r="K839" t="s">
        <v>543</v>
      </c>
      <c r="L839" t="s">
        <v>77</v>
      </c>
      <c r="M839">
        <v>10</v>
      </c>
      <c r="N839">
        <v>12</v>
      </c>
      <c r="O839">
        <v>2023</v>
      </c>
      <c r="R839">
        <f>IF(wallet_records[[#This Row],[type]]="Gasto",wallet_records[[#This Row],[amount]]*(-1),wallet_records[[#This Row],[amount]])</f>
        <v>1500000</v>
      </c>
    </row>
    <row r="840" spans="1:18" x14ac:dyDescent="0.2">
      <c r="A840" t="s">
        <v>127</v>
      </c>
      <c r="B840" t="s">
        <v>130</v>
      </c>
      <c r="C840" t="s">
        <v>115</v>
      </c>
      <c r="D840" s="291">
        <v>1200000</v>
      </c>
      <c r="E840">
        <v>1200000</v>
      </c>
      <c r="F840" t="s">
        <v>121</v>
      </c>
      <c r="G840" t="s">
        <v>117</v>
      </c>
      <c r="H840" t="s">
        <v>291</v>
      </c>
      <c r="I840" s="197">
        <v>45256.791666666664</v>
      </c>
      <c r="J840" t="b">
        <v>0</v>
      </c>
      <c r="K840" t="s">
        <v>1</v>
      </c>
      <c r="L840" t="s">
        <v>1</v>
      </c>
      <c r="M840">
        <v>26</v>
      </c>
      <c r="N840">
        <v>11</v>
      </c>
      <c r="O840">
        <v>2023</v>
      </c>
      <c r="R840">
        <f>IF(wallet_records[[#This Row],[type]]="Gasto",wallet_records[[#This Row],[amount]]*(-1),wallet_records[[#This Row],[amount]])</f>
        <v>1200000</v>
      </c>
    </row>
    <row r="841" spans="1:18" x14ac:dyDescent="0.2">
      <c r="A841" t="s">
        <v>127</v>
      </c>
      <c r="B841" t="s">
        <v>130</v>
      </c>
      <c r="C841" t="s">
        <v>115</v>
      </c>
      <c r="D841" s="291">
        <v>1500000</v>
      </c>
      <c r="E841">
        <v>1500000</v>
      </c>
      <c r="F841" t="s">
        <v>121</v>
      </c>
      <c r="G841" t="s">
        <v>117</v>
      </c>
      <c r="H841" t="s">
        <v>291</v>
      </c>
      <c r="I841" s="197">
        <v>45252.791666666664</v>
      </c>
      <c r="J841" t="b">
        <v>0</v>
      </c>
      <c r="K841" t="s">
        <v>0</v>
      </c>
      <c r="L841" t="s">
        <v>0</v>
      </c>
      <c r="M841">
        <v>22</v>
      </c>
      <c r="N841">
        <v>11</v>
      </c>
      <c r="O841">
        <v>2023</v>
      </c>
      <c r="R841">
        <f>IF(wallet_records[[#This Row],[type]]="Gasto",wallet_records[[#This Row],[amount]]*(-1),wallet_records[[#This Row],[amount]])</f>
        <v>1500000</v>
      </c>
    </row>
    <row r="842" spans="1:18" x14ac:dyDescent="0.2">
      <c r="A842" t="s">
        <v>127</v>
      </c>
      <c r="B842" t="s">
        <v>130</v>
      </c>
      <c r="C842" t="s">
        <v>115</v>
      </c>
      <c r="D842" s="291">
        <v>881000</v>
      </c>
      <c r="E842">
        <v>881000</v>
      </c>
      <c r="F842" t="s">
        <v>121</v>
      </c>
      <c r="G842" t="s">
        <v>117</v>
      </c>
      <c r="H842" t="s">
        <v>292</v>
      </c>
      <c r="I842" s="197">
        <v>45237.791666666664</v>
      </c>
      <c r="J842" t="b">
        <v>0</v>
      </c>
      <c r="K842" t="s">
        <v>7</v>
      </c>
      <c r="L842" t="s">
        <v>7</v>
      </c>
      <c r="M842">
        <v>7</v>
      </c>
      <c r="N842">
        <v>11</v>
      </c>
      <c r="O842">
        <v>2023</v>
      </c>
      <c r="R842">
        <f>IF(wallet_records[[#This Row],[type]]="Gasto",wallet_records[[#This Row],[amount]]*(-1),wallet_records[[#This Row],[amount]])</f>
        <v>881000</v>
      </c>
    </row>
    <row r="843" spans="1:18" x14ac:dyDescent="0.2">
      <c r="A843" t="s">
        <v>127</v>
      </c>
      <c r="B843" t="s">
        <v>130</v>
      </c>
      <c r="C843" t="s">
        <v>115</v>
      </c>
      <c r="D843" s="291">
        <v>400000</v>
      </c>
      <c r="E843">
        <v>400000</v>
      </c>
      <c r="F843" t="s">
        <v>121</v>
      </c>
      <c r="G843" t="s">
        <v>117</v>
      </c>
      <c r="H843" t="s">
        <v>293</v>
      </c>
      <c r="I843" s="197">
        <v>45230.792317222222</v>
      </c>
      <c r="J843" t="b">
        <v>0</v>
      </c>
      <c r="K843" t="s">
        <v>544</v>
      </c>
      <c r="L843" t="s">
        <v>6</v>
      </c>
      <c r="M843">
        <v>31</v>
      </c>
      <c r="N843">
        <v>10</v>
      </c>
      <c r="O843">
        <v>2023</v>
      </c>
      <c r="R843">
        <f>IF(wallet_records[[#This Row],[type]]="Gasto",wallet_records[[#This Row],[amount]]*(-1),wallet_records[[#This Row],[amount]])</f>
        <v>400000</v>
      </c>
    </row>
    <row r="844" spans="1:18" x14ac:dyDescent="0.2">
      <c r="A844" t="s">
        <v>127</v>
      </c>
      <c r="B844" t="s">
        <v>130</v>
      </c>
      <c r="C844" t="s">
        <v>115</v>
      </c>
      <c r="D844" s="291">
        <v>1400000</v>
      </c>
      <c r="E844">
        <v>1400000</v>
      </c>
      <c r="F844" t="s">
        <v>121</v>
      </c>
      <c r="G844" t="s">
        <v>117</v>
      </c>
      <c r="H844" t="s">
        <v>293</v>
      </c>
      <c r="I844" s="197">
        <v>45230.791666666664</v>
      </c>
      <c r="J844" t="b">
        <v>0</v>
      </c>
      <c r="K844" t="s">
        <v>77</v>
      </c>
      <c r="L844" t="s">
        <v>77</v>
      </c>
      <c r="M844">
        <v>31</v>
      </c>
      <c r="N844">
        <v>10</v>
      </c>
      <c r="O844">
        <v>2023</v>
      </c>
      <c r="R844">
        <f>IF(wallet_records[[#This Row],[type]]="Gasto",wallet_records[[#This Row],[amount]]*(-1),wallet_records[[#This Row],[amount]])</f>
        <v>1400000</v>
      </c>
    </row>
    <row r="845" spans="1:18" x14ac:dyDescent="0.2">
      <c r="A845" t="s">
        <v>127</v>
      </c>
      <c r="B845" t="s">
        <v>130</v>
      </c>
      <c r="C845" t="s">
        <v>115</v>
      </c>
      <c r="D845" s="291">
        <v>380000</v>
      </c>
      <c r="E845">
        <v>380000</v>
      </c>
      <c r="F845" t="s">
        <v>121</v>
      </c>
      <c r="G845" t="s">
        <v>117</v>
      </c>
      <c r="H845" t="s">
        <v>294</v>
      </c>
      <c r="I845" s="197">
        <v>45199.792183935184</v>
      </c>
      <c r="J845" t="b">
        <v>0</v>
      </c>
      <c r="K845" t="s">
        <v>544</v>
      </c>
      <c r="L845" t="s">
        <v>6</v>
      </c>
      <c r="M845">
        <v>30</v>
      </c>
      <c r="N845">
        <v>9</v>
      </c>
      <c r="O845">
        <v>2023</v>
      </c>
      <c r="R845">
        <f>IF(wallet_records[[#This Row],[type]]="Gasto",wallet_records[[#This Row],[amount]]*(-1),wallet_records[[#This Row],[amount]])</f>
        <v>380000</v>
      </c>
    </row>
    <row r="846" spans="1:18" x14ac:dyDescent="0.2">
      <c r="A846" t="s">
        <v>127</v>
      </c>
      <c r="B846" t="s">
        <v>130</v>
      </c>
      <c r="C846" t="s">
        <v>115</v>
      </c>
      <c r="D846" s="291">
        <v>5100000</v>
      </c>
      <c r="E846">
        <v>5100000</v>
      </c>
      <c r="F846" t="s">
        <v>121</v>
      </c>
      <c r="G846" t="s">
        <v>117</v>
      </c>
      <c r="H846" t="s">
        <v>295</v>
      </c>
      <c r="I846" s="197">
        <v>45199.791666666664</v>
      </c>
      <c r="J846" t="b">
        <v>0</v>
      </c>
      <c r="K846" t="s">
        <v>0</v>
      </c>
      <c r="L846" t="s">
        <v>0</v>
      </c>
      <c r="M846">
        <v>30</v>
      </c>
      <c r="N846">
        <v>9</v>
      </c>
      <c r="O846">
        <v>2023</v>
      </c>
      <c r="R846">
        <f>IF(wallet_records[[#This Row],[type]]="Gasto",wallet_records[[#This Row],[amount]]*(-1),wallet_records[[#This Row],[amount]])</f>
        <v>5100000</v>
      </c>
    </row>
    <row r="847" spans="1:18" x14ac:dyDescent="0.2">
      <c r="A847" t="s">
        <v>127</v>
      </c>
      <c r="B847" t="s">
        <v>130</v>
      </c>
      <c r="C847" t="s">
        <v>115</v>
      </c>
      <c r="D847" s="291">
        <v>1200000</v>
      </c>
      <c r="E847">
        <v>1200000</v>
      </c>
      <c r="F847" t="s">
        <v>121</v>
      </c>
      <c r="G847" t="s">
        <v>117</v>
      </c>
      <c r="H847" t="s">
        <v>296</v>
      </c>
      <c r="I847" s="197">
        <v>45199.791666666664</v>
      </c>
      <c r="J847" t="b">
        <v>0</v>
      </c>
      <c r="K847" t="s">
        <v>1</v>
      </c>
      <c r="L847" t="s">
        <v>1</v>
      </c>
      <c r="M847">
        <v>30</v>
      </c>
      <c r="N847">
        <v>9</v>
      </c>
      <c r="O847">
        <v>2023</v>
      </c>
      <c r="R847">
        <f>IF(wallet_records[[#This Row],[type]]="Gasto",wallet_records[[#This Row],[amount]]*(-1),wallet_records[[#This Row],[amount]])</f>
        <v>1200000</v>
      </c>
    </row>
    <row r="848" spans="1:18" x14ac:dyDescent="0.2">
      <c r="A848" t="s">
        <v>127</v>
      </c>
      <c r="B848" t="s">
        <v>130</v>
      </c>
      <c r="C848" t="s">
        <v>115</v>
      </c>
      <c r="D848" s="291">
        <v>881000</v>
      </c>
      <c r="E848">
        <v>881000</v>
      </c>
      <c r="F848" t="s">
        <v>121</v>
      </c>
      <c r="G848" t="s">
        <v>117</v>
      </c>
      <c r="H848" t="s">
        <v>292</v>
      </c>
      <c r="I848" s="197">
        <v>45199.791666666664</v>
      </c>
      <c r="J848" t="b">
        <v>0</v>
      </c>
      <c r="K848" t="s">
        <v>7</v>
      </c>
      <c r="L848" t="s">
        <v>7</v>
      </c>
      <c r="M848">
        <v>30</v>
      </c>
      <c r="N848">
        <v>9</v>
      </c>
      <c r="O848">
        <v>2023</v>
      </c>
      <c r="R848">
        <f>IF(wallet_records[[#This Row],[type]]="Gasto",wallet_records[[#This Row],[amount]]*(-1),wallet_records[[#This Row],[amount]])</f>
        <v>881000</v>
      </c>
    </row>
    <row r="849" spans="1:18" x14ac:dyDescent="0.2">
      <c r="A849" t="s">
        <v>127</v>
      </c>
      <c r="B849" t="s">
        <v>130</v>
      </c>
      <c r="C849" t="s">
        <v>115</v>
      </c>
      <c r="D849" s="291">
        <v>1400000</v>
      </c>
      <c r="E849">
        <v>1400000</v>
      </c>
      <c r="F849" t="s">
        <v>121</v>
      </c>
      <c r="G849" t="s">
        <v>117</v>
      </c>
      <c r="H849" t="s">
        <v>294</v>
      </c>
      <c r="I849" s="197">
        <v>45199.791666666664</v>
      </c>
      <c r="J849" t="b">
        <v>0</v>
      </c>
      <c r="K849" t="s">
        <v>77</v>
      </c>
      <c r="L849" t="s">
        <v>77</v>
      </c>
      <c r="M849">
        <v>30</v>
      </c>
      <c r="N849">
        <v>9</v>
      </c>
      <c r="O849">
        <v>2023</v>
      </c>
      <c r="R849">
        <f>IF(wallet_records[[#This Row],[type]]="Gasto",wallet_records[[#This Row],[amount]]*(-1),wallet_records[[#This Row],[amount]])</f>
        <v>1400000</v>
      </c>
    </row>
    <row r="850" spans="1:18" x14ac:dyDescent="0.2">
      <c r="A850" t="s">
        <v>127</v>
      </c>
      <c r="B850" t="s">
        <v>130</v>
      </c>
      <c r="C850" t="s">
        <v>115</v>
      </c>
      <c r="D850" s="291">
        <v>380000</v>
      </c>
      <c r="E850">
        <v>380000</v>
      </c>
      <c r="F850" t="s">
        <v>121</v>
      </c>
      <c r="G850" t="s">
        <v>117</v>
      </c>
      <c r="H850" t="s">
        <v>297</v>
      </c>
      <c r="I850" s="197">
        <v>45169.792060960652</v>
      </c>
      <c r="J850" t="b">
        <v>0</v>
      </c>
      <c r="K850" t="s">
        <v>544</v>
      </c>
      <c r="L850" t="s">
        <v>6</v>
      </c>
      <c r="M850">
        <v>31</v>
      </c>
      <c r="N850">
        <v>8</v>
      </c>
      <c r="O850">
        <v>2023</v>
      </c>
      <c r="R850">
        <f>IF(wallet_records[[#This Row],[type]]="Gasto",wallet_records[[#This Row],[amount]]*(-1),wallet_records[[#This Row],[amount]])</f>
        <v>380000</v>
      </c>
    </row>
    <row r="851" spans="1:18" x14ac:dyDescent="0.2">
      <c r="A851" t="s">
        <v>127</v>
      </c>
      <c r="B851" t="s">
        <v>130</v>
      </c>
      <c r="C851" t="s">
        <v>115</v>
      </c>
      <c r="D851" s="291">
        <v>1400000</v>
      </c>
      <c r="E851">
        <v>1400000</v>
      </c>
      <c r="F851" t="s">
        <v>121</v>
      </c>
      <c r="G851" t="s">
        <v>117</v>
      </c>
      <c r="H851" t="s">
        <v>297</v>
      </c>
      <c r="I851" s="197">
        <v>45169.791666666664</v>
      </c>
      <c r="J851" t="b">
        <v>0</v>
      </c>
      <c r="K851" t="s">
        <v>77</v>
      </c>
      <c r="L851" t="s">
        <v>77</v>
      </c>
      <c r="M851">
        <v>31</v>
      </c>
      <c r="N851">
        <v>8</v>
      </c>
      <c r="O851">
        <v>2023</v>
      </c>
      <c r="R851">
        <f>IF(wallet_records[[#This Row],[type]]="Gasto",wallet_records[[#This Row],[amount]]*(-1),wallet_records[[#This Row],[amount]])</f>
        <v>1400000</v>
      </c>
    </row>
    <row r="852" spans="1:18" x14ac:dyDescent="0.2">
      <c r="A852" t="s">
        <v>127</v>
      </c>
      <c r="B852" t="s">
        <v>130</v>
      </c>
      <c r="C852" t="s">
        <v>115</v>
      </c>
      <c r="D852" s="291">
        <v>1200000</v>
      </c>
      <c r="E852">
        <v>1200000</v>
      </c>
      <c r="F852" t="s">
        <v>121</v>
      </c>
      <c r="G852" t="s">
        <v>117</v>
      </c>
      <c r="H852" t="s">
        <v>298</v>
      </c>
      <c r="I852" s="197">
        <v>45169.791666666664</v>
      </c>
      <c r="J852" t="b">
        <v>0</v>
      </c>
      <c r="K852" t="s">
        <v>1</v>
      </c>
      <c r="L852" t="s">
        <v>1</v>
      </c>
      <c r="M852">
        <v>31</v>
      </c>
      <c r="N852">
        <v>8</v>
      </c>
      <c r="O852">
        <v>2023</v>
      </c>
      <c r="R852">
        <f>IF(wallet_records[[#This Row],[type]]="Gasto",wallet_records[[#This Row],[amount]]*(-1),wallet_records[[#This Row],[amount]])</f>
        <v>1200000</v>
      </c>
    </row>
    <row r="853" spans="1:18" x14ac:dyDescent="0.2">
      <c r="A853" t="s">
        <v>127</v>
      </c>
      <c r="B853" t="s">
        <v>130</v>
      </c>
      <c r="C853" t="s">
        <v>115</v>
      </c>
      <c r="D853" s="291">
        <v>881000</v>
      </c>
      <c r="E853">
        <v>881000</v>
      </c>
      <c r="F853" t="s">
        <v>121</v>
      </c>
      <c r="G853" t="s">
        <v>117</v>
      </c>
      <c r="H853" t="s">
        <v>292</v>
      </c>
      <c r="I853" s="197">
        <v>45169.791666666664</v>
      </c>
      <c r="J853" t="b">
        <v>0</v>
      </c>
      <c r="K853" t="s">
        <v>7</v>
      </c>
      <c r="L853" t="s">
        <v>7</v>
      </c>
      <c r="M853">
        <v>31</v>
      </c>
      <c r="N853">
        <v>8</v>
      </c>
      <c r="O853">
        <v>2023</v>
      </c>
      <c r="R853">
        <f>IF(wallet_records[[#This Row],[type]]="Gasto",wallet_records[[#This Row],[amount]]*(-1),wallet_records[[#This Row],[amount]])</f>
        <v>881000</v>
      </c>
    </row>
    <row r="854" spans="1:18" x14ac:dyDescent="0.2">
      <c r="A854" t="s">
        <v>127</v>
      </c>
      <c r="B854" t="s">
        <v>130</v>
      </c>
      <c r="C854" t="s">
        <v>115</v>
      </c>
      <c r="D854" s="291">
        <v>380000</v>
      </c>
      <c r="E854">
        <v>380000</v>
      </c>
      <c r="F854" t="s">
        <v>121</v>
      </c>
      <c r="G854" t="s">
        <v>117</v>
      </c>
      <c r="H854" t="s">
        <v>299</v>
      </c>
      <c r="I854" s="197">
        <v>45139.791884317128</v>
      </c>
      <c r="J854" t="b">
        <v>0</v>
      </c>
      <c r="K854" t="s">
        <v>544</v>
      </c>
      <c r="L854" t="s">
        <v>6</v>
      </c>
      <c r="M854">
        <v>1</v>
      </c>
      <c r="N854">
        <v>8</v>
      </c>
      <c r="O854">
        <v>2023</v>
      </c>
      <c r="R854">
        <f>IF(wallet_records[[#This Row],[type]]="Gasto",wallet_records[[#This Row],[amount]]*(-1),wallet_records[[#This Row],[amount]])</f>
        <v>380000</v>
      </c>
    </row>
    <row r="855" spans="1:18" x14ac:dyDescent="0.2">
      <c r="A855" t="s">
        <v>127</v>
      </c>
      <c r="B855" t="s">
        <v>130</v>
      </c>
      <c r="C855" t="s">
        <v>115</v>
      </c>
      <c r="D855" s="291">
        <v>1400000</v>
      </c>
      <c r="E855">
        <v>1400000</v>
      </c>
      <c r="F855" t="s">
        <v>121</v>
      </c>
      <c r="G855" t="s">
        <v>117</v>
      </c>
      <c r="H855" t="s">
        <v>299</v>
      </c>
      <c r="I855" s="197">
        <v>45139.791666666664</v>
      </c>
      <c r="J855" t="b">
        <v>0</v>
      </c>
      <c r="K855" t="s">
        <v>77</v>
      </c>
      <c r="L855" t="s">
        <v>77</v>
      </c>
      <c r="M855">
        <v>1</v>
      </c>
      <c r="N855">
        <v>8</v>
      </c>
      <c r="O855">
        <v>2023</v>
      </c>
      <c r="R855">
        <f>IF(wallet_records[[#This Row],[type]]="Gasto",wallet_records[[#This Row],[amount]]*(-1),wallet_records[[#This Row],[amount]])</f>
        <v>1400000</v>
      </c>
    </row>
    <row r="856" spans="1:18" x14ac:dyDescent="0.2">
      <c r="A856" t="s">
        <v>127</v>
      </c>
      <c r="B856" t="s">
        <v>130</v>
      </c>
      <c r="C856" t="s">
        <v>115</v>
      </c>
      <c r="D856" s="291">
        <v>1200000</v>
      </c>
      <c r="E856">
        <v>1200000</v>
      </c>
      <c r="F856" t="s">
        <v>121</v>
      </c>
      <c r="G856" t="s">
        <v>117</v>
      </c>
      <c r="H856" t="s">
        <v>300</v>
      </c>
      <c r="I856" s="197">
        <v>45139.791666666664</v>
      </c>
      <c r="J856" t="b">
        <v>0</v>
      </c>
      <c r="K856" t="s">
        <v>1</v>
      </c>
      <c r="L856" t="s">
        <v>1</v>
      </c>
      <c r="M856">
        <v>1</v>
      </c>
      <c r="N856">
        <v>8</v>
      </c>
      <c r="O856">
        <v>2023</v>
      </c>
      <c r="R856">
        <f>IF(wallet_records[[#This Row],[type]]="Gasto",wallet_records[[#This Row],[amount]]*(-1),wallet_records[[#This Row],[amount]])</f>
        <v>1200000</v>
      </c>
    </row>
    <row r="857" spans="1:18" x14ac:dyDescent="0.2">
      <c r="A857" t="s">
        <v>127</v>
      </c>
      <c r="B857" t="s">
        <v>130</v>
      </c>
      <c r="C857" t="s">
        <v>115</v>
      </c>
      <c r="D857" s="291">
        <v>881000</v>
      </c>
      <c r="E857">
        <v>881000</v>
      </c>
      <c r="F857" t="s">
        <v>121</v>
      </c>
      <c r="G857" t="s">
        <v>117</v>
      </c>
      <c r="H857" t="s">
        <v>292</v>
      </c>
      <c r="I857" s="197">
        <v>45139.791666666664</v>
      </c>
      <c r="J857" t="b">
        <v>0</v>
      </c>
      <c r="K857" t="s">
        <v>7</v>
      </c>
      <c r="L857" t="s">
        <v>7</v>
      </c>
      <c r="M857">
        <v>1</v>
      </c>
      <c r="N857">
        <v>8</v>
      </c>
      <c r="O857">
        <v>2023</v>
      </c>
      <c r="R857">
        <f>IF(wallet_records[[#This Row],[type]]="Gasto",wallet_records[[#This Row],[amount]]*(-1),wallet_records[[#This Row],[amount]])</f>
        <v>881000</v>
      </c>
    </row>
    <row r="858" spans="1:18" x14ac:dyDescent="0.2">
      <c r="A858" t="s">
        <v>127</v>
      </c>
      <c r="B858" t="s">
        <v>130</v>
      </c>
      <c r="C858" t="s">
        <v>115</v>
      </c>
      <c r="D858" s="291">
        <v>1200000</v>
      </c>
      <c r="E858">
        <v>1200000</v>
      </c>
      <c r="F858" t="s">
        <v>121</v>
      </c>
      <c r="G858" t="s">
        <v>117</v>
      </c>
      <c r="H858" t="s">
        <v>301</v>
      </c>
      <c r="I858" s="197">
        <v>45116.791666666664</v>
      </c>
      <c r="J858" t="b">
        <v>0</v>
      </c>
      <c r="K858" t="s">
        <v>1</v>
      </c>
      <c r="L858" t="s">
        <v>1</v>
      </c>
      <c r="M858">
        <v>9</v>
      </c>
      <c r="N858">
        <v>7</v>
      </c>
      <c r="O858">
        <v>2023</v>
      </c>
      <c r="R858">
        <f>IF(wallet_records[[#This Row],[type]]="Gasto",wallet_records[[#This Row],[amount]]*(-1),wallet_records[[#This Row],[amount]])</f>
        <v>1200000</v>
      </c>
    </row>
    <row r="859" spans="1:18" x14ac:dyDescent="0.2">
      <c r="A859" t="s">
        <v>127</v>
      </c>
      <c r="B859" t="s">
        <v>130</v>
      </c>
      <c r="C859" t="s">
        <v>115</v>
      </c>
      <c r="D859" s="291">
        <v>881000</v>
      </c>
      <c r="E859">
        <v>881000</v>
      </c>
      <c r="F859" t="s">
        <v>121</v>
      </c>
      <c r="G859" t="s">
        <v>117</v>
      </c>
      <c r="H859" t="s">
        <v>292</v>
      </c>
      <c r="I859" s="197">
        <v>45116.791666666664</v>
      </c>
      <c r="J859" t="b">
        <v>0</v>
      </c>
      <c r="K859" t="s">
        <v>7</v>
      </c>
      <c r="L859" t="s">
        <v>7</v>
      </c>
      <c r="M859">
        <v>9</v>
      </c>
      <c r="N859">
        <v>7</v>
      </c>
      <c r="O859">
        <v>2023</v>
      </c>
      <c r="R859">
        <f>IF(wallet_records[[#This Row],[type]]="Gasto",wallet_records[[#This Row],[amount]]*(-1),wallet_records[[#This Row],[amount]])</f>
        <v>881000</v>
      </c>
    </row>
    <row r="860" spans="1:18" x14ac:dyDescent="0.2">
      <c r="A860" t="s">
        <v>127</v>
      </c>
      <c r="B860" t="s">
        <v>130</v>
      </c>
      <c r="C860" t="s">
        <v>115</v>
      </c>
      <c r="D860" s="291">
        <v>380000</v>
      </c>
      <c r="E860">
        <v>380000</v>
      </c>
      <c r="F860" t="s">
        <v>121</v>
      </c>
      <c r="G860" t="s">
        <v>117</v>
      </c>
      <c r="H860" t="s">
        <v>302</v>
      </c>
      <c r="I860" s="197">
        <v>45107.791782025466</v>
      </c>
      <c r="J860" t="b">
        <v>0</v>
      </c>
      <c r="K860" t="s">
        <v>544</v>
      </c>
      <c r="L860" t="s">
        <v>6</v>
      </c>
      <c r="M860">
        <v>30</v>
      </c>
      <c r="N860">
        <v>6</v>
      </c>
      <c r="O860">
        <v>2023</v>
      </c>
      <c r="R860">
        <f>IF(wallet_records[[#This Row],[type]]="Gasto",wallet_records[[#This Row],[amount]]*(-1),wallet_records[[#This Row],[amount]])</f>
        <v>380000</v>
      </c>
    </row>
    <row r="861" spans="1:18" x14ac:dyDescent="0.2">
      <c r="A861" t="s">
        <v>127</v>
      </c>
      <c r="B861" t="s">
        <v>130</v>
      </c>
      <c r="C861" t="s">
        <v>115</v>
      </c>
      <c r="D861" s="291">
        <v>1200000</v>
      </c>
      <c r="E861">
        <v>1200000</v>
      </c>
      <c r="F861" t="s">
        <v>121</v>
      </c>
      <c r="G861" t="s">
        <v>117</v>
      </c>
      <c r="H861" t="s">
        <v>303</v>
      </c>
      <c r="I861" s="197">
        <v>45105.791666666664</v>
      </c>
      <c r="J861" t="b">
        <v>0</v>
      </c>
      <c r="K861" t="s">
        <v>1</v>
      </c>
      <c r="L861" t="s">
        <v>1</v>
      </c>
      <c r="M861">
        <v>28</v>
      </c>
      <c r="N861">
        <v>6</v>
      </c>
      <c r="O861">
        <v>2023</v>
      </c>
      <c r="R861">
        <f>IF(wallet_records[[#This Row],[type]]="Gasto",wallet_records[[#This Row],[amount]]*(-1),wallet_records[[#This Row],[amount]])</f>
        <v>1200000</v>
      </c>
    </row>
    <row r="862" spans="1:18" x14ac:dyDescent="0.2">
      <c r="A862" t="s">
        <v>127</v>
      </c>
      <c r="B862" t="s">
        <v>130</v>
      </c>
      <c r="C862" t="s">
        <v>115</v>
      </c>
      <c r="D862" s="291">
        <v>1400000</v>
      </c>
      <c r="E862">
        <v>1400000</v>
      </c>
      <c r="F862" t="s">
        <v>121</v>
      </c>
      <c r="G862" t="s">
        <v>117</v>
      </c>
      <c r="H862" t="s">
        <v>302</v>
      </c>
      <c r="I862" s="197">
        <v>45105.791666666664</v>
      </c>
      <c r="J862" t="b">
        <v>0</v>
      </c>
      <c r="K862" t="s">
        <v>77</v>
      </c>
      <c r="L862" t="s">
        <v>77</v>
      </c>
      <c r="M862">
        <v>28</v>
      </c>
      <c r="N862">
        <v>6</v>
      </c>
      <c r="O862">
        <v>2023</v>
      </c>
      <c r="R862">
        <f>IF(wallet_records[[#This Row],[type]]="Gasto",wallet_records[[#This Row],[amount]]*(-1),wallet_records[[#This Row],[amount]])</f>
        <v>1400000</v>
      </c>
    </row>
    <row r="863" spans="1:18" x14ac:dyDescent="0.2">
      <c r="A863" t="s">
        <v>127</v>
      </c>
      <c r="B863" t="s">
        <v>130</v>
      </c>
      <c r="C863" t="s">
        <v>115</v>
      </c>
      <c r="D863" s="291">
        <v>1200000</v>
      </c>
      <c r="E863">
        <v>1200000</v>
      </c>
      <c r="F863" t="s">
        <v>121</v>
      </c>
      <c r="G863" t="s">
        <v>117</v>
      </c>
      <c r="H863" t="s">
        <v>304</v>
      </c>
      <c r="I863" s="197">
        <v>45090.791666666664</v>
      </c>
      <c r="J863" t="b">
        <v>0</v>
      </c>
      <c r="K863" t="s">
        <v>0</v>
      </c>
      <c r="L863" t="s">
        <v>0</v>
      </c>
      <c r="M863">
        <v>13</v>
      </c>
      <c r="N863">
        <v>6</v>
      </c>
      <c r="O863">
        <v>2023</v>
      </c>
      <c r="R863">
        <f>IF(wallet_records[[#This Row],[type]]="Gasto",wallet_records[[#This Row],[amount]]*(-1),wallet_records[[#This Row],[amount]])</f>
        <v>1200000</v>
      </c>
    </row>
    <row r="864" spans="1:18" x14ac:dyDescent="0.2">
      <c r="A864" t="s">
        <v>127</v>
      </c>
      <c r="B864" t="s">
        <v>130</v>
      </c>
      <c r="C864" t="s">
        <v>115</v>
      </c>
      <c r="D864" s="291">
        <v>881000</v>
      </c>
      <c r="E864">
        <v>881000</v>
      </c>
      <c r="F864" t="s">
        <v>121</v>
      </c>
      <c r="G864" t="s">
        <v>117</v>
      </c>
      <c r="H864" t="s">
        <v>292</v>
      </c>
      <c r="I864" s="197">
        <v>45080.791666666664</v>
      </c>
      <c r="J864" t="b">
        <v>0</v>
      </c>
      <c r="K864" t="s">
        <v>7</v>
      </c>
      <c r="L864" t="s">
        <v>7</v>
      </c>
      <c r="M864">
        <v>3</v>
      </c>
      <c r="N864">
        <v>6</v>
      </c>
      <c r="O864">
        <v>2023</v>
      </c>
      <c r="R864">
        <f>IF(wallet_records[[#This Row],[type]]="Gasto",wallet_records[[#This Row],[amount]]*(-1),wallet_records[[#This Row],[amount]])</f>
        <v>881000</v>
      </c>
    </row>
    <row r="865" spans="1:18" x14ac:dyDescent="0.2">
      <c r="A865" t="s">
        <v>127</v>
      </c>
      <c r="B865" t="s">
        <v>130</v>
      </c>
      <c r="C865" t="s">
        <v>115</v>
      </c>
      <c r="D865" s="291">
        <v>380000</v>
      </c>
      <c r="E865">
        <v>380000</v>
      </c>
      <c r="F865" t="s">
        <v>121</v>
      </c>
      <c r="G865" t="s">
        <v>117</v>
      </c>
      <c r="H865" t="s">
        <v>305</v>
      </c>
      <c r="I865" s="197">
        <v>45078.792182245372</v>
      </c>
      <c r="J865" t="b">
        <v>0</v>
      </c>
      <c r="K865" t="s">
        <v>544</v>
      </c>
      <c r="L865" t="s">
        <v>6</v>
      </c>
      <c r="M865">
        <v>1</v>
      </c>
      <c r="N865">
        <v>6</v>
      </c>
      <c r="O865">
        <v>2023</v>
      </c>
      <c r="R865">
        <f>IF(wallet_records[[#This Row],[type]]="Gasto",wallet_records[[#This Row],[amount]]*(-1),wallet_records[[#This Row],[amount]])</f>
        <v>380000</v>
      </c>
    </row>
    <row r="866" spans="1:18" x14ac:dyDescent="0.2">
      <c r="A866" t="s">
        <v>127</v>
      </c>
      <c r="B866" t="s">
        <v>130</v>
      </c>
      <c r="C866" t="s">
        <v>115</v>
      </c>
      <c r="D866" s="291">
        <v>1400000</v>
      </c>
      <c r="E866">
        <v>1400000</v>
      </c>
      <c r="F866" t="s">
        <v>121</v>
      </c>
      <c r="G866" t="s">
        <v>117</v>
      </c>
      <c r="H866" t="s">
        <v>305</v>
      </c>
      <c r="I866" s="197">
        <v>45073.791666666664</v>
      </c>
      <c r="J866" t="b">
        <v>0</v>
      </c>
      <c r="K866" t="s">
        <v>77</v>
      </c>
      <c r="L866" t="s">
        <v>77</v>
      </c>
      <c r="M866">
        <v>27</v>
      </c>
      <c r="N866">
        <v>5</v>
      </c>
      <c r="O866">
        <v>2023</v>
      </c>
      <c r="R866">
        <f>IF(wallet_records[[#This Row],[type]]="Gasto",wallet_records[[#This Row],[amount]]*(-1),wallet_records[[#This Row],[amount]])</f>
        <v>1400000</v>
      </c>
    </row>
    <row r="867" spans="1:18" x14ac:dyDescent="0.2">
      <c r="A867" t="s">
        <v>127</v>
      </c>
      <c r="B867" t="s">
        <v>130</v>
      </c>
      <c r="C867" t="s">
        <v>115</v>
      </c>
      <c r="D867" s="291">
        <v>841000</v>
      </c>
      <c r="E867">
        <v>841000</v>
      </c>
      <c r="F867" t="s">
        <v>121</v>
      </c>
      <c r="G867" t="s">
        <v>117</v>
      </c>
      <c r="H867" t="s">
        <v>292</v>
      </c>
      <c r="I867" s="197">
        <v>45063.791666666664</v>
      </c>
      <c r="J867" t="b">
        <v>0</v>
      </c>
      <c r="K867" t="s">
        <v>7</v>
      </c>
      <c r="L867" t="s">
        <v>7</v>
      </c>
      <c r="M867">
        <v>17</v>
      </c>
      <c r="N867">
        <v>5</v>
      </c>
      <c r="O867">
        <v>2023</v>
      </c>
      <c r="R867">
        <f>IF(wallet_records[[#This Row],[type]]="Gasto",wallet_records[[#This Row],[amount]]*(-1),wallet_records[[#This Row],[amount]])</f>
        <v>841000</v>
      </c>
    </row>
    <row r="868" spans="1:18" x14ac:dyDescent="0.2">
      <c r="A868" t="s">
        <v>127</v>
      </c>
      <c r="B868" t="s">
        <v>130</v>
      </c>
      <c r="C868" t="s">
        <v>115</v>
      </c>
      <c r="D868" s="291">
        <v>1200000</v>
      </c>
      <c r="E868">
        <v>1200000</v>
      </c>
      <c r="F868" t="s">
        <v>121</v>
      </c>
      <c r="G868" t="s">
        <v>117</v>
      </c>
      <c r="H868" t="s">
        <v>308</v>
      </c>
      <c r="I868" s="197">
        <v>45059.791666666664</v>
      </c>
      <c r="J868" t="b">
        <v>0</v>
      </c>
      <c r="K868" t="s">
        <v>0</v>
      </c>
      <c r="L868" t="s">
        <v>0</v>
      </c>
      <c r="M868">
        <v>13</v>
      </c>
      <c r="N868">
        <v>5</v>
      </c>
      <c r="O868">
        <v>2023</v>
      </c>
      <c r="R868">
        <f>IF(wallet_records[[#This Row],[type]]="Gasto",wallet_records[[#This Row],[amount]]*(-1),wallet_records[[#This Row],[amount]])</f>
        <v>1200000</v>
      </c>
    </row>
    <row r="869" spans="1:18" x14ac:dyDescent="0.2">
      <c r="A869" t="s">
        <v>127</v>
      </c>
      <c r="B869" t="s">
        <v>130</v>
      </c>
      <c r="C869" t="s">
        <v>115</v>
      </c>
      <c r="D869" s="291">
        <v>1200000</v>
      </c>
      <c r="E869">
        <v>1200000</v>
      </c>
      <c r="F869" t="s">
        <v>121</v>
      </c>
      <c r="G869" t="s">
        <v>117</v>
      </c>
      <c r="H869" t="s">
        <v>309</v>
      </c>
      <c r="I869" s="197">
        <v>45059.791666666664</v>
      </c>
      <c r="J869" t="b">
        <v>0</v>
      </c>
      <c r="K869" t="s">
        <v>1</v>
      </c>
      <c r="L869" t="s">
        <v>1</v>
      </c>
      <c r="M869">
        <v>13</v>
      </c>
      <c r="N869">
        <v>5</v>
      </c>
      <c r="O869">
        <v>2023</v>
      </c>
      <c r="R869">
        <f>IF(wallet_records[[#This Row],[type]]="Gasto",wallet_records[[#This Row],[amount]]*(-1),wallet_records[[#This Row],[amount]])</f>
        <v>1200000</v>
      </c>
    </row>
    <row r="870" spans="1:18" x14ac:dyDescent="0.2">
      <c r="A870" t="s">
        <v>127</v>
      </c>
      <c r="B870" t="s">
        <v>130</v>
      </c>
      <c r="C870" t="s">
        <v>115</v>
      </c>
      <c r="D870" s="291">
        <v>380000</v>
      </c>
      <c r="E870">
        <v>380000</v>
      </c>
      <c r="F870" t="s">
        <v>121</v>
      </c>
      <c r="G870" t="s">
        <v>117</v>
      </c>
      <c r="H870" t="s">
        <v>310</v>
      </c>
      <c r="I870" s="197">
        <v>45046.791850844907</v>
      </c>
      <c r="J870" t="b">
        <v>0</v>
      </c>
      <c r="K870" t="s">
        <v>544</v>
      </c>
      <c r="L870" t="s">
        <v>6</v>
      </c>
      <c r="M870">
        <v>30</v>
      </c>
      <c r="N870">
        <v>4</v>
      </c>
      <c r="O870">
        <v>2023</v>
      </c>
      <c r="R870">
        <f>IF(wallet_records[[#This Row],[type]]="Gasto",wallet_records[[#This Row],[amount]]*(-1),wallet_records[[#This Row],[amount]])</f>
        <v>380000</v>
      </c>
    </row>
    <row r="871" spans="1:18" x14ac:dyDescent="0.2">
      <c r="A871" t="s">
        <v>127</v>
      </c>
      <c r="B871" t="s">
        <v>130</v>
      </c>
      <c r="C871" t="s">
        <v>115</v>
      </c>
      <c r="D871" s="291">
        <v>1300000</v>
      </c>
      <c r="E871">
        <v>1300000</v>
      </c>
      <c r="F871" t="s">
        <v>121</v>
      </c>
      <c r="G871" t="s">
        <v>117</v>
      </c>
      <c r="H871" t="s">
        <v>310</v>
      </c>
      <c r="I871" s="197">
        <v>45046.791666666664</v>
      </c>
      <c r="J871" t="b">
        <v>0</v>
      </c>
      <c r="K871" t="s">
        <v>77</v>
      </c>
      <c r="L871" t="s">
        <v>77</v>
      </c>
      <c r="M871">
        <v>30</v>
      </c>
      <c r="N871">
        <v>4</v>
      </c>
      <c r="O871">
        <v>2023</v>
      </c>
      <c r="R871">
        <f>IF(wallet_records[[#This Row],[type]]="Gasto",wallet_records[[#This Row],[amount]]*(-1),wallet_records[[#This Row],[amount]])</f>
        <v>1300000</v>
      </c>
    </row>
    <row r="872" spans="1:18" x14ac:dyDescent="0.2">
      <c r="A872" t="s">
        <v>127</v>
      </c>
      <c r="B872" t="s">
        <v>130</v>
      </c>
      <c r="C872" t="s">
        <v>115</v>
      </c>
      <c r="D872" s="291">
        <v>1200000</v>
      </c>
      <c r="E872">
        <v>1200000</v>
      </c>
      <c r="F872" t="s">
        <v>121</v>
      </c>
      <c r="G872" t="s">
        <v>117</v>
      </c>
      <c r="H872" t="s">
        <v>311</v>
      </c>
      <c r="I872" s="197">
        <v>45033.791666666664</v>
      </c>
      <c r="J872" t="b">
        <v>0</v>
      </c>
      <c r="K872" t="s">
        <v>1</v>
      </c>
      <c r="L872" t="s">
        <v>1</v>
      </c>
      <c r="M872">
        <v>17</v>
      </c>
      <c r="N872">
        <v>4</v>
      </c>
      <c r="O872">
        <v>2023</v>
      </c>
      <c r="R872">
        <f>IF(wallet_records[[#This Row],[type]]="Gasto",wallet_records[[#This Row],[amount]]*(-1),wallet_records[[#This Row],[amount]])</f>
        <v>1200000</v>
      </c>
    </row>
    <row r="873" spans="1:18" x14ac:dyDescent="0.2">
      <c r="A873" t="s">
        <v>127</v>
      </c>
      <c r="B873" t="s">
        <v>130</v>
      </c>
      <c r="C873" t="s">
        <v>115</v>
      </c>
      <c r="D873" s="291">
        <v>1100000</v>
      </c>
      <c r="E873">
        <v>1100000</v>
      </c>
      <c r="F873" t="s">
        <v>121</v>
      </c>
      <c r="G873" t="s">
        <v>117</v>
      </c>
      <c r="H873" t="s">
        <v>312</v>
      </c>
      <c r="I873" s="197">
        <v>45033.791666666664</v>
      </c>
      <c r="J873" t="b">
        <v>0</v>
      </c>
      <c r="K873" t="s">
        <v>0</v>
      </c>
      <c r="L873" t="s">
        <v>0</v>
      </c>
      <c r="M873">
        <v>17</v>
      </c>
      <c r="N873">
        <v>4</v>
      </c>
      <c r="O873">
        <v>2023</v>
      </c>
      <c r="R873">
        <f>IF(wallet_records[[#This Row],[type]]="Gasto",wallet_records[[#This Row],[amount]]*(-1),wallet_records[[#This Row],[amount]])</f>
        <v>1100000</v>
      </c>
    </row>
    <row r="874" spans="1:18" x14ac:dyDescent="0.2">
      <c r="A874" t="s">
        <v>127</v>
      </c>
      <c r="B874" t="s">
        <v>130</v>
      </c>
      <c r="C874" t="s">
        <v>115</v>
      </c>
      <c r="D874" s="291">
        <v>380000</v>
      </c>
      <c r="E874">
        <v>380000</v>
      </c>
      <c r="F874" t="s">
        <v>121</v>
      </c>
      <c r="G874" t="s">
        <v>117</v>
      </c>
      <c r="H874" t="s">
        <v>313</v>
      </c>
      <c r="I874" s="197">
        <v>45016.791888425927</v>
      </c>
      <c r="J874" t="b">
        <v>0</v>
      </c>
      <c r="K874" t="s">
        <v>544</v>
      </c>
      <c r="L874" t="s">
        <v>6</v>
      </c>
      <c r="M874">
        <v>31</v>
      </c>
      <c r="N874">
        <v>3</v>
      </c>
      <c r="O874">
        <v>2023</v>
      </c>
      <c r="R874">
        <f>IF(wallet_records[[#This Row],[type]]="Gasto",wallet_records[[#This Row],[amount]]*(-1),wallet_records[[#This Row],[amount]])</f>
        <v>380000</v>
      </c>
    </row>
    <row r="875" spans="1:18" x14ac:dyDescent="0.2">
      <c r="A875" t="s">
        <v>127</v>
      </c>
      <c r="B875" t="s">
        <v>130</v>
      </c>
      <c r="C875" t="s">
        <v>115</v>
      </c>
      <c r="D875" s="291">
        <v>1300000</v>
      </c>
      <c r="E875">
        <v>1300000</v>
      </c>
      <c r="F875" t="s">
        <v>121</v>
      </c>
      <c r="G875" t="s">
        <v>117</v>
      </c>
      <c r="H875" t="s">
        <v>313</v>
      </c>
      <c r="I875" s="197">
        <v>45016.791666666664</v>
      </c>
      <c r="J875" t="b">
        <v>0</v>
      </c>
      <c r="K875" t="s">
        <v>77</v>
      </c>
      <c r="L875" t="s">
        <v>77</v>
      </c>
      <c r="M875">
        <v>31</v>
      </c>
      <c r="N875">
        <v>3</v>
      </c>
      <c r="O875">
        <v>2023</v>
      </c>
      <c r="R875">
        <f>IF(wallet_records[[#This Row],[type]]="Gasto",wallet_records[[#This Row],[amount]]*(-1),wallet_records[[#This Row],[amount]])</f>
        <v>1300000</v>
      </c>
    </row>
    <row r="876" spans="1:18" x14ac:dyDescent="0.2">
      <c r="A876" t="s">
        <v>127</v>
      </c>
      <c r="B876" t="s">
        <v>130</v>
      </c>
      <c r="C876" t="s">
        <v>115</v>
      </c>
      <c r="D876" s="291">
        <v>1200000</v>
      </c>
      <c r="E876">
        <v>1200000</v>
      </c>
      <c r="F876" t="s">
        <v>121</v>
      </c>
      <c r="G876" t="s">
        <v>117</v>
      </c>
      <c r="H876" t="s">
        <v>314</v>
      </c>
      <c r="I876" s="197">
        <v>45002.791666666664</v>
      </c>
      <c r="J876" t="b">
        <v>0</v>
      </c>
      <c r="K876" t="s">
        <v>1</v>
      </c>
      <c r="L876" t="s">
        <v>1</v>
      </c>
      <c r="M876">
        <v>17</v>
      </c>
      <c r="N876">
        <v>3</v>
      </c>
      <c r="O876">
        <v>2023</v>
      </c>
      <c r="R876">
        <f>IF(wallet_records[[#This Row],[type]]="Gasto",wallet_records[[#This Row],[amount]]*(-1),wallet_records[[#This Row],[amount]])</f>
        <v>1200000</v>
      </c>
    </row>
    <row r="877" spans="1:18" x14ac:dyDescent="0.2">
      <c r="A877" t="s">
        <v>127</v>
      </c>
      <c r="B877" t="s">
        <v>130</v>
      </c>
      <c r="C877" t="s">
        <v>115</v>
      </c>
      <c r="D877" s="291">
        <v>1100000</v>
      </c>
      <c r="E877">
        <v>1100000</v>
      </c>
      <c r="F877" t="s">
        <v>121</v>
      </c>
      <c r="G877" t="s">
        <v>117</v>
      </c>
      <c r="H877" t="s">
        <v>315</v>
      </c>
      <c r="I877" s="197">
        <v>45002.791666666664</v>
      </c>
      <c r="J877" t="b">
        <v>0</v>
      </c>
      <c r="K877" t="s">
        <v>0</v>
      </c>
      <c r="L877" t="s">
        <v>0</v>
      </c>
      <c r="M877">
        <v>17</v>
      </c>
      <c r="N877">
        <v>3</v>
      </c>
      <c r="O877">
        <v>2023</v>
      </c>
      <c r="R877">
        <f>IF(wallet_records[[#This Row],[type]]="Gasto",wallet_records[[#This Row],[amount]]*(-1),wallet_records[[#This Row],[amount]])</f>
        <v>1100000</v>
      </c>
    </row>
    <row r="878" spans="1:18" x14ac:dyDescent="0.2">
      <c r="A878" t="s">
        <v>127</v>
      </c>
      <c r="B878" t="s">
        <v>130</v>
      </c>
      <c r="C878" t="s">
        <v>115</v>
      </c>
      <c r="D878" s="291">
        <v>380000</v>
      </c>
      <c r="E878">
        <v>380000</v>
      </c>
      <c r="F878" t="s">
        <v>121</v>
      </c>
      <c r="G878" t="s">
        <v>117</v>
      </c>
      <c r="H878" t="s">
        <v>316</v>
      </c>
      <c r="I878" s="197">
        <v>44991.791817233796</v>
      </c>
      <c r="J878" t="b">
        <v>0</v>
      </c>
      <c r="K878" t="s">
        <v>544</v>
      </c>
      <c r="L878" t="s">
        <v>6</v>
      </c>
      <c r="M878">
        <v>6</v>
      </c>
      <c r="N878">
        <v>3</v>
      </c>
      <c r="O878">
        <v>2023</v>
      </c>
      <c r="R878">
        <f>IF(wallet_records[[#This Row],[type]]="Gasto",wallet_records[[#This Row],[amount]]*(-1),wallet_records[[#This Row],[amount]])</f>
        <v>380000</v>
      </c>
    </row>
    <row r="879" spans="1:18" x14ac:dyDescent="0.2">
      <c r="A879" t="s">
        <v>127</v>
      </c>
      <c r="B879" t="s">
        <v>130</v>
      </c>
      <c r="C879" t="s">
        <v>115</v>
      </c>
      <c r="D879" s="291">
        <v>1300000</v>
      </c>
      <c r="E879">
        <v>1300000</v>
      </c>
      <c r="F879" t="s">
        <v>121</v>
      </c>
      <c r="G879" t="s">
        <v>117</v>
      </c>
      <c r="H879" t="s">
        <v>316</v>
      </c>
      <c r="I879" s="197">
        <v>44985.791666666664</v>
      </c>
      <c r="J879" t="b">
        <v>0</v>
      </c>
      <c r="K879" t="s">
        <v>77</v>
      </c>
      <c r="L879" t="s">
        <v>77</v>
      </c>
      <c r="M879">
        <v>28</v>
      </c>
      <c r="N879">
        <v>2</v>
      </c>
      <c r="O879">
        <v>2023</v>
      </c>
      <c r="R879">
        <f>IF(wallet_records[[#This Row],[type]]="Gasto",wallet_records[[#This Row],[amount]]*(-1),wallet_records[[#This Row],[amount]])</f>
        <v>1300000</v>
      </c>
    </row>
    <row r="880" spans="1:18" x14ac:dyDescent="0.2">
      <c r="A880" t="s">
        <v>127</v>
      </c>
      <c r="B880" t="s">
        <v>130</v>
      </c>
      <c r="C880" t="s">
        <v>115</v>
      </c>
      <c r="D880" s="291">
        <v>1100000</v>
      </c>
      <c r="E880">
        <v>1100000</v>
      </c>
      <c r="F880" t="s">
        <v>121</v>
      </c>
      <c r="G880" t="s">
        <v>117</v>
      </c>
      <c r="H880" t="s">
        <v>317</v>
      </c>
      <c r="I880" s="197">
        <v>44967.791666666664</v>
      </c>
      <c r="J880" t="b">
        <v>0</v>
      </c>
      <c r="K880" t="s">
        <v>0</v>
      </c>
      <c r="L880" t="s">
        <v>0</v>
      </c>
      <c r="M880">
        <v>10</v>
      </c>
      <c r="N880">
        <v>2</v>
      </c>
      <c r="O880">
        <v>2023</v>
      </c>
      <c r="R880">
        <f>IF(wallet_records[[#This Row],[type]]="Gasto",wallet_records[[#This Row],[amount]]*(-1),wallet_records[[#This Row],[amount]])</f>
        <v>1100000</v>
      </c>
    </row>
    <row r="881" spans="1:18" x14ac:dyDescent="0.2">
      <c r="A881" t="s">
        <v>127</v>
      </c>
      <c r="B881" t="s">
        <v>130</v>
      </c>
      <c r="C881" t="s">
        <v>115</v>
      </c>
      <c r="D881" s="291">
        <v>1200000</v>
      </c>
      <c r="E881">
        <v>1200000</v>
      </c>
      <c r="F881" t="s">
        <v>121</v>
      </c>
      <c r="G881" t="s">
        <v>117</v>
      </c>
      <c r="H881" t="s">
        <v>318</v>
      </c>
      <c r="I881" s="197">
        <v>44967.791666666664</v>
      </c>
      <c r="J881" t="b">
        <v>0</v>
      </c>
      <c r="K881" t="s">
        <v>1</v>
      </c>
      <c r="L881" t="s">
        <v>1</v>
      </c>
      <c r="M881">
        <v>10</v>
      </c>
      <c r="N881">
        <v>2</v>
      </c>
      <c r="O881">
        <v>2023</v>
      </c>
      <c r="R881">
        <f>IF(wallet_records[[#This Row],[type]]="Gasto",wallet_records[[#This Row],[amount]]*(-1),wallet_records[[#This Row],[amount]])</f>
        <v>1200000</v>
      </c>
    </row>
    <row r="882" spans="1:18" x14ac:dyDescent="0.2">
      <c r="A882" t="s">
        <v>127</v>
      </c>
      <c r="B882" t="s">
        <v>130</v>
      </c>
      <c r="C882" t="s">
        <v>115</v>
      </c>
      <c r="D882" s="291">
        <v>1200000</v>
      </c>
      <c r="E882">
        <v>1200000</v>
      </c>
      <c r="F882" t="s">
        <v>121</v>
      </c>
      <c r="G882" t="s">
        <v>117</v>
      </c>
      <c r="H882" t="s">
        <v>319</v>
      </c>
      <c r="I882" s="197">
        <v>44961.791666666664</v>
      </c>
      <c r="J882" t="b">
        <v>0</v>
      </c>
      <c r="K882" t="s">
        <v>77</v>
      </c>
      <c r="L882" t="s">
        <v>77</v>
      </c>
      <c r="M882">
        <v>4</v>
      </c>
      <c r="N882">
        <v>2</v>
      </c>
      <c r="O882">
        <v>2023</v>
      </c>
      <c r="R882">
        <f>IF(wallet_records[[#This Row],[type]]="Gasto",wallet_records[[#This Row],[amount]]*(-1),wallet_records[[#This Row],[amount]])</f>
        <v>1200000</v>
      </c>
    </row>
    <row r="883" spans="1:18" x14ac:dyDescent="0.2">
      <c r="A883" t="s">
        <v>127</v>
      </c>
      <c r="B883" t="s">
        <v>130</v>
      </c>
      <c r="C883" t="s">
        <v>115</v>
      </c>
      <c r="D883" s="291">
        <v>380000</v>
      </c>
      <c r="E883">
        <v>380000</v>
      </c>
      <c r="F883" t="s">
        <v>121</v>
      </c>
      <c r="G883" t="s">
        <v>117</v>
      </c>
      <c r="H883" t="s">
        <v>319</v>
      </c>
      <c r="I883" s="197">
        <v>44958.792036099534</v>
      </c>
      <c r="J883" t="b">
        <v>0</v>
      </c>
      <c r="K883" t="s">
        <v>544</v>
      </c>
      <c r="L883" t="s">
        <v>6</v>
      </c>
      <c r="M883">
        <v>1</v>
      </c>
      <c r="N883">
        <v>2</v>
      </c>
      <c r="O883">
        <v>2023</v>
      </c>
      <c r="R883">
        <f>IF(wallet_records[[#This Row],[type]]="Gasto",wallet_records[[#This Row],[amount]]*(-1),wallet_records[[#This Row],[amount]])</f>
        <v>380000</v>
      </c>
    </row>
    <row r="884" spans="1:18" x14ac:dyDescent="0.2">
      <c r="A884" t="s">
        <v>127</v>
      </c>
      <c r="B884" t="s">
        <v>130</v>
      </c>
      <c r="C884" t="s">
        <v>115</v>
      </c>
      <c r="D884" s="291">
        <v>1200000</v>
      </c>
      <c r="E884">
        <v>1200000</v>
      </c>
      <c r="F884" t="s">
        <v>121</v>
      </c>
      <c r="G884" t="s">
        <v>117</v>
      </c>
      <c r="H884" t="s">
        <v>320</v>
      </c>
      <c r="I884" s="197">
        <v>44941.791666666664</v>
      </c>
      <c r="J884" t="b">
        <v>0</v>
      </c>
      <c r="K884" t="s">
        <v>1</v>
      </c>
      <c r="L884" t="s">
        <v>1</v>
      </c>
      <c r="M884">
        <v>15</v>
      </c>
      <c r="N884">
        <v>1</v>
      </c>
      <c r="O884">
        <v>2023</v>
      </c>
      <c r="R884">
        <f>IF(wallet_records[[#This Row],[type]]="Gasto",wallet_records[[#This Row],[amount]]*(-1),wallet_records[[#This Row],[amount]])</f>
        <v>1200000</v>
      </c>
    </row>
    <row r="885" spans="1:18" x14ac:dyDescent="0.2">
      <c r="A885" t="s">
        <v>127</v>
      </c>
      <c r="B885" t="s">
        <v>130</v>
      </c>
      <c r="C885" t="s">
        <v>115</v>
      </c>
      <c r="D885" s="291">
        <v>1100000</v>
      </c>
      <c r="E885">
        <v>1100000</v>
      </c>
      <c r="F885" t="s">
        <v>121</v>
      </c>
      <c r="G885" t="s">
        <v>117</v>
      </c>
      <c r="H885" t="s">
        <v>321</v>
      </c>
      <c r="I885" s="197">
        <v>44939.791666666664</v>
      </c>
      <c r="J885" t="b">
        <v>0</v>
      </c>
      <c r="K885" t="s">
        <v>0</v>
      </c>
      <c r="L885" t="s">
        <v>0</v>
      </c>
      <c r="M885">
        <v>13</v>
      </c>
      <c r="N885">
        <v>1</v>
      </c>
      <c r="O885">
        <v>2023</v>
      </c>
      <c r="R885">
        <f>IF(wallet_records[[#This Row],[type]]="Gasto",wallet_records[[#This Row],[amount]]*(-1),wallet_records[[#This Row],[amount]])</f>
        <v>1100000</v>
      </c>
    </row>
    <row r="886" spans="1:18" x14ac:dyDescent="0.2">
      <c r="A886" t="s">
        <v>127</v>
      </c>
      <c r="B886" t="s">
        <v>130</v>
      </c>
      <c r="C886" t="s">
        <v>115</v>
      </c>
      <c r="D886" s="291">
        <v>1200000</v>
      </c>
      <c r="E886">
        <v>1200000</v>
      </c>
      <c r="F886" t="s">
        <v>121</v>
      </c>
      <c r="G886" t="s">
        <v>117</v>
      </c>
      <c r="H886" t="s">
        <v>322</v>
      </c>
      <c r="I886" s="197">
        <v>44929.791666666664</v>
      </c>
      <c r="J886" t="b">
        <v>0</v>
      </c>
      <c r="K886" t="s">
        <v>77</v>
      </c>
      <c r="L886" t="s">
        <v>77</v>
      </c>
      <c r="M886">
        <v>3</v>
      </c>
      <c r="N886">
        <v>1</v>
      </c>
      <c r="O886">
        <v>2023</v>
      </c>
      <c r="R886">
        <f>IF(wallet_records[[#This Row],[type]]="Gasto",wallet_records[[#This Row],[amount]]*(-1),wallet_records[[#This Row],[amount]])</f>
        <v>1200000</v>
      </c>
    </row>
    <row r="887" spans="1:18" x14ac:dyDescent="0.2">
      <c r="A887" t="s">
        <v>525</v>
      </c>
      <c r="B887" t="s">
        <v>306</v>
      </c>
      <c r="C887" t="s">
        <v>115</v>
      </c>
      <c r="D887" s="291">
        <v>46133</v>
      </c>
      <c r="E887">
        <v>46133</v>
      </c>
      <c r="F887" t="s">
        <v>116</v>
      </c>
      <c r="G887" t="s">
        <v>117</v>
      </c>
      <c r="H887" t="s">
        <v>307</v>
      </c>
      <c r="I887" s="197">
        <v>45068.791666666664</v>
      </c>
      <c r="J887" t="b">
        <v>0</v>
      </c>
      <c r="K887" t="s">
        <v>7</v>
      </c>
      <c r="L887" t="s">
        <v>7</v>
      </c>
      <c r="M887">
        <v>22</v>
      </c>
      <c r="N887">
        <v>5</v>
      </c>
      <c r="O887">
        <v>2023</v>
      </c>
      <c r="R887">
        <f>IF(wallet_records[[#This Row],[type]]="Gasto",wallet_records[[#This Row],[amount]]*(-1),wallet_records[[#This Row],[amount]])</f>
        <v>-46133</v>
      </c>
    </row>
    <row r="888" spans="1:18" x14ac:dyDescent="0.2">
      <c r="A888" t="s">
        <v>525</v>
      </c>
      <c r="B888" t="s">
        <v>306</v>
      </c>
      <c r="C888" t="s">
        <v>115</v>
      </c>
      <c r="D888" s="291">
        <v>77730</v>
      </c>
      <c r="E888">
        <v>77730</v>
      </c>
      <c r="F888" t="s">
        <v>116</v>
      </c>
      <c r="G888" t="s">
        <v>117</v>
      </c>
      <c r="H888" t="s">
        <v>307</v>
      </c>
      <c r="I888" s="197">
        <v>45037.791666666664</v>
      </c>
      <c r="J888" t="b">
        <v>0</v>
      </c>
      <c r="K888" t="s">
        <v>7</v>
      </c>
      <c r="L888" t="s">
        <v>7</v>
      </c>
      <c r="M888">
        <v>21</v>
      </c>
      <c r="N888">
        <v>4</v>
      </c>
      <c r="O888">
        <v>2023</v>
      </c>
      <c r="R888">
        <f>IF(wallet_records[[#This Row],[type]]="Gasto",wallet_records[[#This Row],[amount]]*(-1),wallet_records[[#This Row],[amount]])</f>
        <v>-77730</v>
      </c>
    </row>
    <row r="889" spans="1:18" x14ac:dyDescent="0.2">
      <c r="A889" t="s">
        <v>525</v>
      </c>
      <c r="B889" t="s">
        <v>306</v>
      </c>
      <c r="C889" t="s">
        <v>115</v>
      </c>
      <c r="D889" s="291">
        <v>37201</v>
      </c>
      <c r="E889">
        <v>37201</v>
      </c>
      <c r="F889" t="s">
        <v>116</v>
      </c>
      <c r="G889" t="s">
        <v>117</v>
      </c>
      <c r="H889" t="s">
        <v>307</v>
      </c>
      <c r="I889" s="197">
        <v>45037.791666666664</v>
      </c>
      <c r="J889" t="b">
        <v>0</v>
      </c>
      <c r="K889" t="s">
        <v>7</v>
      </c>
      <c r="L889" t="s">
        <v>7</v>
      </c>
      <c r="M889">
        <v>21</v>
      </c>
      <c r="N889">
        <v>4</v>
      </c>
      <c r="O889">
        <v>2023</v>
      </c>
      <c r="R889">
        <f>IF(wallet_records[[#This Row],[type]]="Gasto",wallet_records[[#This Row],[amount]]*(-1),wallet_records[[#This Row],[amount]])</f>
        <v>-37201</v>
      </c>
    </row>
    <row r="890" spans="1:18" x14ac:dyDescent="0.2">
      <c r="A890" t="s">
        <v>525</v>
      </c>
      <c r="B890" t="s">
        <v>306</v>
      </c>
      <c r="C890" t="s">
        <v>115</v>
      </c>
      <c r="D890" s="291">
        <v>15692</v>
      </c>
      <c r="E890">
        <v>15692</v>
      </c>
      <c r="F890" t="s">
        <v>116</v>
      </c>
      <c r="G890" t="s">
        <v>117</v>
      </c>
      <c r="H890" t="s">
        <v>307</v>
      </c>
      <c r="I890" s="197">
        <v>44991.791666666664</v>
      </c>
      <c r="J890" t="b">
        <v>0</v>
      </c>
      <c r="K890" t="s">
        <v>7</v>
      </c>
      <c r="L890" t="s">
        <v>7</v>
      </c>
      <c r="M890">
        <v>6</v>
      </c>
      <c r="N890">
        <v>3</v>
      </c>
      <c r="O890">
        <v>2023</v>
      </c>
      <c r="R890">
        <f>IF(wallet_records[[#This Row],[type]]="Gasto",wallet_records[[#This Row],[amount]]*(-1),wallet_records[[#This Row],[amount]])</f>
        <v>-15692</v>
      </c>
    </row>
    <row r="891" spans="1:18" x14ac:dyDescent="0.2">
      <c r="A891" t="s">
        <v>525</v>
      </c>
      <c r="B891" t="s">
        <v>306</v>
      </c>
      <c r="C891" t="s">
        <v>115</v>
      </c>
      <c r="D891" s="291">
        <v>35973</v>
      </c>
      <c r="E891">
        <v>35973</v>
      </c>
      <c r="F891" t="s">
        <v>116</v>
      </c>
      <c r="G891" t="s">
        <v>117</v>
      </c>
      <c r="H891" t="s">
        <v>307</v>
      </c>
      <c r="I891" s="197">
        <v>44970.791666666664</v>
      </c>
      <c r="J891" t="b">
        <v>0</v>
      </c>
      <c r="K891" t="s">
        <v>7</v>
      </c>
      <c r="L891" t="s">
        <v>7</v>
      </c>
      <c r="M891">
        <v>13</v>
      </c>
      <c r="N891">
        <v>2</v>
      </c>
      <c r="O891">
        <v>2023</v>
      </c>
      <c r="R891">
        <f>IF(wallet_records[[#This Row],[type]]="Gasto",wallet_records[[#This Row],[amount]]*(-1),wallet_records[[#This Row],[amount]])</f>
        <v>-35973</v>
      </c>
    </row>
    <row r="892" spans="1:18" x14ac:dyDescent="0.2">
      <c r="A892" t="s">
        <v>525</v>
      </c>
      <c r="B892" t="s">
        <v>306</v>
      </c>
      <c r="C892" t="s">
        <v>115</v>
      </c>
      <c r="D892" s="291">
        <v>39298</v>
      </c>
      <c r="E892">
        <v>39298</v>
      </c>
      <c r="F892" t="s">
        <v>116</v>
      </c>
      <c r="G892" t="s">
        <v>117</v>
      </c>
      <c r="H892" t="s">
        <v>307</v>
      </c>
      <c r="I892" s="197">
        <v>44937.791666666664</v>
      </c>
      <c r="J892" t="b">
        <v>0</v>
      </c>
      <c r="K892" t="s">
        <v>7</v>
      </c>
      <c r="L892" t="s">
        <v>7</v>
      </c>
      <c r="M892">
        <v>11</v>
      </c>
      <c r="N892">
        <v>1</v>
      </c>
      <c r="O892">
        <v>2023</v>
      </c>
      <c r="R892">
        <f>IF(wallet_records[[#This Row],[type]]="Gasto",wallet_records[[#This Row],[amount]]*(-1),wallet_records[[#This Row],[amount]])</f>
        <v>-39298</v>
      </c>
    </row>
    <row r="893" spans="1:18" x14ac:dyDescent="0.2">
      <c r="A893" t="s">
        <v>525</v>
      </c>
      <c r="B893" t="s">
        <v>306</v>
      </c>
      <c r="C893" t="s">
        <v>115</v>
      </c>
      <c r="D893" s="291">
        <v>17814</v>
      </c>
      <c r="E893">
        <v>17814</v>
      </c>
      <c r="F893" t="s">
        <v>116</v>
      </c>
      <c r="G893" t="s">
        <v>117</v>
      </c>
      <c r="H893" t="s">
        <v>307</v>
      </c>
      <c r="I893" s="197">
        <v>44932.791666666664</v>
      </c>
      <c r="J893" t="b">
        <v>0</v>
      </c>
      <c r="K893" t="s">
        <v>7</v>
      </c>
      <c r="L893" t="s">
        <v>7</v>
      </c>
      <c r="M893">
        <v>6</v>
      </c>
      <c r="N893">
        <v>1</v>
      </c>
      <c r="O893">
        <v>2023</v>
      </c>
      <c r="R893">
        <f>IF(wallet_records[[#This Row],[type]]="Gasto",wallet_records[[#This Row],[amount]]*(-1),wallet_records[[#This Row],[amount]])</f>
        <v>-17814</v>
      </c>
    </row>
    <row r="894" spans="1:18" x14ac:dyDescent="0.2">
      <c r="A894" t="s">
        <v>127</v>
      </c>
      <c r="B894" t="s">
        <v>144</v>
      </c>
      <c r="C894" t="s">
        <v>115</v>
      </c>
      <c r="D894" s="291">
        <v>285000</v>
      </c>
      <c r="E894">
        <v>285000</v>
      </c>
      <c r="F894" t="s">
        <v>116</v>
      </c>
      <c r="G894" t="s">
        <v>117</v>
      </c>
      <c r="H894" t="s">
        <v>145</v>
      </c>
      <c r="I894" s="197">
        <v>44926.791666666664</v>
      </c>
      <c r="J894" t="b">
        <v>0</v>
      </c>
      <c r="K894" t="s">
        <v>146</v>
      </c>
      <c r="L894" t="s">
        <v>139</v>
      </c>
      <c r="M894">
        <v>31</v>
      </c>
      <c r="N894">
        <v>12</v>
      </c>
      <c r="O894">
        <v>2022</v>
      </c>
      <c r="R894">
        <f>IF(wallet_records[[#This Row],[type]]="Gasto",wallet_records[[#This Row],[amount]]*(-1),wallet_records[[#This Row],[amount]])</f>
        <v>-285000</v>
      </c>
    </row>
    <row r="895" spans="1:18" x14ac:dyDescent="0.2">
      <c r="A895" t="s">
        <v>127</v>
      </c>
      <c r="B895" t="s">
        <v>144</v>
      </c>
      <c r="C895" t="s">
        <v>115</v>
      </c>
      <c r="D895" s="291">
        <v>285000</v>
      </c>
      <c r="E895">
        <v>285000</v>
      </c>
      <c r="F895" t="s">
        <v>116</v>
      </c>
      <c r="G895" t="s">
        <v>117</v>
      </c>
      <c r="H895" t="s">
        <v>145</v>
      </c>
      <c r="I895" s="197">
        <v>44895.791666666664</v>
      </c>
      <c r="J895" t="b">
        <v>0</v>
      </c>
      <c r="K895" t="s">
        <v>146</v>
      </c>
      <c r="L895" t="s">
        <v>139</v>
      </c>
      <c r="M895">
        <v>30</v>
      </c>
      <c r="N895">
        <v>11</v>
      </c>
      <c r="O895">
        <v>2022</v>
      </c>
      <c r="R895">
        <f>IF(wallet_records[[#This Row],[type]]="Gasto",wallet_records[[#This Row],[amount]]*(-1),wallet_records[[#This Row],[amount]])</f>
        <v>-285000</v>
      </c>
    </row>
    <row r="896" spans="1:18" x14ac:dyDescent="0.2">
      <c r="A896" t="s">
        <v>127</v>
      </c>
      <c r="B896" t="s">
        <v>144</v>
      </c>
      <c r="C896" t="s">
        <v>115</v>
      </c>
      <c r="D896" s="291">
        <v>285000</v>
      </c>
      <c r="E896">
        <v>285000</v>
      </c>
      <c r="F896" t="s">
        <v>116</v>
      </c>
      <c r="G896" t="s">
        <v>117</v>
      </c>
      <c r="H896" t="s">
        <v>145</v>
      </c>
      <c r="I896" s="197">
        <v>44865.791666666664</v>
      </c>
      <c r="J896" t="b">
        <v>0</v>
      </c>
      <c r="K896" t="s">
        <v>146</v>
      </c>
      <c r="L896" t="s">
        <v>139</v>
      </c>
      <c r="M896">
        <v>31</v>
      </c>
      <c r="N896">
        <v>10</v>
      </c>
      <c r="O896">
        <v>2022</v>
      </c>
      <c r="R896">
        <f>IF(wallet_records[[#This Row],[type]]="Gasto",wallet_records[[#This Row],[amount]]*(-1),wallet_records[[#This Row],[amount]])</f>
        <v>-285000</v>
      </c>
    </row>
    <row r="897" spans="1:18" x14ac:dyDescent="0.2">
      <c r="A897" t="s">
        <v>127</v>
      </c>
      <c r="B897" t="s">
        <v>144</v>
      </c>
      <c r="C897" t="s">
        <v>115</v>
      </c>
      <c r="D897" s="291">
        <v>285000</v>
      </c>
      <c r="E897">
        <v>285000</v>
      </c>
      <c r="F897" t="s">
        <v>116</v>
      </c>
      <c r="G897" t="s">
        <v>117</v>
      </c>
      <c r="H897" t="s">
        <v>145</v>
      </c>
      <c r="I897" s="197">
        <v>44834.791666666664</v>
      </c>
      <c r="J897" t="b">
        <v>0</v>
      </c>
      <c r="K897" t="s">
        <v>146</v>
      </c>
      <c r="L897" t="s">
        <v>139</v>
      </c>
      <c r="M897">
        <v>30</v>
      </c>
      <c r="N897">
        <v>9</v>
      </c>
      <c r="O897">
        <v>2022</v>
      </c>
      <c r="R897">
        <f>IF(wallet_records[[#This Row],[type]]="Gasto",wallet_records[[#This Row],[amount]]*(-1),wallet_records[[#This Row],[amount]])</f>
        <v>-285000</v>
      </c>
    </row>
    <row r="898" spans="1:18" x14ac:dyDescent="0.2">
      <c r="A898" t="s">
        <v>127</v>
      </c>
      <c r="B898" t="s">
        <v>144</v>
      </c>
      <c r="C898" t="s">
        <v>115</v>
      </c>
      <c r="D898" s="291">
        <v>285000</v>
      </c>
      <c r="E898">
        <v>285000</v>
      </c>
      <c r="F898" t="s">
        <v>116</v>
      </c>
      <c r="G898" t="s">
        <v>117</v>
      </c>
      <c r="H898" t="s">
        <v>145</v>
      </c>
      <c r="I898" s="197">
        <v>44804.791666666664</v>
      </c>
      <c r="J898" t="b">
        <v>0</v>
      </c>
      <c r="K898" t="s">
        <v>146</v>
      </c>
      <c r="L898" t="s">
        <v>139</v>
      </c>
      <c r="M898">
        <v>31</v>
      </c>
      <c r="N898">
        <v>8</v>
      </c>
      <c r="O898">
        <v>2022</v>
      </c>
      <c r="R898">
        <f>IF(wallet_records[[#This Row],[type]]="Gasto",wallet_records[[#This Row],[amount]]*(-1),wallet_records[[#This Row],[amount]])</f>
        <v>-285000</v>
      </c>
    </row>
    <row r="899" spans="1:18" x14ac:dyDescent="0.2">
      <c r="A899" t="s">
        <v>127</v>
      </c>
      <c r="B899" t="s">
        <v>144</v>
      </c>
      <c r="C899" t="s">
        <v>115</v>
      </c>
      <c r="D899" s="291">
        <v>285000</v>
      </c>
      <c r="E899">
        <v>285000</v>
      </c>
      <c r="F899" t="s">
        <v>116</v>
      </c>
      <c r="G899" t="s">
        <v>117</v>
      </c>
      <c r="H899" t="s">
        <v>145</v>
      </c>
      <c r="I899" s="197">
        <v>44773.791666666664</v>
      </c>
      <c r="J899" t="b">
        <v>0</v>
      </c>
      <c r="K899" t="s">
        <v>146</v>
      </c>
      <c r="L899" t="s">
        <v>139</v>
      </c>
      <c r="M899">
        <v>31</v>
      </c>
      <c r="N899">
        <v>7</v>
      </c>
      <c r="O899">
        <v>2022</v>
      </c>
      <c r="R899">
        <f>IF(wallet_records[[#This Row],[type]]="Gasto",wallet_records[[#This Row],[amount]]*(-1),wallet_records[[#This Row],[amount]])</f>
        <v>-285000</v>
      </c>
    </row>
    <row r="900" spans="1:18" x14ac:dyDescent="0.2">
      <c r="A900" t="s">
        <v>127</v>
      </c>
      <c r="B900" t="s">
        <v>144</v>
      </c>
      <c r="C900" t="s">
        <v>115</v>
      </c>
      <c r="D900" s="291">
        <v>285000</v>
      </c>
      <c r="E900">
        <v>285000</v>
      </c>
      <c r="F900" t="s">
        <v>116</v>
      </c>
      <c r="G900" t="s">
        <v>117</v>
      </c>
      <c r="H900" t="s">
        <v>145</v>
      </c>
      <c r="I900" s="197">
        <v>44742.791666666664</v>
      </c>
      <c r="J900" t="b">
        <v>0</v>
      </c>
      <c r="K900" t="s">
        <v>146</v>
      </c>
      <c r="L900" t="s">
        <v>139</v>
      </c>
      <c r="M900">
        <v>30</v>
      </c>
      <c r="N900">
        <v>6</v>
      </c>
      <c r="O900">
        <v>2022</v>
      </c>
      <c r="R900">
        <f>IF(wallet_records[[#This Row],[type]]="Gasto",wallet_records[[#This Row],[amount]]*(-1),wallet_records[[#This Row],[amount]])</f>
        <v>-285000</v>
      </c>
    </row>
    <row r="901" spans="1:18" x14ac:dyDescent="0.2">
      <c r="A901" t="s">
        <v>127</v>
      </c>
      <c r="B901" t="s">
        <v>144</v>
      </c>
      <c r="C901" t="s">
        <v>115</v>
      </c>
      <c r="D901" s="291">
        <v>285000</v>
      </c>
      <c r="E901">
        <v>285000</v>
      </c>
      <c r="F901" t="s">
        <v>116</v>
      </c>
      <c r="G901" t="s">
        <v>117</v>
      </c>
      <c r="H901" t="s">
        <v>145</v>
      </c>
      <c r="I901" s="197">
        <v>44712.791666666664</v>
      </c>
      <c r="J901" t="b">
        <v>0</v>
      </c>
      <c r="K901" t="s">
        <v>146</v>
      </c>
      <c r="L901" t="s">
        <v>139</v>
      </c>
      <c r="M901">
        <v>31</v>
      </c>
      <c r="N901">
        <v>5</v>
      </c>
      <c r="O901">
        <v>2022</v>
      </c>
      <c r="R901">
        <f>IF(wallet_records[[#This Row],[type]]="Gasto",wallet_records[[#This Row],[amount]]*(-1),wallet_records[[#This Row],[amount]])</f>
        <v>-285000</v>
      </c>
    </row>
    <row r="902" spans="1:18" x14ac:dyDescent="0.2">
      <c r="A902" t="s">
        <v>127</v>
      </c>
      <c r="B902" t="s">
        <v>144</v>
      </c>
      <c r="C902" t="s">
        <v>115</v>
      </c>
      <c r="D902" s="291">
        <v>285000</v>
      </c>
      <c r="E902">
        <v>285000</v>
      </c>
      <c r="F902" t="s">
        <v>116</v>
      </c>
      <c r="G902" t="s">
        <v>117</v>
      </c>
      <c r="H902" t="s">
        <v>145</v>
      </c>
      <c r="I902" s="197">
        <v>44681.791666666664</v>
      </c>
      <c r="J902" t="b">
        <v>0</v>
      </c>
      <c r="K902" t="s">
        <v>146</v>
      </c>
      <c r="L902" t="s">
        <v>139</v>
      </c>
      <c r="M902">
        <v>30</v>
      </c>
      <c r="N902">
        <v>4</v>
      </c>
      <c r="O902">
        <v>2022</v>
      </c>
      <c r="R902">
        <f>IF(wallet_records[[#This Row],[type]]="Gasto",wallet_records[[#This Row],[amount]]*(-1),wallet_records[[#This Row],[amount]])</f>
        <v>-285000</v>
      </c>
    </row>
    <row r="903" spans="1:18" x14ac:dyDescent="0.2">
      <c r="A903" t="s">
        <v>524</v>
      </c>
      <c r="B903" t="s">
        <v>154</v>
      </c>
      <c r="C903" t="s">
        <v>115</v>
      </c>
      <c r="D903" s="291">
        <v>183486</v>
      </c>
      <c r="E903">
        <v>183486</v>
      </c>
      <c r="F903" t="s">
        <v>116</v>
      </c>
      <c r="G903" t="s">
        <v>117</v>
      </c>
      <c r="H903" t="s">
        <v>508</v>
      </c>
      <c r="I903" s="197">
        <v>44858.791666666664</v>
      </c>
      <c r="J903" t="b">
        <v>0</v>
      </c>
      <c r="K903" t="s">
        <v>7</v>
      </c>
      <c r="L903" t="s">
        <v>7</v>
      </c>
      <c r="M903">
        <v>24</v>
      </c>
      <c r="N903">
        <v>10</v>
      </c>
      <c r="O903">
        <v>2022</v>
      </c>
      <c r="R903">
        <f>IF(wallet_records[[#This Row],[type]]="Gasto",wallet_records[[#This Row],[amount]]*(-1),wallet_records[[#This Row],[amount]])</f>
        <v>-183486</v>
      </c>
    </row>
    <row r="904" spans="1:18" x14ac:dyDescent="0.2">
      <c r="A904" t="s">
        <v>524</v>
      </c>
      <c r="B904" t="s">
        <v>154</v>
      </c>
      <c r="C904" t="s">
        <v>115</v>
      </c>
      <c r="D904" s="291">
        <v>183486</v>
      </c>
      <c r="E904">
        <v>183486</v>
      </c>
      <c r="F904" t="s">
        <v>116</v>
      </c>
      <c r="G904" t="s">
        <v>117</v>
      </c>
      <c r="H904" t="s">
        <v>508</v>
      </c>
      <c r="I904" s="197">
        <v>44778.791666666664</v>
      </c>
      <c r="J904" t="b">
        <v>0</v>
      </c>
      <c r="K904" t="s">
        <v>7</v>
      </c>
      <c r="L904" t="s">
        <v>7</v>
      </c>
      <c r="M904">
        <v>5</v>
      </c>
      <c r="N904">
        <v>8</v>
      </c>
      <c r="O904">
        <v>2022</v>
      </c>
      <c r="R904">
        <f>IF(wallet_records[[#This Row],[type]]="Gasto",wallet_records[[#This Row],[amount]]*(-1),wallet_records[[#This Row],[amount]])</f>
        <v>-183486</v>
      </c>
    </row>
    <row r="905" spans="1:18" x14ac:dyDescent="0.2">
      <c r="A905" t="s">
        <v>524</v>
      </c>
      <c r="B905" t="s">
        <v>154</v>
      </c>
      <c r="C905" t="s">
        <v>115</v>
      </c>
      <c r="D905" s="291">
        <v>183486</v>
      </c>
      <c r="E905">
        <v>183486</v>
      </c>
      <c r="F905" t="s">
        <v>116</v>
      </c>
      <c r="G905" t="s">
        <v>117</v>
      </c>
      <c r="H905" t="s">
        <v>508</v>
      </c>
      <c r="I905" s="197">
        <v>44692.791666666664</v>
      </c>
      <c r="J905" t="b">
        <v>0</v>
      </c>
      <c r="K905" t="s">
        <v>7</v>
      </c>
      <c r="L905" t="s">
        <v>7</v>
      </c>
      <c r="M905">
        <v>11</v>
      </c>
      <c r="N905">
        <v>5</v>
      </c>
      <c r="O905">
        <v>2022</v>
      </c>
      <c r="R905">
        <f>IF(wallet_records[[#This Row],[type]]="Gasto",wallet_records[[#This Row],[amount]]*(-1),wallet_records[[#This Row],[amount]])</f>
        <v>-183486</v>
      </c>
    </row>
    <row r="906" spans="1:18" x14ac:dyDescent="0.2">
      <c r="A906" t="s">
        <v>525</v>
      </c>
      <c r="B906" t="s">
        <v>124</v>
      </c>
      <c r="C906" t="s">
        <v>115</v>
      </c>
      <c r="D906" s="291">
        <v>26722.38</v>
      </c>
      <c r="E906">
        <v>26722.38</v>
      </c>
      <c r="F906" t="s">
        <v>121</v>
      </c>
      <c r="G906" t="s">
        <v>117</v>
      </c>
      <c r="H906" t="s">
        <v>125</v>
      </c>
      <c r="I906" s="197">
        <v>44926.791666666664</v>
      </c>
      <c r="J906" t="b">
        <v>0</v>
      </c>
      <c r="K906" t="s">
        <v>127</v>
      </c>
      <c r="L906" t="s">
        <v>123</v>
      </c>
      <c r="M906">
        <v>31</v>
      </c>
      <c r="N906">
        <v>12</v>
      </c>
      <c r="O906">
        <v>2022</v>
      </c>
      <c r="R906">
        <f>IF(wallet_records[[#This Row],[type]]="Gasto",wallet_records[[#This Row],[amount]]*(-1),wallet_records[[#This Row],[amount]])</f>
        <v>26722.38</v>
      </c>
    </row>
    <row r="907" spans="1:18" x14ac:dyDescent="0.2">
      <c r="A907" t="s">
        <v>524</v>
      </c>
      <c r="B907" t="s">
        <v>124</v>
      </c>
      <c r="C907" t="s">
        <v>115</v>
      </c>
      <c r="D907" s="291">
        <v>92780.94</v>
      </c>
      <c r="E907">
        <v>92780.94</v>
      </c>
      <c r="F907" t="s">
        <v>121</v>
      </c>
      <c r="G907" t="s">
        <v>117</v>
      </c>
      <c r="H907" t="s">
        <v>125</v>
      </c>
      <c r="I907" s="197">
        <v>44926.791666666664</v>
      </c>
      <c r="J907" t="b">
        <v>0</v>
      </c>
      <c r="K907" t="s">
        <v>127</v>
      </c>
      <c r="L907" t="s">
        <v>123</v>
      </c>
      <c r="M907">
        <v>31</v>
      </c>
      <c r="N907">
        <v>12</v>
      </c>
      <c r="O907">
        <v>2022</v>
      </c>
      <c r="R907">
        <f>IF(wallet_records[[#This Row],[type]]="Gasto",wallet_records[[#This Row],[amount]]*(-1),wallet_records[[#This Row],[amount]])</f>
        <v>92780.94</v>
      </c>
    </row>
    <row r="908" spans="1:18" x14ac:dyDescent="0.2">
      <c r="A908" t="s">
        <v>524</v>
      </c>
      <c r="B908" t="s">
        <v>124</v>
      </c>
      <c r="C908" t="s">
        <v>115</v>
      </c>
      <c r="D908" s="291">
        <v>67739.25</v>
      </c>
      <c r="E908">
        <v>67739.25</v>
      </c>
      <c r="F908" t="s">
        <v>121</v>
      </c>
      <c r="G908" t="s">
        <v>117</v>
      </c>
      <c r="H908" t="s">
        <v>125</v>
      </c>
      <c r="I908" s="197">
        <v>44895.791666666664</v>
      </c>
      <c r="J908" t="b">
        <v>0</v>
      </c>
      <c r="K908" t="s">
        <v>127</v>
      </c>
      <c r="L908" t="s">
        <v>123</v>
      </c>
      <c r="M908">
        <v>30</v>
      </c>
      <c r="N908">
        <v>11</v>
      </c>
      <c r="O908">
        <v>2022</v>
      </c>
      <c r="R908">
        <f>IF(wallet_records[[#This Row],[type]]="Gasto",wallet_records[[#This Row],[amount]]*(-1),wallet_records[[#This Row],[amount]])</f>
        <v>67739.25</v>
      </c>
    </row>
    <row r="909" spans="1:18" x14ac:dyDescent="0.2">
      <c r="A909" t="s">
        <v>525</v>
      </c>
      <c r="B909" t="s">
        <v>124</v>
      </c>
      <c r="C909" t="s">
        <v>115</v>
      </c>
      <c r="D909" s="291">
        <v>19510.13</v>
      </c>
      <c r="E909">
        <v>19510.13</v>
      </c>
      <c r="F909" t="s">
        <v>121</v>
      </c>
      <c r="G909" t="s">
        <v>117</v>
      </c>
      <c r="H909" t="s">
        <v>125</v>
      </c>
      <c r="I909" s="197">
        <v>44895.791666666664</v>
      </c>
      <c r="J909" t="b">
        <v>0</v>
      </c>
      <c r="K909" t="s">
        <v>127</v>
      </c>
      <c r="L909" t="s">
        <v>123</v>
      </c>
      <c r="M909">
        <v>30</v>
      </c>
      <c r="N909">
        <v>11</v>
      </c>
      <c r="O909">
        <v>2022</v>
      </c>
      <c r="R909">
        <f>IF(wallet_records[[#This Row],[type]]="Gasto",wallet_records[[#This Row],[amount]]*(-1),wallet_records[[#This Row],[amount]])</f>
        <v>19510.13</v>
      </c>
    </row>
    <row r="910" spans="1:18" x14ac:dyDescent="0.2">
      <c r="A910" t="s">
        <v>524</v>
      </c>
      <c r="B910" t="s">
        <v>124</v>
      </c>
      <c r="C910" t="s">
        <v>115</v>
      </c>
      <c r="D910" s="291">
        <v>50781.2</v>
      </c>
      <c r="E910">
        <v>50781.2</v>
      </c>
      <c r="F910" t="s">
        <v>121</v>
      </c>
      <c r="G910" t="s">
        <v>117</v>
      </c>
      <c r="H910" t="s">
        <v>125</v>
      </c>
      <c r="I910" s="197">
        <v>44865.791666666664</v>
      </c>
      <c r="J910" t="b">
        <v>0</v>
      </c>
      <c r="K910" t="s">
        <v>127</v>
      </c>
      <c r="L910" t="s">
        <v>123</v>
      </c>
      <c r="M910">
        <v>31</v>
      </c>
      <c r="N910">
        <v>10</v>
      </c>
      <c r="O910">
        <v>2022</v>
      </c>
      <c r="R910">
        <f>IF(wallet_records[[#This Row],[type]]="Gasto",wallet_records[[#This Row],[amount]]*(-1),wallet_records[[#This Row],[amount]])</f>
        <v>50781.2</v>
      </c>
    </row>
    <row r="911" spans="1:18" x14ac:dyDescent="0.2">
      <c r="A911" t="s">
        <v>525</v>
      </c>
      <c r="B911" t="s">
        <v>124</v>
      </c>
      <c r="C911" t="s">
        <v>115</v>
      </c>
      <c r="D911" s="291">
        <v>14626.05</v>
      </c>
      <c r="E911">
        <v>14626.05</v>
      </c>
      <c r="F911" t="s">
        <v>121</v>
      </c>
      <c r="G911" t="s">
        <v>117</v>
      </c>
      <c r="H911" t="s">
        <v>125</v>
      </c>
      <c r="I911" s="197">
        <v>44865.791666666664</v>
      </c>
      <c r="J911" t="b">
        <v>0</v>
      </c>
      <c r="K911" t="s">
        <v>127</v>
      </c>
      <c r="L911" t="s">
        <v>123</v>
      </c>
      <c r="M911">
        <v>31</v>
      </c>
      <c r="N911">
        <v>10</v>
      </c>
      <c r="O911">
        <v>2022</v>
      </c>
      <c r="R911">
        <f>IF(wallet_records[[#This Row],[type]]="Gasto",wallet_records[[#This Row],[amount]]*(-1),wallet_records[[#This Row],[amount]])</f>
        <v>14626.05</v>
      </c>
    </row>
    <row r="912" spans="1:18" x14ac:dyDescent="0.2">
      <c r="A912" t="s">
        <v>524</v>
      </c>
      <c r="B912" t="s">
        <v>124</v>
      </c>
      <c r="C912" t="s">
        <v>115</v>
      </c>
      <c r="D912" s="291">
        <v>42191.35</v>
      </c>
      <c r="E912">
        <v>42191.35</v>
      </c>
      <c r="F912" t="s">
        <v>121</v>
      </c>
      <c r="G912" t="s">
        <v>117</v>
      </c>
      <c r="H912" t="s">
        <v>125</v>
      </c>
      <c r="I912" s="197">
        <v>44834.791666666664</v>
      </c>
      <c r="J912" t="b">
        <v>0</v>
      </c>
      <c r="K912" t="s">
        <v>127</v>
      </c>
      <c r="L912" t="s">
        <v>123</v>
      </c>
      <c r="M912">
        <v>30</v>
      </c>
      <c r="N912">
        <v>9</v>
      </c>
      <c r="O912">
        <v>2022</v>
      </c>
      <c r="R912">
        <f>IF(wallet_records[[#This Row],[type]]="Gasto",wallet_records[[#This Row],[amount]]*(-1),wallet_records[[#This Row],[amount]])</f>
        <v>42191.35</v>
      </c>
    </row>
    <row r="913" spans="1:18" x14ac:dyDescent="0.2">
      <c r="A913" t="s">
        <v>525</v>
      </c>
      <c r="B913" t="s">
        <v>124</v>
      </c>
      <c r="C913" t="s">
        <v>115</v>
      </c>
      <c r="D913" s="291">
        <v>12152.17</v>
      </c>
      <c r="E913">
        <v>12152.17</v>
      </c>
      <c r="F913" t="s">
        <v>121</v>
      </c>
      <c r="G913" t="s">
        <v>117</v>
      </c>
      <c r="H913" t="s">
        <v>125</v>
      </c>
      <c r="I913" s="197">
        <v>44834.791666666664</v>
      </c>
      <c r="J913" t="b">
        <v>0</v>
      </c>
      <c r="K913" t="s">
        <v>127</v>
      </c>
      <c r="L913" t="s">
        <v>123</v>
      </c>
      <c r="M913">
        <v>30</v>
      </c>
      <c r="N913">
        <v>9</v>
      </c>
      <c r="O913">
        <v>2022</v>
      </c>
      <c r="R913">
        <f>IF(wallet_records[[#This Row],[type]]="Gasto",wallet_records[[#This Row],[amount]]*(-1),wallet_records[[#This Row],[amount]])</f>
        <v>12152.17</v>
      </c>
    </row>
    <row r="914" spans="1:18" x14ac:dyDescent="0.2">
      <c r="A914" t="s">
        <v>525</v>
      </c>
      <c r="B914" t="s">
        <v>124</v>
      </c>
      <c r="C914" t="s">
        <v>115</v>
      </c>
      <c r="D914" s="291">
        <v>8875.09</v>
      </c>
      <c r="E914">
        <v>8875.09</v>
      </c>
      <c r="F914" t="s">
        <v>121</v>
      </c>
      <c r="G914" t="s">
        <v>117</v>
      </c>
      <c r="H914" t="s">
        <v>125</v>
      </c>
      <c r="I914" s="197">
        <v>44804.791666666664</v>
      </c>
      <c r="J914" t="b">
        <v>0</v>
      </c>
      <c r="K914" t="s">
        <v>127</v>
      </c>
      <c r="L914" t="s">
        <v>123</v>
      </c>
      <c r="M914">
        <v>31</v>
      </c>
      <c r="N914">
        <v>8</v>
      </c>
      <c r="O914">
        <v>2022</v>
      </c>
      <c r="R914">
        <f>IF(wallet_records[[#This Row],[type]]="Gasto",wallet_records[[#This Row],[amount]]*(-1),wallet_records[[#This Row],[amount]])</f>
        <v>8875.09</v>
      </c>
    </row>
    <row r="915" spans="1:18" x14ac:dyDescent="0.2">
      <c r="A915" t="s">
        <v>524</v>
      </c>
      <c r="B915" t="s">
        <v>124</v>
      </c>
      <c r="C915" t="s">
        <v>115</v>
      </c>
      <c r="D915" s="291">
        <v>30812.94</v>
      </c>
      <c r="E915">
        <v>30812.94</v>
      </c>
      <c r="F915" t="s">
        <v>121</v>
      </c>
      <c r="G915" t="s">
        <v>117</v>
      </c>
      <c r="H915" t="s">
        <v>125</v>
      </c>
      <c r="I915" s="197">
        <v>44804.791666666664</v>
      </c>
      <c r="J915" t="b">
        <v>0</v>
      </c>
      <c r="K915" t="s">
        <v>127</v>
      </c>
      <c r="L915" t="s">
        <v>123</v>
      </c>
      <c r="M915">
        <v>31</v>
      </c>
      <c r="N915">
        <v>8</v>
      </c>
      <c r="O915">
        <v>2022</v>
      </c>
      <c r="R915">
        <f>IF(wallet_records[[#This Row],[type]]="Gasto",wallet_records[[#This Row],[amount]]*(-1),wallet_records[[#This Row],[amount]])</f>
        <v>30812.94</v>
      </c>
    </row>
    <row r="916" spans="1:18" x14ac:dyDescent="0.2">
      <c r="A916" t="s">
        <v>524</v>
      </c>
      <c r="B916" t="s">
        <v>124</v>
      </c>
      <c r="C916" t="s">
        <v>115</v>
      </c>
      <c r="D916" s="291">
        <v>20202.810000000001</v>
      </c>
      <c r="E916">
        <v>20202.810000000001</v>
      </c>
      <c r="F916" t="s">
        <v>121</v>
      </c>
      <c r="G916" t="s">
        <v>117</v>
      </c>
      <c r="H916" t="s">
        <v>125</v>
      </c>
      <c r="I916" s="197">
        <v>44773.791666666664</v>
      </c>
      <c r="J916" t="b">
        <v>0</v>
      </c>
      <c r="K916" t="s">
        <v>127</v>
      </c>
      <c r="L916" t="s">
        <v>123</v>
      </c>
      <c r="M916">
        <v>31</v>
      </c>
      <c r="N916">
        <v>7</v>
      </c>
      <c r="O916">
        <v>2022</v>
      </c>
      <c r="R916">
        <f>IF(wallet_records[[#This Row],[type]]="Gasto",wallet_records[[#This Row],[amount]]*(-1),wallet_records[[#This Row],[amount]])</f>
        <v>20202.810000000001</v>
      </c>
    </row>
    <row r="917" spans="1:18" x14ac:dyDescent="0.2">
      <c r="A917" t="s">
        <v>525</v>
      </c>
      <c r="B917" t="s">
        <v>124</v>
      </c>
      <c r="C917" t="s">
        <v>115</v>
      </c>
      <c r="D917" s="291">
        <v>5819.25</v>
      </c>
      <c r="E917">
        <v>5819.25</v>
      </c>
      <c r="F917" t="s">
        <v>121</v>
      </c>
      <c r="G917" t="s">
        <v>117</v>
      </c>
      <c r="H917" t="s">
        <v>125</v>
      </c>
      <c r="I917" s="197">
        <v>44773.791666666664</v>
      </c>
      <c r="J917" t="b">
        <v>0</v>
      </c>
      <c r="K917" t="s">
        <v>127</v>
      </c>
      <c r="L917" t="s">
        <v>123</v>
      </c>
      <c r="M917">
        <v>31</v>
      </c>
      <c r="N917">
        <v>7</v>
      </c>
      <c r="O917">
        <v>2022</v>
      </c>
      <c r="R917">
        <f>IF(wallet_records[[#This Row],[type]]="Gasto",wallet_records[[#This Row],[amount]]*(-1),wallet_records[[#This Row],[amount]])</f>
        <v>5819.25</v>
      </c>
    </row>
    <row r="918" spans="1:18" x14ac:dyDescent="0.2">
      <c r="A918" t="s">
        <v>525</v>
      </c>
      <c r="B918" t="s">
        <v>124</v>
      </c>
      <c r="C918" t="s">
        <v>115</v>
      </c>
      <c r="D918" s="291">
        <v>3527.59</v>
      </c>
      <c r="E918">
        <v>3527.59</v>
      </c>
      <c r="F918" t="s">
        <v>121</v>
      </c>
      <c r="G918" t="s">
        <v>117</v>
      </c>
      <c r="H918" t="s">
        <v>125</v>
      </c>
      <c r="I918" s="197">
        <v>44742.791666666664</v>
      </c>
      <c r="J918" t="b">
        <v>0</v>
      </c>
      <c r="K918" t="s">
        <v>127</v>
      </c>
      <c r="L918" t="s">
        <v>123</v>
      </c>
      <c r="M918">
        <v>30</v>
      </c>
      <c r="N918">
        <v>6</v>
      </c>
      <c r="O918">
        <v>2022</v>
      </c>
      <c r="R918">
        <f>IF(wallet_records[[#This Row],[type]]="Gasto",wallet_records[[#This Row],[amount]]*(-1),wallet_records[[#This Row],[amount]])</f>
        <v>3527.59</v>
      </c>
    </row>
    <row r="919" spans="1:18" x14ac:dyDescent="0.2">
      <c r="A919" t="s">
        <v>524</v>
      </c>
      <c r="B919" t="s">
        <v>124</v>
      </c>
      <c r="C919" t="s">
        <v>115</v>
      </c>
      <c r="D919" s="291">
        <v>12245.9</v>
      </c>
      <c r="E919">
        <v>12245.9</v>
      </c>
      <c r="F919" t="s">
        <v>121</v>
      </c>
      <c r="G919" t="s">
        <v>117</v>
      </c>
      <c r="H919" t="s">
        <v>125</v>
      </c>
      <c r="I919" s="197">
        <v>44742.791666666664</v>
      </c>
      <c r="J919" t="b">
        <v>0</v>
      </c>
      <c r="K919" t="s">
        <v>127</v>
      </c>
      <c r="L919" t="s">
        <v>123</v>
      </c>
      <c r="M919">
        <v>30</v>
      </c>
      <c r="N919">
        <v>6</v>
      </c>
      <c r="O919">
        <v>2022</v>
      </c>
      <c r="R919">
        <f>IF(wallet_records[[#This Row],[type]]="Gasto",wallet_records[[#This Row],[amount]]*(-1),wallet_records[[#This Row],[amount]])</f>
        <v>12245.9</v>
      </c>
    </row>
    <row r="920" spans="1:18" x14ac:dyDescent="0.2">
      <c r="A920" t="s">
        <v>525</v>
      </c>
      <c r="B920" t="s">
        <v>124</v>
      </c>
      <c r="C920" t="s">
        <v>115</v>
      </c>
      <c r="D920" s="291">
        <v>1955.52</v>
      </c>
      <c r="E920">
        <v>1955.52</v>
      </c>
      <c r="F920" t="s">
        <v>121</v>
      </c>
      <c r="G920" t="s">
        <v>117</v>
      </c>
      <c r="H920" t="s">
        <v>125</v>
      </c>
      <c r="I920" s="197">
        <v>44712.791666666664</v>
      </c>
      <c r="J920" t="b">
        <v>0</v>
      </c>
      <c r="K920" t="s">
        <v>127</v>
      </c>
      <c r="L920" t="s">
        <v>123</v>
      </c>
      <c r="M920">
        <v>31</v>
      </c>
      <c r="N920">
        <v>5</v>
      </c>
      <c r="O920">
        <v>2022</v>
      </c>
      <c r="R920">
        <f>IF(wallet_records[[#This Row],[type]]="Gasto",wallet_records[[#This Row],[amount]]*(-1),wallet_records[[#This Row],[amount]])</f>
        <v>1955.52</v>
      </c>
    </row>
    <row r="921" spans="1:18" x14ac:dyDescent="0.2">
      <c r="A921" t="s">
        <v>524</v>
      </c>
      <c r="B921" t="s">
        <v>124</v>
      </c>
      <c r="C921" t="s">
        <v>115</v>
      </c>
      <c r="D921" s="291">
        <v>6111</v>
      </c>
      <c r="E921">
        <v>6111</v>
      </c>
      <c r="F921" t="s">
        <v>121</v>
      </c>
      <c r="G921" t="s">
        <v>117</v>
      </c>
      <c r="H921" t="s">
        <v>125</v>
      </c>
      <c r="I921" s="197">
        <v>44712.791666666664</v>
      </c>
      <c r="J921" t="b">
        <v>0</v>
      </c>
      <c r="K921" t="s">
        <v>127</v>
      </c>
      <c r="L921" t="s">
        <v>123</v>
      </c>
      <c r="M921">
        <v>31</v>
      </c>
      <c r="N921">
        <v>5</v>
      </c>
      <c r="O921">
        <v>2022</v>
      </c>
      <c r="R921">
        <f>IF(wallet_records[[#This Row],[type]]="Gasto",wallet_records[[#This Row],[amount]]*(-1),wallet_records[[#This Row],[amount]])</f>
        <v>6111</v>
      </c>
    </row>
    <row r="922" spans="1:18" x14ac:dyDescent="0.2">
      <c r="A922" t="s">
        <v>127</v>
      </c>
      <c r="B922" t="s">
        <v>136</v>
      </c>
      <c r="C922" t="s">
        <v>115</v>
      </c>
      <c r="D922" s="291">
        <v>959121.33</v>
      </c>
      <c r="E922">
        <v>959121.33</v>
      </c>
      <c r="F922" t="s">
        <v>116</v>
      </c>
      <c r="G922" t="s">
        <v>117</v>
      </c>
      <c r="H922" t="s">
        <v>522</v>
      </c>
      <c r="I922" s="197">
        <v>44921.791666666664</v>
      </c>
      <c r="J922" t="b">
        <v>0</v>
      </c>
      <c r="K922" t="s">
        <v>123</v>
      </c>
      <c r="L922" t="s">
        <v>123</v>
      </c>
      <c r="M922">
        <v>26</v>
      </c>
      <c r="N922">
        <v>12</v>
      </c>
      <c r="O922">
        <v>2022</v>
      </c>
      <c r="R922">
        <f>IF(wallet_records[[#This Row],[type]]="Gasto",wallet_records[[#This Row],[amount]]*(-1),wallet_records[[#This Row],[amount]])</f>
        <v>-959121.33</v>
      </c>
    </row>
    <row r="923" spans="1:18" x14ac:dyDescent="0.2">
      <c r="A923" t="s">
        <v>524</v>
      </c>
      <c r="B923" t="s">
        <v>136</v>
      </c>
      <c r="C923" t="s">
        <v>115</v>
      </c>
      <c r="D923" s="291">
        <v>62541.94</v>
      </c>
      <c r="E923">
        <v>62541.94</v>
      </c>
      <c r="F923" t="s">
        <v>116</v>
      </c>
      <c r="G923" t="s">
        <v>117</v>
      </c>
      <c r="H923" t="s">
        <v>522</v>
      </c>
      <c r="I923" s="197">
        <v>44921.791666666664</v>
      </c>
      <c r="J923" t="b">
        <v>0</v>
      </c>
      <c r="K923" t="s">
        <v>123</v>
      </c>
      <c r="L923" t="s">
        <v>123</v>
      </c>
      <c r="M923">
        <v>26</v>
      </c>
      <c r="N923">
        <v>12</v>
      </c>
      <c r="O923">
        <v>2022</v>
      </c>
      <c r="R923">
        <f>IF(wallet_records[[#This Row],[type]]="Gasto",wallet_records[[#This Row],[amount]]*(-1),wallet_records[[#This Row],[amount]])</f>
        <v>-62541.94</v>
      </c>
    </row>
    <row r="924" spans="1:18" x14ac:dyDescent="0.2">
      <c r="A924" t="s">
        <v>119</v>
      </c>
      <c r="B924" t="s">
        <v>136</v>
      </c>
      <c r="C924" t="s">
        <v>115</v>
      </c>
      <c r="D924" s="291">
        <v>503052</v>
      </c>
      <c r="E924">
        <v>503052</v>
      </c>
      <c r="F924" t="s">
        <v>121</v>
      </c>
      <c r="G924" t="s">
        <v>117</v>
      </c>
      <c r="H924" t="s">
        <v>522</v>
      </c>
      <c r="I924" s="197">
        <v>44921.791666666664</v>
      </c>
      <c r="J924" t="b">
        <v>0</v>
      </c>
      <c r="K924" t="s">
        <v>123</v>
      </c>
      <c r="L924" t="s">
        <v>123</v>
      </c>
      <c r="M924">
        <v>26</v>
      </c>
      <c r="N924">
        <v>12</v>
      </c>
      <c r="O924">
        <v>2022</v>
      </c>
      <c r="R924">
        <f>IF(wallet_records[[#This Row],[type]]="Gasto",wallet_records[[#This Row],[amount]]*(-1),wallet_records[[#This Row],[amount]])</f>
        <v>503052</v>
      </c>
    </row>
    <row r="925" spans="1:18" x14ac:dyDescent="0.2">
      <c r="A925" t="s">
        <v>525</v>
      </c>
      <c r="B925" t="s">
        <v>136</v>
      </c>
      <c r="C925" t="s">
        <v>115</v>
      </c>
      <c r="D925" s="291">
        <v>822574.12</v>
      </c>
      <c r="E925">
        <v>822574.12</v>
      </c>
      <c r="F925" t="s">
        <v>121</v>
      </c>
      <c r="G925" t="s">
        <v>117</v>
      </c>
      <c r="H925" t="s">
        <v>522</v>
      </c>
      <c r="I925" s="197">
        <v>44921.791666666664</v>
      </c>
      <c r="J925" t="b">
        <v>0</v>
      </c>
      <c r="K925" t="s">
        <v>123</v>
      </c>
      <c r="L925" t="s">
        <v>123</v>
      </c>
      <c r="M925">
        <v>26</v>
      </c>
      <c r="N925">
        <v>12</v>
      </c>
      <c r="O925">
        <v>2022</v>
      </c>
      <c r="R925">
        <f>IF(wallet_records[[#This Row],[type]]="Gasto",wallet_records[[#This Row],[amount]]*(-1),wallet_records[[#This Row],[amount]])</f>
        <v>822574.12</v>
      </c>
    </row>
    <row r="926" spans="1:18" x14ac:dyDescent="0.2">
      <c r="A926" t="s">
        <v>127</v>
      </c>
      <c r="B926" t="s">
        <v>136</v>
      </c>
      <c r="C926" t="s">
        <v>115</v>
      </c>
      <c r="D926" s="291">
        <v>330205</v>
      </c>
      <c r="E926">
        <v>330205</v>
      </c>
      <c r="F926" t="s">
        <v>116</v>
      </c>
      <c r="G926" t="s">
        <v>117</v>
      </c>
      <c r="H926" t="s">
        <v>140</v>
      </c>
      <c r="I926" s="197">
        <v>44909.791666666664</v>
      </c>
      <c r="J926" t="b">
        <v>0</v>
      </c>
      <c r="K926" t="s">
        <v>0</v>
      </c>
      <c r="L926" t="s">
        <v>0</v>
      </c>
      <c r="M926">
        <v>14</v>
      </c>
      <c r="N926">
        <v>12</v>
      </c>
      <c r="O926">
        <v>2022</v>
      </c>
      <c r="R926">
        <f>IF(wallet_records[[#This Row],[type]]="Gasto",wallet_records[[#This Row],[amount]]*(-1),wallet_records[[#This Row],[amount]])</f>
        <v>-330205</v>
      </c>
    </row>
    <row r="927" spans="1:18" x14ac:dyDescent="0.2">
      <c r="A927" t="s">
        <v>127</v>
      </c>
      <c r="B927" t="s">
        <v>136</v>
      </c>
      <c r="C927" t="s">
        <v>115</v>
      </c>
      <c r="D927" s="291">
        <v>114000</v>
      </c>
      <c r="E927">
        <v>114000</v>
      </c>
      <c r="F927" t="s">
        <v>116</v>
      </c>
      <c r="G927" t="s">
        <v>117</v>
      </c>
      <c r="H927" t="s">
        <v>140</v>
      </c>
      <c r="I927" s="197">
        <v>44909.791666666664</v>
      </c>
      <c r="J927" t="b">
        <v>0</v>
      </c>
      <c r="K927" t="s">
        <v>1</v>
      </c>
      <c r="L927" t="s">
        <v>1</v>
      </c>
      <c r="M927">
        <v>14</v>
      </c>
      <c r="N927">
        <v>12</v>
      </c>
      <c r="O927">
        <v>2022</v>
      </c>
      <c r="R927">
        <f>IF(wallet_records[[#This Row],[type]]="Gasto",wallet_records[[#This Row],[amount]]*(-1),wallet_records[[#This Row],[amount]])</f>
        <v>-114000</v>
      </c>
    </row>
    <row r="928" spans="1:18" x14ac:dyDescent="0.2">
      <c r="A928" t="s">
        <v>127</v>
      </c>
      <c r="B928" t="s">
        <v>136</v>
      </c>
      <c r="C928" t="s">
        <v>115</v>
      </c>
      <c r="D928" s="291">
        <v>173200</v>
      </c>
      <c r="E928">
        <v>173200</v>
      </c>
      <c r="F928" t="s">
        <v>116</v>
      </c>
      <c r="G928" t="s">
        <v>117</v>
      </c>
      <c r="H928" t="s">
        <v>140</v>
      </c>
      <c r="I928" s="197">
        <v>44895.791666666664</v>
      </c>
      <c r="J928" t="b">
        <v>0</v>
      </c>
      <c r="K928" t="s">
        <v>77</v>
      </c>
      <c r="L928" t="s">
        <v>77</v>
      </c>
      <c r="M928">
        <v>30</v>
      </c>
      <c r="N928">
        <v>11</v>
      </c>
      <c r="O928">
        <v>2022</v>
      </c>
      <c r="R928">
        <f>IF(wallet_records[[#This Row],[type]]="Gasto",wallet_records[[#This Row],[amount]]*(-1),wallet_records[[#This Row],[amount]])</f>
        <v>-173200</v>
      </c>
    </row>
    <row r="929" spans="1:18" x14ac:dyDescent="0.2">
      <c r="A929" t="s">
        <v>525</v>
      </c>
      <c r="B929" t="s">
        <v>136</v>
      </c>
      <c r="C929" t="s">
        <v>115</v>
      </c>
      <c r="D929" s="291">
        <v>77332.87</v>
      </c>
      <c r="E929">
        <v>77332.87</v>
      </c>
      <c r="F929" t="s">
        <v>121</v>
      </c>
      <c r="G929" t="s">
        <v>117</v>
      </c>
      <c r="H929" t="s">
        <v>522</v>
      </c>
      <c r="I929" s="197">
        <v>44891.791666666664</v>
      </c>
      <c r="J929" t="b">
        <v>0</v>
      </c>
      <c r="K929" t="s">
        <v>123</v>
      </c>
      <c r="L929" t="s">
        <v>123</v>
      </c>
      <c r="M929">
        <v>26</v>
      </c>
      <c r="N929">
        <v>11</v>
      </c>
      <c r="O929">
        <v>2022</v>
      </c>
      <c r="R929">
        <f>IF(wallet_records[[#This Row],[type]]="Gasto",wallet_records[[#This Row],[amount]]*(-1),wallet_records[[#This Row],[amount]])</f>
        <v>77332.87</v>
      </c>
    </row>
    <row r="930" spans="1:18" x14ac:dyDescent="0.2">
      <c r="A930" t="s">
        <v>119</v>
      </c>
      <c r="B930" t="s">
        <v>136</v>
      </c>
      <c r="C930" t="s">
        <v>115</v>
      </c>
      <c r="D930" s="291">
        <v>500000</v>
      </c>
      <c r="E930">
        <v>500000</v>
      </c>
      <c r="F930" t="s">
        <v>121</v>
      </c>
      <c r="G930" t="s">
        <v>117</v>
      </c>
      <c r="H930" t="s">
        <v>522</v>
      </c>
      <c r="I930" s="197">
        <v>44891.791666666664</v>
      </c>
      <c r="J930" t="b">
        <v>0</v>
      </c>
      <c r="K930" t="s">
        <v>123</v>
      </c>
      <c r="L930" t="s">
        <v>123</v>
      </c>
      <c r="M930">
        <v>26</v>
      </c>
      <c r="N930">
        <v>11</v>
      </c>
      <c r="O930">
        <v>2022</v>
      </c>
      <c r="R930">
        <f>IF(wallet_records[[#This Row],[type]]="Gasto",wallet_records[[#This Row],[amount]]*(-1),wallet_records[[#This Row],[amount]])</f>
        <v>500000</v>
      </c>
    </row>
    <row r="931" spans="1:18" x14ac:dyDescent="0.2">
      <c r="A931" t="s">
        <v>127</v>
      </c>
      <c r="B931" t="s">
        <v>136</v>
      </c>
      <c r="C931" t="s">
        <v>115</v>
      </c>
      <c r="D931" s="291">
        <v>946067.87</v>
      </c>
      <c r="E931">
        <v>946067.87</v>
      </c>
      <c r="F931" t="s">
        <v>116</v>
      </c>
      <c r="G931" t="s">
        <v>117</v>
      </c>
      <c r="H931" t="s">
        <v>522</v>
      </c>
      <c r="I931" s="197">
        <v>44891.791666666664</v>
      </c>
      <c r="J931" t="b">
        <v>0</v>
      </c>
      <c r="K931" t="s">
        <v>123</v>
      </c>
      <c r="L931" t="s">
        <v>123</v>
      </c>
      <c r="M931">
        <v>26</v>
      </c>
      <c r="N931">
        <v>11</v>
      </c>
      <c r="O931">
        <v>2022</v>
      </c>
      <c r="R931">
        <f>IF(wallet_records[[#This Row],[type]]="Gasto",wallet_records[[#This Row],[amount]]*(-1),wallet_records[[#This Row],[amount]])</f>
        <v>-946067.87</v>
      </c>
    </row>
    <row r="932" spans="1:18" x14ac:dyDescent="0.2">
      <c r="A932" t="s">
        <v>524</v>
      </c>
      <c r="B932" t="s">
        <v>136</v>
      </c>
      <c r="C932" t="s">
        <v>115</v>
      </c>
      <c r="D932" s="291">
        <v>16957.25</v>
      </c>
      <c r="E932">
        <v>16957.25</v>
      </c>
      <c r="F932" t="s">
        <v>116</v>
      </c>
      <c r="G932" t="s">
        <v>117</v>
      </c>
      <c r="H932" t="s">
        <v>522</v>
      </c>
      <c r="I932" s="197">
        <v>44891.791666666664</v>
      </c>
      <c r="J932" t="b">
        <v>0</v>
      </c>
      <c r="K932" t="s">
        <v>123</v>
      </c>
      <c r="L932" t="s">
        <v>123</v>
      </c>
      <c r="M932">
        <v>26</v>
      </c>
      <c r="N932">
        <v>11</v>
      </c>
      <c r="O932">
        <v>2022</v>
      </c>
      <c r="R932">
        <f>IF(wallet_records[[#This Row],[type]]="Gasto",wallet_records[[#This Row],[amount]]*(-1),wallet_records[[#This Row],[amount]])</f>
        <v>-16957.25</v>
      </c>
    </row>
    <row r="933" spans="1:18" x14ac:dyDescent="0.2">
      <c r="A933" t="s">
        <v>127</v>
      </c>
      <c r="B933" t="s">
        <v>136</v>
      </c>
      <c r="C933" t="s">
        <v>115</v>
      </c>
      <c r="D933" s="291">
        <v>114000</v>
      </c>
      <c r="E933">
        <v>114000</v>
      </c>
      <c r="F933" t="s">
        <v>116</v>
      </c>
      <c r="G933" t="s">
        <v>117</v>
      </c>
      <c r="H933" t="s">
        <v>140</v>
      </c>
      <c r="I933" s="197">
        <v>44881.791666666664</v>
      </c>
      <c r="J933" t="b">
        <v>0</v>
      </c>
      <c r="K933" t="s">
        <v>1</v>
      </c>
      <c r="L933" t="s">
        <v>1</v>
      </c>
      <c r="M933">
        <v>16</v>
      </c>
      <c r="N933">
        <v>11</v>
      </c>
      <c r="O933">
        <v>2022</v>
      </c>
      <c r="R933">
        <f>IF(wallet_records[[#This Row],[type]]="Gasto",wallet_records[[#This Row],[amount]]*(-1),wallet_records[[#This Row],[amount]])</f>
        <v>-114000</v>
      </c>
    </row>
    <row r="934" spans="1:18" x14ac:dyDescent="0.2">
      <c r="A934" t="s">
        <v>127</v>
      </c>
      <c r="B934" t="s">
        <v>136</v>
      </c>
      <c r="C934" t="s">
        <v>115</v>
      </c>
      <c r="D934" s="291">
        <v>330205</v>
      </c>
      <c r="E934">
        <v>330205</v>
      </c>
      <c r="F934" t="s">
        <v>116</v>
      </c>
      <c r="G934" t="s">
        <v>117</v>
      </c>
      <c r="H934" t="s">
        <v>140</v>
      </c>
      <c r="I934" s="197">
        <v>44881.791666666664</v>
      </c>
      <c r="J934" t="b">
        <v>0</v>
      </c>
      <c r="K934" t="s">
        <v>0</v>
      </c>
      <c r="L934" t="s">
        <v>0</v>
      </c>
      <c r="M934">
        <v>16</v>
      </c>
      <c r="N934">
        <v>11</v>
      </c>
      <c r="O934">
        <v>2022</v>
      </c>
      <c r="R934">
        <f>IF(wallet_records[[#This Row],[type]]="Gasto",wallet_records[[#This Row],[amount]]*(-1),wallet_records[[#This Row],[amount]])</f>
        <v>-330205</v>
      </c>
    </row>
    <row r="935" spans="1:18" x14ac:dyDescent="0.2">
      <c r="A935" t="s">
        <v>127</v>
      </c>
      <c r="B935" t="s">
        <v>136</v>
      </c>
      <c r="C935" t="s">
        <v>115</v>
      </c>
      <c r="D935" s="291">
        <v>173200</v>
      </c>
      <c r="E935">
        <v>173200</v>
      </c>
      <c r="F935" t="s">
        <v>116</v>
      </c>
      <c r="G935" t="s">
        <v>117</v>
      </c>
      <c r="H935" t="s">
        <v>140</v>
      </c>
      <c r="I935" s="197">
        <v>44865.791666666664</v>
      </c>
      <c r="J935" t="b">
        <v>0</v>
      </c>
      <c r="K935" t="s">
        <v>77</v>
      </c>
      <c r="L935" t="s">
        <v>77</v>
      </c>
      <c r="M935">
        <v>31</v>
      </c>
      <c r="N935">
        <v>10</v>
      </c>
      <c r="O935">
        <v>2022</v>
      </c>
      <c r="R935">
        <f>IF(wallet_records[[#This Row],[type]]="Gasto",wallet_records[[#This Row],[amount]]*(-1),wallet_records[[#This Row],[amount]])</f>
        <v>-173200</v>
      </c>
    </row>
    <row r="936" spans="1:18" x14ac:dyDescent="0.2">
      <c r="A936" t="s">
        <v>525</v>
      </c>
      <c r="B936" t="s">
        <v>136</v>
      </c>
      <c r="C936" t="s">
        <v>115</v>
      </c>
      <c r="D936" s="291">
        <v>4125548.95</v>
      </c>
      <c r="E936">
        <v>4125548.95</v>
      </c>
      <c r="F936" t="s">
        <v>121</v>
      </c>
      <c r="G936" t="s">
        <v>117</v>
      </c>
      <c r="H936" t="s">
        <v>522</v>
      </c>
      <c r="I936" s="197">
        <v>44861.791666666664</v>
      </c>
      <c r="J936" t="b">
        <v>0</v>
      </c>
      <c r="K936" t="s">
        <v>123</v>
      </c>
      <c r="L936" t="s">
        <v>123</v>
      </c>
      <c r="M936">
        <v>27</v>
      </c>
      <c r="N936">
        <v>10</v>
      </c>
      <c r="O936">
        <v>2022</v>
      </c>
      <c r="R936">
        <f>IF(wallet_records[[#This Row],[type]]="Gasto",wallet_records[[#This Row],[amount]]*(-1),wallet_records[[#This Row],[amount]])</f>
        <v>4125548.95</v>
      </c>
    </row>
    <row r="937" spans="1:18" x14ac:dyDescent="0.2">
      <c r="A937" t="s">
        <v>127</v>
      </c>
      <c r="B937" t="s">
        <v>136</v>
      </c>
      <c r="C937" t="s">
        <v>115</v>
      </c>
      <c r="D937" s="291">
        <v>1374002.95</v>
      </c>
      <c r="E937">
        <v>1374002.95</v>
      </c>
      <c r="F937" t="s">
        <v>116</v>
      </c>
      <c r="G937" t="s">
        <v>117</v>
      </c>
      <c r="H937" t="s">
        <v>522</v>
      </c>
      <c r="I937" s="197">
        <v>44861.791666666664</v>
      </c>
      <c r="J937" t="b">
        <v>0</v>
      </c>
      <c r="K937" t="s">
        <v>123</v>
      </c>
      <c r="L937" t="s">
        <v>123</v>
      </c>
      <c r="M937">
        <v>27</v>
      </c>
      <c r="N937">
        <v>10</v>
      </c>
      <c r="O937">
        <v>2022</v>
      </c>
      <c r="R937">
        <f>IF(wallet_records[[#This Row],[type]]="Gasto",wallet_records[[#This Row],[amount]]*(-1),wallet_records[[#This Row],[amount]])</f>
        <v>-1374002.95</v>
      </c>
    </row>
    <row r="938" spans="1:18" x14ac:dyDescent="0.2">
      <c r="A938" t="s">
        <v>524</v>
      </c>
      <c r="B938" t="s">
        <v>136</v>
      </c>
      <c r="C938" t="s">
        <v>115</v>
      </c>
      <c r="D938" s="291">
        <v>174895.8</v>
      </c>
      <c r="E938">
        <v>174895.8</v>
      </c>
      <c r="F938" t="s">
        <v>121</v>
      </c>
      <c r="G938" t="s">
        <v>117</v>
      </c>
      <c r="H938" t="s">
        <v>522</v>
      </c>
      <c r="I938" s="197">
        <v>44861.791666666664</v>
      </c>
      <c r="J938" t="b">
        <v>0</v>
      </c>
      <c r="K938" t="s">
        <v>123</v>
      </c>
      <c r="L938" t="s">
        <v>123</v>
      </c>
      <c r="M938">
        <v>27</v>
      </c>
      <c r="N938">
        <v>10</v>
      </c>
      <c r="O938">
        <v>2022</v>
      </c>
      <c r="R938">
        <f>IF(wallet_records[[#This Row],[type]]="Gasto",wallet_records[[#This Row],[amount]]*(-1),wallet_records[[#This Row],[amount]])</f>
        <v>174895.8</v>
      </c>
    </row>
    <row r="939" spans="1:18" x14ac:dyDescent="0.2">
      <c r="A939" t="s">
        <v>127</v>
      </c>
      <c r="B939" t="s">
        <v>136</v>
      </c>
      <c r="C939" t="s">
        <v>115</v>
      </c>
      <c r="D939" s="291">
        <v>114000</v>
      </c>
      <c r="E939">
        <v>114000</v>
      </c>
      <c r="F939" t="s">
        <v>116</v>
      </c>
      <c r="G939" t="s">
        <v>117</v>
      </c>
      <c r="H939" t="s">
        <v>140</v>
      </c>
      <c r="I939" s="197">
        <v>44851.791666666664</v>
      </c>
      <c r="J939" t="b">
        <v>0</v>
      </c>
      <c r="K939" t="s">
        <v>1</v>
      </c>
      <c r="L939" t="s">
        <v>1</v>
      </c>
      <c r="M939">
        <v>17</v>
      </c>
      <c r="N939">
        <v>10</v>
      </c>
      <c r="O939">
        <v>2022</v>
      </c>
      <c r="R939">
        <f>IF(wallet_records[[#This Row],[type]]="Gasto",wallet_records[[#This Row],[amount]]*(-1),wallet_records[[#This Row],[amount]])</f>
        <v>-114000</v>
      </c>
    </row>
    <row r="940" spans="1:18" x14ac:dyDescent="0.2">
      <c r="A940" t="s">
        <v>127</v>
      </c>
      <c r="B940" t="s">
        <v>136</v>
      </c>
      <c r="C940" t="s">
        <v>115</v>
      </c>
      <c r="D940" s="291">
        <v>330205</v>
      </c>
      <c r="E940">
        <v>330205</v>
      </c>
      <c r="F940" t="s">
        <v>116</v>
      </c>
      <c r="G940" t="s">
        <v>117</v>
      </c>
      <c r="H940" t="s">
        <v>140</v>
      </c>
      <c r="I940" s="197">
        <v>44851.791666666664</v>
      </c>
      <c r="J940" t="b">
        <v>0</v>
      </c>
      <c r="K940" t="s">
        <v>0</v>
      </c>
      <c r="L940" t="s">
        <v>0</v>
      </c>
      <c r="M940">
        <v>17</v>
      </c>
      <c r="N940">
        <v>10</v>
      </c>
      <c r="O940">
        <v>2022</v>
      </c>
      <c r="R940">
        <f>IF(wallet_records[[#This Row],[type]]="Gasto",wallet_records[[#This Row],[amount]]*(-1),wallet_records[[#This Row],[amount]])</f>
        <v>-330205</v>
      </c>
    </row>
    <row r="941" spans="1:18" x14ac:dyDescent="0.2">
      <c r="A941" t="s">
        <v>127</v>
      </c>
      <c r="B941" t="s">
        <v>136</v>
      </c>
      <c r="C941" t="s">
        <v>115</v>
      </c>
      <c r="D941" s="291">
        <v>173200</v>
      </c>
      <c r="E941">
        <v>173200</v>
      </c>
      <c r="F941" t="s">
        <v>116</v>
      </c>
      <c r="G941" t="s">
        <v>117</v>
      </c>
      <c r="H941" t="s">
        <v>140</v>
      </c>
      <c r="I941" s="197">
        <v>44837.791666666664</v>
      </c>
      <c r="J941" t="b">
        <v>0</v>
      </c>
      <c r="K941" t="s">
        <v>77</v>
      </c>
      <c r="L941" t="s">
        <v>77</v>
      </c>
      <c r="M941">
        <v>3</v>
      </c>
      <c r="N941">
        <v>10</v>
      </c>
      <c r="O941">
        <v>2022</v>
      </c>
      <c r="R941">
        <f>IF(wallet_records[[#This Row],[type]]="Gasto",wallet_records[[#This Row],[amount]]*(-1),wallet_records[[#This Row],[amount]])</f>
        <v>-173200</v>
      </c>
    </row>
    <row r="942" spans="1:18" x14ac:dyDescent="0.2">
      <c r="A942" t="s">
        <v>525</v>
      </c>
      <c r="B942" t="s">
        <v>136</v>
      </c>
      <c r="C942" t="s">
        <v>115</v>
      </c>
      <c r="D942" s="291">
        <v>5496722.8300000001</v>
      </c>
      <c r="E942">
        <v>5496722.8300000001</v>
      </c>
      <c r="F942" t="s">
        <v>121</v>
      </c>
      <c r="G942" t="s">
        <v>117</v>
      </c>
      <c r="H942" t="s">
        <v>522</v>
      </c>
      <c r="I942" s="197">
        <v>44831.791666666664</v>
      </c>
      <c r="J942" t="b">
        <v>0</v>
      </c>
      <c r="K942" t="s">
        <v>123</v>
      </c>
      <c r="L942" t="s">
        <v>123</v>
      </c>
      <c r="M942">
        <v>27</v>
      </c>
      <c r="N942">
        <v>9</v>
      </c>
      <c r="O942">
        <v>2022</v>
      </c>
      <c r="R942">
        <f>IF(wallet_records[[#This Row],[type]]="Gasto",wallet_records[[#This Row],[amount]]*(-1),wallet_records[[#This Row],[amount]])</f>
        <v>5496722.8300000001</v>
      </c>
    </row>
    <row r="943" spans="1:18" x14ac:dyDescent="0.2">
      <c r="A943" t="s">
        <v>127</v>
      </c>
      <c r="B943" t="s">
        <v>136</v>
      </c>
      <c r="C943" t="s">
        <v>115</v>
      </c>
      <c r="D943" s="291">
        <v>2747560.99</v>
      </c>
      <c r="E943">
        <v>2747560.99</v>
      </c>
      <c r="F943" t="s">
        <v>116</v>
      </c>
      <c r="G943" t="s">
        <v>117</v>
      </c>
      <c r="H943" t="s">
        <v>522</v>
      </c>
      <c r="I943" s="197">
        <v>44831.791666666664</v>
      </c>
      <c r="J943" t="b">
        <v>0</v>
      </c>
      <c r="K943" t="s">
        <v>123</v>
      </c>
      <c r="L943" t="s">
        <v>123</v>
      </c>
      <c r="M943">
        <v>27</v>
      </c>
      <c r="N943">
        <v>9</v>
      </c>
      <c r="O943">
        <v>2022</v>
      </c>
      <c r="R943">
        <f>IF(wallet_records[[#This Row],[type]]="Gasto",wallet_records[[#This Row],[amount]]*(-1),wallet_records[[#This Row],[amount]])</f>
        <v>-2747560.99</v>
      </c>
    </row>
    <row r="944" spans="1:18" x14ac:dyDescent="0.2">
      <c r="A944" t="s">
        <v>524</v>
      </c>
      <c r="B944" t="s">
        <v>136</v>
      </c>
      <c r="C944" t="s">
        <v>115</v>
      </c>
      <c r="D944" s="291">
        <v>11378.35</v>
      </c>
      <c r="E944">
        <v>11378.35</v>
      </c>
      <c r="F944" t="s">
        <v>116</v>
      </c>
      <c r="G944" t="s">
        <v>117</v>
      </c>
      <c r="H944" t="s">
        <v>522</v>
      </c>
      <c r="I944" s="197">
        <v>44831.791666666664</v>
      </c>
      <c r="J944" t="b">
        <v>0</v>
      </c>
      <c r="K944" t="s">
        <v>123</v>
      </c>
      <c r="L944" t="s">
        <v>123</v>
      </c>
      <c r="M944">
        <v>27</v>
      </c>
      <c r="N944">
        <v>9</v>
      </c>
      <c r="O944">
        <v>2022</v>
      </c>
      <c r="R944">
        <f>IF(wallet_records[[#This Row],[type]]="Gasto",wallet_records[[#This Row],[amount]]*(-1),wallet_records[[#This Row],[amount]])</f>
        <v>-11378.35</v>
      </c>
    </row>
    <row r="945" spans="1:18" x14ac:dyDescent="0.2">
      <c r="A945" t="s">
        <v>127</v>
      </c>
      <c r="B945" t="s">
        <v>136</v>
      </c>
      <c r="C945" t="s">
        <v>115</v>
      </c>
      <c r="D945" s="291">
        <v>114000</v>
      </c>
      <c r="E945">
        <v>114000</v>
      </c>
      <c r="F945" t="s">
        <v>116</v>
      </c>
      <c r="G945" t="s">
        <v>117</v>
      </c>
      <c r="H945" t="s">
        <v>140</v>
      </c>
      <c r="I945" s="197">
        <v>44822.791666666664</v>
      </c>
      <c r="J945" t="b">
        <v>0</v>
      </c>
      <c r="K945" t="s">
        <v>1</v>
      </c>
      <c r="L945" t="s">
        <v>1</v>
      </c>
      <c r="M945">
        <v>18</v>
      </c>
      <c r="N945">
        <v>9</v>
      </c>
      <c r="O945">
        <v>2022</v>
      </c>
      <c r="R945">
        <f>IF(wallet_records[[#This Row],[type]]="Gasto",wallet_records[[#This Row],[amount]]*(-1),wallet_records[[#This Row],[amount]])</f>
        <v>-114000</v>
      </c>
    </row>
    <row r="946" spans="1:18" x14ac:dyDescent="0.2">
      <c r="A946" t="s">
        <v>127</v>
      </c>
      <c r="B946" t="s">
        <v>136</v>
      </c>
      <c r="C946" t="s">
        <v>115</v>
      </c>
      <c r="D946" s="291">
        <v>330202</v>
      </c>
      <c r="E946">
        <v>330202</v>
      </c>
      <c r="F946" t="s">
        <v>116</v>
      </c>
      <c r="G946" t="s">
        <v>117</v>
      </c>
      <c r="H946" t="s">
        <v>140</v>
      </c>
      <c r="I946" s="197">
        <v>44822.791666666664</v>
      </c>
      <c r="J946" t="b">
        <v>0</v>
      </c>
      <c r="K946" t="s">
        <v>0</v>
      </c>
      <c r="L946" t="s">
        <v>0</v>
      </c>
      <c r="M946">
        <v>18</v>
      </c>
      <c r="N946">
        <v>9</v>
      </c>
      <c r="O946">
        <v>2022</v>
      </c>
      <c r="R946">
        <f>IF(wallet_records[[#This Row],[type]]="Gasto",wallet_records[[#This Row],[amount]]*(-1),wallet_records[[#This Row],[amount]])</f>
        <v>-330202</v>
      </c>
    </row>
    <row r="947" spans="1:18" x14ac:dyDescent="0.2">
      <c r="A947" t="s">
        <v>127</v>
      </c>
      <c r="B947" t="s">
        <v>136</v>
      </c>
      <c r="C947" t="s">
        <v>115</v>
      </c>
      <c r="D947" s="291">
        <v>173200</v>
      </c>
      <c r="E947">
        <v>173200</v>
      </c>
      <c r="F947" t="s">
        <v>116</v>
      </c>
      <c r="G947" t="s">
        <v>117</v>
      </c>
      <c r="H947" t="s">
        <v>140</v>
      </c>
      <c r="I947" s="197">
        <v>44803.791666666664</v>
      </c>
      <c r="J947" t="b">
        <v>0</v>
      </c>
      <c r="K947" t="s">
        <v>77</v>
      </c>
      <c r="L947" t="s">
        <v>77</v>
      </c>
      <c r="M947">
        <v>30</v>
      </c>
      <c r="N947">
        <v>8</v>
      </c>
      <c r="O947">
        <v>2022</v>
      </c>
      <c r="R947">
        <f>IF(wallet_records[[#This Row],[type]]="Gasto",wallet_records[[#This Row],[amount]]*(-1),wallet_records[[#This Row],[amount]])</f>
        <v>-173200</v>
      </c>
    </row>
    <row r="948" spans="1:18" x14ac:dyDescent="0.2">
      <c r="A948" t="s">
        <v>524</v>
      </c>
      <c r="B948" t="s">
        <v>136</v>
      </c>
      <c r="C948" t="s">
        <v>115</v>
      </c>
      <c r="D948" s="291">
        <v>172876.06</v>
      </c>
      <c r="E948">
        <v>172876.06</v>
      </c>
      <c r="F948" t="s">
        <v>121</v>
      </c>
      <c r="G948" t="s">
        <v>117</v>
      </c>
      <c r="H948" t="s">
        <v>522</v>
      </c>
      <c r="I948" s="197">
        <v>44802.791666666664</v>
      </c>
      <c r="J948" t="b">
        <v>0</v>
      </c>
      <c r="K948" t="s">
        <v>123</v>
      </c>
      <c r="L948" t="s">
        <v>123</v>
      </c>
      <c r="M948">
        <v>29</v>
      </c>
      <c r="N948">
        <v>8</v>
      </c>
      <c r="O948">
        <v>2022</v>
      </c>
      <c r="R948">
        <f>IF(wallet_records[[#This Row],[type]]="Gasto",wallet_records[[#This Row],[amount]]*(-1),wallet_records[[#This Row],[amount]])</f>
        <v>172876.06</v>
      </c>
    </row>
    <row r="949" spans="1:18" x14ac:dyDescent="0.2">
      <c r="A949" t="s">
        <v>525</v>
      </c>
      <c r="B949" t="s">
        <v>136</v>
      </c>
      <c r="C949" t="s">
        <v>115</v>
      </c>
      <c r="D949" s="291">
        <v>9616943.9100000001</v>
      </c>
      <c r="E949">
        <v>9616943.9100000001</v>
      </c>
      <c r="F949" t="s">
        <v>121</v>
      </c>
      <c r="G949" t="s">
        <v>117</v>
      </c>
      <c r="H949" t="s">
        <v>522</v>
      </c>
      <c r="I949" s="197">
        <v>44802.791666666664</v>
      </c>
      <c r="J949" t="b">
        <v>0</v>
      </c>
      <c r="K949" t="s">
        <v>123</v>
      </c>
      <c r="L949" t="s">
        <v>123</v>
      </c>
      <c r="M949">
        <v>29</v>
      </c>
      <c r="N949">
        <v>8</v>
      </c>
      <c r="O949">
        <v>2022</v>
      </c>
      <c r="R949">
        <f>IF(wallet_records[[#This Row],[type]]="Gasto",wallet_records[[#This Row],[amount]]*(-1),wallet_records[[#This Row],[amount]])</f>
        <v>9616943.9100000001</v>
      </c>
    </row>
    <row r="950" spans="1:18" x14ac:dyDescent="0.2">
      <c r="A950" t="s">
        <v>127</v>
      </c>
      <c r="B950" t="s">
        <v>136</v>
      </c>
      <c r="C950" t="s">
        <v>115</v>
      </c>
      <c r="D950" s="291">
        <v>1703286.01</v>
      </c>
      <c r="E950">
        <v>1703286.01</v>
      </c>
      <c r="F950" t="s">
        <v>116</v>
      </c>
      <c r="G950" t="s">
        <v>117</v>
      </c>
      <c r="H950" t="s">
        <v>522</v>
      </c>
      <c r="I950" s="197">
        <v>44802.791666666664</v>
      </c>
      <c r="J950" t="b">
        <v>0</v>
      </c>
      <c r="K950" t="s">
        <v>123</v>
      </c>
      <c r="L950" t="s">
        <v>123</v>
      </c>
      <c r="M950">
        <v>29</v>
      </c>
      <c r="N950">
        <v>8</v>
      </c>
      <c r="O950">
        <v>2022</v>
      </c>
      <c r="R950">
        <f>IF(wallet_records[[#This Row],[type]]="Gasto",wallet_records[[#This Row],[amount]]*(-1),wallet_records[[#This Row],[amount]])</f>
        <v>-1703286.01</v>
      </c>
    </row>
    <row r="951" spans="1:18" x14ac:dyDescent="0.2">
      <c r="A951" t="s">
        <v>127</v>
      </c>
      <c r="B951" t="s">
        <v>136</v>
      </c>
      <c r="C951" t="s">
        <v>115</v>
      </c>
      <c r="D951" s="291">
        <v>114000</v>
      </c>
      <c r="E951">
        <v>114000</v>
      </c>
      <c r="F951" t="s">
        <v>116</v>
      </c>
      <c r="G951" t="s">
        <v>117</v>
      </c>
      <c r="H951" t="s">
        <v>140</v>
      </c>
      <c r="I951" s="197">
        <v>44784.791666666664</v>
      </c>
      <c r="J951" t="b">
        <v>0</v>
      </c>
      <c r="K951" t="s">
        <v>1</v>
      </c>
      <c r="L951" t="s">
        <v>1</v>
      </c>
      <c r="M951">
        <v>11</v>
      </c>
      <c r="N951">
        <v>8</v>
      </c>
      <c r="O951">
        <v>2022</v>
      </c>
      <c r="R951">
        <f>IF(wallet_records[[#This Row],[type]]="Gasto",wallet_records[[#This Row],[amount]]*(-1),wallet_records[[#This Row],[amount]])</f>
        <v>-114000</v>
      </c>
    </row>
    <row r="952" spans="1:18" x14ac:dyDescent="0.2">
      <c r="A952" t="s">
        <v>127</v>
      </c>
      <c r="B952" t="s">
        <v>136</v>
      </c>
      <c r="C952" t="s">
        <v>115</v>
      </c>
      <c r="D952" s="291">
        <v>1373269</v>
      </c>
      <c r="E952">
        <v>1373269</v>
      </c>
      <c r="F952" t="s">
        <v>116</v>
      </c>
      <c r="G952" t="s">
        <v>117</v>
      </c>
      <c r="H952" t="s">
        <v>140</v>
      </c>
      <c r="I952" s="197">
        <v>44774.791666666664</v>
      </c>
      <c r="J952" t="b">
        <v>0</v>
      </c>
      <c r="K952" t="s">
        <v>0</v>
      </c>
      <c r="L952" t="s">
        <v>0</v>
      </c>
      <c r="M952">
        <v>1</v>
      </c>
      <c r="N952">
        <v>8</v>
      </c>
      <c r="O952">
        <v>2022</v>
      </c>
      <c r="R952">
        <f>IF(wallet_records[[#This Row],[type]]="Gasto",wallet_records[[#This Row],[amount]]*(-1),wallet_records[[#This Row],[amount]])</f>
        <v>-1373269</v>
      </c>
    </row>
    <row r="953" spans="1:18" x14ac:dyDescent="0.2">
      <c r="A953" t="s">
        <v>127</v>
      </c>
      <c r="B953" t="s">
        <v>136</v>
      </c>
      <c r="C953" t="s">
        <v>115</v>
      </c>
      <c r="D953" s="291">
        <v>173200</v>
      </c>
      <c r="E953">
        <v>173200</v>
      </c>
      <c r="F953" t="s">
        <v>116</v>
      </c>
      <c r="G953" t="s">
        <v>117</v>
      </c>
      <c r="H953" t="s">
        <v>140</v>
      </c>
      <c r="I953" s="197">
        <v>44773.791666666664</v>
      </c>
      <c r="J953" t="b">
        <v>0</v>
      </c>
      <c r="K953" t="s">
        <v>77</v>
      </c>
      <c r="L953" t="s">
        <v>77</v>
      </c>
      <c r="M953">
        <v>31</v>
      </c>
      <c r="N953">
        <v>7</v>
      </c>
      <c r="O953">
        <v>2022</v>
      </c>
      <c r="R953">
        <f>IF(wallet_records[[#This Row],[type]]="Gasto",wallet_records[[#This Row],[amount]]*(-1),wallet_records[[#This Row],[amount]])</f>
        <v>-173200</v>
      </c>
    </row>
    <row r="954" spans="1:18" x14ac:dyDescent="0.2">
      <c r="A954" t="s">
        <v>524</v>
      </c>
      <c r="B954" t="s">
        <v>136</v>
      </c>
      <c r="C954" t="s">
        <v>115</v>
      </c>
      <c r="D954" s="291">
        <v>7956.81</v>
      </c>
      <c r="E954">
        <v>7956.81</v>
      </c>
      <c r="F954" t="s">
        <v>116</v>
      </c>
      <c r="G954" t="s">
        <v>117</v>
      </c>
      <c r="H954" t="s">
        <v>522</v>
      </c>
      <c r="I954" s="197">
        <v>44772.791666666664</v>
      </c>
      <c r="J954" t="b">
        <v>0</v>
      </c>
      <c r="K954" t="s">
        <v>123</v>
      </c>
      <c r="L954" t="s">
        <v>123</v>
      </c>
      <c r="M954">
        <v>30</v>
      </c>
      <c r="N954">
        <v>7</v>
      </c>
      <c r="O954">
        <v>2022</v>
      </c>
      <c r="R954">
        <f>IF(wallet_records[[#This Row],[type]]="Gasto",wallet_records[[#This Row],[amount]]*(-1),wallet_records[[#This Row],[amount]])</f>
        <v>-7956.81</v>
      </c>
    </row>
    <row r="955" spans="1:18" x14ac:dyDescent="0.2">
      <c r="A955" t="s">
        <v>127</v>
      </c>
      <c r="B955" t="s">
        <v>136</v>
      </c>
      <c r="C955" t="s">
        <v>115</v>
      </c>
      <c r="D955" s="291">
        <v>191808.43</v>
      </c>
      <c r="E955">
        <v>191808.43</v>
      </c>
      <c r="F955" t="s">
        <v>116</v>
      </c>
      <c r="G955" t="s">
        <v>117</v>
      </c>
      <c r="H955" t="s">
        <v>522</v>
      </c>
      <c r="I955" s="197">
        <v>44772.791666666664</v>
      </c>
      <c r="J955" t="b">
        <v>0</v>
      </c>
      <c r="K955" t="s">
        <v>123</v>
      </c>
      <c r="L955" t="s">
        <v>123</v>
      </c>
      <c r="M955">
        <v>30</v>
      </c>
      <c r="N955">
        <v>7</v>
      </c>
      <c r="O955">
        <v>2022</v>
      </c>
      <c r="R955">
        <f>IF(wallet_records[[#This Row],[type]]="Gasto",wallet_records[[#This Row],[amount]]*(-1),wallet_records[[#This Row],[amount]])</f>
        <v>-191808.43</v>
      </c>
    </row>
    <row r="956" spans="1:18" x14ac:dyDescent="0.2">
      <c r="A956" t="s">
        <v>525</v>
      </c>
      <c r="B956" t="s">
        <v>136</v>
      </c>
      <c r="C956" t="s">
        <v>115</v>
      </c>
      <c r="D956" s="291">
        <v>2071815.75</v>
      </c>
      <c r="E956">
        <v>2071815.75</v>
      </c>
      <c r="F956" t="s">
        <v>121</v>
      </c>
      <c r="G956" t="s">
        <v>117</v>
      </c>
      <c r="H956" t="s">
        <v>522</v>
      </c>
      <c r="I956" s="197">
        <v>44772.791666666664</v>
      </c>
      <c r="J956" t="b">
        <v>0</v>
      </c>
      <c r="K956" t="s">
        <v>123</v>
      </c>
      <c r="L956" t="s">
        <v>123</v>
      </c>
      <c r="M956">
        <v>30</v>
      </c>
      <c r="N956">
        <v>7</v>
      </c>
      <c r="O956">
        <v>2022</v>
      </c>
      <c r="R956">
        <f>IF(wallet_records[[#This Row],[type]]="Gasto",wallet_records[[#This Row],[amount]]*(-1),wallet_records[[#This Row],[amount]])</f>
        <v>2071815.75</v>
      </c>
    </row>
    <row r="957" spans="1:18" x14ac:dyDescent="0.2">
      <c r="A957" t="s">
        <v>127</v>
      </c>
      <c r="B957" t="s">
        <v>136</v>
      </c>
      <c r="C957" t="s">
        <v>115</v>
      </c>
      <c r="D957" s="291">
        <v>114000</v>
      </c>
      <c r="E957">
        <v>114000</v>
      </c>
      <c r="F957" t="s">
        <v>116</v>
      </c>
      <c r="G957" t="s">
        <v>117</v>
      </c>
      <c r="H957" t="s">
        <v>140</v>
      </c>
      <c r="I957" s="197">
        <v>44762.791666666664</v>
      </c>
      <c r="J957" t="b">
        <v>0</v>
      </c>
      <c r="K957" t="s">
        <v>1</v>
      </c>
      <c r="L957" t="s">
        <v>1</v>
      </c>
      <c r="M957">
        <v>20</v>
      </c>
      <c r="N957">
        <v>7</v>
      </c>
      <c r="O957">
        <v>2022</v>
      </c>
      <c r="R957">
        <f>IF(wallet_records[[#This Row],[type]]="Gasto",wallet_records[[#This Row],[amount]]*(-1),wallet_records[[#This Row],[amount]])</f>
        <v>-114000</v>
      </c>
    </row>
    <row r="958" spans="1:18" x14ac:dyDescent="0.2">
      <c r="A958" t="s">
        <v>127</v>
      </c>
      <c r="B958" t="s">
        <v>136</v>
      </c>
      <c r="C958" t="s">
        <v>115</v>
      </c>
      <c r="D958" s="291">
        <v>330205</v>
      </c>
      <c r="E958">
        <v>330205</v>
      </c>
      <c r="F958" t="s">
        <v>116</v>
      </c>
      <c r="G958" t="s">
        <v>117</v>
      </c>
      <c r="H958" t="s">
        <v>140</v>
      </c>
      <c r="I958" s="197">
        <v>44757.791666666664</v>
      </c>
      <c r="J958" t="b">
        <v>0</v>
      </c>
      <c r="K958" t="s">
        <v>0</v>
      </c>
      <c r="L958" t="s">
        <v>0</v>
      </c>
      <c r="M958">
        <v>15</v>
      </c>
      <c r="N958">
        <v>7</v>
      </c>
      <c r="O958">
        <v>2022</v>
      </c>
      <c r="R958">
        <f>IF(wallet_records[[#This Row],[type]]="Gasto",wallet_records[[#This Row],[amount]]*(-1),wallet_records[[#This Row],[amount]])</f>
        <v>-330205</v>
      </c>
    </row>
    <row r="959" spans="1:18" x14ac:dyDescent="0.2">
      <c r="A959" t="s">
        <v>127</v>
      </c>
      <c r="B959" t="s">
        <v>136</v>
      </c>
      <c r="C959" t="s">
        <v>115</v>
      </c>
      <c r="D959" s="291">
        <v>173200</v>
      </c>
      <c r="E959">
        <v>173200</v>
      </c>
      <c r="F959" t="s">
        <v>116</v>
      </c>
      <c r="G959" t="s">
        <v>117</v>
      </c>
      <c r="H959" t="s">
        <v>140</v>
      </c>
      <c r="I959" s="197">
        <v>44742.791666666664</v>
      </c>
      <c r="J959" t="b">
        <v>0</v>
      </c>
      <c r="K959" t="s">
        <v>77</v>
      </c>
      <c r="L959" t="s">
        <v>77</v>
      </c>
      <c r="M959">
        <v>30</v>
      </c>
      <c r="N959">
        <v>6</v>
      </c>
      <c r="O959">
        <v>2022</v>
      </c>
      <c r="R959">
        <f>IF(wallet_records[[#This Row],[type]]="Gasto",wallet_records[[#This Row],[amount]]*(-1),wallet_records[[#This Row],[amount]])</f>
        <v>-173200</v>
      </c>
    </row>
    <row r="960" spans="1:18" x14ac:dyDescent="0.2">
      <c r="A960" t="s">
        <v>524</v>
      </c>
      <c r="B960" t="s">
        <v>136</v>
      </c>
      <c r="C960" t="s">
        <v>115</v>
      </c>
      <c r="D960" s="291">
        <v>6134.9</v>
      </c>
      <c r="E960">
        <v>6134.9</v>
      </c>
      <c r="F960" t="s">
        <v>116</v>
      </c>
      <c r="G960" t="s">
        <v>117</v>
      </c>
      <c r="H960" t="s">
        <v>522</v>
      </c>
      <c r="I960" s="197">
        <v>44741.791666666664</v>
      </c>
      <c r="J960" t="b">
        <v>0</v>
      </c>
      <c r="K960" t="s">
        <v>123</v>
      </c>
      <c r="L960" t="s">
        <v>123</v>
      </c>
      <c r="M960">
        <v>29</v>
      </c>
      <c r="N960">
        <v>6</v>
      </c>
      <c r="O960">
        <v>2022</v>
      </c>
      <c r="R960">
        <f>IF(wallet_records[[#This Row],[type]]="Gasto",wallet_records[[#This Row],[amount]]*(-1),wallet_records[[#This Row],[amount]])</f>
        <v>-6134.9</v>
      </c>
    </row>
    <row r="961" spans="1:18" x14ac:dyDescent="0.2">
      <c r="A961" t="s">
        <v>525</v>
      </c>
      <c r="B961" t="s">
        <v>136</v>
      </c>
      <c r="C961" t="s">
        <v>115</v>
      </c>
      <c r="D961" s="291">
        <v>51571.59</v>
      </c>
      <c r="E961">
        <v>51571.59</v>
      </c>
      <c r="F961" t="s">
        <v>116</v>
      </c>
      <c r="G961" t="s">
        <v>117</v>
      </c>
      <c r="H961" t="s">
        <v>522</v>
      </c>
      <c r="I961" s="197">
        <v>44741.791666666664</v>
      </c>
      <c r="J961" t="b">
        <v>0</v>
      </c>
      <c r="K961" t="s">
        <v>123</v>
      </c>
      <c r="L961" t="s">
        <v>123</v>
      </c>
      <c r="M961">
        <v>29</v>
      </c>
      <c r="N961">
        <v>6</v>
      </c>
      <c r="O961">
        <v>2022</v>
      </c>
      <c r="R961">
        <f>IF(wallet_records[[#This Row],[type]]="Gasto",wallet_records[[#This Row],[amount]]*(-1),wallet_records[[#This Row],[amount]])</f>
        <v>-51571.59</v>
      </c>
    </row>
    <row r="962" spans="1:18" x14ac:dyDescent="0.2">
      <c r="A962" t="s">
        <v>127</v>
      </c>
      <c r="B962" t="s">
        <v>136</v>
      </c>
      <c r="C962" t="s">
        <v>115</v>
      </c>
      <c r="D962" s="291">
        <v>2382949.91</v>
      </c>
      <c r="E962">
        <v>2382949.91</v>
      </c>
      <c r="F962" t="s">
        <v>116</v>
      </c>
      <c r="G962" t="s">
        <v>117</v>
      </c>
      <c r="H962" t="s">
        <v>522</v>
      </c>
      <c r="I962" s="197">
        <v>44741.791666666664</v>
      </c>
      <c r="J962" t="b">
        <v>0</v>
      </c>
      <c r="K962" t="s">
        <v>123</v>
      </c>
      <c r="L962" t="s">
        <v>123</v>
      </c>
      <c r="M962">
        <v>29</v>
      </c>
      <c r="N962">
        <v>6</v>
      </c>
      <c r="O962">
        <v>2022</v>
      </c>
      <c r="R962">
        <f>IF(wallet_records[[#This Row],[type]]="Gasto",wallet_records[[#This Row],[amount]]*(-1),wallet_records[[#This Row],[amount]])</f>
        <v>-2382949.91</v>
      </c>
    </row>
    <row r="963" spans="1:18" x14ac:dyDescent="0.2">
      <c r="A963" t="s">
        <v>127</v>
      </c>
      <c r="B963" t="s">
        <v>136</v>
      </c>
      <c r="C963" t="s">
        <v>115</v>
      </c>
      <c r="D963" s="291">
        <v>330205</v>
      </c>
      <c r="E963">
        <v>330205</v>
      </c>
      <c r="F963" t="s">
        <v>116</v>
      </c>
      <c r="G963" t="s">
        <v>117</v>
      </c>
      <c r="H963" t="s">
        <v>140</v>
      </c>
      <c r="I963" s="197">
        <v>44729.791666666664</v>
      </c>
      <c r="J963" t="b">
        <v>0</v>
      </c>
      <c r="K963" t="s">
        <v>0</v>
      </c>
      <c r="L963" t="s">
        <v>0</v>
      </c>
      <c r="M963">
        <v>17</v>
      </c>
      <c r="N963">
        <v>6</v>
      </c>
      <c r="O963">
        <v>2022</v>
      </c>
      <c r="R963">
        <f>IF(wallet_records[[#This Row],[type]]="Gasto",wallet_records[[#This Row],[amount]]*(-1),wallet_records[[#This Row],[amount]])</f>
        <v>-330205</v>
      </c>
    </row>
    <row r="964" spans="1:18" x14ac:dyDescent="0.2">
      <c r="A964" t="s">
        <v>127</v>
      </c>
      <c r="B964" t="s">
        <v>136</v>
      </c>
      <c r="C964" t="s">
        <v>115</v>
      </c>
      <c r="D964" s="291">
        <v>173200</v>
      </c>
      <c r="E964">
        <v>173200</v>
      </c>
      <c r="F964" t="s">
        <v>116</v>
      </c>
      <c r="G964" t="s">
        <v>117</v>
      </c>
      <c r="H964" t="s">
        <v>140</v>
      </c>
      <c r="I964" s="197">
        <v>44714.791666666664</v>
      </c>
      <c r="J964" t="b">
        <v>0</v>
      </c>
      <c r="K964" t="s">
        <v>77</v>
      </c>
      <c r="L964" t="s">
        <v>77</v>
      </c>
      <c r="M964">
        <v>2</v>
      </c>
      <c r="N964">
        <v>6</v>
      </c>
      <c r="O964">
        <v>2022</v>
      </c>
      <c r="R964">
        <f>IF(wallet_records[[#This Row],[type]]="Gasto",wallet_records[[#This Row],[amount]]*(-1),wallet_records[[#This Row],[amount]])</f>
        <v>-173200</v>
      </c>
    </row>
    <row r="965" spans="1:18" x14ac:dyDescent="0.2">
      <c r="A965" t="s">
        <v>525</v>
      </c>
      <c r="B965" t="s">
        <v>136</v>
      </c>
      <c r="C965" t="s">
        <v>115</v>
      </c>
      <c r="D965" s="291">
        <v>117765.48</v>
      </c>
      <c r="E965">
        <v>117765.48</v>
      </c>
      <c r="F965" t="s">
        <v>121</v>
      </c>
      <c r="G965" t="s">
        <v>117</v>
      </c>
      <c r="H965" t="s">
        <v>522</v>
      </c>
      <c r="I965" s="197">
        <v>44711.791666666664</v>
      </c>
      <c r="J965" t="b">
        <v>0</v>
      </c>
      <c r="K965" t="s">
        <v>123</v>
      </c>
      <c r="L965" t="s">
        <v>123</v>
      </c>
      <c r="M965">
        <v>30</v>
      </c>
      <c r="N965">
        <v>5</v>
      </c>
      <c r="O965">
        <v>2022</v>
      </c>
      <c r="R965">
        <f>IF(wallet_records[[#This Row],[type]]="Gasto",wallet_records[[#This Row],[amount]]*(-1),wallet_records[[#This Row],[amount]])</f>
        <v>117765.48</v>
      </c>
    </row>
    <row r="966" spans="1:18" x14ac:dyDescent="0.2">
      <c r="A966" t="s">
        <v>127</v>
      </c>
      <c r="B966" t="s">
        <v>136</v>
      </c>
      <c r="C966" t="s">
        <v>115</v>
      </c>
      <c r="D966" s="291">
        <v>78469.58</v>
      </c>
      <c r="E966">
        <v>78469.58</v>
      </c>
      <c r="F966" t="s">
        <v>121</v>
      </c>
      <c r="G966" t="s">
        <v>117</v>
      </c>
      <c r="H966" t="s">
        <v>522</v>
      </c>
      <c r="I966" s="197">
        <v>44711.791666666664</v>
      </c>
      <c r="J966" t="b">
        <v>0</v>
      </c>
      <c r="K966" t="s">
        <v>123</v>
      </c>
      <c r="L966" t="s">
        <v>123</v>
      </c>
      <c r="M966">
        <v>30</v>
      </c>
      <c r="N966">
        <v>5</v>
      </c>
      <c r="O966">
        <v>2022</v>
      </c>
      <c r="R966">
        <f>IF(wallet_records[[#This Row],[type]]="Gasto",wallet_records[[#This Row],[amount]]*(-1),wallet_records[[#This Row],[amount]])</f>
        <v>78469.58</v>
      </c>
    </row>
    <row r="967" spans="1:18" x14ac:dyDescent="0.2">
      <c r="A967" t="s">
        <v>524</v>
      </c>
      <c r="B967" t="s">
        <v>136</v>
      </c>
      <c r="C967" t="s">
        <v>115</v>
      </c>
      <c r="D967" s="291">
        <v>177375</v>
      </c>
      <c r="E967">
        <v>177375</v>
      </c>
      <c r="F967" t="s">
        <v>121</v>
      </c>
      <c r="G967" t="s">
        <v>117</v>
      </c>
      <c r="H967" t="s">
        <v>522</v>
      </c>
      <c r="I967" s="197">
        <v>44710.791666666664</v>
      </c>
      <c r="J967" t="b">
        <v>0</v>
      </c>
      <c r="K967" t="s">
        <v>123</v>
      </c>
      <c r="L967" t="s">
        <v>123</v>
      </c>
      <c r="M967">
        <v>29</v>
      </c>
      <c r="N967">
        <v>5</v>
      </c>
      <c r="O967">
        <v>2022</v>
      </c>
      <c r="R967">
        <f>IF(wallet_records[[#This Row],[type]]="Gasto",wallet_records[[#This Row],[amount]]*(-1),wallet_records[[#This Row],[amount]])</f>
        <v>177375</v>
      </c>
    </row>
    <row r="968" spans="1:18" x14ac:dyDescent="0.2">
      <c r="A968" t="s">
        <v>127</v>
      </c>
      <c r="B968" t="s">
        <v>136</v>
      </c>
      <c r="C968" t="s">
        <v>115</v>
      </c>
      <c r="D968" s="291">
        <v>330205</v>
      </c>
      <c r="E968">
        <v>330205</v>
      </c>
      <c r="F968" t="s">
        <v>116</v>
      </c>
      <c r="G968" t="s">
        <v>117</v>
      </c>
      <c r="H968" t="s">
        <v>140</v>
      </c>
      <c r="I968" s="197">
        <v>44698.791666666664</v>
      </c>
      <c r="J968" t="b">
        <v>0</v>
      </c>
      <c r="K968" t="s">
        <v>0</v>
      </c>
      <c r="L968" t="s">
        <v>0</v>
      </c>
      <c r="M968">
        <v>17</v>
      </c>
      <c r="N968">
        <v>5</v>
      </c>
      <c r="O968">
        <v>2022</v>
      </c>
      <c r="R968">
        <f>IF(wallet_records[[#This Row],[type]]="Gasto",wallet_records[[#This Row],[amount]]*(-1),wallet_records[[#This Row],[amount]])</f>
        <v>-330205</v>
      </c>
    </row>
    <row r="969" spans="1:18" x14ac:dyDescent="0.2">
      <c r="A969" t="s">
        <v>127</v>
      </c>
      <c r="B969" t="s">
        <v>136</v>
      </c>
      <c r="C969" t="s">
        <v>115</v>
      </c>
      <c r="D969" s="291">
        <v>114000</v>
      </c>
      <c r="E969">
        <v>114000</v>
      </c>
      <c r="F969" t="s">
        <v>116</v>
      </c>
      <c r="G969" t="s">
        <v>117</v>
      </c>
      <c r="H969" t="s">
        <v>140</v>
      </c>
      <c r="I969" s="197">
        <v>44694.791666666664</v>
      </c>
      <c r="J969" t="b">
        <v>0</v>
      </c>
      <c r="K969" t="s">
        <v>1</v>
      </c>
      <c r="L969" t="s">
        <v>1</v>
      </c>
      <c r="M969">
        <v>13</v>
      </c>
      <c r="N969">
        <v>5</v>
      </c>
      <c r="O969">
        <v>2022</v>
      </c>
      <c r="R969">
        <f>IF(wallet_records[[#This Row],[type]]="Gasto",wallet_records[[#This Row],[amount]]*(-1),wallet_records[[#This Row],[amount]])</f>
        <v>-114000</v>
      </c>
    </row>
    <row r="970" spans="1:18" x14ac:dyDescent="0.2">
      <c r="A970" t="s">
        <v>127</v>
      </c>
      <c r="B970" t="s">
        <v>136</v>
      </c>
      <c r="C970" t="s">
        <v>115</v>
      </c>
      <c r="D970" s="291">
        <v>114000</v>
      </c>
      <c r="E970">
        <v>114000</v>
      </c>
      <c r="F970" t="s">
        <v>116</v>
      </c>
      <c r="G970" t="s">
        <v>117</v>
      </c>
      <c r="H970" t="s">
        <v>140</v>
      </c>
      <c r="I970" s="197">
        <v>44694.791666666664</v>
      </c>
      <c r="J970" t="b">
        <v>0</v>
      </c>
      <c r="K970" t="s">
        <v>1</v>
      </c>
      <c r="L970" t="s">
        <v>1</v>
      </c>
      <c r="M970">
        <v>13</v>
      </c>
      <c r="N970">
        <v>5</v>
      </c>
      <c r="O970">
        <v>2022</v>
      </c>
      <c r="R970">
        <f>IF(wallet_records[[#This Row],[type]]="Gasto",wallet_records[[#This Row],[amount]]*(-1),wallet_records[[#This Row],[amount]])</f>
        <v>-114000</v>
      </c>
    </row>
    <row r="971" spans="1:18" x14ac:dyDescent="0.2">
      <c r="A971" t="s">
        <v>127</v>
      </c>
      <c r="B971" t="s">
        <v>136</v>
      </c>
      <c r="C971" t="s">
        <v>115</v>
      </c>
      <c r="D971" s="291">
        <v>173200</v>
      </c>
      <c r="E971">
        <v>173200</v>
      </c>
      <c r="F971" t="s">
        <v>116</v>
      </c>
      <c r="G971" t="s">
        <v>117</v>
      </c>
      <c r="H971" t="s">
        <v>140</v>
      </c>
      <c r="I971" s="197">
        <v>44681.791666666664</v>
      </c>
      <c r="J971" t="b">
        <v>0</v>
      </c>
      <c r="K971" t="s">
        <v>77</v>
      </c>
      <c r="L971" t="s">
        <v>77</v>
      </c>
      <c r="M971">
        <v>30</v>
      </c>
      <c r="N971">
        <v>4</v>
      </c>
      <c r="O971">
        <v>2022</v>
      </c>
      <c r="R971">
        <f>IF(wallet_records[[#This Row],[type]]="Gasto",wallet_records[[#This Row],[amount]]*(-1),wallet_records[[#This Row],[amount]])</f>
        <v>-173200</v>
      </c>
    </row>
    <row r="972" spans="1:18" x14ac:dyDescent="0.2">
      <c r="A972" t="s">
        <v>525</v>
      </c>
      <c r="B972" t="s">
        <v>136</v>
      </c>
      <c r="C972" t="s">
        <v>115</v>
      </c>
      <c r="D972" s="291">
        <v>140000</v>
      </c>
      <c r="E972">
        <v>140000</v>
      </c>
      <c r="F972" t="s">
        <v>121</v>
      </c>
      <c r="G972" t="s">
        <v>117</v>
      </c>
      <c r="H972" t="s">
        <v>522</v>
      </c>
      <c r="I972" s="197">
        <v>44680.791666666664</v>
      </c>
      <c r="J972" t="b">
        <v>0</v>
      </c>
      <c r="K972" t="s">
        <v>123</v>
      </c>
      <c r="L972" t="s">
        <v>123</v>
      </c>
      <c r="M972">
        <v>29</v>
      </c>
      <c r="N972">
        <v>4</v>
      </c>
      <c r="O972">
        <v>2022</v>
      </c>
      <c r="R972">
        <f>IF(wallet_records[[#This Row],[type]]="Gasto",wallet_records[[#This Row],[amount]]*(-1),wallet_records[[#This Row],[amount]])</f>
        <v>140000</v>
      </c>
    </row>
    <row r="973" spans="1:18" x14ac:dyDescent="0.2">
      <c r="A973" t="s">
        <v>127</v>
      </c>
      <c r="B973" t="s">
        <v>136</v>
      </c>
      <c r="C973" t="s">
        <v>115</v>
      </c>
      <c r="D973" s="291">
        <v>1934993.05</v>
      </c>
      <c r="E973">
        <v>1934993.05</v>
      </c>
      <c r="F973" t="s">
        <v>116</v>
      </c>
      <c r="G973" t="s">
        <v>117</v>
      </c>
      <c r="H973" t="s">
        <v>522</v>
      </c>
      <c r="I973" s="197">
        <v>44680.791666666664</v>
      </c>
      <c r="J973" t="b">
        <v>0</v>
      </c>
      <c r="K973" t="s">
        <v>123</v>
      </c>
      <c r="L973" t="s">
        <v>123</v>
      </c>
      <c r="M973">
        <v>29</v>
      </c>
      <c r="N973">
        <v>4</v>
      </c>
      <c r="O973">
        <v>2022</v>
      </c>
      <c r="R973">
        <f>IF(wallet_records[[#This Row],[type]]="Gasto",wallet_records[[#This Row],[amount]]*(-1),wallet_records[[#This Row],[amount]])</f>
        <v>-1934993.05</v>
      </c>
    </row>
    <row r="974" spans="1:18" x14ac:dyDescent="0.2">
      <c r="A974" t="s">
        <v>127</v>
      </c>
      <c r="B974" t="s">
        <v>136</v>
      </c>
      <c r="C974" t="s">
        <v>115</v>
      </c>
      <c r="D974" s="291">
        <v>314205</v>
      </c>
      <c r="E974">
        <v>314205</v>
      </c>
      <c r="F974" t="s">
        <v>116</v>
      </c>
      <c r="G974" t="s">
        <v>117</v>
      </c>
      <c r="H974" t="s">
        <v>140</v>
      </c>
      <c r="I974" s="197">
        <v>44665.791666666664</v>
      </c>
      <c r="J974" t="b">
        <v>0</v>
      </c>
      <c r="K974" t="s">
        <v>0</v>
      </c>
      <c r="L974" t="s">
        <v>0</v>
      </c>
      <c r="M974">
        <v>14</v>
      </c>
      <c r="N974">
        <v>4</v>
      </c>
      <c r="O974">
        <v>2022</v>
      </c>
      <c r="R974">
        <f>IF(wallet_records[[#This Row],[type]]="Gasto",wallet_records[[#This Row],[amount]]*(-1),wallet_records[[#This Row],[amount]])</f>
        <v>-314205</v>
      </c>
    </row>
    <row r="975" spans="1:18" x14ac:dyDescent="0.2">
      <c r="A975" t="s">
        <v>127</v>
      </c>
      <c r="B975" t="s">
        <v>136</v>
      </c>
      <c r="C975" t="s">
        <v>115</v>
      </c>
      <c r="D975" s="291">
        <v>917620.3</v>
      </c>
      <c r="E975">
        <v>917620.3</v>
      </c>
      <c r="F975" t="s">
        <v>116</v>
      </c>
      <c r="G975" t="s">
        <v>117</v>
      </c>
      <c r="H975" t="s">
        <v>522</v>
      </c>
      <c r="I975" s="197">
        <v>44650.791666666664</v>
      </c>
      <c r="J975" t="b">
        <v>0</v>
      </c>
      <c r="K975" t="s">
        <v>123</v>
      </c>
      <c r="L975" t="s">
        <v>123</v>
      </c>
      <c r="M975">
        <v>30</v>
      </c>
      <c r="N975">
        <v>3</v>
      </c>
      <c r="O975">
        <v>2022</v>
      </c>
      <c r="R975">
        <f>IF(wallet_records[[#This Row],[type]]="Gasto",wallet_records[[#This Row],[amount]]*(-1),wallet_records[[#This Row],[amount]])</f>
        <v>-917620.3</v>
      </c>
    </row>
    <row r="976" spans="1:18" x14ac:dyDescent="0.2">
      <c r="A976" t="s">
        <v>525</v>
      </c>
      <c r="B976" t="s">
        <v>136</v>
      </c>
      <c r="C976" t="s">
        <v>115</v>
      </c>
      <c r="D976" s="291">
        <v>158200</v>
      </c>
      <c r="E976">
        <v>158200</v>
      </c>
      <c r="F976" t="s">
        <v>121</v>
      </c>
      <c r="G976" t="s">
        <v>117</v>
      </c>
      <c r="H976" t="s">
        <v>522</v>
      </c>
      <c r="I976" s="197">
        <v>44650.791666666664</v>
      </c>
      <c r="J976" t="b">
        <v>0</v>
      </c>
      <c r="K976" t="s">
        <v>123</v>
      </c>
      <c r="L976" t="s">
        <v>123</v>
      </c>
      <c r="M976">
        <v>30</v>
      </c>
      <c r="N976">
        <v>3</v>
      </c>
      <c r="O976">
        <v>2022</v>
      </c>
      <c r="R976">
        <f>IF(wallet_records[[#This Row],[type]]="Gasto",wallet_records[[#This Row],[amount]]*(-1),wallet_records[[#This Row],[amount]])</f>
        <v>158200</v>
      </c>
    </row>
    <row r="977" spans="1:18" x14ac:dyDescent="0.2">
      <c r="A977" t="s">
        <v>525</v>
      </c>
      <c r="B977" t="s">
        <v>114</v>
      </c>
      <c r="C977" t="s">
        <v>115</v>
      </c>
      <c r="D977" s="291">
        <v>781709.5</v>
      </c>
      <c r="E977">
        <v>781709.5</v>
      </c>
      <c r="F977" t="s">
        <v>116</v>
      </c>
      <c r="G977" t="s">
        <v>117</v>
      </c>
      <c r="H977" t="s">
        <v>118</v>
      </c>
      <c r="I977" s="197">
        <v>44913.791666666664</v>
      </c>
      <c r="J977" t="b">
        <v>0</v>
      </c>
      <c r="K977" t="s">
        <v>7</v>
      </c>
      <c r="L977" t="s">
        <v>7</v>
      </c>
      <c r="M977">
        <v>18</v>
      </c>
      <c r="N977">
        <v>12</v>
      </c>
      <c r="O977">
        <v>2022</v>
      </c>
      <c r="R977">
        <f>IF(wallet_records[[#This Row],[type]]="Gasto",wallet_records[[#This Row],[amount]]*(-1),wallet_records[[#This Row],[amount]])</f>
        <v>-781709.5</v>
      </c>
    </row>
    <row r="978" spans="1:18" x14ac:dyDescent="0.2">
      <c r="A978" t="s">
        <v>525</v>
      </c>
      <c r="B978" t="s">
        <v>114</v>
      </c>
      <c r="C978" t="s">
        <v>115</v>
      </c>
      <c r="D978" s="291">
        <v>4000000</v>
      </c>
      <c r="E978">
        <v>4000000</v>
      </c>
      <c r="F978" t="s">
        <v>116</v>
      </c>
      <c r="G978" t="s">
        <v>117</v>
      </c>
      <c r="H978" t="s">
        <v>118</v>
      </c>
      <c r="I978" s="197">
        <v>44851.791666666664</v>
      </c>
      <c r="J978" t="b">
        <v>0</v>
      </c>
      <c r="K978" t="s">
        <v>7</v>
      </c>
      <c r="L978" t="s">
        <v>7</v>
      </c>
      <c r="M978">
        <v>17</v>
      </c>
      <c r="N978">
        <v>10</v>
      </c>
      <c r="O978">
        <v>2022</v>
      </c>
      <c r="R978">
        <f>IF(wallet_records[[#This Row],[type]]="Gasto",wallet_records[[#This Row],[amount]]*(-1),wallet_records[[#This Row],[amount]])</f>
        <v>-4000000</v>
      </c>
    </row>
    <row r="979" spans="1:18" x14ac:dyDescent="0.2">
      <c r="A979" t="s">
        <v>525</v>
      </c>
      <c r="B979" t="s">
        <v>114</v>
      </c>
      <c r="C979" t="s">
        <v>115</v>
      </c>
      <c r="D979" s="291">
        <v>2500000</v>
      </c>
      <c r="E979">
        <v>2500000</v>
      </c>
      <c r="F979" t="s">
        <v>116</v>
      </c>
      <c r="G979" t="s">
        <v>117</v>
      </c>
      <c r="H979" t="s">
        <v>118</v>
      </c>
      <c r="I979" s="197">
        <v>44834.791666666664</v>
      </c>
      <c r="J979" t="b">
        <v>0</v>
      </c>
      <c r="K979" t="s">
        <v>7</v>
      </c>
      <c r="L979" t="s">
        <v>7</v>
      </c>
      <c r="M979">
        <v>30</v>
      </c>
      <c r="N979">
        <v>9</v>
      </c>
      <c r="O979">
        <v>2022</v>
      </c>
      <c r="R979">
        <f>IF(wallet_records[[#This Row],[type]]="Gasto",wallet_records[[#This Row],[amount]]*(-1),wallet_records[[#This Row],[amount]])</f>
        <v>-2500000</v>
      </c>
    </row>
    <row r="980" spans="1:18" x14ac:dyDescent="0.2">
      <c r="A980" t="s">
        <v>525</v>
      </c>
      <c r="B980" t="s">
        <v>114</v>
      </c>
      <c r="C980" t="s">
        <v>115</v>
      </c>
      <c r="D980" s="291">
        <v>3000000</v>
      </c>
      <c r="E980">
        <v>3000000</v>
      </c>
      <c r="F980" t="s">
        <v>116</v>
      </c>
      <c r="G980" t="s">
        <v>117</v>
      </c>
      <c r="H980" t="s">
        <v>118</v>
      </c>
      <c r="I980" s="197">
        <v>44816.791666666664</v>
      </c>
      <c r="J980" t="b">
        <v>0</v>
      </c>
      <c r="K980" t="s">
        <v>7</v>
      </c>
      <c r="L980" t="s">
        <v>7</v>
      </c>
      <c r="M980">
        <v>12</v>
      </c>
      <c r="N980">
        <v>9</v>
      </c>
      <c r="O980">
        <v>2022</v>
      </c>
      <c r="R980">
        <f>IF(wallet_records[[#This Row],[type]]="Gasto",wallet_records[[#This Row],[amount]]*(-1),wallet_records[[#This Row],[amount]])</f>
        <v>-3000000</v>
      </c>
    </row>
    <row r="981" spans="1:18" x14ac:dyDescent="0.2">
      <c r="A981" t="s">
        <v>525</v>
      </c>
      <c r="B981" t="s">
        <v>114</v>
      </c>
      <c r="C981" t="s">
        <v>115</v>
      </c>
      <c r="D981" s="291">
        <v>4000000</v>
      </c>
      <c r="E981">
        <v>4000000</v>
      </c>
      <c r="F981" t="s">
        <v>116</v>
      </c>
      <c r="G981" t="s">
        <v>117</v>
      </c>
      <c r="H981" t="s">
        <v>118</v>
      </c>
      <c r="I981" s="197">
        <v>44784.791666666664</v>
      </c>
      <c r="J981" t="b">
        <v>0</v>
      </c>
      <c r="K981" t="s">
        <v>7</v>
      </c>
      <c r="L981" t="s">
        <v>7</v>
      </c>
      <c r="M981">
        <v>11</v>
      </c>
      <c r="N981">
        <v>8</v>
      </c>
      <c r="O981">
        <v>2022</v>
      </c>
      <c r="R981">
        <f>IF(wallet_records[[#This Row],[type]]="Gasto",wallet_records[[#This Row],[amount]]*(-1),wallet_records[[#This Row],[amount]])</f>
        <v>-4000000</v>
      </c>
    </row>
    <row r="982" spans="1:18" x14ac:dyDescent="0.2">
      <c r="A982" t="s">
        <v>525</v>
      </c>
      <c r="B982" t="s">
        <v>114</v>
      </c>
      <c r="C982" t="s">
        <v>115</v>
      </c>
      <c r="D982" s="291">
        <v>200000</v>
      </c>
      <c r="E982">
        <v>200000</v>
      </c>
      <c r="F982" t="s">
        <v>116</v>
      </c>
      <c r="G982" t="s">
        <v>117</v>
      </c>
      <c r="H982" t="s">
        <v>118</v>
      </c>
      <c r="I982" s="197">
        <v>44781.791666666664</v>
      </c>
      <c r="J982" t="b">
        <v>0</v>
      </c>
      <c r="K982" t="s">
        <v>1</v>
      </c>
      <c r="L982" t="s">
        <v>1</v>
      </c>
      <c r="M982">
        <v>8</v>
      </c>
      <c r="N982">
        <v>8</v>
      </c>
      <c r="O982">
        <v>2022</v>
      </c>
      <c r="R982">
        <f>IF(wallet_records[[#This Row],[type]]="Gasto",wallet_records[[#This Row],[amount]]*(-1),wallet_records[[#This Row],[amount]])</f>
        <v>-200000</v>
      </c>
    </row>
    <row r="983" spans="1:18" x14ac:dyDescent="0.2">
      <c r="A983" t="s">
        <v>525</v>
      </c>
      <c r="B983" t="s">
        <v>114</v>
      </c>
      <c r="C983" t="s">
        <v>115</v>
      </c>
      <c r="D983" s="291">
        <v>2000000</v>
      </c>
      <c r="E983">
        <v>2000000</v>
      </c>
      <c r="F983" t="s">
        <v>116</v>
      </c>
      <c r="G983" t="s">
        <v>117</v>
      </c>
      <c r="H983" t="s">
        <v>118</v>
      </c>
      <c r="I983" s="197">
        <v>44781.791666666664</v>
      </c>
      <c r="J983" t="b">
        <v>0</v>
      </c>
      <c r="K983" t="s">
        <v>7</v>
      </c>
      <c r="L983" t="s">
        <v>7</v>
      </c>
      <c r="M983">
        <v>8</v>
      </c>
      <c r="N983">
        <v>8</v>
      </c>
      <c r="O983">
        <v>2022</v>
      </c>
      <c r="R983">
        <f>IF(wallet_records[[#This Row],[type]]="Gasto",wallet_records[[#This Row],[amount]]*(-1),wallet_records[[#This Row],[amount]])</f>
        <v>-2000000</v>
      </c>
    </row>
    <row r="984" spans="1:18" x14ac:dyDescent="0.2">
      <c r="A984" t="s">
        <v>525</v>
      </c>
      <c r="B984" t="s">
        <v>114</v>
      </c>
      <c r="C984" t="s">
        <v>115</v>
      </c>
      <c r="D984" s="291">
        <v>3000000</v>
      </c>
      <c r="E984">
        <v>3000000</v>
      </c>
      <c r="F984" t="s">
        <v>116</v>
      </c>
      <c r="G984" t="s">
        <v>117</v>
      </c>
      <c r="H984" t="s">
        <v>118</v>
      </c>
      <c r="I984" s="197">
        <v>44780.791666666664</v>
      </c>
      <c r="J984" t="b">
        <v>0</v>
      </c>
      <c r="K984" t="s">
        <v>7</v>
      </c>
      <c r="L984" t="s">
        <v>7</v>
      </c>
      <c r="M984">
        <v>7</v>
      </c>
      <c r="N984">
        <v>8</v>
      </c>
      <c r="O984">
        <v>2022</v>
      </c>
      <c r="R984">
        <f>IF(wallet_records[[#This Row],[type]]="Gasto",wallet_records[[#This Row],[amount]]*(-1),wallet_records[[#This Row],[amount]])</f>
        <v>-3000000</v>
      </c>
    </row>
    <row r="985" spans="1:18" x14ac:dyDescent="0.2">
      <c r="A985" t="s">
        <v>525</v>
      </c>
      <c r="B985" t="s">
        <v>114</v>
      </c>
      <c r="C985" t="s">
        <v>115</v>
      </c>
      <c r="D985" s="291">
        <v>300000</v>
      </c>
      <c r="E985">
        <v>300000</v>
      </c>
      <c r="F985" t="s">
        <v>116</v>
      </c>
      <c r="G985" t="s">
        <v>117</v>
      </c>
      <c r="H985" t="s">
        <v>118</v>
      </c>
      <c r="I985" s="197">
        <v>44778.791666666664</v>
      </c>
      <c r="J985" t="b">
        <v>0</v>
      </c>
      <c r="K985" t="s">
        <v>1</v>
      </c>
      <c r="L985" t="s">
        <v>1</v>
      </c>
      <c r="M985">
        <v>5</v>
      </c>
      <c r="N985">
        <v>8</v>
      </c>
      <c r="O985">
        <v>2022</v>
      </c>
      <c r="R985">
        <f>IF(wallet_records[[#This Row],[type]]="Gasto",wallet_records[[#This Row],[amount]]*(-1),wallet_records[[#This Row],[amount]])</f>
        <v>-300000</v>
      </c>
    </row>
    <row r="986" spans="1:18" x14ac:dyDescent="0.2">
      <c r="A986" t="s">
        <v>525</v>
      </c>
      <c r="B986" t="s">
        <v>114</v>
      </c>
      <c r="C986" t="s">
        <v>115</v>
      </c>
      <c r="D986" s="291">
        <v>120000</v>
      </c>
      <c r="E986">
        <v>120000</v>
      </c>
      <c r="F986" t="s">
        <v>116</v>
      </c>
      <c r="G986" t="s">
        <v>117</v>
      </c>
      <c r="H986" t="s">
        <v>118</v>
      </c>
      <c r="I986" s="197">
        <v>44774.791666666664</v>
      </c>
      <c r="J986" t="b">
        <v>0</v>
      </c>
      <c r="K986" t="s">
        <v>1</v>
      </c>
      <c r="L986" t="s">
        <v>1</v>
      </c>
      <c r="M986">
        <v>1</v>
      </c>
      <c r="N986">
        <v>8</v>
      </c>
      <c r="O986">
        <v>2022</v>
      </c>
      <c r="R986">
        <f>IF(wallet_records[[#This Row],[type]]="Gasto",wallet_records[[#This Row],[amount]]*(-1),wallet_records[[#This Row],[amount]])</f>
        <v>-120000</v>
      </c>
    </row>
    <row r="987" spans="1:18" x14ac:dyDescent="0.2">
      <c r="A987" t="s">
        <v>525</v>
      </c>
      <c r="B987" t="s">
        <v>114</v>
      </c>
      <c r="C987" t="s">
        <v>115</v>
      </c>
      <c r="D987" s="291">
        <v>2000000</v>
      </c>
      <c r="E987">
        <v>2000000</v>
      </c>
      <c r="F987" t="s">
        <v>116</v>
      </c>
      <c r="G987" t="s">
        <v>117</v>
      </c>
      <c r="H987" t="s">
        <v>118</v>
      </c>
      <c r="I987" s="197">
        <v>44770.791666666664</v>
      </c>
      <c r="J987" t="b">
        <v>0</v>
      </c>
      <c r="K987" t="s">
        <v>7</v>
      </c>
      <c r="L987" t="s">
        <v>7</v>
      </c>
      <c r="M987">
        <v>28</v>
      </c>
      <c r="N987">
        <v>7</v>
      </c>
      <c r="O987">
        <v>2022</v>
      </c>
      <c r="R987">
        <f>IF(wallet_records[[#This Row],[type]]="Gasto",wallet_records[[#This Row],[amount]]*(-1),wallet_records[[#This Row],[amount]])</f>
        <v>-2000000</v>
      </c>
    </row>
    <row r="988" spans="1:18" x14ac:dyDescent="0.2">
      <c r="A988" t="s">
        <v>525</v>
      </c>
      <c r="B988" t="s">
        <v>114</v>
      </c>
      <c r="C988" t="s">
        <v>115</v>
      </c>
      <c r="D988" s="291">
        <v>140000</v>
      </c>
      <c r="E988">
        <v>140000</v>
      </c>
      <c r="F988" t="s">
        <v>116</v>
      </c>
      <c r="G988" t="s">
        <v>117</v>
      </c>
      <c r="H988" t="s">
        <v>118</v>
      </c>
      <c r="I988" s="197">
        <v>44681.791666666664</v>
      </c>
      <c r="J988" t="b">
        <v>0</v>
      </c>
      <c r="K988" t="s">
        <v>77</v>
      </c>
      <c r="L988" t="s">
        <v>77</v>
      </c>
      <c r="M988">
        <v>30</v>
      </c>
      <c r="N988">
        <v>4</v>
      </c>
      <c r="O988">
        <v>2022</v>
      </c>
      <c r="R988">
        <f>IF(wallet_records[[#This Row],[type]]="Gasto",wallet_records[[#This Row],[amount]]*(-1),wallet_records[[#This Row],[amount]])</f>
        <v>-140000</v>
      </c>
    </row>
    <row r="989" spans="1:18" x14ac:dyDescent="0.2">
      <c r="A989" t="s">
        <v>525</v>
      </c>
      <c r="B989" t="s">
        <v>114</v>
      </c>
      <c r="C989" t="s">
        <v>115</v>
      </c>
      <c r="D989" s="291">
        <v>158200</v>
      </c>
      <c r="E989">
        <v>158200</v>
      </c>
      <c r="F989" t="s">
        <v>116</v>
      </c>
      <c r="G989" t="s">
        <v>117</v>
      </c>
      <c r="H989" t="s">
        <v>118</v>
      </c>
      <c r="I989" s="197">
        <v>44647.791666666664</v>
      </c>
      <c r="J989" t="b">
        <v>0</v>
      </c>
      <c r="K989" t="s">
        <v>77</v>
      </c>
      <c r="L989" t="s">
        <v>77</v>
      </c>
      <c r="M989">
        <v>27</v>
      </c>
      <c r="N989">
        <v>3</v>
      </c>
      <c r="O989">
        <v>2022</v>
      </c>
      <c r="R989">
        <f>IF(wallet_records[[#This Row],[type]]="Gasto",wallet_records[[#This Row],[amount]]*(-1),wallet_records[[#This Row],[amount]])</f>
        <v>-158200</v>
      </c>
    </row>
    <row r="990" spans="1:18" x14ac:dyDescent="0.2">
      <c r="A990" t="s">
        <v>127</v>
      </c>
      <c r="B990" t="s">
        <v>130</v>
      </c>
      <c r="C990" t="s">
        <v>115</v>
      </c>
      <c r="D990" s="291">
        <v>360000</v>
      </c>
      <c r="E990">
        <v>360000</v>
      </c>
      <c r="F990" t="s">
        <v>121</v>
      </c>
      <c r="G990" t="s">
        <v>117</v>
      </c>
      <c r="H990" t="s">
        <v>322</v>
      </c>
      <c r="I990" s="197">
        <v>44923.791754259262</v>
      </c>
      <c r="J990" t="b">
        <v>0</v>
      </c>
      <c r="K990" t="s">
        <v>544</v>
      </c>
      <c r="L990" t="s">
        <v>6</v>
      </c>
      <c r="M990">
        <v>28</v>
      </c>
      <c r="N990">
        <v>12</v>
      </c>
      <c r="O990">
        <v>2022</v>
      </c>
      <c r="R990">
        <f>IF(wallet_records[[#This Row],[type]]="Gasto",wallet_records[[#This Row],[amount]]*(-1),wallet_records[[#This Row],[amount]])</f>
        <v>360000</v>
      </c>
    </row>
    <row r="991" spans="1:18" x14ac:dyDescent="0.2">
      <c r="A991" t="s">
        <v>127</v>
      </c>
      <c r="B991" t="s">
        <v>130</v>
      </c>
      <c r="C991" t="s">
        <v>115</v>
      </c>
      <c r="D991" s="291">
        <v>1100000</v>
      </c>
      <c r="E991">
        <v>1100000</v>
      </c>
      <c r="F991" t="s">
        <v>121</v>
      </c>
      <c r="G991" t="s">
        <v>117</v>
      </c>
      <c r="H991" t="s">
        <v>323</v>
      </c>
      <c r="I991" s="197">
        <v>44909.791666666664</v>
      </c>
      <c r="J991" t="b">
        <v>0</v>
      </c>
      <c r="K991" t="s">
        <v>0</v>
      </c>
      <c r="L991" t="s">
        <v>0</v>
      </c>
      <c r="M991">
        <v>14</v>
      </c>
      <c r="N991">
        <v>12</v>
      </c>
      <c r="O991">
        <v>2022</v>
      </c>
      <c r="R991">
        <f>IF(wallet_records[[#This Row],[type]]="Gasto",wallet_records[[#This Row],[amount]]*(-1),wallet_records[[#This Row],[amount]])</f>
        <v>1100000</v>
      </c>
    </row>
    <row r="992" spans="1:18" x14ac:dyDescent="0.2">
      <c r="A992" t="s">
        <v>127</v>
      </c>
      <c r="B992" t="s">
        <v>130</v>
      </c>
      <c r="C992" t="s">
        <v>115</v>
      </c>
      <c r="D992" s="291">
        <v>1200000</v>
      </c>
      <c r="E992">
        <v>1200000</v>
      </c>
      <c r="F992" t="s">
        <v>121</v>
      </c>
      <c r="G992" t="s">
        <v>117</v>
      </c>
      <c r="H992" t="s">
        <v>324</v>
      </c>
      <c r="I992" s="197">
        <v>44909.791666666664</v>
      </c>
      <c r="J992" t="b">
        <v>0</v>
      </c>
      <c r="K992" t="s">
        <v>1</v>
      </c>
      <c r="L992" t="s">
        <v>1</v>
      </c>
      <c r="M992">
        <v>14</v>
      </c>
      <c r="N992">
        <v>12</v>
      </c>
      <c r="O992">
        <v>2022</v>
      </c>
      <c r="R992">
        <f>IF(wallet_records[[#This Row],[type]]="Gasto",wallet_records[[#This Row],[amount]]*(-1),wallet_records[[#This Row],[amount]])</f>
        <v>1200000</v>
      </c>
    </row>
    <row r="993" spans="1:18" x14ac:dyDescent="0.2">
      <c r="A993" t="s">
        <v>127</v>
      </c>
      <c r="B993" t="s">
        <v>130</v>
      </c>
      <c r="C993" t="s">
        <v>115</v>
      </c>
      <c r="D993" s="291">
        <v>360000</v>
      </c>
      <c r="E993">
        <v>360000</v>
      </c>
      <c r="F993" t="s">
        <v>121</v>
      </c>
      <c r="G993" t="s">
        <v>117</v>
      </c>
      <c r="H993" t="s">
        <v>325</v>
      </c>
      <c r="I993" s="197">
        <v>44895.791872534719</v>
      </c>
      <c r="J993" t="b">
        <v>0</v>
      </c>
      <c r="K993" t="s">
        <v>544</v>
      </c>
      <c r="L993" t="s">
        <v>6</v>
      </c>
      <c r="M993">
        <v>30</v>
      </c>
      <c r="N993">
        <v>11</v>
      </c>
      <c r="O993">
        <v>2022</v>
      </c>
      <c r="R993">
        <f>IF(wallet_records[[#This Row],[type]]="Gasto",wallet_records[[#This Row],[amount]]*(-1),wallet_records[[#This Row],[amount]])</f>
        <v>360000</v>
      </c>
    </row>
    <row r="994" spans="1:18" x14ac:dyDescent="0.2">
      <c r="A994" t="s">
        <v>127</v>
      </c>
      <c r="B994" t="s">
        <v>130</v>
      </c>
      <c r="C994" t="s">
        <v>115</v>
      </c>
      <c r="D994" s="291">
        <v>1200000</v>
      </c>
      <c r="E994">
        <v>1200000</v>
      </c>
      <c r="F994" t="s">
        <v>121</v>
      </c>
      <c r="G994" t="s">
        <v>117</v>
      </c>
      <c r="H994" t="s">
        <v>325</v>
      </c>
      <c r="I994" s="197">
        <v>44895.791666666664</v>
      </c>
      <c r="J994" t="b">
        <v>0</v>
      </c>
      <c r="K994" t="s">
        <v>77</v>
      </c>
      <c r="L994" t="s">
        <v>77</v>
      </c>
      <c r="M994">
        <v>30</v>
      </c>
      <c r="N994">
        <v>11</v>
      </c>
      <c r="O994">
        <v>2022</v>
      </c>
      <c r="R994">
        <f>IF(wallet_records[[#This Row],[type]]="Gasto",wallet_records[[#This Row],[amount]]*(-1),wallet_records[[#This Row],[amount]])</f>
        <v>1200000</v>
      </c>
    </row>
    <row r="995" spans="1:18" x14ac:dyDescent="0.2">
      <c r="A995" t="s">
        <v>127</v>
      </c>
      <c r="B995" t="s">
        <v>130</v>
      </c>
      <c r="C995" t="s">
        <v>115</v>
      </c>
      <c r="D995" s="291">
        <v>1100000</v>
      </c>
      <c r="E995">
        <v>1100000</v>
      </c>
      <c r="F995" t="s">
        <v>121</v>
      </c>
      <c r="G995" t="s">
        <v>117</v>
      </c>
      <c r="H995" t="s">
        <v>326</v>
      </c>
      <c r="I995" s="197">
        <v>44881.791666666664</v>
      </c>
      <c r="J995" t="b">
        <v>0</v>
      </c>
      <c r="K995" t="s">
        <v>1</v>
      </c>
      <c r="L995" t="s">
        <v>1</v>
      </c>
      <c r="M995">
        <v>16</v>
      </c>
      <c r="N995">
        <v>11</v>
      </c>
      <c r="O995">
        <v>2022</v>
      </c>
      <c r="R995">
        <f>IF(wallet_records[[#This Row],[type]]="Gasto",wallet_records[[#This Row],[amount]]*(-1),wallet_records[[#This Row],[amount]])</f>
        <v>1100000</v>
      </c>
    </row>
    <row r="996" spans="1:18" x14ac:dyDescent="0.2">
      <c r="A996" t="s">
        <v>127</v>
      </c>
      <c r="B996" t="s">
        <v>130</v>
      </c>
      <c r="C996" t="s">
        <v>115</v>
      </c>
      <c r="D996" s="291">
        <v>1100000</v>
      </c>
      <c r="E996">
        <v>1100000</v>
      </c>
      <c r="F996" t="s">
        <v>121</v>
      </c>
      <c r="G996" t="s">
        <v>117</v>
      </c>
      <c r="H996" t="s">
        <v>327</v>
      </c>
      <c r="I996" s="197">
        <v>44881.791666666664</v>
      </c>
      <c r="J996" t="b">
        <v>0</v>
      </c>
      <c r="K996" t="s">
        <v>0</v>
      </c>
      <c r="L996" t="s">
        <v>0</v>
      </c>
      <c r="M996">
        <v>16</v>
      </c>
      <c r="N996">
        <v>11</v>
      </c>
      <c r="O996">
        <v>2022</v>
      </c>
      <c r="R996">
        <f>IF(wallet_records[[#This Row],[type]]="Gasto",wallet_records[[#This Row],[amount]]*(-1),wallet_records[[#This Row],[amount]])</f>
        <v>1100000</v>
      </c>
    </row>
    <row r="997" spans="1:18" x14ac:dyDescent="0.2">
      <c r="A997" t="s">
        <v>127</v>
      </c>
      <c r="B997" t="s">
        <v>130</v>
      </c>
      <c r="C997" t="s">
        <v>115</v>
      </c>
      <c r="D997" s="291">
        <v>360000</v>
      </c>
      <c r="E997">
        <v>360000</v>
      </c>
      <c r="F997" t="s">
        <v>121</v>
      </c>
      <c r="G997" t="s">
        <v>117</v>
      </c>
      <c r="H997" t="s">
        <v>328</v>
      </c>
      <c r="I997" s="197">
        <v>44865.791955081018</v>
      </c>
      <c r="J997" t="b">
        <v>0</v>
      </c>
      <c r="K997" t="s">
        <v>544</v>
      </c>
      <c r="L997" t="s">
        <v>6</v>
      </c>
      <c r="M997">
        <v>31</v>
      </c>
      <c r="N997">
        <v>10</v>
      </c>
      <c r="O997">
        <v>2022</v>
      </c>
      <c r="R997">
        <f>IF(wallet_records[[#This Row],[type]]="Gasto",wallet_records[[#This Row],[amount]]*(-1),wallet_records[[#This Row],[amount]])</f>
        <v>360000</v>
      </c>
    </row>
    <row r="998" spans="1:18" x14ac:dyDescent="0.2">
      <c r="A998" t="s">
        <v>127</v>
      </c>
      <c r="B998" t="s">
        <v>130</v>
      </c>
      <c r="C998" t="s">
        <v>115</v>
      </c>
      <c r="D998" s="291">
        <v>1200000</v>
      </c>
      <c r="E998">
        <v>1200000</v>
      </c>
      <c r="F998" t="s">
        <v>121</v>
      </c>
      <c r="G998" t="s">
        <v>117</v>
      </c>
      <c r="H998" t="s">
        <v>328</v>
      </c>
      <c r="I998" s="197">
        <v>44865.791666666664</v>
      </c>
      <c r="J998" t="b">
        <v>0</v>
      </c>
      <c r="K998" t="s">
        <v>77</v>
      </c>
      <c r="L998" t="s">
        <v>77</v>
      </c>
      <c r="M998">
        <v>31</v>
      </c>
      <c r="N998">
        <v>10</v>
      </c>
      <c r="O998">
        <v>2022</v>
      </c>
      <c r="R998">
        <f>IF(wallet_records[[#This Row],[type]]="Gasto",wallet_records[[#This Row],[amount]]*(-1),wallet_records[[#This Row],[amount]])</f>
        <v>1200000</v>
      </c>
    </row>
    <row r="999" spans="1:18" x14ac:dyDescent="0.2">
      <c r="A999" t="s">
        <v>127</v>
      </c>
      <c r="B999" t="s">
        <v>130</v>
      </c>
      <c r="C999" t="s">
        <v>115</v>
      </c>
      <c r="D999" s="291">
        <v>1100000</v>
      </c>
      <c r="E999">
        <v>1100000</v>
      </c>
      <c r="F999" t="s">
        <v>121</v>
      </c>
      <c r="G999" t="s">
        <v>117</v>
      </c>
      <c r="H999" t="s">
        <v>329</v>
      </c>
      <c r="I999" s="197">
        <v>44851.791666666664</v>
      </c>
      <c r="J999" t="b">
        <v>0</v>
      </c>
      <c r="K999" t="s">
        <v>1</v>
      </c>
      <c r="L999" t="s">
        <v>1</v>
      </c>
      <c r="M999">
        <v>17</v>
      </c>
      <c r="N999">
        <v>10</v>
      </c>
      <c r="O999">
        <v>2022</v>
      </c>
      <c r="R999">
        <f>IF(wallet_records[[#This Row],[type]]="Gasto",wallet_records[[#This Row],[amount]]*(-1),wallet_records[[#This Row],[amount]])</f>
        <v>1100000</v>
      </c>
    </row>
    <row r="1000" spans="1:18" x14ac:dyDescent="0.2">
      <c r="A1000" t="s">
        <v>127</v>
      </c>
      <c r="B1000" t="s">
        <v>130</v>
      </c>
      <c r="C1000" t="s">
        <v>115</v>
      </c>
      <c r="D1000" s="291">
        <v>1100000</v>
      </c>
      <c r="E1000">
        <v>1100000</v>
      </c>
      <c r="F1000" t="s">
        <v>121</v>
      </c>
      <c r="G1000" t="s">
        <v>117</v>
      </c>
      <c r="H1000" t="s">
        <v>330</v>
      </c>
      <c r="I1000" s="197">
        <v>44851.791666666664</v>
      </c>
      <c r="J1000" t="b">
        <v>0</v>
      </c>
      <c r="K1000" t="s">
        <v>0</v>
      </c>
      <c r="L1000" t="s">
        <v>0</v>
      </c>
      <c r="M1000">
        <v>17</v>
      </c>
      <c r="N1000">
        <v>10</v>
      </c>
      <c r="O1000">
        <v>2022</v>
      </c>
      <c r="R1000">
        <f>IF(wallet_records[[#This Row],[type]]="Gasto",wallet_records[[#This Row],[amount]]*(-1),wallet_records[[#This Row],[amount]])</f>
        <v>1100000</v>
      </c>
    </row>
    <row r="1001" spans="1:18" x14ac:dyDescent="0.2">
      <c r="A1001" t="s">
        <v>127</v>
      </c>
      <c r="B1001" t="s">
        <v>130</v>
      </c>
      <c r="C1001" t="s">
        <v>115</v>
      </c>
      <c r="D1001" s="291">
        <v>360000</v>
      </c>
      <c r="E1001">
        <v>360000</v>
      </c>
      <c r="F1001" t="s">
        <v>121</v>
      </c>
      <c r="G1001" t="s">
        <v>117</v>
      </c>
      <c r="H1001" t="s">
        <v>331</v>
      </c>
      <c r="I1001" s="197">
        <v>44837.792055254627</v>
      </c>
      <c r="J1001" t="b">
        <v>0</v>
      </c>
      <c r="K1001" t="s">
        <v>544</v>
      </c>
      <c r="L1001" t="s">
        <v>6</v>
      </c>
      <c r="M1001">
        <v>3</v>
      </c>
      <c r="N1001">
        <v>10</v>
      </c>
      <c r="O1001">
        <v>2022</v>
      </c>
      <c r="R1001">
        <f>IF(wallet_records[[#This Row],[type]]="Gasto",wallet_records[[#This Row],[amount]]*(-1),wallet_records[[#This Row],[amount]])</f>
        <v>360000</v>
      </c>
    </row>
    <row r="1002" spans="1:18" x14ac:dyDescent="0.2">
      <c r="A1002" t="s">
        <v>127</v>
      </c>
      <c r="B1002" t="s">
        <v>130</v>
      </c>
      <c r="C1002" t="s">
        <v>115</v>
      </c>
      <c r="D1002" s="291">
        <v>1200000</v>
      </c>
      <c r="E1002">
        <v>1200000</v>
      </c>
      <c r="F1002" t="s">
        <v>121</v>
      </c>
      <c r="G1002" t="s">
        <v>117</v>
      </c>
      <c r="H1002" t="s">
        <v>331</v>
      </c>
      <c r="I1002" s="197">
        <v>44837.791666666664</v>
      </c>
      <c r="J1002" t="b">
        <v>0</v>
      </c>
      <c r="K1002" t="s">
        <v>77</v>
      </c>
      <c r="L1002" t="s">
        <v>77</v>
      </c>
      <c r="M1002">
        <v>3</v>
      </c>
      <c r="N1002">
        <v>10</v>
      </c>
      <c r="O1002">
        <v>2022</v>
      </c>
      <c r="R1002">
        <f>IF(wallet_records[[#This Row],[type]]="Gasto",wallet_records[[#This Row],[amount]]*(-1),wallet_records[[#This Row],[amount]])</f>
        <v>1200000</v>
      </c>
    </row>
    <row r="1003" spans="1:18" x14ac:dyDescent="0.2">
      <c r="A1003" t="s">
        <v>127</v>
      </c>
      <c r="B1003" t="s">
        <v>130</v>
      </c>
      <c r="C1003" t="s">
        <v>115</v>
      </c>
      <c r="D1003" s="291">
        <v>1100000</v>
      </c>
      <c r="E1003">
        <v>1100000</v>
      </c>
      <c r="F1003" t="s">
        <v>121</v>
      </c>
      <c r="G1003" t="s">
        <v>117</v>
      </c>
      <c r="H1003" t="s">
        <v>332</v>
      </c>
      <c r="I1003" s="197">
        <v>44822.791666666664</v>
      </c>
      <c r="J1003" t="b">
        <v>0</v>
      </c>
      <c r="K1003" t="s">
        <v>1</v>
      </c>
      <c r="L1003" t="s">
        <v>1</v>
      </c>
      <c r="M1003">
        <v>18</v>
      </c>
      <c r="N1003">
        <v>9</v>
      </c>
      <c r="O1003">
        <v>2022</v>
      </c>
      <c r="R1003">
        <f>IF(wallet_records[[#This Row],[type]]="Gasto",wallet_records[[#This Row],[amount]]*(-1),wallet_records[[#This Row],[amount]])</f>
        <v>1100000</v>
      </c>
    </row>
    <row r="1004" spans="1:18" x14ac:dyDescent="0.2">
      <c r="A1004" t="s">
        <v>127</v>
      </c>
      <c r="B1004" t="s">
        <v>130</v>
      </c>
      <c r="C1004" t="s">
        <v>115</v>
      </c>
      <c r="D1004" s="291">
        <v>1100000</v>
      </c>
      <c r="E1004">
        <v>1100000</v>
      </c>
      <c r="F1004" t="s">
        <v>121</v>
      </c>
      <c r="G1004" t="s">
        <v>117</v>
      </c>
      <c r="H1004" t="s">
        <v>333</v>
      </c>
      <c r="I1004" s="197">
        <v>44822.791666666664</v>
      </c>
      <c r="J1004" t="b">
        <v>0</v>
      </c>
      <c r="K1004" t="s">
        <v>0</v>
      </c>
      <c r="L1004" t="s">
        <v>0</v>
      </c>
      <c r="M1004">
        <v>18</v>
      </c>
      <c r="N1004">
        <v>9</v>
      </c>
      <c r="O1004">
        <v>2022</v>
      </c>
      <c r="R1004">
        <f>IF(wallet_records[[#This Row],[type]]="Gasto",wallet_records[[#This Row],[amount]]*(-1),wallet_records[[#This Row],[amount]])</f>
        <v>1100000</v>
      </c>
    </row>
    <row r="1005" spans="1:18" x14ac:dyDescent="0.2">
      <c r="A1005" t="s">
        <v>127</v>
      </c>
      <c r="B1005" t="s">
        <v>130</v>
      </c>
      <c r="C1005" t="s">
        <v>115</v>
      </c>
      <c r="D1005" s="291">
        <v>720000</v>
      </c>
      <c r="E1005">
        <v>720000</v>
      </c>
      <c r="F1005" t="s">
        <v>121</v>
      </c>
      <c r="G1005" t="s">
        <v>117</v>
      </c>
      <c r="H1005" t="s">
        <v>334</v>
      </c>
      <c r="I1005" s="197">
        <v>44803.79219857639</v>
      </c>
      <c r="J1005" t="b">
        <v>0</v>
      </c>
      <c r="K1005" t="s">
        <v>544</v>
      </c>
      <c r="L1005" t="s">
        <v>6</v>
      </c>
      <c r="M1005">
        <v>30</v>
      </c>
      <c r="N1005">
        <v>8</v>
      </c>
      <c r="O1005">
        <v>2022</v>
      </c>
      <c r="R1005">
        <f>IF(wallet_records[[#This Row],[type]]="Gasto",wallet_records[[#This Row],[amount]]*(-1),wallet_records[[#This Row],[amount]])</f>
        <v>720000</v>
      </c>
    </row>
    <row r="1006" spans="1:18" x14ac:dyDescent="0.2">
      <c r="A1006" t="s">
        <v>127</v>
      </c>
      <c r="B1006" t="s">
        <v>130</v>
      </c>
      <c r="C1006" t="s">
        <v>115</v>
      </c>
      <c r="D1006" s="291">
        <v>1200000</v>
      </c>
      <c r="E1006">
        <v>1200000</v>
      </c>
      <c r="F1006" t="s">
        <v>121</v>
      </c>
      <c r="G1006" t="s">
        <v>117</v>
      </c>
      <c r="H1006" t="s">
        <v>335</v>
      </c>
      <c r="I1006" s="197">
        <v>44803.791666666664</v>
      </c>
      <c r="J1006" t="b">
        <v>0</v>
      </c>
      <c r="K1006" t="s">
        <v>77</v>
      </c>
      <c r="L1006" t="s">
        <v>77</v>
      </c>
      <c r="M1006">
        <v>30</v>
      </c>
      <c r="N1006">
        <v>8</v>
      </c>
      <c r="O1006">
        <v>2022</v>
      </c>
      <c r="R1006">
        <f>IF(wallet_records[[#This Row],[type]]="Gasto",wallet_records[[#This Row],[amount]]*(-1),wallet_records[[#This Row],[amount]])</f>
        <v>1200000</v>
      </c>
    </row>
    <row r="1007" spans="1:18" x14ac:dyDescent="0.2">
      <c r="A1007" t="s">
        <v>127</v>
      </c>
      <c r="B1007" t="s">
        <v>130</v>
      </c>
      <c r="C1007" t="s">
        <v>115</v>
      </c>
      <c r="D1007" s="291">
        <v>1100000</v>
      </c>
      <c r="E1007">
        <v>1100000</v>
      </c>
      <c r="F1007" t="s">
        <v>121</v>
      </c>
      <c r="G1007" t="s">
        <v>117</v>
      </c>
      <c r="H1007" t="s">
        <v>336</v>
      </c>
      <c r="I1007" s="197">
        <v>44784.791666666664</v>
      </c>
      <c r="J1007" t="b">
        <v>0</v>
      </c>
      <c r="K1007" t="s">
        <v>1</v>
      </c>
      <c r="L1007" t="s">
        <v>1</v>
      </c>
      <c r="M1007">
        <v>11</v>
      </c>
      <c r="N1007">
        <v>8</v>
      </c>
      <c r="O1007">
        <v>2022</v>
      </c>
      <c r="R1007">
        <f>IF(wallet_records[[#This Row],[type]]="Gasto",wallet_records[[#This Row],[amount]]*(-1),wallet_records[[#This Row],[amount]])</f>
        <v>1100000</v>
      </c>
    </row>
    <row r="1008" spans="1:18" x14ac:dyDescent="0.2">
      <c r="A1008" t="s">
        <v>127</v>
      </c>
      <c r="B1008" t="s">
        <v>130</v>
      </c>
      <c r="C1008" t="s">
        <v>115</v>
      </c>
      <c r="D1008" s="291">
        <v>1100000</v>
      </c>
      <c r="E1008">
        <v>1100000</v>
      </c>
      <c r="F1008" t="s">
        <v>121</v>
      </c>
      <c r="G1008" t="s">
        <v>117</v>
      </c>
      <c r="H1008" t="s">
        <v>337</v>
      </c>
      <c r="I1008" s="197">
        <v>44774.791666666664</v>
      </c>
      <c r="J1008" t="b">
        <v>0</v>
      </c>
      <c r="K1008" t="s">
        <v>0</v>
      </c>
      <c r="L1008" t="s">
        <v>0</v>
      </c>
      <c r="M1008">
        <v>1</v>
      </c>
      <c r="N1008">
        <v>8</v>
      </c>
      <c r="O1008">
        <v>2022</v>
      </c>
      <c r="R1008">
        <f>IF(wallet_records[[#This Row],[type]]="Gasto",wallet_records[[#This Row],[amount]]*(-1),wallet_records[[#This Row],[amount]])</f>
        <v>1100000</v>
      </c>
    </row>
    <row r="1009" spans="1:18" x14ac:dyDescent="0.2">
      <c r="A1009" t="s">
        <v>127</v>
      </c>
      <c r="B1009" t="s">
        <v>130</v>
      </c>
      <c r="C1009" t="s">
        <v>115</v>
      </c>
      <c r="D1009" s="291">
        <v>1200000</v>
      </c>
      <c r="E1009">
        <v>1200000</v>
      </c>
      <c r="F1009" t="s">
        <v>121</v>
      </c>
      <c r="G1009" t="s">
        <v>117</v>
      </c>
      <c r="H1009" t="s">
        <v>338</v>
      </c>
      <c r="I1009" s="197">
        <v>44773.791666666664</v>
      </c>
      <c r="J1009" t="b">
        <v>0</v>
      </c>
      <c r="K1009" t="s">
        <v>77</v>
      </c>
      <c r="L1009" t="s">
        <v>77</v>
      </c>
      <c r="M1009">
        <v>31</v>
      </c>
      <c r="N1009">
        <v>7</v>
      </c>
      <c r="O1009">
        <v>2022</v>
      </c>
      <c r="R1009">
        <f>IF(wallet_records[[#This Row],[type]]="Gasto",wallet_records[[#This Row],[amount]]*(-1),wallet_records[[#This Row],[amount]])</f>
        <v>1200000</v>
      </c>
    </row>
    <row r="1010" spans="1:18" x14ac:dyDescent="0.2">
      <c r="A1010" t="s">
        <v>127</v>
      </c>
      <c r="B1010" t="s">
        <v>130</v>
      </c>
      <c r="C1010" t="s">
        <v>115</v>
      </c>
      <c r="D1010" s="291">
        <v>1100000</v>
      </c>
      <c r="E1010">
        <v>1100000</v>
      </c>
      <c r="F1010" t="s">
        <v>121</v>
      </c>
      <c r="G1010" t="s">
        <v>117</v>
      </c>
      <c r="H1010" t="s">
        <v>339</v>
      </c>
      <c r="I1010" s="197">
        <v>44762.791666666664</v>
      </c>
      <c r="J1010" t="b">
        <v>0</v>
      </c>
      <c r="K1010" t="s">
        <v>1</v>
      </c>
      <c r="L1010" t="s">
        <v>1</v>
      </c>
      <c r="M1010">
        <v>20</v>
      </c>
      <c r="N1010">
        <v>7</v>
      </c>
      <c r="O1010">
        <v>2022</v>
      </c>
      <c r="R1010">
        <f>IF(wallet_records[[#This Row],[type]]="Gasto",wallet_records[[#This Row],[amount]]*(-1),wallet_records[[#This Row],[amount]])</f>
        <v>1100000</v>
      </c>
    </row>
    <row r="1011" spans="1:18" x14ac:dyDescent="0.2">
      <c r="A1011" t="s">
        <v>127</v>
      </c>
      <c r="B1011" t="s">
        <v>130</v>
      </c>
      <c r="C1011" t="s">
        <v>115</v>
      </c>
      <c r="D1011" s="291">
        <v>1100000</v>
      </c>
      <c r="E1011">
        <v>1100000</v>
      </c>
      <c r="F1011" t="s">
        <v>121</v>
      </c>
      <c r="G1011" t="s">
        <v>117</v>
      </c>
      <c r="H1011" t="s">
        <v>340</v>
      </c>
      <c r="I1011" s="197">
        <v>44757.791666666664</v>
      </c>
      <c r="J1011" t="b">
        <v>0</v>
      </c>
      <c r="K1011" t="s">
        <v>0</v>
      </c>
      <c r="L1011" t="s">
        <v>0</v>
      </c>
      <c r="M1011">
        <v>15</v>
      </c>
      <c r="N1011">
        <v>7</v>
      </c>
      <c r="O1011">
        <v>2022</v>
      </c>
      <c r="R1011">
        <f>IF(wallet_records[[#This Row],[type]]="Gasto",wallet_records[[#This Row],[amount]]*(-1),wallet_records[[#This Row],[amount]])</f>
        <v>1100000</v>
      </c>
    </row>
    <row r="1012" spans="1:18" x14ac:dyDescent="0.2">
      <c r="A1012" t="s">
        <v>127</v>
      </c>
      <c r="B1012" t="s">
        <v>130</v>
      </c>
      <c r="C1012" t="s">
        <v>115</v>
      </c>
      <c r="D1012" s="291">
        <v>360000</v>
      </c>
      <c r="E1012">
        <v>360000</v>
      </c>
      <c r="F1012" t="s">
        <v>121</v>
      </c>
      <c r="G1012" t="s">
        <v>117</v>
      </c>
      <c r="H1012" t="s">
        <v>341</v>
      </c>
      <c r="I1012" s="197">
        <v>44742.792284756943</v>
      </c>
      <c r="J1012" t="b">
        <v>0</v>
      </c>
      <c r="K1012" t="s">
        <v>544</v>
      </c>
      <c r="L1012" t="s">
        <v>6</v>
      </c>
      <c r="M1012">
        <v>30</v>
      </c>
      <c r="N1012">
        <v>6</v>
      </c>
      <c r="O1012">
        <v>2022</v>
      </c>
      <c r="R1012">
        <f>IF(wallet_records[[#This Row],[type]]="Gasto",wallet_records[[#This Row],[amount]]*(-1),wallet_records[[#This Row],[amount]])</f>
        <v>360000</v>
      </c>
    </row>
    <row r="1013" spans="1:18" x14ac:dyDescent="0.2">
      <c r="A1013" t="s">
        <v>127</v>
      </c>
      <c r="B1013" t="s">
        <v>130</v>
      </c>
      <c r="C1013" t="s">
        <v>115</v>
      </c>
      <c r="D1013" s="291">
        <v>1200000</v>
      </c>
      <c r="E1013">
        <v>1200000</v>
      </c>
      <c r="F1013" t="s">
        <v>121</v>
      </c>
      <c r="G1013" t="s">
        <v>117</v>
      </c>
      <c r="H1013" t="s">
        <v>341</v>
      </c>
      <c r="I1013" s="197">
        <v>44742.791666666664</v>
      </c>
      <c r="J1013" t="b">
        <v>0</v>
      </c>
      <c r="K1013" t="s">
        <v>77</v>
      </c>
      <c r="L1013" t="s">
        <v>77</v>
      </c>
      <c r="M1013">
        <v>30</v>
      </c>
      <c r="N1013">
        <v>6</v>
      </c>
      <c r="O1013">
        <v>2022</v>
      </c>
      <c r="R1013">
        <f>IF(wallet_records[[#This Row],[type]]="Gasto",wallet_records[[#This Row],[amount]]*(-1),wallet_records[[#This Row],[amount]])</f>
        <v>1200000</v>
      </c>
    </row>
    <row r="1014" spans="1:18" x14ac:dyDescent="0.2">
      <c r="A1014" t="s">
        <v>127</v>
      </c>
      <c r="B1014" t="s">
        <v>130</v>
      </c>
      <c r="C1014" t="s">
        <v>115</v>
      </c>
      <c r="D1014" s="291">
        <v>1100000</v>
      </c>
      <c r="E1014">
        <v>1100000</v>
      </c>
      <c r="F1014" t="s">
        <v>121</v>
      </c>
      <c r="G1014" t="s">
        <v>117</v>
      </c>
      <c r="H1014" t="s">
        <v>342</v>
      </c>
      <c r="I1014" s="197">
        <v>44729.791666666664</v>
      </c>
      <c r="J1014" t="b">
        <v>0</v>
      </c>
      <c r="K1014" t="s">
        <v>0</v>
      </c>
      <c r="L1014" t="s">
        <v>0</v>
      </c>
      <c r="M1014">
        <v>17</v>
      </c>
      <c r="N1014">
        <v>6</v>
      </c>
      <c r="O1014">
        <v>2022</v>
      </c>
      <c r="R1014">
        <f>IF(wallet_records[[#This Row],[type]]="Gasto",wallet_records[[#This Row],[amount]]*(-1),wallet_records[[#This Row],[amount]])</f>
        <v>1100000</v>
      </c>
    </row>
    <row r="1015" spans="1:18" x14ac:dyDescent="0.2">
      <c r="A1015" t="s">
        <v>127</v>
      </c>
      <c r="B1015" t="s">
        <v>130</v>
      </c>
      <c r="C1015" t="s">
        <v>115</v>
      </c>
      <c r="D1015" s="291">
        <v>360000</v>
      </c>
      <c r="E1015">
        <v>360000</v>
      </c>
      <c r="F1015" t="s">
        <v>121</v>
      </c>
      <c r="G1015" t="s">
        <v>117</v>
      </c>
      <c r="H1015" t="s">
        <v>343</v>
      </c>
      <c r="I1015" s="197">
        <v>44714.791723958333</v>
      </c>
      <c r="J1015" t="b">
        <v>0</v>
      </c>
      <c r="K1015" t="s">
        <v>544</v>
      </c>
      <c r="L1015" t="s">
        <v>6</v>
      </c>
      <c r="M1015">
        <v>2</v>
      </c>
      <c r="N1015">
        <v>6</v>
      </c>
      <c r="O1015">
        <v>2022</v>
      </c>
      <c r="R1015">
        <f>IF(wallet_records[[#This Row],[type]]="Gasto",wallet_records[[#This Row],[amount]]*(-1),wallet_records[[#This Row],[amount]])</f>
        <v>360000</v>
      </c>
    </row>
    <row r="1016" spans="1:18" x14ac:dyDescent="0.2">
      <c r="A1016" t="s">
        <v>127</v>
      </c>
      <c r="B1016" t="s">
        <v>130</v>
      </c>
      <c r="C1016" t="s">
        <v>115</v>
      </c>
      <c r="D1016" s="291">
        <v>1200000</v>
      </c>
      <c r="E1016">
        <v>1200000</v>
      </c>
      <c r="F1016" t="s">
        <v>121</v>
      </c>
      <c r="G1016" t="s">
        <v>117</v>
      </c>
      <c r="H1016" t="s">
        <v>343</v>
      </c>
      <c r="I1016" s="197">
        <v>44714.791666666664</v>
      </c>
      <c r="J1016" t="b">
        <v>0</v>
      </c>
      <c r="K1016" t="s">
        <v>77</v>
      </c>
      <c r="L1016" t="s">
        <v>77</v>
      </c>
      <c r="M1016">
        <v>2</v>
      </c>
      <c r="N1016">
        <v>6</v>
      </c>
      <c r="O1016">
        <v>2022</v>
      </c>
      <c r="R1016">
        <f>IF(wallet_records[[#This Row],[type]]="Gasto",wallet_records[[#This Row],[amount]]*(-1),wallet_records[[#This Row],[amount]])</f>
        <v>1200000</v>
      </c>
    </row>
    <row r="1017" spans="1:18" x14ac:dyDescent="0.2">
      <c r="A1017" t="s">
        <v>127</v>
      </c>
      <c r="B1017" t="s">
        <v>130</v>
      </c>
      <c r="C1017" t="s">
        <v>115</v>
      </c>
      <c r="D1017" s="291">
        <v>1100000</v>
      </c>
      <c r="E1017">
        <v>1100000</v>
      </c>
      <c r="F1017" t="s">
        <v>121</v>
      </c>
      <c r="G1017" t="s">
        <v>117</v>
      </c>
      <c r="H1017" t="s">
        <v>344</v>
      </c>
      <c r="I1017" s="197">
        <v>44698.791666666664</v>
      </c>
      <c r="J1017" t="b">
        <v>0</v>
      </c>
      <c r="K1017" t="s">
        <v>0</v>
      </c>
      <c r="L1017" t="s">
        <v>0</v>
      </c>
      <c r="M1017">
        <v>17</v>
      </c>
      <c r="N1017">
        <v>5</v>
      </c>
      <c r="O1017">
        <v>2022</v>
      </c>
      <c r="R1017">
        <f>IF(wallet_records[[#This Row],[type]]="Gasto",wallet_records[[#This Row],[amount]]*(-1),wallet_records[[#This Row],[amount]])</f>
        <v>1100000</v>
      </c>
    </row>
    <row r="1018" spans="1:18" x14ac:dyDescent="0.2">
      <c r="A1018" t="s">
        <v>127</v>
      </c>
      <c r="B1018" t="s">
        <v>130</v>
      </c>
      <c r="C1018" t="s">
        <v>115</v>
      </c>
      <c r="D1018" s="291">
        <v>1100000</v>
      </c>
      <c r="E1018">
        <v>1100000</v>
      </c>
      <c r="F1018" t="s">
        <v>121</v>
      </c>
      <c r="G1018" t="s">
        <v>117</v>
      </c>
      <c r="H1018" t="s">
        <v>345</v>
      </c>
      <c r="I1018" s="197">
        <v>44694.791666666664</v>
      </c>
      <c r="J1018" t="b">
        <v>0</v>
      </c>
      <c r="K1018" t="s">
        <v>1</v>
      </c>
      <c r="L1018" t="s">
        <v>1</v>
      </c>
      <c r="M1018">
        <v>13</v>
      </c>
      <c r="N1018">
        <v>5</v>
      </c>
      <c r="O1018">
        <v>2022</v>
      </c>
      <c r="R1018">
        <f>IF(wallet_records[[#This Row],[type]]="Gasto",wallet_records[[#This Row],[amount]]*(-1),wallet_records[[#This Row],[amount]])</f>
        <v>1100000</v>
      </c>
    </row>
    <row r="1019" spans="1:18" x14ac:dyDescent="0.2">
      <c r="A1019" t="s">
        <v>127</v>
      </c>
      <c r="B1019" t="s">
        <v>130</v>
      </c>
      <c r="C1019" t="s">
        <v>115</v>
      </c>
      <c r="D1019" s="291">
        <v>1100000</v>
      </c>
      <c r="E1019">
        <v>1100000</v>
      </c>
      <c r="F1019" t="s">
        <v>121</v>
      </c>
      <c r="G1019" t="s">
        <v>117</v>
      </c>
      <c r="H1019" t="s">
        <v>346</v>
      </c>
      <c r="I1019" s="197">
        <v>44694.791666666664</v>
      </c>
      <c r="J1019" t="b">
        <v>0</v>
      </c>
      <c r="K1019" t="s">
        <v>1</v>
      </c>
      <c r="L1019" t="s">
        <v>1</v>
      </c>
      <c r="M1019">
        <v>13</v>
      </c>
      <c r="N1019">
        <v>5</v>
      </c>
      <c r="O1019">
        <v>2022</v>
      </c>
      <c r="R1019">
        <f>IF(wallet_records[[#This Row],[type]]="Gasto",wallet_records[[#This Row],[amount]]*(-1),wallet_records[[#This Row],[amount]])</f>
        <v>1100000</v>
      </c>
    </row>
    <row r="1020" spans="1:18" x14ac:dyDescent="0.2">
      <c r="A1020" t="s">
        <v>127</v>
      </c>
      <c r="B1020" t="s">
        <v>130</v>
      </c>
      <c r="C1020" t="s">
        <v>115</v>
      </c>
      <c r="D1020" s="291">
        <v>360000</v>
      </c>
      <c r="E1020">
        <v>360000</v>
      </c>
      <c r="F1020" t="s">
        <v>121</v>
      </c>
      <c r="G1020" t="s">
        <v>117</v>
      </c>
      <c r="H1020" t="s">
        <v>347</v>
      </c>
      <c r="I1020" s="197">
        <v>44683.791892743058</v>
      </c>
      <c r="J1020" t="b">
        <v>0</v>
      </c>
      <c r="K1020" t="s">
        <v>544</v>
      </c>
      <c r="L1020" t="s">
        <v>6</v>
      </c>
      <c r="M1020">
        <v>2</v>
      </c>
      <c r="N1020">
        <v>5</v>
      </c>
      <c r="O1020">
        <v>2022</v>
      </c>
      <c r="R1020">
        <f>IF(wallet_records[[#This Row],[type]]="Gasto",wallet_records[[#This Row],[amount]]*(-1),wallet_records[[#This Row],[amount]])</f>
        <v>360000</v>
      </c>
    </row>
    <row r="1021" spans="1:18" x14ac:dyDescent="0.2">
      <c r="A1021" t="s">
        <v>127</v>
      </c>
      <c r="B1021" t="s">
        <v>130</v>
      </c>
      <c r="C1021" t="s">
        <v>115</v>
      </c>
      <c r="D1021" s="291">
        <v>1200000</v>
      </c>
      <c r="E1021">
        <v>1200000</v>
      </c>
      <c r="F1021" t="s">
        <v>121</v>
      </c>
      <c r="G1021" t="s">
        <v>117</v>
      </c>
      <c r="H1021" t="s">
        <v>348</v>
      </c>
      <c r="I1021" s="197">
        <v>44681.791666666664</v>
      </c>
      <c r="J1021" t="b">
        <v>0</v>
      </c>
      <c r="K1021" t="s">
        <v>77</v>
      </c>
      <c r="L1021" t="s">
        <v>77</v>
      </c>
      <c r="M1021">
        <v>30</v>
      </c>
      <c r="N1021">
        <v>4</v>
      </c>
      <c r="O1021">
        <v>2022</v>
      </c>
      <c r="R1021">
        <f>IF(wallet_records[[#This Row],[type]]="Gasto",wallet_records[[#This Row],[amount]]*(-1),wallet_records[[#This Row],[amount]])</f>
        <v>1200000</v>
      </c>
    </row>
    <row r="1022" spans="1:18" x14ac:dyDescent="0.2">
      <c r="A1022" t="s">
        <v>127</v>
      </c>
      <c r="B1022" t="s">
        <v>130</v>
      </c>
      <c r="C1022" t="s">
        <v>115</v>
      </c>
      <c r="D1022" s="291">
        <v>225000</v>
      </c>
      <c r="E1022">
        <v>225000</v>
      </c>
      <c r="F1022" t="s">
        <v>121</v>
      </c>
      <c r="G1022" t="s">
        <v>117</v>
      </c>
      <c r="H1022" t="s">
        <v>292</v>
      </c>
      <c r="I1022" s="197">
        <v>44675.791666666664</v>
      </c>
      <c r="J1022" t="b">
        <v>0</v>
      </c>
      <c r="K1022" t="s">
        <v>7</v>
      </c>
      <c r="L1022" t="s">
        <v>7</v>
      </c>
      <c r="M1022">
        <v>24</v>
      </c>
      <c r="N1022">
        <v>4</v>
      </c>
      <c r="O1022">
        <v>2022</v>
      </c>
      <c r="R1022">
        <f>IF(wallet_records[[#This Row],[type]]="Gasto",wallet_records[[#This Row],[amount]]*(-1),wallet_records[[#This Row],[amount]])</f>
        <v>225000</v>
      </c>
    </row>
    <row r="1023" spans="1:18" x14ac:dyDescent="0.2">
      <c r="A1023" t="s">
        <v>127</v>
      </c>
      <c r="B1023" t="s">
        <v>130</v>
      </c>
      <c r="C1023" t="s">
        <v>115</v>
      </c>
      <c r="D1023" s="291">
        <v>980000</v>
      </c>
      <c r="E1023">
        <v>980000</v>
      </c>
      <c r="F1023" t="s">
        <v>121</v>
      </c>
      <c r="G1023" t="s">
        <v>117</v>
      </c>
      <c r="H1023" t="s">
        <v>349</v>
      </c>
      <c r="I1023" s="197">
        <v>44665.791666666664</v>
      </c>
      <c r="J1023" t="b">
        <v>0</v>
      </c>
      <c r="K1023" t="s">
        <v>0</v>
      </c>
      <c r="L1023" t="s">
        <v>0</v>
      </c>
      <c r="M1023">
        <v>14</v>
      </c>
      <c r="N1023">
        <v>4</v>
      </c>
      <c r="O1023">
        <v>2022</v>
      </c>
      <c r="R1023">
        <f>IF(wallet_records[[#This Row],[type]]="Gasto",wallet_records[[#This Row],[amount]]*(-1),wallet_records[[#This Row],[amount]])</f>
        <v>980000</v>
      </c>
    </row>
    <row r="1024" spans="1:18" x14ac:dyDescent="0.2">
      <c r="A1024" t="s">
        <v>525</v>
      </c>
      <c r="B1024" t="s">
        <v>306</v>
      </c>
      <c r="C1024" t="s">
        <v>115</v>
      </c>
      <c r="D1024" s="291">
        <v>48077</v>
      </c>
      <c r="E1024">
        <v>48077</v>
      </c>
      <c r="F1024" t="s">
        <v>116</v>
      </c>
      <c r="G1024" t="s">
        <v>117</v>
      </c>
      <c r="H1024" t="s">
        <v>307</v>
      </c>
      <c r="I1024" s="197">
        <v>44913.791666666664</v>
      </c>
      <c r="J1024" t="b">
        <v>0</v>
      </c>
      <c r="K1024" t="s">
        <v>7</v>
      </c>
      <c r="L1024" t="s">
        <v>7</v>
      </c>
      <c r="M1024">
        <v>18</v>
      </c>
      <c r="N1024">
        <v>12</v>
      </c>
      <c r="O1024">
        <v>2022</v>
      </c>
      <c r="R1024">
        <f>IF(wallet_records[[#This Row],[type]]="Gasto",wallet_records[[#This Row],[amount]]*(-1),wallet_records[[#This Row],[amount]])</f>
        <v>-48077</v>
      </c>
    </row>
    <row r="1025" spans="1:18" x14ac:dyDescent="0.2">
      <c r="A1025" t="s">
        <v>525</v>
      </c>
      <c r="B1025" t="s">
        <v>306</v>
      </c>
      <c r="C1025" t="s">
        <v>115</v>
      </c>
      <c r="D1025" s="291">
        <v>24803</v>
      </c>
      <c r="E1025">
        <v>24803</v>
      </c>
      <c r="F1025" t="s">
        <v>116</v>
      </c>
      <c r="G1025" t="s">
        <v>117</v>
      </c>
      <c r="H1025" t="s">
        <v>307</v>
      </c>
      <c r="I1025" s="197">
        <v>44894.791666666664</v>
      </c>
      <c r="J1025" t="b">
        <v>0</v>
      </c>
      <c r="K1025" t="s">
        <v>7</v>
      </c>
      <c r="L1025" t="s">
        <v>7</v>
      </c>
      <c r="M1025">
        <v>29</v>
      </c>
      <c r="N1025">
        <v>11</v>
      </c>
      <c r="O1025">
        <v>2022</v>
      </c>
      <c r="R1025">
        <f>IF(wallet_records[[#This Row],[type]]="Gasto",wallet_records[[#This Row],[amount]]*(-1),wallet_records[[#This Row],[amount]])</f>
        <v>-24803</v>
      </c>
    </row>
    <row r="1026" spans="1:18" x14ac:dyDescent="0.2">
      <c r="A1026" t="s">
        <v>525</v>
      </c>
      <c r="B1026" t="s">
        <v>306</v>
      </c>
      <c r="C1026" t="s">
        <v>115</v>
      </c>
      <c r="D1026" s="291">
        <v>57414</v>
      </c>
      <c r="E1026">
        <v>57414</v>
      </c>
      <c r="F1026" t="s">
        <v>116</v>
      </c>
      <c r="G1026" t="s">
        <v>117</v>
      </c>
      <c r="H1026" t="s">
        <v>307</v>
      </c>
      <c r="I1026" s="197">
        <v>44878.791666666664</v>
      </c>
      <c r="J1026" t="b">
        <v>0</v>
      </c>
      <c r="K1026" t="s">
        <v>7</v>
      </c>
      <c r="L1026" t="s">
        <v>7</v>
      </c>
      <c r="M1026">
        <v>13</v>
      </c>
      <c r="N1026">
        <v>11</v>
      </c>
      <c r="O1026">
        <v>2022</v>
      </c>
      <c r="R1026">
        <f>IF(wallet_records[[#This Row],[type]]="Gasto",wallet_records[[#This Row],[amount]]*(-1),wallet_records[[#This Row],[amount]])</f>
        <v>-57414</v>
      </c>
    </row>
    <row r="1027" spans="1:18" x14ac:dyDescent="0.2">
      <c r="A1027" t="s">
        <v>525</v>
      </c>
      <c r="B1027" t="s">
        <v>306</v>
      </c>
      <c r="C1027" t="s">
        <v>115</v>
      </c>
      <c r="D1027" s="291">
        <v>65946</v>
      </c>
      <c r="E1027">
        <v>65946</v>
      </c>
      <c r="F1027" t="s">
        <v>116</v>
      </c>
      <c r="G1027" t="s">
        <v>117</v>
      </c>
      <c r="H1027" t="s">
        <v>307</v>
      </c>
      <c r="I1027" s="197">
        <v>44851.791666666664</v>
      </c>
      <c r="J1027" t="b">
        <v>0</v>
      </c>
      <c r="K1027" t="s">
        <v>7</v>
      </c>
      <c r="L1027" t="s">
        <v>7</v>
      </c>
      <c r="M1027">
        <v>17</v>
      </c>
      <c r="N1027">
        <v>10</v>
      </c>
      <c r="O1027">
        <v>2022</v>
      </c>
      <c r="R1027">
        <f>IF(wallet_records[[#This Row],[type]]="Gasto",wallet_records[[#This Row],[amount]]*(-1),wallet_records[[#This Row],[amount]])</f>
        <v>-65946</v>
      </c>
    </row>
    <row r="1028" spans="1:18" x14ac:dyDescent="0.2">
      <c r="A1028" t="s">
        <v>525</v>
      </c>
      <c r="B1028" t="s">
        <v>306</v>
      </c>
      <c r="C1028" t="s">
        <v>115</v>
      </c>
      <c r="D1028" s="291">
        <v>62077</v>
      </c>
      <c r="E1028">
        <v>62077</v>
      </c>
      <c r="F1028" t="s">
        <v>116</v>
      </c>
      <c r="G1028" t="s">
        <v>117</v>
      </c>
      <c r="H1028" t="s">
        <v>307</v>
      </c>
      <c r="I1028" s="197">
        <v>44851.791666666664</v>
      </c>
      <c r="J1028" t="b">
        <v>0</v>
      </c>
      <c r="K1028" t="s">
        <v>7</v>
      </c>
      <c r="L1028" t="s">
        <v>7</v>
      </c>
      <c r="M1028">
        <v>17</v>
      </c>
      <c r="N1028">
        <v>10</v>
      </c>
      <c r="O1028">
        <v>2022</v>
      </c>
      <c r="R1028">
        <f>IF(wallet_records[[#This Row],[type]]="Gasto",wallet_records[[#This Row],[amount]]*(-1),wallet_records[[#This Row],[amount]])</f>
        <v>-62077</v>
      </c>
    </row>
    <row r="1029" spans="1:18" x14ac:dyDescent="0.2">
      <c r="A1029" t="s">
        <v>525</v>
      </c>
      <c r="B1029" t="s">
        <v>306</v>
      </c>
      <c r="C1029" t="s">
        <v>115</v>
      </c>
      <c r="D1029" s="291">
        <v>17451</v>
      </c>
      <c r="E1029">
        <v>17451</v>
      </c>
      <c r="F1029" t="s">
        <v>116</v>
      </c>
      <c r="G1029" t="s">
        <v>117</v>
      </c>
      <c r="H1029" t="s">
        <v>307</v>
      </c>
      <c r="I1029" s="197">
        <v>44768.791666666664</v>
      </c>
      <c r="J1029" t="b">
        <v>0</v>
      </c>
      <c r="K1029" t="s">
        <v>7</v>
      </c>
      <c r="L1029" t="s">
        <v>7</v>
      </c>
      <c r="M1029">
        <v>26</v>
      </c>
      <c r="N1029">
        <v>7</v>
      </c>
      <c r="O1029">
        <v>2022</v>
      </c>
      <c r="R1029">
        <f>IF(wallet_records[[#This Row],[type]]="Gasto",wallet_records[[#This Row],[amount]]*(-1),wallet_records[[#This Row],[amount]])</f>
        <v>-17451</v>
      </c>
    </row>
    <row r="1030" spans="1:18" x14ac:dyDescent="0.2">
      <c r="A1030" t="s">
        <v>525</v>
      </c>
      <c r="B1030" t="s">
        <v>306</v>
      </c>
      <c r="C1030" t="s">
        <v>115</v>
      </c>
      <c r="D1030" s="291">
        <v>56656</v>
      </c>
      <c r="E1030">
        <v>56656</v>
      </c>
      <c r="F1030" t="s">
        <v>116</v>
      </c>
      <c r="G1030" t="s">
        <v>117</v>
      </c>
      <c r="H1030" t="s">
        <v>307</v>
      </c>
      <c r="I1030" s="197">
        <v>44768.791666666664</v>
      </c>
      <c r="J1030" t="b">
        <v>0</v>
      </c>
      <c r="K1030" t="s">
        <v>7</v>
      </c>
      <c r="L1030" t="s">
        <v>7</v>
      </c>
      <c r="M1030">
        <v>26</v>
      </c>
      <c r="N1030">
        <v>7</v>
      </c>
      <c r="O1030">
        <v>2022</v>
      </c>
      <c r="R1030">
        <f>IF(wallet_records[[#This Row],[type]]="Gasto",wallet_records[[#This Row],[amount]]*(-1),wallet_records[[#This Row],[amount]])</f>
        <v>-56656</v>
      </c>
    </row>
    <row r="1031" spans="1:18" x14ac:dyDescent="0.2">
      <c r="A1031" t="s">
        <v>525</v>
      </c>
      <c r="B1031" t="s">
        <v>306</v>
      </c>
      <c r="C1031" t="s">
        <v>115</v>
      </c>
      <c r="D1031" s="291">
        <v>63449</v>
      </c>
      <c r="E1031">
        <v>63449</v>
      </c>
      <c r="F1031" t="s">
        <v>116</v>
      </c>
      <c r="G1031" t="s">
        <v>117</v>
      </c>
      <c r="H1031" t="s">
        <v>307</v>
      </c>
      <c r="I1031" s="197">
        <v>44709.791666666664</v>
      </c>
      <c r="J1031" t="b">
        <v>0</v>
      </c>
      <c r="K1031" t="s">
        <v>77</v>
      </c>
      <c r="L1031" t="s">
        <v>77</v>
      </c>
      <c r="M1031">
        <v>28</v>
      </c>
      <c r="N1031">
        <v>5</v>
      </c>
      <c r="O1031">
        <v>2022</v>
      </c>
      <c r="R1031">
        <f>IF(wallet_records[[#This Row],[type]]="Gasto",wallet_records[[#This Row],[amount]]*(-1),wallet_records[[#This Row],[amount]])</f>
        <v>-63449</v>
      </c>
    </row>
    <row r="1032" spans="1:18" x14ac:dyDescent="0.2">
      <c r="A1032" t="s">
        <v>525</v>
      </c>
      <c r="B1032" t="s">
        <v>306</v>
      </c>
      <c r="C1032" t="s">
        <v>115</v>
      </c>
      <c r="D1032" s="291">
        <v>56272</v>
      </c>
      <c r="E1032">
        <v>56272</v>
      </c>
      <c r="F1032" t="s">
        <v>116</v>
      </c>
      <c r="G1032" t="s">
        <v>117</v>
      </c>
      <c r="H1032" t="s">
        <v>307</v>
      </c>
      <c r="I1032" s="197">
        <v>44685.791666666664</v>
      </c>
      <c r="J1032" t="b">
        <v>0</v>
      </c>
      <c r="K1032" t="s">
        <v>77</v>
      </c>
      <c r="L1032" t="s">
        <v>77</v>
      </c>
      <c r="M1032">
        <v>4</v>
      </c>
      <c r="N1032">
        <v>5</v>
      </c>
      <c r="O1032">
        <v>2022</v>
      </c>
      <c r="R1032">
        <f>IF(wallet_records[[#This Row],[type]]="Gasto",wallet_records[[#This Row],[amount]]*(-1),wallet_records[[#This Row],[amount]])</f>
        <v>-56272</v>
      </c>
    </row>
    <row r="1033" spans="1:18" x14ac:dyDescent="0.2">
      <c r="A1033" t="s">
        <v>127</v>
      </c>
      <c r="B1033" t="s">
        <v>120</v>
      </c>
      <c r="C1033" t="s">
        <v>115</v>
      </c>
      <c r="D1033" s="291">
        <v>1000000</v>
      </c>
      <c r="E1033">
        <v>1000000</v>
      </c>
      <c r="F1033" t="s">
        <v>116</v>
      </c>
      <c r="G1033" t="s">
        <v>117</v>
      </c>
      <c r="H1033" t="s">
        <v>58</v>
      </c>
      <c r="I1033" s="197">
        <v>46069.5</v>
      </c>
      <c r="J1033" t="b">
        <v>1</v>
      </c>
      <c r="K1033" t="s">
        <v>123</v>
      </c>
      <c r="L1033" t="s">
        <v>123</v>
      </c>
      <c r="M1033">
        <v>16</v>
      </c>
      <c r="N1033">
        <v>2</v>
      </c>
      <c r="O1033">
        <v>2026</v>
      </c>
      <c r="R1033">
        <f>IF(wallet_records[[#This Row],[type]]="Gasto",wallet_records[[#This Row],[amount]]*(-1),wallet_records[[#This Row],[amount]])</f>
        <v>-1000000</v>
      </c>
    </row>
    <row r="1034" spans="1:18" x14ac:dyDescent="0.2">
      <c r="A1034" t="s">
        <v>133</v>
      </c>
      <c r="B1034" t="s">
        <v>120</v>
      </c>
      <c r="C1034" t="s">
        <v>115</v>
      </c>
      <c r="D1034" s="291">
        <v>1000000</v>
      </c>
      <c r="E1034">
        <v>1000000</v>
      </c>
      <c r="F1034" t="s">
        <v>121</v>
      </c>
      <c r="G1034" t="s">
        <v>117</v>
      </c>
      <c r="H1034" t="s">
        <v>58</v>
      </c>
      <c r="I1034" s="197">
        <v>46069.5</v>
      </c>
      <c r="J1034" t="b">
        <v>1</v>
      </c>
      <c r="K1034" t="s">
        <v>123</v>
      </c>
      <c r="L1034" t="s">
        <v>123</v>
      </c>
      <c r="M1034">
        <v>16</v>
      </c>
      <c r="N1034">
        <v>2</v>
      </c>
      <c r="O1034">
        <v>2026</v>
      </c>
      <c r="R1034">
        <f>IF(wallet_records[[#This Row],[type]]="Gasto",wallet_records[[#This Row],[amount]]*(-1),wallet_records[[#This Row],[amount]])</f>
        <v>1000000</v>
      </c>
    </row>
    <row r="1035" spans="1:18" x14ac:dyDescent="0.2">
      <c r="A1035" t="s">
        <v>119</v>
      </c>
      <c r="B1035" t="s">
        <v>120</v>
      </c>
      <c r="C1035" t="s">
        <v>115</v>
      </c>
      <c r="D1035" s="291">
        <v>12108994.050000001</v>
      </c>
      <c r="E1035">
        <v>12108994.050000001</v>
      </c>
      <c r="F1035" t="s">
        <v>116</v>
      </c>
      <c r="G1035" t="s">
        <v>117</v>
      </c>
      <c r="H1035" t="s">
        <v>548</v>
      </c>
      <c r="I1035" s="197">
        <v>46053.495198136574</v>
      </c>
      <c r="J1035" t="b">
        <v>1</v>
      </c>
      <c r="K1035" t="s">
        <v>123</v>
      </c>
      <c r="L1035" t="s">
        <v>139</v>
      </c>
      <c r="M1035">
        <v>31</v>
      </c>
      <c r="N1035">
        <v>1</v>
      </c>
      <c r="O1035">
        <v>2026</v>
      </c>
      <c r="R1035">
        <f>IF(wallet_records[[#This Row],[type]]="Gasto",wallet_records[[#This Row],[amount]]*(-1),wallet_records[[#This Row],[amount]])</f>
        <v>-12108994.050000001</v>
      </c>
    </row>
    <row r="1036" spans="1:18" x14ac:dyDescent="0.2">
      <c r="A1036" t="s">
        <v>524</v>
      </c>
      <c r="B1036" t="s">
        <v>120</v>
      </c>
      <c r="C1036" t="s">
        <v>115</v>
      </c>
      <c r="D1036" s="291">
        <v>10397305</v>
      </c>
      <c r="E1036">
        <v>10397305</v>
      </c>
      <c r="F1036" t="s">
        <v>116</v>
      </c>
      <c r="G1036" t="s">
        <v>117</v>
      </c>
      <c r="H1036" t="s">
        <v>123</v>
      </c>
      <c r="I1036" s="197">
        <v>46052.5</v>
      </c>
      <c r="J1036" t="b">
        <v>1</v>
      </c>
      <c r="K1036" t="s">
        <v>123</v>
      </c>
      <c r="L1036" t="s">
        <v>123</v>
      </c>
      <c r="M1036">
        <v>30</v>
      </c>
      <c r="N1036">
        <v>1</v>
      </c>
      <c r="O1036">
        <v>2026</v>
      </c>
      <c r="R1036">
        <f>IF(wallet_records[[#This Row],[type]]="Gasto",wallet_records[[#This Row],[amount]]*(-1),wallet_records[[#This Row],[amount]])</f>
        <v>-10397305</v>
      </c>
    </row>
    <row r="1037" spans="1:18" x14ac:dyDescent="0.2">
      <c r="A1037" t="s">
        <v>127</v>
      </c>
      <c r="B1037" t="s">
        <v>120</v>
      </c>
      <c r="C1037" t="s">
        <v>115</v>
      </c>
      <c r="D1037" s="291">
        <v>10397305</v>
      </c>
      <c r="E1037">
        <v>10397305</v>
      </c>
      <c r="F1037" t="s">
        <v>121</v>
      </c>
      <c r="G1037" t="s">
        <v>117</v>
      </c>
      <c r="H1037" t="s">
        <v>123</v>
      </c>
      <c r="I1037" s="197">
        <v>46052.5</v>
      </c>
      <c r="J1037" t="b">
        <v>1</v>
      </c>
      <c r="K1037" t="s">
        <v>123</v>
      </c>
      <c r="L1037" t="s">
        <v>123</v>
      </c>
      <c r="M1037">
        <v>30</v>
      </c>
      <c r="N1037">
        <v>1</v>
      </c>
      <c r="O1037">
        <v>2026</v>
      </c>
      <c r="R1037">
        <f>IF(wallet_records[[#This Row],[type]]="Gasto",wallet_records[[#This Row],[amount]]*(-1),wallet_records[[#This Row],[amount]])</f>
        <v>10397305</v>
      </c>
    </row>
    <row r="1038" spans="1:18" x14ac:dyDescent="0.2">
      <c r="A1038" t="s">
        <v>133</v>
      </c>
      <c r="B1038" t="s">
        <v>120</v>
      </c>
      <c r="C1038" t="s">
        <v>115</v>
      </c>
      <c r="D1038" s="291">
        <v>1000000</v>
      </c>
      <c r="E1038">
        <v>1000000</v>
      </c>
      <c r="F1038" t="s">
        <v>121</v>
      </c>
      <c r="G1038" t="s">
        <v>117</v>
      </c>
      <c r="H1038" t="s">
        <v>58</v>
      </c>
      <c r="I1038" s="197">
        <v>46037.5</v>
      </c>
      <c r="J1038" t="b">
        <v>1</v>
      </c>
      <c r="K1038" t="s">
        <v>123</v>
      </c>
      <c r="L1038" t="s">
        <v>123</v>
      </c>
      <c r="M1038">
        <v>15</v>
      </c>
      <c r="N1038">
        <v>1</v>
      </c>
      <c r="O1038">
        <v>2026</v>
      </c>
      <c r="R1038">
        <f>IF(wallet_records[[#This Row],[type]]="Gasto",wallet_records[[#This Row],[amount]]*(-1),wallet_records[[#This Row],[amount]])</f>
        <v>1000000</v>
      </c>
    </row>
    <row r="1039" spans="1:18" x14ac:dyDescent="0.2">
      <c r="A1039" t="s">
        <v>127</v>
      </c>
      <c r="B1039" t="s">
        <v>120</v>
      </c>
      <c r="C1039" t="s">
        <v>115</v>
      </c>
      <c r="D1039" s="291">
        <v>1000000</v>
      </c>
      <c r="E1039">
        <v>1000000</v>
      </c>
      <c r="F1039" t="s">
        <v>116</v>
      </c>
      <c r="G1039" t="s">
        <v>117</v>
      </c>
      <c r="H1039" t="s">
        <v>58</v>
      </c>
      <c r="I1039" s="197">
        <v>46037.5</v>
      </c>
      <c r="J1039" t="b">
        <v>1</v>
      </c>
      <c r="K1039" t="s">
        <v>123</v>
      </c>
      <c r="L1039" t="s">
        <v>123</v>
      </c>
      <c r="M1039">
        <v>15</v>
      </c>
      <c r="N1039">
        <v>1</v>
      </c>
      <c r="O1039">
        <v>2026</v>
      </c>
      <c r="R1039">
        <f>IF(wallet_records[[#This Row],[type]]="Gasto",wallet_records[[#This Row],[amount]]*(-1),wallet_records[[#This Row],[amount]])</f>
        <v>-1000000</v>
      </c>
    </row>
    <row r="1040" spans="1:18" x14ac:dyDescent="0.2">
      <c r="A1040" t="s">
        <v>505</v>
      </c>
      <c r="B1040" t="s">
        <v>120</v>
      </c>
      <c r="C1040" t="s">
        <v>115</v>
      </c>
      <c r="D1040" s="291">
        <v>600000</v>
      </c>
      <c r="E1040">
        <v>600000</v>
      </c>
      <c r="F1040" t="s">
        <v>121</v>
      </c>
      <c r="G1040" t="s">
        <v>505</v>
      </c>
      <c r="H1040" t="s">
        <v>123</v>
      </c>
      <c r="I1040" s="197">
        <v>46027.524400405091</v>
      </c>
      <c r="J1040" t="b">
        <v>1</v>
      </c>
      <c r="K1040" t="s">
        <v>517</v>
      </c>
      <c r="L1040" t="s">
        <v>123</v>
      </c>
      <c r="M1040">
        <v>5</v>
      </c>
      <c r="N1040">
        <v>1</v>
      </c>
      <c r="O1040">
        <v>2026</v>
      </c>
      <c r="R1040">
        <f>IF(wallet_records[[#This Row],[type]]="Gasto",wallet_records[[#This Row],[amount]]*(-1),wallet_records[[#This Row],[amount]])</f>
        <v>600000</v>
      </c>
    </row>
    <row r="1041" spans="1:18" x14ac:dyDescent="0.2">
      <c r="A1041" t="s">
        <v>127</v>
      </c>
      <c r="B1041" t="s">
        <v>120</v>
      </c>
      <c r="C1041" t="s">
        <v>115</v>
      </c>
      <c r="D1041" s="291">
        <v>600000</v>
      </c>
      <c r="E1041">
        <v>600000</v>
      </c>
      <c r="F1041" t="s">
        <v>116</v>
      </c>
      <c r="G1041" t="s">
        <v>505</v>
      </c>
      <c r="H1041" t="s">
        <v>123</v>
      </c>
      <c r="I1041" s="197">
        <v>46027.524400405091</v>
      </c>
      <c r="J1041" t="b">
        <v>1</v>
      </c>
      <c r="K1041" t="s">
        <v>517</v>
      </c>
      <c r="L1041" t="s">
        <v>123</v>
      </c>
      <c r="M1041">
        <v>5</v>
      </c>
      <c r="N1041">
        <v>1</v>
      </c>
      <c r="O1041">
        <v>2026</v>
      </c>
      <c r="R1041">
        <f>IF(wallet_records[[#This Row],[type]]="Gasto",wallet_records[[#This Row],[amount]]*(-1),wallet_records[[#This Row],[amount]])</f>
        <v>-600000</v>
      </c>
    </row>
    <row r="1042" spans="1:18" x14ac:dyDescent="0.2">
      <c r="A1042" t="s">
        <v>127</v>
      </c>
      <c r="B1042" t="s">
        <v>120</v>
      </c>
      <c r="C1042" t="s">
        <v>115</v>
      </c>
      <c r="D1042" s="291">
        <v>14051700</v>
      </c>
      <c r="E1042">
        <v>14051700</v>
      </c>
      <c r="F1042" t="s">
        <v>116</v>
      </c>
      <c r="G1042" t="s">
        <v>117</v>
      </c>
      <c r="H1042" t="s">
        <v>123</v>
      </c>
      <c r="I1042" s="197">
        <v>46027.439756689811</v>
      </c>
      <c r="J1042" t="b">
        <v>1</v>
      </c>
      <c r="K1042" t="s">
        <v>517</v>
      </c>
      <c r="L1042" t="s">
        <v>139</v>
      </c>
      <c r="M1042">
        <v>5</v>
      </c>
      <c r="N1042">
        <v>1</v>
      </c>
      <c r="O1042">
        <v>2026</v>
      </c>
      <c r="R1042">
        <f>IF(wallet_records[[#This Row],[type]]="Gasto",wallet_records[[#This Row],[amount]]*(-1),wallet_records[[#This Row],[amount]])</f>
        <v>-14051700</v>
      </c>
    </row>
    <row r="1043" spans="1:18" x14ac:dyDescent="0.2">
      <c r="A1043" t="s">
        <v>59</v>
      </c>
      <c r="B1043" t="s">
        <v>120</v>
      </c>
      <c r="C1043" t="s">
        <v>115</v>
      </c>
      <c r="D1043" s="291">
        <v>14051700</v>
      </c>
      <c r="E1043">
        <v>14051700</v>
      </c>
      <c r="F1043" t="s">
        <v>121</v>
      </c>
      <c r="G1043" t="s">
        <v>117</v>
      </c>
      <c r="H1043" t="s">
        <v>123</v>
      </c>
      <c r="I1043" s="197">
        <v>46027.439756689811</v>
      </c>
      <c r="J1043" t="b">
        <v>1</v>
      </c>
      <c r="K1043" t="s">
        <v>517</v>
      </c>
      <c r="L1043" t="s">
        <v>139</v>
      </c>
      <c r="M1043">
        <v>5</v>
      </c>
      <c r="N1043">
        <v>1</v>
      </c>
      <c r="O1043">
        <v>2026</v>
      </c>
      <c r="R1043">
        <f>IF(wallet_records[[#This Row],[type]]="Gasto",wallet_records[[#This Row],[amount]]*(-1),wallet_records[[#This Row],[amount]])</f>
        <v>14051700</v>
      </c>
    </row>
    <row r="1044" spans="1:18" x14ac:dyDescent="0.2">
      <c r="A1044" t="s">
        <v>119</v>
      </c>
      <c r="B1044" t="s">
        <v>120</v>
      </c>
      <c r="C1044" t="s">
        <v>115</v>
      </c>
      <c r="D1044" s="291">
        <v>137516</v>
      </c>
      <c r="E1044">
        <v>137516</v>
      </c>
      <c r="F1044" t="s">
        <v>116</v>
      </c>
      <c r="G1044" t="s">
        <v>117</v>
      </c>
      <c r="H1044" t="s">
        <v>518</v>
      </c>
      <c r="I1044" s="197">
        <v>46025.741772777779</v>
      </c>
      <c r="J1044" t="b">
        <v>1</v>
      </c>
      <c r="K1044" t="s">
        <v>123</v>
      </c>
      <c r="L1044" t="s">
        <v>123</v>
      </c>
      <c r="M1044">
        <v>3</v>
      </c>
      <c r="N1044">
        <v>1</v>
      </c>
      <c r="O1044">
        <v>2026</v>
      </c>
      <c r="R1044">
        <f>IF(wallet_records[[#This Row],[type]]="Gasto",wallet_records[[#This Row],[amount]]*(-1),wallet_records[[#This Row],[amount]])</f>
        <v>-137516</v>
      </c>
    </row>
    <row r="1045" spans="1:18" x14ac:dyDescent="0.2">
      <c r="A1045" t="s">
        <v>127</v>
      </c>
      <c r="B1045" t="s">
        <v>120</v>
      </c>
      <c r="C1045" t="s">
        <v>115</v>
      </c>
      <c r="D1045" s="291">
        <v>137516</v>
      </c>
      <c r="E1045">
        <v>137516</v>
      </c>
      <c r="F1045" t="s">
        <v>121</v>
      </c>
      <c r="G1045" t="s">
        <v>117</v>
      </c>
      <c r="H1045" t="s">
        <v>518</v>
      </c>
      <c r="I1045" s="197">
        <v>46025.741772777779</v>
      </c>
      <c r="J1045" t="b">
        <v>1</v>
      </c>
      <c r="K1045" t="s">
        <v>123</v>
      </c>
      <c r="L1045" t="s">
        <v>123</v>
      </c>
      <c r="M1045">
        <v>3</v>
      </c>
      <c r="N1045">
        <v>1</v>
      </c>
      <c r="O1045">
        <v>2026</v>
      </c>
      <c r="R1045">
        <f>IF(wallet_records[[#This Row],[type]]="Gasto",wallet_records[[#This Row],[amount]]*(-1),wallet_records[[#This Row],[amount]])</f>
        <v>137516</v>
      </c>
    </row>
    <row r="1046" spans="1:18" x14ac:dyDescent="0.2">
      <c r="A1046" t="s">
        <v>119</v>
      </c>
      <c r="B1046" t="s">
        <v>120</v>
      </c>
      <c r="C1046" t="s">
        <v>115</v>
      </c>
      <c r="D1046" s="291">
        <v>10000000</v>
      </c>
      <c r="E1046">
        <v>10000000</v>
      </c>
      <c r="F1046" t="s">
        <v>116</v>
      </c>
      <c r="G1046" t="s">
        <v>117</v>
      </c>
      <c r="H1046" t="s">
        <v>518</v>
      </c>
      <c r="I1046" s="197">
        <v>46025.739656238424</v>
      </c>
      <c r="J1046" t="b">
        <v>1</v>
      </c>
      <c r="K1046" t="s">
        <v>123</v>
      </c>
      <c r="L1046" t="s">
        <v>123</v>
      </c>
      <c r="M1046">
        <v>3</v>
      </c>
      <c r="N1046">
        <v>1</v>
      </c>
      <c r="O1046">
        <v>2026</v>
      </c>
      <c r="R1046">
        <f>IF(wallet_records[[#This Row],[type]]="Gasto",wallet_records[[#This Row],[amount]]*(-1),wallet_records[[#This Row],[amount]])</f>
        <v>-10000000</v>
      </c>
    </row>
    <row r="1047" spans="1:18" x14ac:dyDescent="0.2">
      <c r="A1047" t="s">
        <v>127</v>
      </c>
      <c r="B1047" t="s">
        <v>120</v>
      </c>
      <c r="C1047" t="s">
        <v>115</v>
      </c>
      <c r="D1047" s="291">
        <v>10000000</v>
      </c>
      <c r="E1047">
        <v>10000000</v>
      </c>
      <c r="F1047" t="s">
        <v>121</v>
      </c>
      <c r="G1047" t="s">
        <v>117</v>
      </c>
      <c r="H1047" t="s">
        <v>518</v>
      </c>
      <c r="I1047" s="197">
        <v>46025.739656238424</v>
      </c>
      <c r="J1047" t="b">
        <v>1</v>
      </c>
      <c r="K1047" t="s">
        <v>123</v>
      </c>
      <c r="L1047" t="s">
        <v>123</v>
      </c>
      <c r="M1047">
        <v>3</v>
      </c>
      <c r="N1047">
        <v>1</v>
      </c>
      <c r="O1047">
        <v>2026</v>
      </c>
      <c r="R1047">
        <f>IF(wallet_records[[#This Row],[type]]="Gasto",wallet_records[[#This Row],[amount]]*(-1),wallet_records[[#This Row],[amount]])</f>
        <v>10000000</v>
      </c>
    </row>
    <row r="1048" spans="1:18" x14ac:dyDescent="0.2">
      <c r="A1048" t="s">
        <v>119</v>
      </c>
      <c r="B1048" t="s">
        <v>120</v>
      </c>
      <c r="C1048" t="s">
        <v>115</v>
      </c>
      <c r="D1048" s="291">
        <v>10000000</v>
      </c>
      <c r="E1048">
        <v>10000000</v>
      </c>
      <c r="F1048" t="s">
        <v>116</v>
      </c>
      <c r="G1048" t="s">
        <v>117</v>
      </c>
      <c r="H1048" t="s">
        <v>518</v>
      </c>
      <c r="I1048" s="197">
        <v>46025.739247048608</v>
      </c>
      <c r="J1048" t="b">
        <v>1</v>
      </c>
      <c r="K1048" t="s">
        <v>123</v>
      </c>
      <c r="L1048" t="s">
        <v>123</v>
      </c>
      <c r="M1048">
        <v>3</v>
      </c>
      <c r="N1048">
        <v>1</v>
      </c>
      <c r="O1048">
        <v>2026</v>
      </c>
      <c r="R1048">
        <f>IF(wallet_records[[#This Row],[type]]="Gasto",wallet_records[[#This Row],[amount]]*(-1),wallet_records[[#This Row],[amount]])</f>
        <v>-10000000</v>
      </c>
    </row>
    <row r="1049" spans="1:18" x14ac:dyDescent="0.2">
      <c r="A1049" t="s">
        <v>127</v>
      </c>
      <c r="B1049" t="s">
        <v>120</v>
      </c>
      <c r="C1049" t="s">
        <v>115</v>
      </c>
      <c r="D1049" s="291">
        <v>10000000</v>
      </c>
      <c r="E1049">
        <v>10000000</v>
      </c>
      <c r="F1049" t="s">
        <v>121</v>
      </c>
      <c r="G1049" t="s">
        <v>117</v>
      </c>
      <c r="H1049" t="s">
        <v>518</v>
      </c>
      <c r="I1049" s="197">
        <v>46025.739247048608</v>
      </c>
      <c r="J1049" t="b">
        <v>1</v>
      </c>
      <c r="K1049" t="s">
        <v>123</v>
      </c>
      <c r="L1049" t="s">
        <v>123</v>
      </c>
      <c r="M1049">
        <v>3</v>
      </c>
      <c r="N1049">
        <v>1</v>
      </c>
      <c r="O1049">
        <v>2026</v>
      </c>
      <c r="R1049">
        <f>IF(wallet_records[[#This Row],[type]]="Gasto",wallet_records[[#This Row],[amount]]*(-1),wallet_records[[#This Row],[amount]])</f>
        <v>10000000</v>
      </c>
    </row>
    <row r="1050" spans="1:18" x14ac:dyDescent="0.2">
      <c r="A1050" t="s">
        <v>524</v>
      </c>
      <c r="B1050" t="s">
        <v>120</v>
      </c>
      <c r="C1050" t="s">
        <v>115</v>
      </c>
      <c r="D1050" s="291">
        <v>24633328</v>
      </c>
      <c r="E1050">
        <v>24633328</v>
      </c>
      <c r="F1050" t="s">
        <v>121</v>
      </c>
      <c r="G1050" t="s">
        <v>117</v>
      </c>
      <c r="H1050" t="s">
        <v>518</v>
      </c>
      <c r="I1050" s="197">
        <v>46024.729263182868</v>
      </c>
      <c r="J1050" t="b">
        <v>1</v>
      </c>
      <c r="K1050" t="s">
        <v>123</v>
      </c>
      <c r="L1050" t="s">
        <v>123</v>
      </c>
      <c r="M1050">
        <v>2</v>
      </c>
      <c r="N1050">
        <v>1</v>
      </c>
      <c r="O1050">
        <v>2026</v>
      </c>
      <c r="R1050">
        <f>IF(wallet_records[[#This Row],[type]]="Gasto",wallet_records[[#This Row],[amount]]*(-1),wallet_records[[#This Row],[amount]])</f>
        <v>24633328</v>
      </c>
    </row>
    <row r="1051" spans="1:18" x14ac:dyDescent="0.2">
      <c r="A1051" t="s">
        <v>127</v>
      </c>
      <c r="B1051" t="s">
        <v>120</v>
      </c>
      <c r="C1051" t="s">
        <v>115</v>
      </c>
      <c r="D1051" s="291">
        <v>24633328</v>
      </c>
      <c r="E1051">
        <v>24633328</v>
      </c>
      <c r="F1051" t="s">
        <v>116</v>
      </c>
      <c r="G1051" t="s">
        <v>117</v>
      </c>
      <c r="H1051" t="s">
        <v>518</v>
      </c>
      <c r="I1051" s="197">
        <v>46024.729263182868</v>
      </c>
      <c r="J1051" t="b">
        <v>1</v>
      </c>
      <c r="K1051" t="s">
        <v>123</v>
      </c>
      <c r="L1051" t="s">
        <v>123</v>
      </c>
      <c r="M1051">
        <v>2</v>
      </c>
      <c r="N1051">
        <v>1</v>
      </c>
      <c r="O1051">
        <v>2026</v>
      </c>
      <c r="R1051">
        <f>IF(wallet_records[[#This Row],[type]]="Gasto",wallet_records[[#This Row],[amount]]*(-1),wallet_records[[#This Row],[amount]])</f>
        <v>-24633328</v>
      </c>
    </row>
    <row r="1052" spans="1:18" x14ac:dyDescent="0.2">
      <c r="A1052" t="s">
        <v>127</v>
      </c>
      <c r="B1052" t="s">
        <v>120</v>
      </c>
      <c r="C1052" t="s">
        <v>115</v>
      </c>
      <c r="D1052" s="291">
        <v>5295778</v>
      </c>
      <c r="E1052">
        <v>5295778</v>
      </c>
      <c r="F1052" t="s">
        <v>116</v>
      </c>
      <c r="G1052" t="s">
        <v>117</v>
      </c>
      <c r="H1052" t="s">
        <v>518</v>
      </c>
      <c r="I1052" s="197">
        <v>46024.728484363426</v>
      </c>
      <c r="J1052" t="b">
        <v>1</v>
      </c>
      <c r="K1052" t="s">
        <v>123</v>
      </c>
      <c r="L1052" t="s">
        <v>123</v>
      </c>
      <c r="M1052">
        <v>2</v>
      </c>
      <c r="N1052">
        <v>1</v>
      </c>
      <c r="O1052">
        <v>2026</v>
      </c>
      <c r="R1052">
        <f>IF(wallet_records[[#This Row],[type]]="Gasto",wallet_records[[#This Row],[amount]]*(-1),wallet_records[[#This Row],[amount]])</f>
        <v>-5295778</v>
      </c>
    </row>
    <row r="1053" spans="1:18" x14ac:dyDescent="0.2">
      <c r="A1053" t="s">
        <v>525</v>
      </c>
      <c r="B1053" t="s">
        <v>120</v>
      </c>
      <c r="C1053" t="s">
        <v>115</v>
      </c>
      <c r="D1053" s="291">
        <v>5295778</v>
      </c>
      <c r="E1053">
        <v>5295778</v>
      </c>
      <c r="F1053" t="s">
        <v>121</v>
      </c>
      <c r="G1053" t="s">
        <v>117</v>
      </c>
      <c r="H1053" t="s">
        <v>518</v>
      </c>
      <c r="I1053" s="197">
        <v>46024.728484363426</v>
      </c>
      <c r="J1053" t="b">
        <v>1</v>
      </c>
      <c r="K1053" t="s">
        <v>123</v>
      </c>
      <c r="L1053" t="s">
        <v>123</v>
      </c>
      <c r="M1053">
        <v>2</v>
      </c>
      <c r="N1053">
        <v>1</v>
      </c>
      <c r="O1053">
        <v>2026</v>
      </c>
      <c r="R1053">
        <f>IF(wallet_records[[#This Row],[type]]="Gasto",wallet_records[[#This Row],[amount]]*(-1),wallet_records[[#This Row],[amount]])</f>
        <v>5295778</v>
      </c>
    </row>
    <row r="1054" spans="1:18" x14ac:dyDescent="0.2">
      <c r="A1054" t="s">
        <v>127</v>
      </c>
      <c r="B1054" t="s">
        <v>120</v>
      </c>
      <c r="C1054" t="s">
        <v>115</v>
      </c>
      <c r="D1054" s="291">
        <v>24828736</v>
      </c>
      <c r="E1054">
        <v>24828736</v>
      </c>
      <c r="F1054" t="s">
        <v>121</v>
      </c>
      <c r="G1054" t="s">
        <v>117</v>
      </c>
      <c r="H1054" t="s">
        <v>519</v>
      </c>
      <c r="I1054" s="197">
        <v>46024.722762916666</v>
      </c>
      <c r="J1054" t="b">
        <v>1</v>
      </c>
      <c r="K1054" t="s">
        <v>520</v>
      </c>
      <c r="L1054" t="s">
        <v>123</v>
      </c>
      <c r="M1054">
        <v>2</v>
      </c>
      <c r="N1054">
        <v>1</v>
      </c>
      <c r="O1054">
        <v>2026</v>
      </c>
      <c r="R1054">
        <f>IF(wallet_records[[#This Row],[type]]="Gasto",wallet_records[[#This Row],[amount]]*(-1),wallet_records[[#This Row],[amount]])</f>
        <v>24828736</v>
      </c>
    </row>
    <row r="1055" spans="1:18" x14ac:dyDescent="0.2">
      <c r="A1055" t="s">
        <v>524</v>
      </c>
      <c r="B1055" t="s">
        <v>120</v>
      </c>
      <c r="C1055" t="s">
        <v>115</v>
      </c>
      <c r="D1055" s="291">
        <v>24828736</v>
      </c>
      <c r="E1055">
        <v>24828736</v>
      </c>
      <c r="F1055" t="s">
        <v>116</v>
      </c>
      <c r="G1055" t="s">
        <v>117</v>
      </c>
      <c r="H1055" t="s">
        <v>519</v>
      </c>
      <c r="I1055" s="197">
        <v>46024.722762916666</v>
      </c>
      <c r="J1055" t="b">
        <v>1</v>
      </c>
      <c r="K1055" t="s">
        <v>520</v>
      </c>
      <c r="L1055" t="s">
        <v>123</v>
      </c>
      <c r="M1055">
        <v>2</v>
      </c>
      <c r="N1055">
        <v>1</v>
      </c>
      <c r="O1055">
        <v>2026</v>
      </c>
      <c r="R1055">
        <f>IF(wallet_records[[#This Row],[type]]="Gasto",wallet_records[[#This Row],[amount]]*(-1),wallet_records[[#This Row],[amount]])</f>
        <v>-24828736</v>
      </c>
    </row>
    <row r="1056" spans="1:18" x14ac:dyDescent="0.2">
      <c r="A1056" t="s">
        <v>127</v>
      </c>
      <c r="B1056" t="s">
        <v>120</v>
      </c>
      <c r="C1056" t="s">
        <v>115</v>
      </c>
      <c r="D1056" s="291">
        <v>5263268.03</v>
      </c>
      <c r="E1056">
        <v>5263268.03</v>
      </c>
      <c r="F1056" t="s">
        <v>121</v>
      </c>
      <c r="G1056" t="s">
        <v>117</v>
      </c>
      <c r="H1056" t="s">
        <v>519</v>
      </c>
      <c r="I1056" s="197">
        <v>46024.720029918979</v>
      </c>
      <c r="J1056" t="b">
        <v>1</v>
      </c>
      <c r="K1056" t="s">
        <v>521</v>
      </c>
      <c r="L1056" t="s">
        <v>123</v>
      </c>
      <c r="M1056">
        <v>2</v>
      </c>
      <c r="N1056">
        <v>1</v>
      </c>
      <c r="O1056">
        <v>2026</v>
      </c>
      <c r="R1056">
        <f>IF(wallet_records[[#This Row],[type]]="Gasto",wallet_records[[#This Row],[amount]]*(-1),wallet_records[[#This Row],[amount]])</f>
        <v>5263268.03</v>
      </c>
    </row>
    <row r="1057" spans="1:18" x14ac:dyDescent="0.2">
      <c r="A1057" t="s">
        <v>525</v>
      </c>
      <c r="B1057" t="s">
        <v>120</v>
      </c>
      <c r="C1057" t="s">
        <v>115</v>
      </c>
      <c r="D1057" s="291">
        <v>5263268.03</v>
      </c>
      <c r="E1057">
        <v>5263268</v>
      </c>
      <c r="F1057" t="s">
        <v>116</v>
      </c>
      <c r="G1057" t="s">
        <v>117</v>
      </c>
      <c r="H1057" t="s">
        <v>519</v>
      </c>
      <c r="I1057" s="197">
        <v>46024.720029918979</v>
      </c>
      <c r="J1057" t="b">
        <v>1</v>
      </c>
      <c r="K1057" t="s">
        <v>521</v>
      </c>
      <c r="L1057" t="s">
        <v>123</v>
      </c>
      <c r="M1057">
        <v>2</v>
      </c>
      <c r="N1057">
        <v>1</v>
      </c>
      <c r="O1057">
        <v>2026</v>
      </c>
      <c r="R1057">
        <f>IF(wallet_records[[#This Row],[type]]="Gasto",wallet_records[[#This Row],[amount]]*(-1),wallet_records[[#This Row],[amount]])</f>
        <v>-5263268.03</v>
      </c>
    </row>
    <row r="1058" spans="1:18" x14ac:dyDescent="0.2">
      <c r="A1058" t="s">
        <v>119</v>
      </c>
      <c r="B1058" t="s">
        <v>120</v>
      </c>
      <c r="C1058" t="s">
        <v>115</v>
      </c>
      <c r="D1058" s="291">
        <v>728800</v>
      </c>
      <c r="E1058">
        <v>728800</v>
      </c>
      <c r="F1058" t="s">
        <v>121</v>
      </c>
      <c r="G1058" t="s">
        <v>117</v>
      </c>
      <c r="H1058" t="s">
        <v>122</v>
      </c>
      <c r="I1058" s="197">
        <v>46009.791666666664</v>
      </c>
      <c r="J1058" t="b">
        <v>1</v>
      </c>
      <c r="K1058" t="s">
        <v>123</v>
      </c>
      <c r="L1058" t="s">
        <v>123</v>
      </c>
      <c r="M1058">
        <v>18</v>
      </c>
      <c r="N1058">
        <v>12</v>
      </c>
      <c r="O1058">
        <v>2025</v>
      </c>
      <c r="R1058">
        <f>IF(wallet_records[[#This Row],[type]]="Gasto",wallet_records[[#This Row],[amount]]*(-1),wallet_records[[#This Row],[amount]])</f>
        <v>728800</v>
      </c>
    </row>
    <row r="1059" spans="1:18" x14ac:dyDescent="0.2">
      <c r="A1059" t="s">
        <v>127</v>
      </c>
      <c r="B1059" t="s">
        <v>120</v>
      </c>
      <c r="C1059" t="s">
        <v>115</v>
      </c>
      <c r="D1059" s="291">
        <v>728800</v>
      </c>
      <c r="E1059">
        <v>728800</v>
      </c>
      <c r="F1059" t="s">
        <v>116</v>
      </c>
      <c r="G1059" t="s">
        <v>117</v>
      </c>
      <c r="H1059" t="s">
        <v>128</v>
      </c>
      <c r="I1059" s="197">
        <v>46009.791666666664</v>
      </c>
      <c r="J1059" t="b">
        <v>1</v>
      </c>
      <c r="K1059" t="s">
        <v>129</v>
      </c>
      <c r="L1059" t="s">
        <v>123</v>
      </c>
      <c r="M1059">
        <v>18</v>
      </c>
      <c r="N1059">
        <v>12</v>
      </c>
      <c r="O1059">
        <v>2025</v>
      </c>
      <c r="R1059">
        <f>IF(wallet_records[[#This Row],[type]]="Gasto",wallet_records[[#This Row],[amount]]*(-1),wallet_records[[#This Row],[amount]])</f>
        <v>-728800</v>
      </c>
    </row>
    <row r="1060" spans="1:18" x14ac:dyDescent="0.2">
      <c r="A1060" t="s">
        <v>127</v>
      </c>
      <c r="B1060" t="s">
        <v>120</v>
      </c>
      <c r="C1060" t="s">
        <v>115</v>
      </c>
      <c r="D1060" s="291">
        <v>1000000</v>
      </c>
      <c r="E1060">
        <v>1000000</v>
      </c>
      <c r="F1060" t="s">
        <v>116</v>
      </c>
      <c r="G1060" t="s">
        <v>117</v>
      </c>
      <c r="H1060" t="s">
        <v>123</v>
      </c>
      <c r="I1060" s="197">
        <v>46008.791666666664</v>
      </c>
      <c r="J1060" t="b">
        <v>1</v>
      </c>
      <c r="K1060" t="s">
        <v>123</v>
      </c>
      <c r="L1060" t="s">
        <v>123</v>
      </c>
      <c r="M1060">
        <v>17</v>
      </c>
      <c r="N1060">
        <v>12</v>
      </c>
      <c r="O1060">
        <v>2025</v>
      </c>
      <c r="R1060">
        <f>IF(wallet_records[[#This Row],[type]]="Gasto",wallet_records[[#This Row],[amount]]*(-1),wallet_records[[#This Row],[amount]])</f>
        <v>-1000000</v>
      </c>
    </row>
    <row r="1061" spans="1:18" x14ac:dyDescent="0.2">
      <c r="A1061" t="s">
        <v>133</v>
      </c>
      <c r="B1061" t="s">
        <v>120</v>
      </c>
      <c r="C1061" t="s">
        <v>115</v>
      </c>
      <c r="D1061" s="291">
        <v>1000000</v>
      </c>
      <c r="E1061">
        <v>1000000</v>
      </c>
      <c r="F1061" t="s">
        <v>121</v>
      </c>
      <c r="G1061" t="s">
        <v>117</v>
      </c>
      <c r="H1061" t="s">
        <v>123</v>
      </c>
      <c r="I1061" s="197">
        <v>46008.791666666664</v>
      </c>
      <c r="J1061" t="b">
        <v>1</v>
      </c>
      <c r="K1061" t="s">
        <v>123</v>
      </c>
      <c r="L1061" t="s">
        <v>123</v>
      </c>
      <c r="M1061">
        <v>17</v>
      </c>
      <c r="N1061">
        <v>12</v>
      </c>
      <c r="O1061">
        <v>2025</v>
      </c>
      <c r="R1061">
        <f>IF(wallet_records[[#This Row],[type]]="Gasto",wallet_records[[#This Row],[amount]]*(-1),wallet_records[[#This Row],[amount]])</f>
        <v>1000000</v>
      </c>
    </row>
    <row r="1062" spans="1:18" x14ac:dyDescent="0.2">
      <c r="A1062" t="s">
        <v>127</v>
      </c>
      <c r="B1062" t="s">
        <v>120</v>
      </c>
      <c r="C1062" t="s">
        <v>115</v>
      </c>
      <c r="D1062" s="291">
        <v>480000</v>
      </c>
      <c r="E1062">
        <v>480000</v>
      </c>
      <c r="F1062" t="s">
        <v>116</v>
      </c>
      <c r="G1062" t="s">
        <v>117</v>
      </c>
      <c r="H1062" t="s">
        <v>128</v>
      </c>
      <c r="I1062" s="197">
        <v>46005.791666666664</v>
      </c>
      <c r="J1062" t="b">
        <v>1</v>
      </c>
      <c r="K1062" t="s">
        <v>129</v>
      </c>
      <c r="L1062" t="s">
        <v>123</v>
      </c>
      <c r="M1062">
        <v>14</v>
      </c>
      <c r="N1062">
        <v>12</v>
      </c>
      <c r="O1062">
        <v>2025</v>
      </c>
      <c r="R1062">
        <f>IF(wallet_records[[#This Row],[type]]="Gasto",wallet_records[[#This Row],[amount]]*(-1),wallet_records[[#This Row],[amount]])</f>
        <v>-480000</v>
      </c>
    </row>
    <row r="1063" spans="1:18" x14ac:dyDescent="0.2">
      <c r="A1063" t="s">
        <v>119</v>
      </c>
      <c r="B1063" t="s">
        <v>120</v>
      </c>
      <c r="C1063" t="s">
        <v>115</v>
      </c>
      <c r="D1063" s="291">
        <v>480000</v>
      </c>
      <c r="E1063">
        <v>480000</v>
      </c>
      <c r="F1063" t="s">
        <v>121</v>
      </c>
      <c r="G1063" t="s">
        <v>117</v>
      </c>
      <c r="H1063" t="s">
        <v>122</v>
      </c>
      <c r="I1063" s="197">
        <v>46005.791666666664</v>
      </c>
      <c r="J1063" t="b">
        <v>1</v>
      </c>
      <c r="K1063" t="s">
        <v>123</v>
      </c>
      <c r="L1063" t="s">
        <v>123</v>
      </c>
      <c r="M1063">
        <v>14</v>
      </c>
      <c r="N1063">
        <v>12</v>
      </c>
      <c r="O1063">
        <v>2025</v>
      </c>
      <c r="R1063">
        <f>IF(wallet_records[[#This Row],[type]]="Gasto",wallet_records[[#This Row],[amount]]*(-1),wallet_records[[#This Row],[amount]])</f>
        <v>480000</v>
      </c>
    </row>
    <row r="1064" spans="1:18" x14ac:dyDescent="0.2">
      <c r="A1064" t="s">
        <v>127</v>
      </c>
      <c r="B1064" t="s">
        <v>120</v>
      </c>
      <c r="C1064" t="s">
        <v>115</v>
      </c>
      <c r="D1064" s="291">
        <v>1200000</v>
      </c>
      <c r="E1064">
        <v>1200000</v>
      </c>
      <c r="F1064" t="s">
        <v>116</v>
      </c>
      <c r="G1064" t="s">
        <v>117</v>
      </c>
      <c r="H1064" t="s">
        <v>128</v>
      </c>
      <c r="I1064" s="197">
        <v>45997.791666666664</v>
      </c>
      <c r="J1064" t="b">
        <v>1</v>
      </c>
      <c r="K1064" t="s">
        <v>129</v>
      </c>
      <c r="L1064" t="s">
        <v>123</v>
      </c>
      <c r="M1064">
        <v>6</v>
      </c>
      <c r="N1064">
        <v>12</v>
      </c>
      <c r="O1064">
        <v>2025</v>
      </c>
      <c r="R1064">
        <f>IF(wallet_records[[#This Row],[type]]="Gasto",wallet_records[[#This Row],[amount]]*(-1),wallet_records[[#This Row],[amount]])</f>
        <v>-1200000</v>
      </c>
    </row>
    <row r="1065" spans="1:18" x14ac:dyDescent="0.2">
      <c r="A1065" t="s">
        <v>119</v>
      </c>
      <c r="B1065" t="s">
        <v>120</v>
      </c>
      <c r="C1065" t="s">
        <v>115</v>
      </c>
      <c r="D1065" s="291">
        <v>1200000</v>
      </c>
      <c r="E1065">
        <v>1200000</v>
      </c>
      <c r="F1065" t="s">
        <v>121</v>
      </c>
      <c r="G1065" t="s">
        <v>117</v>
      </c>
      <c r="H1065" t="s">
        <v>122</v>
      </c>
      <c r="I1065" s="197">
        <v>45997.791666666664</v>
      </c>
      <c r="J1065" t="b">
        <v>1</v>
      </c>
      <c r="K1065" t="s">
        <v>123</v>
      </c>
      <c r="L1065" t="s">
        <v>123</v>
      </c>
      <c r="M1065">
        <v>6</v>
      </c>
      <c r="N1065">
        <v>12</v>
      </c>
      <c r="O1065">
        <v>2025</v>
      </c>
      <c r="R1065">
        <f>IF(wallet_records[[#This Row],[type]]="Gasto",wallet_records[[#This Row],[amount]]*(-1),wallet_records[[#This Row],[amount]])</f>
        <v>1200000</v>
      </c>
    </row>
    <row r="1066" spans="1:18" x14ac:dyDescent="0.2">
      <c r="A1066" t="s">
        <v>127</v>
      </c>
      <c r="B1066" t="s">
        <v>120</v>
      </c>
      <c r="C1066" t="s">
        <v>115</v>
      </c>
      <c r="D1066" s="291">
        <v>2500000</v>
      </c>
      <c r="E1066">
        <v>2500000</v>
      </c>
      <c r="F1066" t="s">
        <v>116</v>
      </c>
      <c r="G1066" t="s">
        <v>117</v>
      </c>
      <c r="H1066" t="s">
        <v>147</v>
      </c>
      <c r="I1066" s="197">
        <v>45992.791666666664</v>
      </c>
      <c r="J1066" t="b">
        <v>1</v>
      </c>
      <c r="K1066" t="s">
        <v>127</v>
      </c>
      <c r="L1066" t="s">
        <v>123</v>
      </c>
      <c r="M1066">
        <v>1</v>
      </c>
      <c r="N1066">
        <v>12</v>
      </c>
      <c r="O1066">
        <v>2025</v>
      </c>
      <c r="R1066">
        <f>IF(wallet_records[[#This Row],[type]]="Gasto",wallet_records[[#This Row],[amount]]*(-1),wallet_records[[#This Row],[amount]])</f>
        <v>-2500000</v>
      </c>
    </row>
    <row r="1067" spans="1:18" x14ac:dyDescent="0.2">
      <c r="A1067" t="s">
        <v>119</v>
      </c>
      <c r="B1067" t="s">
        <v>120</v>
      </c>
      <c r="C1067" t="s">
        <v>115</v>
      </c>
      <c r="D1067" s="291">
        <v>2700000</v>
      </c>
      <c r="E1067">
        <v>2700000</v>
      </c>
      <c r="F1067" t="s">
        <v>121</v>
      </c>
      <c r="G1067" t="s">
        <v>117</v>
      </c>
      <c r="H1067" t="s">
        <v>122</v>
      </c>
      <c r="I1067" s="197">
        <v>45992.791666666664</v>
      </c>
      <c r="J1067" t="b">
        <v>1</v>
      </c>
      <c r="K1067" t="s">
        <v>123</v>
      </c>
      <c r="L1067" t="s">
        <v>123</v>
      </c>
      <c r="M1067">
        <v>1</v>
      </c>
      <c r="N1067">
        <v>12</v>
      </c>
      <c r="O1067">
        <v>2025</v>
      </c>
      <c r="R1067">
        <f>IF(wallet_records[[#This Row],[type]]="Gasto",wallet_records[[#This Row],[amount]]*(-1),wallet_records[[#This Row],[amount]])</f>
        <v>2700000</v>
      </c>
    </row>
    <row r="1068" spans="1:18" x14ac:dyDescent="0.2">
      <c r="A1068" t="s">
        <v>127</v>
      </c>
      <c r="B1068" t="s">
        <v>120</v>
      </c>
      <c r="C1068" t="s">
        <v>115</v>
      </c>
      <c r="D1068" s="291">
        <v>2700000</v>
      </c>
      <c r="E1068">
        <v>2700000</v>
      </c>
      <c r="F1068" t="s">
        <v>116</v>
      </c>
      <c r="G1068" t="s">
        <v>117</v>
      </c>
      <c r="H1068" t="s">
        <v>128</v>
      </c>
      <c r="I1068" s="197">
        <v>45992.791666666664</v>
      </c>
      <c r="J1068" t="b">
        <v>1</v>
      </c>
      <c r="K1068" t="s">
        <v>129</v>
      </c>
      <c r="L1068" t="s">
        <v>123</v>
      </c>
      <c r="M1068">
        <v>1</v>
      </c>
      <c r="N1068">
        <v>12</v>
      </c>
      <c r="O1068">
        <v>2025</v>
      </c>
      <c r="R1068">
        <f>IF(wallet_records[[#This Row],[type]]="Gasto",wallet_records[[#This Row],[amount]]*(-1),wallet_records[[#This Row],[amount]])</f>
        <v>-2700000</v>
      </c>
    </row>
    <row r="1069" spans="1:18" x14ac:dyDescent="0.2">
      <c r="A1069" t="s">
        <v>525</v>
      </c>
      <c r="B1069" t="s">
        <v>120</v>
      </c>
      <c r="C1069" t="s">
        <v>115</v>
      </c>
      <c r="D1069" s="291">
        <v>1400000</v>
      </c>
      <c r="E1069">
        <v>1400000</v>
      </c>
      <c r="F1069" t="s">
        <v>121</v>
      </c>
      <c r="G1069" t="s">
        <v>117</v>
      </c>
      <c r="H1069" t="s">
        <v>148</v>
      </c>
      <c r="I1069" s="197">
        <v>45992.791666666664</v>
      </c>
      <c r="J1069" t="b">
        <v>1</v>
      </c>
      <c r="K1069" t="s">
        <v>127</v>
      </c>
      <c r="L1069" t="s">
        <v>123</v>
      </c>
      <c r="M1069">
        <v>1</v>
      </c>
      <c r="N1069">
        <v>12</v>
      </c>
      <c r="O1069">
        <v>2025</v>
      </c>
      <c r="R1069">
        <f>IF(wallet_records[[#This Row],[type]]="Gasto",wallet_records[[#This Row],[amount]]*(-1),wallet_records[[#This Row],[amount]])</f>
        <v>1400000</v>
      </c>
    </row>
    <row r="1070" spans="1:18" x14ac:dyDescent="0.2">
      <c r="A1070" t="s">
        <v>524</v>
      </c>
      <c r="B1070" t="s">
        <v>120</v>
      </c>
      <c r="C1070" t="s">
        <v>115</v>
      </c>
      <c r="D1070" s="291">
        <v>2500000</v>
      </c>
      <c r="E1070">
        <v>2500000</v>
      </c>
      <c r="F1070" t="s">
        <v>121</v>
      </c>
      <c r="G1070" t="s">
        <v>117</v>
      </c>
      <c r="H1070" t="s">
        <v>147</v>
      </c>
      <c r="I1070" s="197">
        <v>45992.791666666664</v>
      </c>
      <c r="J1070" t="b">
        <v>1</v>
      </c>
      <c r="K1070" t="s">
        <v>127</v>
      </c>
      <c r="L1070" t="s">
        <v>123</v>
      </c>
      <c r="M1070">
        <v>1</v>
      </c>
      <c r="N1070">
        <v>12</v>
      </c>
      <c r="O1070">
        <v>2025</v>
      </c>
      <c r="R1070">
        <f>IF(wallet_records[[#This Row],[type]]="Gasto",wallet_records[[#This Row],[amount]]*(-1),wallet_records[[#This Row],[amount]])</f>
        <v>2500000</v>
      </c>
    </row>
    <row r="1071" spans="1:18" x14ac:dyDescent="0.2">
      <c r="A1071" t="s">
        <v>127</v>
      </c>
      <c r="B1071" t="s">
        <v>120</v>
      </c>
      <c r="C1071" t="s">
        <v>115</v>
      </c>
      <c r="D1071" s="291">
        <v>1400000</v>
      </c>
      <c r="E1071">
        <v>1400000</v>
      </c>
      <c r="F1071" t="s">
        <v>116</v>
      </c>
      <c r="G1071" t="s">
        <v>117</v>
      </c>
      <c r="H1071" t="s">
        <v>148</v>
      </c>
      <c r="I1071" s="197">
        <v>45992.791666666664</v>
      </c>
      <c r="J1071" t="b">
        <v>1</v>
      </c>
      <c r="K1071" t="s">
        <v>127</v>
      </c>
      <c r="L1071" t="s">
        <v>123</v>
      </c>
      <c r="M1071">
        <v>1</v>
      </c>
      <c r="N1071">
        <v>12</v>
      </c>
      <c r="O1071">
        <v>2025</v>
      </c>
      <c r="R1071">
        <f>IF(wallet_records[[#This Row],[type]]="Gasto",wallet_records[[#This Row],[amount]]*(-1),wallet_records[[#This Row],[amount]])</f>
        <v>-1400000</v>
      </c>
    </row>
    <row r="1072" spans="1:18" x14ac:dyDescent="0.2">
      <c r="A1072" t="s">
        <v>133</v>
      </c>
      <c r="B1072" t="s">
        <v>120</v>
      </c>
      <c r="C1072" t="s">
        <v>115</v>
      </c>
      <c r="D1072" s="291">
        <v>1000000</v>
      </c>
      <c r="E1072">
        <v>1000000</v>
      </c>
      <c r="F1072" t="s">
        <v>121</v>
      </c>
      <c r="G1072" t="s">
        <v>117</v>
      </c>
      <c r="H1072" t="s">
        <v>123</v>
      </c>
      <c r="I1072" s="197">
        <v>45979.791666666664</v>
      </c>
      <c r="J1072" t="b">
        <v>1</v>
      </c>
      <c r="K1072" t="s">
        <v>123</v>
      </c>
      <c r="L1072" t="s">
        <v>123</v>
      </c>
      <c r="M1072">
        <v>18</v>
      </c>
      <c r="N1072">
        <v>11</v>
      </c>
      <c r="O1072">
        <v>2025</v>
      </c>
      <c r="R1072">
        <f>IF(wallet_records[[#This Row],[type]]="Gasto",wallet_records[[#This Row],[amount]]*(-1),wallet_records[[#This Row],[amount]])</f>
        <v>1000000</v>
      </c>
    </row>
    <row r="1073" spans="1:18" x14ac:dyDescent="0.2">
      <c r="A1073" t="s">
        <v>127</v>
      </c>
      <c r="B1073" t="s">
        <v>120</v>
      </c>
      <c r="C1073" t="s">
        <v>115</v>
      </c>
      <c r="D1073" s="291">
        <v>1000000</v>
      </c>
      <c r="E1073">
        <v>1000000</v>
      </c>
      <c r="F1073" t="s">
        <v>116</v>
      </c>
      <c r="G1073" t="s">
        <v>117</v>
      </c>
      <c r="H1073" t="s">
        <v>123</v>
      </c>
      <c r="I1073" s="197">
        <v>45979.791666666664</v>
      </c>
      <c r="J1073" t="b">
        <v>1</v>
      </c>
      <c r="K1073" t="s">
        <v>123</v>
      </c>
      <c r="L1073" t="s">
        <v>123</v>
      </c>
      <c r="M1073">
        <v>18</v>
      </c>
      <c r="N1073">
        <v>11</v>
      </c>
      <c r="O1073">
        <v>2025</v>
      </c>
      <c r="R1073">
        <f>IF(wallet_records[[#This Row],[type]]="Gasto",wallet_records[[#This Row],[amount]]*(-1),wallet_records[[#This Row],[amount]])</f>
        <v>-1000000</v>
      </c>
    </row>
    <row r="1074" spans="1:18" x14ac:dyDescent="0.2">
      <c r="A1074" t="s">
        <v>127</v>
      </c>
      <c r="B1074" t="s">
        <v>120</v>
      </c>
      <c r="C1074" t="s">
        <v>115</v>
      </c>
      <c r="D1074" s="291">
        <v>3550000</v>
      </c>
      <c r="E1074">
        <v>3550000</v>
      </c>
      <c r="F1074" t="s">
        <v>116</v>
      </c>
      <c r="G1074" t="s">
        <v>117</v>
      </c>
      <c r="H1074" t="s">
        <v>128</v>
      </c>
      <c r="I1074" s="197">
        <v>45963.791666666664</v>
      </c>
      <c r="J1074" t="b">
        <v>1</v>
      </c>
      <c r="K1074" t="s">
        <v>129</v>
      </c>
      <c r="L1074" t="s">
        <v>123</v>
      </c>
      <c r="M1074">
        <v>2</v>
      </c>
      <c r="N1074">
        <v>11</v>
      </c>
      <c r="O1074">
        <v>2025</v>
      </c>
      <c r="R1074">
        <f>IF(wallet_records[[#This Row],[type]]="Gasto",wallet_records[[#This Row],[amount]]*(-1),wallet_records[[#This Row],[amount]])</f>
        <v>-3550000</v>
      </c>
    </row>
    <row r="1075" spans="1:18" x14ac:dyDescent="0.2">
      <c r="A1075" t="s">
        <v>119</v>
      </c>
      <c r="B1075" t="s">
        <v>120</v>
      </c>
      <c r="C1075" t="s">
        <v>115</v>
      </c>
      <c r="D1075" s="291">
        <v>3550000</v>
      </c>
      <c r="E1075">
        <v>3550000</v>
      </c>
      <c r="F1075" t="s">
        <v>121</v>
      </c>
      <c r="G1075" t="s">
        <v>117</v>
      </c>
      <c r="H1075" t="s">
        <v>122</v>
      </c>
      <c r="I1075" s="197">
        <v>45963.791666666664</v>
      </c>
      <c r="J1075" t="b">
        <v>1</v>
      </c>
      <c r="K1075" t="s">
        <v>123</v>
      </c>
      <c r="L1075" t="s">
        <v>123</v>
      </c>
      <c r="M1075">
        <v>2</v>
      </c>
      <c r="N1075">
        <v>11</v>
      </c>
      <c r="O1075">
        <v>2025</v>
      </c>
      <c r="R1075">
        <f>IF(wallet_records[[#This Row],[type]]="Gasto",wallet_records[[#This Row],[amount]]*(-1),wallet_records[[#This Row],[amount]])</f>
        <v>3550000</v>
      </c>
    </row>
    <row r="1076" spans="1:18" x14ac:dyDescent="0.2">
      <c r="A1076" t="s">
        <v>127</v>
      </c>
      <c r="B1076" t="s">
        <v>120</v>
      </c>
      <c r="C1076" t="s">
        <v>115</v>
      </c>
      <c r="D1076" s="291">
        <v>2500000</v>
      </c>
      <c r="E1076">
        <v>2500000</v>
      </c>
      <c r="F1076" t="s">
        <v>116</v>
      </c>
      <c r="G1076" t="s">
        <v>117</v>
      </c>
      <c r="H1076" t="s">
        <v>147</v>
      </c>
      <c r="I1076" s="197">
        <v>45962.791666666664</v>
      </c>
      <c r="J1076" t="b">
        <v>1</v>
      </c>
      <c r="K1076" t="s">
        <v>127</v>
      </c>
      <c r="L1076" t="s">
        <v>123</v>
      </c>
      <c r="M1076">
        <v>1</v>
      </c>
      <c r="N1076">
        <v>11</v>
      </c>
      <c r="O1076">
        <v>2025</v>
      </c>
      <c r="R1076">
        <f>IF(wallet_records[[#This Row],[type]]="Gasto",wallet_records[[#This Row],[amount]]*(-1),wallet_records[[#This Row],[amount]])</f>
        <v>-2500000</v>
      </c>
    </row>
    <row r="1077" spans="1:18" x14ac:dyDescent="0.2">
      <c r="A1077" t="s">
        <v>127</v>
      </c>
      <c r="B1077" t="s">
        <v>120</v>
      </c>
      <c r="C1077" t="s">
        <v>115</v>
      </c>
      <c r="D1077" s="291">
        <v>1400000</v>
      </c>
      <c r="E1077">
        <v>1400000</v>
      </c>
      <c r="F1077" t="s">
        <v>116</v>
      </c>
      <c r="G1077" t="s">
        <v>117</v>
      </c>
      <c r="H1077" t="s">
        <v>148</v>
      </c>
      <c r="I1077" s="197">
        <v>45962.791666666664</v>
      </c>
      <c r="J1077" t="b">
        <v>1</v>
      </c>
      <c r="K1077" t="s">
        <v>127</v>
      </c>
      <c r="L1077" t="s">
        <v>123</v>
      </c>
      <c r="M1077">
        <v>1</v>
      </c>
      <c r="N1077">
        <v>11</v>
      </c>
      <c r="O1077">
        <v>2025</v>
      </c>
      <c r="R1077">
        <f>IF(wallet_records[[#This Row],[type]]="Gasto",wallet_records[[#This Row],[amount]]*(-1),wallet_records[[#This Row],[amount]])</f>
        <v>-1400000</v>
      </c>
    </row>
    <row r="1078" spans="1:18" x14ac:dyDescent="0.2">
      <c r="A1078" t="s">
        <v>524</v>
      </c>
      <c r="B1078" t="s">
        <v>120</v>
      </c>
      <c r="C1078" t="s">
        <v>115</v>
      </c>
      <c r="D1078" s="291">
        <v>2500000</v>
      </c>
      <c r="E1078">
        <v>2500000</v>
      </c>
      <c r="F1078" t="s">
        <v>121</v>
      </c>
      <c r="G1078" t="s">
        <v>117</v>
      </c>
      <c r="H1078" t="s">
        <v>147</v>
      </c>
      <c r="I1078" s="197">
        <v>45962.791666666664</v>
      </c>
      <c r="J1078" t="b">
        <v>1</v>
      </c>
      <c r="K1078" t="s">
        <v>127</v>
      </c>
      <c r="L1078" t="s">
        <v>123</v>
      </c>
      <c r="M1078">
        <v>1</v>
      </c>
      <c r="N1078">
        <v>11</v>
      </c>
      <c r="O1078">
        <v>2025</v>
      </c>
      <c r="R1078">
        <f>IF(wallet_records[[#This Row],[type]]="Gasto",wallet_records[[#This Row],[amount]]*(-1),wallet_records[[#This Row],[amount]])</f>
        <v>2500000</v>
      </c>
    </row>
    <row r="1079" spans="1:18" x14ac:dyDescent="0.2">
      <c r="A1079" t="s">
        <v>119</v>
      </c>
      <c r="B1079" t="s">
        <v>120</v>
      </c>
      <c r="C1079" t="s">
        <v>115</v>
      </c>
      <c r="D1079" s="291">
        <v>3000000</v>
      </c>
      <c r="E1079">
        <v>3000000</v>
      </c>
      <c r="F1079" t="s">
        <v>121</v>
      </c>
      <c r="G1079" t="s">
        <v>117</v>
      </c>
      <c r="H1079" t="s">
        <v>122</v>
      </c>
      <c r="I1079" s="197">
        <v>45962.791666666664</v>
      </c>
      <c r="J1079" t="b">
        <v>1</v>
      </c>
      <c r="K1079" t="s">
        <v>123</v>
      </c>
      <c r="L1079" t="s">
        <v>123</v>
      </c>
      <c r="M1079">
        <v>1</v>
      </c>
      <c r="N1079">
        <v>11</v>
      </c>
      <c r="O1079">
        <v>2025</v>
      </c>
      <c r="R1079">
        <f>IF(wallet_records[[#This Row],[type]]="Gasto",wallet_records[[#This Row],[amount]]*(-1),wallet_records[[#This Row],[amount]])</f>
        <v>3000000</v>
      </c>
    </row>
    <row r="1080" spans="1:18" x14ac:dyDescent="0.2">
      <c r="A1080" t="s">
        <v>127</v>
      </c>
      <c r="B1080" t="s">
        <v>120</v>
      </c>
      <c r="C1080" t="s">
        <v>115</v>
      </c>
      <c r="D1080" s="291">
        <v>3000000</v>
      </c>
      <c r="E1080">
        <v>3000000</v>
      </c>
      <c r="F1080" t="s">
        <v>116</v>
      </c>
      <c r="G1080" t="s">
        <v>117</v>
      </c>
      <c r="H1080" t="s">
        <v>128</v>
      </c>
      <c r="I1080" s="197">
        <v>45962.791666666664</v>
      </c>
      <c r="J1080" t="b">
        <v>1</v>
      </c>
      <c r="K1080" t="s">
        <v>129</v>
      </c>
      <c r="L1080" t="s">
        <v>123</v>
      </c>
      <c r="M1080">
        <v>1</v>
      </c>
      <c r="N1080">
        <v>11</v>
      </c>
      <c r="O1080">
        <v>2025</v>
      </c>
      <c r="R1080">
        <f>IF(wallet_records[[#This Row],[type]]="Gasto",wallet_records[[#This Row],[amount]]*(-1),wallet_records[[#This Row],[amount]])</f>
        <v>-3000000</v>
      </c>
    </row>
    <row r="1081" spans="1:18" x14ac:dyDescent="0.2">
      <c r="A1081" t="s">
        <v>525</v>
      </c>
      <c r="B1081" t="s">
        <v>120</v>
      </c>
      <c r="C1081" t="s">
        <v>115</v>
      </c>
      <c r="D1081" s="291">
        <v>1400000</v>
      </c>
      <c r="E1081">
        <v>1400000</v>
      </c>
      <c r="F1081" t="s">
        <v>121</v>
      </c>
      <c r="G1081" t="s">
        <v>117</v>
      </c>
      <c r="H1081" t="s">
        <v>148</v>
      </c>
      <c r="I1081" s="197">
        <v>45962.791666666664</v>
      </c>
      <c r="J1081" t="b">
        <v>1</v>
      </c>
      <c r="K1081" t="s">
        <v>127</v>
      </c>
      <c r="L1081" t="s">
        <v>123</v>
      </c>
      <c r="M1081">
        <v>1</v>
      </c>
      <c r="N1081">
        <v>11</v>
      </c>
      <c r="O1081">
        <v>2025</v>
      </c>
      <c r="R1081">
        <f>IF(wallet_records[[#This Row],[type]]="Gasto",wallet_records[[#This Row],[amount]]*(-1),wallet_records[[#This Row],[amount]])</f>
        <v>1400000</v>
      </c>
    </row>
    <row r="1082" spans="1:18" x14ac:dyDescent="0.2">
      <c r="A1082" t="s">
        <v>127</v>
      </c>
      <c r="B1082" t="s">
        <v>120</v>
      </c>
      <c r="C1082" t="s">
        <v>115</v>
      </c>
      <c r="D1082" s="291">
        <v>500000</v>
      </c>
      <c r="E1082">
        <v>500000</v>
      </c>
      <c r="F1082" t="s">
        <v>116</v>
      </c>
      <c r="G1082" t="s">
        <v>117</v>
      </c>
      <c r="H1082" t="s">
        <v>128</v>
      </c>
      <c r="I1082" s="197">
        <v>45952.791666666664</v>
      </c>
      <c r="J1082" t="b">
        <v>1</v>
      </c>
      <c r="K1082" t="s">
        <v>129</v>
      </c>
      <c r="L1082" t="s">
        <v>123</v>
      </c>
      <c r="M1082">
        <v>22</v>
      </c>
      <c r="N1082">
        <v>10</v>
      </c>
      <c r="O1082">
        <v>2025</v>
      </c>
      <c r="R1082">
        <f>IF(wallet_records[[#This Row],[type]]="Gasto",wallet_records[[#This Row],[amount]]*(-1),wallet_records[[#This Row],[amount]])</f>
        <v>-500000</v>
      </c>
    </row>
    <row r="1083" spans="1:18" x14ac:dyDescent="0.2">
      <c r="A1083" t="s">
        <v>119</v>
      </c>
      <c r="B1083" t="s">
        <v>120</v>
      </c>
      <c r="C1083" t="s">
        <v>115</v>
      </c>
      <c r="D1083" s="291">
        <v>500000</v>
      </c>
      <c r="E1083">
        <v>500000</v>
      </c>
      <c r="F1083" t="s">
        <v>121</v>
      </c>
      <c r="G1083" t="s">
        <v>117</v>
      </c>
      <c r="H1083" t="s">
        <v>122</v>
      </c>
      <c r="I1083" s="197">
        <v>45952.791666666664</v>
      </c>
      <c r="J1083" t="b">
        <v>1</v>
      </c>
      <c r="K1083" t="s">
        <v>123</v>
      </c>
      <c r="L1083" t="s">
        <v>123</v>
      </c>
      <c r="M1083">
        <v>22</v>
      </c>
      <c r="N1083">
        <v>10</v>
      </c>
      <c r="O1083">
        <v>2025</v>
      </c>
      <c r="R1083">
        <f>IF(wallet_records[[#This Row],[type]]="Gasto",wallet_records[[#This Row],[amount]]*(-1),wallet_records[[#This Row],[amount]])</f>
        <v>500000</v>
      </c>
    </row>
    <row r="1084" spans="1:18" x14ac:dyDescent="0.2">
      <c r="A1084" t="s">
        <v>133</v>
      </c>
      <c r="B1084" t="s">
        <v>120</v>
      </c>
      <c r="C1084" t="s">
        <v>115</v>
      </c>
      <c r="D1084" s="291">
        <v>1000000</v>
      </c>
      <c r="E1084">
        <v>1000000</v>
      </c>
      <c r="F1084" t="s">
        <v>121</v>
      </c>
      <c r="G1084" t="s">
        <v>117</v>
      </c>
      <c r="H1084" t="s">
        <v>123</v>
      </c>
      <c r="I1084" s="197">
        <v>45945.791666666664</v>
      </c>
      <c r="J1084" t="b">
        <v>1</v>
      </c>
      <c r="K1084" t="s">
        <v>123</v>
      </c>
      <c r="L1084" t="s">
        <v>123</v>
      </c>
      <c r="M1084">
        <v>15</v>
      </c>
      <c r="N1084">
        <v>10</v>
      </c>
      <c r="O1084">
        <v>2025</v>
      </c>
      <c r="R1084">
        <f>IF(wallet_records[[#This Row],[type]]="Gasto",wallet_records[[#This Row],[amount]]*(-1),wallet_records[[#This Row],[amount]])</f>
        <v>1000000</v>
      </c>
    </row>
    <row r="1085" spans="1:18" x14ac:dyDescent="0.2">
      <c r="A1085" t="s">
        <v>127</v>
      </c>
      <c r="B1085" t="s">
        <v>120</v>
      </c>
      <c r="C1085" t="s">
        <v>115</v>
      </c>
      <c r="D1085" s="291">
        <v>1000000</v>
      </c>
      <c r="E1085">
        <v>1000000</v>
      </c>
      <c r="F1085" t="s">
        <v>116</v>
      </c>
      <c r="G1085" t="s">
        <v>117</v>
      </c>
      <c r="H1085" t="s">
        <v>123</v>
      </c>
      <c r="I1085" s="197">
        <v>45945.791666666664</v>
      </c>
      <c r="J1085" t="b">
        <v>1</v>
      </c>
      <c r="K1085" t="s">
        <v>123</v>
      </c>
      <c r="L1085" t="s">
        <v>123</v>
      </c>
      <c r="M1085">
        <v>15</v>
      </c>
      <c r="N1085">
        <v>10</v>
      </c>
      <c r="O1085">
        <v>2025</v>
      </c>
      <c r="R1085">
        <f>IF(wallet_records[[#This Row],[type]]="Gasto",wallet_records[[#This Row],[amount]]*(-1),wallet_records[[#This Row],[amount]])</f>
        <v>-1000000</v>
      </c>
    </row>
    <row r="1086" spans="1:18" x14ac:dyDescent="0.2">
      <c r="A1086" t="s">
        <v>119</v>
      </c>
      <c r="B1086" t="s">
        <v>120</v>
      </c>
      <c r="C1086" t="s">
        <v>115</v>
      </c>
      <c r="D1086" s="291">
        <v>1200000</v>
      </c>
      <c r="E1086">
        <v>1200000</v>
      </c>
      <c r="F1086" t="s">
        <v>121</v>
      </c>
      <c r="G1086" t="s">
        <v>117</v>
      </c>
      <c r="H1086" t="s">
        <v>122</v>
      </c>
      <c r="I1086" s="197">
        <v>45934.791666666664</v>
      </c>
      <c r="J1086" t="b">
        <v>1</v>
      </c>
      <c r="K1086" t="s">
        <v>123</v>
      </c>
      <c r="L1086" t="s">
        <v>123</v>
      </c>
      <c r="M1086">
        <v>4</v>
      </c>
      <c r="N1086">
        <v>10</v>
      </c>
      <c r="O1086">
        <v>2025</v>
      </c>
      <c r="R1086">
        <f>IF(wallet_records[[#This Row],[type]]="Gasto",wallet_records[[#This Row],[amount]]*(-1),wallet_records[[#This Row],[amount]])</f>
        <v>1200000</v>
      </c>
    </row>
    <row r="1087" spans="1:18" x14ac:dyDescent="0.2">
      <c r="A1087" t="s">
        <v>127</v>
      </c>
      <c r="B1087" t="s">
        <v>120</v>
      </c>
      <c r="C1087" t="s">
        <v>115</v>
      </c>
      <c r="D1087" s="291">
        <v>1200000</v>
      </c>
      <c r="E1087">
        <v>1200000</v>
      </c>
      <c r="F1087" t="s">
        <v>116</v>
      </c>
      <c r="G1087" t="s">
        <v>117</v>
      </c>
      <c r="H1087" t="s">
        <v>128</v>
      </c>
      <c r="I1087" s="197">
        <v>45934.791666666664</v>
      </c>
      <c r="J1087" t="b">
        <v>1</v>
      </c>
      <c r="K1087" t="s">
        <v>129</v>
      </c>
      <c r="L1087" t="s">
        <v>123</v>
      </c>
      <c r="M1087">
        <v>4</v>
      </c>
      <c r="N1087">
        <v>10</v>
      </c>
      <c r="O1087">
        <v>2025</v>
      </c>
      <c r="R1087">
        <f>IF(wallet_records[[#This Row],[type]]="Gasto",wallet_records[[#This Row],[amount]]*(-1),wallet_records[[#This Row],[amount]])</f>
        <v>-1200000</v>
      </c>
    </row>
    <row r="1088" spans="1:18" x14ac:dyDescent="0.2">
      <c r="A1088" t="s">
        <v>127</v>
      </c>
      <c r="B1088" t="s">
        <v>120</v>
      </c>
      <c r="C1088" t="s">
        <v>115</v>
      </c>
      <c r="D1088" s="291">
        <v>1400000</v>
      </c>
      <c r="E1088">
        <v>1400000</v>
      </c>
      <c r="F1088" t="s">
        <v>116</v>
      </c>
      <c r="G1088" t="s">
        <v>117</v>
      </c>
      <c r="H1088" t="s">
        <v>148</v>
      </c>
      <c r="I1088" s="197">
        <v>45931.791666666664</v>
      </c>
      <c r="J1088" t="b">
        <v>1</v>
      </c>
      <c r="K1088" t="s">
        <v>127</v>
      </c>
      <c r="L1088" t="s">
        <v>123</v>
      </c>
      <c r="M1088">
        <v>1</v>
      </c>
      <c r="N1088">
        <v>10</v>
      </c>
      <c r="O1088">
        <v>2025</v>
      </c>
      <c r="R1088">
        <f>IF(wallet_records[[#This Row],[type]]="Gasto",wallet_records[[#This Row],[amount]]*(-1),wallet_records[[#This Row],[amount]])</f>
        <v>-1400000</v>
      </c>
    </row>
    <row r="1089" spans="1:18" x14ac:dyDescent="0.2">
      <c r="A1089" t="s">
        <v>127</v>
      </c>
      <c r="B1089" t="s">
        <v>120</v>
      </c>
      <c r="C1089" t="s">
        <v>115</v>
      </c>
      <c r="D1089" s="291">
        <v>2500000</v>
      </c>
      <c r="E1089">
        <v>2500000</v>
      </c>
      <c r="F1089" t="s">
        <v>116</v>
      </c>
      <c r="G1089" t="s">
        <v>117</v>
      </c>
      <c r="H1089" t="s">
        <v>147</v>
      </c>
      <c r="I1089" s="197">
        <v>45931.791666666664</v>
      </c>
      <c r="J1089" t="b">
        <v>1</v>
      </c>
      <c r="K1089" t="s">
        <v>127</v>
      </c>
      <c r="L1089" t="s">
        <v>123</v>
      </c>
      <c r="M1089">
        <v>1</v>
      </c>
      <c r="N1089">
        <v>10</v>
      </c>
      <c r="O1089">
        <v>2025</v>
      </c>
      <c r="R1089">
        <f>IF(wallet_records[[#This Row],[type]]="Gasto",wallet_records[[#This Row],[amount]]*(-1),wallet_records[[#This Row],[amount]])</f>
        <v>-2500000</v>
      </c>
    </row>
    <row r="1090" spans="1:18" x14ac:dyDescent="0.2">
      <c r="A1090" t="s">
        <v>524</v>
      </c>
      <c r="B1090" t="s">
        <v>120</v>
      </c>
      <c r="C1090" t="s">
        <v>115</v>
      </c>
      <c r="D1090" s="291">
        <v>2500000</v>
      </c>
      <c r="E1090">
        <v>2500000</v>
      </c>
      <c r="F1090" t="s">
        <v>121</v>
      </c>
      <c r="G1090" t="s">
        <v>117</v>
      </c>
      <c r="H1090" t="s">
        <v>147</v>
      </c>
      <c r="I1090" s="197">
        <v>45931.791666666664</v>
      </c>
      <c r="J1090" t="b">
        <v>1</v>
      </c>
      <c r="K1090" t="s">
        <v>127</v>
      </c>
      <c r="L1090" t="s">
        <v>123</v>
      </c>
      <c r="M1090">
        <v>1</v>
      </c>
      <c r="N1090">
        <v>10</v>
      </c>
      <c r="O1090">
        <v>2025</v>
      </c>
      <c r="R1090">
        <f>IF(wallet_records[[#This Row],[type]]="Gasto",wallet_records[[#This Row],[amount]]*(-1),wallet_records[[#This Row],[amount]])</f>
        <v>2500000</v>
      </c>
    </row>
    <row r="1091" spans="1:18" x14ac:dyDescent="0.2">
      <c r="A1091" t="s">
        <v>119</v>
      </c>
      <c r="B1091" t="s">
        <v>120</v>
      </c>
      <c r="C1091" t="s">
        <v>115</v>
      </c>
      <c r="D1091" s="291">
        <v>9000000</v>
      </c>
      <c r="E1091">
        <v>9000000</v>
      </c>
      <c r="F1091" t="s">
        <v>121</v>
      </c>
      <c r="G1091" t="s">
        <v>117</v>
      </c>
      <c r="H1091" t="s">
        <v>165</v>
      </c>
      <c r="I1091" s="197">
        <v>45931.791666666664</v>
      </c>
      <c r="J1091" t="b">
        <v>1</v>
      </c>
      <c r="K1091" t="s">
        <v>166</v>
      </c>
      <c r="L1091" t="s">
        <v>123</v>
      </c>
      <c r="M1091">
        <v>1</v>
      </c>
      <c r="N1091">
        <v>10</v>
      </c>
      <c r="O1091">
        <v>2025</v>
      </c>
      <c r="R1091">
        <f>IF(wallet_records[[#This Row],[type]]="Gasto",wallet_records[[#This Row],[amount]]*(-1),wallet_records[[#This Row],[amount]])</f>
        <v>9000000</v>
      </c>
    </row>
    <row r="1092" spans="1:18" x14ac:dyDescent="0.2">
      <c r="A1092" t="s">
        <v>525</v>
      </c>
      <c r="B1092" t="s">
        <v>120</v>
      </c>
      <c r="C1092" t="s">
        <v>115</v>
      </c>
      <c r="D1092" s="291">
        <v>1400000</v>
      </c>
      <c r="E1092">
        <v>1400000</v>
      </c>
      <c r="F1092" t="s">
        <v>121</v>
      </c>
      <c r="G1092" t="s">
        <v>117</v>
      </c>
      <c r="H1092" t="s">
        <v>148</v>
      </c>
      <c r="I1092" s="197">
        <v>45931.791666666664</v>
      </c>
      <c r="J1092" t="b">
        <v>1</v>
      </c>
      <c r="K1092" t="s">
        <v>127</v>
      </c>
      <c r="L1092" t="s">
        <v>123</v>
      </c>
      <c r="M1092">
        <v>1</v>
      </c>
      <c r="N1092">
        <v>10</v>
      </c>
      <c r="O1092">
        <v>2025</v>
      </c>
      <c r="R1092">
        <f>IF(wallet_records[[#This Row],[type]]="Gasto",wallet_records[[#This Row],[amount]]*(-1),wallet_records[[#This Row],[amount]])</f>
        <v>1400000</v>
      </c>
    </row>
    <row r="1093" spans="1:18" x14ac:dyDescent="0.2">
      <c r="A1093" t="s">
        <v>127</v>
      </c>
      <c r="B1093" t="s">
        <v>120</v>
      </c>
      <c r="C1093" t="s">
        <v>115</v>
      </c>
      <c r="D1093" s="291">
        <v>9000000</v>
      </c>
      <c r="E1093">
        <v>9000000</v>
      </c>
      <c r="F1093" t="s">
        <v>116</v>
      </c>
      <c r="G1093" t="s">
        <v>117</v>
      </c>
      <c r="H1093" t="s">
        <v>165</v>
      </c>
      <c r="I1093" s="197">
        <v>45931.791666666664</v>
      </c>
      <c r="J1093" t="b">
        <v>1</v>
      </c>
      <c r="K1093" t="s">
        <v>166</v>
      </c>
      <c r="L1093" t="s">
        <v>123</v>
      </c>
      <c r="M1093">
        <v>1</v>
      </c>
      <c r="N1093">
        <v>10</v>
      </c>
      <c r="O1093">
        <v>2025</v>
      </c>
      <c r="R1093">
        <f>IF(wallet_records[[#This Row],[type]]="Gasto",wallet_records[[#This Row],[amount]]*(-1),wallet_records[[#This Row],[amount]])</f>
        <v>-9000000</v>
      </c>
    </row>
    <row r="1094" spans="1:18" x14ac:dyDescent="0.2">
      <c r="A1094" t="s">
        <v>133</v>
      </c>
      <c r="B1094" t="s">
        <v>120</v>
      </c>
      <c r="C1094" t="s">
        <v>115</v>
      </c>
      <c r="D1094" s="291">
        <v>1000000</v>
      </c>
      <c r="E1094">
        <v>1000000</v>
      </c>
      <c r="F1094" t="s">
        <v>121</v>
      </c>
      <c r="G1094" t="s">
        <v>117</v>
      </c>
      <c r="H1094" t="s">
        <v>58</v>
      </c>
      <c r="I1094" s="197">
        <v>45914.791666666664</v>
      </c>
      <c r="J1094" t="b">
        <v>1</v>
      </c>
      <c r="K1094" t="s">
        <v>123</v>
      </c>
      <c r="L1094" t="s">
        <v>123</v>
      </c>
      <c r="M1094">
        <v>14</v>
      </c>
      <c r="N1094">
        <v>9</v>
      </c>
      <c r="O1094">
        <v>2025</v>
      </c>
      <c r="R1094">
        <f>IF(wallet_records[[#This Row],[type]]="Gasto",wallet_records[[#This Row],[amount]]*(-1),wallet_records[[#This Row],[amount]])</f>
        <v>1000000</v>
      </c>
    </row>
    <row r="1095" spans="1:18" x14ac:dyDescent="0.2">
      <c r="A1095" t="s">
        <v>127</v>
      </c>
      <c r="B1095" t="s">
        <v>120</v>
      </c>
      <c r="C1095" t="s">
        <v>115</v>
      </c>
      <c r="D1095" s="291">
        <v>1000000</v>
      </c>
      <c r="E1095">
        <v>1000000</v>
      </c>
      <c r="F1095" t="s">
        <v>116</v>
      </c>
      <c r="G1095" t="s">
        <v>117</v>
      </c>
      <c r="H1095" t="s">
        <v>58</v>
      </c>
      <c r="I1095" s="197">
        <v>45914.791666666664</v>
      </c>
      <c r="J1095" t="b">
        <v>1</v>
      </c>
      <c r="K1095" t="s">
        <v>123</v>
      </c>
      <c r="L1095" t="s">
        <v>123</v>
      </c>
      <c r="M1095">
        <v>14</v>
      </c>
      <c r="N1095">
        <v>9</v>
      </c>
      <c r="O1095">
        <v>2025</v>
      </c>
      <c r="R1095">
        <f>IF(wallet_records[[#This Row],[type]]="Gasto",wallet_records[[#This Row],[amount]]*(-1),wallet_records[[#This Row],[amount]])</f>
        <v>-1000000</v>
      </c>
    </row>
    <row r="1096" spans="1:18" x14ac:dyDescent="0.2">
      <c r="A1096" t="s">
        <v>525</v>
      </c>
      <c r="B1096" t="s">
        <v>120</v>
      </c>
      <c r="C1096" t="s">
        <v>115</v>
      </c>
      <c r="D1096" s="291">
        <v>1400000</v>
      </c>
      <c r="E1096">
        <v>1400000</v>
      </c>
      <c r="F1096" t="s">
        <v>121</v>
      </c>
      <c r="G1096" t="s">
        <v>117</v>
      </c>
      <c r="H1096" t="s">
        <v>148</v>
      </c>
      <c r="I1096" s="197">
        <v>45901.791666666664</v>
      </c>
      <c r="J1096" t="b">
        <v>1</v>
      </c>
      <c r="K1096" t="s">
        <v>127</v>
      </c>
      <c r="L1096" t="s">
        <v>123</v>
      </c>
      <c r="M1096">
        <v>1</v>
      </c>
      <c r="N1096">
        <v>9</v>
      </c>
      <c r="O1096">
        <v>2025</v>
      </c>
      <c r="R1096">
        <f>IF(wallet_records[[#This Row],[type]]="Gasto",wallet_records[[#This Row],[amount]]*(-1),wallet_records[[#This Row],[amount]])</f>
        <v>1400000</v>
      </c>
    </row>
    <row r="1097" spans="1:18" x14ac:dyDescent="0.2">
      <c r="A1097" t="s">
        <v>127</v>
      </c>
      <c r="B1097" t="s">
        <v>120</v>
      </c>
      <c r="C1097" t="s">
        <v>115</v>
      </c>
      <c r="D1097" s="291">
        <v>2500000</v>
      </c>
      <c r="E1097">
        <v>2500000</v>
      </c>
      <c r="F1097" t="s">
        <v>116</v>
      </c>
      <c r="G1097" t="s">
        <v>117</v>
      </c>
      <c r="H1097" t="s">
        <v>147</v>
      </c>
      <c r="I1097" s="197">
        <v>45901.791666666664</v>
      </c>
      <c r="J1097" t="b">
        <v>1</v>
      </c>
      <c r="K1097" t="s">
        <v>127</v>
      </c>
      <c r="L1097" t="s">
        <v>123</v>
      </c>
      <c r="M1097">
        <v>1</v>
      </c>
      <c r="N1097">
        <v>9</v>
      </c>
      <c r="O1097">
        <v>2025</v>
      </c>
      <c r="R1097">
        <f>IF(wallet_records[[#This Row],[type]]="Gasto",wallet_records[[#This Row],[amount]]*(-1),wallet_records[[#This Row],[amount]])</f>
        <v>-2500000</v>
      </c>
    </row>
    <row r="1098" spans="1:18" x14ac:dyDescent="0.2">
      <c r="A1098" t="s">
        <v>127</v>
      </c>
      <c r="B1098" t="s">
        <v>120</v>
      </c>
      <c r="C1098" t="s">
        <v>115</v>
      </c>
      <c r="D1098" s="291">
        <v>1400000</v>
      </c>
      <c r="E1098">
        <v>1400000</v>
      </c>
      <c r="F1098" t="s">
        <v>116</v>
      </c>
      <c r="G1098" t="s">
        <v>117</v>
      </c>
      <c r="H1098" t="s">
        <v>148</v>
      </c>
      <c r="I1098" s="197">
        <v>45901.791666666664</v>
      </c>
      <c r="J1098" t="b">
        <v>1</v>
      </c>
      <c r="K1098" t="s">
        <v>127</v>
      </c>
      <c r="L1098" t="s">
        <v>123</v>
      </c>
      <c r="M1098">
        <v>1</v>
      </c>
      <c r="N1098">
        <v>9</v>
      </c>
      <c r="O1098">
        <v>2025</v>
      </c>
      <c r="R1098">
        <f>IF(wallet_records[[#This Row],[type]]="Gasto",wallet_records[[#This Row],[amount]]*(-1),wallet_records[[#This Row],[amount]])</f>
        <v>-1400000</v>
      </c>
    </row>
    <row r="1099" spans="1:18" x14ac:dyDescent="0.2">
      <c r="A1099" t="s">
        <v>524</v>
      </c>
      <c r="B1099" t="s">
        <v>120</v>
      </c>
      <c r="C1099" t="s">
        <v>115</v>
      </c>
      <c r="D1099" s="291">
        <v>2500000</v>
      </c>
      <c r="E1099">
        <v>2500000</v>
      </c>
      <c r="F1099" t="s">
        <v>121</v>
      </c>
      <c r="G1099" t="s">
        <v>117</v>
      </c>
      <c r="H1099" t="s">
        <v>147</v>
      </c>
      <c r="I1099" s="197">
        <v>45901.791666666664</v>
      </c>
      <c r="J1099" t="b">
        <v>1</v>
      </c>
      <c r="K1099" t="s">
        <v>127</v>
      </c>
      <c r="L1099" t="s">
        <v>123</v>
      </c>
      <c r="M1099">
        <v>1</v>
      </c>
      <c r="N1099">
        <v>9</v>
      </c>
      <c r="O1099">
        <v>2025</v>
      </c>
      <c r="R1099">
        <f>IF(wallet_records[[#This Row],[type]]="Gasto",wallet_records[[#This Row],[amount]]*(-1),wallet_records[[#This Row],[amount]])</f>
        <v>2500000</v>
      </c>
    </row>
    <row r="1100" spans="1:18" x14ac:dyDescent="0.2">
      <c r="A1100" t="s">
        <v>133</v>
      </c>
      <c r="B1100" t="s">
        <v>120</v>
      </c>
      <c r="C1100" t="s">
        <v>115</v>
      </c>
      <c r="D1100" s="291">
        <v>1000000</v>
      </c>
      <c r="E1100">
        <v>1000000</v>
      </c>
      <c r="F1100" t="s">
        <v>121</v>
      </c>
      <c r="G1100" t="s">
        <v>117</v>
      </c>
      <c r="H1100" t="s">
        <v>58</v>
      </c>
      <c r="I1100" s="197">
        <v>45893.791666666664</v>
      </c>
      <c r="J1100" t="b">
        <v>1</v>
      </c>
      <c r="K1100" t="s">
        <v>123</v>
      </c>
      <c r="L1100" t="s">
        <v>123</v>
      </c>
      <c r="M1100">
        <v>24</v>
      </c>
      <c r="N1100">
        <v>8</v>
      </c>
      <c r="O1100">
        <v>2025</v>
      </c>
      <c r="R1100">
        <f>IF(wallet_records[[#This Row],[type]]="Gasto",wallet_records[[#This Row],[amount]]*(-1),wallet_records[[#This Row],[amount]])</f>
        <v>1000000</v>
      </c>
    </row>
    <row r="1101" spans="1:18" x14ac:dyDescent="0.2">
      <c r="A1101" t="s">
        <v>127</v>
      </c>
      <c r="B1101" t="s">
        <v>120</v>
      </c>
      <c r="C1101" t="s">
        <v>115</v>
      </c>
      <c r="D1101" s="291">
        <v>1000000</v>
      </c>
      <c r="E1101">
        <v>1000000</v>
      </c>
      <c r="F1101" t="s">
        <v>116</v>
      </c>
      <c r="G1101" t="s">
        <v>117</v>
      </c>
      <c r="H1101" t="s">
        <v>58</v>
      </c>
      <c r="I1101" s="197">
        <v>45893.791666666664</v>
      </c>
      <c r="J1101" t="b">
        <v>1</v>
      </c>
      <c r="K1101" t="s">
        <v>123</v>
      </c>
      <c r="L1101" t="s">
        <v>123</v>
      </c>
      <c r="M1101">
        <v>24</v>
      </c>
      <c r="N1101">
        <v>8</v>
      </c>
      <c r="O1101">
        <v>2025</v>
      </c>
      <c r="R1101">
        <f>IF(wallet_records[[#This Row],[type]]="Gasto",wallet_records[[#This Row],[amount]]*(-1),wallet_records[[#This Row],[amount]])</f>
        <v>-1000000</v>
      </c>
    </row>
    <row r="1102" spans="1:18" x14ac:dyDescent="0.2">
      <c r="A1102" t="s">
        <v>127</v>
      </c>
      <c r="B1102" t="s">
        <v>120</v>
      </c>
      <c r="C1102" t="s">
        <v>115</v>
      </c>
      <c r="D1102" s="291">
        <v>400000</v>
      </c>
      <c r="E1102">
        <v>400000</v>
      </c>
      <c r="F1102" t="s">
        <v>116</v>
      </c>
      <c r="G1102" t="s">
        <v>117</v>
      </c>
      <c r="H1102" t="s">
        <v>128</v>
      </c>
      <c r="I1102" s="197">
        <v>45886.791666666664</v>
      </c>
      <c r="J1102" t="b">
        <v>1</v>
      </c>
      <c r="K1102" t="s">
        <v>129</v>
      </c>
      <c r="L1102" t="s">
        <v>123</v>
      </c>
      <c r="M1102">
        <v>17</v>
      </c>
      <c r="N1102">
        <v>8</v>
      </c>
      <c r="O1102">
        <v>2025</v>
      </c>
      <c r="R1102">
        <f>IF(wallet_records[[#This Row],[type]]="Gasto",wallet_records[[#This Row],[amount]]*(-1),wallet_records[[#This Row],[amount]])</f>
        <v>-400000</v>
      </c>
    </row>
    <row r="1103" spans="1:18" x14ac:dyDescent="0.2">
      <c r="A1103" t="s">
        <v>119</v>
      </c>
      <c r="B1103" t="s">
        <v>120</v>
      </c>
      <c r="C1103" t="s">
        <v>115</v>
      </c>
      <c r="D1103" s="291">
        <v>400000</v>
      </c>
      <c r="E1103">
        <v>400000</v>
      </c>
      <c r="F1103" t="s">
        <v>121</v>
      </c>
      <c r="G1103" t="s">
        <v>117</v>
      </c>
      <c r="H1103" t="s">
        <v>122</v>
      </c>
      <c r="I1103" s="197">
        <v>45886.791666666664</v>
      </c>
      <c r="J1103" t="b">
        <v>1</v>
      </c>
      <c r="K1103" t="s">
        <v>123</v>
      </c>
      <c r="L1103" t="s">
        <v>123</v>
      </c>
      <c r="M1103">
        <v>17</v>
      </c>
      <c r="N1103">
        <v>8</v>
      </c>
      <c r="O1103">
        <v>2025</v>
      </c>
      <c r="R1103">
        <f>IF(wallet_records[[#This Row],[type]]="Gasto",wallet_records[[#This Row],[amount]]*(-1),wallet_records[[#This Row],[amount]])</f>
        <v>400000</v>
      </c>
    </row>
    <row r="1104" spans="1:18" x14ac:dyDescent="0.2">
      <c r="A1104" t="s">
        <v>119</v>
      </c>
      <c r="B1104" t="s">
        <v>120</v>
      </c>
      <c r="C1104" t="s">
        <v>115</v>
      </c>
      <c r="D1104" s="291">
        <v>1200000</v>
      </c>
      <c r="E1104">
        <v>1200000</v>
      </c>
      <c r="F1104" t="s">
        <v>121</v>
      </c>
      <c r="G1104" t="s">
        <v>117</v>
      </c>
      <c r="H1104" t="s">
        <v>122</v>
      </c>
      <c r="I1104" s="197">
        <v>45884.791666666664</v>
      </c>
      <c r="J1104" t="b">
        <v>1</v>
      </c>
      <c r="K1104" t="s">
        <v>123</v>
      </c>
      <c r="L1104" t="s">
        <v>123</v>
      </c>
      <c r="M1104">
        <v>15</v>
      </c>
      <c r="N1104">
        <v>8</v>
      </c>
      <c r="O1104">
        <v>2025</v>
      </c>
      <c r="R1104">
        <f>IF(wallet_records[[#This Row],[type]]="Gasto",wallet_records[[#This Row],[amount]]*(-1),wallet_records[[#This Row],[amount]])</f>
        <v>1200000</v>
      </c>
    </row>
    <row r="1105" spans="1:18" x14ac:dyDescent="0.2">
      <c r="A1105" t="s">
        <v>127</v>
      </c>
      <c r="B1105" t="s">
        <v>120</v>
      </c>
      <c r="C1105" t="s">
        <v>115</v>
      </c>
      <c r="D1105" s="291">
        <v>1200000</v>
      </c>
      <c r="E1105">
        <v>1200000</v>
      </c>
      <c r="F1105" t="s">
        <v>116</v>
      </c>
      <c r="G1105" t="s">
        <v>117</v>
      </c>
      <c r="H1105" t="s">
        <v>128</v>
      </c>
      <c r="I1105" s="197">
        <v>45884.791666666664</v>
      </c>
      <c r="J1105" t="b">
        <v>1</v>
      </c>
      <c r="K1105" t="s">
        <v>129</v>
      </c>
      <c r="L1105" t="s">
        <v>123</v>
      </c>
      <c r="M1105">
        <v>15</v>
      </c>
      <c r="N1105">
        <v>8</v>
      </c>
      <c r="O1105">
        <v>2025</v>
      </c>
      <c r="R1105">
        <f>IF(wallet_records[[#This Row],[type]]="Gasto",wallet_records[[#This Row],[amount]]*(-1),wallet_records[[#This Row],[amount]])</f>
        <v>-1200000</v>
      </c>
    </row>
    <row r="1106" spans="1:18" x14ac:dyDescent="0.2">
      <c r="A1106" t="s">
        <v>525</v>
      </c>
      <c r="B1106" t="s">
        <v>120</v>
      </c>
      <c r="C1106" t="s">
        <v>115</v>
      </c>
      <c r="D1106" s="291">
        <v>1400000</v>
      </c>
      <c r="E1106">
        <v>1400000</v>
      </c>
      <c r="F1106" t="s">
        <v>121</v>
      </c>
      <c r="G1106" t="s">
        <v>117</v>
      </c>
      <c r="H1106" t="s">
        <v>148</v>
      </c>
      <c r="I1106" s="197">
        <v>45870.791666666664</v>
      </c>
      <c r="J1106" t="b">
        <v>1</v>
      </c>
      <c r="K1106" t="s">
        <v>127</v>
      </c>
      <c r="L1106" t="s">
        <v>123</v>
      </c>
      <c r="M1106">
        <v>1</v>
      </c>
      <c r="N1106">
        <v>8</v>
      </c>
      <c r="O1106">
        <v>2025</v>
      </c>
      <c r="R1106">
        <f>IF(wallet_records[[#This Row],[type]]="Gasto",wallet_records[[#This Row],[amount]]*(-1),wallet_records[[#This Row],[amount]])</f>
        <v>1400000</v>
      </c>
    </row>
    <row r="1107" spans="1:18" x14ac:dyDescent="0.2">
      <c r="A1107" t="s">
        <v>127</v>
      </c>
      <c r="B1107" t="s">
        <v>120</v>
      </c>
      <c r="C1107" t="s">
        <v>115</v>
      </c>
      <c r="D1107" s="291">
        <v>2500000</v>
      </c>
      <c r="E1107">
        <v>2500000</v>
      </c>
      <c r="F1107" t="s">
        <v>116</v>
      </c>
      <c r="G1107" t="s">
        <v>117</v>
      </c>
      <c r="H1107" t="s">
        <v>147</v>
      </c>
      <c r="I1107" s="197">
        <v>45870.791666666664</v>
      </c>
      <c r="J1107" t="b">
        <v>1</v>
      </c>
      <c r="K1107" t="s">
        <v>127</v>
      </c>
      <c r="L1107" t="s">
        <v>123</v>
      </c>
      <c r="M1107">
        <v>1</v>
      </c>
      <c r="N1107">
        <v>8</v>
      </c>
      <c r="O1107">
        <v>2025</v>
      </c>
      <c r="R1107">
        <f>IF(wallet_records[[#This Row],[type]]="Gasto",wallet_records[[#This Row],[amount]]*(-1),wallet_records[[#This Row],[amount]])</f>
        <v>-2500000</v>
      </c>
    </row>
    <row r="1108" spans="1:18" x14ac:dyDescent="0.2">
      <c r="A1108" t="s">
        <v>524</v>
      </c>
      <c r="B1108" t="s">
        <v>120</v>
      </c>
      <c r="C1108" t="s">
        <v>115</v>
      </c>
      <c r="D1108" s="291">
        <v>2500000</v>
      </c>
      <c r="E1108">
        <v>2500000</v>
      </c>
      <c r="F1108" t="s">
        <v>121</v>
      </c>
      <c r="G1108" t="s">
        <v>117</v>
      </c>
      <c r="H1108" t="s">
        <v>147</v>
      </c>
      <c r="I1108" s="197">
        <v>45870.791666666664</v>
      </c>
      <c r="J1108" t="b">
        <v>1</v>
      </c>
      <c r="K1108" t="s">
        <v>127</v>
      </c>
      <c r="L1108" t="s">
        <v>123</v>
      </c>
      <c r="M1108">
        <v>1</v>
      </c>
      <c r="N1108">
        <v>8</v>
      </c>
      <c r="O1108">
        <v>2025</v>
      </c>
      <c r="R1108">
        <f>IF(wallet_records[[#This Row],[type]]="Gasto",wallet_records[[#This Row],[amount]]*(-1),wallet_records[[#This Row],[amount]])</f>
        <v>2500000</v>
      </c>
    </row>
    <row r="1109" spans="1:18" x14ac:dyDescent="0.2">
      <c r="A1109" t="s">
        <v>127</v>
      </c>
      <c r="B1109" t="s">
        <v>120</v>
      </c>
      <c r="C1109" t="s">
        <v>115</v>
      </c>
      <c r="D1109" s="291">
        <v>1400000</v>
      </c>
      <c r="E1109">
        <v>1400000</v>
      </c>
      <c r="F1109" t="s">
        <v>116</v>
      </c>
      <c r="G1109" t="s">
        <v>117</v>
      </c>
      <c r="H1109" t="s">
        <v>148</v>
      </c>
      <c r="I1109" s="197">
        <v>45870.791666666664</v>
      </c>
      <c r="J1109" t="b">
        <v>1</v>
      </c>
      <c r="K1109" t="s">
        <v>127</v>
      </c>
      <c r="L1109" t="s">
        <v>123</v>
      </c>
      <c r="M1109">
        <v>1</v>
      </c>
      <c r="N1109">
        <v>8</v>
      </c>
      <c r="O1109">
        <v>2025</v>
      </c>
      <c r="R1109">
        <f>IF(wallet_records[[#This Row],[type]]="Gasto",wallet_records[[#This Row],[amount]]*(-1),wallet_records[[#This Row],[amount]])</f>
        <v>-1400000</v>
      </c>
    </row>
    <row r="1110" spans="1:18" x14ac:dyDescent="0.2">
      <c r="A1110" t="s">
        <v>127</v>
      </c>
      <c r="B1110" t="s">
        <v>120</v>
      </c>
      <c r="C1110" t="s">
        <v>115</v>
      </c>
      <c r="D1110" s="291">
        <v>1000000</v>
      </c>
      <c r="E1110">
        <v>1000000</v>
      </c>
      <c r="F1110" t="s">
        <v>116</v>
      </c>
      <c r="G1110" t="s">
        <v>117</v>
      </c>
      <c r="H1110" t="s">
        <v>58</v>
      </c>
      <c r="I1110" s="197">
        <v>45858.791666666664</v>
      </c>
      <c r="J1110" t="b">
        <v>1</v>
      </c>
      <c r="K1110" t="s">
        <v>123</v>
      </c>
      <c r="L1110" t="s">
        <v>123</v>
      </c>
      <c r="M1110">
        <v>20</v>
      </c>
      <c r="N1110">
        <v>7</v>
      </c>
      <c r="O1110">
        <v>2025</v>
      </c>
      <c r="R1110">
        <f>IF(wallet_records[[#This Row],[type]]="Gasto",wallet_records[[#This Row],[amount]]*(-1),wallet_records[[#This Row],[amount]])</f>
        <v>-1000000</v>
      </c>
    </row>
    <row r="1111" spans="1:18" x14ac:dyDescent="0.2">
      <c r="A1111" t="s">
        <v>133</v>
      </c>
      <c r="B1111" t="s">
        <v>120</v>
      </c>
      <c r="C1111" t="s">
        <v>115</v>
      </c>
      <c r="D1111" s="291">
        <v>1000000</v>
      </c>
      <c r="E1111">
        <v>1000000</v>
      </c>
      <c r="F1111" t="s">
        <v>121</v>
      </c>
      <c r="G1111" t="s">
        <v>117</v>
      </c>
      <c r="H1111" t="s">
        <v>58</v>
      </c>
      <c r="I1111" s="197">
        <v>45858.791666666664</v>
      </c>
      <c r="J1111" t="b">
        <v>1</v>
      </c>
      <c r="K1111" t="s">
        <v>123</v>
      </c>
      <c r="L1111" t="s">
        <v>123</v>
      </c>
      <c r="M1111">
        <v>20</v>
      </c>
      <c r="N1111">
        <v>7</v>
      </c>
      <c r="O1111">
        <v>2025</v>
      </c>
      <c r="R1111">
        <f>IF(wallet_records[[#This Row],[type]]="Gasto",wallet_records[[#This Row],[amount]]*(-1),wallet_records[[#This Row],[amount]])</f>
        <v>1000000</v>
      </c>
    </row>
    <row r="1112" spans="1:18" x14ac:dyDescent="0.2">
      <c r="A1112" t="s">
        <v>119</v>
      </c>
      <c r="B1112" t="s">
        <v>120</v>
      </c>
      <c r="C1112" t="s">
        <v>115</v>
      </c>
      <c r="D1112" s="291">
        <v>1000000</v>
      </c>
      <c r="E1112">
        <v>1000000</v>
      </c>
      <c r="F1112" t="s">
        <v>121</v>
      </c>
      <c r="G1112" t="s">
        <v>117</v>
      </c>
      <c r="H1112" t="s">
        <v>122</v>
      </c>
      <c r="I1112" s="197">
        <v>45856.791666666664</v>
      </c>
      <c r="J1112" t="b">
        <v>1</v>
      </c>
      <c r="K1112" t="s">
        <v>123</v>
      </c>
      <c r="L1112" t="s">
        <v>123</v>
      </c>
      <c r="M1112">
        <v>18</v>
      </c>
      <c r="N1112">
        <v>7</v>
      </c>
      <c r="O1112">
        <v>2025</v>
      </c>
      <c r="R1112">
        <f>IF(wallet_records[[#This Row],[type]]="Gasto",wallet_records[[#This Row],[amount]]*(-1),wallet_records[[#This Row],[amount]])</f>
        <v>1000000</v>
      </c>
    </row>
    <row r="1113" spans="1:18" x14ac:dyDescent="0.2">
      <c r="A1113" t="s">
        <v>127</v>
      </c>
      <c r="B1113" t="s">
        <v>120</v>
      </c>
      <c r="C1113" t="s">
        <v>115</v>
      </c>
      <c r="D1113" s="291">
        <v>1000000</v>
      </c>
      <c r="E1113">
        <v>1000000</v>
      </c>
      <c r="F1113" t="s">
        <v>116</v>
      </c>
      <c r="G1113" t="s">
        <v>117</v>
      </c>
      <c r="H1113" t="s">
        <v>128</v>
      </c>
      <c r="I1113" s="197">
        <v>45856.791666666664</v>
      </c>
      <c r="J1113" t="b">
        <v>1</v>
      </c>
      <c r="K1113" t="s">
        <v>129</v>
      </c>
      <c r="L1113" t="s">
        <v>123</v>
      </c>
      <c r="M1113">
        <v>18</v>
      </c>
      <c r="N1113">
        <v>7</v>
      </c>
      <c r="O1113">
        <v>2025</v>
      </c>
      <c r="R1113">
        <f>IF(wallet_records[[#This Row],[type]]="Gasto",wallet_records[[#This Row],[amount]]*(-1),wallet_records[[#This Row],[amount]])</f>
        <v>-1000000</v>
      </c>
    </row>
    <row r="1114" spans="1:18" x14ac:dyDescent="0.2">
      <c r="A1114" t="s">
        <v>127</v>
      </c>
      <c r="B1114" t="s">
        <v>120</v>
      </c>
      <c r="C1114" t="s">
        <v>115</v>
      </c>
      <c r="D1114" s="291">
        <v>1000000</v>
      </c>
      <c r="E1114">
        <v>1000000</v>
      </c>
      <c r="F1114" t="s">
        <v>116</v>
      </c>
      <c r="G1114" t="s">
        <v>117</v>
      </c>
      <c r="H1114" t="s">
        <v>128</v>
      </c>
      <c r="I1114" s="197">
        <v>45852.791666666664</v>
      </c>
      <c r="J1114" t="b">
        <v>1</v>
      </c>
      <c r="K1114" t="s">
        <v>129</v>
      </c>
      <c r="L1114" t="s">
        <v>123</v>
      </c>
      <c r="M1114">
        <v>14</v>
      </c>
      <c r="N1114">
        <v>7</v>
      </c>
      <c r="O1114">
        <v>2025</v>
      </c>
      <c r="R1114">
        <f>IF(wallet_records[[#This Row],[type]]="Gasto",wallet_records[[#This Row],[amount]]*(-1),wallet_records[[#This Row],[amount]])</f>
        <v>-1000000</v>
      </c>
    </row>
    <row r="1115" spans="1:18" x14ac:dyDescent="0.2">
      <c r="A1115" t="s">
        <v>119</v>
      </c>
      <c r="B1115" t="s">
        <v>120</v>
      </c>
      <c r="C1115" t="s">
        <v>115</v>
      </c>
      <c r="D1115" s="291">
        <v>1000000</v>
      </c>
      <c r="E1115">
        <v>1000000</v>
      </c>
      <c r="F1115" t="s">
        <v>121</v>
      </c>
      <c r="G1115" t="s">
        <v>117</v>
      </c>
      <c r="H1115" t="s">
        <v>122</v>
      </c>
      <c r="I1115" s="197">
        <v>45852.791666666664</v>
      </c>
      <c r="J1115" t="b">
        <v>1</v>
      </c>
      <c r="K1115" t="s">
        <v>123</v>
      </c>
      <c r="L1115" t="s">
        <v>123</v>
      </c>
      <c r="M1115">
        <v>14</v>
      </c>
      <c r="N1115">
        <v>7</v>
      </c>
      <c r="O1115">
        <v>2025</v>
      </c>
      <c r="R1115">
        <f>IF(wallet_records[[#This Row],[type]]="Gasto",wallet_records[[#This Row],[amount]]*(-1),wallet_records[[#This Row],[amount]])</f>
        <v>1000000</v>
      </c>
    </row>
    <row r="1116" spans="1:18" x14ac:dyDescent="0.2">
      <c r="A1116" t="s">
        <v>127</v>
      </c>
      <c r="B1116" t="s">
        <v>120</v>
      </c>
      <c r="C1116" t="s">
        <v>115</v>
      </c>
      <c r="D1116" s="291">
        <v>1400000</v>
      </c>
      <c r="E1116">
        <v>1400000</v>
      </c>
      <c r="F1116" t="s">
        <v>116</v>
      </c>
      <c r="G1116" t="s">
        <v>117</v>
      </c>
      <c r="H1116" t="s">
        <v>148</v>
      </c>
      <c r="I1116" s="197">
        <v>45839.791666666664</v>
      </c>
      <c r="J1116" t="b">
        <v>1</v>
      </c>
      <c r="K1116" t="s">
        <v>127</v>
      </c>
      <c r="L1116" t="s">
        <v>123</v>
      </c>
      <c r="M1116">
        <v>1</v>
      </c>
      <c r="N1116">
        <v>7</v>
      </c>
      <c r="O1116">
        <v>2025</v>
      </c>
      <c r="R1116">
        <f>IF(wallet_records[[#This Row],[type]]="Gasto",wallet_records[[#This Row],[amount]]*(-1),wallet_records[[#This Row],[amount]])</f>
        <v>-1400000</v>
      </c>
    </row>
    <row r="1117" spans="1:18" x14ac:dyDescent="0.2">
      <c r="A1117" t="s">
        <v>525</v>
      </c>
      <c r="B1117" t="s">
        <v>120</v>
      </c>
      <c r="C1117" t="s">
        <v>115</v>
      </c>
      <c r="D1117" s="291">
        <v>44071.93</v>
      </c>
      <c r="E1117">
        <v>44071.93</v>
      </c>
      <c r="F1117" t="s">
        <v>121</v>
      </c>
      <c r="G1117" t="s">
        <v>117</v>
      </c>
      <c r="H1117" t="s">
        <v>148</v>
      </c>
      <c r="I1117" s="197">
        <v>45839.791666666664</v>
      </c>
      <c r="J1117" t="b">
        <v>1</v>
      </c>
      <c r="K1117" t="s">
        <v>127</v>
      </c>
      <c r="L1117" t="s">
        <v>123</v>
      </c>
      <c r="M1117">
        <v>1</v>
      </c>
      <c r="N1117">
        <v>7</v>
      </c>
      <c r="O1117">
        <v>2025</v>
      </c>
      <c r="R1117">
        <f>IF(wallet_records[[#This Row],[type]]="Gasto",wallet_records[[#This Row],[amount]]*(-1),wallet_records[[#This Row],[amount]])</f>
        <v>44071.93</v>
      </c>
    </row>
    <row r="1118" spans="1:18" x14ac:dyDescent="0.2">
      <c r="A1118" t="s">
        <v>127</v>
      </c>
      <c r="B1118" t="s">
        <v>120</v>
      </c>
      <c r="C1118" t="s">
        <v>115</v>
      </c>
      <c r="D1118" s="291">
        <v>44071.93</v>
      </c>
      <c r="E1118">
        <v>44071.93</v>
      </c>
      <c r="F1118" t="s">
        <v>116</v>
      </c>
      <c r="G1118" t="s">
        <v>117</v>
      </c>
      <c r="H1118" t="s">
        <v>148</v>
      </c>
      <c r="I1118" s="197">
        <v>45839.791666666664</v>
      </c>
      <c r="J1118" t="b">
        <v>1</v>
      </c>
      <c r="K1118" t="s">
        <v>127</v>
      </c>
      <c r="L1118" t="s">
        <v>123</v>
      </c>
      <c r="M1118">
        <v>1</v>
      </c>
      <c r="N1118">
        <v>7</v>
      </c>
      <c r="O1118">
        <v>2025</v>
      </c>
      <c r="R1118">
        <f>IF(wallet_records[[#This Row],[type]]="Gasto",wallet_records[[#This Row],[amount]]*(-1),wallet_records[[#This Row],[amount]])</f>
        <v>-44071.93</v>
      </c>
    </row>
    <row r="1119" spans="1:18" x14ac:dyDescent="0.2">
      <c r="A1119" t="s">
        <v>524</v>
      </c>
      <c r="B1119" t="s">
        <v>120</v>
      </c>
      <c r="C1119" t="s">
        <v>115</v>
      </c>
      <c r="D1119" s="291">
        <v>2500000</v>
      </c>
      <c r="E1119">
        <v>2500000</v>
      </c>
      <c r="F1119" t="s">
        <v>121</v>
      </c>
      <c r="G1119" t="s">
        <v>117</v>
      </c>
      <c r="H1119" t="s">
        <v>147</v>
      </c>
      <c r="I1119" s="197">
        <v>45839.791666666664</v>
      </c>
      <c r="J1119" t="b">
        <v>1</v>
      </c>
      <c r="K1119" t="s">
        <v>127</v>
      </c>
      <c r="L1119" t="s">
        <v>123</v>
      </c>
      <c r="M1119">
        <v>1</v>
      </c>
      <c r="N1119">
        <v>7</v>
      </c>
      <c r="O1119">
        <v>2025</v>
      </c>
      <c r="R1119">
        <f>IF(wallet_records[[#This Row],[type]]="Gasto",wallet_records[[#This Row],[amount]]*(-1),wallet_records[[#This Row],[amount]])</f>
        <v>2500000</v>
      </c>
    </row>
    <row r="1120" spans="1:18" x14ac:dyDescent="0.2">
      <c r="A1120" t="s">
        <v>127</v>
      </c>
      <c r="B1120" t="s">
        <v>120</v>
      </c>
      <c r="C1120" t="s">
        <v>115</v>
      </c>
      <c r="D1120" s="291">
        <v>2500000</v>
      </c>
      <c r="E1120">
        <v>2500000</v>
      </c>
      <c r="F1120" t="s">
        <v>116</v>
      </c>
      <c r="G1120" t="s">
        <v>117</v>
      </c>
      <c r="H1120" t="s">
        <v>147</v>
      </c>
      <c r="I1120" s="197">
        <v>45839.791666666664</v>
      </c>
      <c r="J1120" t="b">
        <v>1</v>
      </c>
      <c r="K1120" t="s">
        <v>127</v>
      </c>
      <c r="L1120" t="s">
        <v>123</v>
      </c>
      <c r="M1120">
        <v>1</v>
      </c>
      <c r="N1120">
        <v>7</v>
      </c>
      <c r="O1120">
        <v>2025</v>
      </c>
      <c r="R1120">
        <f>IF(wallet_records[[#This Row],[type]]="Gasto",wallet_records[[#This Row],[amount]]*(-1),wallet_records[[#This Row],[amount]])</f>
        <v>-2500000</v>
      </c>
    </row>
    <row r="1121" spans="1:18" x14ac:dyDescent="0.2">
      <c r="A1121" t="s">
        <v>525</v>
      </c>
      <c r="B1121" t="s">
        <v>120</v>
      </c>
      <c r="C1121" t="s">
        <v>115</v>
      </c>
      <c r="D1121" s="291">
        <v>1400000</v>
      </c>
      <c r="E1121">
        <v>1400000</v>
      </c>
      <c r="F1121" t="s">
        <v>121</v>
      </c>
      <c r="G1121" t="s">
        <v>117</v>
      </c>
      <c r="H1121" t="s">
        <v>148</v>
      </c>
      <c r="I1121" s="197">
        <v>45839.791666666664</v>
      </c>
      <c r="J1121" t="b">
        <v>1</v>
      </c>
      <c r="K1121" t="s">
        <v>127</v>
      </c>
      <c r="L1121" t="s">
        <v>123</v>
      </c>
      <c r="M1121">
        <v>1</v>
      </c>
      <c r="N1121">
        <v>7</v>
      </c>
      <c r="O1121">
        <v>2025</v>
      </c>
      <c r="R1121">
        <f>IF(wallet_records[[#This Row],[type]]="Gasto",wallet_records[[#This Row],[amount]]*(-1),wallet_records[[#This Row],[amount]])</f>
        <v>1400000</v>
      </c>
    </row>
    <row r="1122" spans="1:18" x14ac:dyDescent="0.2">
      <c r="A1122" t="s">
        <v>119</v>
      </c>
      <c r="B1122" t="s">
        <v>120</v>
      </c>
      <c r="C1122" t="s">
        <v>115</v>
      </c>
      <c r="D1122" s="291">
        <v>8388252</v>
      </c>
      <c r="E1122">
        <v>8388252</v>
      </c>
      <c r="F1122" t="s">
        <v>121</v>
      </c>
      <c r="G1122" t="s">
        <v>117</v>
      </c>
      <c r="H1122" t="s">
        <v>122</v>
      </c>
      <c r="I1122" s="197">
        <v>45839.791666666664</v>
      </c>
      <c r="J1122" t="b">
        <v>1</v>
      </c>
      <c r="K1122" t="s">
        <v>123</v>
      </c>
      <c r="L1122" t="s">
        <v>123</v>
      </c>
      <c r="M1122">
        <v>1</v>
      </c>
      <c r="N1122">
        <v>7</v>
      </c>
      <c r="O1122">
        <v>2025</v>
      </c>
      <c r="R1122">
        <f>IF(wallet_records[[#This Row],[type]]="Gasto",wallet_records[[#This Row],[amount]]*(-1),wallet_records[[#This Row],[amount]])</f>
        <v>8388252</v>
      </c>
    </row>
    <row r="1123" spans="1:18" x14ac:dyDescent="0.2">
      <c r="A1123" t="s">
        <v>127</v>
      </c>
      <c r="B1123" t="s">
        <v>120</v>
      </c>
      <c r="C1123" t="s">
        <v>115</v>
      </c>
      <c r="D1123" s="291">
        <v>8388252</v>
      </c>
      <c r="E1123">
        <v>8388252</v>
      </c>
      <c r="F1123" t="s">
        <v>116</v>
      </c>
      <c r="G1123" t="s">
        <v>117</v>
      </c>
      <c r="H1123" t="s">
        <v>128</v>
      </c>
      <c r="I1123" s="197">
        <v>45839.791666666664</v>
      </c>
      <c r="J1123" t="b">
        <v>1</v>
      </c>
      <c r="K1123" t="s">
        <v>129</v>
      </c>
      <c r="L1123" t="s">
        <v>123</v>
      </c>
      <c r="M1123">
        <v>1</v>
      </c>
      <c r="N1123">
        <v>7</v>
      </c>
      <c r="O1123">
        <v>2025</v>
      </c>
      <c r="R1123">
        <f>IF(wallet_records[[#This Row],[type]]="Gasto",wallet_records[[#This Row],[amount]]*(-1),wallet_records[[#This Row],[amount]])</f>
        <v>-8388252</v>
      </c>
    </row>
    <row r="1124" spans="1:18" x14ac:dyDescent="0.2">
      <c r="A1124" t="s">
        <v>127</v>
      </c>
      <c r="B1124" t="s">
        <v>120</v>
      </c>
      <c r="C1124" t="s">
        <v>115</v>
      </c>
      <c r="D1124" s="291">
        <v>1000000</v>
      </c>
      <c r="E1124">
        <v>1000000</v>
      </c>
      <c r="F1124" t="s">
        <v>116</v>
      </c>
      <c r="G1124" t="s">
        <v>117</v>
      </c>
      <c r="H1124" t="s">
        <v>58</v>
      </c>
      <c r="I1124" s="197">
        <v>45821.791666666664</v>
      </c>
      <c r="J1124" t="b">
        <v>1</v>
      </c>
      <c r="K1124" t="s">
        <v>123</v>
      </c>
      <c r="L1124" t="s">
        <v>123</v>
      </c>
      <c r="M1124">
        <v>13</v>
      </c>
      <c r="N1124">
        <v>6</v>
      </c>
      <c r="O1124">
        <v>2025</v>
      </c>
      <c r="R1124">
        <f>IF(wallet_records[[#This Row],[type]]="Gasto",wallet_records[[#This Row],[amount]]*(-1),wallet_records[[#This Row],[amount]])</f>
        <v>-1000000</v>
      </c>
    </row>
    <row r="1125" spans="1:18" x14ac:dyDescent="0.2">
      <c r="A1125" t="s">
        <v>133</v>
      </c>
      <c r="B1125" t="s">
        <v>120</v>
      </c>
      <c r="C1125" t="s">
        <v>115</v>
      </c>
      <c r="D1125" s="291">
        <v>1000000</v>
      </c>
      <c r="E1125">
        <v>1000000</v>
      </c>
      <c r="F1125" t="s">
        <v>121</v>
      </c>
      <c r="G1125" t="s">
        <v>117</v>
      </c>
      <c r="H1125" t="s">
        <v>58</v>
      </c>
      <c r="I1125" s="197">
        <v>45821.791666666664</v>
      </c>
      <c r="J1125" t="b">
        <v>1</v>
      </c>
      <c r="K1125" t="s">
        <v>123</v>
      </c>
      <c r="L1125" t="s">
        <v>123</v>
      </c>
      <c r="M1125">
        <v>13</v>
      </c>
      <c r="N1125">
        <v>6</v>
      </c>
      <c r="O1125">
        <v>2025</v>
      </c>
      <c r="R1125">
        <f>IF(wallet_records[[#This Row],[type]]="Gasto",wallet_records[[#This Row],[amount]]*(-1),wallet_records[[#This Row],[amount]])</f>
        <v>1000000</v>
      </c>
    </row>
    <row r="1126" spans="1:18" x14ac:dyDescent="0.2">
      <c r="A1126" t="s">
        <v>127</v>
      </c>
      <c r="B1126" t="s">
        <v>120</v>
      </c>
      <c r="C1126" t="s">
        <v>115</v>
      </c>
      <c r="D1126" s="291">
        <v>1400000</v>
      </c>
      <c r="E1126">
        <v>1400000</v>
      </c>
      <c r="F1126" t="s">
        <v>116</v>
      </c>
      <c r="G1126" t="s">
        <v>117</v>
      </c>
      <c r="H1126" t="s">
        <v>148</v>
      </c>
      <c r="I1126" s="197">
        <v>45809.791666666664</v>
      </c>
      <c r="J1126" t="b">
        <v>1</v>
      </c>
      <c r="K1126" t="s">
        <v>127</v>
      </c>
      <c r="L1126" t="s">
        <v>123</v>
      </c>
      <c r="M1126">
        <v>1</v>
      </c>
      <c r="N1126">
        <v>6</v>
      </c>
      <c r="O1126">
        <v>2025</v>
      </c>
      <c r="R1126">
        <f>IF(wallet_records[[#This Row],[type]]="Gasto",wallet_records[[#This Row],[amount]]*(-1),wallet_records[[#This Row],[amount]])</f>
        <v>-1400000</v>
      </c>
    </row>
    <row r="1127" spans="1:18" x14ac:dyDescent="0.2">
      <c r="A1127" t="s">
        <v>127</v>
      </c>
      <c r="B1127" t="s">
        <v>120</v>
      </c>
      <c r="C1127" t="s">
        <v>115</v>
      </c>
      <c r="D1127" s="291">
        <v>2500000</v>
      </c>
      <c r="E1127">
        <v>2500000</v>
      </c>
      <c r="F1127" t="s">
        <v>116</v>
      </c>
      <c r="G1127" t="s">
        <v>117</v>
      </c>
      <c r="H1127" t="s">
        <v>147</v>
      </c>
      <c r="I1127" s="197">
        <v>45809.791666666664</v>
      </c>
      <c r="J1127" t="b">
        <v>1</v>
      </c>
      <c r="K1127" t="s">
        <v>127</v>
      </c>
      <c r="L1127" t="s">
        <v>123</v>
      </c>
      <c r="M1127">
        <v>1</v>
      </c>
      <c r="N1127">
        <v>6</v>
      </c>
      <c r="O1127">
        <v>2025</v>
      </c>
      <c r="R1127">
        <f>IF(wallet_records[[#This Row],[type]]="Gasto",wallet_records[[#This Row],[amount]]*(-1),wallet_records[[#This Row],[amount]])</f>
        <v>-2500000</v>
      </c>
    </row>
    <row r="1128" spans="1:18" x14ac:dyDescent="0.2">
      <c r="A1128" t="s">
        <v>524</v>
      </c>
      <c r="B1128" t="s">
        <v>120</v>
      </c>
      <c r="C1128" t="s">
        <v>115</v>
      </c>
      <c r="D1128" s="291">
        <v>2500000</v>
      </c>
      <c r="E1128">
        <v>2500000</v>
      </c>
      <c r="F1128" t="s">
        <v>121</v>
      </c>
      <c r="G1128" t="s">
        <v>117</v>
      </c>
      <c r="H1128" t="s">
        <v>147</v>
      </c>
      <c r="I1128" s="197">
        <v>45809.791666666664</v>
      </c>
      <c r="J1128" t="b">
        <v>1</v>
      </c>
      <c r="K1128" t="s">
        <v>127</v>
      </c>
      <c r="L1128" t="s">
        <v>123</v>
      </c>
      <c r="M1128">
        <v>1</v>
      </c>
      <c r="N1128">
        <v>6</v>
      </c>
      <c r="O1128">
        <v>2025</v>
      </c>
      <c r="R1128">
        <f>IF(wallet_records[[#This Row],[type]]="Gasto",wallet_records[[#This Row],[amount]]*(-1),wallet_records[[#This Row],[amount]])</f>
        <v>2500000</v>
      </c>
    </row>
    <row r="1129" spans="1:18" x14ac:dyDescent="0.2">
      <c r="A1129" t="s">
        <v>525</v>
      </c>
      <c r="B1129" t="s">
        <v>120</v>
      </c>
      <c r="C1129" t="s">
        <v>115</v>
      </c>
      <c r="D1129" s="291">
        <v>1400000</v>
      </c>
      <c r="E1129">
        <v>1400000</v>
      </c>
      <c r="F1129" t="s">
        <v>121</v>
      </c>
      <c r="G1129" t="s">
        <v>117</v>
      </c>
      <c r="H1129" t="s">
        <v>148</v>
      </c>
      <c r="I1129" s="197">
        <v>45809.791666666664</v>
      </c>
      <c r="J1129" t="b">
        <v>1</v>
      </c>
      <c r="K1129" t="s">
        <v>127</v>
      </c>
      <c r="L1129" t="s">
        <v>123</v>
      </c>
      <c r="M1129">
        <v>1</v>
      </c>
      <c r="N1129">
        <v>6</v>
      </c>
      <c r="O1129">
        <v>2025</v>
      </c>
      <c r="R1129">
        <f>IF(wallet_records[[#This Row],[type]]="Gasto",wallet_records[[#This Row],[amount]]*(-1),wallet_records[[#This Row],[amount]])</f>
        <v>1400000</v>
      </c>
    </row>
    <row r="1130" spans="1:18" x14ac:dyDescent="0.2">
      <c r="A1130" t="s">
        <v>127</v>
      </c>
      <c r="B1130" t="s">
        <v>120</v>
      </c>
      <c r="C1130" t="s">
        <v>115</v>
      </c>
      <c r="D1130" s="291">
        <v>1400000</v>
      </c>
      <c r="E1130">
        <v>1400000</v>
      </c>
      <c r="F1130" t="s">
        <v>116</v>
      </c>
      <c r="G1130" t="s">
        <v>117</v>
      </c>
      <c r="H1130" t="s">
        <v>128</v>
      </c>
      <c r="I1130" s="197">
        <v>45807.791666666664</v>
      </c>
      <c r="J1130" t="b">
        <v>1</v>
      </c>
      <c r="K1130" t="s">
        <v>129</v>
      </c>
      <c r="L1130" t="s">
        <v>123</v>
      </c>
      <c r="M1130">
        <v>30</v>
      </c>
      <c r="N1130">
        <v>5</v>
      </c>
      <c r="O1130">
        <v>2025</v>
      </c>
      <c r="R1130">
        <f>IF(wallet_records[[#This Row],[type]]="Gasto",wallet_records[[#This Row],[amount]]*(-1),wallet_records[[#This Row],[amount]])</f>
        <v>-1400000</v>
      </c>
    </row>
    <row r="1131" spans="1:18" x14ac:dyDescent="0.2">
      <c r="A1131" t="s">
        <v>127</v>
      </c>
      <c r="B1131" t="s">
        <v>120</v>
      </c>
      <c r="C1131" t="s">
        <v>115</v>
      </c>
      <c r="D1131" s="291">
        <v>1000000</v>
      </c>
      <c r="E1131">
        <v>1000000</v>
      </c>
      <c r="F1131" t="s">
        <v>116</v>
      </c>
      <c r="G1131" t="s">
        <v>117</v>
      </c>
      <c r="H1131" t="s">
        <v>123</v>
      </c>
      <c r="I1131" s="197">
        <v>45807.791666666664</v>
      </c>
      <c r="J1131" t="b">
        <v>1</v>
      </c>
      <c r="K1131" t="s">
        <v>123</v>
      </c>
      <c r="L1131" t="s">
        <v>123</v>
      </c>
      <c r="M1131">
        <v>30</v>
      </c>
      <c r="N1131">
        <v>5</v>
      </c>
      <c r="O1131">
        <v>2025</v>
      </c>
      <c r="R1131">
        <f>IF(wallet_records[[#This Row],[type]]="Gasto",wallet_records[[#This Row],[amount]]*(-1),wallet_records[[#This Row],[amount]])</f>
        <v>-1000000</v>
      </c>
    </row>
    <row r="1132" spans="1:18" x14ac:dyDescent="0.2">
      <c r="A1132" t="s">
        <v>119</v>
      </c>
      <c r="B1132" t="s">
        <v>120</v>
      </c>
      <c r="C1132" t="s">
        <v>115</v>
      </c>
      <c r="D1132" s="291">
        <v>1400000</v>
      </c>
      <c r="E1132">
        <v>1400000</v>
      </c>
      <c r="F1132" t="s">
        <v>121</v>
      </c>
      <c r="G1132" t="s">
        <v>117</v>
      </c>
      <c r="H1132" t="s">
        <v>122</v>
      </c>
      <c r="I1132" s="197">
        <v>45807.791666666664</v>
      </c>
      <c r="J1132" t="b">
        <v>1</v>
      </c>
      <c r="K1132" t="s">
        <v>123</v>
      </c>
      <c r="L1132" t="s">
        <v>123</v>
      </c>
      <c r="M1132">
        <v>30</v>
      </c>
      <c r="N1132">
        <v>5</v>
      </c>
      <c r="O1132">
        <v>2025</v>
      </c>
      <c r="R1132">
        <f>IF(wallet_records[[#This Row],[type]]="Gasto",wallet_records[[#This Row],[amount]]*(-1),wallet_records[[#This Row],[amount]])</f>
        <v>1400000</v>
      </c>
    </row>
    <row r="1133" spans="1:18" x14ac:dyDescent="0.2">
      <c r="A1133" t="s">
        <v>133</v>
      </c>
      <c r="B1133" t="s">
        <v>120</v>
      </c>
      <c r="C1133" t="s">
        <v>115</v>
      </c>
      <c r="D1133" s="291">
        <v>1000000</v>
      </c>
      <c r="E1133">
        <v>1000000</v>
      </c>
      <c r="F1133" t="s">
        <v>121</v>
      </c>
      <c r="G1133" t="s">
        <v>117</v>
      </c>
      <c r="H1133" t="s">
        <v>123</v>
      </c>
      <c r="I1133" s="197">
        <v>45807.791666666664</v>
      </c>
      <c r="J1133" t="b">
        <v>1</v>
      </c>
      <c r="K1133" t="s">
        <v>123</v>
      </c>
      <c r="L1133" t="s">
        <v>123</v>
      </c>
      <c r="M1133">
        <v>30</v>
      </c>
      <c r="N1133">
        <v>5</v>
      </c>
      <c r="O1133">
        <v>2025</v>
      </c>
      <c r="R1133">
        <f>IF(wallet_records[[#This Row],[type]]="Gasto",wallet_records[[#This Row],[amount]]*(-1),wallet_records[[#This Row],[amount]])</f>
        <v>1000000</v>
      </c>
    </row>
    <row r="1134" spans="1:18" x14ac:dyDescent="0.2">
      <c r="A1134" t="s">
        <v>525</v>
      </c>
      <c r="B1134" t="s">
        <v>120</v>
      </c>
      <c r="C1134" t="s">
        <v>115</v>
      </c>
      <c r="D1134" s="291">
        <v>1200000</v>
      </c>
      <c r="E1134">
        <v>1200000</v>
      </c>
      <c r="F1134" t="s">
        <v>121</v>
      </c>
      <c r="G1134" t="s">
        <v>117</v>
      </c>
      <c r="H1134" t="s">
        <v>148</v>
      </c>
      <c r="I1134" s="197">
        <v>45778.791666666664</v>
      </c>
      <c r="J1134" t="b">
        <v>1</v>
      </c>
      <c r="K1134" t="s">
        <v>127</v>
      </c>
      <c r="L1134" t="s">
        <v>123</v>
      </c>
      <c r="M1134">
        <v>1</v>
      </c>
      <c r="N1134">
        <v>5</v>
      </c>
      <c r="O1134">
        <v>2025</v>
      </c>
      <c r="R1134">
        <f>IF(wallet_records[[#This Row],[type]]="Gasto",wallet_records[[#This Row],[amount]]*(-1),wallet_records[[#This Row],[amount]])</f>
        <v>1200000</v>
      </c>
    </row>
    <row r="1135" spans="1:18" x14ac:dyDescent="0.2">
      <c r="A1135" t="s">
        <v>127</v>
      </c>
      <c r="B1135" t="s">
        <v>120</v>
      </c>
      <c r="C1135" t="s">
        <v>115</v>
      </c>
      <c r="D1135" s="291">
        <v>2500000</v>
      </c>
      <c r="E1135">
        <v>2500000</v>
      </c>
      <c r="F1135" t="s">
        <v>116</v>
      </c>
      <c r="G1135" t="s">
        <v>117</v>
      </c>
      <c r="H1135" t="s">
        <v>147</v>
      </c>
      <c r="I1135" s="197">
        <v>45778.791666666664</v>
      </c>
      <c r="J1135" t="b">
        <v>1</v>
      </c>
      <c r="K1135" t="s">
        <v>127</v>
      </c>
      <c r="L1135" t="s">
        <v>123</v>
      </c>
      <c r="M1135">
        <v>1</v>
      </c>
      <c r="N1135">
        <v>5</v>
      </c>
      <c r="O1135">
        <v>2025</v>
      </c>
      <c r="R1135">
        <f>IF(wallet_records[[#This Row],[type]]="Gasto",wallet_records[[#This Row],[amount]]*(-1),wallet_records[[#This Row],[amount]])</f>
        <v>-2500000</v>
      </c>
    </row>
    <row r="1136" spans="1:18" x14ac:dyDescent="0.2">
      <c r="A1136" t="s">
        <v>524</v>
      </c>
      <c r="B1136" t="s">
        <v>120</v>
      </c>
      <c r="C1136" t="s">
        <v>115</v>
      </c>
      <c r="D1136" s="291">
        <v>2500000</v>
      </c>
      <c r="E1136">
        <v>2500000</v>
      </c>
      <c r="F1136" t="s">
        <v>121</v>
      </c>
      <c r="G1136" t="s">
        <v>117</v>
      </c>
      <c r="H1136" t="s">
        <v>147</v>
      </c>
      <c r="I1136" s="197">
        <v>45778.791666666664</v>
      </c>
      <c r="J1136" t="b">
        <v>1</v>
      </c>
      <c r="K1136" t="s">
        <v>127</v>
      </c>
      <c r="L1136" t="s">
        <v>123</v>
      </c>
      <c r="M1136">
        <v>1</v>
      </c>
      <c r="N1136">
        <v>5</v>
      </c>
      <c r="O1136">
        <v>2025</v>
      </c>
      <c r="R1136">
        <f>IF(wallet_records[[#This Row],[type]]="Gasto",wallet_records[[#This Row],[amount]]*(-1),wallet_records[[#This Row],[amount]])</f>
        <v>2500000</v>
      </c>
    </row>
    <row r="1137" spans="1:18" x14ac:dyDescent="0.2">
      <c r="A1137" t="s">
        <v>127</v>
      </c>
      <c r="B1137" t="s">
        <v>120</v>
      </c>
      <c r="C1137" t="s">
        <v>115</v>
      </c>
      <c r="D1137" s="291">
        <v>1200000</v>
      </c>
      <c r="E1137">
        <v>1200000</v>
      </c>
      <c r="F1137" t="s">
        <v>116</v>
      </c>
      <c r="G1137" t="s">
        <v>117</v>
      </c>
      <c r="H1137" t="s">
        <v>148</v>
      </c>
      <c r="I1137" s="197">
        <v>45778.791666666664</v>
      </c>
      <c r="J1137" t="b">
        <v>1</v>
      </c>
      <c r="K1137" t="s">
        <v>127</v>
      </c>
      <c r="L1137" t="s">
        <v>123</v>
      </c>
      <c r="M1137">
        <v>1</v>
      </c>
      <c r="N1137">
        <v>5</v>
      </c>
      <c r="O1137">
        <v>2025</v>
      </c>
      <c r="R1137">
        <f>IF(wallet_records[[#This Row],[type]]="Gasto",wallet_records[[#This Row],[amount]]*(-1),wallet_records[[#This Row],[amount]])</f>
        <v>-1200000</v>
      </c>
    </row>
    <row r="1138" spans="1:18" x14ac:dyDescent="0.2">
      <c r="A1138" t="s">
        <v>127</v>
      </c>
      <c r="B1138" t="s">
        <v>120</v>
      </c>
      <c r="C1138" t="s">
        <v>115</v>
      </c>
      <c r="D1138" s="291">
        <v>1200000</v>
      </c>
      <c r="E1138">
        <v>1200000</v>
      </c>
      <c r="F1138" t="s">
        <v>116</v>
      </c>
      <c r="G1138" t="s">
        <v>117</v>
      </c>
      <c r="H1138" t="s">
        <v>128</v>
      </c>
      <c r="I1138" s="197">
        <v>45777.791666666664</v>
      </c>
      <c r="J1138" t="b">
        <v>1</v>
      </c>
      <c r="K1138" t="s">
        <v>129</v>
      </c>
      <c r="L1138" t="s">
        <v>123</v>
      </c>
      <c r="M1138">
        <v>30</v>
      </c>
      <c r="N1138">
        <v>4</v>
      </c>
      <c r="O1138">
        <v>2025</v>
      </c>
      <c r="R1138">
        <f>IF(wallet_records[[#This Row],[type]]="Gasto",wallet_records[[#This Row],[amount]]*(-1),wallet_records[[#This Row],[amount]])</f>
        <v>-1200000</v>
      </c>
    </row>
    <row r="1139" spans="1:18" x14ac:dyDescent="0.2">
      <c r="A1139" t="s">
        <v>119</v>
      </c>
      <c r="B1139" t="s">
        <v>120</v>
      </c>
      <c r="C1139" t="s">
        <v>115</v>
      </c>
      <c r="D1139" s="291">
        <v>1200000</v>
      </c>
      <c r="E1139">
        <v>1200000</v>
      </c>
      <c r="F1139" t="s">
        <v>121</v>
      </c>
      <c r="G1139" t="s">
        <v>117</v>
      </c>
      <c r="H1139" t="s">
        <v>122</v>
      </c>
      <c r="I1139" s="197">
        <v>45777.791666666664</v>
      </c>
      <c r="J1139" t="b">
        <v>1</v>
      </c>
      <c r="K1139" t="s">
        <v>123</v>
      </c>
      <c r="L1139" t="s">
        <v>123</v>
      </c>
      <c r="M1139">
        <v>30</v>
      </c>
      <c r="N1139">
        <v>4</v>
      </c>
      <c r="O1139">
        <v>2025</v>
      </c>
      <c r="R1139">
        <f>IF(wallet_records[[#This Row],[type]]="Gasto",wallet_records[[#This Row],[amount]]*(-1),wallet_records[[#This Row],[amount]])</f>
        <v>1200000</v>
      </c>
    </row>
    <row r="1140" spans="1:18" x14ac:dyDescent="0.2">
      <c r="A1140" t="s">
        <v>133</v>
      </c>
      <c r="B1140" t="s">
        <v>120</v>
      </c>
      <c r="C1140" t="s">
        <v>115</v>
      </c>
      <c r="D1140" s="291">
        <v>1000000</v>
      </c>
      <c r="E1140">
        <v>1000000</v>
      </c>
      <c r="F1140" t="s">
        <v>121</v>
      </c>
      <c r="G1140" t="s">
        <v>117</v>
      </c>
      <c r="H1140" t="s">
        <v>58</v>
      </c>
      <c r="I1140" s="197">
        <v>45767.791666666664</v>
      </c>
      <c r="J1140" t="b">
        <v>1</v>
      </c>
      <c r="K1140" t="s">
        <v>123</v>
      </c>
      <c r="L1140" t="s">
        <v>123</v>
      </c>
      <c r="M1140">
        <v>20</v>
      </c>
      <c r="N1140">
        <v>4</v>
      </c>
      <c r="O1140">
        <v>2025</v>
      </c>
      <c r="R1140">
        <f>IF(wallet_records[[#This Row],[type]]="Gasto",wallet_records[[#This Row],[amount]]*(-1),wallet_records[[#This Row],[amount]])</f>
        <v>1000000</v>
      </c>
    </row>
    <row r="1141" spans="1:18" x14ac:dyDescent="0.2">
      <c r="A1141" t="s">
        <v>127</v>
      </c>
      <c r="B1141" t="s">
        <v>120</v>
      </c>
      <c r="C1141" t="s">
        <v>115</v>
      </c>
      <c r="D1141" s="291">
        <v>1000000</v>
      </c>
      <c r="E1141">
        <v>1000000</v>
      </c>
      <c r="F1141" t="s">
        <v>116</v>
      </c>
      <c r="G1141" t="s">
        <v>117</v>
      </c>
      <c r="H1141" t="s">
        <v>58</v>
      </c>
      <c r="I1141" s="197">
        <v>45767.791666666664</v>
      </c>
      <c r="J1141" t="b">
        <v>1</v>
      </c>
      <c r="K1141" t="s">
        <v>123</v>
      </c>
      <c r="L1141" t="s">
        <v>123</v>
      </c>
      <c r="M1141">
        <v>20</v>
      </c>
      <c r="N1141">
        <v>4</v>
      </c>
      <c r="O1141">
        <v>2025</v>
      </c>
      <c r="R1141">
        <f>IF(wallet_records[[#This Row],[type]]="Gasto",wallet_records[[#This Row],[amount]]*(-1),wallet_records[[#This Row],[amount]])</f>
        <v>-1000000</v>
      </c>
    </row>
    <row r="1142" spans="1:18" x14ac:dyDescent="0.2">
      <c r="A1142" t="s">
        <v>119</v>
      </c>
      <c r="B1142" t="s">
        <v>120</v>
      </c>
      <c r="C1142" t="s">
        <v>115</v>
      </c>
      <c r="D1142" s="291">
        <v>1200000</v>
      </c>
      <c r="E1142">
        <v>1200000</v>
      </c>
      <c r="F1142" t="s">
        <v>121</v>
      </c>
      <c r="G1142" t="s">
        <v>117</v>
      </c>
      <c r="H1142" t="s">
        <v>122</v>
      </c>
      <c r="I1142" s="197">
        <v>45748.791666666664</v>
      </c>
      <c r="J1142" t="b">
        <v>1</v>
      </c>
      <c r="K1142" t="s">
        <v>123</v>
      </c>
      <c r="L1142" t="s">
        <v>123</v>
      </c>
      <c r="M1142">
        <v>1</v>
      </c>
      <c r="N1142">
        <v>4</v>
      </c>
      <c r="O1142">
        <v>2025</v>
      </c>
      <c r="R1142">
        <f>IF(wallet_records[[#This Row],[type]]="Gasto",wallet_records[[#This Row],[amount]]*(-1),wallet_records[[#This Row],[amount]])</f>
        <v>1200000</v>
      </c>
    </row>
    <row r="1143" spans="1:18" x14ac:dyDescent="0.2">
      <c r="A1143" t="s">
        <v>524</v>
      </c>
      <c r="B1143" t="s">
        <v>120</v>
      </c>
      <c r="C1143" t="s">
        <v>115</v>
      </c>
      <c r="D1143" s="291">
        <v>2500000</v>
      </c>
      <c r="E1143">
        <v>2500000</v>
      </c>
      <c r="F1143" t="s">
        <v>121</v>
      </c>
      <c r="G1143" t="s">
        <v>117</v>
      </c>
      <c r="H1143" t="s">
        <v>147</v>
      </c>
      <c r="I1143" s="197">
        <v>45748.791666666664</v>
      </c>
      <c r="J1143" t="b">
        <v>1</v>
      </c>
      <c r="K1143" t="s">
        <v>127</v>
      </c>
      <c r="L1143" t="s">
        <v>123</v>
      </c>
      <c r="M1143">
        <v>1</v>
      </c>
      <c r="N1143">
        <v>4</v>
      </c>
      <c r="O1143">
        <v>2025</v>
      </c>
      <c r="R1143">
        <f>IF(wallet_records[[#This Row],[type]]="Gasto",wallet_records[[#This Row],[amount]]*(-1),wallet_records[[#This Row],[amount]])</f>
        <v>2500000</v>
      </c>
    </row>
    <row r="1144" spans="1:18" x14ac:dyDescent="0.2">
      <c r="A1144" t="s">
        <v>127</v>
      </c>
      <c r="B1144" t="s">
        <v>120</v>
      </c>
      <c r="C1144" t="s">
        <v>115</v>
      </c>
      <c r="D1144" s="291">
        <v>1200000</v>
      </c>
      <c r="E1144">
        <v>1200000</v>
      </c>
      <c r="F1144" t="s">
        <v>116</v>
      </c>
      <c r="G1144" t="s">
        <v>117</v>
      </c>
      <c r="H1144" t="s">
        <v>148</v>
      </c>
      <c r="I1144" s="197">
        <v>45748.791666666664</v>
      </c>
      <c r="J1144" t="b">
        <v>1</v>
      </c>
      <c r="K1144" t="s">
        <v>127</v>
      </c>
      <c r="L1144" t="s">
        <v>123</v>
      </c>
      <c r="M1144">
        <v>1</v>
      </c>
      <c r="N1144">
        <v>4</v>
      </c>
      <c r="O1144">
        <v>2025</v>
      </c>
      <c r="R1144">
        <f>IF(wallet_records[[#This Row],[type]]="Gasto",wallet_records[[#This Row],[amount]]*(-1),wallet_records[[#This Row],[amount]])</f>
        <v>-1200000</v>
      </c>
    </row>
    <row r="1145" spans="1:18" x14ac:dyDescent="0.2">
      <c r="A1145" t="s">
        <v>127</v>
      </c>
      <c r="B1145" t="s">
        <v>120</v>
      </c>
      <c r="C1145" t="s">
        <v>115</v>
      </c>
      <c r="D1145" s="291">
        <v>1200000</v>
      </c>
      <c r="E1145">
        <v>1200000</v>
      </c>
      <c r="F1145" t="s">
        <v>116</v>
      </c>
      <c r="G1145" t="s">
        <v>117</v>
      </c>
      <c r="H1145" t="s">
        <v>128</v>
      </c>
      <c r="I1145" s="197">
        <v>45748.791666666664</v>
      </c>
      <c r="J1145" t="b">
        <v>1</v>
      </c>
      <c r="K1145" t="s">
        <v>129</v>
      </c>
      <c r="L1145" t="s">
        <v>123</v>
      </c>
      <c r="M1145">
        <v>1</v>
      </c>
      <c r="N1145">
        <v>4</v>
      </c>
      <c r="O1145">
        <v>2025</v>
      </c>
      <c r="R1145">
        <f>IF(wallet_records[[#This Row],[type]]="Gasto",wallet_records[[#This Row],[amount]]*(-1),wallet_records[[#This Row],[amount]])</f>
        <v>-1200000</v>
      </c>
    </row>
    <row r="1146" spans="1:18" x14ac:dyDescent="0.2">
      <c r="A1146" t="s">
        <v>127</v>
      </c>
      <c r="B1146" t="s">
        <v>120</v>
      </c>
      <c r="C1146" t="s">
        <v>115</v>
      </c>
      <c r="D1146" s="291">
        <v>2500000</v>
      </c>
      <c r="E1146">
        <v>2500000</v>
      </c>
      <c r="F1146" t="s">
        <v>116</v>
      </c>
      <c r="G1146" t="s">
        <v>117</v>
      </c>
      <c r="H1146" t="s">
        <v>147</v>
      </c>
      <c r="I1146" s="197">
        <v>45748.791666666664</v>
      </c>
      <c r="J1146" t="b">
        <v>1</v>
      </c>
      <c r="K1146" t="s">
        <v>127</v>
      </c>
      <c r="L1146" t="s">
        <v>123</v>
      </c>
      <c r="M1146">
        <v>1</v>
      </c>
      <c r="N1146">
        <v>4</v>
      </c>
      <c r="O1146">
        <v>2025</v>
      </c>
      <c r="R1146">
        <f>IF(wallet_records[[#This Row],[type]]="Gasto",wallet_records[[#This Row],[amount]]*(-1),wallet_records[[#This Row],[amount]])</f>
        <v>-2500000</v>
      </c>
    </row>
    <row r="1147" spans="1:18" x14ac:dyDescent="0.2">
      <c r="A1147" t="s">
        <v>525</v>
      </c>
      <c r="B1147" t="s">
        <v>120</v>
      </c>
      <c r="C1147" t="s">
        <v>115</v>
      </c>
      <c r="D1147" s="291">
        <v>1200000</v>
      </c>
      <c r="E1147">
        <v>1200000</v>
      </c>
      <c r="F1147" t="s">
        <v>121</v>
      </c>
      <c r="G1147" t="s">
        <v>117</v>
      </c>
      <c r="H1147" t="s">
        <v>148</v>
      </c>
      <c r="I1147" s="197">
        <v>45748.791666666664</v>
      </c>
      <c r="J1147" t="b">
        <v>1</v>
      </c>
      <c r="K1147" t="s">
        <v>127</v>
      </c>
      <c r="L1147" t="s">
        <v>123</v>
      </c>
      <c r="M1147">
        <v>1</v>
      </c>
      <c r="N1147">
        <v>4</v>
      </c>
      <c r="O1147">
        <v>2025</v>
      </c>
      <c r="R1147">
        <f>IF(wallet_records[[#This Row],[type]]="Gasto",wallet_records[[#This Row],[amount]]*(-1),wallet_records[[#This Row],[amount]])</f>
        <v>1200000</v>
      </c>
    </row>
    <row r="1148" spans="1:18" x14ac:dyDescent="0.2">
      <c r="A1148" t="s">
        <v>127</v>
      </c>
      <c r="B1148" t="s">
        <v>120</v>
      </c>
      <c r="C1148" t="s">
        <v>115</v>
      </c>
      <c r="D1148" s="291">
        <v>1000000</v>
      </c>
      <c r="E1148">
        <v>1000000</v>
      </c>
      <c r="F1148" t="s">
        <v>116</v>
      </c>
      <c r="G1148" t="s">
        <v>117</v>
      </c>
      <c r="H1148" t="s">
        <v>58</v>
      </c>
      <c r="I1148" s="197">
        <v>45733.791666666664</v>
      </c>
      <c r="J1148" t="b">
        <v>1</v>
      </c>
      <c r="K1148" t="s">
        <v>123</v>
      </c>
      <c r="L1148" t="s">
        <v>123</v>
      </c>
      <c r="M1148">
        <v>17</v>
      </c>
      <c r="N1148">
        <v>3</v>
      </c>
      <c r="O1148">
        <v>2025</v>
      </c>
      <c r="R1148">
        <f>IF(wallet_records[[#This Row],[type]]="Gasto",wallet_records[[#This Row],[amount]]*(-1),wallet_records[[#This Row],[amount]])</f>
        <v>-1000000</v>
      </c>
    </row>
    <row r="1149" spans="1:18" x14ac:dyDescent="0.2">
      <c r="A1149" t="s">
        <v>133</v>
      </c>
      <c r="B1149" t="s">
        <v>120</v>
      </c>
      <c r="C1149" t="s">
        <v>115</v>
      </c>
      <c r="D1149" s="291">
        <v>2200000</v>
      </c>
      <c r="E1149">
        <v>2200000</v>
      </c>
      <c r="F1149" t="s">
        <v>116</v>
      </c>
      <c r="G1149" t="s">
        <v>117</v>
      </c>
      <c r="H1149" t="s">
        <v>123</v>
      </c>
      <c r="I1149" s="197">
        <v>45733.791666666664</v>
      </c>
      <c r="J1149" t="b">
        <v>1</v>
      </c>
      <c r="K1149" t="s">
        <v>123</v>
      </c>
      <c r="L1149" t="s">
        <v>123</v>
      </c>
      <c r="M1149">
        <v>17</v>
      </c>
      <c r="N1149">
        <v>3</v>
      </c>
      <c r="O1149">
        <v>2025</v>
      </c>
      <c r="R1149">
        <f>IF(wallet_records[[#This Row],[type]]="Gasto",wallet_records[[#This Row],[amount]]*(-1),wallet_records[[#This Row],[amount]])</f>
        <v>-2200000</v>
      </c>
    </row>
    <row r="1150" spans="1:18" x14ac:dyDescent="0.2">
      <c r="A1150" t="s">
        <v>133</v>
      </c>
      <c r="B1150" t="s">
        <v>120</v>
      </c>
      <c r="C1150" t="s">
        <v>115</v>
      </c>
      <c r="D1150" s="291">
        <v>1000000</v>
      </c>
      <c r="E1150">
        <v>1000000</v>
      </c>
      <c r="F1150" t="s">
        <v>121</v>
      </c>
      <c r="G1150" t="s">
        <v>117</v>
      </c>
      <c r="H1150" t="s">
        <v>58</v>
      </c>
      <c r="I1150" s="197">
        <v>45733.791666666664</v>
      </c>
      <c r="J1150" t="b">
        <v>1</v>
      </c>
      <c r="K1150" t="s">
        <v>123</v>
      </c>
      <c r="L1150" t="s">
        <v>123</v>
      </c>
      <c r="M1150">
        <v>17</v>
      </c>
      <c r="N1150">
        <v>3</v>
      </c>
      <c r="O1150">
        <v>2025</v>
      </c>
      <c r="R1150">
        <f>IF(wallet_records[[#This Row],[type]]="Gasto",wallet_records[[#This Row],[amount]]*(-1),wallet_records[[#This Row],[amount]])</f>
        <v>1000000</v>
      </c>
    </row>
    <row r="1151" spans="1:18" x14ac:dyDescent="0.2">
      <c r="A1151" t="s">
        <v>525</v>
      </c>
      <c r="B1151" t="s">
        <v>120</v>
      </c>
      <c r="C1151" t="s">
        <v>115</v>
      </c>
      <c r="D1151" s="291">
        <v>2200000</v>
      </c>
      <c r="E1151">
        <v>2200000</v>
      </c>
      <c r="F1151" t="s">
        <v>121</v>
      </c>
      <c r="G1151" t="s">
        <v>117</v>
      </c>
      <c r="H1151" t="s">
        <v>123</v>
      </c>
      <c r="I1151" s="197">
        <v>45733.791666666664</v>
      </c>
      <c r="J1151" t="b">
        <v>1</v>
      </c>
      <c r="K1151" t="s">
        <v>123</v>
      </c>
      <c r="L1151" t="s">
        <v>123</v>
      </c>
      <c r="M1151">
        <v>17</v>
      </c>
      <c r="N1151">
        <v>3</v>
      </c>
      <c r="O1151">
        <v>2025</v>
      </c>
      <c r="R1151">
        <f>IF(wallet_records[[#This Row],[type]]="Gasto",wallet_records[[#This Row],[amount]]*(-1),wallet_records[[#This Row],[amount]])</f>
        <v>2200000</v>
      </c>
    </row>
    <row r="1152" spans="1:18" x14ac:dyDescent="0.2">
      <c r="A1152" t="s">
        <v>127</v>
      </c>
      <c r="B1152" t="s">
        <v>120</v>
      </c>
      <c r="C1152" t="s">
        <v>115</v>
      </c>
      <c r="D1152" s="291">
        <v>4522000</v>
      </c>
      <c r="E1152">
        <v>4522000</v>
      </c>
      <c r="F1152" t="s">
        <v>116</v>
      </c>
      <c r="G1152" t="s">
        <v>117</v>
      </c>
      <c r="H1152" t="s">
        <v>148</v>
      </c>
      <c r="I1152" s="197">
        <v>45725.791666666664</v>
      </c>
      <c r="J1152" t="b">
        <v>1</v>
      </c>
      <c r="K1152" t="s">
        <v>127</v>
      </c>
      <c r="L1152" t="s">
        <v>123</v>
      </c>
      <c r="M1152">
        <v>9</v>
      </c>
      <c r="N1152">
        <v>3</v>
      </c>
      <c r="O1152">
        <v>2025</v>
      </c>
      <c r="R1152">
        <f>IF(wallet_records[[#This Row],[type]]="Gasto",wallet_records[[#This Row],[amount]]*(-1),wallet_records[[#This Row],[amount]])</f>
        <v>-4522000</v>
      </c>
    </row>
    <row r="1153" spans="1:18" x14ac:dyDescent="0.2">
      <c r="A1153" t="s">
        <v>525</v>
      </c>
      <c r="B1153" t="s">
        <v>120</v>
      </c>
      <c r="C1153" t="s">
        <v>115</v>
      </c>
      <c r="D1153" s="291">
        <v>4522000</v>
      </c>
      <c r="E1153">
        <v>4522000</v>
      </c>
      <c r="F1153" t="s">
        <v>121</v>
      </c>
      <c r="G1153" t="s">
        <v>117</v>
      </c>
      <c r="H1153" t="s">
        <v>148</v>
      </c>
      <c r="I1153" s="197">
        <v>45725.791666666664</v>
      </c>
      <c r="J1153" t="b">
        <v>1</v>
      </c>
      <c r="K1153" t="s">
        <v>127</v>
      </c>
      <c r="L1153" t="s">
        <v>123</v>
      </c>
      <c r="M1153">
        <v>9</v>
      </c>
      <c r="N1153">
        <v>3</v>
      </c>
      <c r="O1153">
        <v>2025</v>
      </c>
      <c r="R1153">
        <f>IF(wallet_records[[#This Row],[type]]="Gasto",wallet_records[[#This Row],[amount]]*(-1),wallet_records[[#This Row],[amount]])</f>
        <v>4522000</v>
      </c>
    </row>
    <row r="1154" spans="1:18" x14ac:dyDescent="0.2">
      <c r="A1154" t="s">
        <v>119</v>
      </c>
      <c r="B1154" t="s">
        <v>120</v>
      </c>
      <c r="C1154" t="s">
        <v>115</v>
      </c>
      <c r="D1154" s="291">
        <v>1200000</v>
      </c>
      <c r="E1154">
        <v>1200000</v>
      </c>
      <c r="F1154" t="s">
        <v>121</v>
      </c>
      <c r="G1154" t="s">
        <v>117</v>
      </c>
      <c r="H1154" t="s">
        <v>122</v>
      </c>
      <c r="I1154" s="197">
        <v>45717.791666666664</v>
      </c>
      <c r="J1154" t="b">
        <v>1</v>
      </c>
      <c r="K1154" t="s">
        <v>123</v>
      </c>
      <c r="L1154" t="s">
        <v>123</v>
      </c>
      <c r="M1154">
        <v>1</v>
      </c>
      <c r="N1154">
        <v>3</v>
      </c>
      <c r="O1154">
        <v>2025</v>
      </c>
      <c r="R1154">
        <f>IF(wallet_records[[#This Row],[type]]="Gasto",wallet_records[[#This Row],[amount]]*(-1),wallet_records[[#This Row],[amount]])</f>
        <v>1200000</v>
      </c>
    </row>
    <row r="1155" spans="1:18" x14ac:dyDescent="0.2">
      <c r="A1155" t="s">
        <v>127</v>
      </c>
      <c r="B1155" t="s">
        <v>120</v>
      </c>
      <c r="C1155" t="s">
        <v>115</v>
      </c>
      <c r="D1155" s="291">
        <v>1855536</v>
      </c>
      <c r="E1155">
        <v>1855536</v>
      </c>
      <c r="F1155" t="s">
        <v>116</v>
      </c>
      <c r="G1155" t="s">
        <v>117</v>
      </c>
      <c r="H1155" t="s">
        <v>148</v>
      </c>
      <c r="I1155" s="197">
        <v>45717.791666666664</v>
      </c>
      <c r="J1155" t="b">
        <v>1</v>
      </c>
      <c r="K1155" t="s">
        <v>127</v>
      </c>
      <c r="L1155" t="s">
        <v>123</v>
      </c>
      <c r="M1155">
        <v>1</v>
      </c>
      <c r="N1155">
        <v>3</v>
      </c>
      <c r="O1155">
        <v>2025</v>
      </c>
      <c r="R1155">
        <f>IF(wallet_records[[#This Row],[type]]="Gasto",wallet_records[[#This Row],[amount]]*(-1),wallet_records[[#This Row],[amount]])</f>
        <v>-1855536</v>
      </c>
    </row>
    <row r="1156" spans="1:18" x14ac:dyDescent="0.2">
      <c r="A1156" t="s">
        <v>525</v>
      </c>
      <c r="B1156" t="s">
        <v>120</v>
      </c>
      <c r="C1156" t="s">
        <v>115</v>
      </c>
      <c r="D1156" s="291">
        <v>1200000</v>
      </c>
      <c r="E1156">
        <v>1200000</v>
      </c>
      <c r="F1156" t="s">
        <v>121</v>
      </c>
      <c r="G1156" t="s">
        <v>117</v>
      </c>
      <c r="H1156" t="s">
        <v>148</v>
      </c>
      <c r="I1156" s="197">
        <v>45717.791666666664</v>
      </c>
      <c r="J1156" t="b">
        <v>1</v>
      </c>
      <c r="K1156" t="s">
        <v>127</v>
      </c>
      <c r="L1156" t="s">
        <v>123</v>
      </c>
      <c r="M1156">
        <v>1</v>
      </c>
      <c r="N1156">
        <v>3</v>
      </c>
      <c r="O1156">
        <v>2025</v>
      </c>
      <c r="R1156">
        <f>IF(wallet_records[[#This Row],[type]]="Gasto",wallet_records[[#This Row],[amount]]*(-1),wallet_records[[#This Row],[amount]])</f>
        <v>1200000</v>
      </c>
    </row>
    <row r="1157" spans="1:18" x14ac:dyDescent="0.2">
      <c r="A1157" t="s">
        <v>525</v>
      </c>
      <c r="B1157" t="s">
        <v>120</v>
      </c>
      <c r="C1157" t="s">
        <v>115</v>
      </c>
      <c r="D1157" s="291">
        <v>1855536</v>
      </c>
      <c r="E1157">
        <v>1855536</v>
      </c>
      <c r="F1157" t="s">
        <v>121</v>
      </c>
      <c r="G1157" t="s">
        <v>117</v>
      </c>
      <c r="H1157" t="s">
        <v>148</v>
      </c>
      <c r="I1157" s="197">
        <v>45717.791666666664</v>
      </c>
      <c r="J1157" t="b">
        <v>1</v>
      </c>
      <c r="K1157" t="s">
        <v>127</v>
      </c>
      <c r="L1157" t="s">
        <v>123</v>
      </c>
      <c r="M1157">
        <v>1</v>
      </c>
      <c r="N1157">
        <v>3</v>
      </c>
      <c r="O1157">
        <v>2025</v>
      </c>
      <c r="R1157">
        <f>IF(wallet_records[[#This Row],[type]]="Gasto",wallet_records[[#This Row],[amount]]*(-1),wallet_records[[#This Row],[amount]])</f>
        <v>1855536</v>
      </c>
    </row>
    <row r="1158" spans="1:18" x14ac:dyDescent="0.2">
      <c r="A1158" t="s">
        <v>127</v>
      </c>
      <c r="B1158" t="s">
        <v>120</v>
      </c>
      <c r="C1158" t="s">
        <v>115</v>
      </c>
      <c r="D1158" s="291">
        <v>1200000</v>
      </c>
      <c r="E1158">
        <v>1200000</v>
      </c>
      <c r="F1158" t="s">
        <v>116</v>
      </c>
      <c r="G1158" t="s">
        <v>117</v>
      </c>
      <c r="H1158" t="s">
        <v>148</v>
      </c>
      <c r="I1158" s="197">
        <v>45717.791666666664</v>
      </c>
      <c r="J1158" t="b">
        <v>1</v>
      </c>
      <c r="K1158" t="s">
        <v>127</v>
      </c>
      <c r="L1158" t="s">
        <v>123</v>
      </c>
      <c r="M1158">
        <v>1</v>
      </c>
      <c r="N1158">
        <v>3</v>
      </c>
      <c r="O1158">
        <v>2025</v>
      </c>
      <c r="R1158">
        <f>IF(wallet_records[[#This Row],[type]]="Gasto",wallet_records[[#This Row],[amount]]*(-1),wallet_records[[#This Row],[amount]])</f>
        <v>-1200000</v>
      </c>
    </row>
    <row r="1159" spans="1:18" x14ac:dyDescent="0.2">
      <c r="A1159" t="s">
        <v>127</v>
      </c>
      <c r="B1159" t="s">
        <v>120</v>
      </c>
      <c r="C1159" t="s">
        <v>115</v>
      </c>
      <c r="D1159" s="291">
        <v>2500000</v>
      </c>
      <c r="E1159">
        <v>2500000</v>
      </c>
      <c r="F1159" t="s">
        <v>116</v>
      </c>
      <c r="G1159" t="s">
        <v>117</v>
      </c>
      <c r="H1159" t="s">
        <v>147</v>
      </c>
      <c r="I1159" s="197">
        <v>45717.791666666664</v>
      </c>
      <c r="J1159" t="b">
        <v>1</v>
      </c>
      <c r="K1159" t="s">
        <v>127</v>
      </c>
      <c r="L1159" t="s">
        <v>123</v>
      </c>
      <c r="M1159">
        <v>1</v>
      </c>
      <c r="N1159">
        <v>3</v>
      </c>
      <c r="O1159">
        <v>2025</v>
      </c>
      <c r="R1159">
        <f>IF(wallet_records[[#This Row],[type]]="Gasto",wallet_records[[#This Row],[amount]]*(-1),wallet_records[[#This Row],[amount]])</f>
        <v>-2500000</v>
      </c>
    </row>
    <row r="1160" spans="1:18" x14ac:dyDescent="0.2">
      <c r="A1160" t="s">
        <v>127</v>
      </c>
      <c r="B1160" t="s">
        <v>120</v>
      </c>
      <c r="C1160" t="s">
        <v>115</v>
      </c>
      <c r="D1160" s="291">
        <v>1200000</v>
      </c>
      <c r="E1160">
        <v>1200000</v>
      </c>
      <c r="F1160" t="s">
        <v>116</v>
      </c>
      <c r="G1160" t="s">
        <v>117</v>
      </c>
      <c r="H1160" t="s">
        <v>128</v>
      </c>
      <c r="I1160" s="197">
        <v>45717.791666666664</v>
      </c>
      <c r="J1160" t="b">
        <v>1</v>
      </c>
      <c r="K1160" t="s">
        <v>129</v>
      </c>
      <c r="L1160" t="s">
        <v>123</v>
      </c>
      <c r="M1160">
        <v>1</v>
      </c>
      <c r="N1160">
        <v>3</v>
      </c>
      <c r="O1160">
        <v>2025</v>
      </c>
      <c r="R1160">
        <f>IF(wallet_records[[#This Row],[type]]="Gasto",wallet_records[[#This Row],[amount]]*(-1),wallet_records[[#This Row],[amount]])</f>
        <v>-1200000</v>
      </c>
    </row>
    <row r="1161" spans="1:18" x14ac:dyDescent="0.2">
      <c r="A1161" t="s">
        <v>524</v>
      </c>
      <c r="B1161" t="s">
        <v>120</v>
      </c>
      <c r="C1161" t="s">
        <v>115</v>
      </c>
      <c r="D1161" s="291">
        <v>2500000</v>
      </c>
      <c r="E1161">
        <v>2500000</v>
      </c>
      <c r="F1161" t="s">
        <v>121</v>
      </c>
      <c r="G1161" t="s">
        <v>117</v>
      </c>
      <c r="H1161" t="s">
        <v>147</v>
      </c>
      <c r="I1161" s="197">
        <v>45717.791666666664</v>
      </c>
      <c r="J1161" t="b">
        <v>1</v>
      </c>
      <c r="K1161" t="s">
        <v>127</v>
      </c>
      <c r="L1161" t="s">
        <v>123</v>
      </c>
      <c r="M1161">
        <v>1</v>
      </c>
      <c r="N1161">
        <v>3</v>
      </c>
      <c r="O1161">
        <v>2025</v>
      </c>
      <c r="R1161">
        <f>IF(wallet_records[[#This Row],[type]]="Gasto",wallet_records[[#This Row],[amount]]*(-1),wallet_records[[#This Row],[amount]])</f>
        <v>2500000</v>
      </c>
    </row>
    <row r="1162" spans="1:18" x14ac:dyDescent="0.2">
      <c r="A1162" t="s">
        <v>127</v>
      </c>
      <c r="B1162" t="s">
        <v>120</v>
      </c>
      <c r="C1162" t="s">
        <v>115</v>
      </c>
      <c r="D1162" s="291">
        <v>1000000</v>
      </c>
      <c r="E1162">
        <v>1000000</v>
      </c>
      <c r="F1162" t="s">
        <v>116</v>
      </c>
      <c r="G1162" t="s">
        <v>117</v>
      </c>
      <c r="H1162" t="s">
        <v>58</v>
      </c>
      <c r="I1162" s="197">
        <v>45714.791666666664</v>
      </c>
      <c r="J1162" t="b">
        <v>1</v>
      </c>
      <c r="K1162" t="s">
        <v>123</v>
      </c>
      <c r="L1162" t="s">
        <v>123</v>
      </c>
      <c r="M1162">
        <v>26</v>
      </c>
      <c r="N1162">
        <v>2</v>
      </c>
      <c r="O1162">
        <v>2025</v>
      </c>
      <c r="R1162">
        <f>IF(wallet_records[[#This Row],[type]]="Gasto",wallet_records[[#This Row],[amount]]*(-1),wallet_records[[#This Row],[amount]])</f>
        <v>-1000000</v>
      </c>
    </row>
    <row r="1163" spans="1:18" x14ac:dyDescent="0.2">
      <c r="A1163" t="s">
        <v>133</v>
      </c>
      <c r="B1163" t="s">
        <v>120</v>
      </c>
      <c r="C1163" t="s">
        <v>115</v>
      </c>
      <c r="D1163" s="291">
        <v>1000000</v>
      </c>
      <c r="E1163">
        <v>1000000</v>
      </c>
      <c r="F1163" t="s">
        <v>121</v>
      </c>
      <c r="G1163" t="s">
        <v>117</v>
      </c>
      <c r="H1163" t="s">
        <v>58</v>
      </c>
      <c r="I1163" s="197">
        <v>45714.791666666664</v>
      </c>
      <c r="J1163" t="b">
        <v>1</v>
      </c>
      <c r="K1163" t="s">
        <v>123</v>
      </c>
      <c r="L1163" t="s">
        <v>123</v>
      </c>
      <c r="M1163">
        <v>26</v>
      </c>
      <c r="N1163">
        <v>2</v>
      </c>
      <c r="O1163">
        <v>2025</v>
      </c>
      <c r="R1163">
        <f>IF(wallet_records[[#This Row],[type]]="Gasto",wallet_records[[#This Row],[amount]]*(-1),wallet_records[[#This Row],[amount]])</f>
        <v>1000000</v>
      </c>
    </row>
    <row r="1164" spans="1:18" x14ac:dyDescent="0.2">
      <c r="A1164" t="s">
        <v>524</v>
      </c>
      <c r="B1164" t="s">
        <v>120</v>
      </c>
      <c r="C1164" t="s">
        <v>115</v>
      </c>
      <c r="D1164" s="291">
        <v>2500000</v>
      </c>
      <c r="E1164">
        <v>2500000</v>
      </c>
      <c r="F1164" t="s">
        <v>121</v>
      </c>
      <c r="G1164" t="s">
        <v>117</v>
      </c>
      <c r="H1164" t="s">
        <v>147</v>
      </c>
      <c r="I1164" s="197">
        <v>45689.791666666664</v>
      </c>
      <c r="J1164" t="b">
        <v>1</v>
      </c>
      <c r="K1164" t="s">
        <v>127</v>
      </c>
      <c r="L1164" t="s">
        <v>123</v>
      </c>
      <c r="M1164">
        <v>1</v>
      </c>
      <c r="N1164">
        <v>2</v>
      </c>
      <c r="O1164">
        <v>2025</v>
      </c>
      <c r="R1164">
        <f>IF(wallet_records[[#This Row],[type]]="Gasto",wallet_records[[#This Row],[amount]]*(-1),wallet_records[[#This Row],[amount]])</f>
        <v>2500000</v>
      </c>
    </row>
    <row r="1165" spans="1:18" x14ac:dyDescent="0.2">
      <c r="A1165" t="s">
        <v>127</v>
      </c>
      <c r="B1165" t="s">
        <v>120</v>
      </c>
      <c r="C1165" t="s">
        <v>115</v>
      </c>
      <c r="D1165" s="291">
        <v>2500000</v>
      </c>
      <c r="E1165">
        <v>2500000</v>
      </c>
      <c r="F1165" t="s">
        <v>116</v>
      </c>
      <c r="G1165" t="s">
        <v>117</v>
      </c>
      <c r="H1165" t="s">
        <v>147</v>
      </c>
      <c r="I1165" s="197">
        <v>45689.791666666664</v>
      </c>
      <c r="J1165" t="b">
        <v>1</v>
      </c>
      <c r="K1165" t="s">
        <v>127</v>
      </c>
      <c r="L1165" t="s">
        <v>123</v>
      </c>
      <c r="M1165">
        <v>1</v>
      </c>
      <c r="N1165">
        <v>2</v>
      </c>
      <c r="O1165">
        <v>2025</v>
      </c>
      <c r="R1165">
        <f>IF(wallet_records[[#This Row],[type]]="Gasto",wallet_records[[#This Row],[amount]]*(-1),wallet_records[[#This Row],[amount]])</f>
        <v>-2500000</v>
      </c>
    </row>
    <row r="1166" spans="1:18" x14ac:dyDescent="0.2">
      <c r="A1166" t="s">
        <v>525</v>
      </c>
      <c r="B1166" t="s">
        <v>120</v>
      </c>
      <c r="C1166" t="s">
        <v>115</v>
      </c>
      <c r="D1166" s="291">
        <v>1200000</v>
      </c>
      <c r="E1166">
        <v>1200000</v>
      </c>
      <c r="F1166" t="s">
        <v>121</v>
      </c>
      <c r="G1166" t="s">
        <v>117</v>
      </c>
      <c r="H1166" t="s">
        <v>148</v>
      </c>
      <c r="I1166" s="197">
        <v>45689.791666666664</v>
      </c>
      <c r="J1166" t="b">
        <v>1</v>
      </c>
      <c r="K1166" t="s">
        <v>127</v>
      </c>
      <c r="L1166" t="s">
        <v>123</v>
      </c>
      <c r="M1166">
        <v>1</v>
      </c>
      <c r="N1166">
        <v>2</v>
      </c>
      <c r="O1166">
        <v>2025</v>
      </c>
      <c r="R1166">
        <f>IF(wallet_records[[#This Row],[type]]="Gasto",wallet_records[[#This Row],[amount]]*(-1),wallet_records[[#This Row],[amount]])</f>
        <v>1200000</v>
      </c>
    </row>
    <row r="1167" spans="1:18" x14ac:dyDescent="0.2">
      <c r="A1167" t="s">
        <v>127</v>
      </c>
      <c r="B1167" t="s">
        <v>120</v>
      </c>
      <c r="C1167" t="s">
        <v>115</v>
      </c>
      <c r="D1167" s="291">
        <v>1200000</v>
      </c>
      <c r="E1167">
        <v>1200000</v>
      </c>
      <c r="F1167" t="s">
        <v>116</v>
      </c>
      <c r="G1167" t="s">
        <v>117</v>
      </c>
      <c r="H1167" t="s">
        <v>148</v>
      </c>
      <c r="I1167" s="197">
        <v>45689.791666666664</v>
      </c>
      <c r="J1167" t="b">
        <v>1</v>
      </c>
      <c r="K1167" t="s">
        <v>127</v>
      </c>
      <c r="L1167" t="s">
        <v>123</v>
      </c>
      <c r="M1167">
        <v>1</v>
      </c>
      <c r="N1167">
        <v>2</v>
      </c>
      <c r="O1167">
        <v>2025</v>
      </c>
      <c r="R1167">
        <f>IF(wallet_records[[#This Row],[type]]="Gasto",wallet_records[[#This Row],[amount]]*(-1),wallet_records[[#This Row],[amount]])</f>
        <v>-1200000</v>
      </c>
    </row>
    <row r="1168" spans="1:18" x14ac:dyDescent="0.2">
      <c r="A1168" t="s">
        <v>119</v>
      </c>
      <c r="B1168" t="s">
        <v>120</v>
      </c>
      <c r="C1168" t="s">
        <v>115</v>
      </c>
      <c r="D1168" s="291">
        <v>1200000</v>
      </c>
      <c r="E1168">
        <v>1200000</v>
      </c>
      <c r="F1168" t="s">
        <v>121</v>
      </c>
      <c r="G1168" t="s">
        <v>117</v>
      </c>
      <c r="H1168" t="s">
        <v>122</v>
      </c>
      <c r="I1168" s="197">
        <v>45689.791666666664</v>
      </c>
      <c r="J1168" t="b">
        <v>1</v>
      </c>
      <c r="K1168" t="s">
        <v>123</v>
      </c>
      <c r="L1168" t="s">
        <v>123</v>
      </c>
      <c r="M1168">
        <v>1</v>
      </c>
      <c r="N1168">
        <v>2</v>
      </c>
      <c r="O1168">
        <v>2025</v>
      </c>
      <c r="R1168">
        <f>IF(wallet_records[[#This Row],[type]]="Gasto",wallet_records[[#This Row],[amount]]*(-1),wallet_records[[#This Row],[amount]])</f>
        <v>1200000</v>
      </c>
    </row>
    <row r="1169" spans="1:18" x14ac:dyDescent="0.2">
      <c r="A1169" t="s">
        <v>127</v>
      </c>
      <c r="B1169" t="s">
        <v>120</v>
      </c>
      <c r="C1169" t="s">
        <v>115</v>
      </c>
      <c r="D1169" s="291">
        <v>1200000</v>
      </c>
      <c r="E1169">
        <v>1200000</v>
      </c>
      <c r="F1169" t="s">
        <v>116</v>
      </c>
      <c r="G1169" t="s">
        <v>117</v>
      </c>
      <c r="H1169" t="s">
        <v>128</v>
      </c>
      <c r="I1169" s="197">
        <v>45689.791666666664</v>
      </c>
      <c r="J1169" t="b">
        <v>1</v>
      </c>
      <c r="K1169" t="s">
        <v>129</v>
      </c>
      <c r="L1169" t="s">
        <v>123</v>
      </c>
      <c r="M1169">
        <v>1</v>
      </c>
      <c r="N1169">
        <v>2</v>
      </c>
      <c r="O1169">
        <v>2025</v>
      </c>
      <c r="R1169">
        <f>IF(wallet_records[[#This Row],[type]]="Gasto",wallet_records[[#This Row],[amount]]*(-1),wallet_records[[#This Row],[amount]])</f>
        <v>-1200000</v>
      </c>
    </row>
    <row r="1170" spans="1:18" x14ac:dyDescent="0.2">
      <c r="A1170" t="s">
        <v>133</v>
      </c>
      <c r="B1170" t="s">
        <v>120</v>
      </c>
      <c r="C1170" t="s">
        <v>115</v>
      </c>
      <c r="D1170" s="291">
        <v>2261000</v>
      </c>
      <c r="E1170">
        <v>2261000</v>
      </c>
      <c r="F1170" t="s">
        <v>116</v>
      </c>
      <c r="G1170" t="s">
        <v>117</v>
      </c>
      <c r="H1170" t="s">
        <v>123</v>
      </c>
      <c r="I1170" s="197">
        <v>45686.791666666664</v>
      </c>
      <c r="J1170" t="b">
        <v>1</v>
      </c>
      <c r="K1170" t="s">
        <v>123</v>
      </c>
      <c r="L1170" t="s">
        <v>123</v>
      </c>
      <c r="M1170">
        <v>29</v>
      </c>
      <c r="N1170">
        <v>1</v>
      </c>
      <c r="O1170">
        <v>2025</v>
      </c>
      <c r="R1170">
        <f>IF(wallet_records[[#This Row],[type]]="Gasto",wallet_records[[#This Row],[amount]]*(-1),wallet_records[[#This Row],[amount]])</f>
        <v>-2261000</v>
      </c>
    </row>
    <row r="1171" spans="1:18" x14ac:dyDescent="0.2">
      <c r="A1171" t="s">
        <v>525</v>
      </c>
      <c r="B1171" t="s">
        <v>120</v>
      </c>
      <c r="C1171" t="s">
        <v>115</v>
      </c>
      <c r="D1171" s="291">
        <v>2261000</v>
      </c>
      <c r="E1171">
        <v>2261000</v>
      </c>
      <c r="F1171" t="s">
        <v>121</v>
      </c>
      <c r="G1171" t="s">
        <v>117</v>
      </c>
      <c r="H1171" t="s">
        <v>123</v>
      </c>
      <c r="I1171" s="197">
        <v>45686.791666666664</v>
      </c>
      <c r="J1171" t="b">
        <v>1</v>
      </c>
      <c r="K1171" t="s">
        <v>123</v>
      </c>
      <c r="L1171" t="s">
        <v>123</v>
      </c>
      <c r="M1171">
        <v>29</v>
      </c>
      <c r="N1171">
        <v>1</v>
      </c>
      <c r="O1171">
        <v>2025</v>
      </c>
      <c r="R1171">
        <f>IF(wallet_records[[#This Row],[type]]="Gasto",wallet_records[[#This Row],[amount]]*(-1),wallet_records[[#This Row],[amount]])</f>
        <v>2261000</v>
      </c>
    </row>
    <row r="1172" spans="1:18" x14ac:dyDescent="0.2">
      <c r="A1172" t="s">
        <v>133</v>
      </c>
      <c r="B1172" t="s">
        <v>120</v>
      </c>
      <c r="C1172" t="s">
        <v>115</v>
      </c>
      <c r="D1172" s="291">
        <v>1000000</v>
      </c>
      <c r="E1172">
        <v>1000000</v>
      </c>
      <c r="F1172" t="s">
        <v>121</v>
      </c>
      <c r="G1172" t="s">
        <v>117</v>
      </c>
      <c r="H1172" t="s">
        <v>58</v>
      </c>
      <c r="I1172" s="197">
        <v>45672.791666666664</v>
      </c>
      <c r="J1172" t="b">
        <v>1</v>
      </c>
      <c r="K1172" t="s">
        <v>123</v>
      </c>
      <c r="L1172" t="s">
        <v>123</v>
      </c>
      <c r="M1172">
        <v>15</v>
      </c>
      <c r="N1172">
        <v>1</v>
      </c>
      <c r="O1172">
        <v>2025</v>
      </c>
      <c r="R1172">
        <f>IF(wallet_records[[#This Row],[type]]="Gasto",wallet_records[[#This Row],[amount]]*(-1),wallet_records[[#This Row],[amount]])</f>
        <v>1000000</v>
      </c>
    </row>
    <row r="1173" spans="1:18" x14ac:dyDescent="0.2">
      <c r="A1173" t="s">
        <v>127</v>
      </c>
      <c r="B1173" t="s">
        <v>120</v>
      </c>
      <c r="C1173" t="s">
        <v>115</v>
      </c>
      <c r="D1173" s="291">
        <v>1000000</v>
      </c>
      <c r="E1173">
        <v>1000000</v>
      </c>
      <c r="F1173" t="s">
        <v>116</v>
      </c>
      <c r="G1173" t="s">
        <v>117</v>
      </c>
      <c r="H1173" t="s">
        <v>58</v>
      </c>
      <c r="I1173" s="197">
        <v>45672.791666666664</v>
      </c>
      <c r="J1173" t="b">
        <v>1</v>
      </c>
      <c r="K1173" t="s">
        <v>123</v>
      </c>
      <c r="L1173" t="s">
        <v>123</v>
      </c>
      <c r="M1173">
        <v>15</v>
      </c>
      <c r="N1173">
        <v>1</v>
      </c>
      <c r="O1173">
        <v>2025</v>
      </c>
      <c r="R1173">
        <f>IF(wallet_records[[#This Row],[type]]="Gasto",wallet_records[[#This Row],[amount]]*(-1),wallet_records[[#This Row],[amount]])</f>
        <v>-1000000</v>
      </c>
    </row>
    <row r="1174" spans="1:18" x14ac:dyDescent="0.2">
      <c r="A1174" t="s">
        <v>525</v>
      </c>
      <c r="B1174" t="s">
        <v>120</v>
      </c>
      <c r="C1174" t="s">
        <v>115</v>
      </c>
      <c r="D1174" s="291">
        <v>1200000</v>
      </c>
      <c r="E1174">
        <v>1200000</v>
      </c>
      <c r="F1174" t="s">
        <v>121</v>
      </c>
      <c r="G1174" t="s">
        <v>117</v>
      </c>
      <c r="H1174" t="s">
        <v>148</v>
      </c>
      <c r="I1174" s="197">
        <v>45658.791666666664</v>
      </c>
      <c r="J1174" t="b">
        <v>1</v>
      </c>
      <c r="K1174" t="s">
        <v>127</v>
      </c>
      <c r="L1174" t="s">
        <v>123</v>
      </c>
      <c r="M1174">
        <v>1</v>
      </c>
      <c r="N1174">
        <v>1</v>
      </c>
      <c r="O1174">
        <v>2025</v>
      </c>
      <c r="R1174">
        <f>IF(wallet_records[[#This Row],[type]]="Gasto",wallet_records[[#This Row],[amount]]*(-1),wallet_records[[#This Row],[amount]])</f>
        <v>1200000</v>
      </c>
    </row>
    <row r="1175" spans="1:18" x14ac:dyDescent="0.2">
      <c r="A1175" t="s">
        <v>127</v>
      </c>
      <c r="B1175" t="s">
        <v>120</v>
      </c>
      <c r="C1175" t="s">
        <v>115</v>
      </c>
      <c r="D1175" s="291">
        <v>7801847.1100000003</v>
      </c>
      <c r="E1175">
        <v>7801847.1100000003</v>
      </c>
      <c r="F1175" t="s">
        <v>116</v>
      </c>
      <c r="G1175" t="s">
        <v>117</v>
      </c>
      <c r="H1175" t="s">
        <v>128</v>
      </c>
      <c r="I1175" s="197">
        <v>45658.791666666664</v>
      </c>
      <c r="J1175" t="b">
        <v>1</v>
      </c>
      <c r="K1175" t="s">
        <v>129</v>
      </c>
      <c r="L1175" t="s">
        <v>123</v>
      </c>
      <c r="M1175">
        <v>1</v>
      </c>
      <c r="N1175">
        <v>1</v>
      </c>
      <c r="O1175">
        <v>2025</v>
      </c>
      <c r="R1175">
        <f>IF(wallet_records[[#This Row],[type]]="Gasto",wallet_records[[#This Row],[amount]]*(-1),wallet_records[[#This Row],[amount]])</f>
        <v>-7801847.1100000003</v>
      </c>
    </row>
    <row r="1176" spans="1:18" x14ac:dyDescent="0.2">
      <c r="A1176" t="s">
        <v>127</v>
      </c>
      <c r="B1176" t="s">
        <v>120</v>
      </c>
      <c r="C1176" t="s">
        <v>115</v>
      </c>
      <c r="D1176" s="291">
        <v>1200000</v>
      </c>
      <c r="E1176">
        <v>1200000</v>
      </c>
      <c r="F1176" t="s">
        <v>116</v>
      </c>
      <c r="G1176" t="s">
        <v>117</v>
      </c>
      <c r="H1176" t="s">
        <v>148</v>
      </c>
      <c r="I1176" s="197">
        <v>45658.791666666664</v>
      </c>
      <c r="J1176" t="b">
        <v>1</v>
      </c>
      <c r="K1176" t="s">
        <v>127</v>
      </c>
      <c r="L1176" t="s">
        <v>123</v>
      </c>
      <c r="M1176">
        <v>1</v>
      </c>
      <c r="N1176">
        <v>1</v>
      </c>
      <c r="O1176">
        <v>2025</v>
      </c>
      <c r="R1176">
        <f>IF(wallet_records[[#This Row],[type]]="Gasto",wallet_records[[#This Row],[amount]]*(-1),wallet_records[[#This Row],[amount]])</f>
        <v>-1200000</v>
      </c>
    </row>
    <row r="1177" spans="1:18" x14ac:dyDescent="0.2">
      <c r="A1177" t="s">
        <v>524</v>
      </c>
      <c r="B1177" t="s">
        <v>120</v>
      </c>
      <c r="C1177" t="s">
        <v>115</v>
      </c>
      <c r="D1177" s="291">
        <v>2500000</v>
      </c>
      <c r="E1177">
        <v>2500000</v>
      </c>
      <c r="F1177" t="s">
        <v>121</v>
      </c>
      <c r="G1177" t="s">
        <v>117</v>
      </c>
      <c r="H1177" t="s">
        <v>147</v>
      </c>
      <c r="I1177" s="197">
        <v>45658.791666666664</v>
      </c>
      <c r="J1177" t="b">
        <v>1</v>
      </c>
      <c r="K1177" t="s">
        <v>127</v>
      </c>
      <c r="L1177" t="s">
        <v>123</v>
      </c>
      <c r="M1177">
        <v>1</v>
      </c>
      <c r="N1177">
        <v>1</v>
      </c>
      <c r="O1177">
        <v>2025</v>
      </c>
      <c r="R1177">
        <f>IF(wallet_records[[#This Row],[type]]="Gasto",wallet_records[[#This Row],[amount]]*(-1),wallet_records[[#This Row],[amount]])</f>
        <v>2500000</v>
      </c>
    </row>
    <row r="1178" spans="1:18" x14ac:dyDescent="0.2">
      <c r="A1178" t="s">
        <v>119</v>
      </c>
      <c r="B1178" t="s">
        <v>120</v>
      </c>
      <c r="C1178" t="s">
        <v>115</v>
      </c>
      <c r="D1178" s="291">
        <v>7801847.1100000003</v>
      </c>
      <c r="E1178">
        <v>7801847.1100000003</v>
      </c>
      <c r="F1178" t="s">
        <v>121</v>
      </c>
      <c r="G1178" t="s">
        <v>117</v>
      </c>
      <c r="H1178" t="s">
        <v>122</v>
      </c>
      <c r="I1178" s="197">
        <v>45658.791666666664</v>
      </c>
      <c r="J1178" t="b">
        <v>1</v>
      </c>
      <c r="K1178" t="s">
        <v>123</v>
      </c>
      <c r="L1178" t="s">
        <v>123</v>
      </c>
      <c r="M1178">
        <v>1</v>
      </c>
      <c r="N1178">
        <v>1</v>
      </c>
      <c r="O1178">
        <v>2025</v>
      </c>
      <c r="R1178">
        <f>IF(wallet_records[[#This Row],[type]]="Gasto",wallet_records[[#This Row],[amount]]*(-1),wallet_records[[#This Row],[amount]])</f>
        <v>7801847.1100000003</v>
      </c>
    </row>
    <row r="1179" spans="1:18" x14ac:dyDescent="0.2">
      <c r="A1179" t="s">
        <v>127</v>
      </c>
      <c r="B1179" t="s">
        <v>120</v>
      </c>
      <c r="C1179" t="s">
        <v>115</v>
      </c>
      <c r="D1179" s="291">
        <v>2500000</v>
      </c>
      <c r="E1179">
        <v>2500000</v>
      </c>
      <c r="F1179" t="s">
        <v>116</v>
      </c>
      <c r="G1179" t="s">
        <v>117</v>
      </c>
      <c r="H1179" t="s">
        <v>147</v>
      </c>
      <c r="I1179" s="197">
        <v>45658.791666666664</v>
      </c>
      <c r="J1179" t="b">
        <v>1</v>
      </c>
      <c r="K1179" t="s">
        <v>127</v>
      </c>
      <c r="L1179" t="s">
        <v>123</v>
      </c>
      <c r="M1179">
        <v>1</v>
      </c>
      <c r="N1179">
        <v>1</v>
      </c>
      <c r="O1179">
        <v>2025</v>
      </c>
      <c r="R1179">
        <f>IF(wallet_records[[#This Row],[type]]="Gasto",wallet_records[[#This Row],[amount]]*(-1),wallet_records[[#This Row],[amount]])</f>
        <v>-2500000</v>
      </c>
    </row>
    <row r="1180" spans="1:18" x14ac:dyDescent="0.2">
      <c r="A1180" t="s">
        <v>524</v>
      </c>
      <c r="B1180" t="s">
        <v>120</v>
      </c>
      <c r="C1180" t="s">
        <v>115</v>
      </c>
      <c r="D1180" s="291">
        <v>2500000</v>
      </c>
      <c r="E1180">
        <v>2500000</v>
      </c>
      <c r="F1180" t="s">
        <v>121</v>
      </c>
      <c r="G1180" t="s">
        <v>117</v>
      </c>
      <c r="H1180" t="s">
        <v>147</v>
      </c>
      <c r="I1180" s="197">
        <v>45627.791666666664</v>
      </c>
      <c r="J1180" t="b">
        <v>1</v>
      </c>
      <c r="K1180" t="s">
        <v>127</v>
      </c>
      <c r="L1180" t="s">
        <v>123</v>
      </c>
      <c r="M1180">
        <v>1</v>
      </c>
      <c r="N1180">
        <v>12</v>
      </c>
      <c r="O1180">
        <v>2024</v>
      </c>
      <c r="R1180">
        <f>IF(wallet_records[[#This Row],[type]]="Gasto",wallet_records[[#This Row],[amount]]*(-1),wallet_records[[#This Row],[amount]])</f>
        <v>2500000</v>
      </c>
    </row>
    <row r="1181" spans="1:18" x14ac:dyDescent="0.2">
      <c r="A1181" t="s">
        <v>525</v>
      </c>
      <c r="B1181" t="s">
        <v>120</v>
      </c>
      <c r="C1181" t="s">
        <v>115</v>
      </c>
      <c r="D1181" s="291">
        <v>1000000</v>
      </c>
      <c r="E1181">
        <v>1000000</v>
      </c>
      <c r="F1181" t="s">
        <v>121</v>
      </c>
      <c r="G1181" t="s">
        <v>117</v>
      </c>
      <c r="H1181" t="s">
        <v>148</v>
      </c>
      <c r="I1181" s="197">
        <v>45627.791666666664</v>
      </c>
      <c r="J1181" t="b">
        <v>1</v>
      </c>
      <c r="K1181" t="s">
        <v>127</v>
      </c>
      <c r="L1181" t="s">
        <v>123</v>
      </c>
      <c r="M1181">
        <v>1</v>
      </c>
      <c r="N1181">
        <v>12</v>
      </c>
      <c r="O1181">
        <v>2024</v>
      </c>
      <c r="R1181">
        <f>IF(wallet_records[[#This Row],[type]]="Gasto",wallet_records[[#This Row],[amount]]*(-1),wallet_records[[#This Row],[amount]])</f>
        <v>1000000</v>
      </c>
    </row>
    <row r="1182" spans="1:18" x14ac:dyDescent="0.2">
      <c r="A1182" t="s">
        <v>127</v>
      </c>
      <c r="B1182" t="s">
        <v>120</v>
      </c>
      <c r="C1182" t="s">
        <v>115</v>
      </c>
      <c r="D1182" s="291">
        <v>2500000</v>
      </c>
      <c r="E1182">
        <v>2500000</v>
      </c>
      <c r="F1182" t="s">
        <v>116</v>
      </c>
      <c r="G1182" t="s">
        <v>117</v>
      </c>
      <c r="H1182" t="s">
        <v>147</v>
      </c>
      <c r="I1182" s="197">
        <v>45627.791666666664</v>
      </c>
      <c r="J1182" t="b">
        <v>1</v>
      </c>
      <c r="K1182" t="s">
        <v>127</v>
      </c>
      <c r="L1182" t="s">
        <v>123</v>
      </c>
      <c r="M1182">
        <v>1</v>
      </c>
      <c r="N1182">
        <v>12</v>
      </c>
      <c r="O1182">
        <v>2024</v>
      </c>
      <c r="R1182">
        <f>IF(wallet_records[[#This Row],[type]]="Gasto",wallet_records[[#This Row],[amount]]*(-1),wallet_records[[#This Row],[amount]])</f>
        <v>-2500000</v>
      </c>
    </row>
    <row r="1183" spans="1:18" x14ac:dyDescent="0.2">
      <c r="A1183" t="s">
        <v>127</v>
      </c>
      <c r="B1183" t="s">
        <v>120</v>
      </c>
      <c r="C1183" t="s">
        <v>115</v>
      </c>
      <c r="D1183" s="291">
        <v>1000000</v>
      </c>
      <c r="E1183">
        <v>1000000</v>
      </c>
      <c r="F1183" t="s">
        <v>116</v>
      </c>
      <c r="G1183" t="s">
        <v>117</v>
      </c>
      <c r="H1183" t="s">
        <v>148</v>
      </c>
      <c r="I1183" s="197">
        <v>45627.791666666664</v>
      </c>
      <c r="J1183" t="b">
        <v>1</v>
      </c>
      <c r="K1183" t="s">
        <v>127</v>
      </c>
      <c r="L1183" t="s">
        <v>123</v>
      </c>
      <c r="M1183">
        <v>1</v>
      </c>
      <c r="N1183">
        <v>12</v>
      </c>
      <c r="O1183">
        <v>2024</v>
      </c>
      <c r="R1183">
        <f>IF(wallet_records[[#This Row],[type]]="Gasto",wallet_records[[#This Row],[amount]]*(-1),wallet_records[[#This Row],[amount]])</f>
        <v>-1000000</v>
      </c>
    </row>
    <row r="1184" spans="1:18" x14ac:dyDescent="0.2">
      <c r="A1184" t="s">
        <v>127</v>
      </c>
      <c r="B1184" t="s">
        <v>120</v>
      </c>
      <c r="C1184" t="s">
        <v>115</v>
      </c>
      <c r="D1184" s="291">
        <v>1000000</v>
      </c>
      <c r="E1184">
        <v>1000000</v>
      </c>
      <c r="F1184" t="s">
        <v>116</v>
      </c>
      <c r="G1184" t="s">
        <v>117</v>
      </c>
      <c r="H1184" t="s">
        <v>148</v>
      </c>
      <c r="I1184" s="197">
        <v>45597.791666666664</v>
      </c>
      <c r="J1184" t="b">
        <v>1</v>
      </c>
      <c r="K1184" t="s">
        <v>127</v>
      </c>
      <c r="L1184" t="s">
        <v>123</v>
      </c>
      <c r="M1184">
        <v>1</v>
      </c>
      <c r="N1184">
        <v>11</v>
      </c>
      <c r="O1184">
        <v>2024</v>
      </c>
      <c r="R1184">
        <f>IF(wallet_records[[#This Row],[type]]="Gasto",wallet_records[[#This Row],[amount]]*(-1),wallet_records[[#This Row],[amount]])</f>
        <v>-1000000</v>
      </c>
    </row>
    <row r="1185" spans="1:18" x14ac:dyDescent="0.2">
      <c r="A1185" t="s">
        <v>525</v>
      </c>
      <c r="B1185" t="s">
        <v>120</v>
      </c>
      <c r="C1185" t="s">
        <v>115</v>
      </c>
      <c r="D1185" s="291">
        <v>1000000</v>
      </c>
      <c r="E1185">
        <v>1000000</v>
      </c>
      <c r="F1185" t="s">
        <v>121</v>
      </c>
      <c r="G1185" t="s">
        <v>117</v>
      </c>
      <c r="H1185" t="s">
        <v>148</v>
      </c>
      <c r="I1185" s="197">
        <v>45597.791666666664</v>
      </c>
      <c r="J1185" t="b">
        <v>1</v>
      </c>
      <c r="K1185" t="s">
        <v>127</v>
      </c>
      <c r="L1185" t="s">
        <v>123</v>
      </c>
      <c r="M1185">
        <v>1</v>
      </c>
      <c r="N1185">
        <v>11</v>
      </c>
      <c r="O1185">
        <v>2024</v>
      </c>
      <c r="R1185">
        <f>IF(wallet_records[[#This Row],[type]]="Gasto",wallet_records[[#This Row],[amount]]*(-1),wallet_records[[#This Row],[amount]])</f>
        <v>1000000</v>
      </c>
    </row>
    <row r="1186" spans="1:18" x14ac:dyDescent="0.2">
      <c r="A1186" t="s">
        <v>127</v>
      </c>
      <c r="B1186" t="s">
        <v>120</v>
      </c>
      <c r="C1186" t="s">
        <v>115</v>
      </c>
      <c r="D1186" s="291">
        <v>2500000</v>
      </c>
      <c r="E1186">
        <v>2500000</v>
      </c>
      <c r="F1186" t="s">
        <v>116</v>
      </c>
      <c r="G1186" t="s">
        <v>117</v>
      </c>
      <c r="H1186" t="s">
        <v>147</v>
      </c>
      <c r="I1186" s="197">
        <v>45597.791666666664</v>
      </c>
      <c r="J1186" t="b">
        <v>1</v>
      </c>
      <c r="K1186" t="s">
        <v>127</v>
      </c>
      <c r="L1186" t="s">
        <v>123</v>
      </c>
      <c r="M1186">
        <v>1</v>
      </c>
      <c r="N1186">
        <v>11</v>
      </c>
      <c r="O1186">
        <v>2024</v>
      </c>
      <c r="R1186">
        <f>IF(wallet_records[[#This Row],[type]]="Gasto",wallet_records[[#This Row],[amount]]*(-1),wallet_records[[#This Row],[amount]])</f>
        <v>-2500000</v>
      </c>
    </row>
    <row r="1187" spans="1:18" x14ac:dyDescent="0.2">
      <c r="A1187" t="s">
        <v>524</v>
      </c>
      <c r="B1187" t="s">
        <v>120</v>
      </c>
      <c r="C1187" t="s">
        <v>115</v>
      </c>
      <c r="D1187" s="291">
        <v>2500000</v>
      </c>
      <c r="E1187">
        <v>2500000</v>
      </c>
      <c r="F1187" t="s">
        <v>121</v>
      </c>
      <c r="G1187" t="s">
        <v>117</v>
      </c>
      <c r="H1187" t="s">
        <v>147</v>
      </c>
      <c r="I1187" s="197">
        <v>45597.791666666664</v>
      </c>
      <c r="J1187" t="b">
        <v>1</v>
      </c>
      <c r="K1187" t="s">
        <v>127</v>
      </c>
      <c r="L1187" t="s">
        <v>123</v>
      </c>
      <c r="M1187">
        <v>1</v>
      </c>
      <c r="N1187">
        <v>11</v>
      </c>
      <c r="O1187">
        <v>2024</v>
      </c>
      <c r="R1187">
        <f>IF(wallet_records[[#This Row],[type]]="Gasto",wallet_records[[#This Row],[amount]]*(-1),wallet_records[[#This Row],[amount]])</f>
        <v>2500000</v>
      </c>
    </row>
    <row r="1188" spans="1:18" x14ac:dyDescent="0.2">
      <c r="A1188" t="s">
        <v>524</v>
      </c>
      <c r="B1188" t="s">
        <v>120</v>
      </c>
      <c r="C1188" t="s">
        <v>115</v>
      </c>
      <c r="D1188" s="291">
        <v>2500000</v>
      </c>
      <c r="E1188">
        <v>2500000</v>
      </c>
      <c r="F1188" t="s">
        <v>121</v>
      </c>
      <c r="G1188" t="s">
        <v>117</v>
      </c>
      <c r="H1188" t="s">
        <v>147</v>
      </c>
      <c r="I1188" s="197">
        <v>45566.791666666664</v>
      </c>
      <c r="J1188" t="b">
        <v>1</v>
      </c>
      <c r="K1188" t="s">
        <v>127</v>
      </c>
      <c r="L1188" t="s">
        <v>123</v>
      </c>
      <c r="M1188">
        <v>1</v>
      </c>
      <c r="N1188">
        <v>10</v>
      </c>
      <c r="O1188">
        <v>2024</v>
      </c>
      <c r="R1188">
        <f>IF(wallet_records[[#This Row],[type]]="Gasto",wallet_records[[#This Row],[amount]]*(-1),wallet_records[[#This Row],[amount]])</f>
        <v>2500000</v>
      </c>
    </row>
    <row r="1189" spans="1:18" x14ac:dyDescent="0.2">
      <c r="A1189" t="s">
        <v>127</v>
      </c>
      <c r="B1189" t="s">
        <v>120</v>
      </c>
      <c r="C1189" t="s">
        <v>115</v>
      </c>
      <c r="D1189" s="291">
        <v>1000000</v>
      </c>
      <c r="E1189">
        <v>1000000</v>
      </c>
      <c r="F1189" t="s">
        <v>116</v>
      </c>
      <c r="G1189" t="s">
        <v>117</v>
      </c>
      <c r="H1189" t="s">
        <v>148</v>
      </c>
      <c r="I1189" s="197">
        <v>45566.791666666664</v>
      </c>
      <c r="J1189" t="b">
        <v>1</v>
      </c>
      <c r="K1189" t="s">
        <v>127</v>
      </c>
      <c r="L1189" t="s">
        <v>123</v>
      </c>
      <c r="M1189">
        <v>1</v>
      </c>
      <c r="N1189">
        <v>10</v>
      </c>
      <c r="O1189">
        <v>2024</v>
      </c>
      <c r="R1189">
        <f>IF(wallet_records[[#This Row],[type]]="Gasto",wallet_records[[#This Row],[amount]]*(-1),wallet_records[[#This Row],[amount]])</f>
        <v>-1000000</v>
      </c>
    </row>
    <row r="1190" spans="1:18" x14ac:dyDescent="0.2">
      <c r="A1190" t="s">
        <v>127</v>
      </c>
      <c r="B1190" t="s">
        <v>120</v>
      </c>
      <c r="C1190" t="s">
        <v>115</v>
      </c>
      <c r="D1190" s="291">
        <v>2500000</v>
      </c>
      <c r="E1190">
        <v>2500000</v>
      </c>
      <c r="F1190" t="s">
        <v>116</v>
      </c>
      <c r="G1190" t="s">
        <v>117</v>
      </c>
      <c r="H1190" t="s">
        <v>147</v>
      </c>
      <c r="I1190" s="197">
        <v>45566.791666666664</v>
      </c>
      <c r="J1190" t="b">
        <v>1</v>
      </c>
      <c r="K1190" t="s">
        <v>127</v>
      </c>
      <c r="L1190" t="s">
        <v>123</v>
      </c>
      <c r="M1190">
        <v>1</v>
      </c>
      <c r="N1190">
        <v>10</v>
      </c>
      <c r="O1190">
        <v>2024</v>
      </c>
      <c r="R1190">
        <f>IF(wallet_records[[#This Row],[type]]="Gasto",wallet_records[[#This Row],[amount]]*(-1),wallet_records[[#This Row],[amount]])</f>
        <v>-2500000</v>
      </c>
    </row>
    <row r="1191" spans="1:18" x14ac:dyDescent="0.2">
      <c r="A1191" t="s">
        <v>525</v>
      </c>
      <c r="B1191" t="s">
        <v>120</v>
      </c>
      <c r="C1191" t="s">
        <v>115</v>
      </c>
      <c r="D1191" s="291">
        <v>1000000</v>
      </c>
      <c r="E1191">
        <v>1000000</v>
      </c>
      <c r="F1191" t="s">
        <v>121</v>
      </c>
      <c r="G1191" t="s">
        <v>117</v>
      </c>
      <c r="H1191" t="s">
        <v>148</v>
      </c>
      <c r="I1191" s="197">
        <v>45566.791666666664</v>
      </c>
      <c r="J1191" t="b">
        <v>1</v>
      </c>
      <c r="K1191" t="s">
        <v>127</v>
      </c>
      <c r="L1191" t="s">
        <v>123</v>
      </c>
      <c r="M1191">
        <v>1</v>
      </c>
      <c r="N1191">
        <v>10</v>
      </c>
      <c r="O1191">
        <v>2024</v>
      </c>
      <c r="R1191">
        <f>IF(wallet_records[[#This Row],[type]]="Gasto",wallet_records[[#This Row],[amount]]*(-1),wallet_records[[#This Row],[amount]])</f>
        <v>1000000</v>
      </c>
    </row>
    <row r="1192" spans="1:18" x14ac:dyDescent="0.2">
      <c r="A1192" t="s">
        <v>524</v>
      </c>
      <c r="B1192" t="s">
        <v>120</v>
      </c>
      <c r="C1192" t="s">
        <v>115</v>
      </c>
      <c r="D1192" s="291">
        <v>2500000</v>
      </c>
      <c r="E1192">
        <v>2500000</v>
      </c>
      <c r="F1192" t="s">
        <v>121</v>
      </c>
      <c r="G1192" t="s">
        <v>117</v>
      </c>
      <c r="H1192" t="s">
        <v>147</v>
      </c>
      <c r="I1192" s="197">
        <v>45536.791666666664</v>
      </c>
      <c r="J1192" t="b">
        <v>1</v>
      </c>
      <c r="K1192" t="s">
        <v>127</v>
      </c>
      <c r="L1192" t="s">
        <v>123</v>
      </c>
      <c r="M1192">
        <v>1</v>
      </c>
      <c r="N1192">
        <v>9</v>
      </c>
      <c r="O1192">
        <v>2024</v>
      </c>
      <c r="R1192">
        <f>IF(wallet_records[[#This Row],[type]]="Gasto",wallet_records[[#This Row],[amount]]*(-1),wallet_records[[#This Row],[amount]])</f>
        <v>2500000</v>
      </c>
    </row>
    <row r="1193" spans="1:18" x14ac:dyDescent="0.2">
      <c r="A1193" t="s">
        <v>127</v>
      </c>
      <c r="B1193" t="s">
        <v>120</v>
      </c>
      <c r="C1193" t="s">
        <v>115</v>
      </c>
      <c r="D1193" s="291">
        <v>2500000</v>
      </c>
      <c r="E1193">
        <v>2500000</v>
      </c>
      <c r="F1193" t="s">
        <v>116</v>
      </c>
      <c r="G1193" t="s">
        <v>117</v>
      </c>
      <c r="H1193" t="s">
        <v>147</v>
      </c>
      <c r="I1193" s="197">
        <v>45536.791666666664</v>
      </c>
      <c r="J1193" t="b">
        <v>1</v>
      </c>
      <c r="K1193" t="s">
        <v>127</v>
      </c>
      <c r="L1193" t="s">
        <v>123</v>
      </c>
      <c r="M1193">
        <v>1</v>
      </c>
      <c r="N1193">
        <v>9</v>
      </c>
      <c r="O1193">
        <v>2024</v>
      </c>
      <c r="R1193">
        <f>IF(wallet_records[[#This Row],[type]]="Gasto",wallet_records[[#This Row],[amount]]*(-1),wallet_records[[#This Row],[amount]])</f>
        <v>-2500000</v>
      </c>
    </row>
    <row r="1194" spans="1:18" x14ac:dyDescent="0.2">
      <c r="A1194" t="s">
        <v>127</v>
      </c>
      <c r="B1194" t="s">
        <v>120</v>
      </c>
      <c r="C1194" t="s">
        <v>115</v>
      </c>
      <c r="D1194" s="291">
        <v>1000000</v>
      </c>
      <c r="E1194">
        <v>1000000</v>
      </c>
      <c r="F1194" t="s">
        <v>116</v>
      </c>
      <c r="G1194" t="s">
        <v>117</v>
      </c>
      <c r="H1194" t="s">
        <v>148</v>
      </c>
      <c r="I1194" s="197">
        <v>45536.791666666664</v>
      </c>
      <c r="J1194" t="b">
        <v>1</v>
      </c>
      <c r="K1194" t="s">
        <v>127</v>
      </c>
      <c r="L1194" t="s">
        <v>123</v>
      </c>
      <c r="M1194">
        <v>1</v>
      </c>
      <c r="N1194">
        <v>9</v>
      </c>
      <c r="O1194">
        <v>2024</v>
      </c>
      <c r="R1194">
        <f>IF(wallet_records[[#This Row],[type]]="Gasto",wallet_records[[#This Row],[amount]]*(-1),wallet_records[[#This Row],[amount]])</f>
        <v>-1000000</v>
      </c>
    </row>
    <row r="1195" spans="1:18" x14ac:dyDescent="0.2">
      <c r="A1195" t="s">
        <v>525</v>
      </c>
      <c r="B1195" t="s">
        <v>120</v>
      </c>
      <c r="C1195" t="s">
        <v>115</v>
      </c>
      <c r="D1195" s="291">
        <v>1000000</v>
      </c>
      <c r="E1195">
        <v>1000000</v>
      </c>
      <c r="F1195" t="s">
        <v>121</v>
      </c>
      <c r="G1195" t="s">
        <v>117</v>
      </c>
      <c r="H1195" t="s">
        <v>148</v>
      </c>
      <c r="I1195" s="197">
        <v>45536.791666666664</v>
      </c>
      <c r="J1195" t="b">
        <v>1</v>
      </c>
      <c r="K1195" t="s">
        <v>127</v>
      </c>
      <c r="L1195" t="s">
        <v>123</v>
      </c>
      <c r="M1195">
        <v>1</v>
      </c>
      <c r="N1195">
        <v>9</v>
      </c>
      <c r="O1195">
        <v>2024</v>
      </c>
      <c r="R1195">
        <f>IF(wallet_records[[#This Row],[type]]="Gasto",wallet_records[[#This Row],[amount]]*(-1),wallet_records[[#This Row],[amount]])</f>
        <v>1000000</v>
      </c>
    </row>
    <row r="1196" spans="1:18" x14ac:dyDescent="0.2">
      <c r="A1196" t="s">
        <v>127</v>
      </c>
      <c r="B1196" t="s">
        <v>120</v>
      </c>
      <c r="C1196" t="s">
        <v>115</v>
      </c>
      <c r="D1196" s="291">
        <v>1000000</v>
      </c>
      <c r="E1196">
        <v>1000000</v>
      </c>
      <c r="F1196" t="s">
        <v>116</v>
      </c>
      <c r="G1196" t="s">
        <v>117</v>
      </c>
      <c r="H1196" t="s">
        <v>148</v>
      </c>
      <c r="I1196" s="197">
        <v>45505.791666666664</v>
      </c>
      <c r="J1196" t="b">
        <v>1</v>
      </c>
      <c r="K1196" t="s">
        <v>127</v>
      </c>
      <c r="L1196" t="s">
        <v>123</v>
      </c>
      <c r="M1196">
        <v>1</v>
      </c>
      <c r="N1196">
        <v>8</v>
      </c>
      <c r="O1196">
        <v>2024</v>
      </c>
      <c r="R1196">
        <f>IF(wallet_records[[#This Row],[type]]="Gasto",wallet_records[[#This Row],[amount]]*(-1),wallet_records[[#This Row],[amount]])</f>
        <v>-1000000</v>
      </c>
    </row>
    <row r="1197" spans="1:18" x14ac:dyDescent="0.2">
      <c r="A1197" t="s">
        <v>525</v>
      </c>
      <c r="B1197" t="s">
        <v>120</v>
      </c>
      <c r="C1197" t="s">
        <v>115</v>
      </c>
      <c r="D1197" s="291">
        <v>1000000</v>
      </c>
      <c r="E1197">
        <v>1000000</v>
      </c>
      <c r="F1197" t="s">
        <v>121</v>
      </c>
      <c r="G1197" t="s">
        <v>117</v>
      </c>
      <c r="H1197" t="s">
        <v>148</v>
      </c>
      <c r="I1197" s="197">
        <v>45505.791666666664</v>
      </c>
      <c r="J1197" t="b">
        <v>1</v>
      </c>
      <c r="K1197" t="s">
        <v>127</v>
      </c>
      <c r="L1197" t="s">
        <v>123</v>
      </c>
      <c r="M1197">
        <v>1</v>
      </c>
      <c r="N1197">
        <v>8</v>
      </c>
      <c r="O1197">
        <v>2024</v>
      </c>
      <c r="R1197">
        <f>IF(wallet_records[[#This Row],[type]]="Gasto",wallet_records[[#This Row],[amount]]*(-1),wallet_records[[#This Row],[amount]])</f>
        <v>1000000</v>
      </c>
    </row>
    <row r="1198" spans="1:18" x14ac:dyDescent="0.2">
      <c r="A1198" t="s">
        <v>127</v>
      </c>
      <c r="B1198" t="s">
        <v>120</v>
      </c>
      <c r="C1198" t="s">
        <v>115</v>
      </c>
      <c r="D1198" s="291">
        <v>2500000</v>
      </c>
      <c r="E1198">
        <v>2500000</v>
      </c>
      <c r="F1198" t="s">
        <v>116</v>
      </c>
      <c r="G1198" t="s">
        <v>117</v>
      </c>
      <c r="H1198" t="s">
        <v>147</v>
      </c>
      <c r="I1198" s="197">
        <v>45505.791666666664</v>
      </c>
      <c r="J1198" t="b">
        <v>1</v>
      </c>
      <c r="K1198" t="s">
        <v>127</v>
      </c>
      <c r="L1198" t="s">
        <v>123</v>
      </c>
      <c r="M1198">
        <v>1</v>
      </c>
      <c r="N1198">
        <v>8</v>
      </c>
      <c r="O1198">
        <v>2024</v>
      </c>
      <c r="R1198">
        <f>IF(wallet_records[[#This Row],[type]]="Gasto",wallet_records[[#This Row],[amount]]*(-1),wallet_records[[#This Row],[amount]])</f>
        <v>-2500000</v>
      </c>
    </row>
    <row r="1199" spans="1:18" x14ac:dyDescent="0.2">
      <c r="A1199" t="s">
        <v>524</v>
      </c>
      <c r="B1199" t="s">
        <v>120</v>
      </c>
      <c r="C1199" t="s">
        <v>115</v>
      </c>
      <c r="D1199" s="291">
        <v>2500000</v>
      </c>
      <c r="E1199">
        <v>2500000</v>
      </c>
      <c r="F1199" t="s">
        <v>121</v>
      </c>
      <c r="G1199" t="s">
        <v>117</v>
      </c>
      <c r="H1199" t="s">
        <v>147</v>
      </c>
      <c r="I1199" s="197">
        <v>45505.791666666664</v>
      </c>
      <c r="J1199" t="b">
        <v>1</v>
      </c>
      <c r="K1199" t="s">
        <v>127</v>
      </c>
      <c r="L1199" t="s">
        <v>123</v>
      </c>
      <c r="M1199">
        <v>1</v>
      </c>
      <c r="N1199">
        <v>8</v>
      </c>
      <c r="O1199">
        <v>2024</v>
      </c>
      <c r="R1199">
        <f>IF(wallet_records[[#This Row],[type]]="Gasto",wallet_records[[#This Row],[amount]]*(-1),wallet_records[[#This Row],[amount]])</f>
        <v>2500000</v>
      </c>
    </row>
    <row r="1200" spans="1:18" x14ac:dyDescent="0.2">
      <c r="A1200" t="s">
        <v>525</v>
      </c>
      <c r="B1200" t="s">
        <v>120</v>
      </c>
      <c r="C1200" t="s">
        <v>115</v>
      </c>
      <c r="D1200" s="291">
        <v>1000000</v>
      </c>
      <c r="E1200">
        <v>1000000</v>
      </c>
      <c r="F1200" t="s">
        <v>121</v>
      </c>
      <c r="G1200" t="s">
        <v>117</v>
      </c>
      <c r="H1200" t="s">
        <v>148</v>
      </c>
      <c r="I1200" s="197">
        <v>45474.791666666664</v>
      </c>
      <c r="J1200" t="b">
        <v>1</v>
      </c>
      <c r="K1200" t="s">
        <v>127</v>
      </c>
      <c r="L1200" t="s">
        <v>123</v>
      </c>
      <c r="M1200">
        <v>1</v>
      </c>
      <c r="N1200">
        <v>7</v>
      </c>
      <c r="O1200">
        <v>2024</v>
      </c>
      <c r="R1200">
        <f>IF(wallet_records[[#This Row],[type]]="Gasto",wallet_records[[#This Row],[amount]]*(-1),wallet_records[[#This Row],[amount]])</f>
        <v>1000000</v>
      </c>
    </row>
    <row r="1201" spans="1:18" x14ac:dyDescent="0.2">
      <c r="A1201" t="s">
        <v>127</v>
      </c>
      <c r="B1201" t="s">
        <v>120</v>
      </c>
      <c r="C1201" t="s">
        <v>115</v>
      </c>
      <c r="D1201" s="291">
        <v>1000000</v>
      </c>
      <c r="E1201">
        <v>1000000</v>
      </c>
      <c r="F1201" t="s">
        <v>116</v>
      </c>
      <c r="G1201" t="s">
        <v>117</v>
      </c>
      <c r="H1201" t="s">
        <v>148</v>
      </c>
      <c r="I1201" s="197">
        <v>45474.791666666664</v>
      </c>
      <c r="J1201" t="b">
        <v>1</v>
      </c>
      <c r="K1201" t="s">
        <v>127</v>
      </c>
      <c r="L1201" t="s">
        <v>123</v>
      </c>
      <c r="M1201">
        <v>1</v>
      </c>
      <c r="N1201">
        <v>7</v>
      </c>
      <c r="O1201">
        <v>2024</v>
      </c>
      <c r="R1201">
        <f>IF(wallet_records[[#This Row],[type]]="Gasto",wallet_records[[#This Row],[amount]]*(-1),wallet_records[[#This Row],[amount]])</f>
        <v>-1000000</v>
      </c>
    </row>
    <row r="1202" spans="1:18" x14ac:dyDescent="0.2">
      <c r="A1202" t="s">
        <v>524</v>
      </c>
      <c r="B1202" t="s">
        <v>120</v>
      </c>
      <c r="C1202" t="s">
        <v>115</v>
      </c>
      <c r="D1202" s="291">
        <v>2500000</v>
      </c>
      <c r="E1202">
        <v>2500000</v>
      </c>
      <c r="F1202" t="s">
        <v>121</v>
      </c>
      <c r="G1202" t="s">
        <v>117</v>
      </c>
      <c r="H1202" t="s">
        <v>147</v>
      </c>
      <c r="I1202" s="197">
        <v>45474.791666666664</v>
      </c>
      <c r="J1202" t="b">
        <v>1</v>
      </c>
      <c r="K1202" t="s">
        <v>127</v>
      </c>
      <c r="L1202" t="s">
        <v>123</v>
      </c>
      <c r="M1202">
        <v>1</v>
      </c>
      <c r="N1202">
        <v>7</v>
      </c>
      <c r="O1202">
        <v>2024</v>
      </c>
      <c r="R1202">
        <f>IF(wallet_records[[#This Row],[type]]="Gasto",wallet_records[[#This Row],[amount]]*(-1),wallet_records[[#This Row],[amount]])</f>
        <v>2500000</v>
      </c>
    </row>
    <row r="1203" spans="1:18" x14ac:dyDescent="0.2">
      <c r="A1203" t="s">
        <v>127</v>
      </c>
      <c r="B1203" t="s">
        <v>120</v>
      </c>
      <c r="C1203" t="s">
        <v>115</v>
      </c>
      <c r="D1203" s="291">
        <v>2500000</v>
      </c>
      <c r="E1203">
        <v>2500000</v>
      </c>
      <c r="F1203" t="s">
        <v>116</v>
      </c>
      <c r="G1203" t="s">
        <v>117</v>
      </c>
      <c r="H1203" t="s">
        <v>147</v>
      </c>
      <c r="I1203" s="197">
        <v>45474.791666666664</v>
      </c>
      <c r="J1203" t="b">
        <v>1</v>
      </c>
      <c r="K1203" t="s">
        <v>127</v>
      </c>
      <c r="L1203" t="s">
        <v>123</v>
      </c>
      <c r="M1203">
        <v>1</v>
      </c>
      <c r="N1203">
        <v>7</v>
      </c>
      <c r="O1203">
        <v>2024</v>
      </c>
      <c r="R1203">
        <f>IF(wallet_records[[#This Row],[type]]="Gasto",wallet_records[[#This Row],[amount]]*(-1),wallet_records[[#This Row],[amount]])</f>
        <v>-2500000</v>
      </c>
    </row>
    <row r="1204" spans="1:18" x14ac:dyDescent="0.2">
      <c r="A1204" t="s">
        <v>524</v>
      </c>
      <c r="B1204" t="s">
        <v>120</v>
      </c>
      <c r="C1204" t="s">
        <v>115</v>
      </c>
      <c r="D1204" s="291">
        <v>2500000</v>
      </c>
      <c r="E1204">
        <v>2500000</v>
      </c>
      <c r="F1204" t="s">
        <v>121</v>
      </c>
      <c r="G1204" t="s">
        <v>117</v>
      </c>
      <c r="H1204" t="s">
        <v>147</v>
      </c>
      <c r="I1204" s="197">
        <v>45444.791666666664</v>
      </c>
      <c r="J1204" t="b">
        <v>1</v>
      </c>
      <c r="K1204" t="s">
        <v>127</v>
      </c>
      <c r="L1204" t="s">
        <v>123</v>
      </c>
      <c r="M1204">
        <v>1</v>
      </c>
      <c r="N1204">
        <v>6</v>
      </c>
      <c r="O1204">
        <v>2024</v>
      </c>
      <c r="R1204">
        <f>IF(wallet_records[[#This Row],[type]]="Gasto",wallet_records[[#This Row],[amount]]*(-1),wallet_records[[#This Row],[amount]])</f>
        <v>2500000</v>
      </c>
    </row>
    <row r="1205" spans="1:18" x14ac:dyDescent="0.2">
      <c r="A1205" t="s">
        <v>127</v>
      </c>
      <c r="B1205" t="s">
        <v>120</v>
      </c>
      <c r="C1205" t="s">
        <v>115</v>
      </c>
      <c r="D1205" s="291">
        <v>1000000</v>
      </c>
      <c r="E1205">
        <v>1000000</v>
      </c>
      <c r="F1205" t="s">
        <v>116</v>
      </c>
      <c r="G1205" t="s">
        <v>117</v>
      </c>
      <c r="H1205" t="s">
        <v>148</v>
      </c>
      <c r="I1205" s="197">
        <v>45444.791666666664</v>
      </c>
      <c r="J1205" t="b">
        <v>1</v>
      </c>
      <c r="K1205" t="s">
        <v>127</v>
      </c>
      <c r="L1205" t="s">
        <v>123</v>
      </c>
      <c r="M1205">
        <v>1</v>
      </c>
      <c r="N1205">
        <v>6</v>
      </c>
      <c r="O1205">
        <v>2024</v>
      </c>
      <c r="R1205">
        <f>IF(wallet_records[[#This Row],[type]]="Gasto",wallet_records[[#This Row],[amount]]*(-1),wallet_records[[#This Row],[amount]])</f>
        <v>-1000000</v>
      </c>
    </row>
    <row r="1206" spans="1:18" x14ac:dyDescent="0.2">
      <c r="A1206" t="s">
        <v>525</v>
      </c>
      <c r="B1206" t="s">
        <v>120</v>
      </c>
      <c r="C1206" t="s">
        <v>115</v>
      </c>
      <c r="D1206" s="291">
        <v>1000000</v>
      </c>
      <c r="E1206">
        <v>1000000</v>
      </c>
      <c r="F1206" t="s">
        <v>121</v>
      </c>
      <c r="G1206" t="s">
        <v>117</v>
      </c>
      <c r="H1206" t="s">
        <v>148</v>
      </c>
      <c r="I1206" s="197">
        <v>45444.791666666664</v>
      </c>
      <c r="J1206" t="b">
        <v>1</v>
      </c>
      <c r="K1206" t="s">
        <v>127</v>
      </c>
      <c r="L1206" t="s">
        <v>123</v>
      </c>
      <c r="M1206">
        <v>1</v>
      </c>
      <c r="N1206">
        <v>6</v>
      </c>
      <c r="O1206">
        <v>2024</v>
      </c>
      <c r="R1206">
        <f>IF(wallet_records[[#This Row],[type]]="Gasto",wallet_records[[#This Row],[amount]]*(-1),wallet_records[[#This Row],[amount]])</f>
        <v>1000000</v>
      </c>
    </row>
    <row r="1207" spans="1:18" x14ac:dyDescent="0.2">
      <c r="A1207" t="s">
        <v>127</v>
      </c>
      <c r="B1207" t="s">
        <v>120</v>
      </c>
      <c r="C1207" t="s">
        <v>115</v>
      </c>
      <c r="D1207" s="291">
        <v>2500000</v>
      </c>
      <c r="E1207">
        <v>2500000</v>
      </c>
      <c r="F1207" t="s">
        <v>116</v>
      </c>
      <c r="G1207" t="s">
        <v>117</v>
      </c>
      <c r="H1207" t="s">
        <v>147</v>
      </c>
      <c r="I1207" s="197">
        <v>45444.791666666664</v>
      </c>
      <c r="J1207" t="b">
        <v>1</v>
      </c>
      <c r="K1207" t="s">
        <v>127</v>
      </c>
      <c r="L1207" t="s">
        <v>123</v>
      </c>
      <c r="M1207">
        <v>1</v>
      </c>
      <c r="N1207">
        <v>6</v>
      </c>
      <c r="O1207">
        <v>2024</v>
      </c>
      <c r="R1207">
        <f>IF(wallet_records[[#This Row],[type]]="Gasto",wallet_records[[#This Row],[amount]]*(-1),wallet_records[[#This Row],[amount]])</f>
        <v>-2500000</v>
      </c>
    </row>
    <row r="1208" spans="1:18" x14ac:dyDescent="0.2">
      <c r="A1208" t="s">
        <v>524</v>
      </c>
      <c r="B1208" t="s">
        <v>120</v>
      </c>
      <c r="C1208" t="s">
        <v>115</v>
      </c>
      <c r="D1208" s="291">
        <v>2200000</v>
      </c>
      <c r="E1208">
        <v>2200000</v>
      </c>
      <c r="F1208" t="s">
        <v>121</v>
      </c>
      <c r="G1208" t="s">
        <v>117</v>
      </c>
      <c r="H1208" t="s">
        <v>147</v>
      </c>
      <c r="I1208" s="197">
        <v>45413.791666666664</v>
      </c>
      <c r="J1208" t="b">
        <v>1</v>
      </c>
      <c r="K1208" t="s">
        <v>127</v>
      </c>
      <c r="L1208" t="s">
        <v>123</v>
      </c>
      <c r="M1208">
        <v>1</v>
      </c>
      <c r="N1208">
        <v>5</v>
      </c>
      <c r="O1208">
        <v>2024</v>
      </c>
      <c r="R1208">
        <f>IF(wallet_records[[#This Row],[type]]="Gasto",wallet_records[[#This Row],[amount]]*(-1),wallet_records[[#This Row],[amount]])</f>
        <v>2200000</v>
      </c>
    </row>
    <row r="1209" spans="1:18" x14ac:dyDescent="0.2">
      <c r="A1209" t="s">
        <v>127</v>
      </c>
      <c r="B1209" t="s">
        <v>120</v>
      </c>
      <c r="C1209" t="s">
        <v>115</v>
      </c>
      <c r="D1209" s="291">
        <v>700000</v>
      </c>
      <c r="E1209">
        <v>700000</v>
      </c>
      <c r="F1209" t="s">
        <v>116</v>
      </c>
      <c r="G1209" t="s">
        <v>117</v>
      </c>
      <c r="H1209" t="s">
        <v>148</v>
      </c>
      <c r="I1209" s="197">
        <v>45413.791666666664</v>
      </c>
      <c r="J1209" t="b">
        <v>1</v>
      </c>
      <c r="K1209" t="s">
        <v>127</v>
      </c>
      <c r="L1209" t="s">
        <v>123</v>
      </c>
      <c r="M1209">
        <v>1</v>
      </c>
      <c r="N1209">
        <v>5</v>
      </c>
      <c r="O1209">
        <v>2024</v>
      </c>
      <c r="R1209">
        <f>IF(wallet_records[[#This Row],[type]]="Gasto",wallet_records[[#This Row],[amount]]*(-1),wallet_records[[#This Row],[amount]])</f>
        <v>-700000</v>
      </c>
    </row>
    <row r="1210" spans="1:18" x14ac:dyDescent="0.2">
      <c r="A1210" t="s">
        <v>525</v>
      </c>
      <c r="B1210" t="s">
        <v>120</v>
      </c>
      <c r="C1210" t="s">
        <v>115</v>
      </c>
      <c r="D1210" s="291">
        <v>700000</v>
      </c>
      <c r="E1210">
        <v>700000</v>
      </c>
      <c r="F1210" t="s">
        <v>121</v>
      </c>
      <c r="G1210" t="s">
        <v>117</v>
      </c>
      <c r="H1210" t="s">
        <v>148</v>
      </c>
      <c r="I1210" s="197">
        <v>45413.791666666664</v>
      </c>
      <c r="J1210" t="b">
        <v>1</v>
      </c>
      <c r="K1210" t="s">
        <v>127</v>
      </c>
      <c r="L1210" t="s">
        <v>123</v>
      </c>
      <c r="M1210">
        <v>1</v>
      </c>
      <c r="N1210">
        <v>5</v>
      </c>
      <c r="O1210">
        <v>2024</v>
      </c>
      <c r="R1210">
        <f>IF(wallet_records[[#This Row],[type]]="Gasto",wallet_records[[#This Row],[amount]]*(-1),wallet_records[[#This Row],[amount]])</f>
        <v>700000</v>
      </c>
    </row>
    <row r="1211" spans="1:18" x14ac:dyDescent="0.2">
      <c r="A1211" t="s">
        <v>127</v>
      </c>
      <c r="B1211" t="s">
        <v>120</v>
      </c>
      <c r="C1211" t="s">
        <v>115</v>
      </c>
      <c r="D1211" s="291">
        <v>2200000</v>
      </c>
      <c r="E1211">
        <v>2200000</v>
      </c>
      <c r="F1211" t="s">
        <v>116</v>
      </c>
      <c r="G1211" t="s">
        <v>117</v>
      </c>
      <c r="H1211" t="s">
        <v>147</v>
      </c>
      <c r="I1211" s="197">
        <v>45413.791666666664</v>
      </c>
      <c r="J1211" t="b">
        <v>1</v>
      </c>
      <c r="K1211" t="s">
        <v>127</v>
      </c>
      <c r="L1211" t="s">
        <v>123</v>
      </c>
      <c r="M1211">
        <v>1</v>
      </c>
      <c r="N1211">
        <v>5</v>
      </c>
      <c r="O1211">
        <v>2024</v>
      </c>
      <c r="R1211">
        <f>IF(wallet_records[[#This Row],[type]]="Gasto",wallet_records[[#This Row],[amount]]*(-1),wallet_records[[#This Row],[amount]])</f>
        <v>-2200000</v>
      </c>
    </row>
    <row r="1212" spans="1:18" x14ac:dyDescent="0.2">
      <c r="A1212" t="s">
        <v>524</v>
      </c>
      <c r="B1212" t="s">
        <v>120</v>
      </c>
      <c r="C1212" t="s">
        <v>115</v>
      </c>
      <c r="D1212" s="291">
        <v>2200000</v>
      </c>
      <c r="E1212">
        <v>2200000</v>
      </c>
      <c r="F1212" t="s">
        <v>121</v>
      </c>
      <c r="G1212" t="s">
        <v>117</v>
      </c>
      <c r="H1212" t="s">
        <v>147</v>
      </c>
      <c r="I1212" s="197">
        <v>45383.791666666664</v>
      </c>
      <c r="J1212" t="b">
        <v>1</v>
      </c>
      <c r="K1212" t="s">
        <v>127</v>
      </c>
      <c r="L1212" t="s">
        <v>123</v>
      </c>
      <c r="M1212">
        <v>1</v>
      </c>
      <c r="N1212">
        <v>4</v>
      </c>
      <c r="O1212">
        <v>2024</v>
      </c>
      <c r="R1212">
        <f>IF(wallet_records[[#This Row],[type]]="Gasto",wallet_records[[#This Row],[amount]]*(-1),wallet_records[[#This Row],[amount]])</f>
        <v>2200000</v>
      </c>
    </row>
    <row r="1213" spans="1:18" x14ac:dyDescent="0.2">
      <c r="A1213" t="s">
        <v>127</v>
      </c>
      <c r="B1213" t="s">
        <v>120</v>
      </c>
      <c r="C1213" t="s">
        <v>115</v>
      </c>
      <c r="D1213" s="291">
        <v>700000</v>
      </c>
      <c r="E1213">
        <v>700000</v>
      </c>
      <c r="F1213" t="s">
        <v>116</v>
      </c>
      <c r="G1213" t="s">
        <v>117</v>
      </c>
      <c r="H1213" t="s">
        <v>148</v>
      </c>
      <c r="I1213" s="197">
        <v>45383.791666666664</v>
      </c>
      <c r="J1213" t="b">
        <v>1</v>
      </c>
      <c r="K1213" t="s">
        <v>127</v>
      </c>
      <c r="L1213" t="s">
        <v>123</v>
      </c>
      <c r="M1213">
        <v>1</v>
      </c>
      <c r="N1213">
        <v>4</v>
      </c>
      <c r="O1213">
        <v>2024</v>
      </c>
      <c r="R1213">
        <f>IF(wallet_records[[#This Row],[type]]="Gasto",wallet_records[[#This Row],[amount]]*(-1),wallet_records[[#This Row],[amount]])</f>
        <v>-700000</v>
      </c>
    </row>
    <row r="1214" spans="1:18" x14ac:dyDescent="0.2">
      <c r="A1214" t="s">
        <v>127</v>
      </c>
      <c r="B1214" t="s">
        <v>120</v>
      </c>
      <c r="C1214" t="s">
        <v>115</v>
      </c>
      <c r="D1214" s="291">
        <v>2200000</v>
      </c>
      <c r="E1214">
        <v>2200000</v>
      </c>
      <c r="F1214" t="s">
        <v>116</v>
      </c>
      <c r="G1214" t="s">
        <v>117</v>
      </c>
      <c r="H1214" t="s">
        <v>147</v>
      </c>
      <c r="I1214" s="197">
        <v>45383.791666666664</v>
      </c>
      <c r="J1214" t="b">
        <v>1</v>
      </c>
      <c r="K1214" t="s">
        <v>127</v>
      </c>
      <c r="L1214" t="s">
        <v>123</v>
      </c>
      <c r="M1214">
        <v>1</v>
      </c>
      <c r="N1214">
        <v>4</v>
      </c>
      <c r="O1214">
        <v>2024</v>
      </c>
      <c r="R1214">
        <f>IF(wallet_records[[#This Row],[type]]="Gasto",wallet_records[[#This Row],[amount]]*(-1),wallet_records[[#This Row],[amount]])</f>
        <v>-2200000</v>
      </c>
    </row>
    <row r="1215" spans="1:18" x14ac:dyDescent="0.2">
      <c r="A1215" t="s">
        <v>525</v>
      </c>
      <c r="B1215" t="s">
        <v>120</v>
      </c>
      <c r="C1215" t="s">
        <v>115</v>
      </c>
      <c r="D1215" s="291">
        <v>700000</v>
      </c>
      <c r="E1215">
        <v>700000</v>
      </c>
      <c r="F1215" t="s">
        <v>121</v>
      </c>
      <c r="G1215" t="s">
        <v>117</v>
      </c>
      <c r="H1215" t="s">
        <v>148</v>
      </c>
      <c r="I1215" s="197">
        <v>45383.791666666664</v>
      </c>
      <c r="J1215" t="b">
        <v>1</v>
      </c>
      <c r="K1215" t="s">
        <v>127</v>
      </c>
      <c r="L1215" t="s">
        <v>123</v>
      </c>
      <c r="M1215">
        <v>1</v>
      </c>
      <c r="N1215">
        <v>4</v>
      </c>
      <c r="O1215">
        <v>2024</v>
      </c>
      <c r="R1215">
        <f>IF(wallet_records[[#This Row],[type]]="Gasto",wallet_records[[#This Row],[amount]]*(-1),wallet_records[[#This Row],[amount]])</f>
        <v>700000</v>
      </c>
    </row>
    <row r="1216" spans="1:18" x14ac:dyDescent="0.2">
      <c r="A1216" t="s">
        <v>525</v>
      </c>
      <c r="B1216" t="s">
        <v>120</v>
      </c>
      <c r="C1216" t="s">
        <v>115</v>
      </c>
      <c r="D1216" s="291">
        <v>700000</v>
      </c>
      <c r="E1216">
        <v>700000</v>
      </c>
      <c r="F1216" t="s">
        <v>121</v>
      </c>
      <c r="G1216" t="s">
        <v>117</v>
      </c>
      <c r="H1216" t="s">
        <v>148</v>
      </c>
      <c r="I1216" s="197">
        <v>45352.791666666664</v>
      </c>
      <c r="J1216" t="b">
        <v>1</v>
      </c>
      <c r="K1216" t="s">
        <v>127</v>
      </c>
      <c r="L1216" t="s">
        <v>123</v>
      </c>
      <c r="M1216">
        <v>1</v>
      </c>
      <c r="N1216">
        <v>3</v>
      </c>
      <c r="O1216">
        <v>2024</v>
      </c>
      <c r="R1216">
        <f>IF(wallet_records[[#This Row],[type]]="Gasto",wallet_records[[#This Row],[amount]]*(-1),wallet_records[[#This Row],[amount]])</f>
        <v>700000</v>
      </c>
    </row>
    <row r="1217" spans="1:18" x14ac:dyDescent="0.2">
      <c r="A1217" t="s">
        <v>127</v>
      </c>
      <c r="B1217" t="s">
        <v>120</v>
      </c>
      <c r="C1217" t="s">
        <v>115</v>
      </c>
      <c r="D1217" s="291">
        <v>2200000</v>
      </c>
      <c r="E1217">
        <v>2200000</v>
      </c>
      <c r="F1217" t="s">
        <v>116</v>
      </c>
      <c r="G1217" t="s">
        <v>117</v>
      </c>
      <c r="H1217" t="s">
        <v>147</v>
      </c>
      <c r="I1217" s="197">
        <v>45352.791666666664</v>
      </c>
      <c r="J1217" t="b">
        <v>1</v>
      </c>
      <c r="K1217" t="s">
        <v>127</v>
      </c>
      <c r="L1217" t="s">
        <v>123</v>
      </c>
      <c r="M1217">
        <v>1</v>
      </c>
      <c r="N1217">
        <v>3</v>
      </c>
      <c r="O1217">
        <v>2024</v>
      </c>
      <c r="R1217">
        <f>IF(wallet_records[[#This Row],[type]]="Gasto",wallet_records[[#This Row],[amount]]*(-1),wallet_records[[#This Row],[amount]])</f>
        <v>-2200000</v>
      </c>
    </row>
    <row r="1218" spans="1:18" x14ac:dyDescent="0.2">
      <c r="A1218" t="s">
        <v>524</v>
      </c>
      <c r="B1218" t="s">
        <v>120</v>
      </c>
      <c r="C1218" t="s">
        <v>115</v>
      </c>
      <c r="D1218" s="291">
        <v>2200000</v>
      </c>
      <c r="E1218">
        <v>2200000</v>
      </c>
      <c r="F1218" t="s">
        <v>121</v>
      </c>
      <c r="G1218" t="s">
        <v>117</v>
      </c>
      <c r="H1218" t="s">
        <v>147</v>
      </c>
      <c r="I1218" s="197">
        <v>45352.791666666664</v>
      </c>
      <c r="J1218" t="b">
        <v>1</v>
      </c>
      <c r="K1218" t="s">
        <v>127</v>
      </c>
      <c r="L1218" t="s">
        <v>123</v>
      </c>
      <c r="M1218">
        <v>1</v>
      </c>
      <c r="N1218">
        <v>3</v>
      </c>
      <c r="O1218">
        <v>2024</v>
      </c>
      <c r="R1218">
        <f>IF(wallet_records[[#This Row],[type]]="Gasto",wallet_records[[#This Row],[amount]]*(-1),wallet_records[[#This Row],[amount]])</f>
        <v>2200000</v>
      </c>
    </row>
    <row r="1219" spans="1:18" x14ac:dyDescent="0.2">
      <c r="A1219" t="s">
        <v>127</v>
      </c>
      <c r="B1219" t="s">
        <v>120</v>
      </c>
      <c r="C1219" t="s">
        <v>115</v>
      </c>
      <c r="D1219" s="291">
        <v>700000</v>
      </c>
      <c r="E1219">
        <v>700000</v>
      </c>
      <c r="F1219" t="s">
        <v>116</v>
      </c>
      <c r="G1219" t="s">
        <v>117</v>
      </c>
      <c r="H1219" t="s">
        <v>148</v>
      </c>
      <c r="I1219" s="197">
        <v>45352.791666666664</v>
      </c>
      <c r="J1219" t="b">
        <v>1</v>
      </c>
      <c r="K1219" t="s">
        <v>127</v>
      </c>
      <c r="L1219" t="s">
        <v>123</v>
      </c>
      <c r="M1219">
        <v>1</v>
      </c>
      <c r="N1219">
        <v>3</v>
      </c>
      <c r="O1219">
        <v>2024</v>
      </c>
      <c r="R1219">
        <f>IF(wallet_records[[#This Row],[type]]="Gasto",wallet_records[[#This Row],[amount]]*(-1),wallet_records[[#This Row],[amount]])</f>
        <v>-700000</v>
      </c>
    </row>
    <row r="1220" spans="1:18" x14ac:dyDescent="0.2">
      <c r="A1220" t="s">
        <v>524</v>
      </c>
      <c r="B1220" t="s">
        <v>120</v>
      </c>
      <c r="C1220" t="s">
        <v>115</v>
      </c>
      <c r="D1220" s="291">
        <v>2200000</v>
      </c>
      <c r="E1220">
        <v>2200000</v>
      </c>
      <c r="F1220" t="s">
        <v>121</v>
      </c>
      <c r="G1220" t="s">
        <v>117</v>
      </c>
      <c r="H1220" t="s">
        <v>147</v>
      </c>
      <c r="I1220" s="197">
        <v>45323.791666666664</v>
      </c>
      <c r="J1220" t="b">
        <v>1</v>
      </c>
      <c r="K1220" t="s">
        <v>127</v>
      </c>
      <c r="L1220" t="s">
        <v>123</v>
      </c>
      <c r="M1220">
        <v>1</v>
      </c>
      <c r="N1220">
        <v>2</v>
      </c>
      <c r="O1220">
        <v>2024</v>
      </c>
      <c r="R1220">
        <f>IF(wallet_records[[#This Row],[type]]="Gasto",wallet_records[[#This Row],[amount]]*(-1),wallet_records[[#This Row],[amount]])</f>
        <v>2200000</v>
      </c>
    </row>
    <row r="1221" spans="1:18" x14ac:dyDescent="0.2">
      <c r="A1221" t="s">
        <v>525</v>
      </c>
      <c r="B1221" t="s">
        <v>120</v>
      </c>
      <c r="C1221" t="s">
        <v>115</v>
      </c>
      <c r="D1221" s="291">
        <v>700000</v>
      </c>
      <c r="E1221">
        <v>700000</v>
      </c>
      <c r="F1221" t="s">
        <v>121</v>
      </c>
      <c r="G1221" t="s">
        <v>117</v>
      </c>
      <c r="H1221" t="s">
        <v>148</v>
      </c>
      <c r="I1221" s="197">
        <v>45323.791666666664</v>
      </c>
      <c r="J1221" t="b">
        <v>1</v>
      </c>
      <c r="K1221" t="s">
        <v>127</v>
      </c>
      <c r="L1221" t="s">
        <v>123</v>
      </c>
      <c r="M1221">
        <v>1</v>
      </c>
      <c r="N1221">
        <v>2</v>
      </c>
      <c r="O1221">
        <v>2024</v>
      </c>
      <c r="R1221">
        <f>IF(wallet_records[[#This Row],[type]]="Gasto",wallet_records[[#This Row],[amount]]*(-1),wallet_records[[#This Row],[amount]])</f>
        <v>700000</v>
      </c>
    </row>
    <row r="1222" spans="1:18" x14ac:dyDescent="0.2">
      <c r="A1222" t="s">
        <v>127</v>
      </c>
      <c r="B1222" t="s">
        <v>120</v>
      </c>
      <c r="C1222" t="s">
        <v>115</v>
      </c>
      <c r="D1222" s="291">
        <v>2200000</v>
      </c>
      <c r="E1222">
        <v>2200000</v>
      </c>
      <c r="F1222" t="s">
        <v>116</v>
      </c>
      <c r="G1222" t="s">
        <v>117</v>
      </c>
      <c r="H1222" t="s">
        <v>147</v>
      </c>
      <c r="I1222" s="197">
        <v>45323.791666666664</v>
      </c>
      <c r="J1222" t="b">
        <v>1</v>
      </c>
      <c r="K1222" t="s">
        <v>127</v>
      </c>
      <c r="L1222" t="s">
        <v>123</v>
      </c>
      <c r="M1222">
        <v>1</v>
      </c>
      <c r="N1222">
        <v>2</v>
      </c>
      <c r="O1222">
        <v>2024</v>
      </c>
      <c r="R1222">
        <f>IF(wallet_records[[#This Row],[type]]="Gasto",wallet_records[[#This Row],[amount]]*(-1),wallet_records[[#This Row],[amount]])</f>
        <v>-2200000</v>
      </c>
    </row>
    <row r="1223" spans="1:18" x14ac:dyDescent="0.2">
      <c r="A1223" t="s">
        <v>127</v>
      </c>
      <c r="B1223" t="s">
        <v>120</v>
      </c>
      <c r="C1223" t="s">
        <v>115</v>
      </c>
      <c r="D1223" s="291">
        <v>700000</v>
      </c>
      <c r="E1223">
        <v>700000</v>
      </c>
      <c r="F1223" t="s">
        <v>116</v>
      </c>
      <c r="G1223" t="s">
        <v>117</v>
      </c>
      <c r="H1223" t="s">
        <v>148</v>
      </c>
      <c r="I1223" s="197">
        <v>45323.791666666664</v>
      </c>
      <c r="J1223" t="b">
        <v>1</v>
      </c>
      <c r="K1223" t="s">
        <v>127</v>
      </c>
      <c r="L1223" t="s">
        <v>123</v>
      </c>
      <c r="M1223">
        <v>1</v>
      </c>
      <c r="N1223">
        <v>2</v>
      </c>
      <c r="O1223">
        <v>2024</v>
      </c>
      <c r="R1223">
        <f>IF(wallet_records[[#This Row],[type]]="Gasto",wallet_records[[#This Row],[amount]]*(-1),wallet_records[[#This Row],[amount]])</f>
        <v>-700000</v>
      </c>
    </row>
    <row r="1224" spans="1:18" x14ac:dyDescent="0.2">
      <c r="A1224" t="s">
        <v>525</v>
      </c>
      <c r="B1224" t="s">
        <v>120</v>
      </c>
      <c r="C1224" t="s">
        <v>115</v>
      </c>
      <c r="D1224" s="291">
        <v>700000</v>
      </c>
      <c r="E1224">
        <v>700000</v>
      </c>
      <c r="F1224" t="s">
        <v>121</v>
      </c>
      <c r="G1224" t="s">
        <v>117</v>
      </c>
      <c r="H1224" t="s">
        <v>148</v>
      </c>
      <c r="I1224" s="197">
        <v>45292.791666666664</v>
      </c>
      <c r="J1224" t="b">
        <v>1</v>
      </c>
      <c r="K1224" t="s">
        <v>127</v>
      </c>
      <c r="L1224" t="s">
        <v>123</v>
      </c>
      <c r="M1224">
        <v>1</v>
      </c>
      <c r="N1224">
        <v>1</v>
      </c>
      <c r="O1224">
        <v>2024</v>
      </c>
      <c r="R1224">
        <f>IF(wallet_records[[#This Row],[type]]="Gasto",wallet_records[[#This Row],[amount]]*(-1),wallet_records[[#This Row],[amount]])</f>
        <v>700000</v>
      </c>
    </row>
    <row r="1225" spans="1:18" x14ac:dyDescent="0.2">
      <c r="A1225" t="s">
        <v>524</v>
      </c>
      <c r="B1225" t="s">
        <v>120</v>
      </c>
      <c r="C1225" t="s">
        <v>115</v>
      </c>
      <c r="D1225" s="291">
        <v>2100000</v>
      </c>
      <c r="E1225">
        <v>2100000</v>
      </c>
      <c r="F1225" t="s">
        <v>121</v>
      </c>
      <c r="G1225" t="s">
        <v>117</v>
      </c>
      <c r="H1225" t="s">
        <v>147</v>
      </c>
      <c r="I1225" s="197">
        <v>45292.791666666664</v>
      </c>
      <c r="J1225" t="b">
        <v>1</v>
      </c>
      <c r="K1225" t="s">
        <v>127</v>
      </c>
      <c r="L1225" t="s">
        <v>123</v>
      </c>
      <c r="M1225">
        <v>1</v>
      </c>
      <c r="N1225">
        <v>1</v>
      </c>
      <c r="O1225">
        <v>2024</v>
      </c>
      <c r="R1225">
        <f>IF(wallet_records[[#This Row],[type]]="Gasto",wallet_records[[#This Row],[amount]]*(-1),wallet_records[[#This Row],[amount]])</f>
        <v>2100000</v>
      </c>
    </row>
    <row r="1226" spans="1:18" x14ac:dyDescent="0.2">
      <c r="A1226" t="s">
        <v>127</v>
      </c>
      <c r="B1226" t="s">
        <v>120</v>
      </c>
      <c r="C1226" t="s">
        <v>115</v>
      </c>
      <c r="D1226" s="291">
        <v>700000</v>
      </c>
      <c r="E1226">
        <v>700000</v>
      </c>
      <c r="F1226" t="s">
        <v>116</v>
      </c>
      <c r="G1226" t="s">
        <v>117</v>
      </c>
      <c r="H1226" t="s">
        <v>148</v>
      </c>
      <c r="I1226" s="197">
        <v>45292.791666666664</v>
      </c>
      <c r="J1226" t="b">
        <v>1</v>
      </c>
      <c r="K1226" t="s">
        <v>127</v>
      </c>
      <c r="L1226" t="s">
        <v>123</v>
      </c>
      <c r="M1226">
        <v>1</v>
      </c>
      <c r="N1226">
        <v>1</v>
      </c>
      <c r="O1226">
        <v>2024</v>
      </c>
      <c r="R1226">
        <f>IF(wallet_records[[#This Row],[type]]="Gasto",wallet_records[[#This Row],[amount]]*(-1),wallet_records[[#This Row],[amount]])</f>
        <v>-700000</v>
      </c>
    </row>
    <row r="1227" spans="1:18" x14ac:dyDescent="0.2">
      <c r="A1227" t="s">
        <v>127</v>
      </c>
      <c r="B1227" t="s">
        <v>120</v>
      </c>
      <c r="C1227" t="s">
        <v>115</v>
      </c>
      <c r="D1227" s="291">
        <v>2100000</v>
      </c>
      <c r="E1227">
        <v>2100000</v>
      </c>
      <c r="F1227" t="s">
        <v>116</v>
      </c>
      <c r="G1227" t="s">
        <v>117</v>
      </c>
      <c r="H1227" t="s">
        <v>147</v>
      </c>
      <c r="I1227" s="197">
        <v>45292.791666666664</v>
      </c>
      <c r="J1227" t="b">
        <v>1</v>
      </c>
      <c r="K1227" t="s">
        <v>127</v>
      </c>
      <c r="L1227" t="s">
        <v>123</v>
      </c>
      <c r="M1227">
        <v>1</v>
      </c>
      <c r="N1227">
        <v>1</v>
      </c>
      <c r="O1227">
        <v>2024</v>
      </c>
      <c r="R1227">
        <f>IF(wallet_records[[#This Row],[type]]="Gasto",wallet_records[[#This Row],[amount]]*(-1),wallet_records[[#This Row],[amount]])</f>
        <v>-2100000</v>
      </c>
    </row>
    <row r="1228" spans="1:18" x14ac:dyDescent="0.2">
      <c r="A1228" t="s">
        <v>127</v>
      </c>
      <c r="B1228" t="s">
        <v>120</v>
      </c>
      <c r="C1228" t="s">
        <v>115</v>
      </c>
      <c r="D1228" s="291">
        <v>2000000</v>
      </c>
      <c r="E1228">
        <v>2000000</v>
      </c>
      <c r="F1228" t="s">
        <v>116</v>
      </c>
      <c r="G1228" t="s">
        <v>117</v>
      </c>
      <c r="H1228" t="s">
        <v>147</v>
      </c>
      <c r="I1228" s="197">
        <v>45261.791666666664</v>
      </c>
      <c r="J1228" t="b">
        <v>1</v>
      </c>
      <c r="K1228" t="s">
        <v>127</v>
      </c>
      <c r="L1228" t="s">
        <v>123</v>
      </c>
      <c r="M1228">
        <v>1</v>
      </c>
      <c r="N1228">
        <v>12</v>
      </c>
      <c r="O1228">
        <v>2023</v>
      </c>
      <c r="R1228">
        <f>IF(wallet_records[[#This Row],[type]]="Gasto",wallet_records[[#This Row],[amount]]*(-1),wallet_records[[#This Row],[amount]])</f>
        <v>-2000000</v>
      </c>
    </row>
    <row r="1229" spans="1:18" x14ac:dyDescent="0.2">
      <c r="A1229" t="s">
        <v>525</v>
      </c>
      <c r="B1229" t="s">
        <v>120</v>
      </c>
      <c r="C1229" t="s">
        <v>115</v>
      </c>
      <c r="D1229" s="291">
        <v>700000</v>
      </c>
      <c r="E1229">
        <v>700000</v>
      </c>
      <c r="F1229" t="s">
        <v>121</v>
      </c>
      <c r="G1229" t="s">
        <v>117</v>
      </c>
      <c r="H1229" t="s">
        <v>148</v>
      </c>
      <c r="I1229" s="197">
        <v>45261.791666666664</v>
      </c>
      <c r="J1229" t="b">
        <v>1</v>
      </c>
      <c r="K1229" t="s">
        <v>127</v>
      </c>
      <c r="L1229" t="s">
        <v>123</v>
      </c>
      <c r="M1229">
        <v>1</v>
      </c>
      <c r="N1229">
        <v>12</v>
      </c>
      <c r="O1229">
        <v>2023</v>
      </c>
      <c r="R1229">
        <f>IF(wallet_records[[#This Row],[type]]="Gasto",wallet_records[[#This Row],[amount]]*(-1),wallet_records[[#This Row],[amount]])</f>
        <v>700000</v>
      </c>
    </row>
    <row r="1230" spans="1:18" x14ac:dyDescent="0.2">
      <c r="A1230" t="s">
        <v>524</v>
      </c>
      <c r="B1230" t="s">
        <v>120</v>
      </c>
      <c r="C1230" t="s">
        <v>115</v>
      </c>
      <c r="D1230" s="291">
        <v>2000000</v>
      </c>
      <c r="E1230">
        <v>2000000</v>
      </c>
      <c r="F1230" t="s">
        <v>121</v>
      </c>
      <c r="G1230" t="s">
        <v>117</v>
      </c>
      <c r="H1230" t="s">
        <v>147</v>
      </c>
      <c r="I1230" s="197">
        <v>45261.791666666664</v>
      </c>
      <c r="J1230" t="b">
        <v>1</v>
      </c>
      <c r="K1230" t="s">
        <v>127</v>
      </c>
      <c r="L1230" t="s">
        <v>123</v>
      </c>
      <c r="M1230">
        <v>1</v>
      </c>
      <c r="N1230">
        <v>12</v>
      </c>
      <c r="O1230">
        <v>2023</v>
      </c>
      <c r="R1230">
        <f>IF(wallet_records[[#This Row],[type]]="Gasto",wallet_records[[#This Row],[amount]]*(-1),wallet_records[[#This Row],[amount]])</f>
        <v>2000000</v>
      </c>
    </row>
    <row r="1231" spans="1:18" x14ac:dyDescent="0.2">
      <c r="A1231" t="s">
        <v>127</v>
      </c>
      <c r="B1231" t="s">
        <v>120</v>
      </c>
      <c r="C1231" t="s">
        <v>115</v>
      </c>
      <c r="D1231" s="291">
        <v>700000</v>
      </c>
      <c r="E1231">
        <v>700000</v>
      </c>
      <c r="F1231" t="s">
        <v>116</v>
      </c>
      <c r="G1231" t="s">
        <v>117</v>
      </c>
      <c r="H1231" t="s">
        <v>148</v>
      </c>
      <c r="I1231" s="197">
        <v>45261.791666666664</v>
      </c>
      <c r="J1231" t="b">
        <v>1</v>
      </c>
      <c r="K1231" t="s">
        <v>127</v>
      </c>
      <c r="L1231" t="s">
        <v>123</v>
      </c>
      <c r="M1231">
        <v>1</v>
      </c>
      <c r="N1231">
        <v>12</v>
      </c>
      <c r="O1231">
        <v>2023</v>
      </c>
      <c r="R1231">
        <f>IF(wallet_records[[#This Row],[type]]="Gasto",wallet_records[[#This Row],[amount]]*(-1),wallet_records[[#This Row],[amount]])</f>
        <v>-700000</v>
      </c>
    </row>
    <row r="1232" spans="1:18" x14ac:dyDescent="0.2">
      <c r="A1232" t="s">
        <v>524</v>
      </c>
      <c r="B1232" t="s">
        <v>120</v>
      </c>
      <c r="C1232" t="s">
        <v>115</v>
      </c>
      <c r="D1232" s="291">
        <v>2000000</v>
      </c>
      <c r="E1232">
        <v>2000000</v>
      </c>
      <c r="F1232" t="s">
        <v>121</v>
      </c>
      <c r="G1232" t="s">
        <v>117</v>
      </c>
      <c r="H1232" t="s">
        <v>147</v>
      </c>
      <c r="I1232" s="197">
        <v>45231.791666666664</v>
      </c>
      <c r="J1232" t="b">
        <v>1</v>
      </c>
      <c r="K1232" t="s">
        <v>127</v>
      </c>
      <c r="L1232" t="s">
        <v>123</v>
      </c>
      <c r="M1232">
        <v>1</v>
      </c>
      <c r="N1232">
        <v>11</v>
      </c>
      <c r="O1232">
        <v>2023</v>
      </c>
      <c r="R1232">
        <f>IF(wallet_records[[#This Row],[type]]="Gasto",wallet_records[[#This Row],[amount]]*(-1),wallet_records[[#This Row],[amount]])</f>
        <v>2000000</v>
      </c>
    </row>
    <row r="1233" spans="1:18" x14ac:dyDescent="0.2">
      <c r="A1233" t="s">
        <v>525</v>
      </c>
      <c r="B1233" t="s">
        <v>120</v>
      </c>
      <c r="C1233" t="s">
        <v>115</v>
      </c>
      <c r="D1233" s="291">
        <v>600000</v>
      </c>
      <c r="E1233">
        <v>600000</v>
      </c>
      <c r="F1233" t="s">
        <v>121</v>
      </c>
      <c r="G1233" t="s">
        <v>117</v>
      </c>
      <c r="H1233" t="s">
        <v>148</v>
      </c>
      <c r="I1233" s="197">
        <v>45231.791666666664</v>
      </c>
      <c r="J1233" t="b">
        <v>1</v>
      </c>
      <c r="K1233" t="s">
        <v>127</v>
      </c>
      <c r="L1233" t="s">
        <v>123</v>
      </c>
      <c r="M1233">
        <v>1</v>
      </c>
      <c r="N1233">
        <v>11</v>
      </c>
      <c r="O1233">
        <v>2023</v>
      </c>
      <c r="R1233">
        <f>IF(wallet_records[[#This Row],[type]]="Gasto",wallet_records[[#This Row],[amount]]*(-1),wallet_records[[#This Row],[amount]])</f>
        <v>600000</v>
      </c>
    </row>
    <row r="1234" spans="1:18" x14ac:dyDescent="0.2">
      <c r="A1234" t="s">
        <v>127</v>
      </c>
      <c r="B1234" t="s">
        <v>120</v>
      </c>
      <c r="C1234" t="s">
        <v>115</v>
      </c>
      <c r="D1234" s="291">
        <v>2000000</v>
      </c>
      <c r="E1234">
        <v>2000000</v>
      </c>
      <c r="F1234" t="s">
        <v>116</v>
      </c>
      <c r="G1234" t="s">
        <v>117</v>
      </c>
      <c r="H1234" t="s">
        <v>147</v>
      </c>
      <c r="I1234" s="197">
        <v>45231.791666666664</v>
      </c>
      <c r="J1234" t="b">
        <v>1</v>
      </c>
      <c r="K1234" t="s">
        <v>127</v>
      </c>
      <c r="L1234" t="s">
        <v>123</v>
      </c>
      <c r="M1234">
        <v>1</v>
      </c>
      <c r="N1234">
        <v>11</v>
      </c>
      <c r="O1234">
        <v>2023</v>
      </c>
      <c r="R1234">
        <f>IF(wallet_records[[#This Row],[type]]="Gasto",wallet_records[[#This Row],[amount]]*(-1),wallet_records[[#This Row],[amount]])</f>
        <v>-2000000</v>
      </c>
    </row>
    <row r="1235" spans="1:18" x14ac:dyDescent="0.2">
      <c r="A1235" t="s">
        <v>127</v>
      </c>
      <c r="B1235" t="s">
        <v>120</v>
      </c>
      <c r="C1235" t="s">
        <v>115</v>
      </c>
      <c r="D1235" s="291">
        <v>600000</v>
      </c>
      <c r="E1235">
        <v>600000</v>
      </c>
      <c r="F1235" t="s">
        <v>116</v>
      </c>
      <c r="G1235" t="s">
        <v>117</v>
      </c>
      <c r="H1235" t="s">
        <v>148</v>
      </c>
      <c r="I1235" s="197">
        <v>45231.791666666664</v>
      </c>
      <c r="J1235" t="b">
        <v>1</v>
      </c>
      <c r="K1235" t="s">
        <v>127</v>
      </c>
      <c r="L1235" t="s">
        <v>123</v>
      </c>
      <c r="M1235">
        <v>1</v>
      </c>
      <c r="N1235">
        <v>11</v>
      </c>
      <c r="O1235">
        <v>2023</v>
      </c>
      <c r="R1235">
        <f>IF(wallet_records[[#This Row],[type]]="Gasto",wallet_records[[#This Row],[amount]]*(-1),wallet_records[[#This Row],[amount]])</f>
        <v>-600000</v>
      </c>
    </row>
    <row r="1236" spans="1:18" x14ac:dyDescent="0.2">
      <c r="A1236" t="s">
        <v>127</v>
      </c>
      <c r="B1236" t="s">
        <v>120</v>
      </c>
      <c r="C1236" t="s">
        <v>115</v>
      </c>
      <c r="D1236" s="291">
        <v>2000000</v>
      </c>
      <c r="E1236">
        <v>2000000</v>
      </c>
      <c r="F1236" t="s">
        <v>116</v>
      </c>
      <c r="G1236" t="s">
        <v>117</v>
      </c>
      <c r="H1236" t="s">
        <v>147</v>
      </c>
      <c r="I1236" s="197">
        <v>45200.791666666664</v>
      </c>
      <c r="J1236" t="b">
        <v>1</v>
      </c>
      <c r="K1236" t="s">
        <v>127</v>
      </c>
      <c r="L1236" t="s">
        <v>123</v>
      </c>
      <c r="M1236">
        <v>1</v>
      </c>
      <c r="N1236">
        <v>10</v>
      </c>
      <c r="O1236">
        <v>2023</v>
      </c>
      <c r="R1236">
        <f>IF(wallet_records[[#This Row],[type]]="Gasto",wallet_records[[#This Row],[amount]]*(-1),wallet_records[[#This Row],[amount]])</f>
        <v>-2000000</v>
      </c>
    </row>
    <row r="1237" spans="1:18" x14ac:dyDescent="0.2">
      <c r="A1237" t="s">
        <v>524</v>
      </c>
      <c r="B1237" t="s">
        <v>120</v>
      </c>
      <c r="C1237" t="s">
        <v>115</v>
      </c>
      <c r="D1237" s="291">
        <v>2000000</v>
      </c>
      <c r="E1237">
        <v>2000000</v>
      </c>
      <c r="F1237" t="s">
        <v>121</v>
      </c>
      <c r="G1237" t="s">
        <v>117</v>
      </c>
      <c r="H1237" t="s">
        <v>147</v>
      </c>
      <c r="I1237" s="197">
        <v>45200.791666666664</v>
      </c>
      <c r="J1237" t="b">
        <v>1</v>
      </c>
      <c r="K1237" t="s">
        <v>127</v>
      </c>
      <c r="L1237" t="s">
        <v>123</v>
      </c>
      <c r="M1237">
        <v>1</v>
      </c>
      <c r="N1237">
        <v>10</v>
      </c>
      <c r="O1237">
        <v>2023</v>
      </c>
      <c r="R1237">
        <f>IF(wallet_records[[#This Row],[type]]="Gasto",wallet_records[[#This Row],[amount]]*(-1),wallet_records[[#This Row],[amount]])</f>
        <v>2000000</v>
      </c>
    </row>
    <row r="1238" spans="1:18" x14ac:dyDescent="0.2">
      <c r="A1238" t="s">
        <v>127</v>
      </c>
      <c r="B1238" t="s">
        <v>120</v>
      </c>
      <c r="C1238" t="s">
        <v>115</v>
      </c>
      <c r="D1238" s="291">
        <v>600000</v>
      </c>
      <c r="E1238">
        <v>600000</v>
      </c>
      <c r="F1238" t="s">
        <v>116</v>
      </c>
      <c r="G1238" t="s">
        <v>117</v>
      </c>
      <c r="H1238" t="s">
        <v>148</v>
      </c>
      <c r="I1238" s="197">
        <v>45200.791666666664</v>
      </c>
      <c r="J1238" t="b">
        <v>1</v>
      </c>
      <c r="K1238" t="s">
        <v>127</v>
      </c>
      <c r="L1238" t="s">
        <v>123</v>
      </c>
      <c r="M1238">
        <v>1</v>
      </c>
      <c r="N1238">
        <v>10</v>
      </c>
      <c r="O1238">
        <v>2023</v>
      </c>
      <c r="R1238">
        <f>IF(wallet_records[[#This Row],[type]]="Gasto",wallet_records[[#This Row],[amount]]*(-1),wallet_records[[#This Row],[amount]])</f>
        <v>-600000</v>
      </c>
    </row>
    <row r="1239" spans="1:18" x14ac:dyDescent="0.2">
      <c r="A1239" t="s">
        <v>525</v>
      </c>
      <c r="B1239" t="s">
        <v>120</v>
      </c>
      <c r="C1239" t="s">
        <v>115</v>
      </c>
      <c r="D1239" s="291">
        <v>600000</v>
      </c>
      <c r="E1239">
        <v>600000</v>
      </c>
      <c r="F1239" t="s">
        <v>121</v>
      </c>
      <c r="G1239" t="s">
        <v>117</v>
      </c>
      <c r="H1239" t="s">
        <v>148</v>
      </c>
      <c r="I1239" s="197">
        <v>45200.791666666664</v>
      </c>
      <c r="J1239" t="b">
        <v>1</v>
      </c>
      <c r="K1239" t="s">
        <v>127</v>
      </c>
      <c r="L1239" t="s">
        <v>123</v>
      </c>
      <c r="M1239">
        <v>1</v>
      </c>
      <c r="N1239">
        <v>10</v>
      </c>
      <c r="O1239">
        <v>2023</v>
      </c>
      <c r="R1239">
        <f>IF(wallet_records[[#This Row],[type]]="Gasto",wallet_records[[#This Row],[amount]]*(-1),wallet_records[[#This Row],[amount]])</f>
        <v>600000</v>
      </c>
    </row>
    <row r="1240" spans="1:18" x14ac:dyDescent="0.2">
      <c r="A1240" t="s">
        <v>127</v>
      </c>
      <c r="B1240" t="s">
        <v>120</v>
      </c>
      <c r="C1240" t="s">
        <v>115</v>
      </c>
      <c r="D1240" s="291">
        <v>2000000</v>
      </c>
      <c r="E1240">
        <v>2000000</v>
      </c>
      <c r="F1240" t="s">
        <v>116</v>
      </c>
      <c r="G1240" t="s">
        <v>117</v>
      </c>
      <c r="H1240" t="s">
        <v>147</v>
      </c>
      <c r="I1240" s="197">
        <v>45170.791666666664</v>
      </c>
      <c r="J1240" t="b">
        <v>1</v>
      </c>
      <c r="K1240" t="s">
        <v>127</v>
      </c>
      <c r="L1240" t="s">
        <v>123</v>
      </c>
      <c r="M1240">
        <v>1</v>
      </c>
      <c r="N1240">
        <v>9</v>
      </c>
      <c r="O1240">
        <v>2023</v>
      </c>
      <c r="R1240">
        <f>IF(wallet_records[[#This Row],[type]]="Gasto",wallet_records[[#This Row],[amount]]*(-1),wallet_records[[#This Row],[amount]])</f>
        <v>-2000000</v>
      </c>
    </row>
    <row r="1241" spans="1:18" x14ac:dyDescent="0.2">
      <c r="A1241" t="s">
        <v>127</v>
      </c>
      <c r="B1241" t="s">
        <v>120</v>
      </c>
      <c r="C1241" t="s">
        <v>115</v>
      </c>
      <c r="D1241" s="291">
        <v>600000</v>
      </c>
      <c r="E1241">
        <v>600000</v>
      </c>
      <c r="F1241" t="s">
        <v>116</v>
      </c>
      <c r="G1241" t="s">
        <v>117</v>
      </c>
      <c r="H1241" t="s">
        <v>148</v>
      </c>
      <c r="I1241" s="197">
        <v>45170.791666666664</v>
      </c>
      <c r="J1241" t="b">
        <v>1</v>
      </c>
      <c r="K1241" t="s">
        <v>127</v>
      </c>
      <c r="L1241" t="s">
        <v>123</v>
      </c>
      <c r="M1241">
        <v>1</v>
      </c>
      <c r="N1241">
        <v>9</v>
      </c>
      <c r="O1241">
        <v>2023</v>
      </c>
      <c r="R1241">
        <f>IF(wallet_records[[#This Row],[type]]="Gasto",wallet_records[[#This Row],[amount]]*(-1),wallet_records[[#This Row],[amount]])</f>
        <v>-600000</v>
      </c>
    </row>
    <row r="1242" spans="1:18" x14ac:dyDescent="0.2">
      <c r="A1242" t="s">
        <v>524</v>
      </c>
      <c r="B1242" t="s">
        <v>120</v>
      </c>
      <c r="C1242" t="s">
        <v>115</v>
      </c>
      <c r="D1242" s="291">
        <v>2000000</v>
      </c>
      <c r="E1242">
        <v>2000000</v>
      </c>
      <c r="F1242" t="s">
        <v>121</v>
      </c>
      <c r="G1242" t="s">
        <v>117</v>
      </c>
      <c r="H1242" t="s">
        <v>147</v>
      </c>
      <c r="I1242" s="197">
        <v>45170.791666666664</v>
      </c>
      <c r="J1242" t="b">
        <v>1</v>
      </c>
      <c r="K1242" t="s">
        <v>127</v>
      </c>
      <c r="L1242" t="s">
        <v>123</v>
      </c>
      <c r="M1242">
        <v>1</v>
      </c>
      <c r="N1242">
        <v>9</v>
      </c>
      <c r="O1242">
        <v>2023</v>
      </c>
      <c r="R1242">
        <f>IF(wallet_records[[#This Row],[type]]="Gasto",wallet_records[[#This Row],[amount]]*(-1),wallet_records[[#This Row],[amount]])</f>
        <v>2000000</v>
      </c>
    </row>
    <row r="1243" spans="1:18" x14ac:dyDescent="0.2">
      <c r="A1243" t="s">
        <v>525</v>
      </c>
      <c r="B1243" t="s">
        <v>120</v>
      </c>
      <c r="C1243" t="s">
        <v>115</v>
      </c>
      <c r="D1243" s="291">
        <v>600000</v>
      </c>
      <c r="E1243">
        <v>600000</v>
      </c>
      <c r="F1243" t="s">
        <v>121</v>
      </c>
      <c r="G1243" t="s">
        <v>117</v>
      </c>
      <c r="H1243" t="s">
        <v>148</v>
      </c>
      <c r="I1243" s="197">
        <v>45170.791666666664</v>
      </c>
      <c r="J1243" t="b">
        <v>1</v>
      </c>
      <c r="K1243" t="s">
        <v>127</v>
      </c>
      <c r="L1243" t="s">
        <v>123</v>
      </c>
      <c r="M1243">
        <v>1</v>
      </c>
      <c r="N1243">
        <v>9</v>
      </c>
      <c r="O1243">
        <v>2023</v>
      </c>
      <c r="R1243">
        <f>IF(wallet_records[[#This Row],[type]]="Gasto",wallet_records[[#This Row],[amount]]*(-1),wallet_records[[#This Row],[amount]])</f>
        <v>600000</v>
      </c>
    </row>
    <row r="1244" spans="1:18" x14ac:dyDescent="0.2">
      <c r="A1244" t="s">
        <v>127</v>
      </c>
      <c r="B1244" t="s">
        <v>120</v>
      </c>
      <c r="C1244" t="s">
        <v>115</v>
      </c>
      <c r="D1244" s="291">
        <v>600000</v>
      </c>
      <c r="E1244">
        <v>600000</v>
      </c>
      <c r="F1244" t="s">
        <v>116</v>
      </c>
      <c r="G1244" t="s">
        <v>117</v>
      </c>
      <c r="H1244" t="s">
        <v>148</v>
      </c>
      <c r="I1244" s="197">
        <v>45139.791666666664</v>
      </c>
      <c r="J1244" t="b">
        <v>1</v>
      </c>
      <c r="K1244" t="s">
        <v>127</v>
      </c>
      <c r="L1244" t="s">
        <v>123</v>
      </c>
      <c r="M1244">
        <v>1</v>
      </c>
      <c r="N1244">
        <v>8</v>
      </c>
      <c r="O1244">
        <v>2023</v>
      </c>
      <c r="R1244">
        <f>IF(wallet_records[[#This Row],[type]]="Gasto",wallet_records[[#This Row],[amount]]*(-1),wallet_records[[#This Row],[amount]])</f>
        <v>-600000</v>
      </c>
    </row>
    <row r="1245" spans="1:18" x14ac:dyDescent="0.2">
      <c r="A1245" t="s">
        <v>127</v>
      </c>
      <c r="B1245" t="s">
        <v>120</v>
      </c>
      <c r="C1245" t="s">
        <v>115</v>
      </c>
      <c r="D1245" s="291">
        <v>2000000</v>
      </c>
      <c r="E1245">
        <v>2000000</v>
      </c>
      <c r="F1245" t="s">
        <v>116</v>
      </c>
      <c r="G1245" t="s">
        <v>117</v>
      </c>
      <c r="H1245" t="s">
        <v>147</v>
      </c>
      <c r="I1245" s="197">
        <v>45139.791666666664</v>
      </c>
      <c r="J1245" t="b">
        <v>1</v>
      </c>
      <c r="K1245" t="s">
        <v>127</v>
      </c>
      <c r="L1245" t="s">
        <v>123</v>
      </c>
      <c r="M1245">
        <v>1</v>
      </c>
      <c r="N1245">
        <v>8</v>
      </c>
      <c r="O1245">
        <v>2023</v>
      </c>
      <c r="R1245">
        <f>IF(wallet_records[[#This Row],[type]]="Gasto",wallet_records[[#This Row],[amount]]*(-1),wallet_records[[#This Row],[amount]])</f>
        <v>-2000000</v>
      </c>
    </row>
    <row r="1246" spans="1:18" x14ac:dyDescent="0.2">
      <c r="A1246" t="s">
        <v>524</v>
      </c>
      <c r="B1246" t="s">
        <v>120</v>
      </c>
      <c r="C1246" t="s">
        <v>115</v>
      </c>
      <c r="D1246" s="291">
        <v>2000000</v>
      </c>
      <c r="E1246">
        <v>2000000</v>
      </c>
      <c r="F1246" t="s">
        <v>121</v>
      </c>
      <c r="G1246" t="s">
        <v>117</v>
      </c>
      <c r="H1246" t="s">
        <v>147</v>
      </c>
      <c r="I1246" s="197">
        <v>45139.791666666664</v>
      </c>
      <c r="J1246" t="b">
        <v>1</v>
      </c>
      <c r="K1246" t="s">
        <v>127</v>
      </c>
      <c r="L1246" t="s">
        <v>123</v>
      </c>
      <c r="M1246">
        <v>1</v>
      </c>
      <c r="N1246">
        <v>8</v>
      </c>
      <c r="O1246">
        <v>2023</v>
      </c>
      <c r="R1246">
        <f>IF(wallet_records[[#This Row],[type]]="Gasto",wallet_records[[#This Row],[amount]]*(-1),wallet_records[[#This Row],[amount]])</f>
        <v>2000000</v>
      </c>
    </row>
    <row r="1247" spans="1:18" x14ac:dyDescent="0.2">
      <c r="A1247" t="s">
        <v>525</v>
      </c>
      <c r="B1247" t="s">
        <v>120</v>
      </c>
      <c r="C1247" t="s">
        <v>115</v>
      </c>
      <c r="D1247" s="291">
        <v>600000</v>
      </c>
      <c r="E1247">
        <v>600000</v>
      </c>
      <c r="F1247" t="s">
        <v>121</v>
      </c>
      <c r="G1247" t="s">
        <v>117</v>
      </c>
      <c r="H1247" t="s">
        <v>148</v>
      </c>
      <c r="I1247" s="197">
        <v>45139.791666666664</v>
      </c>
      <c r="J1247" t="b">
        <v>1</v>
      </c>
      <c r="K1247" t="s">
        <v>127</v>
      </c>
      <c r="L1247" t="s">
        <v>123</v>
      </c>
      <c r="M1247">
        <v>1</v>
      </c>
      <c r="N1247">
        <v>8</v>
      </c>
      <c r="O1247">
        <v>2023</v>
      </c>
      <c r="R1247">
        <f>IF(wallet_records[[#This Row],[type]]="Gasto",wallet_records[[#This Row],[amount]]*(-1),wallet_records[[#This Row],[amount]])</f>
        <v>600000</v>
      </c>
    </row>
    <row r="1248" spans="1:18" x14ac:dyDescent="0.2">
      <c r="A1248" t="s">
        <v>525</v>
      </c>
      <c r="B1248" t="s">
        <v>120</v>
      </c>
      <c r="C1248" t="s">
        <v>115</v>
      </c>
      <c r="D1248" s="291">
        <v>600000</v>
      </c>
      <c r="E1248">
        <v>600000</v>
      </c>
      <c r="F1248" t="s">
        <v>121</v>
      </c>
      <c r="G1248" t="s">
        <v>117</v>
      </c>
      <c r="H1248" t="s">
        <v>148</v>
      </c>
      <c r="I1248" s="197">
        <v>45108.791666666664</v>
      </c>
      <c r="J1248" t="b">
        <v>1</v>
      </c>
      <c r="K1248" t="s">
        <v>127</v>
      </c>
      <c r="L1248" t="s">
        <v>123</v>
      </c>
      <c r="M1248">
        <v>1</v>
      </c>
      <c r="N1248">
        <v>7</v>
      </c>
      <c r="O1248">
        <v>2023</v>
      </c>
      <c r="R1248">
        <f>IF(wallet_records[[#This Row],[type]]="Gasto",wallet_records[[#This Row],[amount]]*(-1),wallet_records[[#This Row],[amount]])</f>
        <v>600000</v>
      </c>
    </row>
    <row r="1249" spans="1:18" x14ac:dyDescent="0.2">
      <c r="A1249" t="s">
        <v>127</v>
      </c>
      <c r="B1249" t="s">
        <v>120</v>
      </c>
      <c r="C1249" t="s">
        <v>115</v>
      </c>
      <c r="D1249" s="291">
        <v>600000</v>
      </c>
      <c r="E1249">
        <v>600000</v>
      </c>
      <c r="F1249" t="s">
        <v>116</v>
      </c>
      <c r="G1249" t="s">
        <v>117</v>
      </c>
      <c r="H1249" t="s">
        <v>148</v>
      </c>
      <c r="I1249" s="197">
        <v>45108.791666666664</v>
      </c>
      <c r="J1249" t="b">
        <v>1</v>
      </c>
      <c r="K1249" t="s">
        <v>127</v>
      </c>
      <c r="L1249" t="s">
        <v>123</v>
      </c>
      <c r="M1249">
        <v>1</v>
      </c>
      <c r="N1249">
        <v>7</v>
      </c>
      <c r="O1249">
        <v>2023</v>
      </c>
      <c r="R1249">
        <f>IF(wallet_records[[#This Row],[type]]="Gasto",wallet_records[[#This Row],[amount]]*(-1),wallet_records[[#This Row],[amount]])</f>
        <v>-600000</v>
      </c>
    </row>
    <row r="1250" spans="1:18" x14ac:dyDescent="0.2">
      <c r="A1250" t="s">
        <v>524</v>
      </c>
      <c r="B1250" t="s">
        <v>120</v>
      </c>
      <c r="C1250" t="s">
        <v>115</v>
      </c>
      <c r="D1250" s="291">
        <v>2000000</v>
      </c>
      <c r="E1250">
        <v>2000000</v>
      </c>
      <c r="F1250" t="s">
        <v>121</v>
      </c>
      <c r="G1250" t="s">
        <v>117</v>
      </c>
      <c r="H1250" t="s">
        <v>147</v>
      </c>
      <c r="I1250" s="197">
        <v>45108.791666666664</v>
      </c>
      <c r="J1250" t="b">
        <v>1</v>
      </c>
      <c r="K1250" t="s">
        <v>127</v>
      </c>
      <c r="L1250" t="s">
        <v>123</v>
      </c>
      <c r="M1250">
        <v>1</v>
      </c>
      <c r="N1250">
        <v>7</v>
      </c>
      <c r="O1250">
        <v>2023</v>
      </c>
      <c r="R1250">
        <f>IF(wallet_records[[#This Row],[type]]="Gasto",wallet_records[[#This Row],[amount]]*(-1),wallet_records[[#This Row],[amount]])</f>
        <v>2000000</v>
      </c>
    </row>
    <row r="1251" spans="1:18" x14ac:dyDescent="0.2">
      <c r="A1251" t="s">
        <v>127</v>
      </c>
      <c r="B1251" t="s">
        <v>120</v>
      </c>
      <c r="C1251" t="s">
        <v>115</v>
      </c>
      <c r="D1251" s="291">
        <v>2000000</v>
      </c>
      <c r="E1251">
        <v>2000000</v>
      </c>
      <c r="F1251" t="s">
        <v>116</v>
      </c>
      <c r="G1251" t="s">
        <v>117</v>
      </c>
      <c r="H1251" t="s">
        <v>147</v>
      </c>
      <c r="I1251" s="197">
        <v>45108.791666666664</v>
      </c>
      <c r="J1251" t="b">
        <v>1</v>
      </c>
      <c r="K1251" t="s">
        <v>127</v>
      </c>
      <c r="L1251" t="s">
        <v>123</v>
      </c>
      <c r="M1251">
        <v>1</v>
      </c>
      <c r="N1251">
        <v>7</v>
      </c>
      <c r="O1251">
        <v>2023</v>
      </c>
      <c r="R1251">
        <f>IF(wallet_records[[#This Row],[type]]="Gasto",wallet_records[[#This Row],[amount]]*(-1),wallet_records[[#This Row],[amount]])</f>
        <v>-2000000</v>
      </c>
    </row>
    <row r="1252" spans="1:18" x14ac:dyDescent="0.2">
      <c r="A1252" t="s">
        <v>127</v>
      </c>
      <c r="B1252" t="s">
        <v>120</v>
      </c>
      <c r="C1252" t="s">
        <v>115</v>
      </c>
      <c r="D1252" s="291">
        <v>2000000</v>
      </c>
      <c r="E1252">
        <v>2000000</v>
      </c>
      <c r="F1252" t="s">
        <v>116</v>
      </c>
      <c r="G1252" t="s">
        <v>117</v>
      </c>
      <c r="H1252" t="s">
        <v>147</v>
      </c>
      <c r="I1252" s="197">
        <v>45078.791666666664</v>
      </c>
      <c r="J1252" t="b">
        <v>1</v>
      </c>
      <c r="K1252" t="s">
        <v>127</v>
      </c>
      <c r="L1252" t="s">
        <v>123</v>
      </c>
      <c r="M1252">
        <v>1</v>
      </c>
      <c r="N1252">
        <v>6</v>
      </c>
      <c r="O1252">
        <v>2023</v>
      </c>
      <c r="R1252">
        <f>IF(wallet_records[[#This Row],[type]]="Gasto",wallet_records[[#This Row],[amount]]*(-1),wallet_records[[#This Row],[amount]])</f>
        <v>-2000000</v>
      </c>
    </row>
    <row r="1253" spans="1:18" x14ac:dyDescent="0.2">
      <c r="A1253" t="s">
        <v>127</v>
      </c>
      <c r="B1253" t="s">
        <v>120</v>
      </c>
      <c r="C1253" t="s">
        <v>115</v>
      </c>
      <c r="D1253" s="291">
        <v>600000</v>
      </c>
      <c r="E1253">
        <v>600000</v>
      </c>
      <c r="F1253" t="s">
        <v>116</v>
      </c>
      <c r="G1253" t="s">
        <v>117</v>
      </c>
      <c r="H1253" t="s">
        <v>148</v>
      </c>
      <c r="I1253" s="197">
        <v>45078.791666666664</v>
      </c>
      <c r="J1253" t="b">
        <v>1</v>
      </c>
      <c r="K1253" t="s">
        <v>127</v>
      </c>
      <c r="L1253" t="s">
        <v>123</v>
      </c>
      <c r="M1253">
        <v>1</v>
      </c>
      <c r="N1253">
        <v>6</v>
      </c>
      <c r="O1253">
        <v>2023</v>
      </c>
      <c r="R1253">
        <f>IF(wallet_records[[#This Row],[type]]="Gasto",wallet_records[[#This Row],[amount]]*(-1),wallet_records[[#This Row],[amount]])</f>
        <v>-600000</v>
      </c>
    </row>
    <row r="1254" spans="1:18" x14ac:dyDescent="0.2">
      <c r="A1254" t="s">
        <v>524</v>
      </c>
      <c r="B1254" t="s">
        <v>120</v>
      </c>
      <c r="C1254" t="s">
        <v>115</v>
      </c>
      <c r="D1254" s="291">
        <v>2000000</v>
      </c>
      <c r="E1254">
        <v>2000000</v>
      </c>
      <c r="F1254" t="s">
        <v>121</v>
      </c>
      <c r="G1254" t="s">
        <v>117</v>
      </c>
      <c r="H1254" t="s">
        <v>147</v>
      </c>
      <c r="I1254" s="197">
        <v>45078.791666666664</v>
      </c>
      <c r="J1254" t="b">
        <v>1</v>
      </c>
      <c r="K1254" t="s">
        <v>127</v>
      </c>
      <c r="L1254" t="s">
        <v>123</v>
      </c>
      <c r="M1254">
        <v>1</v>
      </c>
      <c r="N1254">
        <v>6</v>
      </c>
      <c r="O1254">
        <v>2023</v>
      </c>
      <c r="R1254">
        <f>IF(wallet_records[[#This Row],[type]]="Gasto",wallet_records[[#This Row],[amount]]*(-1),wallet_records[[#This Row],[amount]])</f>
        <v>2000000</v>
      </c>
    </row>
    <row r="1255" spans="1:18" x14ac:dyDescent="0.2">
      <c r="A1255" t="s">
        <v>525</v>
      </c>
      <c r="B1255" t="s">
        <v>120</v>
      </c>
      <c r="C1255" t="s">
        <v>115</v>
      </c>
      <c r="D1255" s="291">
        <v>600000</v>
      </c>
      <c r="E1255">
        <v>600000</v>
      </c>
      <c r="F1255" t="s">
        <v>121</v>
      </c>
      <c r="G1255" t="s">
        <v>117</v>
      </c>
      <c r="H1255" t="s">
        <v>148</v>
      </c>
      <c r="I1255" s="197">
        <v>45078.791666666664</v>
      </c>
      <c r="J1255" t="b">
        <v>1</v>
      </c>
      <c r="K1255" t="s">
        <v>127</v>
      </c>
      <c r="L1255" t="s">
        <v>123</v>
      </c>
      <c r="M1255">
        <v>1</v>
      </c>
      <c r="N1255">
        <v>6</v>
      </c>
      <c r="O1255">
        <v>2023</v>
      </c>
    </row>
    <row r="1256" spans="1:18" x14ac:dyDescent="0.2">
      <c r="A1256" t="s">
        <v>127</v>
      </c>
      <c r="B1256" t="s">
        <v>120</v>
      </c>
      <c r="C1256" t="s">
        <v>115</v>
      </c>
      <c r="D1256" s="291">
        <v>1600000</v>
      </c>
      <c r="E1256">
        <v>1600000</v>
      </c>
      <c r="F1256" t="s">
        <v>116</v>
      </c>
      <c r="G1256" t="s">
        <v>117</v>
      </c>
      <c r="H1256" t="s">
        <v>147</v>
      </c>
      <c r="I1256" s="197">
        <v>45046.791666666664</v>
      </c>
      <c r="J1256" t="b">
        <v>1</v>
      </c>
      <c r="K1256" t="s">
        <v>127</v>
      </c>
      <c r="L1256" t="s">
        <v>123</v>
      </c>
      <c r="M1256">
        <v>30</v>
      </c>
      <c r="N1256">
        <v>4</v>
      </c>
      <c r="O1256">
        <v>2023</v>
      </c>
    </row>
    <row r="1257" spans="1:18" x14ac:dyDescent="0.2">
      <c r="A1257" t="s">
        <v>524</v>
      </c>
      <c r="B1257" t="s">
        <v>120</v>
      </c>
      <c r="C1257" t="s">
        <v>115</v>
      </c>
      <c r="D1257" s="291">
        <v>1600000</v>
      </c>
      <c r="E1257">
        <v>1600000</v>
      </c>
      <c r="F1257" t="s">
        <v>121</v>
      </c>
      <c r="G1257" t="s">
        <v>117</v>
      </c>
      <c r="H1257" t="s">
        <v>147</v>
      </c>
      <c r="I1257" s="197">
        <v>45046.791666666664</v>
      </c>
      <c r="J1257" t="b">
        <v>1</v>
      </c>
      <c r="K1257" t="s">
        <v>127</v>
      </c>
      <c r="L1257" t="s">
        <v>123</v>
      </c>
      <c r="M1257">
        <v>30</v>
      </c>
      <c r="N1257">
        <v>4</v>
      </c>
      <c r="O1257">
        <v>2023</v>
      </c>
    </row>
    <row r="1258" spans="1:18" x14ac:dyDescent="0.2">
      <c r="A1258" t="s">
        <v>525</v>
      </c>
      <c r="B1258" t="s">
        <v>120</v>
      </c>
      <c r="C1258" t="s">
        <v>115</v>
      </c>
      <c r="D1258" s="291">
        <v>450000</v>
      </c>
      <c r="E1258">
        <v>450000</v>
      </c>
      <c r="F1258" t="s">
        <v>121</v>
      </c>
      <c r="G1258" t="s">
        <v>117</v>
      </c>
      <c r="H1258" t="s">
        <v>148</v>
      </c>
      <c r="I1258" s="197">
        <v>45046.791666666664</v>
      </c>
      <c r="J1258" t="b">
        <v>1</v>
      </c>
      <c r="K1258" t="s">
        <v>127</v>
      </c>
      <c r="L1258" t="s">
        <v>123</v>
      </c>
      <c r="M1258">
        <v>30</v>
      </c>
      <c r="N1258">
        <v>4</v>
      </c>
      <c r="O1258">
        <v>2023</v>
      </c>
    </row>
    <row r="1259" spans="1:18" x14ac:dyDescent="0.2">
      <c r="A1259" t="s">
        <v>127</v>
      </c>
      <c r="B1259" t="s">
        <v>120</v>
      </c>
      <c r="C1259" t="s">
        <v>115</v>
      </c>
      <c r="D1259" s="291">
        <v>450000</v>
      </c>
      <c r="E1259">
        <v>450000</v>
      </c>
      <c r="F1259" t="s">
        <v>116</v>
      </c>
      <c r="G1259" t="s">
        <v>117</v>
      </c>
      <c r="H1259" t="s">
        <v>148</v>
      </c>
      <c r="I1259" s="197">
        <v>45046.791666666664</v>
      </c>
      <c r="J1259" t="b">
        <v>1</v>
      </c>
      <c r="K1259" t="s">
        <v>127</v>
      </c>
      <c r="L1259" t="s">
        <v>123</v>
      </c>
      <c r="M1259">
        <v>30</v>
      </c>
      <c r="N1259">
        <v>4</v>
      </c>
      <c r="O1259">
        <v>2023</v>
      </c>
    </row>
    <row r="1260" spans="1:18" x14ac:dyDescent="0.2">
      <c r="A1260" t="s">
        <v>127</v>
      </c>
      <c r="B1260" t="s">
        <v>120</v>
      </c>
      <c r="C1260" t="s">
        <v>115</v>
      </c>
      <c r="D1260" s="291">
        <v>1600000</v>
      </c>
      <c r="E1260">
        <v>1600000</v>
      </c>
      <c r="F1260" t="s">
        <v>116</v>
      </c>
      <c r="G1260" t="s">
        <v>117</v>
      </c>
      <c r="H1260" t="s">
        <v>147</v>
      </c>
      <c r="I1260" s="197">
        <v>45016.791666666664</v>
      </c>
      <c r="J1260" t="b">
        <v>1</v>
      </c>
      <c r="K1260" t="s">
        <v>127</v>
      </c>
      <c r="L1260" t="s">
        <v>123</v>
      </c>
      <c r="M1260">
        <v>31</v>
      </c>
      <c r="N1260">
        <v>3</v>
      </c>
      <c r="O1260">
        <v>2023</v>
      </c>
    </row>
    <row r="1261" spans="1:18" x14ac:dyDescent="0.2">
      <c r="A1261" t="s">
        <v>127</v>
      </c>
      <c r="B1261" t="s">
        <v>120</v>
      </c>
      <c r="C1261" t="s">
        <v>115</v>
      </c>
      <c r="D1261" s="291">
        <v>450000</v>
      </c>
      <c r="E1261">
        <v>450000</v>
      </c>
      <c r="F1261" t="s">
        <v>116</v>
      </c>
      <c r="G1261" t="s">
        <v>117</v>
      </c>
      <c r="H1261" t="s">
        <v>148</v>
      </c>
      <c r="I1261" s="197">
        <v>45016.791666666664</v>
      </c>
      <c r="J1261" t="b">
        <v>1</v>
      </c>
      <c r="K1261" t="s">
        <v>127</v>
      </c>
      <c r="L1261" t="s">
        <v>123</v>
      </c>
      <c r="M1261">
        <v>31</v>
      </c>
      <c r="N1261">
        <v>3</v>
      </c>
      <c r="O1261">
        <v>2023</v>
      </c>
    </row>
    <row r="1262" spans="1:18" x14ac:dyDescent="0.2">
      <c r="A1262" t="s">
        <v>525</v>
      </c>
      <c r="B1262" t="s">
        <v>120</v>
      </c>
      <c r="C1262" t="s">
        <v>115</v>
      </c>
      <c r="D1262" s="291">
        <v>450000</v>
      </c>
      <c r="E1262">
        <v>450000</v>
      </c>
      <c r="F1262" t="s">
        <v>121</v>
      </c>
      <c r="G1262" t="s">
        <v>117</v>
      </c>
      <c r="H1262" t="s">
        <v>148</v>
      </c>
      <c r="I1262" s="197">
        <v>45016.791666666664</v>
      </c>
      <c r="J1262" t="b">
        <v>1</v>
      </c>
      <c r="K1262" t="s">
        <v>127</v>
      </c>
      <c r="L1262" t="s">
        <v>123</v>
      </c>
      <c r="M1262">
        <v>31</v>
      </c>
      <c r="N1262">
        <v>3</v>
      </c>
      <c r="O1262">
        <v>2023</v>
      </c>
    </row>
    <row r="1263" spans="1:18" x14ac:dyDescent="0.2">
      <c r="A1263" t="s">
        <v>524</v>
      </c>
      <c r="B1263" t="s">
        <v>120</v>
      </c>
      <c r="C1263" t="s">
        <v>115</v>
      </c>
      <c r="D1263" s="291">
        <v>1600000</v>
      </c>
      <c r="E1263">
        <v>1600000</v>
      </c>
      <c r="F1263" t="s">
        <v>121</v>
      </c>
      <c r="G1263" t="s">
        <v>117</v>
      </c>
      <c r="H1263" t="s">
        <v>147</v>
      </c>
      <c r="I1263" s="197">
        <v>45016.791666666664</v>
      </c>
      <c r="J1263" t="b">
        <v>1</v>
      </c>
      <c r="K1263" t="s">
        <v>127</v>
      </c>
      <c r="L1263" t="s">
        <v>123</v>
      </c>
      <c r="M1263">
        <v>31</v>
      </c>
      <c r="N1263">
        <v>3</v>
      </c>
      <c r="O1263">
        <v>2023</v>
      </c>
    </row>
    <row r="1264" spans="1:18" x14ac:dyDescent="0.2">
      <c r="A1264" t="s">
        <v>127</v>
      </c>
      <c r="B1264" t="s">
        <v>120</v>
      </c>
      <c r="C1264" t="s">
        <v>115</v>
      </c>
      <c r="D1264" s="291">
        <v>450000</v>
      </c>
      <c r="E1264">
        <v>450000</v>
      </c>
      <c r="F1264" t="s">
        <v>116</v>
      </c>
      <c r="G1264" t="s">
        <v>117</v>
      </c>
      <c r="H1264" t="s">
        <v>148</v>
      </c>
      <c r="I1264" s="197">
        <v>44985.791666666664</v>
      </c>
      <c r="J1264" t="b">
        <v>1</v>
      </c>
      <c r="K1264" t="s">
        <v>127</v>
      </c>
      <c r="L1264" t="s">
        <v>123</v>
      </c>
      <c r="M1264">
        <v>28</v>
      </c>
      <c r="N1264">
        <v>2</v>
      </c>
      <c r="O1264">
        <v>2023</v>
      </c>
    </row>
    <row r="1265" spans="1:15" x14ac:dyDescent="0.2">
      <c r="A1265" t="s">
        <v>525</v>
      </c>
      <c r="B1265" t="s">
        <v>120</v>
      </c>
      <c r="C1265" t="s">
        <v>115</v>
      </c>
      <c r="D1265" s="291">
        <v>450000</v>
      </c>
      <c r="E1265">
        <v>450000</v>
      </c>
      <c r="F1265" t="s">
        <v>121</v>
      </c>
      <c r="G1265" t="s">
        <v>117</v>
      </c>
      <c r="H1265" t="s">
        <v>148</v>
      </c>
      <c r="I1265" s="197">
        <v>44985.791666666664</v>
      </c>
      <c r="J1265" t="b">
        <v>1</v>
      </c>
      <c r="K1265" t="s">
        <v>127</v>
      </c>
      <c r="L1265" t="s">
        <v>123</v>
      </c>
      <c r="M1265">
        <v>28</v>
      </c>
      <c r="N1265">
        <v>2</v>
      </c>
      <c r="O1265">
        <v>2023</v>
      </c>
    </row>
    <row r="1266" spans="1:15" x14ac:dyDescent="0.2">
      <c r="A1266" t="s">
        <v>524</v>
      </c>
      <c r="B1266" t="s">
        <v>120</v>
      </c>
      <c r="C1266" t="s">
        <v>115</v>
      </c>
      <c r="D1266" s="291">
        <v>1600000</v>
      </c>
      <c r="E1266">
        <v>1600000</v>
      </c>
      <c r="F1266" t="s">
        <v>121</v>
      </c>
      <c r="G1266" t="s">
        <v>117</v>
      </c>
      <c r="H1266" t="s">
        <v>147</v>
      </c>
      <c r="I1266" s="197">
        <v>44985.791666666664</v>
      </c>
      <c r="J1266" t="b">
        <v>1</v>
      </c>
      <c r="K1266" t="s">
        <v>127</v>
      </c>
      <c r="L1266" t="s">
        <v>123</v>
      </c>
      <c r="M1266">
        <v>28</v>
      </c>
      <c r="N1266">
        <v>2</v>
      </c>
      <c r="O1266">
        <v>2023</v>
      </c>
    </row>
    <row r="1267" spans="1:15" x14ac:dyDescent="0.2">
      <c r="A1267" t="s">
        <v>127</v>
      </c>
      <c r="B1267" t="s">
        <v>120</v>
      </c>
      <c r="C1267" t="s">
        <v>115</v>
      </c>
      <c r="D1267" s="291">
        <v>1600000</v>
      </c>
      <c r="E1267">
        <v>1600000</v>
      </c>
      <c r="F1267" t="s">
        <v>116</v>
      </c>
      <c r="G1267" t="s">
        <v>117</v>
      </c>
      <c r="H1267" t="s">
        <v>147</v>
      </c>
      <c r="I1267" s="197">
        <v>44985.791666666664</v>
      </c>
      <c r="J1267" t="b">
        <v>1</v>
      </c>
      <c r="K1267" t="s">
        <v>127</v>
      </c>
      <c r="L1267" t="s">
        <v>123</v>
      </c>
      <c r="M1267">
        <v>28</v>
      </c>
      <c r="N1267">
        <v>2</v>
      </c>
      <c r="O1267">
        <v>2023</v>
      </c>
    </row>
    <row r="1268" spans="1:15" x14ac:dyDescent="0.2">
      <c r="A1268" t="s">
        <v>525</v>
      </c>
      <c r="B1268" t="s">
        <v>120</v>
      </c>
      <c r="C1268" t="s">
        <v>115</v>
      </c>
      <c r="D1268" s="291">
        <v>450000</v>
      </c>
      <c r="E1268">
        <v>450000</v>
      </c>
      <c r="F1268" t="s">
        <v>121</v>
      </c>
      <c r="G1268" t="s">
        <v>117</v>
      </c>
      <c r="H1268" t="s">
        <v>148</v>
      </c>
      <c r="I1268" s="197">
        <v>44957.791666666664</v>
      </c>
      <c r="J1268" t="b">
        <v>1</v>
      </c>
      <c r="K1268" t="s">
        <v>127</v>
      </c>
      <c r="L1268" t="s">
        <v>123</v>
      </c>
      <c r="M1268">
        <v>31</v>
      </c>
      <c r="N1268">
        <v>1</v>
      </c>
      <c r="O1268">
        <v>2023</v>
      </c>
    </row>
    <row r="1269" spans="1:15" x14ac:dyDescent="0.2">
      <c r="A1269" t="s">
        <v>524</v>
      </c>
      <c r="B1269" t="s">
        <v>120</v>
      </c>
      <c r="C1269" t="s">
        <v>115</v>
      </c>
      <c r="D1269" s="291">
        <v>1600000</v>
      </c>
      <c r="E1269">
        <v>1600000</v>
      </c>
      <c r="F1269" t="s">
        <v>121</v>
      </c>
      <c r="G1269" t="s">
        <v>117</v>
      </c>
      <c r="H1269" t="s">
        <v>147</v>
      </c>
      <c r="I1269" s="197">
        <v>44957.791666666664</v>
      </c>
      <c r="J1269" t="b">
        <v>1</v>
      </c>
      <c r="K1269" t="s">
        <v>127</v>
      </c>
      <c r="L1269" t="s">
        <v>123</v>
      </c>
      <c r="M1269">
        <v>31</v>
      </c>
      <c r="N1269">
        <v>1</v>
      </c>
      <c r="O1269">
        <v>2023</v>
      </c>
    </row>
    <row r="1270" spans="1:15" x14ac:dyDescent="0.2">
      <c r="A1270" t="s">
        <v>127</v>
      </c>
      <c r="B1270" t="s">
        <v>120</v>
      </c>
      <c r="C1270" t="s">
        <v>115</v>
      </c>
      <c r="D1270" s="291">
        <v>450000</v>
      </c>
      <c r="E1270">
        <v>450000</v>
      </c>
      <c r="F1270" t="s">
        <v>116</v>
      </c>
      <c r="G1270" t="s">
        <v>117</v>
      </c>
      <c r="H1270" t="s">
        <v>148</v>
      </c>
      <c r="I1270" s="197">
        <v>44957.791666666664</v>
      </c>
      <c r="J1270" t="b">
        <v>1</v>
      </c>
      <c r="K1270" t="s">
        <v>127</v>
      </c>
      <c r="L1270" t="s">
        <v>123</v>
      </c>
      <c r="M1270">
        <v>31</v>
      </c>
      <c r="N1270">
        <v>1</v>
      </c>
      <c r="O1270">
        <v>2023</v>
      </c>
    </row>
    <row r="1271" spans="1:15" x14ac:dyDescent="0.2">
      <c r="A1271" t="s">
        <v>127</v>
      </c>
      <c r="B1271" t="s">
        <v>120</v>
      </c>
      <c r="C1271" t="s">
        <v>115</v>
      </c>
      <c r="D1271" s="291">
        <v>1600000</v>
      </c>
      <c r="E1271">
        <v>1600000</v>
      </c>
      <c r="F1271" t="s">
        <v>116</v>
      </c>
      <c r="G1271" t="s">
        <v>117</v>
      </c>
      <c r="H1271" t="s">
        <v>147</v>
      </c>
      <c r="I1271" s="197">
        <v>44957.791666666664</v>
      </c>
      <c r="J1271" t="b">
        <v>1</v>
      </c>
      <c r="K1271" t="s">
        <v>127</v>
      </c>
      <c r="L1271" t="s">
        <v>123</v>
      </c>
      <c r="M1271">
        <v>31</v>
      </c>
      <c r="N1271">
        <v>1</v>
      </c>
      <c r="O1271">
        <v>2023</v>
      </c>
    </row>
    <row r="1272" spans="1:15" x14ac:dyDescent="0.2">
      <c r="A1272" t="s">
        <v>524</v>
      </c>
      <c r="B1272" t="s">
        <v>120</v>
      </c>
      <c r="C1272" t="s">
        <v>115</v>
      </c>
      <c r="D1272" s="291">
        <v>1600000</v>
      </c>
      <c r="E1272">
        <v>1600000</v>
      </c>
      <c r="F1272" t="s">
        <v>121</v>
      </c>
      <c r="G1272" t="s">
        <v>117</v>
      </c>
      <c r="H1272" t="s">
        <v>147</v>
      </c>
      <c r="I1272" s="197">
        <v>44926.791666666664</v>
      </c>
      <c r="J1272" t="b">
        <v>1</v>
      </c>
      <c r="K1272" t="s">
        <v>127</v>
      </c>
      <c r="L1272" t="s">
        <v>123</v>
      </c>
      <c r="M1272">
        <v>31</v>
      </c>
      <c r="N1272">
        <v>12</v>
      </c>
      <c r="O1272">
        <v>2022</v>
      </c>
    </row>
    <row r="1273" spans="1:15" x14ac:dyDescent="0.2">
      <c r="A1273" t="s">
        <v>525</v>
      </c>
      <c r="B1273" t="s">
        <v>120</v>
      </c>
      <c r="C1273" t="s">
        <v>115</v>
      </c>
      <c r="D1273" s="291">
        <v>450000</v>
      </c>
      <c r="E1273">
        <v>450000</v>
      </c>
      <c r="F1273" t="s">
        <v>121</v>
      </c>
      <c r="G1273" t="s">
        <v>117</v>
      </c>
      <c r="H1273" t="s">
        <v>148</v>
      </c>
      <c r="I1273" s="197">
        <v>44926.791666666664</v>
      </c>
      <c r="J1273" t="b">
        <v>1</v>
      </c>
      <c r="K1273" t="s">
        <v>127</v>
      </c>
      <c r="L1273" t="s">
        <v>123</v>
      </c>
      <c r="M1273">
        <v>31</v>
      </c>
      <c r="N1273">
        <v>12</v>
      </c>
      <c r="O1273">
        <v>2022</v>
      </c>
    </row>
    <row r="1274" spans="1:15" x14ac:dyDescent="0.2">
      <c r="A1274" t="s">
        <v>127</v>
      </c>
      <c r="B1274" t="s">
        <v>120</v>
      </c>
      <c r="C1274" t="s">
        <v>115</v>
      </c>
      <c r="D1274" s="291">
        <v>1600000</v>
      </c>
      <c r="E1274">
        <v>1600000</v>
      </c>
      <c r="F1274" t="s">
        <v>116</v>
      </c>
      <c r="G1274" t="s">
        <v>117</v>
      </c>
      <c r="H1274" t="s">
        <v>147</v>
      </c>
      <c r="I1274" s="197">
        <v>44926.791666666664</v>
      </c>
      <c r="J1274" t="b">
        <v>1</v>
      </c>
      <c r="K1274" t="s">
        <v>127</v>
      </c>
      <c r="L1274" t="s">
        <v>123</v>
      </c>
      <c r="M1274">
        <v>31</v>
      </c>
      <c r="N1274">
        <v>12</v>
      </c>
      <c r="O1274">
        <v>2022</v>
      </c>
    </row>
    <row r="1275" spans="1:15" x14ac:dyDescent="0.2">
      <c r="A1275" t="s">
        <v>127</v>
      </c>
      <c r="B1275" t="s">
        <v>120</v>
      </c>
      <c r="C1275" t="s">
        <v>115</v>
      </c>
      <c r="D1275" s="291">
        <v>450000</v>
      </c>
      <c r="E1275">
        <v>450000</v>
      </c>
      <c r="F1275" t="s">
        <v>116</v>
      </c>
      <c r="G1275" t="s">
        <v>117</v>
      </c>
      <c r="H1275" t="s">
        <v>148</v>
      </c>
      <c r="I1275" s="197">
        <v>44926.791666666664</v>
      </c>
      <c r="J1275" t="b">
        <v>1</v>
      </c>
      <c r="K1275" t="s">
        <v>127</v>
      </c>
      <c r="L1275" t="s">
        <v>123</v>
      </c>
      <c r="M1275">
        <v>31</v>
      </c>
      <c r="N1275">
        <v>12</v>
      </c>
      <c r="O1275">
        <v>2022</v>
      </c>
    </row>
    <row r="1276" spans="1:15" x14ac:dyDescent="0.2">
      <c r="A1276" t="s">
        <v>127</v>
      </c>
      <c r="B1276" t="s">
        <v>120</v>
      </c>
      <c r="C1276" t="s">
        <v>115</v>
      </c>
      <c r="D1276" s="291">
        <v>1562500</v>
      </c>
      <c r="E1276">
        <v>1562500</v>
      </c>
      <c r="F1276" t="s">
        <v>116</v>
      </c>
      <c r="G1276" t="s">
        <v>117</v>
      </c>
      <c r="H1276" t="s">
        <v>147</v>
      </c>
      <c r="I1276" s="197">
        <v>44895.791666666664</v>
      </c>
      <c r="J1276" t="b">
        <v>1</v>
      </c>
      <c r="K1276" t="s">
        <v>127</v>
      </c>
      <c r="L1276" t="s">
        <v>123</v>
      </c>
      <c r="M1276">
        <v>30</v>
      </c>
      <c r="N1276">
        <v>11</v>
      </c>
      <c r="O1276">
        <v>2022</v>
      </c>
    </row>
    <row r="1277" spans="1:15" x14ac:dyDescent="0.2">
      <c r="A1277" t="s">
        <v>525</v>
      </c>
      <c r="B1277" t="s">
        <v>120</v>
      </c>
      <c r="C1277" t="s">
        <v>115</v>
      </c>
      <c r="D1277" s="291">
        <v>450000</v>
      </c>
      <c r="E1277">
        <v>450000</v>
      </c>
      <c r="F1277" t="s">
        <v>121</v>
      </c>
      <c r="G1277" t="s">
        <v>117</v>
      </c>
      <c r="H1277" t="s">
        <v>148</v>
      </c>
      <c r="I1277" s="197">
        <v>44895.791666666664</v>
      </c>
      <c r="J1277" t="b">
        <v>1</v>
      </c>
      <c r="K1277" t="s">
        <v>127</v>
      </c>
      <c r="L1277" t="s">
        <v>123</v>
      </c>
      <c r="M1277">
        <v>30</v>
      </c>
      <c r="N1277">
        <v>11</v>
      </c>
      <c r="O1277">
        <v>2022</v>
      </c>
    </row>
    <row r="1278" spans="1:15" x14ac:dyDescent="0.2">
      <c r="A1278" t="s">
        <v>127</v>
      </c>
      <c r="B1278" t="s">
        <v>120</v>
      </c>
      <c r="C1278" t="s">
        <v>115</v>
      </c>
      <c r="D1278" s="291">
        <v>450000</v>
      </c>
      <c r="E1278">
        <v>450000</v>
      </c>
      <c r="F1278" t="s">
        <v>116</v>
      </c>
      <c r="G1278" t="s">
        <v>117</v>
      </c>
      <c r="H1278" t="s">
        <v>148</v>
      </c>
      <c r="I1278" s="197">
        <v>44895.791666666664</v>
      </c>
      <c r="J1278" t="b">
        <v>1</v>
      </c>
      <c r="K1278" t="s">
        <v>127</v>
      </c>
      <c r="L1278" t="s">
        <v>123</v>
      </c>
      <c r="M1278">
        <v>30</v>
      </c>
      <c r="N1278">
        <v>11</v>
      </c>
      <c r="O1278">
        <v>2022</v>
      </c>
    </row>
    <row r="1279" spans="1:15" x14ac:dyDescent="0.2">
      <c r="A1279" t="s">
        <v>524</v>
      </c>
      <c r="B1279" t="s">
        <v>120</v>
      </c>
      <c r="C1279" t="s">
        <v>115</v>
      </c>
      <c r="D1279" s="291">
        <v>1562500</v>
      </c>
      <c r="E1279">
        <v>1562500</v>
      </c>
      <c r="F1279" t="s">
        <v>121</v>
      </c>
      <c r="G1279" t="s">
        <v>117</v>
      </c>
      <c r="H1279" t="s">
        <v>147</v>
      </c>
      <c r="I1279" s="197">
        <v>44895.791666666664</v>
      </c>
      <c r="J1279" t="b">
        <v>1</v>
      </c>
      <c r="K1279" t="s">
        <v>127</v>
      </c>
      <c r="L1279" t="s">
        <v>123</v>
      </c>
      <c r="M1279">
        <v>30</v>
      </c>
      <c r="N1279">
        <v>11</v>
      </c>
      <c r="O1279">
        <v>2022</v>
      </c>
    </row>
    <row r="1280" spans="1:15" x14ac:dyDescent="0.2">
      <c r="A1280" t="s">
        <v>524</v>
      </c>
      <c r="B1280" t="s">
        <v>120</v>
      </c>
      <c r="C1280" t="s">
        <v>115</v>
      </c>
      <c r="D1280" s="291">
        <v>1562500</v>
      </c>
      <c r="E1280">
        <v>1562500</v>
      </c>
      <c r="F1280" t="s">
        <v>121</v>
      </c>
      <c r="G1280" t="s">
        <v>117</v>
      </c>
      <c r="H1280" t="s">
        <v>147</v>
      </c>
      <c r="I1280" s="197">
        <v>44865.791666666664</v>
      </c>
      <c r="J1280" t="b">
        <v>1</v>
      </c>
      <c r="K1280" t="s">
        <v>127</v>
      </c>
      <c r="L1280" t="s">
        <v>123</v>
      </c>
      <c r="M1280">
        <v>31</v>
      </c>
      <c r="N1280">
        <v>10</v>
      </c>
      <c r="O1280">
        <v>2022</v>
      </c>
    </row>
    <row r="1281" spans="1:15" x14ac:dyDescent="0.2">
      <c r="A1281" t="s">
        <v>525</v>
      </c>
      <c r="B1281" t="s">
        <v>120</v>
      </c>
      <c r="C1281" t="s">
        <v>115</v>
      </c>
      <c r="D1281" s="291">
        <v>450000</v>
      </c>
      <c r="E1281">
        <v>450000</v>
      </c>
      <c r="F1281" t="s">
        <v>121</v>
      </c>
      <c r="G1281" t="s">
        <v>117</v>
      </c>
      <c r="H1281" t="s">
        <v>148</v>
      </c>
      <c r="I1281" s="197">
        <v>44865.791666666664</v>
      </c>
      <c r="J1281" t="b">
        <v>1</v>
      </c>
      <c r="K1281" t="s">
        <v>127</v>
      </c>
      <c r="L1281" t="s">
        <v>123</v>
      </c>
      <c r="M1281">
        <v>31</v>
      </c>
      <c r="N1281">
        <v>10</v>
      </c>
      <c r="O1281">
        <v>2022</v>
      </c>
    </row>
    <row r="1282" spans="1:15" x14ac:dyDescent="0.2">
      <c r="A1282" t="s">
        <v>127</v>
      </c>
      <c r="B1282" t="s">
        <v>120</v>
      </c>
      <c r="C1282" t="s">
        <v>115</v>
      </c>
      <c r="D1282" s="291">
        <v>450000</v>
      </c>
      <c r="E1282">
        <v>450000</v>
      </c>
      <c r="F1282" t="s">
        <v>116</v>
      </c>
      <c r="G1282" t="s">
        <v>117</v>
      </c>
      <c r="H1282" t="s">
        <v>148</v>
      </c>
      <c r="I1282" s="197">
        <v>44865.791666666664</v>
      </c>
      <c r="J1282" t="b">
        <v>1</v>
      </c>
      <c r="K1282" t="s">
        <v>127</v>
      </c>
      <c r="L1282" t="s">
        <v>123</v>
      </c>
      <c r="M1282">
        <v>31</v>
      </c>
      <c r="N1282">
        <v>10</v>
      </c>
      <c r="O1282">
        <v>2022</v>
      </c>
    </row>
    <row r="1283" spans="1:15" x14ac:dyDescent="0.2">
      <c r="A1283" t="s">
        <v>127</v>
      </c>
      <c r="B1283" t="s">
        <v>120</v>
      </c>
      <c r="C1283" t="s">
        <v>115</v>
      </c>
      <c r="D1283" s="291">
        <v>1562500</v>
      </c>
      <c r="E1283">
        <v>1562500</v>
      </c>
      <c r="F1283" t="s">
        <v>116</v>
      </c>
      <c r="G1283" t="s">
        <v>117</v>
      </c>
      <c r="H1283" t="s">
        <v>147</v>
      </c>
      <c r="I1283" s="197">
        <v>44865.791666666664</v>
      </c>
      <c r="J1283" t="b">
        <v>1</v>
      </c>
      <c r="K1283" t="s">
        <v>127</v>
      </c>
      <c r="L1283" t="s">
        <v>123</v>
      </c>
      <c r="M1283">
        <v>31</v>
      </c>
      <c r="N1283">
        <v>10</v>
      </c>
      <c r="O1283">
        <v>2022</v>
      </c>
    </row>
    <row r="1284" spans="1:15" x14ac:dyDescent="0.2">
      <c r="A1284" t="s">
        <v>525</v>
      </c>
      <c r="B1284" t="s">
        <v>120</v>
      </c>
      <c r="C1284" t="s">
        <v>115</v>
      </c>
      <c r="D1284" s="291">
        <v>450000</v>
      </c>
      <c r="E1284">
        <v>450000</v>
      </c>
      <c r="F1284" t="s">
        <v>121</v>
      </c>
      <c r="G1284" t="s">
        <v>117</v>
      </c>
      <c r="H1284" t="s">
        <v>148</v>
      </c>
      <c r="I1284" s="197">
        <v>44834.791666666664</v>
      </c>
      <c r="J1284" t="b">
        <v>1</v>
      </c>
      <c r="K1284" t="s">
        <v>127</v>
      </c>
      <c r="L1284" t="s">
        <v>123</v>
      </c>
      <c r="M1284">
        <v>30</v>
      </c>
      <c r="N1284">
        <v>9</v>
      </c>
      <c r="O1284">
        <v>2022</v>
      </c>
    </row>
    <row r="1285" spans="1:15" x14ac:dyDescent="0.2">
      <c r="A1285" t="s">
        <v>524</v>
      </c>
      <c r="B1285" t="s">
        <v>120</v>
      </c>
      <c r="C1285" t="s">
        <v>115</v>
      </c>
      <c r="D1285" s="291">
        <v>1562500</v>
      </c>
      <c r="E1285">
        <v>1562500</v>
      </c>
      <c r="F1285" t="s">
        <v>121</v>
      </c>
      <c r="G1285" t="s">
        <v>117</v>
      </c>
      <c r="H1285" t="s">
        <v>147</v>
      </c>
      <c r="I1285" s="197">
        <v>44834.791666666664</v>
      </c>
      <c r="J1285" t="b">
        <v>1</v>
      </c>
      <c r="K1285" t="s">
        <v>127</v>
      </c>
      <c r="L1285" t="s">
        <v>123</v>
      </c>
      <c r="M1285">
        <v>30</v>
      </c>
      <c r="N1285">
        <v>9</v>
      </c>
      <c r="O1285">
        <v>2022</v>
      </c>
    </row>
    <row r="1286" spans="1:15" x14ac:dyDescent="0.2">
      <c r="A1286" t="s">
        <v>127</v>
      </c>
      <c r="B1286" t="s">
        <v>120</v>
      </c>
      <c r="C1286" t="s">
        <v>115</v>
      </c>
      <c r="D1286" s="291">
        <v>450000</v>
      </c>
      <c r="E1286">
        <v>450000</v>
      </c>
      <c r="F1286" t="s">
        <v>116</v>
      </c>
      <c r="G1286" t="s">
        <v>117</v>
      </c>
      <c r="H1286" t="s">
        <v>148</v>
      </c>
      <c r="I1286" s="197">
        <v>44834.791666666664</v>
      </c>
      <c r="J1286" t="b">
        <v>1</v>
      </c>
      <c r="K1286" t="s">
        <v>127</v>
      </c>
      <c r="L1286" t="s">
        <v>123</v>
      </c>
      <c r="M1286">
        <v>30</v>
      </c>
      <c r="N1286">
        <v>9</v>
      </c>
      <c r="O1286">
        <v>2022</v>
      </c>
    </row>
    <row r="1287" spans="1:15" x14ac:dyDescent="0.2">
      <c r="A1287" t="s">
        <v>127</v>
      </c>
      <c r="B1287" t="s">
        <v>120</v>
      </c>
      <c r="C1287" t="s">
        <v>115</v>
      </c>
      <c r="D1287" s="291">
        <v>1562500</v>
      </c>
      <c r="E1287">
        <v>1562500</v>
      </c>
      <c r="F1287" t="s">
        <v>116</v>
      </c>
      <c r="G1287" t="s">
        <v>117</v>
      </c>
      <c r="H1287" t="s">
        <v>147</v>
      </c>
      <c r="I1287" s="197">
        <v>44834.791666666664</v>
      </c>
      <c r="J1287" t="b">
        <v>1</v>
      </c>
      <c r="K1287" t="s">
        <v>127</v>
      </c>
      <c r="L1287" t="s">
        <v>123</v>
      </c>
      <c r="M1287">
        <v>30</v>
      </c>
      <c r="N1287">
        <v>9</v>
      </c>
      <c r="O1287">
        <v>2022</v>
      </c>
    </row>
    <row r="1288" spans="1:15" x14ac:dyDescent="0.2">
      <c r="A1288" t="s">
        <v>525</v>
      </c>
      <c r="B1288" t="s">
        <v>120</v>
      </c>
      <c r="C1288" t="s">
        <v>115</v>
      </c>
      <c r="D1288" s="291">
        <v>450000</v>
      </c>
      <c r="E1288">
        <v>450000</v>
      </c>
      <c r="F1288" t="s">
        <v>121</v>
      </c>
      <c r="G1288" t="s">
        <v>117</v>
      </c>
      <c r="H1288" t="s">
        <v>148</v>
      </c>
      <c r="I1288" s="197">
        <v>44804.791666666664</v>
      </c>
      <c r="J1288" t="b">
        <v>1</v>
      </c>
      <c r="K1288" t="s">
        <v>127</v>
      </c>
      <c r="L1288" t="s">
        <v>123</v>
      </c>
      <c r="M1288">
        <v>31</v>
      </c>
      <c r="N1288">
        <v>8</v>
      </c>
      <c r="O1288">
        <v>2022</v>
      </c>
    </row>
    <row r="1289" spans="1:15" x14ac:dyDescent="0.2">
      <c r="A1289" t="s">
        <v>127</v>
      </c>
      <c r="B1289" t="s">
        <v>120</v>
      </c>
      <c r="C1289" t="s">
        <v>115</v>
      </c>
      <c r="D1289" s="291">
        <v>450000</v>
      </c>
      <c r="E1289">
        <v>450000</v>
      </c>
      <c r="F1289" t="s">
        <v>116</v>
      </c>
      <c r="G1289" t="s">
        <v>117</v>
      </c>
      <c r="H1289" t="s">
        <v>148</v>
      </c>
      <c r="I1289" s="197">
        <v>44804.791666666664</v>
      </c>
      <c r="J1289" t="b">
        <v>1</v>
      </c>
      <c r="K1289" t="s">
        <v>127</v>
      </c>
      <c r="L1289" t="s">
        <v>123</v>
      </c>
      <c r="M1289">
        <v>31</v>
      </c>
      <c r="N1289">
        <v>8</v>
      </c>
      <c r="O1289">
        <v>2022</v>
      </c>
    </row>
    <row r="1290" spans="1:15" x14ac:dyDescent="0.2">
      <c r="A1290" t="s">
        <v>127</v>
      </c>
      <c r="B1290" t="s">
        <v>120</v>
      </c>
      <c r="C1290" t="s">
        <v>115</v>
      </c>
      <c r="D1290" s="291">
        <v>1562500</v>
      </c>
      <c r="E1290">
        <v>1562500</v>
      </c>
      <c r="F1290" t="s">
        <v>116</v>
      </c>
      <c r="G1290" t="s">
        <v>117</v>
      </c>
      <c r="H1290" t="s">
        <v>147</v>
      </c>
      <c r="I1290" s="197">
        <v>44804.791666666664</v>
      </c>
      <c r="J1290" t="b">
        <v>1</v>
      </c>
      <c r="K1290" t="s">
        <v>127</v>
      </c>
      <c r="L1290" t="s">
        <v>123</v>
      </c>
      <c r="M1290">
        <v>31</v>
      </c>
      <c r="N1290">
        <v>8</v>
      </c>
      <c r="O1290">
        <v>2022</v>
      </c>
    </row>
    <row r="1291" spans="1:15" x14ac:dyDescent="0.2">
      <c r="A1291" t="s">
        <v>524</v>
      </c>
      <c r="B1291" t="s">
        <v>120</v>
      </c>
      <c r="C1291" t="s">
        <v>115</v>
      </c>
      <c r="D1291" s="291">
        <v>1562500</v>
      </c>
      <c r="E1291">
        <v>1562500</v>
      </c>
      <c r="F1291" t="s">
        <v>121</v>
      </c>
      <c r="G1291" t="s">
        <v>117</v>
      </c>
      <c r="H1291" t="s">
        <v>147</v>
      </c>
      <c r="I1291" s="197">
        <v>44804.791666666664</v>
      </c>
      <c r="J1291" t="b">
        <v>1</v>
      </c>
      <c r="K1291" t="s">
        <v>127</v>
      </c>
      <c r="L1291" t="s">
        <v>123</v>
      </c>
      <c r="M1291">
        <v>31</v>
      </c>
      <c r="N1291">
        <v>8</v>
      </c>
      <c r="O1291">
        <v>2022</v>
      </c>
    </row>
    <row r="1292" spans="1:15" x14ac:dyDescent="0.2">
      <c r="A1292" t="s">
        <v>525</v>
      </c>
      <c r="B1292" t="s">
        <v>120</v>
      </c>
      <c r="C1292" t="s">
        <v>115</v>
      </c>
      <c r="D1292" s="291">
        <v>450000</v>
      </c>
      <c r="E1292">
        <v>450000</v>
      </c>
      <c r="F1292" t="s">
        <v>121</v>
      </c>
      <c r="G1292" t="s">
        <v>117</v>
      </c>
      <c r="H1292" t="s">
        <v>148</v>
      </c>
      <c r="I1292" s="197">
        <v>44773.791666666664</v>
      </c>
      <c r="J1292" t="b">
        <v>1</v>
      </c>
      <c r="K1292" t="s">
        <v>127</v>
      </c>
      <c r="L1292" t="s">
        <v>123</v>
      </c>
      <c r="M1292">
        <v>31</v>
      </c>
      <c r="N1292">
        <v>7</v>
      </c>
      <c r="O1292">
        <v>2022</v>
      </c>
    </row>
    <row r="1293" spans="1:15" x14ac:dyDescent="0.2">
      <c r="A1293" t="s">
        <v>524</v>
      </c>
      <c r="B1293" t="s">
        <v>120</v>
      </c>
      <c r="C1293" t="s">
        <v>115</v>
      </c>
      <c r="D1293" s="291">
        <v>1562500</v>
      </c>
      <c r="E1293">
        <v>1562500</v>
      </c>
      <c r="F1293" t="s">
        <v>121</v>
      </c>
      <c r="G1293" t="s">
        <v>117</v>
      </c>
      <c r="H1293" t="s">
        <v>147</v>
      </c>
      <c r="I1293" s="197">
        <v>44773.791666666664</v>
      </c>
      <c r="J1293" t="b">
        <v>1</v>
      </c>
      <c r="K1293" t="s">
        <v>127</v>
      </c>
      <c r="L1293" t="s">
        <v>123</v>
      </c>
      <c r="M1293">
        <v>31</v>
      </c>
      <c r="N1293">
        <v>7</v>
      </c>
      <c r="O1293">
        <v>2022</v>
      </c>
    </row>
    <row r="1294" spans="1:15" x14ac:dyDescent="0.2">
      <c r="A1294" t="s">
        <v>127</v>
      </c>
      <c r="B1294" t="s">
        <v>120</v>
      </c>
      <c r="C1294" t="s">
        <v>115</v>
      </c>
      <c r="D1294" s="291">
        <v>450000</v>
      </c>
      <c r="E1294">
        <v>450000</v>
      </c>
      <c r="F1294" t="s">
        <v>116</v>
      </c>
      <c r="G1294" t="s">
        <v>117</v>
      </c>
      <c r="H1294" t="s">
        <v>148</v>
      </c>
      <c r="I1294" s="197">
        <v>44773.791666666664</v>
      </c>
      <c r="J1294" t="b">
        <v>1</v>
      </c>
      <c r="K1294" t="s">
        <v>127</v>
      </c>
      <c r="L1294" t="s">
        <v>123</v>
      </c>
      <c r="M1294">
        <v>31</v>
      </c>
      <c r="N1294">
        <v>7</v>
      </c>
      <c r="O1294">
        <v>2022</v>
      </c>
    </row>
    <row r="1295" spans="1:15" x14ac:dyDescent="0.2">
      <c r="A1295" t="s">
        <v>127</v>
      </c>
      <c r="B1295" t="s">
        <v>120</v>
      </c>
      <c r="C1295" t="s">
        <v>115</v>
      </c>
      <c r="D1295" s="291">
        <v>1562500</v>
      </c>
      <c r="E1295">
        <v>1562500</v>
      </c>
      <c r="F1295" t="s">
        <v>116</v>
      </c>
      <c r="G1295" t="s">
        <v>117</v>
      </c>
      <c r="H1295" t="s">
        <v>147</v>
      </c>
      <c r="I1295" s="197">
        <v>44773.791666666664</v>
      </c>
      <c r="J1295" t="b">
        <v>1</v>
      </c>
      <c r="K1295" t="s">
        <v>127</v>
      </c>
      <c r="L1295" t="s">
        <v>123</v>
      </c>
      <c r="M1295">
        <v>31</v>
      </c>
      <c r="N1295">
        <v>7</v>
      </c>
      <c r="O1295">
        <v>2022</v>
      </c>
    </row>
    <row r="1296" spans="1:15" x14ac:dyDescent="0.2">
      <c r="A1296" t="s">
        <v>525</v>
      </c>
      <c r="B1296" t="s">
        <v>120</v>
      </c>
      <c r="C1296" t="s">
        <v>115</v>
      </c>
      <c r="D1296" s="291">
        <v>450000</v>
      </c>
      <c r="E1296">
        <v>450000</v>
      </c>
      <c r="F1296" t="s">
        <v>121</v>
      </c>
      <c r="G1296" t="s">
        <v>117</v>
      </c>
      <c r="H1296" t="s">
        <v>148</v>
      </c>
      <c r="I1296" s="197">
        <v>44742.791666666664</v>
      </c>
      <c r="J1296" t="b">
        <v>1</v>
      </c>
      <c r="K1296" t="s">
        <v>127</v>
      </c>
      <c r="L1296" t="s">
        <v>123</v>
      </c>
      <c r="M1296">
        <v>30</v>
      </c>
      <c r="N1296">
        <v>6</v>
      </c>
      <c r="O1296">
        <v>2022</v>
      </c>
    </row>
    <row r="1297" spans="1:15" x14ac:dyDescent="0.2">
      <c r="A1297" t="s">
        <v>127</v>
      </c>
      <c r="B1297" t="s">
        <v>120</v>
      </c>
      <c r="C1297" t="s">
        <v>115</v>
      </c>
      <c r="D1297" s="291">
        <v>1562500</v>
      </c>
      <c r="E1297">
        <v>1562500</v>
      </c>
      <c r="F1297" t="s">
        <v>116</v>
      </c>
      <c r="G1297" t="s">
        <v>117</v>
      </c>
      <c r="H1297" t="s">
        <v>147</v>
      </c>
      <c r="I1297" s="197">
        <v>44742.791666666664</v>
      </c>
      <c r="J1297" t="b">
        <v>1</v>
      </c>
      <c r="K1297" t="s">
        <v>127</v>
      </c>
      <c r="L1297" t="s">
        <v>123</v>
      </c>
      <c r="M1297">
        <v>30</v>
      </c>
      <c r="N1297">
        <v>6</v>
      </c>
      <c r="O1297">
        <v>2022</v>
      </c>
    </row>
    <row r="1298" spans="1:15" x14ac:dyDescent="0.2">
      <c r="A1298" t="s">
        <v>524</v>
      </c>
      <c r="B1298" t="s">
        <v>120</v>
      </c>
      <c r="C1298" t="s">
        <v>115</v>
      </c>
      <c r="D1298" s="291">
        <v>1562500</v>
      </c>
      <c r="E1298">
        <v>1562500</v>
      </c>
      <c r="F1298" t="s">
        <v>121</v>
      </c>
      <c r="G1298" t="s">
        <v>117</v>
      </c>
      <c r="H1298" t="s">
        <v>147</v>
      </c>
      <c r="I1298" s="197">
        <v>44742.791666666664</v>
      </c>
      <c r="J1298" t="b">
        <v>1</v>
      </c>
      <c r="K1298" t="s">
        <v>127</v>
      </c>
      <c r="L1298" t="s">
        <v>123</v>
      </c>
      <c r="M1298">
        <v>30</v>
      </c>
      <c r="N1298">
        <v>6</v>
      </c>
      <c r="O1298">
        <v>2022</v>
      </c>
    </row>
    <row r="1299" spans="1:15" x14ac:dyDescent="0.2">
      <c r="A1299" t="s">
        <v>127</v>
      </c>
      <c r="B1299" t="s">
        <v>120</v>
      </c>
      <c r="C1299" t="s">
        <v>115</v>
      </c>
      <c r="D1299" s="291">
        <v>450000</v>
      </c>
      <c r="E1299">
        <v>450000</v>
      </c>
      <c r="F1299" t="s">
        <v>116</v>
      </c>
      <c r="G1299" t="s">
        <v>117</v>
      </c>
      <c r="H1299" t="s">
        <v>148</v>
      </c>
      <c r="I1299" s="197">
        <v>44742.791666666664</v>
      </c>
      <c r="J1299" t="b">
        <v>1</v>
      </c>
      <c r="K1299" t="s">
        <v>127</v>
      </c>
      <c r="L1299" t="s">
        <v>123</v>
      </c>
      <c r="M1299">
        <v>30</v>
      </c>
      <c r="N1299">
        <v>6</v>
      </c>
      <c r="O1299">
        <v>2022</v>
      </c>
    </row>
    <row r="1300" spans="1:15" x14ac:dyDescent="0.2">
      <c r="A1300" t="s">
        <v>127</v>
      </c>
      <c r="B1300" t="s">
        <v>120</v>
      </c>
      <c r="C1300" t="s">
        <v>115</v>
      </c>
      <c r="D1300" s="291">
        <v>500000</v>
      </c>
      <c r="E1300">
        <v>500000</v>
      </c>
      <c r="F1300" t="s">
        <v>116</v>
      </c>
      <c r="G1300" t="s">
        <v>117</v>
      </c>
      <c r="H1300" t="s">
        <v>148</v>
      </c>
      <c r="I1300" s="197">
        <v>44712.791666666664</v>
      </c>
      <c r="J1300" t="b">
        <v>1</v>
      </c>
      <c r="K1300" t="s">
        <v>127</v>
      </c>
      <c r="L1300" t="s">
        <v>123</v>
      </c>
      <c r="M1300">
        <v>31</v>
      </c>
      <c r="N1300">
        <v>5</v>
      </c>
      <c r="O1300">
        <v>2022</v>
      </c>
    </row>
    <row r="1301" spans="1:15" x14ac:dyDescent="0.2">
      <c r="A1301" t="s">
        <v>127</v>
      </c>
      <c r="B1301" t="s">
        <v>120</v>
      </c>
      <c r="C1301" t="s">
        <v>115</v>
      </c>
      <c r="D1301" s="291">
        <v>1562500</v>
      </c>
      <c r="E1301">
        <v>1562500</v>
      </c>
      <c r="F1301" t="s">
        <v>116</v>
      </c>
      <c r="G1301" t="s">
        <v>117</v>
      </c>
      <c r="H1301" t="s">
        <v>147</v>
      </c>
      <c r="I1301" s="197">
        <v>44712.791666666664</v>
      </c>
      <c r="J1301" t="b">
        <v>1</v>
      </c>
      <c r="K1301" t="s">
        <v>127</v>
      </c>
      <c r="L1301" t="s">
        <v>123</v>
      </c>
      <c r="M1301">
        <v>31</v>
      </c>
      <c r="N1301">
        <v>5</v>
      </c>
      <c r="O1301">
        <v>2022</v>
      </c>
    </row>
    <row r="1302" spans="1:15" x14ac:dyDescent="0.2">
      <c r="A1302" t="s">
        <v>524</v>
      </c>
      <c r="B1302" t="s">
        <v>120</v>
      </c>
      <c r="C1302" t="s">
        <v>115</v>
      </c>
      <c r="D1302" s="291">
        <v>1562500</v>
      </c>
      <c r="E1302">
        <v>1562500</v>
      </c>
      <c r="F1302" t="s">
        <v>121</v>
      </c>
      <c r="G1302" t="s">
        <v>117</v>
      </c>
      <c r="H1302" t="s">
        <v>147</v>
      </c>
      <c r="I1302" s="197">
        <v>44712.791666666664</v>
      </c>
      <c r="J1302" t="b">
        <v>1</v>
      </c>
      <c r="K1302" t="s">
        <v>127</v>
      </c>
      <c r="L1302" t="s">
        <v>123</v>
      </c>
      <c r="M1302">
        <v>31</v>
      </c>
      <c r="N1302">
        <v>5</v>
      </c>
      <c r="O1302">
        <v>2022</v>
      </c>
    </row>
    <row r="1303" spans="1:15" x14ac:dyDescent="0.2">
      <c r="A1303" t="s">
        <v>525</v>
      </c>
      <c r="B1303" t="s">
        <v>120</v>
      </c>
      <c r="C1303" t="s">
        <v>115</v>
      </c>
      <c r="D1303" s="291">
        <v>500000</v>
      </c>
      <c r="E1303">
        <v>500000</v>
      </c>
      <c r="F1303" t="s">
        <v>121</v>
      </c>
      <c r="G1303" t="s">
        <v>117</v>
      </c>
      <c r="H1303" t="s">
        <v>148</v>
      </c>
      <c r="I1303" s="197">
        <v>44712.791666666664</v>
      </c>
      <c r="J1303" t="b">
        <v>1</v>
      </c>
      <c r="K1303" t="s">
        <v>127</v>
      </c>
      <c r="L1303" t="s">
        <v>123</v>
      </c>
      <c r="M1303">
        <v>31</v>
      </c>
      <c r="N1303">
        <v>5</v>
      </c>
      <c r="O1303">
        <v>2022</v>
      </c>
    </row>
    <row r="1306" spans="1:15" x14ac:dyDescent="0.2">
      <c r="D1306" s="70">
        <f>SUM(D2:D1305)</f>
        <v>1681406099.4499998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24C1-3A34-446D-8FCF-6D6AD0B239A4}">
  <dimension ref="B5:X141"/>
  <sheetViews>
    <sheetView zoomScaleNormal="100" workbookViewId="0">
      <selection activeCell="J34" sqref="J34"/>
    </sheetView>
  </sheetViews>
  <sheetFormatPr baseColWidth="10" defaultRowHeight="15" x14ac:dyDescent="0.2"/>
  <cols>
    <col min="2" max="2" width="23.83203125" bestFit="1" customWidth="1"/>
    <col min="3" max="3" width="5.1640625" style="68" bestFit="1" customWidth="1"/>
    <col min="4" max="4" width="26.5" customWidth="1"/>
    <col min="6" max="6" width="24" bestFit="1" customWidth="1"/>
    <col min="7" max="7" width="19.33203125" bestFit="1" customWidth="1"/>
    <col min="8" max="10" width="18" bestFit="1" customWidth="1"/>
    <col min="11" max="11" width="16.1640625" bestFit="1" customWidth="1"/>
    <col min="12" max="12" width="13.83203125" customWidth="1"/>
    <col min="13" max="13" width="16.6640625" bestFit="1" customWidth="1"/>
    <col min="14" max="14" width="15" bestFit="1" customWidth="1"/>
    <col min="15" max="16" width="14" bestFit="1" customWidth="1"/>
    <col min="17" max="18" width="15.1640625" bestFit="1" customWidth="1"/>
    <col min="19" max="19" width="15.5" bestFit="1" customWidth="1"/>
    <col min="20" max="20" width="14.5" bestFit="1" customWidth="1"/>
    <col min="21" max="22" width="14.33203125" bestFit="1" customWidth="1"/>
    <col min="23" max="23" width="15.33203125" bestFit="1" customWidth="1"/>
    <col min="24" max="24" width="16.6640625" customWidth="1"/>
  </cols>
  <sheetData>
    <row r="5" spans="5:24" x14ac:dyDescent="0.2">
      <c r="E5" s="282" t="s">
        <v>47</v>
      </c>
      <c r="F5" s="282" t="s">
        <v>48</v>
      </c>
      <c r="G5" s="283" t="s">
        <v>49</v>
      </c>
      <c r="H5" s="284" t="s">
        <v>52</v>
      </c>
      <c r="I5" s="282"/>
      <c r="J5" s="282"/>
      <c r="K5" s="282"/>
      <c r="L5" s="285"/>
      <c r="M5" s="281" t="s">
        <v>50</v>
      </c>
      <c r="N5" s="282"/>
      <c r="O5" s="282"/>
      <c r="P5" s="282"/>
      <c r="Q5" s="283"/>
      <c r="R5" s="284" t="s">
        <v>51</v>
      </c>
      <c r="S5" s="282"/>
      <c r="T5" s="282"/>
      <c r="U5" s="282"/>
      <c r="V5" s="282"/>
    </row>
    <row r="6" spans="5:24" x14ac:dyDescent="0.2">
      <c r="E6" s="282"/>
      <c r="F6" s="282"/>
      <c r="G6" s="283"/>
      <c r="H6" s="25">
        <v>2022</v>
      </c>
      <c r="I6" s="17">
        <v>2023</v>
      </c>
      <c r="J6" s="17">
        <v>2024</v>
      </c>
      <c r="K6" s="17">
        <v>2025</v>
      </c>
      <c r="L6" s="26">
        <v>2026</v>
      </c>
      <c r="M6" s="27">
        <v>2022</v>
      </c>
      <c r="N6" s="17">
        <v>2023</v>
      </c>
      <c r="O6" s="17">
        <v>2024</v>
      </c>
      <c r="P6" s="17">
        <v>2025</v>
      </c>
      <c r="Q6" s="20">
        <v>2026</v>
      </c>
      <c r="R6" s="25">
        <v>2022</v>
      </c>
      <c r="S6" s="17">
        <v>2023</v>
      </c>
      <c r="T6" s="17">
        <v>2024</v>
      </c>
      <c r="U6" s="17">
        <v>2025</v>
      </c>
      <c r="V6" s="17">
        <v>2026</v>
      </c>
    </row>
    <row r="7" spans="5:24" x14ac:dyDescent="0.2">
      <c r="E7" s="6" t="s">
        <v>1</v>
      </c>
      <c r="F7" s="7">
        <f>260263000+11327000</f>
        <v>271590000</v>
      </c>
      <c r="G7" s="21">
        <f>(260263000+11327000)*1.4</f>
        <v>380226000</v>
      </c>
      <c r="H7" s="22">
        <v>1100000</v>
      </c>
      <c r="I7" s="11">
        <v>1350000</v>
      </c>
      <c r="J7" s="7">
        <v>1350000</v>
      </c>
      <c r="K7" s="7">
        <v>1650000</v>
      </c>
      <c r="L7" s="24"/>
      <c r="M7" s="30"/>
      <c r="N7" s="7">
        <v>1652293</v>
      </c>
      <c r="O7" s="7">
        <v>1926459</v>
      </c>
      <c r="P7" s="7">
        <v>2177825</v>
      </c>
      <c r="Q7" s="33">
        <f>P7*1.22</f>
        <v>2656946.5</v>
      </c>
      <c r="R7" s="23">
        <v>114000</v>
      </c>
      <c r="S7" s="7">
        <v>126000</v>
      </c>
      <c r="T7" s="7">
        <v>138000</v>
      </c>
      <c r="U7" s="7">
        <v>247500</v>
      </c>
      <c r="V7" s="34">
        <f t="shared" ref="V7:V12" si="0">U7*1.237</f>
        <v>306157.5</v>
      </c>
    </row>
    <row r="8" spans="5:24" x14ac:dyDescent="0.2">
      <c r="E8" s="6" t="s">
        <v>46</v>
      </c>
      <c r="F8" s="7">
        <v>784665000</v>
      </c>
      <c r="G8" s="21">
        <f>784665000*1.4</f>
        <v>1098531000</v>
      </c>
      <c r="H8" s="28"/>
      <c r="I8" s="29"/>
      <c r="J8" s="7">
        <v>3000000</v>
      </c>
      <c r="K8" s="7">
        <v>3144600</v>
      </c>
      <c r="L8" s="24"/>
      <c r="M8" s="30"/>
      <c r="N8" s="18">
        <v>2905777</v>
      </c>
      <c r="O8" s="19">
        <v>3442766</v>
      </c>
      <c r="P8" s="18">
        <v>3904447</v>
      </c>
      <c r="Q8" s="33">
        <f t="shared" ref="Q8:Q13" si="1">P8*1.22</f>
        <v>4763425.34</v>
      </c>
      <c r="R8" s="28"/>
      <c r="S8" s="29"/>
      <c r="T8" s="29"/>
      <c r="U8" s="29"/>
      <c r="V8" s="42">
        <f t="shared" si="0"/>
        <v>0</v>
      </c>
    </row>
    <row r="9" spans="5:24" x14ac:dyDescent="0.2">
      <c r="E9" s="6" t="s">
        <v>0</v>
      </c>
      <c r="F9" s="7">
        <f>168413000+20280000</f>
        <v>188693000</v>
      </c>
      <c r="G9" s="24">
        <f>(168413000+20280000)*1.4</f>
        <v>264170199.99999997</v>
      </c>
      <c r="H9" s="23">
        <v>980000</v>
      </c>
      <c r="I9" s="13">
        <v>1500000</v>
      </c>
      <c r="J9" s="16">
        <v>1400000</v>
      </c>
      <c r="K9" s="16">
        <v>1520000</v>
      </c>
      <c r="L9" s="21"/>
      <c r="M9" s="28"/>
      <c r="N9" s="32">
        <v>1442921</v>
      </c>
      <c r="O9" s="7">
        <v>1556970</v>
      </c>
      <c r="P9" s="7">
        <v>1613328</v>
      </c>
      <c r="Q9" s="33">
        <f t="shared" si="1"/>
        <v>1968260.16</v>
      </c>
      <c r="R9" s="22">
        <v>314205</v>
      </c>
      <c r="S9" s="7">
        <v>393205</v>
      </c>
      <c r="T9" s="7">
        <v>437505</v>
      </c>
      <c r="U9" s="7">
        <v>477205</v>
      </c>
      <c r="V9" s="34">
        <f t="shared" si="0"/>
        <v>590302.58500000008</v>
      </c>
    </row>
    <row r="10" spans="5:24" x14ac:dyDescent="0.2">
      <c r="E10" s="6" t="s">
        <v>6</v>
      </c>
      <c r="F10" s="7">
        <v>130962000</v>
      </c>
      <c r="G10" s="24">
        <f>130962000*1.4</f>
        <v>183346800</v>
      </c>
      <c r="H10" s="23">
        <v>360000</v>
      </c>
      <c r="I10" s="13">
        <v>400000</v>
      </c>
      <c r="J10" s="11">
        <v>450000</v>
      </c>
      <c r="K10" s="11">
        <v>500000</v>
      </c>
      <c r="L10" s="21"/>
      <c r="M10" s="28"/>
      <c r="N10" s="18">
        <v>269629</v>
      </c>
      <c r="O10" s="19">
        <v>279068</v>
      </c>
      <c r="P10" s="18">
        <v>316495</v>
      </c>
      <c r="Q10" s="33">
        <f t="shared" si="1"/>
        <v>386123.89999999997</v>
      </c>
      <c r="R10" s="30"/>
      <c r="S10" s="29"/>
      <c r="T10" s="29"/>
      <c r="U10" s="29"/>
      <c r="V10" s="42">
        <f t="shared" si="0"/>
        <v>0</v>
      </c>
    </row>
    <row r="11" spans="5:24" x14ac:dyDescent="0.2">
      <c r="E11" s="6" t="s">
        <v>2</v>
      </c>
      <c r="F11" s="7">
        <f>137811000+31940000</f>
        <v>169751000</v>
      </c>
      <c r="G11" s="21">
        <f>(137811000+31940000)*1.4</f>
        <v>237651399.99999997</v>
      </c>
      <c r="H11" s="22">
        <v>1200000</v>
      </c>
      <c r="I11" s="11">
        <v>1500000</v>
      </c>
      <c r="J11" s="11">
        <v>1630000</v>
      </c>
      <c r="K11" s="7">
        <v>1715000</v>
      </c>
      <c r="L11" s="21"/>
      <c r="M11" s="28"/>
      <c r="N11" s="32">
        <v>871419</v>
      </c>
      <c r="O11" s="7">
        <v>1032495</v>
      </c>
      <c r="P11" s="7">
        <v>1170958</v>
      </c>
      <c r="Q11" s="33">
        <f t="shared" si="1"/>
        <v>1428568.76</v>
      </c>
      <c r="R11" s="22">
        <v>173200</v>
      </c>
      <c r="S11" s="7">
        <v>195900</v>
      </c>
      <c r="T11" s="7">
        <v>243000</v>
      </c>
      <c r="U11" s="7">
        <v>156300</v>
      </c>
      <c r="V11" s="34">
        <f t="shared" si="0"/>
        <v>193343.1</v>
      </c>
    </row>
    <row r="12" spans="5:24" x14ac:dyDescent="0.2">
      <c r="E12" s="6" t="s">
        <v>7</v>
      </c>
      <c r="F12" s="7">
        <v>85100000</v>
      </c>
      <c r="G12" s="21">
        <f>85100000*1.4</f>
        <v>119139999.99999999</v>
      </c>
      <c r="H12" s="22">
        <v>225000</v>
      </c>
      <c r="I12" s="7">
        <v>881000</v>
      </c>
      <c r="J12" s="7">
        <v>881000</v>
      </c>
      <c r="K12" s="7">
        <v>881000</v>
      </c>
      <c r="L12" s="21"/>
      <c r="M12" s="22">
        <v>550458</v>
      </c>
      <c r="N12" s="32">
        <v>765580</v>
      </c>
      <c r="O12" s="7">
        <v>911108</v>
      </c>
      <c r="P12" s="7">
        <v>765532</v>
      </c>
      <c r="Q12" s="33">
        <f t="shared" si="1"/>
        <v>933949.04</v>
      </c>
      <c r="R12" s="28"/>
      <c r="S12" s="29"/>
      <c r="T12" s="29"/>
      <c r="U12" s="29"/>
      <c r="V12" s="42">
        <f t="shared" si="0"/>
        <v>0</v>
      </c>
    </row>
    <row r="13" spans="5:24" x14ac:dyDescent="0.2">
      <c r="E13" s="6" t="s">
        <v>8</v>
      </c>
      <c r="F13" s="8">
        <f>SUM(F7:F12)</f>
        <v>1630761000</v>
      </c>
      <c r="G13" s="8">
        <f>SUM(G7:G12)</f>
        <v>2283065400</v>
      </c>
      <c r="H13" s="8">
        <f>SUM(H7:H12)</f>
        <v>3865000</v>
      </c>
      <c r="I13" s="8">
        <f t="shared" ref="I13:V13" si="2">SUM(I7:I12)</f>
        <v>5631000</v>
      </c>
      <c r="J13" s="8">
        <f t="shared" si="2"/>
        <v>8711000</v>
      </c>
      <c r="K13" s="8">
        <f t="shared" si="2"/>
        <v>9410600</v>
      </c>
      <c r="L13" s="8">
        <f t="shared" si="2"/>
        <v>0</v>
      </c>
      <c r="M13" s="8">
        <f t="shared" si="2"/>
        <v>550458</v>
      </c>
      <c r="N13" s="8">
        <f t="shared" si="2"/>
        <v>7907619</v>
      </c>
      <c r="O13" s="8">
        <f t="shared" si="2"/>
        <v>9148866</v>
      </c>
      <c r="P13" s="8">
        <f>SUM(P7:P12)</f>
        <v>9948585</v>
      </c>
      <c r="Q13" s="33">
        <f t="shared" si="1"/>
        <v>12137273.699999999</v>
      </c>
      <c r="R13" s="8">
        <f t="shared" si="2"/>
        <v>601405</v>
      </c>
      <c r="S13" s="8">
        <f t="shared" si="2"/>
        <v>715105</v>
      </c>
      <c r="T13" s="8">
        <f t="shared" si="2"/>
        <v>818505</v>
      </c>
      <c r="U13" s="8">
        <f>SUM(U7:U12)</f>
        <v>881005</v>
      </c>
      <c r="V13" s="8">
        <f t="shared" si="2"/>
        <v>1089803.1850000001</v>
      </c>
    </row>
    <row r="14" spans="5:24" x14ac:dyDescent="0.2">
      <c r="G14" s="6" t="s">
        <v>56</v>
      </c>
      <c r="H14" s="8">
        <f>H13*12</f>
        <v>46380000</v>
      </c>
      <c r="I14" s="8">
        <f>I13*12</f>
        <v>67572000</v>
      </c>
      <c r="J14" s="8">
        <f>J13*12</f>
        <v>104532000</v>
      </c>
      <c r="K14" s="8">
        <f>K13*12</f>
        <v>112927200</v>
      </c>
      <c r="L14" s="8">
        <v>0</v>
      </c>
      <c r="O14" s="31"/>
      <c r="P14" s="31"/>
      <c r="Q14" s="31"/>
      <c r="R14" s="31"/>
      <c r="S14" s="31"/>
      <c r="T14" s="8">
        <f>R13*12</f>
        <v>7216860</v>
      </c>
      <c r="U14" s="8">
        <f>S13*12</f>
        <v>8581260</v>
      </c>
      <c r="V14" s="8">
        <f>T13*12</f>
        <v>9822060</v>
      </c>
      <c r="W14" s="8">
        <f>U13*12</f>
        <v>10572060</v>
      </c>
      <c r="X14" s="8">
        <f>V13*12</f>
        <v>13077638.220000001</v>
      </c>
    </row>
    <row r="17" spans="2:17" x14ac:dyDescent="0.2">
      <c r="I17" s="12" t="s">
        <v>53</v>
      </c>
      <c r="O17" s="35">
        <f t="shared" ref="O17:Q22" si="3">(O7-N7)/N7</f>
        <v>0.16593061884302601</v>
      </c>
      <c r="P17" s="35">
        <f t="shared" si="3"/>
        <v>0.13048084594585194</v>
      </c>
      <c r="Q17" s="35">
        <f t="shared" si="3"/>
        <v>0.22</v>
      </c>
    </row>
    <row r="18" spans="2:17" x14ac:dyDescent="0.2">
      <c r="I18" s="14" t="s">
        <v>54</v>
      </c>
      <c r="O18" s="35">
        <f t="shared" si="3"/>
        <v>0.18480048537792129</v>
      </c>
      <c r="P18" s="35">
        <f t="shared" si="3"/>
        <v>0.13410176584757721</v>
      </c>
      <c r="Q18" s="35">
        <f t="shared" si="3"/>
        <v>0.21999999999999997</v>
      </c>
    </row>
    <row r="19" spans="2:17" x14ac:dyDescent="0.2">
      <c r="I19" s="15" t="s">
        <v>55</v>
      </c>
      <c r="O19" s="35">
        <f t="shared" si="3"/>
        <v>7.9040363263130825E-2</v>
      </c>
      <c r="P19" s="35">
        <f t="shared" si="3"/>
        <v>3.6197229233703922E-2</v>
      </c>
      <c r="Q19" s="35">
        <f t="shared" si="3"/>
        <v>0.21999999999999995</v>
      </c>
    </row>
    <row r="20" spans="2:17" x14ac:dyDescent="0.2">
      <c r="O20" s="35">
        <f t="shared" si="3"/>
        <v>3.500736196774086E-2</v>
      </c>
      <c r="P20" s="35">
        <f t="shared" si="3"/>
        <v>0.13411426605701837</v>
      </c>
      <c r="Q20" s="35">
        <f t="shared" si="3"/>
        <v>0.21999999999999989</v>
      </c>
    </row>
    <row r="21" spans="2:17" x14ac:dyDescent="0.2">
      <c r="O21" s="35">
        <f t="shared" si="3"/>
        <v>0.18484334172195005</v>
      </c>
      <c r="P21" s="35">
        <f t="shared" si="3"/>
        <v>0.1341052499043579</v>
      </c>
      <c r="Q21" s="35">
        <f t="shared" si="3"/>
        <v>0.22</v>
      </c>
    </row>
    <row r="22" spans="2:17" x14ac:dyDescent="0.2">
      <c r="O22" s="35">
        <f t="shared" si="3"/>
        <v>0.19008856030721805</v>
      </c>
      <c r="P22" s="35">
        <f t="shared" si="3"/>
        <v>-0.15977908217247572</v>
      </c>
      <c r="Q22" s="35">
        <f t="shared" si="3"/>
        <v>0.22000000000000006</v>
      </c>
    </row>
    <row r="23" spans="2:17" x14ac:dyDescent="0.2">
      <c r="G23" s="1" t="s">
        <v>3</v>
      </c>
      <c r="H23" s="2">
        <f>4039975*1.1</f>
        <v>4443972.5</v>
      </c>
    </row>
    <row r="24" spans="2:17" x14ac:dyDescent="0.2">
      <c r="G24" s="1" t="s">
        <v>4</v>
      </c>
      <c r="H24" s="2">
        <f>86600*1.1</f>
        <v>95260.000000000015</v>
      </c>
    </row>
    <row r="25" spans="2:17" x14ac:dyDescent="0.2">
      <c r="G25" s="1" t="s">
        <v>5</v>
      </c>
      <c r="H25" s="2">
        <f>2051498*1.1</f>
        <v>2256647.8000000003</v>
      </c>
    </row>
    <row r="29" spans="2:17" x14ac:dyDescent="0.2">
      <c r="B29" s="277" t="s">
        <v>9</v>
      </c>
      <c r="C29" s="277"/>
      <c r="D29" s="277"/>
    </row>
    <row r="30" spans="2:17" x14ac:dyDescent="0.2">
      <c r="B30" s="62" t="s">
        <v>11</v>
      </c>
      <c r="C30" s="279" t="s">
        <v>12</v>
      </c>
      <c r="D30" s="279"/>
      <c r="F30" s="52" t="s">
        <v>57</v>
      </c>
      <c r="G30" s="52">
        <v>2022</v>
      </c>
      <c r="H30" s="52">
        <v>2023</v>
      </c>
      <c r="I30" s="52">
        <v>2024</v>
      </c>
      <c r="J30" s="52">
        <v>2025</v>
      </c>
      <c r="K30" s="52">
        <v>2026</v>
      </c>
      <c r="L30" s="52">
        <v>2027</v>
      </c>
    </row>
    <row r="31" spans="2:17" x14ac:dyDescent="0.2">
      <c r="B31" s="3" t="s">
        <v>70</v>
      </c>
      <c r="C31" s="279" t="s">
        <v>13</v>
      </c>
      <c r="D31" s="279"/>
    </row>
    <row r="32" spans="2:17" x14ac:dyDescent="0.2">
      <c r="B32" s="3" t="s">
        <v>15</v>
      </c>
      <c r="C32" s="279">
        <v>205</v>
      </c>
      <c r="D32" s="279"/>
      <c r="F32" t="s">
        <v>62</v>
      </c>
      <c r="G32" s="31">
        <f>17500000+146744000</f>
        <v>164244000</v>
      </c>
      <c r="H32" s="31">
        <f>18254000+153069000</f>
        <v>171323000</v>
      </c>
      <c r="I32" s="31">
        <f>19689000+163508000</f>
        <v>183197000</v>
      </c>
      <c r="J32" s="31">
        <f>20280000+168413000</f>
        <v>188693000</v>
      </c>
    </row>
    <row r="33" spans="2:12" x14ac:dyDescent="0.2">
      <c r="B33" s="62" t="s">
        <v>16</v>
      </c>
      <c r="C33" s="279">
        <v>99048</v>
      </c>
      <c r="D33" s="279"/>
      <c r="H33" s="49">
        <f>(H32/G32)-1</f>
        <v>4.3100508998806575E-2</v>
      </c>
      <c r="I33" s="49">
        <f>(I32/H32)-1</f>
        <v>6.9307681980819824E-2</v>
      </c>
      <c r="J33" s="49">
        <f>(J32/I32)-1</f>
        <v>3.0000491274420504E-2</v>
      </c>
    </row>
    <row r="34" spans="2:12" x14ac:dyDescent="0.2">
      <c r="B34" s="3" t="s">
        <v>17</v>
      </c>
      <c r="C34" s="279" t="s">
        <v>18</v>
      </c>
      <c r="D34" s="279"/>
      <c r="F34" t="s">
        <v>61</v>
      </c>
      <c r="G34" s="100">
        <f>G32*1.4</f>
        <v>229941600</v>
      </c>
      <c r="H34" s="100">
        <f>H32*1.4</f>
        <v>239852199.99999997</v>
      </c>
      <c r="I34" s="100">
        <f>I32*1.4</f>
        <v>256475799.99999997</v>
      </c>
      <c r="J34" s="100">
        <f>J32*1.4</f>
        <v>264170199.99999997</v>
      </c>
    </row>
    <row r="35" spans="2:12" x14ac:dyDescent="0.2">
      <c r="B35" s="3" t="s">
        <v>20</v>
      </c>
      <c r="C35" s="279">
        <v>3003895464</v>
      </c>
      <c r="D35" s="279"/>
      <c r="H35" s="101">
        <f>(H34/G34)-1</f>
        <v>4.3100508998806575E-2</v>
      </c>
      <c r="I35" s="101">
        <f>(I34/H34)-1</f>
        <v>6.9307681980819824E-2</v>
      </c>
      <c r="J35" s="101">
        <f>(J34/I34)-1</f>
        <v>3.0000491274420504E-2</v>
      </c>
    </row>
    <row r="36" spans="2:12" x14ac:dyDescent="0.2">
      <c r="B36" s="3" t="s">
        <v>21</v>
      </c>
      <c r="C36" s="280"/>
      <c r="D36" s="280"/>
      <c r="F36" t="s">
        <v>58</v>
      </c>
      <c r="G36" s="31">
        <v>980000</v>
      </c>
      <c r="H36" s="45">
        <v>1500000</v>
      </c>
      <c r="I36" s="46">
        <v>1400000</v>
      </c>
      <c r="J36" s="46">
        <v>1520000</v>
      </c>
      <c r="K36" s="50">
        <f>J36*(1+K37)</f>
        <v>1597520</v>
      </c>
      <c r="L36" s="50">
        <f>K36*(1+L37)</f>
        <v>1693371.2000000002</v>
      </c>
    </row>
    <row r="37" spans="2:12" x14ac:dyDescent="0.2">
      <c r="B37" s="3" t="s">
        <v>22</v>
      </c>
      <c r="C37" s="280"/>
      <c r="D37" s="280"/>
      <c r="G37" s="48"/>
      <c r="H37" s="49">
        <f>(H36/G36)-1</f>
        <v>0.53061224489795911</v>
      </c>
      <c r="I37" s="49">
        <f>(I36/H36)-1</f>
        <v>-6.6666666666666652E-2</v>
      </c>
      <c r="J37" s="49">
        <f>(J36/I36)-1</f>
        <v>8.5714285714285632E-2</v>
      </c>
      <c r="K37" s="51">
        <v>5.0999999999999997E-2</v>
      </c>
      <c r="L37" s="51">
        <v>0.06</v>
      </c>
    </row>
    <row r="38" spans="2:12" x14ac:dyDescent="0.2">
      <c r="B38" s="3" t="s">
        <v>23</v>
      </c>
      <c r="C38" s="280"/>
      <c r="D38" s="280"/>
      <c r="F38" t="s">
        <v>59</v>
      </c>
      <c r="G38" s="31">
        <v>314205</v>
      </c>
      <c r="H38" s="31">
        <v>393205</v>
      </c>
      <c r="I38" s="31">
        <v>437505</v>
      </c>
      <c r="J38" s="31">
        <v>477205</v>
      </c>
      <c r="K38" s="50">
        <f>J38*(1+K39)</f>
        <v>590302.58500000008</v>
      </c>
      <c r="L38" s="50">
        <f>K38*(1+L39)</f>
        <v>678847.97275000007</v>
      </c>
    </row>
    <row r="39" spans="2:12" x14ac:dyDescent="0.2">
      <c r="B39" s="3" t="s">
        <v>24</v>
      </c>
      <c r="C39" s="280"/>
      <c r="D39" s="280"/>
      <c r="H39" s="49">
        <f>(H38/G38)-1</f>
        <v>0.25142820769879548</v>
      </c>
      <c r="I39" s="49">
        <f>(I38/H38)-1</f>
        <v>0.1126638776210882</v>
      </c>
      <c r="J39" s="49">
        <f>(J38/I38)-1</f>
        <v>9.0741820093484638E-2</v>
      </c>
      <c r="K39" s="51">
        <v>0.23699999999999999</v>
      </c>
      <c r="L39" s="51">
        <v>0.15</v>
      </c>
    </row>
    <row r="40" spans="2:12" x14ac:dyDescent="0.2">
      <c r="B40" s="3" t="s">
        <v>25</v>
      </c>
      <c r="C40" s="279" t="s">
        <v>26</v>
      </c>
      <c r="D40" s="279"/>
      <c r="F40" t="s">
        <v>60</v>
      </c>
      <c r="G40" s="54">
        <f>1098724+111610</f>
        <v>1210334</v>
      </c>
      <c r="H40" s="47">
        <v>1442921</v>
      </c>
      <c r="I40" s="31">
        <v>1556970</v>
      </c>
      <c r="J40" s="31">
        <v>1613328</v>
      </c>
      <c r="K40" s="50">
        <f>J40*(1+K41)</f>
        <v>1995686.7360000003</v>
      </c>
      <c r="L40" s="50">
        <f>K40*(1+L41)</f>
        <v>2295039.7464000001</v>
      </c>
    </row>
    <row r="41" spans="2:12" x14ac:dyDescent="0.2">
      <c r="B41" s="3" t="s">
        <v>71</v>
      </c>
      <c r="C41" s="279" t="s">
        <v>28</v>
      </c>
      <c r="D41" s="279"/>
      <c r="H41" s="49">
        <f>(H40/G40)-1</f>
        <v>0.1921676165422106</v>
      </c>
      <c r="I41" s="49">
        <f>(I40/H40)-1</f>
        <v>7.9040363263130908E-2</v>
      </c>
      <c r="J41" s="49">
        <f>(J40/I40)-1</f>
        <v>3.6197229233703831E-2</v>
      </c>
      <c r="K41" s="51">
        <v>0.23699999999999999</v>
      </c>
      <c r="L41" s="51">
        <v>0.15</v>
      </c>
    </row>
    <row r="42" spans="2:12" x14ac:dyDescent="0.2">
      <c r="B42" s="3" t="s">
        <v>67</v>
      </c>
      <c r="C42" s="66">
        <v>2026</v>
      </c>
      <c r="D42" s="67">
        <f>J36*5+K36*7</f>
        <v>18782640</v>
      </c>
      <c r="G42" s="78">
        <f>G40/G32</f>
        <v>7.3691215508633499E-3</v>
      </c>
      <c r="H42" s="78">
        <f>H40/H32</f>
        <v>8.4222258540884755E-3</v>
      </c>
      <c r="I42" s="78">
        <f>I40/I32</f>
        <v>8.4988837153446833E-3</v>
      </c>
      <c r="J42" s="78">
        <f>J40/J32</f>
        <v>8.5500151038989253E-3</v>
      </c>
    </row>
    <row r="43" spans="2:12" x14ac:dyDescent="0.2">
      <c r="B43" s="3" t="s">
        <v>68</v>
      </c>
      <c r="C43" s="69">
        <f>1/12</f>
        <v>8.3333333333333329E-2</v>
      </c>
      <c r="D43" s="67">
        <f>D42*(1-C43)</f>
        <v>17217420</v>
      </c>
    </row>
    <row r="44" spans="2:12" x14ac:dyDescent="0.2">
      <c r="B44" s="3" t="s">
        <v>69</v>
      </c>
      <c r="C44" s="66">
        <v>2026</v>
      </c>
      <c r="D44" s="67">
        <f>K38*12</f>
        <v>7083631.0200000014</v>
      </c>
      <c r="H44" s="9"/>
    </row>
    <row r="45" spans="2:12" x14ac:dyDescent="0.2">
      <c r="B45" s="3" t="s">
        <v>30</v>
      </c>
      <c r="C45" s="66">
        <v>2026</v>
      </c>
      <c r="D45" s="67">
        <f>K40</f>
        <v>1995686.7360000003</v>
      </c>
    </row>
    <row r="46" spans="2:12" x14ac:dyDescent="0.2">
      <c r="B46" s="53"/>
      <c r="D46" s="4"/>
    </row>
    <row r="47" spans="2:12" x14ac:dyDescent="0.2">
      <c r="H47" s="10"/>
    </row>
    <row r="48" spans="2:12" x14ac:dyDescent="0.2">
      <c r="B48" s="277" t="s">
        <v>63</v>
      </c>
      <c r="C48" s="277"/>
      <c r="D48" s="277"/>
    </row>
    <row r="49" spans="2:13" x14ac:dyDescent="0.2">
      <c r="B49" s="62" t="s">
        <v>11</v>
      </c>
      <c r="C49" s="66"/>
      <c r="D49" s="1" t="s">
        <v>12</v>
      </c>
      <c r="F49" s="52" t="s">
        <v>57</v>
      </c>
      <c r="G49" s="52">
        <v>2022</v>
      </c>
      <c r="H49" s="52">
        <v>2023</v>
      </c>
      <c r="I49" s="52">
        <v>2024</v>
      </c>
      <c r="J49" s="52">
        <v>2025</v>
      </c>
      <c r="K49" s="52">
        <v>2026</v>
      </c>
      <c r="L49" s="52">
        <v>2027</v>
      </c>
    </row>
    <row r="50" spans="2:13" x14ac:dyDescent="0.2">
      <c r="B50" s="3" t="s">
        <v>70</v>
      </c>
      <c r="C50" s="66"/>
      <c r="D50" s="63" t="s">
        <v>64</v>
      </c>
    </row>
    <row r="51" spans="2:13" x14ac:dyDescent="0.2">
      <c r="B51" s="3" t="s">
        <v>15</v>
      </c>
      <c r="C51" s="66"/>
      <c r="D51" s="1" t="s">
        <v>34</v>
      </c>
      <c r="F51" t="s">
        <v>62</v>
      </c>
      <c r="G51" s="31"/>
      <c r="H51" s="31">
        <f>125255000+28750000</f>
        <v>154005000</v>
      </c>
      <c r="I51" s="31">
        <f>133797000+31010000</f>
        <v>164807000</v>
      </c>
      <c r="J51" s="31">
        <f>137811000+31940000</f>
        <v>169751000</v>
      </c>
    </row>
    <row r="52" spans="2:13" x14ac:dyDescent="0.2">
      <c r="B52" s="62" t="s">
        <v>16</v>
      </c>
      <c r="C52" s="66"/>
      <c r="D52" s="63">
        <v>347</v>
      </c>
      <c r="H52" s="49"/>
      <c r="I52" s="49">
        <f>(I51/H51)-1</f>
        <v>7.0140579851303508E-2</v>
      </c>
      <c r="J52" s="49">
        <f>(J51/I51)-1</f>
        <v>2.999872578227869E-2</v>
      </c>
    </row>
    <row r="53" spans="2:13" x14ac:dyDescent="0.2">
      <c r="B53" s="3" t="s">
        <v>17</v>
      </c>
      <c r="C53" s="66"/>
      <c r="D53" s="1" t="s">
        <v>37</v>
      </c>
      <c r="F53" t="s">
        <v>61</v>
      </c>
      <c r="H53" s="100">
        <f>H51*1.4</f>
        <v>215607000</v>
      </c>
      <c r="I53" s="100">
        <f>I51*1.4</f>
        <v>230729800</v>
      </c>
      <c r="J53" s="100">
        <f>J51*1.4</f>
        <v>237651399.99999997</v>
      </c>
    </row>
    <row r="54" spans="2:13" x14ac:dyDescent="0.2">
      <c r="B54" s="3" t="s">
        <v>20</v>
      </c>
      <c r="C54" s="66"/>
      <c r="D54" s="1" t="s">
        <v>38</v>
      </c>
      <c r="H54" s="49"/>
      <c r="I54" s="101">
        <f>(I53/H53)-1</f>
        <v>7.0140579851303508E-2</v>
      </c>
      <c r="J54" s="101">
        <f>(J53/I53)-1</f>
        <v>2.9998725782278468E-2</v>
      </c>
    </row>
    <row r="55" spans="2:13" x14ac:dyDescent="0.2">
      <c r="B55" s="3" t="s">
        <v>21</v>
      </c>
      <c r="C55" s="66"/>
      <c r="D55" s="65">
        <v>44681</v>
      </c>
      <c r="F55" t="s">
        <v>58</v>
      </c>
      <c r="G55" s="31">
        <v>1200000</v>
      </c>
      <c r="H55" s="54">
        <v>1500000</v>
      </c>
      <c r="I55" s="54">
        <v>1630000</v>
      </c>
      <c r="J55" s="31">
        <v>1715000</v>
      </c>
      <c r="K55" s="50">
        <f>J55*(1+K56)</f>
        <v>1802465</v>
      </c>
      <c r="L55" s="50">
        <f>K55*(1+L56)</f>
        <v>1910612.9000000001</v>
      </c>
    </row>
    <row r="56" spans="2:13" x14ac:dyDescent="0.2">
      <c r="B56" s="3" t="s">
        <v>22</v>
      </c>
      <c r="C56" s="66"/>
      <c r="D56" s="1" t="s">
        <v>39</v>
      </c>
      <c r="G56" s="48"/>
      <c r="H56" s="49">
        <f>(H55/G55)-1</f>
        <v>0.25</v>
      </c>
      <c r="I56" s="49">
        <f>(I55/H55)-1</f>
        <v>8.666666666666667E-2</v>
      </c>
      <c r="J56" s="49">
        <f>(J55/I55)-1</f>
        <v>5.2147239263803602E-2</v>
      </c>
      <c r="K56" s="51">
        <v>5.0999999999999997E-2</v>
      </c>
      <c r="L56" s="51">
        <v>0.06</v>
      </c>
    </row>
    <row r="57" spans="2:13" x14ac:dyDescent="0.2">
      <c r="B57" s="3" t="s">
        <v>23</v>
      </c>
      <c r="C57" s="66"/>
      <c r="D57" s="63">
        <v>3002381296</v>
      </c>
      <c r="F57" t="s">
        <v>59</v>
      </c>
      <c r="G57" s="31">
        <v>173200</v>
      </c>
      <c r="H57" s="31">
        <v>195900</v>
      </c>
      <c r="I57" s="31">
        <v>243000</v>
      </c>
      <c r="J57" s="31">
        <v>256300</v>
      </c>
      <c r="K57" s="50">
        <f>J57*(1+K58)</f>
        <v>317043.10000000003</v>
      </c>
      <c r="L57" s="50">
        <f>K57*(1+L58)</f>
        <v>364599.565</v>
      </c>
    </row>
    <row r="58" spans="2:13" x14ac:dyDescent="0.2">
      <c r="B58" s="3" t="s">
        <v>24</v>
      </c>
      <c r="C58" s="66"/>
      <c r="D58" s="1" t="s">
        <v>41</v>
      </c>
      <c r="H58" s="49">
        <f>(H57/G57)-1</f>
        <v>0.13106235565819868</v>
      </c>
      <c r="I58" s="49">
        <f>(I57/H57)-1</f>
        <v>0.24042879019908114</v>
      </c>
      <c r="J58" s="49">
        <f>(J57/I57)-1</f>
        <v>5.4732510288065805E-2</v>
      </c>
      <c r="K58" s="51">
        <v>0.23699999999999999</v>
      </c>
      <c r="L58" s="51">
        <v>0.15</v>
      </c>
    </row>
    <row r="59" spans="2:13" x14ac:dyDescent="0.2">
      <c r="B59" s="3" t="s">
        <v>25</v>
      </c>
      <c r="C59" s="66"/>
      <c r="D59" s="5" t="s">
        <v>42</v>
      </c>
      <c r="F59" t="s">
        <v>60</v>
      </c>
      <c r="H59" s="47">
        <v>871419</v>
      </c>
      <c r="I59" s="31">
        <v>1032495</v>
      </c>
      <c r="J59" s="31">
        <v>1170958</v>
      </c>
      <c r="K59" s="50">
        <f>J59*(1+K60)</f>
        <v>1448475.0460000001</v>
      </c>
      <c r="L59" s="50">
        <f>K59*(1+L60)</f>
        <v>1665746.3029</v>
      </c>
    </row>
    <row r="60" spans="2:13" x14ac:dyDescent="0.2">
      <c r="B60" s="3" t="s">
        <v>71</v>
      </c>
      <c r="C60" s="66"/>
      <c r="D60" s="63" t="s">
        <v>43</v>
      </c>
      <c r="H60" s="49"/>
      <c r="I60" s="49">
        <f>(I59/H59)-1</f>
        <v>0.18484334172195016</v>
      </c>
      <c r="J60" s="49">
        <f>(J59/I59)-1</f>
        <v>0.13410524990435779</v>
      </c>
      <c r="K60" s="51">
        <v>0.23699999999999999</v>
      </c>
      <c r="L60" s="51">
        <v>0.15</v>
      </c>
    </row>
    <row r="61" spans="2:13" x14ac:dyDescent="0.2">
      <c r="B61" s="3" t="s">
        <v>67</v>
      </c>
      <c r="C61" s="66">
        <v>2026</v>
      </c>
      <c r="D61" s="67">
        <f>J55*11+K55*1</f>
        <v>20667465</v>
      </c>
      <c r="G61" s="78"/>
      <c r="H61" s="78">
        <f>H59/H51</f>
        <v>5.6583812213889155E-3</v>
      </c>
      <c r="I61" s="78">
        <f>I59/I51</f>
        <v>6.2648734580448649E-3</v>
      </c>
      <c r="J61" s="78">
        <f>J59/J51</f>
        <v>6.898091911093307E-3</v>
      </c>
    </row>
    <row r="62" spans="2:13" x14ac:dyDescent="0.2">
      <c r="B62" s="3" t="s">
        <v>68</v>
      </c>
      <c r="C62" s="69">
        <f>1/12</f>
        <v>8.3333333333333329E-2</v>
      </c>
      <c r="D62" s="67">
        <f>D61*(1-C62)</f>
        <v>18945176.25</v>
      </c>
    </row>
    <row r="63" spans="2:13" x14ac:dyDescent="0.2">
      <c r="B63" s="3" t="s">
        <v>69</v>
      </c>
      <c r="C63" s="66">
        <v>2026</v>
      </c>
      <c r="D63" s="67">
        <f>K57*12</f>
        <v>3804517.2</v>
      </c>
      <c r="M63" s="31"/>
    </row>
    <row r="64" spans="2:13" x14ac:dyDescent="0.2">
      <c r="B64" s="3" t="s">
        <v>30</v>
      </c>
      <c r="C64" s="66">
        <v>2026</v>
      </c>
      <c r="D64" s="67">
        <f>K59</f>
        <v>1448475.0460000001</v>
      </c>
      <c r="H64" s="9"/>
    </row>
    <row r="65" spans="2:12" x14ac:dyDescent="0.2">
      <c r="B65" s="53"/>
      <c r="D65" s="4"/>
      <c r="H65" s="9"/>
    </row>
    <row r="66" spans="2:12" x14ac:dyDescent="0.2">
      <c r="H66" s="10"/>
    </row>
    <row r="67" spans="2:12" x14ac:dyDescent="0.2">
      <c r="B67" s="277" t="s">
        <v>31</v>
      </c>
      <c r="C67" s="277"/>
      <c r="D67" s="277"/>
    </row>
    <row r="68" spans="2:12" x14ac:dyDescent="0.2">
      <c r="B68" s="62" t="s">
        <v>11</v>
      </c>
      <c r="C68" s="66"/>
      <c r="D68" s="63" t="s">
        <v>32</v>
      </c>
      <c r="F68" s="52" t="s">
        <v>57</v>
      </c>
      <c r="G68" s="52">
        <v>2022</v>
      </c>
      <c r="H68" s="52">
        <v>2023</v>
      </c>
      <c r="I68" s="52">
        <v>2024</v>
      </c>
      <c r="J68" s="52">
        <v>2025</v>
      </c>
      <c r="K68" s="52">
        <v>2026</v>
      </c>
      <c r="L68" s="52">
        <v>2027</v>
      </c>
    </row>
    <row r="69" spans="2:12" x14ac:dyDescent="0.2">
      <c r="B69" s="3" t="s">
        <v>70</v>
      </c>
      <c r="C69" s="66"/>
      <c r="D69" s="63" t="s">
        <v>33</v>
      </c>
    </row>
    <row r="70" spans="2:12" x14ac:dyDescent="0.2">
      <c r="B70" s="3" t="s">
        <v>15</v>
      </c>
      <c r="C70" s="66"/>
      <c r="D70" s="63" t="s">
        <v>35</v>
      </c>
      <c r="F70" t="s">
        <v>62</v>
      </c>
      <c r="G70" s="31">
        <v>75789458</v>
      </c>
      <c r="H70" s="31">
        <v>79055984</v>
      </c>
      <c r="I70" s="31">
        <v>82621500</v>
      </c>
      <c r="J70" s="31">
        <v>85100000</v>
      </c>
    </row>
    <row r="71" spans="2:12" x14ac:dyDescent="0.2">
      <c r="B71" s="62" t="s">
        <v>16</v>
      </c>
      <c r="C71" s="66"/>
      <c r="D71" s="63" t="s">
        <v>36</v>
      </c>
      <c r="H71" s="49">
        <f>(H70/G70)-1</f>
        <v>4.3100004752639975E-2</v>
      </c>
      <c r="I71" s="49">
        <f>(I70/H70)-1</f>
        <v>4.5101152621160212E-2</v>
      </c>
      <c r="J71" s="49">
        <f>(J70/I70)-1</f>
        <v>2.9998245008865831E-2</v>
      </c>
    </row>
    <row r="72" spans="2:12" x14ac:dyDescent="0.2">
      <c r="B72" s="3" t="s">
        <v>17</v>
      </c>
      <c r="C72" s="66"/>
      <c r="D72" s="63"/>
      <c r="F72" t="s">
        <v>61</v>
      </c>
      <c r="G72" s="100">
        <f>G70*1.4</f>
        <v>106105241.19999999</v>
      </c>
      <c r="H72" s="100">
        <f>H70*1.4</f>
        <v>110678377.59999999</v>
      </c>
      <c r="I72" s="100">
        <f>I70*1.4</f>
        <v>115670100</v>
      </c>
      <c r="J72" s="100">
        <f>J70*1.4</f>
        <v>119139999.99999999</v>
      </c>
    </row>
    <row r="73" spans="2:12" x14ac:dyDescent="0.2">
      <c r="B73" s="3" t="s">
        <v>20</v>
      </c>
      <c r="C73" s="66"/>
      <c r="D73" s="63"/>
      <c r="G73" s="49"/>
      <c r="H73" s="101">
        <f>(H72/G72)-1</f>
        <v>4.3100004752639975E-2</v>
      </c>
      <c r="I73" s="101">
        <f>(I72/H72)-1</f>
        <v>4.5101152621160212E-2</v>
      </c>
      <c r="J73" s="101">
        <f>(J72/I72)-1</f>
        <v>2.9998245008865609E-2</v>
      </c>
    </row>
    <row r="74" spans="2:12" x14ac:dyDescent="0.2">
      <c r="B74" s="3" t="s">
        <v>21</v>
      </c>
      <c r="C74" s="66"/>
      <c r="D74" s="63"/>
      <c r="F74" t="s">
        <v>58</v>
      </c>
      <c r="G74" s="31">
        <v>225000</v>
      </c>
      <c r="H74" s="31">
        <v>881000</v>
      </c>
      <c r="I74" s="31">
        <v>881000</v>
      </c>
      <c r="J74" s="31">
        <v>881000</v>
      </c>
      <c r="K74" s="50">
        <f>J74*(1+K75)</f>
        <v>925931</v>
      </c>
      <c r="L74" s="50">
        <f>K74*(1+L75)</f>
        <v>981486.8600000001</v>
      </c>
    </row>
    <row r="75" spans="2:12" x14ac:dyDescent="0.2">
      <c r="B75" s="3" t="s">
        <v>22</v>
      </c>
      <c r="C75" s="66"/>
      <c r="D75" s="278" t="s">
        <v>40</v>
      </c>
      <c r="G75" s="48"/>
      <c r="H75" s="49">
        <f>(H74/G74)-1</f>
        <v>2.9155555555555557</v>
      </c>
      <c r="I75" s="49">
        <f>(I74/H74)-1</f>
        <v>0</v>
      </c>
      <c r="J75" s="49">
        <f>(J74/I74)-1</f>
        <v>0</v>
      </c>
      <c r="K75" s="51">
        <v>5.0999999999999997E-2</v>
      </c>
      <c r="L75" s="51">
        <v>0.06</v>
      </c>
    </row>
    <row r="76" spans="2:12" x14ac:dyDescent="0.2">
      <c r="B76" s="3" t="s">
        <v>23</v>
      </c>
      <c r="C76" s="66"/>
      <c r="D76" s="278"/>
      <c r="F76" t="s">
        <v>59</v>
      </c>
      <c r="G76" s="55"/>
      <c r="H76" s="55"/>
      <c r="I76" s="55"/>
      <c r="J76" s="55"/>
      <c r="K76" s="56"/>
      <c r="L76" s="56"/>
    </row>
    <row r="77" spans="2:12" x14ac:dyDescent="0.2">
      <c r="B77" s="3" t="s">
        <v>24</v>
      </c>
      <c r="C77" s="66"/>
      <c r="D77" s="278"/>
      <c r="G77" s="57"/>
      <c r="H77" s="58"/>
      <c r="I77" s="58"/>
      <c r="J77" s="58"/>
      <c r="K77" s="59"/>
      <c r="L77" s="59"/>
    </row>
    <row r="78" spans="2:12" x14ac:dyDescent="0.2">
      <c r="B78" s="3" t="s">
        <v>25</v>
      </c>
      <c r="C78" s="66"/>
      <c r="D78" s="278"/>
      <c r="F78" t="s">
        <v>60</v>
      </c>
      <c r="G78" s="54">
        <v>550458</v>
      </c>
      <c r="H78" s="47">
        <v>765580</v>
      </c>
      <c r="I78" s="31">
        <v>911108</v>
      </c>
      <c r="J78" s="31">
        <v>765532</v>
      </c>
      <c r="K78" s="50">
        <f>J78*(1+K79)</f>
        <v>946963.08400000003</v>
      </c>
      <c r="L78" s="50">
        <f>K78*(1+L79)</f>
        <v>1089007.5466</v>
      </c>
    </row>
    <row r="79" spans="2:12" x14ac:dyDescent="0.2">
      <c r="B79" s="3" t="s">
        <v>71</v>
      </c>
      <c r="C79" s="66"/>
      <c r="D79" s="64" t="s">
        <v>44</v>
      </c>
      <c r="H79" s="49">
        <f>(H78/G78)-1</f>
        <v>0.39080547471378368</v>
      </c>
      <c r="I79" s="49">
        <f>(I78/H78)-1</f>
        <v>0.19008856030721799</v>
      </c>
      <c r="J79" s="49">
        <f>(J78/I78)-1</f>
        <v>-0.15977908217247572</v>
      </c>
      <c r="K79" s="51">
        <v>0.23699999999999999</v>
      </c>
      <c r="L79" s="51">
        <v>0.15</v>
      </c>
    </row>
    <row r="80" spans="2:12" x14ac:dyDescent="0.2">
      <c r="B80" s="3" t="s">
        <v>67</v>
      </c>
      <c r="C80" s="66">
        <v>2026</v>
      </c>
      <c r="D80" s="67">
        <f>J74*12</f>
        <v>10572000</v>
      </c>
      <c r="G80" s="78">
        <f>G78/G70</f>
        <v>7.2629890030352241E-3</v>
      </c>
      <c r="H80" s="78">
        <f>H78/H70</f>
        <v>9.6840234130790154E-3</v>
      </c>
      <c r="I80" s="78">
        <f>I78/I70</f>
        <v>1.1027492843872357E-2</v>
      </c>
      <c r="J80" s="78">
        <f>J78/J70</f>
        <v>8.995675675675675E-3</v>
      </c>
    </row>
    <row r="81" spans="2:12" x14ac:dyDescent="0.2">
      <c r="B81" s="3" t="s">
        <v>68</v>
      </c>
      <c r="C81" s="69">
        <f>1/12</f>
        <v>8.3333333333333329E-2</v>
      </c>
      <c r="D81" s="67">
        <f>D80*(1-C81)</f>
        <v>9691000</v>
      </c>
      <c r="H81" s="4"/>
    </row>
    <row r="82" spans="2:12" x14ac:dyDescent="0.2">
      <c r="B82" s="3" t="s">
        <v>69</v>
      </c>
      <c r="C82" s="66">
        <v>2026</v>
      </c>
      <c r="D82" s="67">
        <f>K76*12</f>
        <v>0</v>
      </c>
      <c r="F82" s="53"/>
      <c r="G82" s="4"/>
      <c r="H82" s="4"/>
      <c r="I82" s="53"/>
      <c r="J82" s="4"/>
    </row>
    <row r="83" spans="2:12" x14ac:dyDescent="0.2">
      <c r="B83" s="3" t="s">
        <v>30</v>
      </c>
      <c r="C83" s="66">
        <v>2026</v>
      </c>
      <c r="D83" s="67">
        <f>K78</f>
        <v>946963.08400000003</v>
      </c>
      <c r="F83" s="53"/>
      <c r="G83" s="4"/>
      <c r="H83" s="4"/>
      <c r="I83" s="53"/>
      <c r="J83" s="4"/>
    </row>
    <row r="84" spans="2:12" x14ac:dyDescent="0.2">
      <c r="B84" s="53"/>
      <c r="D84" s="4"/>
      <c r="F84" s="53"/>
      <c r="G84" s="4"/>
      <c r="H84" s="4"/>
      <c r="I84" s="53"/>
      <c r="J84" s="4"/>
    </row>
    <row r="85" spans="2:12" x14ac:dyDescent="0.2">
      <c r="F85" s="53"/>
      <c r="G85" s="4"/>
      <c r="H85" s="4"/>
      <c r="I85" s="53"/>
      <c r="J85" s="4"/>
    </row>
    <row r="86" spans="2:12" x14ac:dyDescent="0.2">
      <c r="B86" s="277" t="s">
        <v>65</v>
      </c>
      <c r="C86" s="277"/>
      <c r="D86" s="277"/>
    </row>
    <row r="87" spans="2:12" x14ac:dyDescent="0.2">
      <c r="B87" s="62" t="s">
        <v>11</v>
      </c>
      <c r="C87" s="66"/>
      <c r="D87" s="1" t="s">
        <v>12</v>
      </c>
      <c r="F87" s="52" t="s">
        <v>57</v>
      </c>
      <c r="G87" s="52">
        <v>2022</v>
      </c>
      <c r="H87" s="52">
        <v>2023</v>
      </c>
      <c r="I87" s="52">
        <v>2024</v>
      </c>
      <c r="J87" s="52">
        <v>2025</v>
      </c>
      <c r="K87" s="52">
        <v>2026</v>
      </c>
      <c r="L87" s="52">
        <v>2027</v>
      </c>
    </row>
    <row r="88" spans="2:12" x14ac:dyDescent="0.2">
      <c r="B88" s="3" t="s">
        <v>70</v>
      </c>
      <c r="C88" s="66"/>
      <c r="D88" s="63" t="s">
        <v>6</v>
      </c>
    </row>
    <row r="89" spans="2:12" x14ac:dyDescent="0.2">
      <c r="B89" s="3" t="s">
        <v>15</v>
      </c>
      <c r="C89" s="66"/>
      <c r="D89" s="1"/>
      <c r="F89" t="s">
        <v>62</v>
      </c>
      <c r="G89" s="31">
        <v>38870000</v>
      </c>
      <c r="H89" s="31">
        <v>40545000</v>
      </c>
      <c r="I89" s="31">
        <v>127148000</v>
      </c>
      <c r="J89" s="31">
        <v>130962000</v>
      </c>
    </row>
    <row r="90" spans="2:12" x14ac:dyDescent="0.2">
      <c r="B90" s="62" t="s">
        <v>16</v>
      </c>
      <c r="C90" s="66"/>
      <c r="D90" s="63"/>
      <c r="H90" s="49">
        <f>(H89/G89)-1</f>
        <v>4.3092359145870951E-2</v>
      </c>
      <c r="I90" s="49">
        <f>(I89/H89)-1</f>
        <v>2.1359723763719325</v>
      </c>
      <c r="J90" s="49">
        <f>(J89/I89)-1</f>
        <v>2.9996539465819261E-2</v>
      </c>
    </row>
    <row r="91" spans="2:12" x14ac:dyDescent="0.2">
      <c r="B91" s="3" t="s">
        <v>17</v>
      </c>
      <c r="C91" s="66"/>
      <c r="D91" s="1"/>
      <c r="F91" t="s">
        <v>61</v>
      </c>
      <c r="G91" s="100">
        <f>G89*1.4</f>
        <v>54418000</v>
      </c>
      <c r="H91" s="100">
        <f>H89*1.4</f>
        <v>56763000</v>
      </c>
      <c r="I91" s="100">
        <f>I89*1.4</f>
        <v>178007200</v>
      </c>
      <c r="J91" s="100">
        <f>J89*1.4</f>
        <v>183346800</v>
      </c>
    </row>
    <row r="92" spans="2:12" x14ac:dyDescent="0.2">
      <c r="B92" s="3" t="s">
        <v>20</v>
      </c>
      <c r="C92" s="66"/>
      <c r="D92" s="1"/>
      <c r="G92" s="49"/>
      <c r="H92" s="101">
        <f>(H91/G91)-1</f>
        <v>4.3092359145870951E-2</v>
      </c>
      <c r="I92" s="101">
        <f>(I91/H91)-1</f>
        <v>2.1359723763719325</v>
      </c>
      <c r="J92" s="101">
        <f>(J91/I91)-1</f>
        <v>2.9996539465819261E-2</v>
      </c>
    </row>
    <row r="93" spans="2:12" x14ac:dyDescent="0.2">
      <c r="B93" s="3" t="s">
        <v>21</v>
      </c>
      <c r="C93" s="66"/>
      <c r="D93" s="65"/>
      <c r="F93" t="s">
        <v>58</v>
      </c>
      <c r="G93" s="31">
        <v>360000</v>
      </c>
      <c r="H93" s="45">
        <v>400000</v>
      </c>
      <c r="I93" s="54">
        <v>450000</v>
      </c>
      <c r="J93" s="54">
        <v>500000</v>
      </c>
      <c r="K93" s="50">
        <f>J93*(1+K94)</f>
        <v>525500</v>
      </c>
      <c r="L93" s="50">
        <f>K93*(1+L94)</f>
        <v>557030</v>
      </c>
    </row>
    <row r="94" spans="2:12" x14ac:dyDescent="0.2">
      <c r="B94" s="3" t="s">
        <v>22</v>
      </c>
      <c r="C94" s="66"/>
      <c r="D94" s="278" t="s">
        <v>40</v>
      </c>
      <c r="G94" s="48"/>
      <c r="H94" s="49">
        <f>(H93/G93)-1</f>
        <v>0.11111111111111116</v>
      </c>
      <c r="I94" s="49">
        <f>(I93/H93)-1</f>
        <v>0.125</v>
      </c>
      <c r="J94" s="49">
        <f>(J93/I93)-1</f>
        <v>0.11111111111111116</v>
      </c>
      <c r="K94" s="51">
        <v>5.0999999999999997E-2</v>
      </c>
      <c r="L94" s="51">
        <v>0.06</v>
      </c>
    </row>
    <row r="95" spans="2:12" x14ac:dyDescent="0.2">
      <c r="B95" s="3" t="s">
        <v>23</v>
      </c>
      <c r="C95" s="66"/>
      <c r="D95" s="278"/>
      <c r="F95" t="s">
        <v>59</v>
      </c>
      <c r="G95" s="55"/>
      <c r="H95" s="55"/>
      <c r="I95" s="55"/>
      <c r="J95" s="55"/>
      <c r="K95" s="56"/>
      <c r="L95" s="56"/>
    </row>
    <row r="96" spans="2:12" x14ac:dyDescent="0.2">
      <c r="B96" s="3" t="s">
        <v>24</v>
      </c>
      <c r="C96" s="66"/>
      <c r="D96" s="278"/>
      <c r="G96" s="57"/>
      <c r="H96" s="58"/>
      <c r="I96" s="58"/>
      <c r="J96" s="58"/>
      <c r="K96" s="59"/>
      <c r="L96" s="59"/>
    </row>
    <row r="97" spans="2:12" x14ac:dyDescent="0.2">
      <c r="B97" s="3" t="s">
        <v>25</v>
      </c>
      <c r="C97" s="66"/>
      <c r="D97" s="278"/>
      <c r="F97" t="s">
        <v>60</v>
      </c>
      <c r="G97" s="60">
        <v>258487</v>
      </c>
      <c r="H97" s="60">
        <v>269629</v>
      </c>
      <c r="I97" s="60">
        <v>279068</v>
      </c>
      <c r="J97" s="60">
        <v>316495</v>
      </c>
      <c r="K97" s="50">
        <f>J97*(1+K98)</f>
        <v>391504.31500000006</v>
      </c>
      <c r="L97" s="50">
        <f>K97*(1+L98)</f>
        <v>450229.96225000004</v>
      </c>
    </row>
    <row r="98" spans="2:12" x14ac:dyDescent="0.2">
      <c r="B98" s="3" t="s">
        <v>71</v>
      </c>
      <c r="C98" s="66"/>
      <c r="D98" s="63"/>
      <c r="H98" s="49">
        <f>(H97/G97)-1</f>
        <v>4.3104682247076198E-2</v>
      </c>
      <c r="I98" s="49">
        <f>(I97/H97)-1</f>
        <v>3.5007361967740902E-2</v>
      </c>
      <c r="J98" s="49">
        <f>(J97/I97)-1</f>
        <v>0.13411426605701826</v>
      </c>
      <c r="K98" s="51">
        <v>0.23699999999999999</v>
      </c>
      <c r="L98" s="51">
        <v>0.15</v>
      </c>
    </row>
    <row r="99" spans="2:12" x14ac:dyDescent="0.2">
      <c r="B99" s="3" t="s">
        <v>67</v>
      </c>
      <c r="C99" s="66">
        <v>2026</v>
      </c>
      <c r="D99" s="67">
        <f>J93*11+K93*1</f>
        <v>6025500</v>
      </c>
      <c r="G99" s="78">
        <f>G97/G89</f>
        <v>6.6500385901723698E-3</v>
      </c>
      <c r="H99" s="78">
        <f>H97/H89</f>
        <v>6.6501171537797507E-3</v>
      </c>
      <c r="I99" s="78">
        <f>I97/I89</f>
        <v>2.1948280743700256E-3</v>
      </c>
      <c r="J99" s="78">
        <f>J97/J89</f>
        <v>2.4166933919762983E-3</v>
      </c>
    </row>
    <row r="100" spans="2:12" x14ac:dyDescent="0.2">
      <c r="B100" s="3" t="s">
        <v>68</v>
      </c>
      <c r="C100" s="69">
        <f>1/12</f>
        <v>8.3333333333333329E-2</v>
      </c>
      <c r="D100" s="67">
        <f>D99*(1-C100)</f>
        <v>5523375</v>
      </c>
      <c r="H100" s="4"/>
    </row>
    <row r="101" spans="2:12" x14ac:dyDescent="0.2">
      <c r="B101" s="3" t="s">
        <v>69</v>
      </c>
      <c r="C101" s="66">
        <v>2026</v>
      </c>
      <c r="D101" s="67">
        <f>K95*12</f>
        <v>0</v>
      </c>
      <c r="H101" s="4"/>
    </row>
    <row r="102" spans="2:12" x14ac:dyDescent="0.2">
      <c r="B102" s="3" t="s">
        <v>30</v>
      </c>
      <c r="C102" s="66">
        <v>2026</v>
      </c>
      <c r="D102" s="67">
        <f>K97</f>
        <v>391504.31500000006</v>
      </c>
      <c r="H102" s="4"/>
    </row>
    <row r="105" spans="2:12" x14ac:dyDescent="0.2">
      <c r="B105" s="277" t="s">
        <v>66</v>
      </c>
      <c r="C105" s="277"/>
      <c r="D105" s="277"/>
    </row>
    <row r="106" spans="2:12" x14ac:dyDescent="0.2">
      <c r="B106" s="62" t="s">
        <v>11</v>
      </c>
      <c r="C106" s="66"/>
      <c r="D106" s="1" t="s">
        <v>12</v>
      </c>
      <c r="F106" s="52" t="s">
        <v>57</v>
      </c>
      <c r="G106" s="52">
        <v>2022</v>
      </c>
      <c r="H106" s="52">
        <v>2023</v>
      </c>
      <c r="I106" s="52">
        <v>2024</v>
      </c>
      <c r="J106" s="52">
        <v>2025</v>
      </c>
      <c r="K106" s="52">
        <v>2026</v>
      </c>
      <c r="L106" s="52">
        <v>2027</v>
      </c>
    </row>
    <row r="107" spans="2:12" x14ac:dyDescent="0.2">
      <c r="B107" s="3" t="s">
        <v>70</v>
      </c>
      <c r="C107" s="66"/>
      <c r="D107" s="63" t="s">
        <v>45</v>
      </c>
    </row>
    <row r="108" spans="2:12" x14ac:dyDescent="0.2">
      <c r="B108" s="3" t="s">
        <v>15</v>
      </c>
      <c r="C108" s="66"/>
      <c r="D108" s="1"/>
      <c r="F108" t="s">
        <v>62</v>
      </c>
      <c r="G108" s="31">
        <v>680520000</v>
      </c>
      <c r="H108" s="31">
        <v>709850000</v>
      </c>
      <c r="I108" s="31">
        <v>761811000</v>
      </c>
      <c r="J108" s="31">
        <v>784665000</v>
      </c>
    </row>
    <row r="109" spans="2:12" x14ac:dyDescent="0.2">
      <c r="B109" s="62" t="s">
        <v>16</v>
      </c>
      <c r="C109" s="66"/>
      <c r="D109" s="63"/>
      <c r="H109" s="49">
        <f>(H108/G108)-1</f>
        <v>4.3099394580614847E-2</v>
      </c>
      <c r="I109" s="49">
        <f>(I108/H108)-1</f>
        <v>7.319997182503335E-2</v>
      </c>
      <c r="J109" s="49">
        <f>(J108/I108)-1</f>
        <v>2.9999566821691914E-2</v>
      </c>
    </row>
    <row r="110" spans="2:12" x14ac:dyDescent="0.2">
      <c r="B110" s="3" t="s">
        <v>17</v>
      </c>
      <c r="C110" s="66"/>
      <c r="D110" s="1"/>
      <c r="F110" t="s">
        <v>61</v>
      </c>
      <c r="G110" s="100">
        <f>G108*1.4</f>
        <v>952727999.99999988</v>
      </c>
      <c r="H110" s="100">
        <f>H108*1.4</f>
        <v>993789999.99999988</v>
      </c>
      <c r="I110" s="100">
        <f>I108*1.4</f>
        <v>1066535399.9999999</v>
      </c>
      <c r="J110" s="100">
        <f>J108*1.4</f>
        <v>1098531000</v>
      </c>
    </row>
    <row r="111" spans="2:12" x14ac:dyDescent="0.2">
      <c r="B111" s="3" t="s">
        <v>20</v>
      </c>
      <c r="C111" s="66"/>
      <c r="D111" s="1"/>
      <c r="H111" s="101">
        <f>(H110/G110)-1</f>
        <v>4.3099394580614847E-2</v>
      </c>
      <c r="I111" s="101">
        <f>(I110/H110)-1</f>
        <v>7.3199971825033572E-2</v>
      </c>
      <c r="J111" s="101">
        <f>(J110/I110)-1</f>
        <v>2.9999566821692136E-2</v>
      </c>
    </row>
    <row r="112" spans="2:12" x14ac:dyDescent="0.2">
      <c r="B112" s="3" t="s">
        <v>21</v>
      </c>
      <c r="C112" s="66"/>
      <c r="D112" s="65"/>
      <c r="F112" t="s">
        <v>58</v>
      </c>
      <c r="G112" s="31"/>
      <c r="H112" s="31"/>
      <c r="I112" s="31">
        <v>3000000</v>
      </c>
      <c r="J112" s="31">
        <v>3144600</v>
      </c>
      <c r="K112" s="50">
        <f>J112*(1+K113)</f>
        <v>3304974.5999999996</v>
      </c>
      <c r="L112" s="50">
        <f>K112*(1+L113)</f>
        <v>3503273.0759999999</v>
      </c>
    </row>
    <row r="113" spans="2:12" x14ac:dyDescent="0.2">
      <c r="B113" s="3" t="s">
        <v>22</v>
      </c>
      <c r="C113" s="66"/>
      <c r="D113" s="278" t="s">
        <v>40</v>
      </c>
      <c r="G113" s="48"/>
      <c r="H113" s="49"/>
      <c r="I113" s="49"/>
      <c r="J113" s="49">
        <f>(J112/I112)-1</f>
        <v>4.8200000000000021E-2</v>
      </c>
      <c r="K113" s="51">
        <v>5.0999999999999997E-2</v>
      </c>
      <c r="L113" s="51">
        <v>0.06</v>
      </c>
    </row>
    <row r="114" spans="2:12" x14ac:dyDescent="0.2">
      <c r="B114" s="3" t="s">
        <v>23</v>
      </c>
      <c r="C114" s="66"/>
      <c r="D114" s="278"/>
      <c r="F114" t="s">
        <v>59</v>
      </c>
      <c r="G114" s="55"/>
      <c r="H114" s="55"/>
      <c r="I114" s="55"/>
      <c r="J114" s="55"/>
      <c r="K114" s="56"/>
      <c r="L114" s="56"/>
    </row>
    <row r="115" spans="2:12" x14ac:dyDescent="0.2">
      <c r="B115" s="3" t="s">
        <v>24</v>
      </c>
      <c r="C115" s="66"/>
      <c r="D115" s="278"/>
      <c r="G115" s="57"/>
      <c r="H115" s="58"/>
      <c r="I115" s="58"/>
      <c r="J115" s="58"/>
      <c r="K115" s="59"/>
      <c r="L115" s="59"/>
    </row>
    <row r="116" spans="2:12" x14ac:dyDescent="0.2">
      <c r="B116" s="3" t="s">
        <v>25</v>
      </c>
      <c r="C116" s="66"/>
      <c r="D116" s="278"/>
      <c r="F116" t="s">
        <v>60</v>
      </c>
      <c r="G116" s="99">
        <v>2417047</v>
      </c>
      <c r="H116" s="60">
        <v>2905777</v>
      </c>
      <c r="I116" s="60">
        <v>3442766</v>
      </c>
      <c r="J116" s="60">
        <v>3904447</v>
      </c>
      <c r="K116" s="50">
        <f>J116*(1+K117)</f>
        <v>4829800.9390000002</v>
      </c>
      <c r="L116" s="50">
        <f>K116*(1+L117)</f>
        <v>5554271.0798499994</v>
      </c>
    </row>
    <row r="117" spans="2:12" x14ac:dyDescent="0.2">
      <c r="B117" s="3" t="s">
        <v>71</v>
      </c>
      <c r="C117" s="66"/>
      <c r="D117" s="63"/>
      <c r="H117" s="49">
        <f>(H116/G116)-1</f>
        <v>0.20220128115009772</v>
      </c>
      <c r="I117" s="49">
        <f>(I116/H116)-1</f>
        <v>0.18480048537792126</v>
      </c>
      <c r="J117" s="49">
        <f>(J116/I116)-1</f>
        <v>0.13410176584757716</v>
      </c>
      <c r="K117" s="51">
        <v>0.23699999999999999</v>
      </c>
      <c r="L117" s="51">
        <v>0.15</v>
      </c>
    </row>
    <row r="118" spans="2:12" x14ac:dyDescent="0.2">
      <c r="B118" s="3" t="s">
        <v>67</v>
      </c>
      <c r="C118" s="66">
        <v>2026</v>
      </c>
      <c r="D118" s="67">
        <f>J112*6+K112*6</f>
        <v>38697447.599999994</v>
      </c>
      <c r="G118" s="78">
        <f>G116/G108</f>
        <v>3.5517648268970788E-3</v>
      </c>
      <c r="H118" s="78">
        <f>H116/H108</f>
        <v>4.0935084877086712E-3</v>
      </c>
      <c r="I118" s="78">
        <f>I116/I108</f>
        <v>4.5191865173907966E-3</v>
      </c>
      <c r="J118" s="78">
        <f>J116/J108</f>
        <v>4.9759413252789403E-3</v>
      </c>
    </row>
    <row r="119" spans="2:12" x14ac:dyDescent="0.2">
      <c r="B119" s="3" t="s">
        <v>68</v>
      </c>
      <c r="C119" s="69">
        <f>1/12</f>
        <v>8.3333333333333329E-2</v>
      </c>
      <c r="D119" s="67">
        <f>D118*(1-C119)</f>
        <v>35472660.29999999</v>
      </c>
    </row>
    <row r="120" spans="2:12" x14ac:dyDescent="0.2">
      <c r="B120" s="3" t="s">
        <v>69</v>
      </c>
      <c r="C120" s="66">
        <v>2026</v>
      </c>
      <c r="D120" s="67">
        <f>K114*12</f>
        <v>0</v>
      </c>
    </row>
    <row r="121" spans="2:12" x14ac:dyDescent="0.2">
      <c r="B121" s="3" t="s">
        <v>30</v>
      </c>
      <c r="C121" s="66">
        <v>2026</v>
      </c>
      <c r="D121" s="67">
        <f>K116</f>
        <v>4829800.9390000002</v>
      </c>
    </row>
    <row r="124" spans="2:12" x14ac:dyDescent="0.2">
      <c r="B124" s="277" t="s">
        <v>10</v>
      </c>
      <c r="C124" s="277"/>
      <c r="D124" s="277"/>
    </row>
    <row r="125" spans="2:12" x14ac:dyDescent="0.2">
      <c r="B125" s="61"/>
      <c r="C125" s="66"/>
      <c r="D125" s="61"/>
      <c r="F125" s="52" t="s">
        <v>57</v>
      </c>
      <c r="G125" s="52">
        <v>2022</v>
      </c>
      <c r="H125" s="52">
        <v>2023</v>
      </c>
      <c r="I125" s="52">
        <v>2024</v>
      </c>
      <c r="J125" s="52">
        <v>2025</v>
      </c>
      <c r="K125" s="52">
        <v>2026</v>
      </c>
      <c r="L125" s="52">
        <v>2027</v>
      </c>
    </row>
    <row r="126" spans="2:12" x14ac:dyDescent="0.2">
      <c r="B126" s="62" t="s">
        <v>11</v>
      </c>
      <c r="C126" s="66"/>
      <c r="D126" s="1" t="s">
        <v>12</v>
      </c>
    </row>
    <row r="127" spans="2:12" x14ac:dyDescent="0.2">
      <c r="B127" s="3" t="s">
        <v>70</v>
      </c>
      <c r="C127" s="66"/>
      <c r="D127" s="63" t="s">
        <v>14</v>
      </c>
      <c r="F127" t="s">
        <v>62</v>
      </c>
      <c r="G127" s="31"/>
      <c r="H127" s="31">
        <f>9927000+182250000</f>
        <v>192177000</v>
      </c>
      <c r="I127" s="31">
        <f>10707000+195099000</f>
        <v>205806000</v>
      </c>
      <c r="J127" s="31">
        <f>11327000+260263000</f>
        <v>271590000</v>
      </c>
    </row>
    <row r="128" spans="2:12" x14ac:dyDescent="0.2">
      <c r="B128" s="3" t="s">
        <v>15</v>
      </c>
      <c r="C128" s="66"/>
      <c r="D128" s="63">
        <v>502</v>
      </c>
      <c r="H128" s="49"/>
      <c r="I128" s="49">
        <f>(I127/H127)-1</f>
        <v>7.0918996550055402E-2</v>
      </c>
      <c r="J128" s="49">
        <f>(J127/I127)-1</f>
        <v>0.31964082679805261</v>
      </c>
    </row>
    <row r="129" spans="2:12" x14ac:dyDescent="0.2">
      <c r="B129" s="62" t="s">
        <v>16</v>
      </c>
      <c r="C129" s="66"/>
      <c r="D129" s="63">
        <v>99009</v>
      </c>
      <c r="F129" t="s">
        <v>61</v>
      </c>
      <c r="H129" s="100">
        <f>H127*1.4</f>
        <v>269047800</v>
      </c>
      <c r="I129" s="100">
        <f>I127*1.4</f>
        <v>288128400</v>
      </c>
      <c r="J129" s="100">
        <f>J127*1.4</f>
        <v>380226000</v>
      </c>
    </row>
    <row r="130" spans="2:12" x14ac:dyDescent="0.2">
      <c r="B130" s="3" t="s">
        <v>17</v>
      </c>
      <c r="C130" s="66"/>
      <c r="D130" s="1" t="s">
        <v>19</v>
      </c>
      <c r="H130" s="49"/>
      <c r="I130" s="101">
        <f>(I129/H129)-1</f>
        <v>7.0918996550055402E-2</v>
      </c>
      <c r="J130" s="101">
        <f>(J129/I129)-1</f>
        <v>0.31964082679805261</v>
      </c>
    </row>
    <row r="131" spans="2:12" x14ac:dyDescent="0.2">
      <c r="B131" s="3" t="s">
        <v>20</v>
      </c>
      <c r="C131" s="66"/>
      <c r="D131" s="1">
        <v>3173963004</v>
      </c>
      <c r="F131" t="s">
        <v>58</v>
      </c>
      <c r="G131" s="31">
        <v>1100000</v>
      </c>
      <c r="H131" s="54">
        <v>1350000</v>
      </c>
      <c r="I131" s="31">
        <v>1350000</v>
      </c>
      <c r="J131" s="31">
        <v>1650000</v>
      </c>
      <c r="K131" s="50">
        <f>J131*(1+K132)</f>
        <v>1734150</v>
      </c>
      <c r="L131" s="50">
        <f>K131*(1+L132)</f>
        <v>1838199</v>
      </c>
    </row>
    <row r="132" spans="2:12" x14ac:dyDescent="0.2">
      <c r="B132" s="3" t="s">
        <v>21</v>
      </c>
      <c r="C132" s="66"/>
      <c r="D132" s="1"/>
      <c r="G132" s="48"/>
      <c r="H132" s="49">
        <f>(H131/G131)-1</f>
        <v>0.22727272727272729</v>
      </c>
      <c r="I132" s="49">
        <f>(I131/H131)-1</f>
        <v>0</v>
      </c>
      <c r="J132" s="49">
        <f>(J131/I131)-1</f>
        <v>0.22222222222222232</v>
      </c>
      <c r="K132" s="51">
        <v>5.0999999999999997E-2</v>
      </c>
      <c r="L132" s="51">
        <v>0.06</v>
      </c>
    </row>
    <row r="133" spans="2:12" x14ac:dyDescent="0.2">
      <c r="B133" s="3" t="s">
        <v>22</v>
      </c>
      <c r="C133" s="66"/>
      <c r="D133" s="1"/>
      <c r="F133" t="s">
        <v>59</v>
      </c>
      <c r="G133" s="31">
        <v>114000</v>
      </c>
      <c r="H133" s="31">
        <v>126000</v>
      </c>
      <c r="I133" s="31">
        <v>138000</v>
      </c>
      <c r="J133" s="31">
        <v>146000</v>
      </c>
      <c r="K133" s="198">
        <v>156000</v>
      </c>
      <c r="L133" s="50">
        <f>K133*(1+L134)</f>
        <v>179400</v>
      </c>
    </row>
    <row r="134" spans="2:12" x14ac:dyDescent="0.2">
      <c r="B134" s="3" t="s">
        <v>23</v>
      </c>
      <c r="C134" s="66"/>
      <c r="D134" s="1"/>
      <c r="H134" s="49">
        <f>(H133/G133)-1</f>
        <v>0.10526315789473695</v>
      </c>
      <c r="I134" s="49">
        <f>(I133/H133)-1</f>
        <v>9.5238095238095344E-2</v>
      </c>
      <c r="J134" s="49">
        <f>(J133/I133)-1</f>
        <v>5.7971014492753659E-2</v>
      </c>
      <c r="K134" s="49">
        <f>(K133/J133)-1</f>
        <v>6.8493150684931559E-2</v>
      </c>
      <c r="L134" s="51">
        <v>0.15</v>
      </c>
    </row>
    <row r="135" spans="2:12" x14ac:dyDescent="0.2">
      <c r="B135" s="3" t="s">
        <v>24</v>
      </c>
      <c r="C135" s="66"/>
      <c r="D135" s="1"/>
      <c r="F135" t="s">
        <v>60</v>
      </c>
      <c r="H135" s="31">
        <v>1652293</v>
      </c>
      <c r="I135" s="31">
        <v>1926459</v>
      </c>
      <c r="J135" s="31">
        <v>2177825</v>
      </c>
      <c r="K135" s="50">
        <f>J135*(1+K136)</f>
        <v>2693969.5250000004</v>
      </c>
      <c r="L135" s="50">
        <f>K135*(1+L136)</f>
        <v>3098064.9537500003</v>
      </c>
    </row>
    <row r="136" spans="2:12" x14ac:dyDescent="0.2">
      <c r="B136" s="3" t="s">
        <v>25</v>
      </c>
      <c r="C136" s="66"/>
      <c r="D136" s="64" t="s">
        <v>27</v>
      </c>
      <c r="H136" s="49"/>
      <c r="I136" s="49">
        <f>(I135/H135)-1</f>
        <v>0.16593061884302607</v>
      </c>
      <c r="J136" s="49">
        <f>(J135/I135)-1</f>
        <v>0.13048084594585196</v>
      </c>
      <c r="K136" s="51">
        <v>0.23699999999999999</v>
      </c>
      <c r="L136" s="51">
        <v>0.15</v>
      </c>
    </row>
    <row r="137" spans="2:12" x14ac:dyDescent="0.2">
      <c r="B137" s="3" t="s">
        <v>71</v>
      </c>
      <c r="C137" s="66"/>
      <c r="D137" s="64" t="s">
        <v>29</v>
      </c>
      <c r="G137" s="78"/>
      <c r="H137" s="78">
        <f>H135/H127</f>
        <v>8.5977666422100453E-3</v>
      </c>
      <c r="I137" s="78">
        <f>I135/I127</f>
        <v>9.3605580012244543E-3</v>
      </c>
      <c r="J137" s="78">
        <f>J135/J127</f>
        <v>8.0187967156375422E-3</v>
      </c>
    </row>
    <row r="138" spans="2:12" x14ac:dyDescent="0.2">
      <c r="B138" s="3" t="s">
        <v>67</v>
      </c>
      <c r="C138" s="66">
        <v>2026</v>
      </c>
      <c r="D138" s="67">
        <f>K131*12</f>
        <v>20809800</v>
      </c>
    </row>
    <row r="139" spans="2:12" x14ac:dyDescent="0.2">
      <c r="B139" s="3" t="s">
        <v>68</v>
      </c>
      <c r="C139" s="69">
        <f>1/12</f>
        <v>8.3333333333333329E-2</v>
      </c>
      <c r="D139" s="67">
        <f>D138*(1-C139)</f>
        <v>19075650</v>
      </c>
    </row>
    <row r="140" spans="2:12" x14ac:dyDescent="0.2">
      <c r="B140" s="3" t="s">
        <v>69</v>
      </c>
      <c r="C140" s="66">
        <v>2026</v>
      </c>
      <c r="D140" s="67">
        <f>K133*12</f>
        <v>1872000</v>
      </c>
    </row>
    <row r="141" spans="2:12" x14ac:dyDescent="0.2">
      <c r="B141" s="3" t="s">
        <v>30</v>
      </c>
      <c r="C141" s="66">
        <v>2026</v>
      </c>
      <c r="D141" s="67">
        <f>K135</f>
        <v>2693969.5250000004</v>
      </c>
    </row>
  </sheetData>
  <mergeCells count="27">
    <mergeCell ref="C40:D40"/>
    <mergeCell ref="C41:D41"/>
    <mergeCell ref="D75:D78"/>
    <mergeCell ref="B86:D86"/>
    <mergeCell ref="B105:D105"/>
    <mergeCell ref="M5:Q5"/>
    <mergeCell ref="R5:V5"/>
    <mergeCell ref="H5:L5"/>
    <mergeCell ref="E5:E6"/>
    <mergeCell ref="F5:F6"/>
    <mergeCell ref="G5:G6"/>
    <mergeCell ref="B124:D124"/>
    <mergeCell ref="B67:D67"/>
    <mergeCell ref="B29:D29"/>
    <mergeCell ref="B48:D48"/>
    <mergeCell ref="D94:D97"/>
    <mergeCell ref="D113:D116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</mergeCells>
  <hyperlinks>
    <hyperlink ref="D59" r:id="rId1" xr:uid="{7D16D891-5A8E-4D43-A254-ABC1CC59B9A7}"/>
  </hyperlinks>
  <pageMargins left="0.7" right="0.7" top="0.75" bottom="0.75" header="0.3" footer="0.3"/>
  <ignoredErrors>
    <ignoredError sqref="H34:J34 I110:J110 H91:J91 I53:J53 H72:J7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8297-2A34-904C-9033-932E99BA481C}">
  <dimension ref="B2:AE63"/>
  <sheetViews>
    <sheetView zoomScaleNormal="100" workbookViewId="0">
      <pane xSplit="3" ySplit="3" topLeftCell="D34" activePane="bottomRight" state="frozen"/>
      <selection activeCell="AE32" sqref="AE32"/>
      <selection pane="topRight" activeCell="AE32" sqref="AE32"/>
      <selection pane="bottomLeft" activeCell="AE32" sqref="AE32"/>
      <selection pane="bottomRight" activeCell="D54" sqref="D54"/>
    </sheetView>
  </sheetViews>
  <sheetFormatPr baseColWidth="10" defaultRowHeight="15" x14ac:dyDescent="0.2"/>
  <cols>
    <col min="2" max="2" width="4.1640625" bestFit="1" customWidth="1"/>
    <col min="3" max="3" width="5.1640625" bestFit="1" customWidth="1"/>
    <col min="4" max="6" width="15.33203125" bestFit="1" customWidth="1"/>
    <col min="7" max="7" width="15.33203125" customWidth="1"/>
    <col min="8" max="8" width="15.1640625" bestFit="1" customWidth="1"/>
    <col min="9" max="9" width="15.33203125" bestFit="1" customWidth="1"/>
    <col min="10" max="10" width="15.1640625" bestFit="1" customWidth="1"/>
    <col min="11" max="11" width="3.83203125" customWidth="1"/>
    <col min="12" max="12" width="15.5" bestFit="1" customWidth="1"/>
    <col min="13" max="14" width="14.6640625" bestFit="1" customWidth="1"/>
    <col min="15" max="15" width="13.6640625" bestFit="1" customWidth="1"/>
    <col min="16" max="17" width="14.6640625" bestFit="1" customWidth="1"/>
    <col min="18" max="18" width="2.83203125" customWidth="1"/>
    <col min="19" max="19" width="13.6640625" bestFit="1" customWidth="1"/>
    <col min="20" max="21" width="14.6640625" bestFit="1" customWidth="1"/>
    <col min="22" max="22" width="13.6640625" bestFit="1" customWidth="1"/>
    <col min="23" max="24" width="14.6640625" bestFit="1" customWidth="1"/>
    <col min="25" max="25" width="2.83203125" customWidth="1"/>
    <col min="26" max="28" width="14.6640625" bestFit="1" customWidth="1"/>
    <col min="29" max="29" width="13.6640625" bestFit="1" customWidth="1"/>
    <col min="30" max="30" width="14.6640625" bestFit="1" customWidth="1"/>
    <col min="31" max="31" width="15.6640625" bestFit="1" customWidth="1"/>
  </cols>
  <sheetData>
    <row r="2" spans="2:31" x14ac:dyDescent="0.2">
      <c r="D2" s="52" t="s">
        <v>127</v>
      </c>
      <c r="E2" s="52" t="s">
        <v>118</v>
      </c>
      <c r="F2" s="52" t="s">
        <v>515</v>
      </c>
      <c r="G2" s="9" t="s">
        <v>59</v>
      </c>
      <c r="H2" s="52" t="s">
        <v>516</v>
      </c>
      <c r="I2" s="52" t="s">
        <v>126</v>
      </c>
      <c r="J2" s="52" t="s">
        <v>8</v>
      </c>
      <c r="L2" s="52" t="s">
        <v>127</v>
      </c>
      <c r="M2" s="52" t="s">
        <v>118</v>
      </c>
      <c r="N2" s="52" t="s">
        <v>515</v>
      </c>
      <c r="O2" s="52" t="s">
        <v>516</v>
      </c>
      <c r="P2" s="52" t="s">
        <v>126</v>
      </c>
      <c r="Q2" s="52" t="s">
        <v>8</v>
      </c>
      <c r="S2" s="52" t="s">
        <v>127</v>
      </c>
      <c r="T2" s="52" t="s">
        <v>118</v>
      </c>
      <c r="U2" s="52" t="s">
        <v>515</v>
      </c>
      <c r="V2" s="52" t="s">
        <v>516</v>
      </c>
      <c r="W2" s="52" t="s">
        <v>126</v>
      </c>
      <c r="X2" s="52" t="s">
        <v>8</v>
      </c>
      <c r="Z2" s="52" t="s">
        <v>127</v>
      </c>
      <c r="AA2" s="52" t="s">
        <v>118</v>
      </c>
      <c r="AB2" s="52" t="s">
        <v>515</v>
      </c>
      <c r="AC2" s="52" t="s">
        <v>516</v>
      </c>
      <c r="AD2" s="52" t="s">
        <v>126</v>
      </c>
      <c r="AE2" s="52" t="s">
        <v>8</v>
      </c>
    </row>
    <row r="3" spans="2:31" x14ac:dyDescent="0.2">
      <c r="B3" s="200" t="s">
        <v>512</v>
      </c>
      <c r="C3" s="200" t="s">
        <v>513</v>
      </c>
      <c r="D3" s="52" t="s">
        <v>514</v>
      </c>
      <c r="E3" s="52" t="s">
        <v>514</v>
      </c>
      <c r="F3" s="52" t="s">
        <v>514</v>
      </c>
      <c r="G3" s="9" t="s">
        <v>514</v>
      </c>
      <c r="H3" s="52" t="s">
        <v>514</v>
      </c>
      <c r="I3" s="52" t="s">
        <v>514</v>
      </c>
      <c r="J3" s="52" t="s">
        <v>514</v>
      </c>
      <c r="L3" s="52" t="s">
        <v>526</v>
      </c>
      <c r="M3" s="52" t="s">
        <v>526</v>
      </c>
      <c r="N3" s="52" t="s">
        <v>526</v>
      </c>
      <c r="O3" s="52" t="s">
        <v>526</v>
      </c>
      <c r="P3" s="52" t="s">
        <v>526</v>
      </c>
      <c r="Q3" s="52" t="s">
        <v>526</v>
      </c>
      <c r="S3" s="52" t="s">
        <v>527</v>
      </c>
      <c r="T3" s="52" t="s">
        <v>527</v>
      </c>
      <c r="U3" s="52" t="s">
        <v>527</v>
      </c>
      <c r="V3" s="52" t="s">
        <v>527</v>
      </c>
      <c r="W3" s="52" t="s">
        <v>527</v>
      </c>
      <c r="X3" s="52" t="s">
        <v>527</v>
      </c>
      <c r="Z3" s="52" t="s">
        <v>528</v>
      </c>
      <c r="AA3" s="52" t="s">
        <v>528</v>
      </c>
      <c r="AB3" s="52" t="s">
        <v>528</v>
      </c>
      <c r="AC3" s="52" t="s">
        <v>528</v>
      </c>
      <c r="AD3" s="52" t="s">
        <v>528</v>
      </c>
      <c r="AE3" s="52" t="s">
        <v>528</v>
      </c>
    </row>
    <row r="4" spans="2:31" x14ac:dyDescent="0.2">
      <c r="B4" s="200">
        <v>1</v>
      </c>
      <c r="C4" s="200">
        <v>2022</v>
      </c>
      <c r="D4" s="216">
        <v>8545970.4600000009</v>
      </c>
      <c r="E4" s="216">
        <v>0</v>
      </c>
      <c r="F4" s="216">
        <v>0</v>
      </c>
      <c r="G4" s="216"/>
      <c r="H4" s="230">
        <v>0</v>
      </c>
      <c r="I4" s="216">
        <v>0</v>
      </c>
      <c r="J4" s="216">
        <f t="shared" ref="J4:J51" si="0">SUM(D4:I4)</f>
        <v>8545970.4600000009</v>
      </c>
    </row>
    <row r="5" spans="2:31" x14ac:dyDescent="0.2">
      <c r="B5" s="200">
        <v>2</v>
      </c>
      <c r="C5" s="200">
        <v>2022</v>
      </c>
      <c r="D5" s="216">
        <v>8552288.8699999992</v>
      </c>
      <c r="E5" s="216">
        <v>0</v>
      </c>
      <c r="F5" s="216">
        <v>0</v>
      </c>
      <c r="G5" s="216"/>
      <c r="H5" s="230">
        <v>0</v>
      </c>
      <c r="I5" s="216">
        <v>0</v>
      </c>
      <c r="J5" s="216">
        <f t="shared" si="0"/>
        <v>8552288.8699999992</v>
      </c>
    </row>
    <row r="6" spans="2:31" s="12" customFormat="1" x14ac:dyDescent="0.2">
      <c r="B6" s="221">
        <v>3</v>
      </c>
      <c r="C6" s="221">
        <v>2022</v>
      </c>
      <c r="D6" s="223">
        <v>7634668.5700000003</v>
      </c>
      <c r="E6" s="223">
        <v>0</v>
      </c>
      <c r="F6" s="223">
        <v>0</v>
      </c>
      <c r="G6" s="223"/>
      <c r="H6" s="232">
        <v>0</v>
      </c>
      <c r="I6" s="223">
        <v>0</v>
      </c>
      <c r="J6" s="223">
        <f t="shared" si="0"/>
        <v>7634668.5700000003</v>
      </c>
      <c r="L6" s="223">
        <f t="shared" ref="L6:L51" si="1">D6-D5</f>
        <v>-917620.29999999888</v>
      </c>
      <c r="M6" s="223">
        <f t="shared" ref="M6:M51" si="2">E6-E5</f>
        <v>0</v>
      </c>
      <c r="N6" s="223">
        <f t="shared" ref="N6:N51" si="3">F6-F5</f>
        <v>0</v>
      </c>
      <c r="O6" s="223">
        <f t="shared" ref="O6:O51" si="4">H6-H5</f>
        <v>0</v>
      </c>
      <c r="P6" s="223">
        <f t="shared" ref="P6:P51" si="5">I6-I5</f>
        <v>0</v>
      </c>
      <c r="Q6" s="223">
        <f>J6-J5</f>
        <v>-917620.29999999888</v>
      </c>
      <c r="R6" s="222"/>
      <c r="S6" s="223">
        <f>SUMIFS(wallet_records!$R:$R,wallet_records!$A:$A,"Bancolombia",wallet_records!$N:$N,Saldos!$B6,wallet_records!$O:$O,Saldos!$C6)</f>
        <v>-917620.3</v>
      </c>
      <c r="T6" s="223">
        <f>SUMIFS(wallet_records!$R:$R,wallet_records!$A:$A,"Fidu Mantenimiento",wallet_records!$N:$N,Saldos!$B6,wallet_records!$O:$O,Saldos!$C6)</f>
        <v>0</v>
      </c>
      <c r="U6" s="223">
        <f>SUMIFS(wallet_records!$R:$R,wallet_records!$A:$A,"Fidu Impuestos",wallet_records!$N:$N,Saldos!$B6,wallet_records!$O:$O,Saldos!$C6)</f>
        <v>0</v>
      </c>
      <c r="V6" s="223">
        <f>SUMIFS(wallet_records!$R:$R,wallet_records!$A:$A,"Fiducuenta ARU",wallet_records!$N:$N,Saldos!$B6,wallet_records!$O:$O,Saldos!$C6)</f>
        <v>0</v>
      </c>
      <c r="W6" s="223">
        <f>SUMIFS(wallet_records!$R:$R,wallet_records!$A:$A,"Nu Bank",wallet_records!$N:$N,Saldos!$B6,wallet_records!$O:$O,Saldos!$C6)</f>
        <v>0</v>
      </c>
      <c r="X6" s="225">
        <f>SUM(S6:W6)</f>
        <v>-917620.3</v>
      </c>
      <c r="Y6" s="223"/>
      <c r="Z6" s="223">
        <f t="shared" ref="Z6:AD7" si="6">L6-S6</f>
        <v>1.1641532182693481E-9</v>
      </c>
      <c r="AA6" s="223">
        <f t="shared" si="6"/>
        <v>0</v>
      </c>
      <c r="AB6" s="223">
        <f t="shared" si="6"/>
        <v>0</v>
      </c>
      <c r="AC6" s="223">
        <f t="shared" si="6"/>
        <v>0</v>
      </c>
      <c r="AD6" s="223">
        <f t="shared" si="6"/>
        <v>0</v>
      </c>
      <c r="AE6" s="223">
        <f>SUM(Z6:AD6)</f>
        <v>1.1641532182693481E-9</v>
      </c>
    </row>
    <row r="7" spans="2:31" x14ac:dyDescent="0.2">
      <c r="B7" s="200">
        <v>4</v>
      </c>
      <c r="C7" s="200">
        <v>2022</v>
      </c>
      <c r="D7" s="227">
        <v>7332270.5199999996</v>
      </c>
      <c r="E7" s="227">
        <v>0</v>
      </c>
      <c r="F7" s="227">
        <v>0</v>
      </c>
      <c r="G7" s="227"/>
      <c r="H7" s="231">
        <v>0</v>
      </c>
      <c r="I7" s="227">
        <v>0</v>
      </c>
      <c r="J7" s="227">
        <f t="shared" si="0"/>
        <v>7332270.5199999996</v>
      </c>
      <c r="L7" s="224">
        <f t="shared" si="1"/>
        <v>-302398.05000000075</v>
      </c>
      <c r="M7" s="224">
        <f t="shared" si="2"/>
        <v>0</v>
      </c>
      <c r="N7" s="224">
        <f t="shared" si="3"/>
        <v>0</v>
      </c>
      <c r="O7" s="224">
        <f t="shared" si="4"/>
        <v>0</v>
      </c>
      <c r="P7" s="224">
        <f t="shared" si="5"/>
        <v>0</v>
      </c>
      <c r="Q7" s="224">
        <f>J7-J6</f>
        <v>-302398.05000000075</v>
      </c>
      <c r="S7" s="224">
        <f>SUMIFS(wallet_records!$R:$R,wallet_records!$A:$A,"Bancolombia",wallet_records!$N:$N,Saldos!$B7,wallet_records!$O:$O,Saldos!$C7)</f>
        <v>-302398.04999999981</v>
      </c>
      <c r="T7" s="224">
        <f>SUMIFS(wallet_records!$R:$R,wallet_records!$A:$A,"Fidu Mantenimiento",wallet_records!$N:$N,Saldos!$B7,wallet_records!$O:$O,Saldos!$C7)</f>
        <v>0</v>
      </c>
      <c r="U7" s="224">
        <f>SUMIFS(wallet_records!$R:$R,wallet_records!$A:$A,"Fidu Impuestos",wallet_records!$N:$N,Saldos!$B7,wallet_records!$O:$O,Saldos!$C7)</f>
        <v>0</v>
      </c>
      <c r="V7" s="224">
        <f>SUMIFS(wallet_records!$R:$R,wallet_records!$A:$A,"Fiducuenta ARU",wallet_records!$N:$N,Saldos!$B7,wallet_records!$O:$O,Saldos!$C7)</f>
        <v>0</v>
      </c>
      <c r="W7" s="224">
        <f>SUMIFS(wallet_records!$R:$R,wallet_records!$A:$A,"Nu Bank",wallet_records!$N:$N,Saldos!$B7,wallet_records!$O:$O,Saldos!$C7)</f>
        <v>0</v>
      </c>
      <c r="X7" s="226">
        <f>SUM(S7:W7)</f>
        <v>-302398.04999999981</v>
      </c>
      <c r="Y7" s="224"/>
      <c r="Z7" s="223">
        <f t="shared" si="6"/>
        <v>-9.3132257461547852E-10</v>
      </c>
      <c r="AA7" s="223">
        <f t="shared" si="6"/>
        <v>0</v>
      </c>
      <c r="AB7" s="223">
        <f t="shared" si="6"/>
        <v>0</v>
      </c>
      <c r="AC7" s="223">
        <f t="shared" si="6"/>
        <v>0</v>
      </c>
      <c r="AD7" s="223">
        <f t="shared" si="6"/>
        <v>0</v>
      </c>
      <c r="AE7" s="223">
        <f t="shared" ref="AE7:AE51" si="7">SUM(Z7:AD7)</f>
        <v>-9.3132257461547852E-10</v>
      </c>
    </row>
    <row r="8" spans="2:31" x14ac:dyDescent="0.2">
      <c r="B8" s="200">
        <v>5</v>
      </c>
      <c r="C8" s="200">
        <v>2022</v>
      </c>
      <c r="D8" s="227">
        <v>8165035.0999999996</v>
      </c>
      <c r="E8" s="227">
        <v>500000</v>
      </c>
      <c r="F8" s="227">
        <v>1562500</v>
      </c>
      <c r="G8" s="227"/>
      <c r="H8" s="231">
        <v>0</v>
      </c>
      <c r="I8" s="227">
        <v>0</v>
      </c>
      <c r="J8" s="227">
        <f t="shared" si="0"/>
        <v>10227535.1</v>
      </c>
      <c r="L8" s="224">
        <f t="shared" si="1"/>
        <v>832764.58000000007</v>
      </c>
      <c r="M8" s="224">
        <f t="shared" si="2"/>
        <v>500000</v>
      </c>
      <c r="N8" s="224">
        <f t="shared" si="3"/>
        <v>1562500</v>
      </c>
      <c r="O8" s="224">
        <f t="shared" si="4"/>
        <v>0</v>
      </c>
      <c r="P8" s="224">
        <f t="shared" si="5"/>
        <v>0</v>
      </c>
      <c r="Q8" s="224">
        <f>J8-J7</f>
        <v>2895264.58</v>
      </c>
      <c r="S8" s="224">
        <f>SUMIFS(wallet_records!$R:$R,wallet_records!$A:$A,"Bancolombia",wallet_records!$N:$N,Saldos!$B8,wallet_records!$O:$O,Saldos!$C8)</f>
        <v>2895264.58</v>
      </c>
      <c r="T8" s="224">
        <f>SUMIFS(wallet_records!$R:$R,wallet_records!$A:$A,"Fidu Mantenimiento",wallet_records!$N:$N,Saldos!$B8,wallet_records!$O:$O,Saldos!$C8)</f>
        <v>0</v>
      </c>
      <c r="U8" s="224">
        <f>SUMIFS(wallet_records!$R:$R,wallet_records!$A:$A,"Fidu Impuestos",wallet_records!$N:$N,Saldos!$B8,wallet_records!$O:$O,Saldos!$C8)</f>
        <v>0</v>
      </c>
      <c r="V8" s="224">
        <f>SUMIFS(wallet_records!$R:$R,wallet_records!$A:$A,"Fiducuenta ARU",wallet_records!$N:$N,Saldos!$B8,wallet_records!$O:$O,Saldos!$C8)</f>
        <v>0</v>
      </c>
      <c r="W8" s="224">
        <f>SUMIFS(wallet_records!$R:$R,wallet_records!$A:$A,"Nu Bank",wallet_records!$N:$N,Saldos!$B8,wallet_records!$O:$O,Saldos!$C8)</f>
        <v>0</v>
      </c>
      <c r="X8" s="226">
        <f>SUM(S8:W8)</f>
        <v>2895264.58</v>
      </c>
      <c r="Y8" s="224"/>
      <c r="Z8" s="223">
        <f t="shared" ref="Z8:Z51" si="8">L8-S8</f>
        <v>-2062500</v>
      </c>
      <c r="AA8" s="223">
        <f t="shared" ref="AA8:AA51" si="9">M8-T8</f>
        <v>500000</v>
      </c>
      <c r="AB8" s="223">
        <f t="shared" ref="AB8:AB51" si="10">N8-U8</f>
        <v>1562500</v>
      </c>
      <c r="AC8" s="223">
        <f t="shared" ref="AC8:AC51" si="11">O8-V8</f>
        <v>0</v>
      </c>
      <c r="AD8" s="223">
        <f t="shared" ref="AD8:AD51" si="12">P8-W8</f>
        <v>0</v>
      </c>
      <c r="AE8" s="223">
        <f t="shared" si="7"/>
        <v>0</v>
      </c>
    </row>
    <row r="9" spans="2:31" x14ac:dyDescent="0.2">
      <c r="B9" s="200">
        <v>6</v>
      </c>
      <c r="C9" s="200">
        <v>2022</v>
      </c>
      <c r="D9" s="227">
        <v>7027980.1900000004</v>
      </c>
      <c r="E9" s="227">
        <v>901956</v>
      </c>
      <c r="F9" s="227">
        <v>3131111</v>
      </c>
      <c r="G9" s="227"/>
      <c r="H9" s="231">
        <v>0</v>
      </c>
      <c r="I9" s="227">
        <v>0</v>
      </c>
      <c r="J9" s="227">
        <f t="shared" si="0"/>
        <v>11061047.190000001</v>
      </c>
      <c r="L9" s="224">
        <f t="shared" si="1"/>
        <v>-1137054.9099999992</v>
      </c>
      <c r="M9" s="224">
        <f t="shared" si="2"/>
        <v>401956</v>
      </c>
      <c r="N9" s="224">
        <f t="shared" si="3"/>
        <v>1568611</v>
      </c>
      <c r="O9" s="224">
        <f t="shared" si="4"/>
        <v>0</v>
      </c>
      <c r="P9" s="224">
        <f t="shared" si="5"/>
        <v>0</v>
      </c>
      <c r="Q9" s="224">
        <f t="shared" ref="Q9:Q51" si="13">J9-J8</f>
        <v>833512.09000000171</v>
      </c>
      <c r="S9" s="224">
        <f>SUMIFS(wallet_records!$R:$R,wallet_records!$A:$A,"Bancolombia",wallet_records!$N:$N,Saldos!$B9,wallet_records!$O:$O,Saldos!$C9)</f>
        <v>875445.08999999985</v>
      </c>
      <c r="T9" s="224">
        <f>SUMIFS(wallet_records!$R:$R,wallet_records!$A:$A,"Fidu Mantenimiento",wallet_records!$N:$N,Saldos!$B9,wallet_records!$O:$O,Saldos!$C9)</f>
        <v>-48044</v>
      </c>
      <c r="U9" s="224">
        <f>SUMIFS(wallet_records!$R:$R,wallet_records!$A:$A,"Fidu Impuestos",wallet_records!$N:$N,Saldos!$B9,wallet_records!$O:$O,Saldos!$C9)</f>
        <v>6111</v>
      </c>
      <c r="V9" s="224">
        <f>SUMIFS(wallet_records!$R:$R,wallet_records!$A:$A,"Fiducuenta ARU",wallet_records!$N:$N,Saldos!$B9,wallet_records!$O:$O,Saldos!$C9)</f>
        <v>0</v>
      </c>
      <c r="W9" s="224">
        <f>SUMIFS(wallet_records!$R:$R,wallet_records!$A:$A,"Nu Bank",wallet_records!$N:$N,Saldos!$B9,wallet_records!$O:$O,Saldos!$C9)</f>
        <v>0</v>
      </c>
      <c r="X9" s="226">
        <f t="shared" ref="X9:X51" si="14">SUM(S9:W9)</f>
        <v>833512.08999999985</v>
      </c>
      <c r="Y9" s="224"/>
      <c r="Z9" s="223">
        <f t="shared" si="8"/>
        <v>-2012499.9999999991</v>
      </c>
      <c r="AA9" s="223">
        <f t="shared" si="9"/>
        <v>450000</v>
      </c>
      <c r="AB9" s="223">
        <f t="shared" si="10"/>
        <v>1562500</v>
      </c>
      <c r="AC9" s="223">
        <f t="shared" si="11"/>
        <v>0</v>
      </c>
      <c r="AD9" s="223">
        <f t="shared" si="12"/>
        <v>0</v>
      </c>
      <c r="AE9" s="223">
        <f t="shared" si="7"/>
        <v>9.3132257461547852E-10</v>
      </c>
    </row>
    <row r="10" spans="2:31" x14ac:dyDescent="0.2">
      <c r="B10" s="200">
        <v>7</v>
      </c>
      <c r="C10" s="200">
        <v>2022</v>
      </c>
      <c r="D10" s="227">
        <v>7321266.7599999998</v>
      </c>
      <c r="E10" s="227">
        <v>1355484</v>
      </c>
      <c r="F10" s="227">
        <v>4705857</v>
      </c>
      <c r="G10" s="227"/>
      <c r="H10" s="231">
        <v>0</v>
      </c>
      <c r="I10" s="227">
        <v>0</v>
      </c>
      <c r="J10" s="227">
        <f t="shared" si="0"/>
        <v>13382607.76</v>
      </c>
      <c r="L10" s="224">
        <f t="shared" si="1"/>
        <v>293286.56999999937</v>
      </c>
      <c r="M10" s="224">
        <f t="shared" si="2"/>
        <v>453528</v>
      </c>
      <c r="N10" s="224">
        <f t="shared" si="3"/>
        <v>1574746</v>
      </c>
      <c r="O10" s="224">
        <f t="shared" si="4"/>
        <v>0</v>
      </c>
      <c r="P10" s="224">
        <f t="shared" si="5"/>
        <v>0</v>
      </c>
      <c r="Q10" s="224">
        <f t="shared" si="13"/>
        <v>2321560.5699999984</v>
      </c>
      <c r="S10" s="224">
        <f>SUMIFS(wallet_records!$R:$R,wallet_records!$A:$A,"Bancolombia",wallet_records!$N:$N,Saldos!$B10,wallet_records!$O:$O,Saldos!$C10)</f>
        <v>2305786.5700000003</v>
      </c>
      <c r="T10" s="224">
        <f>SUMIFS(wallet_records!$R:$R,wallet_records!$A:$A,"Fidu Mantenimiento",wallet_records!$N:$N,Saldos!$B10,wallet_records!$O:$O,Saldos!$C10)</f>
        <v>3528</v>
      </c>
      <c r="U10" s="224">
        <f>SUMIFS(wallet_records!$R:$R,wallet_records!$A:$A,"Fidu Impuestos",wallet_records!$N:$N,Saldos!$B10,wallet_records!$O:$O,Saldos!$C10)</f>
        <v>12246</v>
      </c>
      <c r="V10" s="224">
        <f>SUMIFS(wallet_records!$R:$R,wallet_records!$A:$A,"Fiducuenta ARU",wallet_records!$N:$N,Saldos!$B10,wallet_records!$O:$O,Saldos!$C10)</f>
        <v>0</v>
      </c>
      <c r="W10" s="224">
        <f>SUMIFS(wallet_records!$R:$R,wallet_records!$A:$A,"Nu Bank",wallet_records!$N:$N,Saldos!$B10,wallet_records!$O:$O,Saldos!$C10)</f>
        <v>0</v>
      </c>
      <c r="X10" s="226">
        <f t="shared" si="14"/>
        <v>2321560.5700000003</v>
      </c>
      <c r="Y10" s="224"/>
      <c r="Z10" s="223">
        <f t="shared" si="8"/>
        <v>-2012500.0000000009</v>
      </c>
      <c r="AA10" s="223">
        <f t="shared" si="9"/>
        <v>450000</v>
      </c>
      <c r="AB10" s="223">
        <f t="shared" si="10"/>
        <v>1562500</v>
      </c>
      <c r="AC10" s="223">
        <f t="shared" si="11"/>
        <v>0</v>
      </c>
      <c r="AD10" s="223">
        <f t="shared" si="12"/>
        <v>0</v>
      </c>
      <c r="AE10" s="223">
        <f t="shared" si="7"/>
        <v>-9.3132257461547852E-10</v>
      </c>
    </row>
    <row r="11" spans="2:31" x14ac:dyDescent="0.2">
      <c r="B11" s="200">
        <v>8</v>
      </c>
      <c r="C11" s="200">
        <v>2022</v>
      </c>
      <c r="D11" s="227">
        <v>5780011.75</v>
      </c>
      <c r="E11" s="227">
        <v>1811303</v>
      </c>
      <c r="F11" s="227">
        <v>6288560</v>
      </c>
      <c r="G11" s="227"/>
      <c r="H11" s="231">
        <v>0</v>
      </c>
      <c r="I11" s="227">
        <v>0</v>
      </c>
      <c r="J11" s="227">
        <f t="shared" si="0"/>
        <v>13879874.75</v>
      </c>
      <c r="L11" s="224">
        <f t="shared" si="1"/>
        <v>-1541255.0099999998</v>
      </c>
      <c r="M11" s="224">
        <f t="shared" si="2"/>
        <v>455819</v>
      </c>
      <c r="N11" s="224">
        <f t="shared" si="3"/>
        <v>1582703</v>
      </c>
      <c r="O11" s="224">
        <f t="shared" si="4"/>
        <v>0</v>
      </c>
      <c r="P11" s="224">
        <f t="shared" si="5"/>
        <v>0</v>
      </c>
      <c r="Q11" s="224">
        <f t="shared" si="13"/>
        <v>497266.99000000022</v>
      </c>
      <c r="S11" s="224">
        <f>SUMIFS(wallet_records!$R:$R,wallet_records!$A:$A,"Bancolombia",wallet_records!$N:$N,Saldos!$B11,wallet_records!$O:$O,Saldos!$C11)</f>
        <v>471244.99000000022</v>
      </c>
      <c r="T11" s="224">
        <f>SUMIFS(wallet_records!$R:$R,wallet_records!$A:$A,"Fidu Mantenimiento",wallet_records!$N:$N,Saldos!$B11,wallet_records!$O:$O,Saldos!$C11)</f>
        <v>5819</v>
      </c>
      <c r="U11" s="224">
        <f>SUMIFS(wallet_records!$R:$R,wallet_records!$A:$A,"Fidu Impuestos",wallet_records!$N:$N,Saldos!$B11,wallet_records!$O:$O,Saldos!$C11)</f>
        <v>20203</v>
      </c>
      <c r="V11" s="224">
        <f>SUMIFS(wallet_records!$R:$R,wallet_records!$A:$A,"Fiducuenta ARU",wallet_records!$N:$N,Saldos!$B11,wallet_records!$O:$O,Saldos!$C11)</f>
        <v>0</v>
      </c>
      <c r="W11" s="224">
        <f>SUMIFS(wallet_records!$R:$R,wallet_records!$A:$A,"Nu Bank",wallet_records!$N:$N,Saldos!$B11,wallet_records!$O:$O,Saldos!$C11)</f>
        <v>0</v>
      </c>
      <c r="X11" s="226">
        <f t="shared" si="14"/>
        <v>497266.99000000022</v>
      </c>
      <c r="Y11" s="224"/>
      <c r="Z11" s="223">
        <f t="shared" si="8"/>
        <v>-2012500</v>
      </c>
      <c r="AA11" s="223">
        <f t="shared" si="9"/>
        <v>450000</v>
      </c>
      <c r="AB11" s="223">
        <f t="shared" si="10"/>
        <v>1562500</v>
      </c>
      <c r="AC11" s="223">
        <f t="shared" si="11"/>
        <v>0</v>
      </c>
      <c r="AD11" s="223">
        <f t="shared" si="12"/>
        <v>0</v>
      </c>
      <c r="AE11" s="223">
        <f t="shared" si="7"/>
        <v>0</v>
      </c>
    </row>
    <row r="12" spans="2:31" x14ac:dyDescent="0.2">
      <c r="B12" s="200">
        <v>9</v>
      </c>
      <c r="C12" s="200">
        <v>2022</v>
      </c>
      <c r="D12" s="227">
        <v>2490748.7599999998</v>
      </c>
      <c r="E12" s="227">
        <v>2270178</v>
      </c>
      <c r="F12" s="227">
        <v>7881873</v>
      </c>
      <c r="G12" s="227"/>
      <c r="H12" s="231">
        <v>0</v>
      </c>
      <c r="I12" s="227">
        <v>0</v>
      </c>
      <c r="J12" s="227">
        <f t="shared" si="0"/>
        <v>12642799.76</v>
      </c>
      <c r="L12" s="224">
        <f t="shared" si="1"/>
        <v>-3289262.99</v>
      </c>
      <c r="M12" s="224">
        <f t="shared" si="2"/>
        <v>458875</v>
      </c>
      <c r="N12" s="224">
        <f t="shared" si="3"/>
        <v>1593313</v>
      </c>
      <c r="O12" s="224">
        <f t="shared" si="4"/>
        <v>0</v>
      </c>
      <c r="P12" s="224">
        <f t="shared" si="5"/>
        <v>0</v>
      </c>
      <c r="Q12" s="224">
        <f t="shared" si="13"/>
        <v>-1237074.9900000002</v>
      </c>
      <c r="S12" s="224">
        <f>SUMIFS(wallet_records!$R:$R,wallet_records!$A:$A,"Bancolombia",wallet_records!$N:$N,Saldos!$B12,wallet_records!$O:$O,Saldos!$C12)</f>
        <v>-1276762.9900000002</v>
      </c>
      <c r="T12" s="224">
        <f>SUMIFS(wallet_records!$R:$R,wallet_records!$A:$A,"Fidu Mantenimiento",wallet_records!$N:$N,Saldos!$B12,wallet_records!$O:$O,Saldos!$C12)</f>
        <v>8875</v>
      </c>
      <c r="U12" s="224">
        <f>SUMIFS(wallet_records!$R:$R,wallet_records!$A:$A,"Fidu Impuestos",wallet_records!$N:$N,Saldos!$B12,wallet_records!$O:$O,Saldos!$C12)</f>
        <v>30813</v>
      </c>
      <c r="V12" s="224">
        <f>SUMIFS(wallet_records!$R:$R,wallet_records!$A:$A,"Fiducuenta ARU",wallet_records!$N:$N,Saldos!$B12,wallet_records!$O:$O,Saldos!$C12)</f>
        <v>0</v>
      </c>
      <c r="W12" s="224">
        <f>SUMIFS(wallet_records!$R:$R,wallet_records!$A:$A,"Nu Bank",wallet_records!$N:$N,Saldos!$B12,wallet_records!$O:$O,Saldos!$C12)</f>
        <v>0</v>
      </c>
      <c r="X12" s="226">
        <f t="shared" si="14"/>
        <v>-1237074.9900000002</v>
      </c>
      <c r="Y12" s="224"/>
      <c r="Z12" s="223">
        <f t="shared" si="8"/>
        <v>-2012500</v>
      </c>
      <c r="AA12" s="223">
        <f t="shared" si="9"/>
        <v>450000</v>
      </c>
      <c r="AB12" s="223">
        <f t="shared" si="10"/>
        <v>1562500</v>
      </c>
      <c r="AC12" s="223">
        <f t="shared" si="11"/>
        <v>0</v>
      </c>
      <c r="AD12" s="223">
        <f t="shared" si="12"/>
        <v>0</v>
      </c>
      <c r="AE12" s="223">
        <f t="shared" si="7"/>
        <v>0</v>
      </c>
    </row>
    <row r="13" spans="2:31" x14ac:dyDescent="0.2">
      <c r="B13" s="200">
        <v>10</v>
      </c>
      <c r="C13" s="200">
        <v>2022</v>
      </c>
      <c r="D13" s="227">
        <v>3348640.81</v>
      </c>
      <c r="E13" s="227">
        <v>2732330</v>
      </c>
      <c r="F13" s="227">
        <v>9486564</v>
      </c>
      <c r="G13" s="227"/>
      <c r="H13" s="231">
        <v>0</v>
      </c>
      <c r="I13" s="227">
        <v>0</v>
      </c>
      <c r="J13" s="227">
        <f t="shared" si="0"/>
        <v>15567534.810000001</v>
      </c>
      <c r="L13" s="224">
        <f t="shared" si="1"/>
        <v>857892.05000000028</v>
      </c>
      <c r="M13" s="224">
        <f t="shared" si="2"/>
        <v>462152</v>
      </c>
      <c r="N13" s="224">
        <f t="shared" si="3"/>
        <v>1604691</v>
      </c>
      <c r="O13" s="224">
        <f t="shared" si="4"/>
        <v>0</v>
      </c>
      <c r="P13" s="224">
        <f t="shared" si="5"/>
        <v>0</v>
      </c>
      <c r="Q13" s="224">
        <f t="shared" si="13"/>
        <v>2924735.0500000007</v>
      </c>
      <c r="S13" s="224">
        <f>SUMIFS(wallet_records!$R:$R,wallet_records!$A:$A,"Bancolombia",wallet_records!$N:$N,Saldos!$B13,wallet_records!$O:$O,Saldos!$C13)</f>
        <v>2870392.05</v>
      </c>
      <c r="T13" s="224">
        <f>SUMIFS(wallet_records!$R:$R,wallet_records!$A:$A,"Fidu Mantenimiento",wallet_records!$N:$N,Saldos!$B13,wallet_records!$O:$O,Saldos!$C13)</f>
        <v>12152</v>
      </c>
      <c r="U13" s="224">
        <f>SUMIFS(wallet_records!$R:$R,wallet_records!$A:$A,"Fidu Impuestos",wallet_records!$N:$N,Saldos!$B13,wallet_records!$O:$O,Saldos!$C13)</f>
        <v>42191</v>
      </c>
      <c r="V13" s="224">
        <f>SUMIFS(wallet_records!$R:$R,wallet_records!$A:$A,"Fiducuenta ARU",wallet_records!$N:$N,Saldos!$B13,wallet_records!$O:$O,Saldos!$C13)</f>
        <v>0</v>
      </c>
      <c r="W13" s="224">
        <f>SUMIFS(wallet_records!$R:$R,wallet_records!$A:$A,"Nu Bank",wallet_records!$N:$N,Saldos!$B13,wallet_records!$O:$O,Saldos!$C13)</f>
        <v>0</v>
      </c>
      <c r="X13" s="226">
        <f t="shared" si="14"/>
        <v>2924735.05</v>
      </c>
      <c r="Y13" s="224"/>
      <c r="Z13" s="223">
        <f t="shared" si="8"/>
        <v>-2012499.9999999995</v>
      </c>
      <c r="AA13" s="223">
        <f t="shared" si="9"/>
        <v>450000</v>
      </c>
      <c r="AB13" s="223">
        <f t="shared" si="10"/>
        <v>1562500</v>
      </c>
      <c r="AC13" s="223">
        <f t="shared" si="11"/>
        <v>0</v>
      </c>
      <c r="AD13" s="223">
        <f t="shared" si="12"/>
        <v>0</v>
      </c>
      <c r="AE13" s="223">
        <f t="shared" si="7"/>
        <v>4.6566128730773926E-10</v>
      </c>
    </row>
    <row r="14" spans="2:31" x14ac:dyDescent="0.2">
      <c r="B14" s="200">
        <v>11</v>
      </c>
      <c r="C14" s="200">
        <v>2022</v>
      </c>
      <c r="D14" s="227">
        <v>3247667.94</v>
      </c>
      <c r="E14" s="227">
        <v>3196956</v>
      </c>
      <c r="F14" s="227">
        <v>11099846</v>
      </c>
      <c r="G14" s="227"/>
      <c r="H14" s="231">
        <v>0</v>
      </c>
      <c r="I14" s="231">
        <v>500000</v>
      </c>
      <c r="J14" s="227">
        <f t="shared" si="0"/>
        <v>18044469.939999998</v>
      </c>
      <c r="L14" s="224">
        <f t="shared" si="1"/>
        <v>-100972.87000000011</v>
      </c>
      <c r="M14" s="224">
        <f t="shared" si="2"/>
        <v>464626</v>
      </c>
      <c r="N14" s="224">
        <f t="shared" si="3"/>
        <v>1613282</v>
      </c>
      <c r="O14" s="224">
        <f t="shared" si="4"/>
        <v>0</v>
      </c>
      <c r="P14" s="224">
        <f t="shared" si="5"/>
        <v>500000</v>
      </c>
      <c r="Q14" s="224">
        <f t="shared" si="13"/>
        <v>2476935.1299999971</v>
      </c>
      <c r="S14" s="224">
        <f>SUMIFS(wallet_records!$R:$R,wallet_records!$A:$A,"Bancolombia",wallet_records!$N:$N,Saldos!$B14,wallet_records!$O:$O,Saldos!$C14)</f>
        <v>1911527.13</v>
      </c>
      <c r="T14" s="224">
        <f>SUMIFS(wallet_records!$R:$R,wallet_records!$A:$A,"Fidu Mantenimiento",wallet_records!$N:$N,Saldos!$B14,wallet_records!$O:$O,Saldos!$C14)</f>
        <v>14626</v>
      </c>
      <c r="U14" s="224">
        <f>SUMIFS(wallet_records!$R:$R,wallet_records!$A:$A,"Fidu Impuestos",wallet_records!$N:$N,Saldos!$B14,wallet_records!$O:$O,Saldos!$C14)</f>
        <v>50782</v>
      </c>
      <c r="V14" s="224">
        <f>SUMIFS(wallet_records!$R:$R,wallet_records!$A:$A,"Fiducuenta ARU",wallet_records!$N:$N,Saldos!$B14,wallet_records!$O:$O,Saldos!$C14)</f>
        <v>0</v>
      </c>
      <c r="W14" s="224">
        <f>SUMIFS(wallet_records!$R:$R,wallet_records!$A:$A,"Nu Bank",wallet_records!$N:$N,Saldos!$B14,wallet_records!$O:$O,Saldos!$C14)</f>
        <v>500000</v>
      </c>
      <c r="X14" s="226">
        <f t="shared" si="14"/>
        <v>2476935.13</v>
      </c>
      <c r="Y14" s="224"/>
      <c r="Z14" s="223">
        <f t="shared" si="8"/>
        <v>-2012500</v>
      </c>
      <c r="AA14" s="223">
        <f t="shared" si="9"/>
        <v>450000</v>
      </c>
      <c r="AB14" s="223">
        <f t="shared" si="10"/>
        <v>1562500</v>
      </c>
      <c r="AC14" s="223">
        <f t="shared" si="11"/>
        <v>0</v>
      </c>
      <c r="AD14" s="223">
        <f t="shared" si="12"/>
        <v>0</v>
      </c>
      <c r="AE14" s="223">
        <f t="shared" si="7"/>
        <v>0</v>
      </c>
    </row>
    <row r="15" spans="2:31" x14ac:dyDescent="0.2">
      <c r="B15" s="200">
        <v>12</v>
      </c>
      <c r="C15" s="200">
        <v>2022</v>
      </c>
      <c r="D15" s="227">
        <v>2169341.61</v>
      </c>
      <c r="E15" s="227">
        <v>3666466</v>
      </c>
      <c r="F15" s="227">
        <v>12730085</v>
      </c>
      <c r="G15" s="227"/>
      <c r="H15" s="231">
        <v>0</v>
      </c>
      <c r="I15" s="231">
        <v>1003052</v>
      </c>
      <c r="J15" s="227">
        <f t="shared" si="0"/>
        <v>19568944.609999999</v>
      </c>
      <c r="L15" s="224">
        <f t="shared" si="1"/>
        <v>-1078326.33</v>
      </c>
      <c r="M15" s="224">
        <f t="shared" si="2"/>
        <v>469510</v>
      </c>
      <c r="N15" s="224">
        <f t="shared" si="3"/>
        <v>1630239</v>
      </c>
      <c r="O15" s="224">
        <f t="shared" si="4"/>
        <v>0</v>
      </c>
      <c r="P15" s="224">
        <f t="shared" si="5"/>
        <v>503052</v>
      </c>
      <c r="Q15" s="224">
        <f t="shared" si="13"/>
        <v>1524474.6700000018</v>
      </c>
      <c r="S15" s="224">
        <f>SUMIFS(wallet_records!$R:$R,wallet_records!$A:$A,"Bancolombia",wallet_records!$N:$N,Saldos!$B15,wallet_records!$O:$O,Saldos!$C15)</f>
        <v>971673.66999999993</v>
      </c>
      <c r="T15" s="224">
        <f>SUMIFS(wallet_records!$R:$R,wallet_records!$A:$A,"Fidu Mantenimiento",wallet_records!$N:$N,Saldos!$B15,wallet_records!$O:$O,Saldos!$C15)</f>
        <v>19510</v>
      </c>
      <c r="U15" s="224">
        <f>SUMIFS(wallet_records!$R:$R,wallet_records!$A:$A,"Fidu Impuestos",wallet_records!$N:$N,Saldos!$B15,wallet_records!$O:$O,Saldos!$C15)</f>
        <v>30239</v>
      </c>
      <c r="V15" s="224">
        <f>SUMIFS(wallet_records!$R:$R,wallet_records!$A:$A,"Fiducuenta ARU",wallet_records!$N:$N,Saldos!$B15,wallet_records!$O:$O,Saldos!$C15)</f>
        <v>0</v>
      </c>
      <c r="W15" s="224">
        <f>SUMIFS(wallet_records!$R:$R,wallet_records!$A:$A,"Nu Bank",wallet_records!$N:$N,Saldos!$B15,wallet_records!$O:$O,Saldos!$C15)</f>
        <v>503052</v>
      </c>
      <c r="X15" s="226">
        <f t="shared" si="14"/>
        <v>1524474.67</v>
      </c>
      <c r="Y15" s="224"/>
      <c r="Z15" s="223">
        <f t="shared" si="8"/>
        <v>-2050000</v>
      </c>
      <c r="AA15" s="223">
        <f t="shared" si="9"/>
        <v>450000</v>
      </c>
      <c r="AB15" s="223">
        <f t="shared" si="10"/>
        <v>1600000</v>
      </c>
      <c r="AC15" s="223">
        <f t="shared" si="11"/>
        <v>0</v>
      </c>
      <c r="AD15" s="223">
        <f t="shared" si="12"/>
        <v>0</v>
      </c>
      <c r="AE15" s="223">
        <f t="shared" si="7"/>
        <v>0</v>
      </c>
    </row>
    <row r="16" spans="2:31" x14ac:dyDescent="0.2">
      <c r="B16" s="200">
        <v>1</v>
      </c>
      <c r="C16" s="200">
        <v>2023</v>
      </c>
      <c r="D16" s="227">
        <v>1808563.26</v>
      </c>
      <c r="E16" s="231">
        <v>4113189</v>
      </c>
      <c r="F16" s="227">
        <v>14422866</v>
      </c>
      <c r="G16" s="227"/>
      <c r="H16" s="231">
        <v>0</v>
      </c>
      <c r="I16" s="231">
        <v>1510362</v>
      </c>
      <c r="J16" s="227">
        <f t="shared" si="0"/>
        <v>21854980.259999998</v>
      </c>
      <c r="L16" s="224">
        <f t="shared" si="1"/>
        <v>-360778.34999999986</v>
      </c>
      <c r="M16" s="224">
        <f t="shared" si="2"/>
        <v>446723</v>
      </c>
      <c r="N16" s="224">
        <f t="shared" si="3"/>
        <v>1692781</v>
      </c>
      <c r="O16" s="224">
        <f t="shared" si="4"/>
        <v>0</v>
      </c>
      <c r="P16" s="224">
        <f t="shared" si="5"/>
        <v>507310</v>
      </c>
      <c r="Q16" s="224">
        <f t="shared" si="13"/>
        <v>2286035.6499999985</v>
      </c>
      <c r="S16" s="224">
        <f>SUMIFS(wallet_records!$R:$R,wallet_records!$A:$A,"Bancolombia",wallet_records!$N:$N,Saldos!$B16,wallet_records!$O:$O,Saldos!$C16)</f>
        <v>1689221.65</v>
      </c>
      <c r="T16" s="224">
        <f>SUMIFS(wallet_records!$R:$R,wallet_records!$A:$A,"Fidu Mantenimiento",wallet_records!$N:$N,Saldos!$B16,wallet_records!$O:$O,Saldos!$C16)</f>
        <v>-3277</v>
      </c>
      <c r="U16" s="224">
        <f>SUMIFS(wallet_records!$R:$R,wallet_records!$A:$A,"Fidu Impuestos",wallet_records!$N:$N,Saldos!$B16,wallet_records!$O:$O,Saldos!$C16)</f>
        <v>92781</v>
      </c>
      <c r="V16" s="224">
        <f>SUMIFS(wallet_records!$R:$R,wallet_records!$A:$A,"Fiducuenta ARU",wallet_records!$N:$N,Saldos!$B16,wallet_records!$O:$O,Saldos!$C16)</f>
        <v>0</v>
      </c>
      <c r="W16" s="224">
        <f>SUMIFS(wallet_records!$R:$R,wallet_records!$A:$A,"Nu Bank",wallet_records!$N:$N,Saldos!$B16,wallet_records!$O:$O,Saldos!$C16)</f>
        <v>507310</v>
      </c>
      <c r="X16" s="226">
        <f t="shared" si="14"/>
        <v>2286035.65</v>
      </c>
      <c r="Y16" s="224"/>
      <c r="Z16" s="223">
        <f t="shared" si="8"/>
        <v>-2049999.9999999998</v>
      </c>
      <c r="AA16" s="223">
        <f t="shared" si="9"/>
        <v>450000</v>
      </c>
      <c r="AB16" s="223">
        <f t="shared" si="10"/>
        <v>1600000</v>
      </c>
      <c r="AC16" s="223">
        <f t="shared" si="11"/>
        <v>0</v>
      </c>
      <c r="AD16" s="223">
        <f t="shared" si="12"/>
        <v>0</v>
      </c>
      <c r="AE16" s="223">
        <f t="shared" si="7"/>
        <v>2.3283064365386963E-10</v>
      </c>
    </row>
    <row r="17" spans="2:31" x14ac:dyDescent="0.2">
      <c r="B17" s="200">
        <v>2</v>
      </c>
      <c r="C17" s="200">
        <v>2023</v>
      </c>
      <c r="D17" s="227">
        <v>9770943.9900000002</v>
      </c>
      <c r="E17" s="231">
        <v>4626180</v>
      </c>
      <c r="F17" s="227">
        <v>4982392</v>
      </c>
      <c r="G17" s="227"/>
      <c r="H17" s="231">
        <v>0</v>
      </c>
      <c r="I17" s="231">
        <v>2646478</v>
      </c>
      <c r="J17" s="227">
        <f t="shared" si="0"/>
        <v>22025993.990000002</v>
      </c>
      <c r="L17" s="224">
        <f t="shared" si="1"/>
        <v>7962380.7300000004</v>
      </c>
      <c r="M17" s="224">
        <f t="shared" si="2"/>
        <v>512991</v>
      </c>
      <c r="N17" s="224">
        <f t="shared" si="3"/>
        <v>-9440474</v>
      </c>
      <c r="O17" s="224">
        <f t="shared" si="4"/>
        <v>0</v>
      </c>
      <c r="P17" s="224">
        <f t="shared" si="5"/>
        <v>1136116</v>
      </c>
      <c r="Q17" s="224">
        <f t="shared" si="13"/>
        <v>171013.73000000417</v>
      </c>
      <c r="S17" s="224">
        <f>SUMIFS(wallet_records!$R:$R,wallet_records!$A:$A,"Bancolombia",wallet_records!$N:$N,Saldos!$B17,wallet_records!$O:$O,Saldos!$C17)</f>
        <v>10012380.73</v>
      </c>
      <c r="T17" s="224">
        <f>SUMIFS(wallet_records!$R:$R,wallet_records!$A:$A,"Fidu Mantenimiento",wallet_records!$N:$N,Saldos!$B17,wallet_records!$O:$O,Saldos!$C17)</f>
        <v>62991</v>
      </c>
      <c r="U17" s="224">
        <f>SUMIFS(wallet_records!$R:$R,wallet_records!$A:$A,"Fidu Impuestos",wallet_records!$N:$N,Saldos!$B17,wallet_records!$O:$O,Saldos!$C17)</f>
        <v>-11040474</v>
      </c>
      <c r="V17" s="224">
        <f>SUMIFS(wallet_records!$R:$R,wallet_records!$A:$A,"Fiducuenta ARU",wallet_records!$N:$N,Saldos!$B17,wallet_records!$O:$O,Saldos!$C17)</f>
        <v>0</v>
      </c>
      <c r="W17" s="224">
        <f>SUMIFS(wallet_records!$R:$R,wallet_records!$A:$A,"Nu Bank",wallet_records!$N:$N,Saldos!$B17,wallet_records!$O:$O,Saldos!$C17)</f>
        <v>1136116</v>
      </c>
      <c r="X17" s="226">
        <f t="shared" si="14"/>
        <v>171013.73000000045</v>
      </c>
      <c r="Y17" s="224"/>
      <c r="Z17" s="223">
        <f t="shared" si="8"/>
        <v>-2050000</v>
      </c>
      <c r="AA17" s="223">
        <f t="shared" si="9"/>
        <v>450000</v>
      </c>
      <c r="AB17" s="223">
        <f t="shared" si="10"/>
        <v>1600000</v>
      </c>
      <c r="AC17" s="223">
        <f t="shared" si="11"/>
        <v>0</v>
      </c>
      <c r="AD17" s="223">
        <f t="shared" si="12"/>
        <v>0</v>
      </c>
      <c r="AE17" s="223">
        <f t="shared" si="7"/>
        <v>0</v>
      </c>
    </row>
    <row r="18" spans="2:31" x14ac:dyDescent="0.2">
      <c r="B18" s="200">
        <v>3</v>
      </c>
      <c r="C18" s="200">
        <v>2023</v>
      </c>
      <c r="D18" s="227">
        <v>6202048.25</v>
      </c>
      <c r="E18" s="231">
        <v>5114298</v>
      </c>
      <c r="F18" s="227">
        <v>6623445</v>
      </c>
      <c r="G18" s="227"/>
      <c r="H18" s="231">
        <v>0</v>
      </c>
      <c r="I18" s="231">
        <v>3168283</v>
      </c>
      <c r="J18" s="227">
        <f t="shared" si="0"/>
        <v>21108074.25</v>
      </c>
      <c r="L18" s="224">
        <f t="shared" si="1"/>
        <v>-3568895.74</v>
      </c>
      <c r="M18" s="224">
        <f t="shared" si="2"/>
        <v>488118</v>
      </c>
      <c r="N18" s="224">
        <f t="shared" si="3"/>
        <v>1641053</v>
      </c>
      <c r="O18" s="224">
        <f t="shared" si="4"/>
        <v>0</v>
      </c>
      <c r="P18" s="224">
        <f t="shared" si="5"/>
        <v>521805</v>
      </c>
      <c r="Q18" s="224">
        <f t="shared" si="13"/>
        <v>-917919.74000000209</v>
      </c>
      <c r="S18" s="224">
        <f>SUMIFS(wallet_records!$R:$R,wallet_records!$A:$A,"Bancolombia",wallet_records!$N:$N,Saldos!$B18,wallet_records!$O:$O,Saldos!$C18)</f>
        <v>-1518895.7400000002</v>
      </c>
      <c r="T18" s="224">
        <f>SUMIFS(wallet_records!$R:$R,wallet_records!$A:$A,"Fidu Mantenimiento",wallet_records!$N:$N,Saldos!$B18,wallet_records!$O:$O,Saldos!$C18)</f>
        <v>38118</v>
      </c>
      <c r="U18" s="224">
        <f>SUMIFS(wallet_records!$R:$R,wallet_records!$A:$A,"Fidu Impuestos",wallet_records!$N:$N,Saldos!$B18,wallet_records!$O:$O,Saldos!$C18)</f>
        <v>41053</v>
      </c>
      <c r="V18" s="224">
        <f>SUMIFS(wallet_records!$R:$R,wallet_records!$A:$A,"Fiducuenta ARU",wallet_records!$N:$N,Saldos!$B18,wallet_records!$O:$O,Saldos!$C18)</f>
        <v>0</v>
      </c>
      <c r="W18" s="224">
        <f>SUMIFS(wallet_records!$R:$R,wallet_records!$A:$A,"Nu Bank",wallet_records!$N:$N,Saldos!$B18,wallet_records!$O:$O,Saldos!$C18)</f>
        <v>521805</v>
      </c>
      <c r="X18" s="226">
        <f t="shared" si="14"/>
        <v>-917919.74000000022</v>
      </c>
      <c r="Y18" s="224"/>
      <c r="Z18" s="223">
        <f t="shared" si="8"/>
        <v>-2050000</v>
      </c>
      <c r="AA18" s="223">
        <f t="shared" si="9"/>
        <v>450000</v>
      </c>
      <c r="AB18" s="223">
        <f t="shared" si="10"/>
        <v>1600000</v>
      </c>
      <c r="AC18" s="223">
        <f t="shared" si="11"/>
        <v>0</v>
      </c>
      <c r="AD18" s="223">
        <f t="shared" si="12"/>
        <v>0</v>
      </c>
      <c r="AE18" s="223">
        <f t="shared" si="7"/>
        <v>0</v>
      </c>
    </row>
    <row r="19" spans="2:31" x14ac:dyDescent="0.2">
      <c r="B19" s="200">
        <v>4</v>
      </c>
      <c r="C19" s="200">
        <v>2023</v>
      </c>
      <c r="D19" s="227">
        <v>5047075.74</v>
      </c>
      <c r="E19" s="231">
        <v>5607184</v>
      </c>
      <c r="F19" s="227">
        <v>7513317</v>
      </c>
      <c r="G19" s="227"/>
      <c r="H19" s="231">
        <v>0</v>
      </c>
      <c r="I19" s="231">
        <v>3694851</v>
      </c>
      <c r="J19" s="227">
        <f t="shared" si="0"/>
        <v>21862427.740000002</v>
      </c>
      <c r="L19" s="224">
        <f t="shared" si="1"/>
        <v>-1154972.5099999998</v>
      </c>
      <c r="M19" s="224">
        <f t="shared" si="2"/>
        <v>492886</v>
      </c>
      <c r="N19" s="224">
        <f t="shared" si="3"/>
        <v>889872</v>
      </c>
      <c r="O19" s="224">
        <f t="shared" si="4"/>
        <v>0</v>
      </c>
      <c r="P19" s="224">
        <f t="shared" si="5"/>
        <v>526568</v>
      </c>
      <c r="Q19" s="224">
        <f t="shared" si="13"/>
        <v>754353.49000000209</v>
      </c>
      <c r="S19" s="224">
        <f>SUMIFS(wallet_records!$R:$R,wallet_records!$A:$A,"Bancolombia",wallet_records!$N:$N,Saldos!$B19,wallet_records!$O:$O,Saldos!$C19)</f>
        <v>895027.49000000022</v>
      </c>
      <c r="T19" s="224">
        <f>SUMIFS(wallet_records!$R:$R,wallet_records!$A:$A,"Fidu Mantenimiento",wallet_records!$N:$N,Saldos!$B19,wallet_records!$O:$O,Saldos!$C19)</f>
        <v>42886</v>
      </c>
      <c r="U19" s="224">
        <f>SUMIFS(wallet_records!$R:$R,wallet_records!$A:$A,"Fidu Impuestos",wallet_records!$N:$N,Saldos!$B19,wallet_records!$O:$O,Saldos!$C19)</f>
        <v>-710128</v>
      </c>
      <c r="V19" s="224">
        <f>SUMIFS(wallet_records!$R:$R,wallet_records!$A:$A,"Fiducuenta ARU",wallet_records!$N:$N,Saldos!$B19,wallet_records!$O:$O,Saldos!$C19)</f>
        <v>0</v>
      </c>
      <c r="W19" s="224">
        <f>SUMIFS(wallet_records!$R:$R,wallet_records!$A:$A,"Nu Bank",wallet_records!$N:$N,Saldos!$B19,wallet_records!$O:$O,Saldos!$C19)</f>
        <v>526568</v>
      </c>
      <c r="X19" s="226">
        <f t="shared" si="14"/>
        <v>754353.49000000022</v>
      </c>
      <c r="Y19" s="224"/>
      <c r="Z19" s="223">
        <f t="shared" si="8"/>
        <v>-2050000</v>
      </c>
      <c r="AA19" s="223">
        <f t="shared" si="9"/>
        <v>450000</v>
      </c>
      <c r="AB19" s="223">
        <f t="shared" si="10"/>
        <v>1600000</v>
      </c>
      <c r="AC19" s="223">
        <f t="shared" si="11"/>
        <v>0</v>
      </c>
      <c r="AD19" s="223">
        <f t="shared" si="12"/>
        <v>0</v>
      </c>
      <c r="AE19" s="223">
        <f t="shared" si="7"/>
        <v>0</v>
      </c>
    </row>
    <row r="20" spans="2:31" x14ac:dyDescent="0.2">
      <c r="B20" s="200">
        <v>5</v>
      </c>
      <c r="C20" s="200">
        <v>2023</v>
      </c>
      <c r="D20" s="227">
        <v>6777409.6200000001</v>
      </c>
      <c r="E20" s="231">
        <v>6107204</v>
      </c>
      <c r="F20" s="227">
        <v>9176320</v>
      </c>
      <c r="G20" s="227"/>
      <c r="H20" s="231">
        <v>0</v>
      </c>
      <c r="I20" s="231">
        <v>4225834</v>
      </c>
      <c r="J20" s="227">
        <f t="shared" si="0"/>
        <v>26286767.620000001</v>
      </c>
      <c r="L20" s="224">
        <f t="shared" si="1"/>
        <v>1730333.88</v>
      </c>
      <c r="M20" s="224">
        <f t="shared" si="2"/>
        <v>500020</v>
      </c>
      <c r="N20" s="224">
        <f t="shared" si="3"/>
        <v>1663003</v>
      </c>
      <c r="O20" s="224">
        <f t="shared" si="4"/>
        <v>0</v>
      </c>
      <c r="P20" s="224">
        <f t="shared" si="5"/>
        <v>530983</v>
      </c>
      <c r="Q20" s="224">
        <f t="shared" si="13"/>
        <v>4424339.879999999</v>
      </c>
      <c r="S20" s="224">
        <f>SUMIFS(wallet_records!$R:$R,wallet_records!$A:$A,"Bancolombia",wallet_records!$N:$N,Saldos!$B20,wallet_records!$O:$O,Saldos!$C20)</f>
        <v>1730333.88</v>
      </c>
      <c r="T20" s="224">
        <f>SUMIFS(wallet_records!$R:$R,wallet_records!$A:$A,"Fidu Mantenimiento",wallet_records!$N:$N,Saldos!$B20,wallet_records!$O:$O,Saldos!$C20)</f>
        <v>500020</v>
      </c>
      <c r="U20" s="224">
        <f>SUMIFS(wallet_records!$R:$R,wallet_records!$A:$A,"Fidu Impuestos",wallet_records!$N:$N,Saldos!$B20,wallet_records!$O:$O,Saldos!$C20)</f>
        <v>1663003</v>
      </c>
      <c r="V20" s="224">
        <f>SUMIFS(wallet_records!$R:$R,wallet_records!$A:$A,"Fiducuenta ARU",wallet_records!$N:$N,Saldos!$B20,wallet_records!$O:$O,Saldos!$C20)</f>
        <v>0</v>
      </c>
      <c r="W20" s="224">
        <f>SUMIFS(wallet_records!$R:$R,wallet_records!$A:$A,"Nu Bank",wallet_records!$N:$N,Saldos!$B20,wallet_records!$O:$O,Saldos!$C20)</f>
        <v>530983</v>
      </c>
      <c r="X20" s="226">
        <f t="shared" si="14"/>
        <v>4424339.88</v>
      </c>
      <c r="Y20" s="224"/>
      <c r="Z20" s="223">
        <f t="shared" si="8"/>
        <v>0</v>
      </c>
      <c r="AA20" s="223">
        <f t="shared" si="9"/>
        <v>0</v>
      </c>
      <c r="AB20" s="223">
        <f t="shared" si="10"/>
        <v>0</v>
      </c>
      <c r="AC20" s="223">
        <f t="shared" si="11"/>
        <v>0</v>
      </c>
      <c r="AD20" s="223">
        <f t="shared" si="12"/>
        <v>0</v>
      </c>
      <c r="AE20" s="223">
        <f t="shared" si="7"/>
        <v>0</v>
      </c>
    </row>
    <row r="21" spans="2:31" x14ac:dyDescent="0.2">
      <c r="B21" s="200">
        <v>6</v>
      </c>
      <c r="C21" s="200">
        <v>2023</v>
      </c>
      <c r="D21" s="227">
        <v>5677604.0700000003</v>
      </c>
      <c r="E21" s="231">
        <v>6750955</v>
      </c>
      <c r="F21" s="227">
        <v>11246565</v>
      </c>
      <c r="G21" s="227"/>
      <c r="H21" s="231">
        <v>0</v>
      </c>
      <c r="I21" s="231">
        <v>4758183</v>
      </c>
      <c r="J21" s="227">
        <f t="shared" si="0"/>
        <v>28433307.07</v>
      </c>
      <c r="L21" s="224">
        <f t="shared" si="1"/>
        <v>-1099805.5499999998</v>
      </c>
      <c r="M21" s="224">
        <f t="shared" si="2"/>
        <v>643751</v>
      </c>
      <c r="N21" s="224">
        <f t="shared" si="3"/>
        <v>2070245</v>
      </c>
      <c r="O21" s="224">
        <f t="shared" si="4"/>
        <v>0</v>
      </c>
      <c r="P21" s="224">
        <f t="shared" si="5"/>
        <v>532349</v>
      </c>
      <c r="Q21" s="224">
        <f t="shared" si="13"/>
        <v>2146539.4499999993</v>
      </c>
      <c r="S21" s="224">
        <f>SUMIFS(wallet_records!$R:$R,wallet_records!$A:$A,"Bancolombia",wallet_records!$N:$N,Saldos!$B21,wallet_records!$O:$O,Saldos!$C21)</f>
        <v>-1099805.5499999998</v>
      </c>
      <c r="T21" s="224">
        <f>SUMIFS(wallet_records!$R:$R,wallet_records!$A:$A,"Fidu Mantenimiento",wallet_records!$N:$N,Saldos!$B21,wallet_records!$O:$O,Saldos!$C21)</f>
        <v>43751</v>
      </c>
      <c r="U21" s="224">
        <f>SUMIFS(wallet_records!$R:$R,wallet_records!$A:$A,"Fidu Impuestos",wallet_records!$N:$N,Saldos!$B21,wallet_records!$O:$O,Saldos!$C21)</f>
        <v>2070245</v>
      </c>
      <c r="V21" s="224">
        <f>SUMIFS(wallet_records!$R:$R,wallet_records!$A:$A,"Fiducuenta ARU",wallet_records!$N:$N,Saldos!$B21,wallet_records!$O:$O,Saldos!$C21)</f>
        <v>0</v>
      </c>
      <c r="W21" s="224">
        <f>SUMIFS(wallet_records!$R:$R,wallet_records!$A:$A,"Nu Bank",wallet_records!$N:$N,Saldos!$B21,wallet_records!$O:$O,Saldos!$C21)</f>
        <v>532349</v>
      </c>
      <c r="X21" s="226">
        <f t="shared" si="14"/>
        <v>1546539.4500000002</v>
      </c>
      <c r="Y21" s="224"/>
      <c r="Z21" s="223">
        <f t="shared" si="8"/>
        <v>0</v>
      </c>
      <c r="AA21" s="223">
        <f t="shared" si="9"/>
        <v>600000</v>
      </c>
      <c r="AB21" s="223">
        <f t="shared" si="10"/>
        <v>0</v>
      </c>
      <c r="AC21" s="223">
        <f t="shared" si="11"/>
        <v>0</v>
      </c>
      <c r="AD21" s="223">
        <f t="shared" si="12"/>
        <v>0</v>
      </c>
      <c r="AE21" s="223">
        <f t="shared" si="7"/>
        <v>600000</v>
      </c>
    </row>
    <row r="22" spans="2:31" x14ac:dyDescent="0.2">
      <c r="B22" s="200">
        <v>7</v>
      </c>
      <c r="C22" s="200">
        <v>2023</v>
      </c>
      <c r="D22" s="227">
        <v>2965039.78</v>
      </c>
      <c r="E22" s="231">
        <v>7402634</v>
      </c>
      <c r="F22" s="227">
        <v>13332658</v>
      </c>
      <c r="G22" s="227"/>
      <c r="H22" s="231">
        <v>0</v>
      </c>
      <c r="I22" s="231">
        <v>5294607</v>
      </c>
      <c r="J22" s="227">
        <f t="shared" si="0"/>
        <v>28994938.780000001</v>
      </c>
      <c r="L22" s="224">
        <f t="shared" si="1"/>
        <v>-2712564.2900000005</v>
      </c>
      <c r="M22" s="224">
        <f t="shared" si="2"/>
        <v>651679</v>
      </c>
      <c r="N22" s="224">
        <f t="shared" si="3"/>
        <v>2086093</v>
      </c>
      <c r="O22" s="224">
        <f t="shared" si="4"/>
        <v>0</v>
      </c>
      <c r="P22" s="224">
        <f t="shared" si="5"/>
        <v>536424</v>
      </c>
      <c r="Q22" s="224">
        <f t="shared" si="13"/>
        <v>561631.71000000089</v>
      </c>
      <c r="S22" s="224">
        <f>SUMIFS(wallet_records!$R:$R,wallet_records!$A:$A,"Bancolombia",wallet_records!$N:$N,Saldos!$B22,wallet_records!$O:$O,Saldos!$C22)</f>
        <v>-2712564.29</v>
      </c>
      <c r="T22" s="224">
        <f>SUMIFS(wallet_records!$R:$R,wallet_records!$A:$A,"Fidu Mantenimiento",wallet_records!$N:$N,Saldos!$B22,wallet_records!$O:$O,Saldos!$C22)</f>
        <v>651679</v>
      </c>
      <c r="U22" s="224">
        <f>SUMIFS(wallet_records!$R:$R,wallet_records!$A:$A,"Fidu Impuestos",wallet_records!$N:$N,Saldos!$B22,wallet_records!$O:$O,Saldos!$C22)</f>
        <v>2086093</v>
      </c>
      <c r="V22" s="224">
        <f>SUMIFS(wallet_records!$R:$R,wallet_records!$A:$A,"Fiducuenta ARU",wallet_records!$N:$N,Saldos!$B22,wallet_records!$O:$O,Saldos!$C22)</f>
        <v>0</v>
      </c>
      <c r="W22" s="224">
        <f>SUMIFS(wallet_records!$R:$R,wallet_records!$A:$A,"Nu Bank",wallet_records!$N:$N,Saldos!$B22,wallet_records!$O:$O,Saldos!$C22)</f>
        <v>536424</v>
      </c>
      <c r="X22" s="226">
        <f t="shared" si="14"/>
        <v>561631.71</v>
      </c>
      <c r="Y22" s="224"/>
      <c r="Z22" s="223">
        <f t="shared" si="8"/>
        <v>0</v>
      </c>
      <c r="AA22" s="223">
        <f t="shared" si="9"/>
        <v>0</v>
      </c>
      <c r="AB22" s="223">
        <f t="shared" si="10"/>
        <v>0</v>
      </c>
      <c r="AC22" s="223">
        <f t="shared" si="11"/>
        <v>0</v>
      </c>
      <c r="AD22" s="223">
        <f t="shared" si="12"/>
        <v>0</v>
      </c>
      <c r="AE22" s="223">
        <f t="shared" si="7"/>
        <v>0</v>
      </c>
    </row>
    <row r="23" spans="2:31" x14ac:dyDescent="0.2">
      <c r="B23" s="200">
        <v>8</v>
      </c>
      <c r="C23" s="200">
        <v>2023</v>
      </c>
      <c r="D23" s="227">
        <v>3233857.38</v>
      </c>
      <c r="E23" s="231">
        <v>8076442</v>
      </c>
      <c r="F23" s="227">
        <v>16352921</v>
      </c>
      <c r="G23" s="227"/>
      <c r="H23" s="231">
        <v>0</v>
      </c>
      <c r="I23" s="231">
        <v>4000000</v>
      </c>
      <c r="J23" s="227">
        <f t="shared" si="0"/>
        <v>31663220.379999999</v>
      </c>
      <c r="L23" s="224">
        <f t="shared" si="1"/>
        <v>268817.60000000009</v>
      </c>
      <c r="M23" s="224">
        <f t="shared" si="2"/>
        <v>673808</v>
      </c>
      <c r="N23" s="224">
        <f t="shared" si="3"/>
        <v>3020263</v>
      </c>
      <c r="O23" s="224">
        <f t="shared" si="4"/>
        <v>0</v>
      </c>
      <c r="P23" s="224">
        <f t="shared" si="5"/>
        <v>-1294607</v>
      </c>
      <c r="Q23" s="224">
        <f t="shared" si="13"/>
        <v>2668281.5999999978</v>
      </c>
      <c r="S23" s="224">
        <f>SUMIFS(wallet_records!$R:$R,wallet_records!$A:$A,"Bancolombia",wallet_records!$N:$N,Saldos!$B23,wallet_records!$O:$O,Saldos!$C23)</f>
        <v>268817.59999999963</v>
      </c>
      <c r="T23" s="224">
        <f>SUMIFS(wallet_records!$R:$R,wallet_records!$A:$A,"Fidu Mantenimiento",wallet_records!$N:$N,Saldos!$B23,wallet_records!$O:$O,Saldos!$C23)</f>
        <v>673808</v>
      </c>
      <c r="U23" s="224">
        <f>SUMIFS(wallet_records!$R:$R,wallet_records!$A:$A,"Fidu Impuestos",wallet_records!$N:$N,Saldos!$B23,wallet_records!$O:$O,Saldos!$C23)</f>
        <v>3020263</v>
      </c>
      <c r="V23" s="224">
        <f>SUMIFS(wallet_records!$R:$R,wallet_records!$A:$A,"Fiducuenta ARU",wallet_records!$N:$N,Saldos!$B23,wallet_records!$O:$O,Saldos!$C23)</f>
        <v>0</v>
      </c>
      <c r="W23" s="224">
        <f>SUMIFS(wallet_records!$R:$R,wallet_records!$A:$A,"Nu Bank",wallet_records!$N:$N,Saldos!$B23,wallet_records!$O:$O,Saldos!$C23)</f>
        <v>-1294607</v>
      </c>
      <c r="X23" s="226">
        <f t="shared" si="14"/>
        <v>2668281.5999999996</v>
      </c>
      <c r="Y23" s="224"/>
      <c r="Z23" s="223">
        <f t="shared" si="8"/>
        <v>4.6566128730773926E-10</v>
      </c>
      <c r="AA23" s="223">
        <f t="shared" si="9"/>
        <v>0</v>
      </c>
      <c r="AB23" s="223">
        <f t="shared" si="10"/>
        <v>0</v>
      </c>
      <c r="AC23" s="223">
        <f t="shared" si="11"/>
        <v>0</v>
      </c>
      <c r="AD23" s="223">
        <f t="shared" si="12"/>
        <v>0</v>
      </c>
      <c r="AE23" s="223">
        <f t="shared" si="7"/>
        <v>4.6566128730773926E-10</v>
      </c>
    </row>
    <row r="24" spans="2:31" x14ac:dyDescent="0.2">
      <c r="B24" s="200">
        <v>9</v>
      </c>
      <c r="C24" s="200">
        <v>2023</v>
      </c>
      <c r="D24" s="227">
        <v>24197818.390000001</v>
      </c>
      <c r="E24" s="231">
        <v>8756969</v>
      </c>
      <c r="F24" s="227">
        <v>18679017</v>
      </c>
      <c r="G24" s="227"/>
      <c r="H24" s="231">
        <v>0</v>
      </c>
      <c r="I24" s="231">
        <v>5000000</v>
      </c>
      <c r="J24" s="227">
        <f t="shared" si="0"/>
        <v>56633804.390000001</v>
      </c>
      <c r="L24" s="224">
        <f t="shared" si="1"/>
        <v>20963961.010000002</v>
      </c>
      <c r="M24" s="224">
        <f t="shared" si="2"/>
        <v>680527</v>
      </c>
      <c r="N24" s="224">
        <f t="shared" si="3"/>
        <v>2326096</v>
      </c>
      <c r="O24" s="224">
        <f t="shared" si="4"/>
        <v>0</v>
      </c>
      <c r="P24" s="224">
        <f t="shared" si="5"/>
        <v>1000000</v>
      </c>
      <c r="Q24" s="224">
        <f t="shared" si="13"/>
        <v>24970584.010000002</v>
      </c>
      <c r="S24" s="224">
        <f>SUMIFS(wallet_records!$R:$R,wallet_records!$A:$A,"Bancolombia",wallet_records!$N:$N,Saldos!$B24,wallet_records!$O:$O,Saldos!$C24)</f>
        <v>20963961.009999998</v>
      </c>
      <c r="T24" s="224">
        <f>SUMIFS(wallet_records!$R:$R,wallet_records!$A:$A,"Fidu Mantenimiento",wallet_records!$N:$N,Saldos!$B24,wallet_records!$O:$O,Saldos!$C24)</f>
        <v>680527</v>
      </c>
      <c r="U24" s="224">
        <f>SUMIFS(wallet_records!$R:$R,wallet_records!$A:$A,"Fidu Impuestos",wallet_records!$N:$N,Saldos!$B24,wallet_records!$O:$O,Saldos!$C24)</f>
        <v>2326096</v>
      </c>
      <c r="V24" s="224">
        <f>SUMIFS(wallet_records!$R:$R,wallet_records!$A:$A,"Fiducuenta ARU",wallet_records!$N:$N,Saldos!$B24,wallet_records!$O:$O,Saldos!$C24)</f>
        <v>0</v>
      </c>
      <c r="W24" s="224">
        <f>SUMIFS(wallet_records!$R:$R,wallet_records!$A:$A,"Nu Bank",wallet_records!$N:$N,Saldos!$B24,wallet_records!$O:$O,Saldos!$C24)</f>
        <v>1000000</v>
      </c>
      <c r="X24" s="226">
        <f t="shared" si="14"/>
        <v>24970584.009999998</v>
      </c>
      <c r="Y24" s="224"/>
      <c r="Z24" s="223">
        <f t="shared" si="8"/>
        <v>0</v>
      </c>
      <c r="AA24" s="223">
        <f t="shared" si="9"/>
        <v>0</v>
      </c>
      <c r="AB24" s="223">
        <f t="shared" si="10"/>
        <v>0</v>
      </c>
      <c r="AC24" s="223">
        <f t="shared" si="11"/>
        <v>0</v>
      </c>
      <c r="AD24" s="223">
        <f t="shared" si="12"/>
        <v>0</v>
      </c>
      <c r="AE24" s="223">
        <f t="shared" si="7"/>
        <v>0</v>
      </c>
    </row>
    <row r="25" spans="2:31" x14ac:dyDescent="0.2">
      <c r="B25" s="200">
        <v>10</v>
      </c>
      <c r="C25" s="200">
        <v>2023</v>
      </c>
      <c r="D25" s="227">
        <v>9396066.8599999994</v>
      </c>
      <c r="E25" s="231">
        <v>9444281</v>
      </c>
      <c r="F25" s="227">
        <v>21051497</v>
      </c>
      <c r="G25" s="227"/>
      <c r="H25" s="231">
        <v>0</v>
      </c>
      <c r="I25" s="227">
        <v>7250265</v>
      </c>
      <c r="J25" s="227">
        <f t="shared" si="0"/>
        <v>47142109.859999999</v>
      </c>
      <c r="L25" s="224">
        <f t="shared" si="1"/>
        <v>-14801751.530000001</v>
      </c>
      <c r="M25" s="224">
        <f t="shared" si="2"/>
        <v>687312</v>
      </c>
      <c r="N25" s="224">
        <f t="shared" si="3"/>
        <v>2372480</v>
      </c>
      <c r="O25" s="224">
        <f t="shared" si="4"/>
        <v>0</v>
      </c>
      <c r="P25" s="224">
        <f t="shared" si="5"/>
        <v>2250265</v>
      </c>
      <c r="Q25" s="224">
        <f t="shared" si="13"/>
        <v>-9491694.5300000012</v>
      </c>
      <c r="S25" s="224">
        <f>SUMIFS(wallet_records!$R:$R,wallet_records!$A:$A,"Bancolombia",wallet_records!$N:$N,Saldos!$B25,wallet_records!$O:$O,Saldos!$C25)</f>
        <v>-14801751.529999999</v>
      </c>
      <c r="T25" s="224">
        <f>SUMIFS(wallet_records!$R:$R,wallet_records!$A:$A,"Fidu Mantenimiento",wallet_records!$N:$N,Saldos!$B25,wallet_records!$O:$O,Saldos!$C25)</f>
        <v>687311.99999999988</v>
      </c>
      <c r="U25" s="224">
        <f>SUMIFS(wallet_records!$R:$R,wallet_records!$A:$A,"Fidu Impuestos",wallet_records!$N:$N,Saldos!$B25,wallet_records!$O:$O,Saldos!$C25)</f>
        <v>2372480</v>
      </c>
      <c r="V25" s="224">
        <f>SUMIFS(wallet_records!$R:$R,wallet_records!$A:$A,"Fiducuenta ARU",wallet_records!$N:$N,Saldos!$B25,wallet_records!$O:$O,Saldos!$C25)</f>
        <v>0</v>
      </c>
      <c r="W25" s="224">
        <f>SUMIFS(wallet_records!$R:$R,wallet_records!$A:$A,"Nu Bank",wallet_records!$N:$N,Saldos!$B25,wallet_records!$O:$O,Saldos!$C25)</f>
        <v>2250265</v>
      </c>
      <c r="X25" s="226">
        <f t="shared" si="14"/>
        <v>-9491694.5299999993</v>
      </c>
      <c r="Y25" s="224"/>
      <c r="Z25" s="223">
        <f t="shared" si="8"/>
        <v>0</v>
      </c>
      <c r="AA25" s="223">
        <f t="shared" si="9"/>
        <v>0</v>
      </c>
      <c r="AB25" s="223">
        <f t="shared" si="10"/>
        <v>0</v>
      </c>
      <c r="AC25" s="223">
        <f t="shared" si="11"/>
        <v>0</v>
      </c>
      <c r="AD25" s="223">
        <f t="shared" si="12"/>
        <v>0</v>
      </c>
      <c r="AE25" s="223">
        <f t="shared" si="7"/>
        <v>0</v>
      </c>
    </row>
    <row r="26" spans="2:31" x14ac:dyDescent="0.2">
      <c r="B26" s="200">
        <v>11</v>
      </c>
      <c r="C26" s="200">
        <v>2023</v>
      </c>
      <c r="D26" s="227">
        <v>7278059.1799999997</v>
      </c>
      <c r="E26" s="231">
        <v>10133024</v>
      </c>
      <c r="F26" s="227">
        <v>23450149</v>
      </c>
      <c r="G26" s="227"/>
      <c r="H26" s="231">
        <v>0</v>
      </c>
      <c r="I26" s="227">
        <v>7886519</v>
      </c>
      <c r="J26" s="227">
        <f t="shared" si="0"/>
        <v>48747751.18</v>
      </c>
      <c r="L26" s="224">
        <f t="shared" si="1"/>
        <v>-2118007.6799999997</v>
      </c>
      <c r="M26" s="224">
        <f t="shared" si="2"/>
        <v>688743</v>
      </c>
      <c r="N26" s="224">
        <f t="shared" si="3"/>
        <v>2398652</v>
      </c>
      <c r="O26" s="224">
        <f t="shared" si="4"/>
        <v>0</v>
      </c>
      <c r="P26" s="224">
        <f t="shared" si="5"/>
        <v>636254</v>
      </c>
      <c r="Q26" s="224">
        <f t="shared" si="13"/>
        <v>1605641.3200000003</v>
      </c>
      <c r="S26" s="224">
        <f>SUMIFS(wallet_records!$R:$R,wallet_records!$A:$A,"Bancolombia",wallet_records!$N:$N,Saldos!$B26,wallet_records!$O:$O,Saldos!$C26)</f>
        <v>-2118007.6800000002</v>
      </c>
      <c r="T26" s="224">
        <f>SUMIFS(wallet_records!$R:$R,wallet_records!$A:$A,"Fidu Mantenimiento",wallet_records!$N:$N,Saldos!$B26,wallet_records!$O:$O,Saldos!$C26)</f>
        <v>688743</v>
      </c>
      <c r="U26" s="224">
        <f>SUMIFS(wallet_records!$R:$R,wallet_records!$A:$A,"Fidu Impuestos",wallet_records!$N:$N,Saldos!$B26,wallet_records!$O:$O,Saldos!$C26)</f>
        <v>2398652</v>
      </c>
      <c r="V26" s="224">
        <f>SUMIFS(wallet_records!$R:$R,wallet_records!$A:$A,"Fiducuenta ARU",wallet_records!$N:$N,Saldos!$B26,wallet_records!$O:$O,Saldos!$C26)</f>
        <v>0</v>
      </c>
      <c r="W26" s="224">
        <f>SUMIFS(wallet_records!$R:$R,wallet_records!$A:$A,"Nu Bank",wallet_records!$N:$N,Saldos!$B26,wallet_records!$O:$O,Saldos!$C26)</f>
        <v>636254</v>
      </c>
      <c r="X26" s="226">
        <f t="shared" si="14"/>
        <v>1605641.3199999998</v>
      </c>
      <c r="Y26" s="224"/>
      <c r="Z26" s="223">
        <f t="shared" si="8"/>
        <v>0</v>
      </c>
      <c r="AA26" s="223">
        <f t="shared" si="9"/>
        <v>0</v>
      </c>
      <c r="AB26" s="223">
        <f t="shared" si="10"/>
        <v>0</v>
      </c>
      <c r="AC26" s="223">
        <f t="shared" si="11"/>
        <v>0</v>
      </c>
      <c r="AD26" s="223">
        <f t="shared" si="12"/>
        <v>0</v>
      </c>
      <c r="AE26" s="223">
        <f t="shared" si="7"/>
        <v>0</v>
      </c>
    </row>
    <row r="27" spans="2:31" x14ac:dyDescent="0.2">
      <c r="B27" s="200">
        <v>12</v>
      </c>
      <c r="C27" s="200">
        <v>2023</v>
      </c>
      <c r="D27" s="227">
        <v>8349632.7699999996</v>
      </c>
      <c r="E27" s="231">
        <v>10925330</v>
      </c>
      <c r="F27" s="227">
        <v>24229512</v>
      </c>
      <c r="G27" s="227"/>
      <c r="H27" s="231">
        <v>0</v>
      </c>
      <c r="I27" s="227">
        <v>8630202</v>
      </c>
      <c r="J27" s="227">
        <f t="shared" si="0"/>
        <v>52134676.769999996</v>
      </c>
      <c r="L27" s="224">
        <f t="shared" si="1"/>
        <v>1071573.5899999999</v>
      </c>
      <c r="M27" s="224">
        <f t="shared" si="2"/>
        <v>792306</v>
      </c>
      <c r="N27" s="224">
        <f t="shared" si="3"/>
        <v>779363</v>
      </c>
      <c r="O27" s="224">
        <f t="shared" si="4"/>
        <v>0</v>
      </c>
      <c r="P27" s="224">
        <f t="shared" si="5"/>
        <v>743683</v>
      </c>
      <c r="Q27" s="224">
        <f t="shared" si="13"/>
        <v>3386925.5899999961</v>
      </c>
      <c r="S27" s="224">
        <f>SUMIFS(wallet_records!$R:$R,wallet_records!$A:$A,"Bancolombia",wallet_records!$N:$N,Saldos!$B27,wallet_records!$O:$O,Saldos!$C27)</f>
        <v>1071573.5899999999</v>
      </c>
      <c r="T27" s="224">
        <f>SUMIFS(wallet_records!$R:$R,wallet_records!$A:$A,"Fidu Mantenimiento",wallet_records!$N:$N,Saldos!$B27,wallet_records!$O:$O,Saldos!$C27)</f>
        <v>792306</v>
      </c>
      <c r="U27" s="224">
        <f>SUMIFS(wallet_records!$R:$R,wallet_records!$A:$A,"Fidu Impuestos",wallet_records!$N:$N,Saldos!$B27,wallet_records!$O:$O,Saldos!$C27)</f>
        <v>779363</v>
      </c>
      <c r="V27" s="224">
        <f>SUMIFS(wallet_records!$R:$R,wallet_records!$A:$A,"Fiducuenta ARU",wallet_records!$N:$N,Saldos!$B27,wallet_records!$O:$O,Saldos!$C27)</f>
        <v>0</v>
      </c>
      <c r="W27" s="224">
        <f>SUMIFS(wallet_records!$R:$R,wallet_records!$A:$A,"Nu Bank",wallet_records!$N:$N,Saldos!$B27,wallet_records!$O:$O,Saldos!$C27)</f>
        <v>743683</v>
      </c>
      <c r="X27" s="226">
        <f t="shared" si="14"/>
        <v>3386925.59</v>
      </c>
      <c r="Y27" s="224"/>
      <c r="Z27" s="223">
        <f t="shared" si="8"/>
        <v>0</v>
      </c>
      <c r="AA27" s="223">
        <f t="shared" si="9"/>
        <v>0</v>
      </c>
      <c r="AB27" s="223">
        <f t="shared" si="10"/>
        <v>0</v>
      </c>
      <c r="AC27" s="223">
        <f t="shared" si="11"/>
        <v>0</v>
      </c>
      <c r="AD27" s="223">
        <f t="shared" si="12"/>
        <v>0</v>
      </c>
      <c r="AE27" s="223">
        <f t="shared" si="7"/>
        <v>0</v>
      </c>
    </row>
    <row r="28" spans="2:31" x14ac:dyDescent="0.2">
      <c r="B28" s="200">
        <v>1</v>
      </c>
      <c r="C28" s="200">
        <v>2024</v>
      </c>
      <c r="D28" s="227">
        <v>18030501.289999999</v>
      </c>
      <c r="E28" s="227">
        <v>9308818</v>
      </c>
      <c r="F28" s="231">
        <v>11724854</v>
      </c>
      <c r="G28" s="231"/>
      <c r="H28" s="231">
        <v>0</v>
      </c>
      <c r="I28" s="227">
        <v>5751249</v>
      </c>
      <c r="J28" s="227">
        <f t="shared" si="0"/>
        <v>44815422.289999999</v>
      </c>
      <c r="L28" s="224">
        <f t="shared" si="1"/>
        <v>9680868.5199999996</v>
      </c>
      <c r="M28" s="224">
        <f t="shared" si="2"/>
        <v>-1616512</v>
      </c>
      <c r="N28" s="224">
        <f t="shared" si="3"/>
        <v>-12504658</v>
      </c>
      <c r="O28" s="224">
        <f t="shared" si="4"/>
        <v>0</v>
      </c>
      <c r="P28" s="224">
        <f t="shared" si="5"/>
        <v>-2878953</v>
      </c>
      <c r="Q28" s="224">
        <f t="shared" si="13"/>
        <v>-7319254.4799999967</v>
      </c>
      <c r="S28" s="224">
        <f>SUMIFS(wallet_records!$R:$R,wallet_records!$A:$A,"Bancolombia",wallet_records!$N:$N,Saldos!$B28,wallet_records!$O:$O,Saldos!$C28)</f>
        <v>9680868.5199999996</v>
      </c>
      <c r="T28" s="224">
        <f>SUMIFS(wallet_records!$R:$R,wallet_records!$A:$A,"Fidu Mantenimiento",wallet_records!$N:$N,Saldos!$B28,wallet_records!$O:$O,Saldos!$C28)</f>
        <v>-1616512</v>
      </c>
      <c r="U28" s="224">
        <f>SUMIFS(wallet_records!$R:$R,wallet_records!$A:$A,"Fidu Impuestos",wallet_records!$N:$N,Saldos!$B28,wallet_records!$O:$O,Saldos!$C28)</f>
        <v>-12504658</v>
      </c>
      <c r="V28" s="224">
        <f>SUMIFS(wallet_records!$R:$R,wallet_records!$A:$A,"Fiducuenta ARU",wallet_records!$N:$N,Saldos!$B28,wallet_records!$O:$O,Saldos!$C28)</f>
        <v>0</v>
      </c>
      <c r="W28" s="224">
        <f>SUMIFS(wallet_records!$R:$R,wallet_records!$A:$A,"Nu Bank",wallet_records!$N:$N,Saldos!$B28,wallet_records!$O:$O,Saldos!$C28)</f>
        <v>-2878953</v>
      </c>
      <c r="X28" s="226">
        <f t="shared" si="14"/>
        <v>-7319254.4800000004</v>
      </c>
      <c r="Y28" s="224"/>
      <c r="Z28" s="223">
        <f t="shared" si="8"/>
        <v>0</v>
      </c>
      <c r="AA28" s="223">
        <f t="shared" si="9"/>
        <v>0</v>
      </c>
      <c r="AB28" s="223">
        <f t="shared" si="10"/>
        <v>0</v>
      </c>
      <c r="AC28" s="223">
        <f t="shared" si="11"/>
        <v>0</v>
      </c>
      <c r="AD28" s="223">
        <f t="shared" si="12"/>
        <v>0</v>
      </c>
      <c r="AE28" s="223">
        <f t="shared" si="7"/>
        <v>0</v>
      </c>
    </row>
    <row r="29" spans="2:31" x14ac:dyDescent="0.2">
      <c r="B29" s="200">
        <v>2</v>
      </c>
      <c r="C29" s="200">
        <v>2024</v>
      </c>
      <c r="D29" s="227">
        <v>30278043.789999999</v>
      </c>
      <c r="E29" s="227">
        <v>10143554</v>
      </c>
      <c r="F29" s="231">
        <v>12523173</v>
      </c>
      <c r="G29" s="231"/>
      <c r="H29" s="231">
        <v>0</v>
      </c>
      <c r="I29" s="227">
        <v>8221939</v>
      </c>
      <c r="J29" s="227">
        <f t="shared" si="0"/>
        <v>61166709.789999999</v>
      </c>
      <c r="L29" s="224">
        <f t="shared" si="1"/>
        <v>12247542.5</v>
      </c>
      <c r="M29" s="224">
        <f t="shared" si="2"/>
        <v>834736</v>
      </c>
      <c r="N29" s="224">
        <f t="shared" si="3"/>
        <v>798319</v>
      </c>
      <c r="O29" s="224">
        <f t="shared" si="4"/>
        <v>0</v>
      </c>
      <c r="P29" s="224">
        <f t="shared" si="5"/>
        <v>2470690</v>
      </c>
      <c r="Q29" s="224">
        <f t="shared" si="13"/>
        <v>16351287.5</v>
      </c>
      <c r="S29" s="224">
        <f>SUMIFS(wallet_records!$R:$R,wallet_records!$A:$A,"Bancolombia",wallet_records!$N:$N,Saldos!$B29,wallet_records!$O:$O,Saldos!$C29)</f>
        <v>12247542.5</v>
      </c>
      <c r="T29" s="224">
        <f>SUMIFS(wallet_records!$R:$R,wallet_records!$A:$A,"Fidu Mantenimiento",wallet_records!$N:$N,Saldos!$B29,wallet_records!$O:$O,Saldos!$C29)</f>
        <v>834736</v>
      </c>
      <c r="U29" s="224">
        <f>SUMIFS(wallet_records!$R:$R,wallet_records!$A:$A,"Fidu Impuestos",wallet_records!$N:$N,Saldos!$B29,wallet_records!$O:$O,Saldos!$C29)</f>
        <v>798319</v>
      </c>
      <c r="V29" s="224">
        <f>SUMIFS(wallet_records!$R:$R,wallet_records!$A:$A,"Fiducuenta ARU",wallet_records!$N:$N,Saldos!$B29,wallet_records!$O:$O,Saldos!$C29)</f>
        <v>0</v>
      </c>
      <c r="W29" s="224">
        <f>SUMIFS(wallet_records!$R:$R,wallet_records!$A:$A,"Nu Bank",wallet_records!$N:$N,Saldos!$B29,wallet_records!$O:$O,Saldos!$C29)</f>
        <v>2470690</v>
      </c>
      <c r="X29" s="226">
        <f t="shared" si="14"/>
        <v>16351287.5</v>
      </c>
      <c r="Y29" s="224"/>
      <c r="Z29" s="223">
        <f t="shared" si="8"/>
        <v>0</v>
      </c>
      <c r="AA29" s="223">
        <f t="shared" si="9"/>
        <v>0</v>
      </c>
      <c r="AB29" s="223">
        <f t="shared" si="10"/>
        <v>0</v>
      </c>
      <c r="AC29" s="223">
        <f t="shared" si="11"/>
        <v>0</v>
      </c>
      <c r="AD29" s="223">
        <f t="shared" si="12"/>
        <v>0</v>
      </c>
      <c r="AE29" s="223">
        <f t="shared" si="7"/>
        <v>0</v>
      </c>
    </row>
    <row r="30" spans="2:31" x14ac:dyDescent="0.2">
      <c r="B30" s="200">
        <v>3</v>
      </c>
      <c r="C30" s="200">
        <v>2024</v>
      </c>
      <c r="D30" s="227">
        <v>19652315.32</v>
      </c>
      <c r="E30" s="227">
        <v>13313521</v>
      </c>
      <c r="F30" s="227">
        <v>15883579</v>
      </c>
      <c r="G30" s="227"/>
      <c r="H30" s="231">
        <v>0</v>
      </c>
      <c r="I30" s="231">
        <v>682957</v>
      </c>
      <c r="J30" s="227">
        <f t="shared" si="0"/>
        <v>49532372.32</v>
      </c>
      <c r="L30" s="224">
        <f t="shared" si="1"/>
        <v>-10625728.469999999</v>
      </c>
      <c r="M30" s="224">
        <f t="shared" si="2"/>
        <v>3169967</v>
      </c>
      <c r="N30" s="224">
        <f t="shared" si="3"/>
        <v>3360406</v>
      </c>
      <c r="O30" s="224">
        <f t="shared" si="4"/>
        <v>0</v>
      </c>
      <c r="P30" s="224">
        <f t="shared" si="5"/>
        <v>-7538982</v>
      </c>
      <c r="Q30" s="224">
        <f t="shared" si="13"/>
        <v>-11634337.469999999</v>
      </c>
      <c r="S30" s="224">
        <f>SUMIFS(wallet_records!$R:$R,wallet_records!$A:$A,"Bancolombia",wallet_records!$N:$N,Saldos!$B30,wallet_records!$O:$O,Saldos!$C30)</f>
        <v>-10625728.470000001</v>
      </c>
      <c r="T30" s="224">
        <f>SUMIFS(wallet_records!$R:$R,wallet_records!$A:$A,"Fidu Mantenimiento",wallet_records!$N:$N,Saldos!$B30,wallet_records!$O:$O,Saldos!$C30)</f>
        <v>3169967</v>
      </c>
      <c r="U30" s="224">
        <f>SUMIFS(wallet_records!$R:$R,wallet_records!$A:$A,"Fidu Impuestos",wallet_records!$N:$N,Saldos!$B30,wallet_records!$O:$O,Saldos!$C30)</f>
        <v>3360406</v>
      </c>
      <c r="V30" s="224">
        <f>SUMIFS(wallet_records!$R:$R,wallet_records!$A:$A,"Fiducuenta ARU",wallet_records!$N:$N,Saldos!$B30,wallet_records!$O:$O,Saldos!$C30)</f>
        <v>0</v>
      </c>
      <c r="W30" s="224">
        <f>SUMIFS(wallet_records!$R:$R,wallet_records!$A:$A,"Nu Bank",wallet_records!$N:$N,Saldos!$B30,wallet_records!$O:$O,Saldos!$C30)</f>
        <v>-7538982</v>
      </c>
      <c r="X30" s="226">
        <f t="shared" si="14"/>
        <v>-11634337.470000001</v>
      </c>
      <c r="Y30" s="224"/>
      <c r="Z30" s="223">
        <f t="shared" si="8"/>
        <v>0</v>
      </c>
      <c r="AA30" s="223">
        <f t="shared" si="9"/>
        <v>0</v>
      </c>
      <c r="AB30" s="223">
        <f t="shared" si="10"/>
        <v>0</v>
      </c>
      <c r="AC30" s="223">
        <f t="shared" si="11"/>
        <v>0</v>
      </c>
      <c r="AD30" s="223">
        <f t="shared" si="12"/>
        <v>0</v>
      </c>
      <c r="AE30" s="223">
        <f t="shared" si="7"/>
        <v>0</v>
      </c>
    </row>
    <row r="31" spans="2:31" x14ac:dyDescent="0.2">
      <c r="B31" s="200">
        <v>4</v>
      </c>
      <c r="C31" s="200">
        <v>2024</v>
      </c>
      <c r="D31" s="227">
        <v>14509226.380000001</v>
      </c>
      <c r="E31" s="227">
        <v>14104570</v>
      </c>
      <c r="F31" s="227">
        <v>18158170</v>
      </c>
      <c r="G31" s="227"/>
      <c r="H31" s="231">
        <v>0</v>
      </c>
      <c r="I31" s="231">
        <v>811884</v>
      </c>
      <c r="J31" s="227">
        <f t="shared" si="0"/>
        <v>47583850.380000003</v>
      </c>
      <c r="L31" s="224">
        <f t="shared" si="1"/>
        <v>-5143088.9399999995</v>
      </c>
      <c r="M31" s="224">
        <f t="shared" si="2"/>
        <v>791049</v>
      </c>
      <c r="N31" s="224">
        <f t="shared" si="3"/>
        <v>2274591</v>
      </c>
      <c r="O31" s="224">
        <f t="shared" si="4"/>
        <v>0</v>
      </c>
      <c r="P31" s="224">
        <f t="shared" si="5"/>
        <v>128927</v>
      </c>
      <c r="Q31" s="224">
        <f t="shared" si="13"/>
        <v>-1948521.9399999976</v>
      </c>
      <c r="S31" s="224">
        <f>SUMIFS(wallet_records!$R:$R,wallet_records!$A:$A,"Bancolombia",wallet_records!$N:$N,Saldos!$B31,wallet_records!$O:$O,Saldos!$C31)</f>
        <v>-5143088.9400000004</v>
      </c>
      <c r="T31" s="224">
        <f>SUMIFS(wallet_records!$R:$R,wallet_records!$A:$A,"Fidu Mantenimiento",wallet_records!$N:$N,Saldos!$B31,wallet_records!$O:$O,Saldos!$C31)</f>
        <v>791049</v>
      </c>
      <c r="U31" s="224">
        <f>SUMIFS(wallet_records!$R:$R,wallet_records!$A:$A,"Fidu Impuestos",wallet_records!$N:$N,Saldos!$B31,wallet_records!$O:$O,Saldos!$C31)</f>
        <v>2274591</v>
      </c>
      <c r="V31" s="224">
        <f>SUMIFS(wallet_records!$R:$R,wallet_records!$A:$A,"Fiducuenta ARU",wallet_records!$N:$N,Saldos!$B31,wallet_records!$O:$O,Saldos!$C31)</f>
        <v>0</v>
      </c>
      <c r="W31" s="224">
        <f>SUMIFS(wallet_records!$R:$R,wallet_records!$A:$A,"Nu Bank",wallet_records!$N:$N,Saldos!$B31,wallet_records!$O:$O,Saldos!$C31)</f>
        <v>128927</v>
      </c>
      <c r="X31" s="226">
        <f t="shared" si="14"/>
        <v>-1948521.9400000004</v>
      </c>
      <c r="Y31" s="224"/>
      <c r="Z31" s="223">
        <f t="shared" si="8"/>
        <v>0</v>
      </c>
      <c r="AA31" s="223">
        <f t="shared" si="9"/>
        <v>0</v>
      </c>
      <c r="AB31" s="223">
        <f t="shared" si="10"/>
        <v>0</v>
      </c>
      <c r="AC31" s="223">
        <f t="shared" si="11"/>
        <v>0</v>
      </c>
      <c r="AD31" s="223">
        <f t="shared" si="12"/>
        <v>0</v>
      </c>
      <c r="AE31" s="223">
        <f t="shared" si="7"/>
        <v>0</v>
      </c>
    </row>
    <row r="32" spans="2:31" x14ac:dyDescent="0.2">
      <c r="B32" s="200">
        <v>5</v>
      </c>
      <c r="C32" s="200">
        <v>2024</v>
      </c>
      <c r="D32" s="227">
        <v>11730014.08</v>
      </c>
      <c r="E32" s="227">
        <v>16170566</v>
      </c>
      <c r="F32" s="227">
        <v>20487828</v>
      </c>
      <c r="G32" s="227"/>
      <c r="H32" s="231">
        <v>0</v>
      </c>
      <c r="I32" s="231">
        <v>1414682</v>
      </c>
      <c r="J32" s="227">
        <f t="shared" si="0"/>
        <v>49803090.079999998</v>
      </c>
      <c r="L32" s="224">
        <f t="shared" si="1"/>
        <v>-2779212.3000000007</v>
      </c>
      <c r="M32" s="224">
        <f t="shared" si="2"/>
        <v>2065996</v>
      </c>
      <c r="N32" s="224">
        <f t="shared" si="3"/>
        <v>2329658</v>
      </c>
      <c r="O32" s="224">
        <f t="shared" si="4"/>
        <v>0</v>
      </c>
      <c r="P32" s="224">
        <f t="shared" si="5"/>
        <v>602798</v>
      </c>
      <c r="Q32" s="224">
        <f t="shared" si="13"/>
        <v>2219239.6999999955</v>
      </c>
      <c r="S32" s="224">
        <f>SUMIFS(wallet_records!$R:$R,wallet_records!$A:$A,"Bancolombia",wallet_records!$N:$N,Saldos!$B32,wallet_records!$O:$O,Saldos!$C32)</f>
        <v>-2779212.3000000007</v>
      </c>
      <c r="T32" s="224">
        <f>SUMIFS(wallet_records!$R:$R,wallet_records!$A:$A,"Fidu Mantenimiento",wallet_records!$N:$N,Saldos!$B32,wallet_records!$O:$O,Saldos!$C32)</f>
        <v>2065996</v>
      </c>
      <c r="U32" s="224">
        <f>SUMIFS(wallet_records!$R:$R,wallet_records!$A:$A,"Fidu Impuestos",wallet_records!$N:$N,Saldos!$B32,wallet_records!$O:$O,Saldos!$C32)</f>
        <v>2329658</v>
      </c>
      <c r="V32" s="224">
        <f>SUMIFS(wallet_records!$R:$R,wallet_records!$A:$A,"Fiducuenta ARU",wallet_records!$N:$N,Saldos!$B32,wallet_records!$O:$O,Saldos!$C32)</f>
        <v>0</v>
      </c>
      <c r="W32" s="224">
        <f>SUMIFS(wallet_records!$R:$R,wallet_records!$A:$A,"Nu Bank",wallet_records!$N:$N,Saldos!$B32,wallet_records!$O:$O,Saldos!$C32)</f>
        <v>602798</v>
      </c>
      <c r="X32" s="226">
        <f t="shared" si="14"/>
        <v>2219239.6999999993</v>
      </c>
      <c r="Y32" s="224"/>
      <c r="Z32" s="223">
        <f t="shared" si="8"/>
        <v>0</v>
      </c>
      <c r="AA32" s="223">
        <f t="shared" si="9"/>
        <v>0</v>
      </c>
      <c r="AB32" s="223">
        <f t="shared" si="10"/>
        <v>0</v>
      </c>
      <c r="AC32" s="223">
        <f t="shared" si="11"/>
        <v>0</v>
      </c>
      <c r="AD32" s="223">
        <f t="shared" si="12"/>
        <v>0</v>
      </c>
      <c r="AE32" s="223">
        <f t="shared" si="7"/>
        <v>0</v>
      </c>
    </row>
    <row r="33" spans="2:31" x14ac:dyDescent="0.2">
      <c r="B33" s="200">
        <v>6</v>
      </c>
      <c r="C33" s="200">
        <v>2024</v>
      </c>
      <c r="D33" s="227">
        <v>10659800.060000001</v>
      </c>
      <c r="E33" s="227">
        <v>17394356</v>
      </c>
      <c r="F33" s="227">
        <v>23131092</v>
      </c>
      <c r="G33" s="227"/>
      <c r="H33" s="231">
        <v>519717.54</v>
      </c>
      <c r="I33" s="231">
        <v>4037471</v>
      </c>
      <c r="J33" s="227">
        <f t="shared" si="0"/>
        <v>55742436.600000001</v>
      </c>
      <c r="L33" s="224">
        <f t="shared" si="1"/>
        <v>-1070214.0199999996</v>
      </c>
      <c r="M33" s="224">
        <f t="shared" si="2"/>
        <v>1223790</v>
      </c>
      <c r="N33" s="224">
        <f t="shared" si="3"/>
        <v>2643264</v>
      </c>
      <c r="O33" s="224">
        <f t="shared" si="4"/>
        <v>519717.54</v>
      </c>
      <c r="P33" s="224">
        <f t="shared" si="5"/>
        <v>2622789</v>
      </c>
      <c r="Q33" s="224">
        <f t="shared" si="13"/>
        <v>5939346.5200000033</v>
      </c>
      <c r="S33" s="224">
        <f>SUMIFS(wallet_records!$R:$R,wallet_records!$A:$A,"Bancolombia",wallet_records!$N:$N,Saldos!$B33,wallet_records!$O:$O,Saldos!$C33)</f>
        <v>-1070214.0199999996</v>
      </c>
      <c r="T33" s="224">
        <f>SUMIFS(wallet_records!$R:$R,wallet_records!$A:$A,"Fidu Mantenimiento",wallet_records!$N:$N,Saldos!$B33,wallet_records!$O:$O,Saldos!$C33)</f>
        <v>1223790</v>
      </c>
      <c r="U33" s="224">
        <f>SUMIFS(wallet_records!$R:$R,wallet_records!$A:$A,"Fidu Impuestos",wallet_records!$N:$N,Saldos!$B33,wallet_records!$O:$O,Saldos!$C33)</f>
        <v>2643264</v>
      </c>
      <c r="V33" s="224">
        <f>SUMIFS(wallet_records!$R:$R,wallet_records!$A:$A,"Fiducuenta ARU",wallet_records!$N:$N,Saldos!$B33,wallet_records!$O:$O,Saldos!$C33)</f>
        <v>519717.54</v>
      </c>
      <c r="W33" s="224">
        <f>SUMIFS(wallet_records!$R:$R,wallet_records!$A:$A,"Nu Bank",wallet_records!$N:$N,Saldos!$B33,wallet_records!$O:$O,Saldos!$C33)</f>
        <v>2622789</v>
      </c>
      <c r="X33" s="226">
        <f t="shared" si="14"/>
        <v>5939346.5200000005</v>
      </c>
      <c r="Y33" s="224"/>
      <c r="Z33" s="223">
        <f t="shared" si="8"/>
        <v>0</v>
      </c>
      <c r="AA33" s="223">
        <f t="shared" si="9"/>
        <v>0</v>
      </c>
      <c r="AB33" s="223">
        <f t="shared" si="10"/>
        <v>0</v>
      </c>
      <c r="AC33" s="223">
        <f t="shared" si="11"/>
        <v>0</v>
      </c>
      <c r="AD33" s="223">
        <f t="shared" si="12"/>
        <v>0</v>
      </c>
      <c r="AE33" s="223">
        <f t="shared" si="7"/>
        <v>0</v>
      </c>
    </row>
    <row r="34" spans="2:31" x14ac:dyDescent="0.2">
      <c r="B34" s="200">
        <v>7</v>
      </c>
      <c r="C34" s="200">
        <v>2024</v>
      </c>
      <c r="D34" s="227">
        <v>10635008.449999999</v>
      </c>
      <c r="E34" s="227">
        <v>18635083</v>
      </c>
      <c r="F34" s="227">
        <v>25792839</v>
      </c>
      <c r="G34" s="227"/>
      <c r="H34" s="231">
        <v>1528356.63</v>
      </c>
      <c r="I34" s="231">
        <v>5065409</v>
      </c>
      <c r="J34" s="227">
        <f t="shared" si="0"/>
        <v>61656696.080000006</v>
      </c>
      <c r="L34" s="224">
        <f t="shared" si="1"/>
        <v>-24791.610000001267</v>
      </c>
      <c r="M34" s="224">
        <f t="shared" si="2"/>
        <v>1240727</v>
      </c>
      <c r="N34" s="224">
        <f t="shared" si="3"/>
        <v>2661747</v>
      </c>
      <c r="O34" s="224">
        <f t="shared" si="4"/>
        <v>1008639.0899999999</v>
      </c>
      <c r="P34" s="224">
        <f t="shared" si="5"/>
        <v>1027938</v>
      </c>
      <c r="Q34" s="224">
        <f t="shared" si="13"/>
        <v>5914259.4800000042</v>
      </c>
      <c r="S34" s="224">
        <f>SUMIFS(wallet_records!$R:$R,wallet_records!$A:$A,"Bancolombia",wallet_records!$N:$N,Saldos!$B34,wallet_records!$O:$O,Saldos!$C34)</f>
        <v>-24791.609999999404</v>
      </c>
      <c r="T34" s="224">
        <f>SUMIFS(wallet_records!$R:$R,wallet_records!$A:$A,"Fidu Mantenimiento",wallet_records!$N:$N,Saldos!$B34,wallet_records!$O:$O,Saldos!$C34)</f>
        <v>1240727</v>
      </c>
      <c r="U34" s="224">
        <f>SUMIFS(wallet_records!$R:$R,wallet_records!$A:$A,"Fidu Impuestos",wallet_records!$N:$N,Saldos!$B34,wallet_records!$O:$O,Saldos!$C34)</f>
        <v>2661747</v>
      </c>
      <c r="V34" s="224">
        <f>SUMIFS(wallet_records!$R:$R,wallet_records!$A:$A,"Fiducuenta ARU",wallet_records!$N:$N,Saldos!$B34,wallet_records!$O:$O,Saldos!$C34)</f>
        <v>1008639.09</v>
      </c>
      <c r="W34" s="224">
        <f>SUMIFS(wallet_records!$R:$R,wallet_records!$A:$A,"Nu Bank",wallet_records!$N:$N,Saldos!$B34,wallet_records!$O:$O,Saldos!$C34)</f>
        <v>1027938</v>
      </c>
      <c r="X34" s="226">
        <f t="shared" si="14"/>
        <v>5914259.4800000004</v>
      </c>
      <c r="Y34" s="224"/>
      <c r="Z34" s="223">
        <f t="shared" si="8"/>
        <v>-1.862645149230957E-9</v>
      </c>
      <c r="AA34" s="223">
        <f t="shared" si="9"/>
        <v>0</v>
      </c>
      <c r="AB34" s="223">
        <f t="shared" si="10"/>
        <v>0</v>
      </c>
      <c r="AC34" s="223">
        <f t="shared" si="11"/>
        <v>0</v>
      </c>
      <c r="AD34" s="223">
        <f t="shared" si="12"/>
        <v>0</v>
      </c>
      <c r="AE34" s="223">
        <f t="shared" si="7"/>
        <v>-1.862645149230957E-9</v>
      </c>
    </row>
    <row r="35" spans="2:31" x14ac:dyDescent="0.2">
      <c r="B35" s="200">
        <v>8</v>
      </c>
      <c r="C35" s="200">
        <v>2024</v>
      </c>
      <c r="D35" s="227">
        <v>10743231.720000001</v>
      </c>
      <c r="E35" s="227">
        <v>19892980</v>
      </c>
      <c r="F35" s="227">
        <v>28473199</v>
      </c>
      <c r="G35" s="227"/>
      <c r="H35" s="231">
        <v>2547215.6800000002</v>
      </c>
      <c r="I35" s="231">
        <v>6100460</v>
      </c>
      <c r="J35" s="227">
        <f t="shared" si="0"/>
        <v>67757086.400000006</v>
      </c>
      <c r="L35" s="224">
        <f t="shared" si="1"/>
        <v>108223.27000000142</v>
      </c>
      <c r="M35" s="224">
        <f t="shared" si="2"/>
        <v>1257897</v>
      </c>
      <c r="N35" s="224">
        <f t="shared" si="3"/>
        <v>2680360</v>
      </c>
      <c r="O35" s="224">
        <f t="shared" si="4"/>
        <v>1018859.0500000003</v>
      </c>
      <c r="P35" s="224">
        <f t="shared" si="5"/>
        <v>1035051</v>
      </c>
      <c r="Q35" s="224">
        <f t="shared" si="13"/>
        <v>6100390.3200000003</v>
      </c>
      <c r="S35" s="224">
        <f>SUMIFS(wallet_records!$R:$R,wallet_records!$A:$A,"Bancolombia",wallet_records!$N:$N,Saldos!$B35,wallet_records!$O:$O,Saldos!$C35)</f>
        <v>108223.26999999955</v>
      </c>
      <c r="T35" s="224">
        <f>SUMIFS(wallet_records!$R:$R,wallet_records!$A:$A,"Fidu Mantenimiento",wallet_records!$N:$N,Saldos!$B35,wallet_records!$O:$O,Saldos!$C35)</f>
        <v>1257897</v>
      </c>
      <c r="U35" s="224">
        <f>SUMIFS(wallet_records!$R:$R,wallet_records!$A:$A,"Fidu Impuestos",wallet_records!$N:$N,Saldos!$B35,wallet_records!$O:$O,Saldos!$C35)</f>
        <v>2680360</v>
      </c>
      <c r="V35" s="224">
        <f>SUMIFS(wallet_records!$R:$R,wallet_records!$A:$A,"Fiducuenta ARU",wallet_records!$N:$N,Saldos!$B35,wallet_records!$O:$O,Saldos!$C35)</f>
        <v>1018859.05</v>
      </c>
      <c r="W35" s="224">
        <f>SUMIFS(wallet_records!$R:$R,wallet_records!$A:$A,"Nu Bank",wallet_records!$N:$N,Saldos!$B35,wallet_records!$O:$O,Saldos!$C35)</f>
        <v>1035051</v>
      </c>
      <c r="X35" s="226">
        <f t="shared" si="14"/>
        <v>6100390.3199999994</v>
      </c>
      <c r="Y35" s="224"/>
      <c r="Z35" s="223">
        <f t="shared" si="8"/>
        <v>1.862645149230957E-9</v>
      </c>
      <c r="AA35" s="223">
        <f t="shared" si="9"/>
        <v>0</v>
      </c>
      <c r="AB35" s="223">
        <f t="shared" si="10"/>
        <v>0</v>
      </c>
      <c r="AC35" s="223">
        <f t="shared" si="11"/>
        <v>0</v>
      </c>
      <c r="AD35" s="223">
        <f t="shared" si="12"/>
        <v>0</v>
      </c>
      <c r="AE35" s="223">
        <f t="shared" si="7"/>
        <v>1.862645149230957E-9</v>
      </c>
    </row>
    <row r="36" spans="2:31" x14ac:dyDescent="0.2">
      <c r="B36" s="200">
        <v>9</v>
      </c>
      <c r="C36" s="200">
        <v>2024</v>
      </c>
      <c r="D36" s="227">
        <v>2032157.48</v>
      </c>
      <c r="E36" s="227">
        <v>21168286</v>
      </c>
      <c r="F36" s="227">
        <v>31283302</v>
      </c>
      <c r="G36" s="227"/>
      <c r="H36" s="231">
        <v>3569070.6</v>
      </c>
      <c r="I36" s="231">
        <v>7142673</v>
      </c>
      <c r="J36" s="227">
        <f t="shared" si="0"/>
        <v>65195489.080000006</v>
      </c>
      <c r="L36" s="224">
        <f t="shared" si="1"/>
        <v>-8711074.2400000002</v>
      </c>
      <c r="M36" s="224">
        <f t="shared" si="2"/>
        <v>1275306</v>
      </c>
      <c r="N36" s="224">
        <f t="shared" si="3"/>
        <v>2810103</v>
      </c>
      <c r="O36" s="224">
        <f t="shared" si="4"/>
        <v>1021854.9199999999</v>
      </c>
      <c r="P36" s="224">
        <f t="shared" si="5"/>
        <v>1042213</v>
      </c>
      <c r="Q36" s="224">
        <f t="shared" si="13"/>
        <v>-2561597.3200000003</v>
      </c>
      <c r="S36" s="224">
        <f>SUMIFS(wallet_records!$R:$R,wallet_records!$A:$A,"Bancolombia",wallet_records!$N:$N,Saldos!$B36,wallet_records!$O:$O,Saldos!$C36)</f>
        <v>-8711074.2400000002</v>
      </c>
      <c r="T36" s="224">
        <f>SUMIFS(wallet_records!$R:$R,wallet_records!$A:$A,"Fidu Mantenimiento",wallet_records!$N:$N,Saldos!$B36,wallet_records!$O:$O,Saldos!$C36)</f>
        <v>1275306</v>
      </c>
      <c r="U36" s="224">
        <f>SUMIFS(wallet_records!$R:$R,wallet_records!$A:$A,"Fidu Impuestos",wallet_records!$N:$N,Saldos!$B36,wallet_records!$O:$O,Saldos!$C36)</f>
        <v>2810103</v>
      </c>
      <c r="V36" s="224">
        <f>SUMIFS(wallet_records!$R:$R,wallet_records!$A:$A,"Fiducuenta ARU",wallet_records!$N:$N,Saldos!$B36,wallet_records!$O:$O,Saldos!$C36)</f>
        <v>1021854.92</v>
      </c>
      <c r="W36" s="224">
        <f>SUMIFS(wallet_records!$R:$R,wallet_records!$A:$A,"Nu Bank",wallet_records!$N:$N,Saldos!$B36,wallet_records!$O:$O,Saldos!$C36)</f>
        <v>1042213</v>
      </c>
      <c r="X36" s="226">
        <f t="shared" si="14"/>
        <v>-2561597.3200000003</v>
      </c>
      <c r="Y36" s="224"/>
      <c r="Z36" s="223">
        <f t="shared" si="8"/>
        <v>0</v>
      </c>
      <c r="AA36" s="223">
        <f t="shared" si="9"/>
        <v>0</v>
      </c>
      <c r="AB36" s="223">
        <f t="shared" si="10"/>
        <v>0</v>
      </c>
      <c r="AC36" s="223">
        <f t="shared" si="11"/>
        <v>0</v>
      </c>
      <c r="AD36" s="223">
        <f t="shared" si="12"/>
        <v>0</v>
      </c>
      <c r="AE36" s="223">
        <f t="shared" si="7"/>
        <v>0</v>
      </c>
    </row>
    <row r="37" spans="2:31" x14ac:dyDescent="0.2">
      <c r="B37" s="200">
        <v>10</v>
      </c>
      <c r="C37" s="200">
        <v>2024</v>
      </c>
      <c r="D37" s="227">
        <v>4258737.4400000004</v>
      </c>
      <c r="E37" s="227">
        <v>22464331</v>
      </c>
      <c r="F37" s="227">
        <v>34002055</v>
      </c>
      <c r="G37" s="227"/>
      <c r="H37" s="231">
        <v>3584434.21</v>
      </c>
      <c r="I37" s="231">
        <v>4692098</v>
      </c>
      <c r="J37" s="227">
        <f t="shared" si="0"/>
        <v>69001655.650000006</v>
      </c>
      <c r="L37" s="224">
        <f t="shared" si="1"/>
        <v>2226579.9600000004</v>
      </c>
      <c r="M37" s="224">
        <f t="shared" si="2"/>
        <v>1296045</v>
      </c>
      <c r="N37" s="224">
        <f t="shared" si="3"/>
        <v>2718753</v>
      </c>
      <c r="O37" s="224">
        <f t="shared" si="4"/>
        <v>15363.60999999987</v>
      </c>
      <c r="P37" s="224">
        <f t="shared" si="5"/>
        <v>-2450575</v>
      </c>
      <c r="Q37" s="224">
        <f t="shared" si="13"/>
        <v>3806166.5700000003</v>
      </c>
      <c r="S37" s="224">
        <f>SUMIFS(wallet_records!$R:$R,wallet_records!$A:$A,"Bancolombia",wallet_records!$N:$N,Saldos!$B37,wallet_records!$O:$O,Saldos!$C37)</f>
        <v>2226579.96</v>
      </c>
      <c r="T37" s="224">
        <f>SUMIFS(wallet_records!$R:$R,wallet_records!$A:$A,"Fidu Mantenimiento",wallet_records!$N:$N,Saldos!$B37,wallet_records!$O:$O,Saldos!$C37)</f>
        <v>1296045</v>
      </c>
      <c r="U37" s="224">
        <f>SUMIFS(wallet_records!$R:$R,wallet_records!$A:$A,"Fidu Impuestos",wallet_records!$N:$N,Saldos!$B37,wallet_records!$O:$O,Saldos!$C37)</f>
        <v>2718753</v>
      </c>
      <c r="V37" s="224">
        <f>SUMIFS(wallet_records!$R:$R,wallet_records!$A:$A,"Fiducuenta ARU",wallet_records!$N:$N,Saldos!$B37,wallet_records!$O:$O,Saldos!$C37)</f>
        <v>15363.61</v>
      </c>
      <c r="W37" s="224">
        <f>SUMIFS(wallet_records!$R:$R,wallet_records!$A:$A,"Nu Bank",wallet_records!$N:$N,Saldos!$B37,wallet_records!$O:$O,Saldos!$C37)</f>
        <v>-2450575</v>
      </c>
      <c r="X37" s="226">
        <f t="shared" si="14"/>
        <v>3806166.5700000003</v>
      </c>
      <c r="Y37" s="224"/>
      <c r="Z37" s="223">
        <f t="shared" si="8"/>
        <v>0</v>
      </c>
      <c r="AA37" s="223">
        <f t="shared" si="9"/>
        <v>0</v>
      </c>
      <c r="AB37" s="223">
        <f t="shared" si="10"/>
        <v>0</v>
      </c>
      <c r="AC37" s="223">
        <f t="shared" si="11"/>
        <v>-1.3096723705530167E-10</v>
      </c>
      <c r="AD37" s="223">
        <f t="shared" si="12"/>
        <v>0</v>
      </c>
      <c r="AE37" s="223">
        <f t="shared" si="7"/>
        <v>-1.3096723705530167E-10</v>
      </c>
    </row>
    <row r="38" spans="2:31" x14ac:dyDescent="0.2">
      <c r="B38" s="200">
        <v>11</v>
      </c>
      <c r="C38" s="200">
        <v>2024</v>
      </c>
      <c r="D38" s="227">
        <v>9433644.8399999999</v>
      </c>
      <c r="E38" s="227">
        <v>23778500</v>
      </c>
      <c r="F38" s="227">
        <v>36739819</v>
      </c>
      <c r="G38" s="227"/>
      <c r="H38" s="227">
        <v>5119025.0999999996</v>
      </c>
      <c r="I38" s="231">
        <v>5300000</v>
      </c>
      <c r="J38" s="227">
        <f t="shared" si="0"/>
        <v>80370988.939999998</v>
      </c>
      <c r="L38" s="224">
        <f t="shared" si="1"/>
        <v>5174907.3999999994</v>
      </c>
      <c r="M38" s="224">
        <f t="shared" si="2"/>
        <v>1314169</v>
      </c>
      <c r="N38" s="224">
        <f t="shared" si="3"/>
        <v>2737764</v>
      </c>
      <c r="O38" s="224">
        <f t="shared" si="4"/>
        <v>1534590.8899999997</v>
      </c>
      <c r="P38" s="224">
        <f t="shared" si="5"/>
        <v>607902</v>
      </c>
      <c r="Q38" s="224">
        <f t="shared" si="13"/>
        <v>11369333.289999992</v>
      </c>
      <c r="S38" s="224">
        <f>SUMIFS(wallet_records!$R:$R,wallet_records!$A:$A,"Bancolombia",wallet_records!$N:$N,Saldos!$B38,wallet_records!$O:$O,Saldos!$C38)</f>
        <v>5174907.4000000004</v>
      </c>
      <c r="T38" s="224">
        <f>SUMIFS(wallet_records!$R:$R,wallet_records!$A:$A,"Fidu Mantenimiento",wallet_records!$N:$N,Saldos!$B38,wallet_records!$O:$O,Saldos!$C38)</f>
        <v>1314169</v>
      </c>
      <c r="U38" s="224">
        <f>SUMIFS(wallet_records!$R:$R,wallet_records!$A:$A,"Fidu Impuestos",wallet_records!$N:$N,Saldos!$B38,wallet_records!$O:$O,Saldos!$C38)</f>
        <v>2737764</v>
      </c>
      <c r="V38" s="224">
        <f>SUMIFS(wallet_records!$R:$R,wallet_records!$A:$A,"Fiducuenta ARU",wallet_records!$N:$N,Saldos!$B38,wallet_records!$O:$O,Saldos!$C38)</f>
        <v>1534590.89</v>
      </c>
      <c r="W38" s="224">
        <f>SUMIFS(wallet_records!$R:$R,wallet_records!$A:$A,"Nu Bank",wallet_records!$N:$N,Saldos!$B38,wallet_records!$O:$O,Saldos!$C38)</f>
        <v>607902</v>
      </c>
      <c r="X38" s="226">
        <f t="shared" si="14"/>
        <v>11369333.290000001</v>
      </c>
      <c r="Y38" s="224"/>
      <c r="Z38" s="223">
        <f t="shared" si="8"/>
        <v>0</v>
      </c>
      <c r="AA38" s="223">
        <f t="shared" si="9"/>
        <v>0</v>
      </c>
      <c r="AB38" s="223">
        <f t="shared" si="10"/>
        <v>0</v>
      </c>
      <c r="AC38" s="223">
        <f t="shared" si="11"/>
        <v>0</v>
      </c>
      <c r="AD38" s="223">
        <f t="shared" si="12"/>
        <v>0</v>
      </c>
      <c r="AE38" s="223">
        <f t="shared" si="7"/>
        <v>0</v>
      </c>
    </row>
    <row r="39" spans="2:31" x14ac:dyDescent="0.2">
      <c r="B39" s="200">
        <v>12</v>
      </c>
      <c r="C39" s="200">
        <v>2024</v>
      </c>
      <c r="D39" s="227">
        <v>16255659.83</v>
      </c>
      <c r="E39" s="227">
        <v>1000000</v>
      </c>
      <c r="F39" s="227">
        <v>39496727</v>
      </c>
      <c r="G39" s="227"/>
      <c r="H39" s="227">
        <v>5145331.24</v>
      </c>
      <c r="I39" s="231">
        <v>6761240</v>
      </c>
      <c r="J39" s="227">
        <f t="shared" si="0"/>
        <v>68658958.069999993</v>
      </c>
      <c r="L39" s="224">
        <f t="shared" si="1"/>
        <v>6822014.9900000002</v>
      </c>
      <c r="M39" s="224">
        <f t="shared" si="2"/>
        <v>-22778500</v>
      </c>
      <c r="N39" s="224">
        <f t="shared" si="3"/>
        <v>2756908</v>
      </c>
      <c r="O39" s="224">
        <f t="shared" si="4"/>
        <v>26306.140000000596</v>
      </c>
      <c r="P39" s="224">
        <f t="shared" si="5"/>
        <v>1461240</v>
      </c>
      <c r="Q39" s="224">
        <f t="shared" si="13"/>
        <v>-11712030.870000005</v>
      </c>
      <c r="S39" s="224">
        <f>SUMIFS(wallet_records!$R:$R,wallet_records!$A:$A,"Bancolombia",wallet_records!$N:$N,Saldos!$B39,wallet_records!$O:$O,Saldos!$C39)</f>
        <v>6822014.9900000002</v>
      </c>
      <c r="T39" s="224">
        <f>SUMIFS(wallet_records!$R:$R,wallet_records!$A:$A,"Fidu Mantenimiento",wallet_records!$N:$N,Saldos!$B39,wallet_records!$O:$O,Saldos!$C39)</f>
        <v>-22778500</v>
      </c>
      <c r="U39" s="224">
        <f>SUMIFS(wallet_records!$R:$R,wallet_records!$A:$A,"Fidu Impuestos",wallet_records!$N:$N,Saldos!$B39,wallet_records!$O:$O,Saldos!$C39)</f>
        <v>2756908</v>
      </c>
      <c r="V39" s="224">
        <f>SUMIFS(wallet_records!$R:$R,wallet_records!$A:$A,"Fiducuenta ARU",wallet_records!$N:$N,Saldos!$B39,wallet_records!$O:$O,Saldos!$C39)</f>
        <v>26306.14</v>
      </c>
      <c r="W39" s="224">
        <f>SUMIFS(wallet_records!$R:$R,wallet_records!$A:$A,"Nu Bank",wallet_records!$N:$N,Saldos!$B39,wallet_records!$O:$O,Saldos!$C39)</f>
        <v>1461240</v>
      </c>
      <c r="X39" s="226">
        <f t="shared" si="14"/>
        <v>-11712030.869999999</v>
      </c>
      <c r="Y39" s="224"/>
      <c r="Z39" s="223">
        <f t="shared" si="8"/>
        <v>0</v>
      </c>
      <c r="AA39" s="223">
        <f t="shared" si="9"/>
        <v>0</v>
      </c>
      <c r="AB39" s="223">
        <f t="shared" si="10"/>
        <v>0</v>
      </c>
      <c r="AC39" s="223">
        <f t="shared" si="11"/>
        <v>5.9662852436304092E-10</v>
      </c>
      <c r="AD39" s="223">
        <f t="shared" si="12"/>
        <v>0</v>
      </c>
      <c r="AE39" s="223">
        <f t="shared" si="7"/>
        <v>5.9662852436304092E-10</v>
      </c>
    </row>
    <row r="40" spans="2:31" x14ac:dyDescent="0.2">
      <c r="B40" s="200">
        <v>1</v>
      </c>
      <c r="C40" s="200">
        <v>2025</v>
      </c>
      <c r="D40" s="227">
        <v>10099360.539999999</v>
      </c>
      <c r="E40" s="227">
        <v>2329817</v>
      </c>
      <c r="F40" s="231">
        <v>25544674</v>
      </c>
      <c r="G40" s="231"/>
      <c r="H40" s="227">
        <v>4922376.1900000004</v>
      </c>
      <c r="I40" s="227">
        <v>7872022.2400000002</v>
      </c>
      <c r="J40" s="227">
        <f t="shared" si="0"/>
        <v>50768249.969999999</v>
      </c>
      <c r="L40" s="224">
        <f t="shared" si="1"/>
        <v>-6156299.290000001</v>
      </c>
      <c r="M40" s="224">
        <f t="shared" si="2"/>
        <v>1329817</v>
      </c>
      <c r="N40" s="224">
        <f t="shared" si="3"/>
        <v>-13952053</v>
      </c>
      <c r="O40" s="224">
        <f t="shared" si="4"/>
        <v>-222955.04999999981</v>
      </c>
      <c r="P40" s="224">
        <f t="shared" si="5"/>
        <v>1110782.2400000002</v>
      </c>
      <c r="Q40" s="224">
        <f t="shared" si="13"/>
        <v>-17890708.099999994</v>
      </c>
      <c r="S40" s="224">
        <f>SUMIFS(wallet_records!$R:$R,wallet_records!$A:$A,"Bancolombia",wallet_records!$N:$N,Saldos!$B40,wallet_records!$O:$O,Saldos!$C40)</f>
        <v>-6156299.29</v>
      </c>
      <c r="T40" s="224">
        <f>SUMIFS(wallet_records!$R:$R,wallet_records!$A:$A,"Fidu Mantenimiento",wallet_records!$N:$N,Saldos!$B40,wallet_records!$O:$O,Saldos!$C40)</f>
        <v>1329817</v>
      </c>
      <c r="U40" s="224">
        <f>SUMIFS(wallet_records!$R:$R,wallet_records!$A:$A,"Fidu Impuestos",wallet_records!$N:$N,Saldos!$B40,wallet_records!$O:$O,Saldos!$C40)</f>
        <v>-13952053</v>
      </c>
      <c r="V40" s="224">
        <f>SUMIFS(wallet_records!$R:$R,wallet_records!$A:$A,"Fiducuenta ARU",wallet_records!$N:$N,Saldos!$B40,wallet_records!$O:$O,Saldos!$C40)</f>
        <v>-222955.05000000005</v>
      </c>
      <c r="W40" s="224">
        <f>SUMIFS(wallet_records!$R:$R,wallet_records!$A:$A,"Nu Bank",wallet_records!$N:$N,Saldos!$B40,wallet_records!$O:$O,Saldos!$C40)</f>
        <v>1110782.2400000002</v>
      </c>
      <c r="X40" s="226">
        <f t="shared" si="14"/>
        <v>-17890708.100000001</v>
      </c>
      <c r="Y40" s="224"/>
      <c r="Z40" s="223">
        <f t="shared" si="8"/>
        <v>0</v>
      </c>
      <c r="AA40" s="223">
        <f t="shared" si="9"/>
        <v>0</v>
      </c>
      <c r="AB40" s="223">
        <f t="shared" si="10"/>
        <v>0</v>
      </c>
      <c r="AC40" s="223">
        <f t="shared" si="11"/>
        <v>2.3283064365386963E-10</v>
      </c>
      <c r="AD40" s="223">
        <f t="shared" si="12"/>
        <v>0</v>
      </c>
      <c r="AE40" s="223">
        <f t="shared" si="7"/>
        <v>2.3283064365386963E-10</v>
      </c>
    </row>
    <row r="41" spans="2:31" x14ac:dyDescent="0.2">
      <c r="B41" s="200">
        <v>2</v>
      </c>
      <c r="C41" s="200">
        <v>2025</v>
      </c>
      <c r="D41" s="227">
        <v>13095566.550000001</v>
      </c>
      <c r="E41" s="227">
        <v>3560678</v>
      </c>
      <c r="F41" s="227">
        <v>8827679</v>
      </c>
      <c r="G41" s="227"/>
      <c r="H41" s="227">
        <v>5953229.6299999999</v>
      </c>
      <c r="I41" s="231">
        <v>9144250.4100000001</v>
      </c>
      <c r="J41" s="227">
        <f t="shared" si="0"/>
        <v>40581403.590000004</v>
      </c>
      <c r="K41" s="215"/>
      <c r="L41" s="224">
        <f t="shared" si="1"/>
        <v>2996206.0100000016</v>
      </c>
      <c r="M41" s="224">
        <f t="shared" si="2"/>
        <v>1230861</v>
      </c>
      <c r="N41" s="224">
        <f t="shared" si="3"/>
        <v>-16716995</v>
      </c>
      <c r="O41" s="224">
        <f t="shared" si="4"/>
        <v>1030853.4399999995</v>
      </c>
      <c r="P41" s="224">
        <f t="shared" si="5"/>
        <v>1272228.17</v>
      </c>
      <c r="Q41" s="224">
        <f t="shared" si="13"/>
        <v>-10186846.379999995</v>
      </c>
      <c r="S41" s="224">
        <f>SUMIFS(wallet_records!$R:$R,wallet_records!$A:$A,"Bancolombia",wallet_records!$N:$N,Saldos!$B41,wallet_records!$O:$O,Saldos!$C41)</f>
        <v>2996206.01</v>
      </c>
      <c r="T41" s="224">
        <f>SUMIFS(wallet_records!$R:$R,wallet_records!$A:$A,"Fidu Mantenimiento",wallet_records!$N:$N,Saldos!$B41,wallet_records!$O:$O,Saldos!$C41)</f>
        <v>1230861</v>
      </c>
      <c r="U41" s="224">
        <f>SUMIFS(wallet_records!$R:$R,wallet_records!$A:$A,"Fidu Impuestos",wallet_records!$N:$N,Saldos!$B41,wallet_records!$O:$O,Saldos!$C41)</f>
        <v>-16716995</v>
      </c>
      <c r="V41" s="224">
        <f>SUMIFS(wallet_records!$R:$R,wallet_records!$A:$A,"Fiducuenta ARU",wallet_records!$N:$N,Saldos!$B41,wallet_records!$O:$O,Saldos!$C41)</f>
        <v>1030853.44</v>
      </c>
      <c r="W41" s="224">
        <f>SUMIFS(wallet_records!$R:$R,wallet_records!$A:$A,"Nu Bank",wallet_records!$N:$N,Saldos!$B41,wallet_records!$O:$O,Saldos!$C41)</f>
        <v>1272228.17</v>
      </c>
      <c r="X41" s="226">
        <f t="shared" si="14"/>
        <v>-10186846.380000001</v>
      </c>
      <c r="Y41" s="224"/>
      <c r="Z41" s="223">
        <f t="shared" si="8"/>
        <v>0</v>
      </c>
      <c r="AA41" s="223">
        <f t="shared" si="9"/>
        <v>0</v>
      </c>
      <c r="AB41" s="223">
        <f t="shared" si="10"/>
        <v>0</v>
      </c>
      <c r="AC41" s="223">
        <f t="shared" si="11"/>
        <v>0</v>
      </c>
      <c r="AD41" s="223">
        <f t="shared" si="12"/>
        <v>0</v>
      </c>
      <c r="AE41" s="223">
        <f t="shared" si="7"/>
        <v>0</v>
      </c>
    </row>
    <row r="42" spans="2:31" x14ac:dyDescent="0.2">
      <c r="B42" s="200">
        <v>3</v>
      </c>
      <c r="C42" s="200">
        <v>2025</v>
      </c>
      <c r="D42" s="227">
        <v>12664018.34</v>
      </c>
      <c r="E42" s="227">
        <v>6663379</v>
      </c>
      <c r="F42" s="227">
        <v>8118747</v>
      </c>
      <c r="G42" s="227"/>
      <c r="H42" s="227">
        <v>4787125.59</v>
      </c>
      <c r="I42" s="231">
        <v>10423692.01</v>
      </c>
      <c r="J42" s="227">
        <f t="shared" si="0"/>
        <v>42656961.939999998</v>
      </c>
      <c r="K42" s="215"/>
      <c r="L42" s="224">
        <f t="shared" si="1"/>
        <v>-431548.21000000089</v>
      </c>
      <c r="M42" s="224">
        <f t="shared" si="2"/>
        <v>3102701</v>
      </c>
      <c r="N42" s="224">
        <f t="shared" si="3"/>
        <v>-708932</v>
      </c>
      <c r="O42" s="224">
        <f t="shared" si="4"/>
        <v>-1166104.04</v>
      </c>
      <c r="P42" s="224">
        <f t="shared" si="5"/>
        <v>1279441.5999999996</v>
      </c>
      <c r="Q42" s="224">
        <f t="shared" si="13"/>
        <v>2075558.349999994</v>
      </c>
      <c r="S42" s="224">
        <f>SUMIFS(wallet_records!$R:$R,wallet_records!$A:$A,"Bancolombia",wallet_records!$N:$N,Saldos!$B42,wallet_records!$O:$O,Saldos!$C42)</f>
        <v>-431548.21000000089</v>
      </c>
      <c r="T42" s="224">
        <f>SUMIFS(wallet_records!$R:$R,wallet_records!$A:$A,"Fidu Mantenimiento",wallet_records!$N:$N,Saldos!$B42,wallet_records!$O:$O,Saldos!$C42)</f>
        <v>3102701</v>
      </c>
      <c r="U42" s="224">
        <f>SUMIFS(wallet_records!$R:$R,wallet_records!$A:$A,"Fidu Impuestos",wallet_records!$N:$N,Saldos!$B42,wallet_records!$O:$O,Saldos!$C42)</f>
        <v>-708932</v>
      </c>
      <c r="V42" s="224">
        <f>SUMIFS(wallet_records!$R:$R,wallet_records!$A:$A,"Fiducuenta ARU",wallet_records!$N:$N,Saldos!$B42,wallet_records!$O:$O,Saldos!$C42)</f>
        <v>-1166104.04</v>
      </c>
      <c r="W42" s="224">
        <f>SUMIFS(wallet_records!$R:$R,wallet_records!$A:$A,"Nu Bank",wallet_records!$N:$N,Saldos!$B42,wallet_records!$O:$O,Saldos!$C42)</f>
        <v>1279441.6000000001</v>
      </c>
      <c r="X42" s="226">
        <f t="shared" si="14"/>
        <v>2075558.3499999992</v>
      </c>
      <c r="Y42" s="224"/>
      <c r="Z42" s="223">
        <f t="shared" si="8"/>
        <v>0</v>
      </c>
      <c r="AA42" s="223">
        <f t="shared" si="9"/>
        <v>0</v>
      </c>
      <c r="AB42" s="223">
        <f t="shared" si="10"/>
        <v>0</v>
      </c>
      <c r="AC42" s="223">
        <f t="shared" si="11"/>
        <v>0</v>
      </c>
      <c r="AD42" s="223">
        <f t="shared" si="12"/>
        <v>0</v>
      </c>
      <c r="AE42" s="223">
        <f t="shared" si="7"/>
        <v>0</v>
      </c>
    </row>
    <row r="43" spans="2:31" x14ac:dyDescent="0.2">
      <c r="B43" s="200">
        <v>4</v>
      </c>
      <c r="C43" s="200">
        <v>2025</v>
      </c>
      <c r="D43" s="227">
        <v>3039418.24</v>
      </c>
      <c r="E43" s="227">
        <v>7951642</v>
      </c>
      <c r="F43" s="227">
        <v>16428550</v>
      </c>
      <c r="G43" s="227"/>
      <c r="H43" s="227">
        <v>5822455.8399999999</v>
      </c>
      <c r="I43" s="231">
        <v>11704416.84</v>
      </c>
      <c r="J43" s="227">
        <f t="shared" si="0"/>
        <v>44946482.920000002</v>
      </c>
      <c r="K43" s="215"/>
      <c r="L43" s="224">
        <f t="shared" si="1"/>
        <v>-9624600.0999999996</v>
      </c>
      <c r="M43" s="224">
        <f t="shared" si="2"/>
        <v>1288263</v>
      </c>
      <c r="N43" s="224">
        <f t="shared" si="3"/>
        <v>8309803</v>
      </c>
      <c r="O43" s="224">
        <f t="shared" si="4"/>
        <v>1035330.25</v>
      </c>
      <c r="P43" s="224">
        <f t="shared" si="5"/>
        <v>1280724.83</v>
      </c>
      <c r="Q43" s="224">
        <f t="shared" si="13"/>
        <v>2289520.9800000042</v>
      </c>
      <c r="S43" s="224">
        <f>SUMIFS(wallet_records!$R:$R,wallet_records!$A:$A,"Bancolombia",wallet_records!$N:$N,Saldos!$B43,wallet_records!$O:$O,Saldos!$C43)</f>
        <v>-9624600.0999999996</v>
      </c>
      <c r="T43" s="224">
        <f>SUMIFS(wallet_records!$R:$R,wallet_records!$A:$A,"Fidu Mantenimiento",wallet_records!$N:$N,Saldos!$B43,wallet_records!$O:$O,Saldos!$C43)</f>
        <v>1288263</v>
      </c>
      <c r="U43" s="224">
        <f>SUMIFS(wallet_records!$R:$R,wallet_records!$A:$A,"Fidu Impuestos",wallet_records!$N:$N,Saldos!$B43,wallet_records!$O:$O,Saldos!$C43)</f>
        <v>8309803</v>
      </c>
      <c r="V43" s="224">
        <f>SUMIFS(wallet_records!$R:$R,wallet_records!$A:$A,"Fiducuenta ARU",wallet_records!$N:$N,Saldos!$B43,wallet_records!$O:$O,Saldos!$C43)</f>
        <v>1035330.25</v>
      </c>
      <c r="W43" s="224">
        <f>SUMIFS(wallet_records!$R:$R,wallet_records!$A:$A,"Nu Bank",wallet_records!$N:$N,Saldos!$B43,wallet_records!$O:$O,Saldos!$C43)</f>
        <v>1280724.83</v>
      </c>
      <c r="X43" s="226">
        <f t="shared" si="14"/>
        <v>2289520.9800000004</v>
      </c>
      <c r="Y43" s="224"/>
      <c r="Z43" s="223">
        <f t="shared" si="8"/>
        <v>0</v>
      </c>
      <c r="AA43" s="223">
        <f t="shared" si="9"/>
        <v>0</v>
      </c>
      <c r="AB43" s="223">
        <f t="shared" si="10"/>
        <v>0</v>
      </c>
      <c r="AC43" s="223">
        <f t="shared" si="11"/>
        <v>0</v>
      </c>
      <c r="AD43" s="223">
        <f t="shared" si="12"/>
        <v>0</v>
      </c>
      <c r="AE43" s="223">
        <f t="shared" si="7"/>
        <v>0</v>
      </c>
    </row>
    <row r="44" spans="2:31" x14ac:dyDescent="0.2">
      <c r="B44" s="200">
        <v>5</v>
      </c>
      <c r="C44" s="200">
        <v>2025</v>
      </c>
      <c r="D44" s="227">
        <v>6467955.54</v>
      </c>
      <c r="E44" s="227">
        <v>5299122</v>
      </c>
      <c r="F44" s="227">
        <v>17303293</v>
      </c>
      <c r="G44" s="227"/>
      <c r="H44" s="227">
        <v>6866147.9299999997</v>
      </c>
      <c r="I44" s="231">
        <v>14395233.960000001</v>
      </c>
      <c r="J44" s="227">
        <f t="shared" si="0"/>
        <v>50331752.43</v>
      </c>
      <c r="K44" s="215"/>
      <c r="L44" s="224">
        <f t="shared" si="1"/>
        <v>3428537.3</v>
      </c>
      <c r="M44" s="224">
        <f t="shared" si="2"/>
        <v>-2652520</v>
      </c>
      <c r="N44" s="224">
        <f t="shared" si="3"/>
        <v>874743</v>
      </c>
      <c r="O44" s="224">
        <f t="shared" si="4"/>
        <v>1043692.0899999999</v>
      </c>
      <c r="P44" s="224">
        <f t="shared" si="5"/>
        <v>2690817.120000001</v>
      </c>
      <c r="Q44" s="224">
        <f t="shared" si="13"/>
        <v>5385269.5099999979</v>
      </c>
      <c r="S44" s="224">
        <f>SUMIFS(wallet_records!$R:$R,wallet_records!$A:$A,"Bancolombia",wallet_records!$N:$N,Saldos!$B44,wallet_records!$O:$O,Saldos!$C44)</f>
        <v>3428537.3000000007</v>
      </c>
      <c r="T44" s="224">
        <f>SUMIFS(wallet_records!$R:$R,wallet_records!$A:$A,"Fidu Mantenimiento",wallet_records!$N:$N,Saldos!$B44,wallet_records!$O:$O,Saldos!$C44)</f>
        <v>-2652520</v>
      </c>
      <c r="U44" s="224">
        <f>SUMIFS(wallet_records!$R:$R,wallet_records!$A:$A,"Fidu Impuestos",wallet_records!$N:$N,Saldos!$B44,wallet_records!$O:$O,Saldos!$C44)</f>
        <v>874743</v>
      </c>
      <c r="V44" s="224">
        <f>SUMIFS(wallet_records!$R:$R,wallet_records!$A:$A,"Fiducuenta ARU",wallet_records!$N:$N,Saldos!$B44,wallet_records!$O:$O,Saldos!$C44)</f>
        <v>1043692.09</v>
      </c>
      <c r="W44" s="224">
        <f>SUMIFS(wallet_records!$R:$R,wallet_records!$A:$A,"Nu Bank",wallet_records!$N:$N,Saldos!$B44,wallet_records!$O:$O,Saldos!$C44)</f>
        <v>2690817.12</v>
      </c>
      <c r="X44" s="226">
        <f t="shared" si="14"/>
        <v>5385269.5100000007</v>
      </c>
      <c r="Y44" s="224"/>
      <c r="Z44" s="223">
        <f t="shared" si="8"/>
        <v>0</v>
      </c>
      <c r="AA44" s="223">
        <f t="shared" si="9"/>
        <v>0</v>
      </c>
      <c r="AB44" s="223">
        <f t="shared" si="10"/>
        <v>0</v>
      </c>
      <c r="AC44" s="223">
        <f t="shared" si="11"/>
        <v>0</v>
      </c>
      <c r="AD44" s="223">
        <f t="shared" si="12"/>
        <v>0</v>
      </c>
      <c r="AE44" s="223">
        <f t="shared" si="7"/>
        <v>0</v>
      </c>
    </row>
    <row r="45" spans="2:31" x14ac:dyDescent="0.2">
      <c r="B45" s="200">
        <v>6</v>
      </c>
      <c r="C45" s="200">
        <v>2025</v>
      </c>
      <c r="D45" s="227">
        <v>1517074.45</v>
      </c>
      <c r="E45" s="227">
        <v>6768135</v>
      </c>
      <c r="F45" s="227">
        <v>19840467</v>
      </c>
      <c r="G45" s="227"/>
      <c r="H45" s="227">
        <v>7903098.7199999997</v>
      </c>
      <c r="I45" s="231">
        <v>14492911.34</v>
      </c>
      <c r="J45" s="227">
        <f t="shared" si="0"/>
        <v>50521686.510000005</v>
      </c>
      <c r="K45" s="215"/>
      <c r="L45" s="224">
        <f t="shared" si="1"/>
        <v>-4950881.09</v>
      </c>
      <c r="M45" s="224">
        <f t="shared" si="2"/>
        <v>1469013</v>
      </c>
      <c r="N45" s="224">
        <f t="shared" si="3"/>
        <v>2537174</v>
      </c>
      <c r="O45" s="224">
        <f t="shared" si="4"/>
        <v>1036950.79</v>
      </c>
      <c r="P45" s="224">
        <f t="shared" si="5"/>
        <v>97677.379999998957</v>
      </c>
      <c r="Q45" s="224">
        <f t="shared" si="13"/>
        <v>189934.08000000566</v>
      </c>
      <c r="S45" s="224">
        <f>SUMIFS(wallet_records!$R:$R,wallet_records!$A:$A,"Bancolombia",wallet_records!$N:$N,Saldos!$B45,wallet_records!$O:$O,Saldos!$C45)</f>
        <v>-4950881.09</v>
      </c>
      <c r="T45" s="224">
        <f>SUMIFS(wallet_records!$R:$R,wallet_records!$A:$A,"Fidu Mantenimiento",wallet_records!$N:$N,Saldos!$B45,wallet_records!$O:$O,Saldos!$C45)</f>
        <v>1469013</v>
      </c>
      <c r="U45" s="224">
        <f>SUMIFS(wallet_records!$R:$R,wallet_records!$A:$A,"Fidu Impuestos",wallet_records!$N:$N,Saldos!$B45,wallet_records!$O:$O,Saldos!$C45)</f>
        <v>2537174</v>
      </c>
      <c r="V45" s="224">
        <f>SUMIFS(wallet_records!$R:$R,wallet_records!$A:$A,"Fiducuenta ARU",wallet_records!$N:$N,Saldos!$B45,wallet_records!$O:$O,Saldos!$C45)</f>
        <v>1036950.79</v>
      </c>
      <c r="W45" s="224">
        <f>SUMIFS(wallet_records!$R:$R,wallet_records!$A:$A,"Nu Bank",wallet_records!$N:$N,Saldos!$B45,wallet_records!$O:$O,Saldos!$C45)</f>
        <v>97677.38</v>
      </c>
      <c r="X45" s="226">
        <f t="shared" si="14"/>
        <v>189934.08000000019</v>
      </c>
      <c r="Y45" s="224"/>
      <c r="Z45" s="223">
        <f t="shared" si="8"/>
        <v>0</v>
      </c>
      <c r="AA45" s="223">
        <f t="shared" si="9"/>
        <v>0</v>
      </c>
      <c r="AB45" s="223">
        <f t="shared" si="10"/>
        <v>0</v>
      </c>
      <c r="AC45" s="223">
        <f t="shared" si="11"/>
        <v>0</v>
      </c>
      <c r="AD45" s="223">
        <f t="shared" si="12"/>
        <v>-1.0477378964424133E-9</v>
      </c>
      <c r="AE45" s="223">
        <f t="shared" si="7"/>
        <v>-1.0477378964424133E-9</v>
      </c>
    </row>
    <row r="46" spans="2:31" x14ac:dyDescent="0.2">
      <c r="B46" s="200">
        <v>7</v>
      </c>
      <c r="C46" s="200">
        <v>2025</v>
      </c>
      <c r="D46" s="227">
        <v>2466895.61</v>
      </c>
      <c r="E46" s="227">
        <v>7618507</v>
      </c>
      <c r="F46" s="227">
        <v>22496662</v>
      </c>
      <c r="G46" s="227"/>
      <c r="H46" s="227">
        <v>8970967.6400000006</v>
      </c>
      <c r="I46" s="231">
        <v>25044128.91</v>
      </c>
      <c r="J46" s="227">
        <f t="shared" si="0"/>
        <v>66597161.159999996</v>
      </c>
      <c r="K46" s="215"/>
      <c r="L46" s="224">
        <f t="shared" si="1"/>
        <v>949821.15999999992</v>
      </c>
      <c r="M46" s="224">
        <f t="shared" si="2"/>
        <v>850372</v>
      </c>
      <c r="N46" s="224">
        <f t="shared" si="3"/>
        <v>2656195</v>
      </c>
      <c r="O46" s="224">
        <f t="shared" si="4"/>
        <v>1067868.9200000009</v>
      </c>
      <c r="P46" s="224">
        <f t="shared" si="5"/>
        <v>10551217.57</v>
      </c>
      <c r="Q46" s="224">
        <f t="shared" si="13"/>
        <v>16075474.649999991</v>
      </c>
      <c r="S46" s="224">
        <f>SUMIFS(wallet_records!$R:$R,wallet_records!$A:$A,"Bancolombia",wallet_records!$N:$N,Saldos!$B46,wallet_records!$O:$O,Saldos!$C46)</f>
        <v>949821.16000000015</v>
      </c>
      <c r="T46" s="224">
        <f>SUMIFS(wallet_records!$R:$R,wallet_records!$A:$A,"Fidu Mantenimiento",wallet_records!$N:$N,Saldos!$B46,wallet_records!$O:$O,Saldos!$C46)</f>
        <v>850372.00000000012</v>
      </c>
      <c r="U46" s="224">
        <f>SUMIFS(wallet_records!$R:$R,wallet_records!$A:$A,"Fidu Impuestos",wallet_records!$N:$N,Saldos!$B46,wallet_records!$O:$O,Saldos!$C46)</f>
        <v>2656195</v>
      </c>
      <c r="V46" s="224">
        <f>SUMIFS(wallet_records!$R:$R,wallet_records!$A:$A,"Fiducuenta ARU",wallet_records!$N:$N,Saldos!$B46,wallet_records!$O:$O,Saldos!$C46)</f>
        <v>1067868.92</v>
      </c>
      <c r="W46" s="224">
        <f>SUMIFS(wallet_records!$R:$R,wallet_records!$A:$A,"Nu Bank",wallet_records!$N:$N,Saldos!$B46,wallet_records!$O:$O,Saldos!$C46)</f>
        <v>10551217.57</v>
      </c>
      <c r="X46" s="226">
        <f t="shared" si="14"/>
        <v>16075474.65</v>
      </c>
      <c r="Y46" s="224"/>
      <c r="Z46" s="223">
        <f t="shared" si="8"/>
        <v>0</v>
      </c>
      <c r="AA46" s="223">
        <f t="shared" si="9"/>
        <v>0</v>
      </c>
      <c r="AB46" s="223">
        <f t="shared" si="10"/>
        <v>0</v>
      </c>
      <c r="AC46" s="223">
        <f t="shared" si="11"/>
        <v>0</v>
      </c>
      <c r="AD46" s="223">
        <f t="shared" si="12"/>
        <v>0</v>
      </c>
      <c r="AE46" s="223">
        <f t="shared" si="7"/>
        <v>0</v>
      </c>
    </row>
    <row r="47" spans="2:31" x14ac:dyDescent="0.2">
      <c r="B47" s="200">
        <v>8</v>
      </c>
      <c r="C47" s="200">
        <v>2025</v>
      </c>
      <c r="D47" s="227">
        <v>5528188.0899999999</v>
      </c>
      <c r="E47" s="227">
        <v>8000000</v>
      </c>
      <c r="F47" s="227">
        <v>25038216</v>
      </c>
      <c r="G47" s="227"/>
      <c r="H47" s="227">
        <v>10025404.67</v>
      </c>
      <c r="I47" s="231">
        <v>26812389.710000001</v>
      </c>
      <c r="J47" s="227">
        <f t="shared" si="0"/>
        <v>75404198.469999999</v>
      </c>
      <c r="K47" s="215"/>
      <c r="L47" s="224">
        <f t="shared" si="1"/>
        <v>3061292.48</v>
      </c>
      <c r="M47" s="224">
        <f t="shared" si="2"/>
        <v>381493</v>
      </c>
      <c r="N47" s="224">
        <f t="shared" si="3"/>
        <v>2541554</v>
      </c>
      <c r="O47" s="224">
        <f t="shared" si="4"/>
        <v>1054437.0299999993</v>
      </c>
      <c r="P47" s="224">
        <f t="shared" si="5"/>
        <v>1768260.8000000007</v>
      </c>
      <c r="Q47" s="224">
        <f t="shared" si="13"/>
        <v>8807037.3100000024</v>
      </c>
      <c r="S47" s="224">
        <f>SUMIFS(wallet_records!$R:$R,wallet_records!$A:$A,"Bancolombia",wallet_records!$N:$N,Saldos!$B47,wallet_records!$O:$O,Saldos!$C47)</f>
        <v>3061292.4800000004</v>
      </c>
      <c r="T47" s="224">
        <f>SUMIFS(wallet_records!$R:$R,wallet_records!$A:$A,"Fidu Mantenimiento",wallet_records!$N:$N,Saldos!$B47,wallet_records!$O:$O,Saldos!$C47)</f>
        <v>381493</v>
      </c>
      <c r="U47" s="224">
        <f>SUMIFS(wallet_records!$R:$R,wallet_records!$A:$A,"Fidu Impuestos",wallet_records!$N:$N,Saldos!$B47,wallet_records!$O:$O,Saldos!$C47)</f>
        <v>2541554</v>
      </c>
      <c r="V47" s="224">
        <f>SUMIFS(wallet_records!$R:$R,wallet_records!$A:$A,"Fiducuenta ARU",wallet_records!$N:$N,Saldos!$B47,wallet_records!$O:$O,Saldos!$C47)</f>
        <v>1054437.03</v>
      </c>
      <c r="W47" s="224">
        <f>SUMIFS(wallet_records!$R:$R,wallet_records!$A:$A,"Nu Bank",wallet_records!$N:$N,Saldos!$B47,wallet_records!$O:$O,Saldos!$C47)</f>
        <v>1768260.8</v>
      </c>
      <c r="X47" s="226">
        <f t="shared" si="14"/>
        <v>8807037.3100000005</v>
      </c>
      <c r="Y47" s="224"/>
      <c r="Z47" s="223">
        <f t="shared" si="8"/>
        <v>0</v>
      </c>
      <c r="AA47" s="223">
        <f t="shared" si="9"/>
        <v>0</v>
      </c>
      <c r="AB47" s="223">
        <f t="shared" si="10"/>
        <v>0</v>
      </c>
      <c r="AC47" s="223">
        <f t="shared" si="11"/>
        <v>0</v>
      </c>
      <c r="AD47" s="223">
        <f t="shared" si="12"/>
        <v>0</v>
      </c>
      <c r="AE47" s="223">
        <f t="shared" si="7"/>
        <v>0</v>
      </c>
    </row>
    <row r="48" spans="2:31" x14ac:dyDescent="0.2">
      <c r="B48" s="200">
        <v>9</v>
      </c>
      <c r="C48" s="200">
        <v>2025</v>
      </c>
      <c r="D48" s="227">
        <v>4277655.9800000004</v>
      </c>
      <c r="E48" s="227">
        <v>10218831</v>
      </c>
      <c r="F48" s="227">
        <v>26046906</v>
      </c>
      <c r="G48" s="227"/>
      <c r="H48" s="227">
        <v>11083051.880000001</v>
      </c>
      <c r="I48" s="231">
        <v>16793582.219999999</v>
      </c>
      <c r="J48" s="227">
        <f t="shared" si="0"/>
        <v>68420027.080000013</v>
      </c>
      <c r="K48" s="215"/>
      <c r="L48" s="224">
        <f t="shared" si="1"/>
        <v>-1250532.1099999994</v>
      </c>
      <c r="M48" s="224">
        <f t="shared" si="2"/>
        <v>2218831</v>
      </c>
      <c r="N48" s="224">
        <f t="shared" si="3"/>
        <v>1008690</v>
      </c>
      <c r="O48" s="224">
        <f t="shared" si="4"/>
        <v>1057647.2100000009</v>
      </c>
      <c r="P48" s="224">
        <f t="shared" si="5"/>
        <v>-10018807.490000002</v>
      </c>
      <c r="Q48" s="224">
        <f t="shared" si="13"/>
        <v>-6984171.3899999857</v>
      </c>
      <c r="S48" s="224">
        <f>SUMIFS(wallet_records!$R:$R,wallet_records!$A:$A,"Bancolombia",wallet_records!$N:$N,Saldos!$B48,wallet_records!$O:$O,Saldos!$C48)</f>
        <v>-1250532.1099999999</v>
      </c>
      <c r="T48" s="224">
        <f>SUMIFS(wallet_records!$R:$R,wallet_records!$A:$A,"Fidu Mantenimiento",wallet_records!$N:$N,Saldos!$B48,wallet_records!$O:$O,Saldos!$C48)</f>
        <v>2218831</v>
      </c>
      <c r="U48" s="224">
        <f>SUMIFS(wallet_records!$R:$R,wallet_records!$A:$A,"Fidu Impuestos",wallet_records!$N:$N,Saldos!$B48,wallet_records!$O:$O,Saldos!$C48)</f>
        <v>1008690</v>
      </c>
      <c r="V48" s="224">
        <f>SUMIFS(wallet_records!$R:$R,wallet_records!$A:$A,"Fiducuenta ARU",wallet_records!$N:$N,Saldos!$B48,wallet_records!$O:$O,Saldos!$C48)</f>
        <v>1057647.21</v>
      </c>
      <c r="W48" s="224">
        <f>SUMIFS(wallet_records!$R:$R,wallet_records!$A:$A,"Nu Bank",wallet_records!$N:$N,Saldos!$B48,wallet_records!$O:$O,Saldos!$C48)</f>
        <v>-10018807.49</v>
      </c>
      <c r="X48" s="226">
        <f t="shared" si="14"/>
        <v>-6984171.3900000006</v>
      </c>
      <c r="Y48" s="224"/>
      <c r="Z48" s="223">
        <f t="shared" si="8"/>
        <v>0</v>
      </c>
      <c r="AA48" s="223">
        <f t="shared" si="9"/>
        <v>0</v>
      </c>
      <c r="AB48" s="223">
        <f t="shared" si="10"/>
        <v>0</v>
      </c>
      <c r="AC48" s="223">
        <f t="shared" si="11"/>
        <v>0</v>
      </c>
      <c r="AD48" s="223">
        <f t="shared" si="12"/>
        <v>0</v>
      </c>
      <c r="AE48" s="223">
        <f t="shared" si="7"/>
        <v>0</v>
      </c>
    </row>
    <row r="49" spans="2:31" x14ac:dyDescent="0.2">
      <c r="B49" s="200">
        <v>10</v>
      </c>
      <c r="C49" s="200">
        <v>2025</v>
      </c>
      <c r="D49" s="228">
        <v>4922160.63</v>
      </c>
      <c r="E49" s="228">
        <v>9642198</v>
      </c>
      <c r="F49" s="228">
        <v>21711664</v>
      </c>
      <c r="G49" s="228"/>
      <c r="H49" s="227">
        <v>12151350.890000001</v>
      </c>
      <c r="I49" s="231">
        <v>22532240.07</v>
      </c>
      <c r="J49" s="227">
        <f t="shared" si="0"/>
        <v>70959613.590000004</v>
      </c>
      <c r="K49" s="215"/>
      <c r="L49" s="224">
        <f t="shared" si="1"/>
        <v>644504.64999999944</v>
      </c>
      <c r="M49" s="224">
        <f t="shared" si="2"/>
        <v>-576633</v>
      </c>
      <c r="N49" s="224">
        <f t="shared" si="3"/>
        <v>-4335242</v>
      </c>
      <c r="O49" s="224">
        <f t="shared" si="4"/>
        <v>1068299.0099999998</v>
      </c>
      <c r="P49" s="224">
        <f t="shared" si="5"/>
        <v>5738657.8500000015</v>
      </c>
      <c r="Q49" s="224">
        <f t="shared" si="13"/>
        <v>2539586.5099999905</v>
      </c>
      <c r="S49" s="224">
        <f>SUMIFS(wallet_records!$R:$R,wallet_records!$A:$A,"Bancolombia",wallet_records!$N:$N,Saldos!$B49,wallet_records!$O:$O,Saldos!$C49)</f>
        <v>644504.65000000037</v>
      </c>
      <c r="T49" s="224">
        <f>SUMIFS(wallet_records!$R:$R,wallet_records!$A:$A,"Fidu Mantenimiento",wallet_records!$N:$N,Saldos!$B49,wallet_records!$O:$O,Saldos!$C49)</f>
        <v>-576633</v>
      </c>
      <c r="U49" s="224">
        <f>SUMIFS(wallet_records!$R:$R,wallet_records!$A:$A,"Fidu Impuestos",wallet_records!$N:$N,Saldos!$B49,wallet_records!$O:$O,Saldos!$C49)</f>
        <v>-4335242</v>
      </c>
      <c r="V49" s="224">
        <f>SUMIFS(wallet_records!$R:$R,wallet_records!$A:$A,"Fiducuenta ARU",wallet_records!$N:$N,Saldos!$B49,wallet_records!$O:$O,Saldos!$C49)</f>
        <v>1068299.01</v>
      </c>
      <c r="W49" s="224">
        <f>SUMIFS(wallet_records!$R:$R,wallet_records!$A:$A,"Nu Bank",wallet_records!$N:$N,Saldos!$B49,wallet_records!$O:$O,Saldos!$C49)</f>
        <v>5738657.8500000006</v>
      </c>
      <c r="X49" s="226">
        <f t="shared" si="14"/>
        <v>2539586.5100000007</v>
      </c>
      <c r="Y49" s="224"/>
      <c r="Z49" s="223">
        <f t="shared" si="8"/>
        <v>-9.3132257461547852E-10</v>
      </c>
      <c r="AA49" s="223">
        <f t="shared" si="9"/>
        <v>0</v>
      </c>
      <c r="AB49" s="223">
        <f t="shared" si="10"/>
        <v>0</v>
      </c>
      <c r="AC49" s="223">
        <f t="shared" si="11"/>
        <v>0</v>
      </c>
      <c r="AD49" s="223">
        <f t="shared" si="12"/>
        <v>0</v>
      </c>
      <c r="AE49" s="223">
        <f t="shared" si="7"/>
        <v>-9.3132257461547852E-10</v>
      </c>
    </row>
    <row r="50" spans="2:31" x14ac:dyDescent="0.2">
      <c r="B50" s="200">
        <v>11</v>
      </c>
      <c r="C50" s="200">
        <v>2025</v>
      </c>
      <c r="D50" s="228">
        <v>5940354.0899999999</v>
      </c>
      <c r="E50" s="228">
        <v>6112754</v>
      </c>
      <c r="F50" s="228">
        <v>24117560</v>
      </c>
      <c r="G50" s="228"/>
      <c r="H50" s="227">
        <v>13200824.300000001</v>
      </c>
      <c r="I50" s="231">
        <v>26943449.059999999</v>
      </c>
      <c r="J50" s="227">
        <f t="shared" si="0"/>
        <v>76314941.450000003</v>
      </c>
      <c r="K50" s="215"/>
      <c r="L50" s="224">
        <f t="shared" si="1"/>
        <v>1018193.46</v>
      </c>
      <c r="M50" s="224">
        <f t="shared" si="2"/>
        <v>-3529444</v>
      </c>
      <c r="N50" s="224">
        <f t="shared" si="3"/>
        <v>2405896</v>
      </c>
      <c r="O50" s="224">
        <f t="shared" si="4"/>
        <v>1049473.4100000001</v>
      </c>
      <c r="P50" s="224">
        <f t="shared" si="5"/>
        <v>4411208.9899999984</v>
      </c>
      <c r="Q50" s="224">
        <f t="shared" si="13"/>
        <v>5355327.8599999994</v>
      </c>
      <c r="S50" s="224">
        <f>SUMIFS(wallet_records!$R:$R,wallet_records!$A:$A,"Bancolombia",wallet_records!$N:$N,Saldos!$B50,wallet_records!$O:$O,Saldos!$C50)</f>
        <v>1018193.4600000009</v>
      </c>
      <c r="T50" s="224">
        <f>SUMIFS(wallet_records!$R:$R,wallet_records!$A:$A,"Fidu Mantenimiento",wallet_records!$N:$N,Saldos!$B50,wallet_records!$O:$O,Saldos!$C50)</f>
        <v>-3529444</v>
      </c>
      <c r="U50" s="224">
        <f>SUMIFS(wallet_records!$R:$R,wallet_records!$A:$A,"Fidu Impuestos",wallet_records!$N:$N,Saldos!$B50,wallet_records!$O:$O,Saldos!$C50)</f>
        <v>2405896</v>
      </c>
      <c r="V50" s="224">
        <f>SUMIFS(wallet_records!$R:$R,wallet_records!$A:$A,"Fiducuenta ARU",wallet_records!$N:$N,Saldos!$B50,wallet_records!$O:$O,Saldos!$C50)</f>
        <v>1049473.4099999999</v>
      </c>
      <c r="W50" s="224">
        <f>SUMIFS(wallet_records!$R:$R,wallet_records!$A:$A,"Nu Bank",wallet_records!$N:$N,Saldos!$B50,wallet_records!$O:$O,Saldos!$C50)</f>
        <v>4411208.99</v>
      </c>
      <c r="X50" s="226">
        <f t="shared" si="14"/>
        <v>5355327.8600000013</v>
      </c>
      <c r="Y50" s="224"/>
      <c r="Z50" s="223">
        <f>L50-S50</f>
        <v>-9.3132257461547852E-10</v>
      </c>
      <c r="AA50" s="223">
        <f t="shared" si="9"/>
        <v>0</v>
      </c>
      <c r="AB50" s="223">
        <f t="shared" si="10"/>
        <v>0</v>
      </c>
      <c r="AC50" s="223">
        <f t="shared" si="11"/>
        <v>0</v>
      </c>
      <c r="AD50" s="223">
        <f t="shared" si="12"/>
        <v>0</v>
      </c>
      <c r="AE50" s="223">
        <f t="shared" si="7"/>
        <v>-9.3132257461547852E-10</v>
      </c>
    </row>
    <row r="51" spans="2:31" x14ac:dyDescent="0.2">
      <c r="B51" s="200">
        <v>12</v>
      </c>
      <c r="C51" s="200">
        <v>2025</v>
      </c>
      <c r="D51" s="224">
        <v>4112943.35</v>
      </c>
      <c r="E51" s="224">
        <v>5263268</v>
      </c>
      <c r="F51" s="224">
        <v>24828736</v>
      </c>
      <c r="G51" s="224"/>
      <c r="H51" s="229">
        <v>14238315.6</v>
      </c>
      <c r="I51" s="229">
        <v>32246510.050000001</v>
      </c>
      <c r="J51" s="227">
        <f t="shared" si="0"/>
        <v>80689773</v>
      </c>
      <c r="L51" s="224">
        <f t="shared" si="1"/>
        <v>-1827410.7399999998</v>
      </c>
      <c r="M51" s="224">
        <f t="shared" si="2"/>
        <v>-849486</v>
      </c>
      <c r="N51" s="224">
        <f t="shared" si="3"/>
        <v>711176</v>
      </c>
      <c r="O51" s="224">
        <f t="shared" si="4"/>
        <v>1037491.2999999989</v>
      </c>
      <c r="P51" s="224">
        <f t="shared" si="5"/>
        <v>5303060.9900000021</v>
      </c>
      <c r="Q51" s="224">
        <f t="shared" si="13"/>
        <v>4374831.549999997</v>
      </c>
      <c r="S51" s="224">
        <f>SUMIFS(wallet_records!$R:$R,wallet_records!$A:$A,"Bancolombia",wallet_records!$N:$N,Saldos!$B51,wallet_records!$O:$O,Saldos!$C51)</f>
        <v>-1827410.7400000002</v>
      </c>
      <c r="T51" s="224">
        <f>SUMIFS(wallet_records!$R:$R,wallet_records!$A:$A,"Fidu Mantenimiento",wallet_records!$N:$N,Saldos!$B51,wallet_records!$O:$O,Saldos!$C51)</f>
        <v>-849486</v>
      </c>
      <c r="U51" s="224">
        <f>SUMIFS(wallet_records!$R:$R,wallet_records!$A:$A,"Fidu Impuestos",wallet_records!$N:$N,Saldos!$B51,wallet_records!$O:$O,Saldos!$C51)</f>
        <v>711176</v>
      </c>
      <c r="V51" s="224">
        <f>SUMIFS(wallet_records!$R:$R,wallet_records!$A:$A,"Fiducuenta ARU",wallet_records!$N:$N,Saldos!$B51,wallet_records!$O:$O,Saldos!$C51)</f>
        <v>1037491.3</v>
      </c>
      <c r="W51" s="224">
        <f>SUMIFS(wallet_records!$R:$R,wallet_records!$A:$A,"Nu Bank",wallet_records!$N:$N,Saldos!$B51,wallet_records!$O:$O,Saldos!$C51)</f>
        <v>5303060.99</v>
      </c>
      <c r="X51" s="226">
        <f t="shared" si="14"/>
        <v>4374831.55</v>
      </c>
      <c r="Y51" s="224"/>
      <c r="Z51" s="223">
        <f t="shared" si="8"/>
        <v>0</v>
      </c>
      <c r="AA51" s="223">
        <f t="shared" si="9"/>
        <v>0</v>
      </c>
      <c r="AB51" s="223">
        <f t="shared" si="10"/>
        <v>0</v>
      </c>
      <c r="AC51" s="223">
        <f t="shared" si="11"/>
        <v>-1.1641532182693481E-9</v>
      </c>
      <c r="AD51" s="223">
        <f t="shared" si="12"/>
        <v>0</v>
      </c>
      <c r="AE51" s="223">
        <f t="shared" si="7"/>
        <v>-1.1641532182693481E-9</v>
      </c>
    </row>
    <row r="52" spans="2:31" x14ac:dyDescent="0.2">
      <c r="B52" s="200">
        <v>1</v>
      </c>
      <c r="C52" s="200">
        <v>2026</v>
      </c>
      <c r="D52" s="255">
        <v>21288891.809999999</v>
      </c>
      <c r="E52" s="229">
        <v>5322606.37</v>
      </c>
      <c r="F52" s="229">
        <v>14349590.199999999</v>
      </c>
      <c r="G52" s="229">
        <v>14088854.789999999</v>
      </c>
      <c r="H52" s="229">
        <v>15321943.109999999</v>
      </c>
      <c r="I52" s="229">
        <v>0</v>
      </c>
      <c r="J52" s="227">
        <f>SUM(D52:H52)</f>
        <v>70371886.280000001</v>
      </c>
      <c r="L52" s="257">
        <f>J52-J51</f>
        <v>-10317886.719999999</v>
      </c>
      <c r="Z52" s="39">
        <f t="shared" ref="Z52:AE52" si="15">SUM(Z6:Z51)</f>
        <v>-24387500</v>
      </c>
      <c r="AA52" s="39">
        <f t="shared" si="15"/>
        <v>6050000</v>
      </c>
      <c r="AB52" s="39">
        <f t="shared" si="15"/>
        <v>18937500</v>
      </c>
      <c r="AC52" s="39">
        <f t="shared" si="15"/>
        <v>-4.6566128730773926E-10</v>
      </c>
      <c r="AD52" s="39">
        <f t="shared" si="15"/>
        <v>-1.0477378964424133E-9</v>
      </c>
      <c r="AE52" s="224">
        <f t="shared" si="15"/>
        <v>599999.99999999802</v>
      </c>
    </row>
    <row r="53" spans="2:31" x14ac:dyDescent="0.2">
      <c r="B53" s="200">
        <v>2</v>
      </c>
      <c r="C53" s="200">
        <v>2026</v>
      </c>
      <c r="D53" s="255">
        <v>11288891.810000001</v>
      </c>
      <c r="E53" s="255">
        <v>5322606.37</v>
      </c>
      <c r="F53" s="255">
        <v>14349590.199999999</v>
      </c>
      <c r="G53" s="255">
        <v>14088854.789999999</v>
      </c>
      <c r="H53" s="255">
        <v>16321943.109999999</v>
      </c>
      <c r="I53" s="229">
        <v>0</v>
      </c>
      <c r="J53" s="227">
        <f t="shared" ref="J53:J63" si="16">SUM(D53:H53)</f>
        <v>61371886.280000001</v>
      </c>
      <c r="Z53" s="39"/>
      <c r="AA53" s="39"/>
      <c r="AB53" s="39"/>
      <c r="AC53" s="39"/>
      <c r="AD53" s="39"/>
      <c r="AE53" s="39"/>
    </row>
    <row r="54" spans="2:31" x14ac:dyDescent="0.2">
      <c r="B54" s="200">
        <v>3</v>
      </c>
      <c r="C54" s="200">
        <v>2026</v>
      </c>
      <c r="D54" s="224"/>
      <c r="E54" s="224"/>
      <c r="F54" s="224"/>
      <c r="G54" s="224"/>
      <c r="H54" s="224"/>
      <c r="I54" s="229">
        <v>0</v>
      </c>
      <c r="J54" s="227">
        <f t="shared" si="16"/>
        <v>0</v>
      </c>
    </row>
    <row r="55" spans="2:31" x14ac:dyDescent="0.2">
      <c r="B55" s="200">
        <v>4</v>
      </c>
      <c r="C55" s="200">
        <v>2026</v>
      </c>
      <c r="D55" s="224"/>
      <c r="E55" s="224"/>
      <c r="F55" s="224"/>
      <c r="G55" s="224"/>
      <c r="H55" s="224"/>
      <c r="I55" s="229">
        <v>0</v>
      </c>
      <c r="J55" s="227">
        <f t="shared" si="16"/>
        <v>0</v>
      </c>
    </row>
    <row r="56" spans="2:31" x14ac:dyDescent="0.2">
      <c r="B56" s="200">
        <v>5</v>
      </c>
      <c r="C56" s="200">
        <v>2026</v>
      </c>
      <c r="D56" s="224"/>
      <c r="E56" s="224"/>
      <c r="F56" s="224"/>
      <c r="G56" s="224"/>
      <c r="H56" s="224"/>
      <c r="I56" s="229">
        <v>0</v>
      </c>
      <c r="J56" s="227">
        <f t="shared" si="16"/>
        <v>0</v>
      </c>
    </row>
    <row r="57" spans="2:31" x14ac:dyDescent="0.2">
      <c r="B57" s="200">
        <v>6</v>
      </c>
      <c r="C57" s="200">
        <v>2026</v>
      </c>
      <c r="D57" s="224"/>
      <c r="E57" s="224"/>
      <c r="F57" s="224"/>
      <c r="G57" s="224"/>
      <c r="H57" s="224"/>
      <c r="I57" s="229">
        <v>0</v>
      </c>
      <c r="J57" s="227">
        <f t="shared" si="16"/>
        <v>0</v>
      </c>
    </row>
    <row r="58" spans="2:31" x14ac:dyDescent="0.2">
      <c r="B58" s="200">
        <v>7</v>
      </c>
      <c r="C58" s="200">
        <v>2026</v>
      </c>
      <c r="D58" s="224"/>
      <c r="E58" s="224"/>
      <c r="F58" s="224"/>
      <c r="G58" s="224"/>
      <c r="H58" s="224"/>
      <c r="I58" s="229">
        <v>0</v>
      </c>
      <c r="J58" s="227">
        <f t="shared" si="16"/>
        <v>0</v>
      </c>
    </row>
    <row r="59" spans="2:31" x14ac:dyDescent="0.2">
      <c r="B59" s="200">
        <v>8</v>
      </c>
      <c r="C59" s="200">
        <v>2026</v>
      </c>
      <c r="D59" s="224"/>
      <c r="E59" s="224"/>
      <c r="F59" s="224"/>
      <c r="G59" s="224"/>
      <c r="H59" s="224"/>
      <c r="I59" s="229">
        <v>0</v>
      </c>
      <c r="J59" s="227">
        <f t="shared" si="16"/>
        <v>0</v>
      </c>
    </row>
    <row r="60" spans="2:31" x14ac:dyDescent="0.2">
      <c r="B60" s="200">
        <v>9</v>
      </c>
      <c r="C60" s="200">
        <v>2026</v>
      </c>
      <c r="D60" s="224"/>
      <c r="E60" s="224"/>
      <c r="F60" s="224"/>
      <c r="G60" s="224"/>
      <c r="H60" s="224"/>
      <c r="I60" s="229">
        <v>0</v>
      </c>
      <c r="J60" s="227">
        <f t="shared" si="16"/>
        <v>0</v>
      </c>
    </row>
    <row r="61" spans="2:31" x14ac:dyDescent="0.2">
      <c r="B61" s="200">
        <v>10</v>
      </c>
      <c r="C61" s="200">
        <v>2026</v>
      </c>
      <c r="D61" s="224"/>
      <c r="E61" s="224"/>
      <c r="F61" s="224"/>
      <c r="G61" s="224"/>
      <c r="H61" s="224"/>
      <c r="I61" s="229">
        <v>0</v>
      </c>
      <c r="J61" s="227">
        <f t="shared" si="16"/>
        <v>0</v>
      </c>
    </row>
    <row r="62" spans="2:31" x14ac:dyDescent="0.2">
      <c r="B62" s="200">
        <v>11</v>
      </c>
      <c r="C62" s="200">
        <v>2026</v>
      </c>
      <c r="D62" s="224"/>
      <c r="E62" s="224"/>
      <c r="F62" s="224"/>
      <c r="G62" s="224"/>
      <c r="H62" s="224"/>
      <c r="I62" s="229">
        <v>0</v>
      </c>
      <c r="J62" s="227">
        <f t="shared" si="16"/>
        <v>0</v>
      </c>
    </row>
    <row r="63" spans="2:31" x14ac:dyDescent="0.2">
      <c r="B63" s="200">
        <v>12</v>
      </c>
      <c r="C63" s="200">
        <v>2026</v>
      </c>
      <c r="D63" s="224"/>
      <c r="E63" s="224"/>
      <c r="F63" s="224"/>
      <c r="G63" s="224"/>
      <c r="H63" s="224"/>
      <c r="I63" s="229">
        <v>0</v>
      </c>
      <c r="J63" s="227">
        <f t="shared" si="16"/>
        <v>0</v>
      </c>
    </row>
  </sheetData>
  <conditionalFormatting sqref="D4:G24">
    <cfRule type="cellIs" dxfId="59" priority="1" operator="lessThan">
      <formula>0</formula>
    </cfRule>
  </conditionalFormatting>
  <conditionalFormatting sqref="I4:I13 J4:J63 E14:E15 F25:G27 I25:I29 D25:D38 E28:E38 F30:G38 H38 D39:H39 D40:E40 H40:I40 D41:H50 D51:I63">
    <cfRule type="cellIs" dxfId="58" priority="5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490B-F046-4A42-BFAC-5CE07A03ACF9}">
  <dimension ref="B1:BD101"/>
  <sheetViews>
    <sheetView zoomScaleNormal="100" workbookViewId="0">
      <pane xSplit="3" ySplit="3" topLeftCell="D4" activePane="bottomRight" state="frozen"/>
      <selection activeCell="AE32" sqref="AE32"/>
      <selection pane="topRight" activeCell="AE32" sqref="AE32"/>
      <selection pane="bottomLeft" activeCell="AE32" sqref="AE32"/>
      <selection pane="bottomRight" activeCell="G1" sqref="G1:G1048576"/>
    </sheetView>
  </sheetViews>
  <sheetFormatPr baseColWidth="10" defaultRowHeight="15" outlineLevelRow="1" outlineLevelCol="1" x14ac:dyDescent="0.2"/>
  <cols>
    <col min="1" max="1" width="3.33203125" customWidth="1"/>
    <col min="2" max="2" width="20.5" style="48" bestFit="1" customWidth="1"/>
    <col min="3" max="3" width="13.83203125" style="48" bestFit="1" customWidth="1"/>
    <col min="4" max="4" width="8.1640625" style="78" customWidth="1" outlineLevel="1"/>
    <col min="5" max="5" width="11.5" style="39" customWidth="1" outlineLevel="1"/>
    <col min="6" max="6" width="8.1640625" customWidth="1" outlineLevel="1"/>
    <col min="7" max="7" width="11.5" style="39" customWidth="1" outlineLevel="1"/>
    <col min="8" max="8" width="8.1640625" customWidth="1" outlineLevel="1"/>
    <col min="9" max="9" width="11.5" style="39" customWidth="1" outlineLevel="1"/>
    <col min="10" max="10" width="8.1640625" customWidth="1" outlineLevel="1"/>
    <col min="11" max="11" width="11.5" style="39" customWidth="1" outlineLevel="1"/>
    <col min="12" max="12" width="8.1640625" customWidth="1" outlineLevel="1"/>
    <col min="13" max="13" width="11.5" style="39" customWidth="1" outlineLevel="1"/>
    <col min="14" max="14" width="8.1640625" customWidth="1" outlineLevel="1"/>
    <col min="15" max="15" width="12.1640625" style="39" bestFit="1" customWidth="1" outlineLevel="1"/>
    <col min="16" max="16" width="8.1640625" customWidth="1" outlineLevel="1"/>
    <col min="17" max="17" width="12.1640625" style="39" bestFit="1" customWidth="1" outlineLevel="1"/>
    <col min="18" max="18" width="8.1640625" customWidth="1" outlineLevel="1"/>
    <col min="19" max="19" width="12.1640625" style="39" bestFit="1" customWidth="1" outlineLevel="1"/>
    <col min="20" max="20" width="8.1640625" customWidth="1" outlineLevel="1"/>
    <col min="21" max="21" width="12.1640625" style="39" bestFit="1" customWidth="1" outlineLevel="1"/>
    <col min="22" max="22" width="8.1640625" customWidth="1" outlineLevel="1"/>
    <col min="23" max="23" width="12.1640625" style="39" bestFit="1" customWidth="1" outlineLevel="1"/>
    <col min="24" max="24" width="8.1640625" customWidth="1" outlineLevel="1"/>
    <col min="25" max="25" width="12.1640625" style="39" bestFit="1" customWidth="1" outlineLevel="1"/>
    <col min="26" max="26" width="8.1640625" customWidth="1" outlineLevel="1"/>
    <col min="27" max="27" width="12.1640625" style="39" bestFit="1" customWidth="1" outlineLevel="1"/>
    <col min="28" max="28" width="8.1640625" bestFit="1" customWidth="1"/>
    <col min="29" max="29" width="13.5" style="39" bestFit="1" customWidth="1"/>
    <col min="30" max="30" width="3" style="39" customWidth="1"/>
    <col min="31" max="31" width="8" style="78" hidden="1" customWidth="1" outlineLevel="1"/>
    <col min="32" max="32" width="12.1640625" hidden="1" customWidth="1" outlineLevel="1"/>
    <col min="33" max="33" width="8" hidden="1" customWidth="1" outlineLevel="1"/>
    <col min="34" max="34" width="12.1640625" hidden="1" customWidth="1" outlineLevel="1"/>
    <col min="35" max="35" width="8" hidden="1" customWidth="1" outlineLevel="1"/>
    <col min="36" max="36" width="12.1640625" hidden="1" customWidth="1" outlineLevel="1"/>
    <col min="37" max="37" width="8" hidden="1" customWidth="1" outlineLevel="1"/>
    <col min="38" max="38" width="12.1640625" hidden="1" customWidth="1" outlineLevel="1"/>
    <col min="39" max="39" width="8" hidden="1" customWidth="1" outlineLevel="1"/>
    <col min="40" max="40" width="12.1640625" hidden="1" customWidth="1" outlineLevel="1"/>
    <col min="41" max="41" width="8" hidden="1" customWidth="1" outlineLevel="1"/>
    <col min="42" max="42" width="12.1640625" hidden="1" customWidth="1" outlineLevel="1"/>
    <col min="43" max="43" width="8" hidden="1" customWidth="1" outlineLevel="1"/>
    <col min="44" max="44" width="12.1640625" hidden="1" customWidth="1" outlineLevel="1"/>
    <col min="45" max="45" width="8" hidden="1" customWidth="1" outlineLevel="1"/>
    <col min="46" max="46" width="12.1640625" hidden="1" customWidth="1" outlineLevel="1"/>
    <col min="47" max="47" width="8" hidden="1" customWidth="1" outlineLevel="1"/>
    <col min="48" max="48" width="12.1640625" hidden="1" customWidth="1" outlineLevel="1"/>
    <col min="49" max="49" width="8" hidden="1" customWidth="1" outlineLevel="1"/>
    <col min="50" max="50" width="12.1640625" hidden="1" customWidth="1" outlineLevel="1"/>
    <col min="51" max="51" width="8" hidden="1" customWidth="1" outlineLevel="1"/>
    <col min="52" max="52" width="12.1640625" hidden="1" customWidth="1" outlineLevel="1"/>
    <col min="53" max="53" width="8" hidden="1" customWidth="1" outlineLevel="1"/>
    <col min="54" max="54" width="12.1640625" hidden="1" customWidth="1" outlineLevel="1"/>
    <col min="55" max="55" width="8" bestFit="1" customWidth="1" collapsed="1"/>
    <col min="56" max="56" width="13.1640625" bestFit="1" customWidth="1"/>
  </cols>
  <sheetData>
    <row r="1" spans="2:56" x14ac:dyDescent="0.2">
      <c r="B1" s="48">
        <v>156000</v>
      </c>
    </row>
    <row r="2" spans="2:56" x14ac:dyDescent="0.2">
      <c r="B2" s="48">
        <v>590302.58500000008</v>
      </c>
    </row>
    <row r="3" spans="2:56" s="71" customFormat="1" ht="15" customHeight="1" x14ac:dyDescent="0.2">
      <c r="B3" s="71">
        <v>317043.10000000003</v>
      </c>
      <c r="D3" s="286">
        <v>46023</v>
      </c>
      <c r="E3" s="287"/>
      <c r="F3" s="286">
        <v>46054</v>
      </c>
      <c r="G3" s="287"/>
      <c r="H3" s="286">
        <v>46082</v>
      </c>
      <c r="I3" s="287"/>
      <c r="J3" s="286">
        <v>46113</v>
      </c>
      <c r="K3" s="287"/>
      <c r="L3" s="286">
        <v>46143</v>
      </c>
      <c r="M3" s="287"/>
      <c r="N3" s="286">
        <v>46174</v>
      </c>
      <c r="O3" s="287"/>
      <c r="P3" s="286">
        <v>46204</v>
      </c>
      <c r="Q3" s="287"/>
      <c r="R3" s="286">
        <v>46235</v>
      </c>
      <c r="S3" s="287"/>
      <c r="T3" s="286">
        <v>46266</v>
      </c>
      <c r="U3" s="287"/>
      <c r="V3" s="286">
        <v>46296</v>
      </c>
      <c r="W3" s="287"/>
      <c r="X3" s="286">
        <v>46327</v>
      </c>
      <c r="Y3" s="287"/>
      <c r="Z3" s="286">
        <v>46357</v>
      </c>
      <c r="AA3" s="287"/>
      <c r="AB3" s="287" t="s">
        <v>72</v>
      </c>
      <c r="AC3" s="287"/>
      <c r="AE3" s="286">
        <v>46388</v>
      </c>
      <c r="AF3" s="287"/>
      <c r="AG3" s="286">
        <v>46419</v>
      </c>
      <c r="AH3" s="287"/>
      <c r="AI3" s="286">
        <v>46447</v>
      </c>
      <c r="AJ3" s="287"/>
      <c r="AK3" s="286">
        <v>46478</v>
      </c>
      <c r="AL3" s="287"/>
      <c r="AM3" s="286">
        <v>46508</v>
      </c>
      <c r="AN3" s="287"/>
      <c r="AO3" s="286">
        <v>46539</v>
      </c>
      <c r="AP3" s="287"/>
      <c r="AQ3" s="286">
        <v>46569</v>
      </c>
      <c r="AR3" s="287"/>
      <c r="AS3" s="286">
        <v>46600</v>
      </c>
      <c r="AT3" s="287"/>
      <c r="AU3" s="286">
        <v>46631</v>
      </c>
      <c r="AV3" s="287"/>
      <c r="AW3" s="286">
        <v>46661</v>
      </c>
      <c r="AX3" s="287"/>
      <c r="AY3" s="286">
        <v>46692</v>
      </c>
      <c r="AZ3" s="287"/>
      <c r="BA3" s="286">
        <v>46722</v>
      </c>
      <c r="BB3" s="287"/>
      <c r="BC3" s="287" t="s">
        <v>73</v>
      </c>
      <c r="BD3" s="287"/>
    </row>
    <row r="5" spans="2:56" outlineLevel="1" x14ac:dyDescent="0.2">
      <c r="C5" s="9" t="s">
        <v>1</v>
      </c>
      <c r="D5" s="78">
        <f t="shared" ref="D5:D10" si="0">E5/$E$11</f>
        <v>0.1826430395745017</v>
      </c>
      <c r="E5" s="72">
        <f>Activos!$K$131</f>
        <v>1734150</v>
      </c>
      <c r="F5" s="78">
        <f t="shared" ref="F5:F10" si="1">G5/$G$11</f>
        <v>0.1826430395745017</v>
      </c>
      <c r="G5" s="70">
        <f>Activos!$K$131</f>
        <v>1734150</v>
      </c>
      <c r="H5" s="78">
        <f t="shared" ref="H5:H10" si="2">I5/$I$11</f>
        <v>0.1826430395745017</v>
      </c>
      <c r="I5" s="70">
        <f>Activos!$K$131</f>
        <v>1734150</v>
      </c>
      <c r="J5" s="78">
        <f t="shared" ref="J5:J10" si="3">K5/$K$11</f>
        <v>0.1826430395745017</v>
      </c>
      <c r="K5" s="70">
        <f>Activos!$K$131</f>
        <v>1734150</v>
      </c>
      <c r="L5" s="78">
        <f t="shared" ref="L5:L10" si="4">M5/$M$11</f>
        <v>0.1826430395745017</v>
      </c>
      <c r="M5" s="70">
        <f>Activos!$K$131</f>
        <v>1734150</v>
      </c>
      <c r="N5" s="78">
        <f t="shared" ref="N5:N10" si="5">O5/$O$11</f>
        <v>0.17428205321474335</v>
      </c>
      <c r="O5" s="70">
        <f>Activos!$K$131</f>
        <v>1734150</v>
      </c>
      <c r="P5" s="78">
        <f t="shared" ref="P5:P10" si="6">Q5/$Q$11</f>
        <v>0.16901017897097609</v>
      </c>
      <c r="Q5" s="70">
        <f>Activos!$K$131</f>
        <v>1734150</v>
      </c>
      <c r="R5" s="78">
        <f t="shared" ref="R5:R10" si="7">S5/$S$11</f>
        <v>0.16827331463817438</v>
      </c>
      <c r="S5" s="70">
        <f>Activos!$K$131</f>
        <v>1734150</v>
      </c>
      <c r="T5" s="78">
        <f t="shared" ref="T5:T10" si="8">U5/$U$11</f>
        <v>0.16827331463817438</v>
      </c>
      <c r="U5" s="70">
        <f>Activos!$K$131</f>
        <v>1734150</v>
      </c>
      <c r="V5" s="78">
        <f t="shared" ref="V5:V10" si="9">W5/$W$11</f>
        <v>0.16827331463817438</v>
      </c>
      <c r="W5" s="70">
        <f>Activos!$K$131</f>
        <v>1734150</v>
      </c>
      <c r="X5" s="78">
        <f t="shared" ref="X5:X10" si="10">Y5/$Y$11</f>
        <v>0.16827331463817438</v>
      </c>
      <c r="Y5" s="70">
        <f>Activos!$K$131</f>
        <v>1734150</v>
      </c>
      <c r="Z5" s="78">
        <f t="shared" ref="Z5:Z10" si="11">AA5/$AA$11</f>
        <v>0.16685716951239374</v>
      </c>
      <c r="AA5" s="70">
        <f>Activos!$K$131</f>
        <v>1734150</v>
      </c>
      <c r="AB5" s="78">
        <f t="shared" ref="AB5:AB10" si="12">AC5/$AC$11</f>
        <v>0.17443271663781801</v>
      </c>
      <c r="AC5" s="77">
        <f>E5+G5+I5+K5+M5+O5+Q5+S5+U5+W5+Y5+AA5</f>
        <v>20809800</v>
      </c>
      <c r="AD5" s="43"/>
      <c r="AE5" s="78">
        <f t="shared" ref="AE5:AE10" si="13">AF5/$AF$11</f>
        <v>0.18391940775637253</v>
      </c>
      <c r="AF5" s="72">
        <f>Activos!$L$131</f>
        <v>1838199</v>
      </c>
      <c r="AG5" s="78">
        <f t="shared" ref="AG5:AG10" si="14">AH5/$AH$11</f>
        <v>0.18391940775637253</v>
      </c>
      <c r="AH5" s="70">
        <f>Activos!$L$131</f>
        <v>1838199</v>
      </c>
      <c r="AI5" s="78">
        <f t="shared" ref="AI5:AI10" si="15">AJ5/$AJ$11</f>
        <v>0.18391940775637253</v>
      </c>
      <c r="AJ5" s="70">
        <f>Activos!$L$131</f>
        <v>1838199</v>
      </c>
      <c r="AK5" s="78">
        <f t="shared" ref="AK5:AK10" si="16">AL5/$AL$11</f>
        <v>0.18391940775637253</v>
      </c>
      <c r="AL5" s="70">
        <f>Activos!$L$131</f>
        <v>1838199</v>
      </c>
      <c r="AM5" s="78">
        <f t="shared" ref="AM5:AM10" si="17">AN5/$AN$11</f>
        <v>0.18391940775637253</v>
      </c>
      <c r="AN5" s="70">
        <f>Activos!$L$131</f>
        <v>1838199</v>
      </c>
      <c r="AO5" s="78">
        <f t="shared" ref="AO5:AO10" si="18">AP5/$AP$11</f>
        <v>0.18217231897341887</v>
      </c>
      <c r="AP5" s="70">
        <f>Activos!$L$131</f>
        <v>1838199</v>
      </c>
      <c r="AQ5" s="78">
        <f t="shared" ref="AQ5:AQ10" si="19">AR5/$AR$11</f>
        <v>0.17866124805862948</v>
      </c>
      <c r="AR5" s="70">
        <f>Activos!$L$131</f>
        <v>1838199</v>
      </c>
      <c r="AS5" s="78">
        <f t="shared" ref="AS5:AS10" si="20">AT5/$AT$11</f>
        <v>0.17770171634051105</v>
      </c>
      <c r="AT5" s="70">
        <f>Activos!$L$131</f>
        <v>1838199</v>
      </c>
      <c r="AU5" s="78">
        <f t="shared" ref="AU5:AU10" si="21">AV5/$AV$11</f>
        <v>0.17770171634051105</v>
      </c>
      <c r="AV5" s="70">
        <f>Activos!$L$131</f>
        <v>1838199</v>
      </c>
      <c r="AW5" s="78">
        <f t="shared" ref="AW5:AW10" si="22">AX5/$AX$11</f>
        <v>0.17770171634051105</v>
      </c>
      <c r="AX5" s="70">
        <f>Activos!$L$131</f>
        <v>1838199</v>
      </c>
      <c r="AY5" s="78">
        <f t="shared" ref="AY5:AY10" si="23">AZ5/$AZ$11</f>
        <v>0.17770171634051105</v>
      </c>
      <c r="AZ5" s="70">
        <f>Activos!$L$131</f>
        <v>1838199</v>
      </c>
      <c r="BA5" s="78">
        <f t="shared" ref="BA5:BA10" si="24">BB5/$BB$11</f>
        <v>0.17533419760695387</v>
      </c>
      <c r="BB5" s="70">
        <f>Activos!$L$131</f>
        <v>1838199</v>
      </c>
      <c r="BC5" s="78">
        <f t="shared" ref="BC5:BC10" si="25">BD5/$BD$11</f>
        <v>0.18049092292676397</v>
      </c>
      <c r="BD5" s="77">
        <f>AF5+AH5+AJ5+AL5+AN5+AP5+AR5+AT5+AV5+AX5+AZ5+BB5</f>
        <v>22058388</v>
      </c>
    </row>
    <row r="6" spans="2:56" outlineLevel="1" x14ac:dyDescent="0.2">
      <c r="C6" s="9" t="s">
        <v>46</v>
      </c>
      <c r="D6" s="78">
        <f t="shared" si="0"/>
        <v>0.33119355433265751</v>
      </c>
      <c r="E6" s="70">
        <f>Activos!$J$112</f>
        <v>3144600</v>
      </c>
      <c r="F6" s="78">
        <f t="shared" si="1"/>
        <v>0.33119355433265751</v>
      </c>
      <c r="G6" s="70">
        <f>Activos!$J$112</f>
        <v>3144600</v>
      </c>
      <c r="H6" s="78">
        <f t="shared" si="2"/>
        <v>0.33119355433265751</v>
      </c>
      <c r="I6" s="70">
        <f>Activos!$J$112</f>
        <v>3144600</v>
      </c>
      <c r="J6" s="78">
        <f t="shared" si="3"/>
        <v>0.33119355433265751</v>
      </c>
      <c r="K6" s="70">
        <f>Activos!$J$112</f>
        <v>3144600</v>
      </c>
      <c r="L6" s="78">
        <f t="shared" si="4"/>
        <v>0.33119355433265751</v>
      </c>
      <c r="M6" s="70">
        <f>Activos!$J$112</f>
        <v>3144600</v>
      </c>
      <c r="N6" s="78">
        <f t="shared" si="5"/>
        <v>0.31603226049596744</v>
      </c>
      <c r="O6" s="70">
        <f>Activos!$J$112</f>
        <v>3144600</v>
      </c>
      <c r="P6" s="78">
        <f t="shared" si="6"/>
        <v>0.32210267199523113</v>
      </c>
      <c r="Q6" s="72">
        <f>Activos!$K$112</f>
        <v>3304974.5999999996</v>
      </c>
      <c r="R6" s="78">
        <f t="shared" si="7"/>
        <v>0.32069834255224433</v>
      </c>
      <c r="S6" s="70">
        <f>Activos!$K$112</f>
        <v>3304974.5999999996</v>
      </c>
      <c r="T6" s="78">
        <f t="shared" si="8"/>
        <v>0.32069834255224433</v>
      </c>
      <c r="U6" s="70">
        <f>Activos!$K$112</f>
        <v>3304974.5999999996</v>
      </c>
      <c r="V6" s="78">
        <f t="shared" si="9"/>
        <v>0.32069834255224433</v>
      </c>
      <c r="W6" s="70">
        <f>Activos!$K$112</f>
        <v>3304974.5999999996</v>
      </c>
      <c r="X6" s="78">
        <f t="shared" si="10"/>
        <v>0.32069834255224433</v>
      </c>
      <c r="Y6" s="70">
        <f>Activos!$K$112</f>
        <v>3304974.5999999996</v>
      </c>
      <c r="Z6" s="78">
        <f t="shared" si="11"/>
        <v>0.31799942742343834</v>
      </c>
      <c r="AA6" s="70">
        <f>Activos!$K$112</f>
        <v>3304974.5999999996</v>
      </c>
      <c r="AB6" s="78">
        <f t="shared" si="12"/>
        <v>0.32437125353523882</v>
      </c>
      <c r="AC6" s="77">
        <f t="shared" ref="AC6:AC11" si="26">E6+G6+I6+K6+M6+O6+Q6+S6+U6+W6+Y6+AA6</f>
        <v>38697447.600000009</v>
      </c>
      <c r="AD6" s="43"/>
      <c r="AE6" s="78">
        <f t="shared" si="13"/>
        <v>0.330676369142761</v>
      </c>
      <c r="AF6" s="36">
        <f>Activos!$K$112</f>
        <v>3304974.5999999996</v>
      </c>
      <c r="AG6" s="78">
        <f t="shared" si="14"/>
        <v>0.330676369142761</v>
      </c>
      <c r="AH6" s="36">
        <f>Activos!$K$112</f>
        <v>3304974.5999999996</v>
      </c>
      <c r="AI6" s="78">
        <f t="shared" si="15"/>
        <v>0.330676369142761</v>
      </c>
      <c r="AJ6" s="36">
        <f>Activos!$K$112</f>
        <v>3304974.5999999996</v>
      </c>
      <c r="AK6" s="78">
        <f t="shared" si="16"/>
        <v>0.330676369142761</v>
      </c>
      <c r="AL6" s="36">
        <f>Activos!$K$112</f>
        <v>3304974.5999999996</v>
      </c>
      <c r="AM6" s="78">
        <f t="shared" si="17"/>
        <v>0.330676369142761</v>
      </c>
      <c r="AN6" s="36">
        <f>Activos!$K$112</f>
        <v>3304974.5999999996</v>
      </c>
      <c r="AO6" s="78">
        <f t="shared" si="18"/>
        <v>0.32753520539955</v>
      </c>
      <c r="AP6" s="36">
        <f>Activos!$K$112</f>
        <v>3304974.5999999996</v>
      </c>
      <c r="AQ6" s="78">
        <f t="shared" si="19"/>
        <v>0.34049585493646439</v>
      </c>
      <c r="AR6" s="73">
        <f>Activos!$L$112</f>
        <v>3503273.0759999999</v>
      </c>
      <c r="AS6" s="78">
        <f t="shared" si="20"/>
        <v>0.33866716194204299</v>
      </c>
      <c r="AT6" s="39">
        <f>Activos!$L$112</f>
        <v>3503273.0759999999</v>
      </c>
      <c r="AU6" s="78">
        <f t="shared" si="21"/>
        <v>0.33866716194204299</v>
      </c>
      <c r="AV6" s="39">
        <f>Activos!$L$112</f>
        <v>3503273.0759999999</v>
      </c>
      <c r="AW6" s="78">
        <f t="shared" si="22"/>
        <v>0.33866716194204299</v>
      </c>
      <c r="AX6" s="39">
        <f>Activos!$L$112</f>
        <v>3503273.0759999999</v>
      </c>
      <c r="AY6" s="78">
        <f t="shared" si="23"/>
        <v>0.33866716194204299</v>
      </c>
      <c r="AZ6" s="39">
        <f>Activos!$L$112</f>
        <v>3503273.0759999999</v>
      </c>
      <c r="BA6" s="78">
        <f t="shared" si="24"/>
        <v>0.33415510169383467</v>
      </c>
      <c r="BB6" s="39">
        <f>Activos!$L$112</f>
        <v>3503273.0759999999</v>
      </c>
      <c r="BC6" s="78">
        <f t="shared" si="25"/>
        <v>0.33424751796601887</v>
      </c>
      <c r="BD6" s="77">
        <f t="shared" ref="BD6:BD11" si="27">AF6+AH6+AJ6+AL6+AN6+AP6+AR6+AT6+AV6+AX6+AZ6+BB6</f>
        <v>40849486.055999994</v>
      </c>
    </row>
    <row r="7" spans="2:56" outlineLevel="1" x14ac:dyDescent="0.2">
      <c r="C7" s="9" t="s">
        <v>0</v>
      </c>
      <c r="D7" s="78">
        <f t="shared" si="0"/>
        <v>0.16008846994391637</v>
      </c>
      <c r="E7" s="70">
        <f>Activos!$J$36</f>
        <v>1520000</v>
      </c>
      <c r="F7" s="78">
        <f t="shared" si="1"/>
        <v>0.16008846994391637</v>
      </c>
      <c r="G7" s="70">
        <f>Activos!$J$36</f>
        <v>1520000</v>
      </c>
      <c r="H7" s="78">
        <f t="shared" si="2"/>
        <v>0.16008846994391637</v>
      </c>
      <c r="I7" s="70">
        <f>Activos!$J$36</f>
        <v>1520000</v>
      </c>
      <c r="J7" s="78">
        <f t="shared" si="3"/>
        <v>0.16008846994391637</v>
      </c>
      <c r="K7" s="70">
        <f>Activos!$J$36</f>
        <v>1520000</v>
      </c>
      <c r="L7" s="78">
        <f t="shared" si="4"/>
        <v>0.16008846994391637</v>
      </c>
      <c r="M7" s="70">
        <f>Activos!$J$36</f>
        <v>1520000</v>
      </c>
      <c r="N7" s="78">
        <f t="shared" si="5"/>
        <v>0.19597497550312806</v>
      </c>
      <c r="O7" s="72">
        <v>1950000</v>
      </c>
      <c r="P7" s="78">
        <f t="shared" si="6"/>
        <v>0.20466590308742025</v>
      </c>
      <c r="Q7" s="70">
        <v>2100000</v>
      </c>
      <c r="R7" s="78">
        <f t="shared" si="7"/>
        <v>0.20377358402685247</v>
      </c>
      <c r="S7" s="70">
        <v>2100000</v>
      </c>
      <c r="T7" s="78">
        <f t="shared" si="8"/>
        <v>0.20377358402685247</v>
      </c>
      <c r="U7" s="70">
        <v>2100000</v>
      </c>
      <c r="V7" s="78">
        <f t="shared" si="9"/>
        <v>0.20377358402685247</v>
      </c>
      <c r="W7" s="70">
        <v>2100000</v>
      </c>
      <c r="X7" s="78">
        <f t="shared" si="10"/>
        <v>0.20377358402685247</v>
      </c>
      <c r="Y7" s="70">
        <v>2100000</v>
      </c>
      <c r="Z7" s="78">
        <f t="shared" si="11"/>
        <v>0.20205867772454911</v>
      </c>
      <c r="AA7" s="70">
        <v>2100000</v>
      </c>
      <c r="AB7" s="78">
        <f t="shared" si="12"/>
        <v>0.18566659331313462</v>
      </c>
      <c r="AC7" s="77">
        <f t="shared" si="26"/>
        <v>22150000</v>
      </c>
      <c r="AD7" s="43"/>
      <c r="AE7" s="78">
        <f t="shared" si="13"/>
        <v>0.15983847901068396</v>
      </c>
      <c r="AF7" s="74">
        <f>Activos!$K$36</f>
        <v>1597520</v>
      </c>
      <c r="AG7" s="78">
        <f t="shared" si="14"/>
        <v>0.15983847901068396</v>
      </c>
      <c r="AH7" s="74">
        <f>Activos!$K$36</f>
        <v>1597520</v>
      </c>
      <c r="AI7" s="78">
        <f t="shared" si="15"/>
        <v>0.15983847901068396</v>
      </c>
      <c r="AJ7" s="74">
        <f>Activos!$K$36</f>
        <v>1597520</v>
      </c>
      <c r="AK7" s="78">
        <f t="shared" si="16"/>
        <v>0.15983847901068396</v>
      </c>
      <c r="AL7" s="74">
        <f>Activos!$K$36</f>
        <v>1597520</v>
      </c>
      <c r="AM7" s="78">
        <f t="shared" si="17"/>
        <v>0.15983847901068396</v>
      </c>
      <c r="AN7" s="74">
        <f>Activos!$K$36</f>
        <v>1597520</v>
      </c>
      <c r="AO7" s="78">
        <f t="shared" si="18"/>
        <v>0.16781934838763438</v>
      </c>
      <c r="AP7" s="75">
        <f>Activos!$L$36</f>
        <v>1693371.2000000002</v>
      </c>
      <c r="AQ7" s="78">
        <f t="shared" si="19"/>
        <v>0.16458490730249506</v>
      </c>
      <c r="AR7" s="74">
        <f>Activos!$L$36</f>
        <v>1693371.2000000002</v>
      </c>
      <c r="AS7" s="78">
        <f t="shared" si="20"/>
        <v>0.16370097505307685</v>
      </c>
      <c r="AT7" s="74">
        <f>Activos!$L$36</f>
        <v>1693371.2000000002</v>
      </c>
      <c r="AU7" s="78">
        <f t="shared" si="21"/>
        <v>0.16370097505307685</v>
      </c>
      <c r="AV7" s="74">
        <f>Activos!$L$36</f>
        <v>1693371.2000000002</v>
      </c>
      <c r="AW7" s="78">
        <f t="shared" si="22"/>
        <v>0.16370097505307685</v>
      </c>
      <c r="AX7" s="74">
        <f>Activos!$L$36</f>
        <v>1693371.2000000002</v>
      </c>
      <c r="AY7" s="78">
        <f t="shared" si="23"/>
        <v>0.16370097505307685</v>
      </c>
      <c r="AZ7" s="74">
        <f>Activos!$L$36</f>
        <v>1693371.2000000002</v>
      </c>
      <c r="BA7" s="78">
        <f t="shared" si="24"/>
        <v>0.16151998809852725</v>
      </c>
      <c r="BB7" s="74">
        <f>Activos!$L$36</f>
        <v>1693371.2000000002</v>
      </c>
      <c r="BC7" s="78">
        <f t="shared" si="25"/>
        <v>0.16234895365831048</v>
      </c>
      <c r="BD7" s="77">
        <f t="shared" si="27"/>
        <v>19841198.399999995</v>
      </c>
    </row>
    <row r="8" spans="2:56" outlineLevel="1" x14ac:dyDescent="0.2">
      <c r="C8" s="9" t="s">
        <v>6</v>
      </c>
      <c r="D8" s="78">
        <f t="shared" si="0"/>
        <v>5.2660680902604069E-2</v>
      </c>
      <c r="E8" s="36">
        <f>Activos!$J$93</f>
        <v>500000</v>
      </c>
      <c r="F8" s="78">
        <f t="shared" si="1"/>
        <v>5.2660680902604069E-2</v>
      </c>
      <c r="G8" s="36">
        <f>Activos!$J$93</f>
        <v>500000</v>
      </c>
      <c r="H8" s="78">
        <f t="shared" si="2"/>
        <v>5.2660680902604069E-2</v>
      </c>
      <c r="I8" s="36">
        <f>Activos!$J$93</f>
        <v>500000</v>
      </c>
      <c r="J8" s="78">
        <f t="shared" si="3"/>
        <v>5.2660680902604069E-2</v>
      </c>
      <c r="K8" s="36">
        <f>Activos!$J$93</f>
        <v>500000</v>
      </c>
      <c r="L8" s="78">
        <f t="shared" si="4"/>
        <v>5.2660680902604069E-2</v>
      </c>
      <c r="M8" s="36">
        <f>Activos!$J$93</f>
        <v>500000</v>
      </c>
      <c r="N8" s="78">
        <f t="shared" si="5"/>
        <v>5.2812743398407073E-2</v>
      </c>
      <c r="O8" s="72">
        <f>Activos!$K$93</f>
        <v>525500</v>
      </c>
      <c r="P8" s="78">
        <f t="shared" si="6"/>
        <v>5.1215205748780634E-2</v>
      </c>
      <c r="Q8" s="36">
        <v>525500</v>
      </c>
      <c r="R8" s="78">
        <f t="shared" si="7"/>
        <v>5.0991913526719515E-2</v>
      </c>
      <c r="S8" s="36">
        <v>525500</v>
      </c>
      <c r="T8" s="78">
        <f t="shared" si="8"/>
        <v>5.0991913526719515E-2</v>
      </c>
      <c r="U8" s="36">
        <v>525500</v>
      </c>
      <c r="V8" s="78">
        <f t="shared" si="9"/>
        <v>5.0991913526719515E-2</v>
      </c>
      <c r="W8" s="36">
        <v>525500</v>
      </c>
      <c r="X8" s="78">
        <f t="shared" si="10"/>
        <v>5.0991913526719515E-2</v>
      </c>
      <c r="Y8" s="36">
        <v>525500</v>
      </c>
      <c r="Z8" s="78">
        <f t="shared" si="11"/>
        <v>5.0562778640119314E-2</v>
      </c>
      <c r="AA8" s="36">
        <v>525500</v>
      </c>
      <c r="AB8" s="78">
        <f t="shared" si="12"/>
        <v>5.1789663511747283E-2</v>
      </c>
      <c r="AC8" s="77">
        <f t="shared" si="26"/>
        <v>6178500</v>
      </c>
      <c r="AD8" s="43"/>
      <c r="AE8" s="78">
        <f t="shared" si="13"/>
        <v>5.2578447042988141E-2</v>
      </c>
      <c r="AF8" s="36">
        <f>Activos!$K$93</f>
        <v>525500</v>
      </c>
      <c r="AG8" s="78">
        <f t="shared" si="14"/>
        <v>5.2578447042988141E-2</v>
      </c>
      <c r="AH8" s="36">
        <f>Activos!$K$93</f>
        <v>525500</v>
      </c>
      <c r="AI8" s="78">
        <f t="shared" si="15"/>
        <v>5.2578447042988141E-2</v>
      </c>
      <c r="AJ8" s="36">
        <f>Activos!$K$93</f>
        <v>525500</v>
      </c>
      <c r="AK8" s="78">
        <f t="shared" si="16"/>
        <v>5.2578447042988141E-2</v>
      </c>
      <c r="AL8" s="36">
        <f>Activos!$K$93</f>
        <v>525500</v>
      </c>
      <c r="AM8" s="78">
        <f t="shared" si="17"/>
        <v>5.2578447042988141E-2</v>
      </c>
      <c r="AN8" s="36">
        <f>Activos!$K$93</f>
        <v>525500</v>
      </c>
      <c r="AO8" s="78">
        <f t="shared" si="18"/>
        <v>5.2078993417215232E-2</v>
      </c>
      <c r="AP8" s="36">
        <f>Activos!$K$93</f>
        <v>525500</v>
      </c>
      <c r="AQ8" s="78">
        <f t="shared" si="19"/>
        <v>5.1075256734885499E-2</v>
      </c>
      <c r="AR8" s="36">
        <f>Activos!$K$93</f>
        <v>525500</v>
      </c>
      <c r="AS8" s="78">
        <f t="shared" si="20"/>
        <v>5.0800948067613219E-2</v>
      </c>
      <c r="AT8" s="36">
        <f>Activos!$K$93</f>
        <v>525500</v>
      </c>
      <c r="AU8" s="78">
        <f t="shared" si="21"/>
        <v>5.0800948067613219E-2</v>
      </c>
      <c r="AV8" s="36">
        <f>Activos!$K$93</f>
        <v>525500</v>
      </c>
      <c r="AW8" s="78">
        <f t="shared" si="22"/>
        <v>5.0800948067613219E-2</v>
      </c>
      <c r="AX8" s="36">
        <f>Activos!$K$93</f>
        <v>525500</v>
      </c>
      <c r="AY8" s="78">
        <f t="shared" si="23"/>
        <v>5.0800948067613219E-2</v>
      </c>
      <c r="AZ8" s="36">
        <f>Activos!$K$93</f>
        <v>525500</v>
      </c>
      <c r="BA8" s="78">
        <f t="shared" si="24"/>
        <v>5.3131575032410269E-2</v>
      </c>
      <c r="BB8" s="73">
        <f>Activos!$L$93</f>
        <v>557030</v>
      </c>
      <c r="BC8" s="78">
        <f t="shared" si="25"/>
        <v>5.1856311475528244E-2</v>
      </c>
      <c r="BD8" s="77">
        <f t="shared" si="27"/>
        <v>6337530</v>
      </c>
    </row>
    <row r="9" spans="2:56" outlineLevel="1" x14ac:dyDescent="0.2">
      <c r="C9" s="9" t="s">
        <v>77</v>
      </c>
      <c r="D9" s="78">
        <f t="shared" si="0"/>
        <v>0.18062613549593196</v>
      </c>
      <c r="E9" s="36">
        <f>Activos!$J$55</f>
        <v>1715000</v>
      </c>
      <c r="F9" s="78">
        <f t="shared" si="1"/>
        <v>0.18062613549593196</v>
      </c>
      <c r="G9" s="36">
        <f>Activos!$J$55</f>
        <v>1715000</v>
      </c>
      <c r="H9" s="78">
        <f t="shared" si="2"/>
        <v>0.18062613549593196</v>
      </c>
      <c r="I9" s="36">
        <f>Activos!$J$55</f>
        <v>1715000</v>
      </c>
      <c r="J9" s="78">
        <f t="shared" si="3"/>
        <v>0.18062613549593196</v>
      </c>
      <c r="K9" s="36">
        <f>Activos!$J$55</f>
        <v>1715000</v>
      </c>
      <c r="L9" s="78">
        <f t="shared" si="4"/>
        <v>0.18062613549593196</v>
      </c>
      <c r="M9" s="36">
        <f>Activos!$J$55</f>
        <v>1715000</v>
      </c>
      <c r="N9" s="78">
        <f t="shared" si="5"/>
        <v>0.17235747845531518</v>
      </c>
      <c r="O9" s="36">
        <f>Activos!$J$55</f>
        <v>1715000</v>
      </c>
      <c r="P9" s="78">
        <f t="shared" si="6"/>
        <v>0.16714382085472654</v>
      </c>
      <c r="Q9" s="36">
        <f>Activos!$J$55</f>
        <v>1715000</v>
      </c>
      <c r="R9" s="78">
        <f t="shared" si="7"/>
        <v>0.16641509362192952</v>
      </c>
      <c r="S9" s="36">
        <f>Activos!$J$55</f>
        <v>1715000</v>
      </c>
      <c r="T9" s="78">
        <f t="shared" si="8"/>
        <v>0.16641509362192952</v>
      </c>
      <c r="U9" s="36">
        <f>Activos!$J$55</f>
        <v>1715000</v>
      </c>
      <c r="V9" s="78">
        <f t="shared" si="9"/>
        <v>0.16641509362192952</v>
      </c>
      <c r="W9" s="36">
        <f>Activos!$J$55</f>
        <v>1715000</v>
      </c>
      <c r="X9" s="78">
        <f t="shared" si="10"/>
        <v>0.16641509362192952</v>
      </c>
      <c r="Y9" s="36">
        <f>Activos!$J$55</f>
        <v>1715000</v>
      </c>
      <c r="Z9" s="78">
        <f t="shared" si="11"/>
        <v>0.17343033073560923</v>
      </c>
      <c r="AA9" s="72">
        <f>Activos!$K$55</f>
        <v>1802465</v>
      </c>
      <c r="AB9" s="78">
        <f t="shared" si="12"/>
        <v>0.17323963065320289</v>
      </c>
      <c r="AC9" s="77">
        <f t="shared" si="26"/>
        <v>20667465</v>
      </c>
      <c r="AD9" s="43"/>
      <c r="AE9" s="78">
        <f t="shared" si="13"/>
        <v>0.18034407335744931</v>
      </c>
      <c r="AF9" s="36">
        <f>Activos!$K$55</f>
        <v>1802465</v>
      </c>
      <c r="AG9" s="78">
        <f t="shared" si="14"/>
        <v>0.18034407335744931</v>
      </c>
      <c r="AH9" s="36">
        <f>Activos!$K$55</f>
        <v>1802465</v>
      </c>
      <c r="AI9" s="78">
        <f t="shared" si="15"/>
        <v>0.18034407335744931</v>
      </c>
      <c r="AJ9" s="36">
        <f>Activos!$K$55</f>
        <v>1802465</v>
      </c>
      <c r="AK9" s="78">
        <f t="shared" si="16"/>
        <v>0.18034407335744931</v>
      </c>
      <c r="AL9" s="36">
        <f>Activos!$K$55</f>
        <v>1802465</v>
      </c>
      <c r="AM9" s="78">
        <f t="shared" si="17"/>
        <v>0.18034407335744931</v>
      </c>
      <c r="AN9" s="36">
        <f>Activos!$K$55</f>
        <v>1802465</v>
      </c>
      <c r="AO9" s="78">
        <f t="shared" si="18"/>
        <v>0.17863094742104824</v>
      </c>
      <c r="AP9" s="36">
        <f>Activos!$K$55</f>
        <v>1802465</v>
      </c>
      <c r="AQ9" s="78">
        <f t="shared" si="19"/>
        <v>0.17518813060065727</v>
      </c>
      <c r="AR9" s="36">
        <f>Activos!$K$55</f>
        <v>1802465</v>
      </c>
      <c r="AS9" s="78">
        <f t="shared" si="20"/>
        <v>0.17424725187191334</v>
      </c>
      <c r="AT9" s="36">
        <f>Activos!$K$55</f>
        <v>1802465</v>
      </c>
      <c r="AU9" s="78">
        <f t="shared" si="21"/>
        <v>0.17424725187191334</v>
      </c>
      <c r="AV9" s="36">
        <f>Activos!$K$55</f>
        <v>1802465</v>
      </c>
      <c r="AW9" s="78">
        <f t="shared" si="22"/>
        <v>0.17424725187191334</v>
      </c>
      <c r="AX9" s="36">
        <f>Activos!$K$55</f>
        <v>1802465</v>
      </c>
      <c r="AY9" s="78">
        <f t="shared" si="23"/>
        <v>0.17424725187191334</v>
      </c>
      <c r="AZ9" s="36">
        <f>Activos!$K$55</f>
        <v>1802465</v>
      </c>
      <c r="BA9" s="78">
        <f t="shared" si="24"/>
        <v>0.18224130236116723</v>
      </c>
      <c r="BB9" s="72">
        <f>Activos!$L$55</f>
        <v>1910612.9000000001</v>
      </c>
      <c r="BC9" s="78">
        <f t="shared" si="25"/>
        <v>0.17786714836106188</v>
      </c>
      <c r="BD9" s="77">
        <f t="shared" si="27"/>
        <v>21737727.899999999</v>
      </c>
    </row>
    <row r="10" spans="2:56" outlineLevel="1" x14ac:dyDescent="0.2">
      <c r="C10" s="9" t="s">
        <v>7</v>
      </c>
      <c r="D10" s="78">
        <f t="shared" si="0"/>
        <v>9.2788119750388379E-2</v>
      </c>
      <c r="E10" s="36">
        <f>Activos!$J$74</f>
        <v>881000</v>
      </c>
      <c r="F10" s="78">
        <f t="shared" si="1"/>
        <v>9.2788119750388379E-2</v>
      </c>
      <c r="G10" s="36">
        <f>Activos!$J$74</f>
        <v>881000</v>
      </c>
      <c r="H10" s="78">
        <f t="shared" si="2"/>
        <v>9.2788119750388379E-2</v>
      </c>
      <c r="I10" s="36">
        <f>Activos!$J$74</f>
        <v>881000</v>
      </c>
      <c r="J10" s="78">
        <f t="shared" si="3"/>
        <v>9.2788119750388379E-2</v>
      </c>
      <c r="K10" s="36">
        <f>Activos!$J$74</f>
        <v>881000</v>
      </c>
      <c r="L10" s="78">
        <f t="shared" si="4"/>
        <v>9.2788119750388379E-2</v>
      </c>
      <c r="M10" s="36">
        <f>Activos!$J$74</f>
        <v>881000</v>
      </c>
      <c r="N10" s="78">
        <f t="shared" si="5"/>
        <v>8.8540488932438877E-2</v>
      </c>
      <c r="O10" s="36">
        <f>Activos!$J$74</f>
        <v>881000</v>
      </c>
      <c r="P10" s="78">
        <f t="shared" si="6"/>
        <v>8.5862219342865351E-2</v>
      </c>
      <c r="Q10" s="36">
        <f>Activos!$J$74</f>
        <v>881000</v>
      </c>
      <c r="R10" s="78">
        <f t="shared" si="7"/>
        <v>8.9847751634079778E-2</v>
      </c>
      <c r="S10" s="72">
        <f>Activos!$K$74</f>
        <v>925931</v>
      </c>
      <c r="T10" s="78">
        <f t="shared" si="8"/>
        <v>8.9847751634079778E-2</v>
      </c>
      <c r="U10" s="36">
        <f>Activos!$K$74</f>
        <v>925931</v>
      </c>
      <c r="V10" s="78">
        <f t="shared" si="9"/>
        <v>8.9847751634079778E-2</v>
      </c>
      <c r="W10" s="36">
        <f>Activos!$K$74</f>
        <v>925931</v>
      </c>
      <c r="X10" s="78">
        <f t="shared" si="10"/>
        <v>8.9847751634079778E-2</v>
      </c>
      <c r="Y10" s="36">
        <f>Activos!$K$74</f>
        <v>925931</v>
      </c>
      <c r="Z10" s="78">
        <f t="shared" si="11"/>
        <v>8.9091615963890231E-2</v>
      </c>
      <c r="AA10" s="36">
        <f>Activos!$K$74</f>
        <v>925931</v>
      </c>
      <c r="AB10" s="78">
        <f t="shared" si="12"/>
        <v>9.0500142348858767E-2</v>
      </c>
      <c r="AC10" s="77">
        <f t="shared" si="26"/>
        <v>10796655</v>
      </c>
      <c r="AD10" s="43"/>
      <c r="AE10" s="78">
        <f t="shared" si="13"/>
        <v>9.2643223689745105E-2</v>
      </c>
      <c r="AF10" s="36">
        <f>Activos!$K$74</f>
        <v>925931</v>
      </c>
      <c r="AG10" s="78">
        <f t="shared" si="14"/>
        <v>9.2643223689745105E-2</v>
      </c>
      <c r="AH10" s="36">
        <f>Activos!$K$74</f>
        <v>925931</v>
      </c>
      <c r="AI10" s="78">
        <f t="shared" si="15"/>
        <v>9.2643223689745105E-2</v>
      </c>
      <c r="AJ10" s="36">
        <f>Activos!$K$74</f>
        <v>925931</v>
      </c>
      <c r="AK10" s="78">
        <f t="shared" si="16"/>
        <v>9.2643223689745105E-2</v>
      </c>
      <c r="AL10" s="36">
        <f>Activos!$K$74</f>
        <v>925931</v>
      </c>
      <c r="AM10" s="78">
        <f t="shared" si="17"/>
        <v>9.2643223689745105E-2</v>
      </c>
      <c r="AN10" s="36">
        <f>Activos!$K$74</f>
        <v>925931</v>
      </c>
      <c r="AO10" s="78">
        <f t="shared" si="18"/>
        <v>9.1763186401133234E-2</v>
      </c>
      <c r="AP10" s="36">
        <f>Activos!$K$74</f>
        <v>925931</v>
      </c>
      <c r="AQ10" s="78">
        <f t="shared" si="19"/>
        <v>8.9994602366868251E-2</v>
      </c>
      <c r="AR10" s="36">
        <f>Activos!$K$74</f>
        <v>925931</v>
      </c>
      <c r="AS10" s="78">
        <f t="shared" si="20"/>
        <v>9.488194672484257E-2</v>
      </c>
      <c r="AT10" s="72">
        <f>Activos!$L$74</f>
        <v>981486.8600000001</v>
      </c>
      <c r="AU10" s="78">
        <f t="shared" si="21"/>
        <v>9.488194672484257E-2</v>
      </c>
      <c r="AV10" s="36">
        <f>Activos!$L$74</f>
        <v>981486.8600000001</v>
      </c>
      <c r="AW10" s="78">
        <f t="shared" si="22"/>
        <v>9.488194672484257E-2</v>
      </c>
      <c r="AX10" s="36">
        <f>Activos!$L$74</f>
        <v>981486.8600000001</v>
      </c>
      <c r="AY10" s="78">
        <f t="shared" si="23"/>
        <v>9.488194672484257E-2</v>
      </c>
      <c r="AZ10" s="36">
        <f>Activos!$L$74</f>
        <v>981486.8600000001</v>
      </c>
      <c r="BA10" s="78">
        <f t="shared" si="24"/>
        <v>9.3617835207106898E-2</v>
      </c>
      <c r="BB10" s="36">
        <f>Activos!$L$74</f>
        <v>981486.8600000001</v>
      </c>
      <c r="BC10" s="78">
        <f t="shared" si="25"/>
        <v>9.3189145612316199E-2</v>
      </c>
      <c r="BD10" s="77">
        <f t="shared" si="27"/>
        <v>11388951.299999999</v>
      </c>
    </row>
    <row r="11" spans="2:56" x14ac:dyDescent="0.2">
      <c r="B11" s="81" t="s">
        <v>74</v>
      </c>
      <c r="C11" s="82"/>
      <c r="D11" s="79">
        <f>SUM(D5:D10)</f>
        <v>1</v>
      </c>
      <c r="E11" s="76">
        <f>SUM(E5:E10)</f>
        <v>9494750</v>
      </c>
      <c r="F11" s="79">
        <f>SUM(F5:F10)</f>
        <v>1</v>
      </c>
      <c r="G11" s="76">
        <f t="shared" ref="G11:AA11" si="28">SUM(G5:G10)</f>
        <v>9494750</v>
      </c>
      <c r="H11" s="79">
        <f>SUM(H5:H10)</f>
        <v>1</v>
      </c>
      <c r="I11" s="76">
        <f t="shared" si="28"/>
        <v>9494750</v>
      </c>
      <c r="J11" s="79">
        <f>SUM(J5:J10)</f>
        <v>1</v>
      </c>
      <c r="K11" s="76">
        <f t="shared" si="28"/>
        <v>9494750</v>
      </c>
      <c r="L11" s="79">
        <f>SUM(L5:L10)</f>
        <v>1</v>
      </c>
      <c r="M11" s="76">
        <f t="shared" si="28"/>
        <v>9494750</v>
      </c>
      <c r="N11" s="79">
        <f>SUM(N5:N10)</f>
        <v>0.99999999999999978</v>
      </c>
      <c r="O11" s="76">
        <f t="shared" si="28"/>
        <v>9950250</v>
      </c>
      <c r="P11" s="79">
        <f>SUM(P5:P10)</f>
        <v>0.99999999999999989</v>
      </c>
      <c r="Q11" s="76">
        <f t="shared" si="28"/>
        <v>10260624.6</v>
      </c>
      <c r="R11" s="79">
        <f>SUM(R5:R10)</f>
        <v>1</v>
      </c>
      <c r="S11" s="76">
        <f t="shared" si="28"/>
        <v>10305555.6</v>
      </c>
      <c r="T11" s="79">
        <f>SUM(T5:T10)</f>
        <v>1</v>
      </c>
      <c r="U11" s="76">
        <f t="shared" si="28"/>
        <v>10305555.6</v>
      </c>
      <c r="V11" s="79">
        <f>SUM(V5:V10)</f>
        <v>1</v>
      </c>
      <c r="W11" s="76">
        <f t="shared" si="28"/>
        <v>10305555.6</v>
      </c>
      <c r="X11" s="79">
        <f>SUM(X5:X10)</f>
        <v>1</v>
      </c>
      <c r="Y11" s="76">
        <f t="shared" si="28"/>
        <v>10305555.6</v>
      </c>
      <c r="Z11" s="79">
        <f>SUM(Z5:Z10)</f>
        <v>0.99999999999999989</v>
      </c>
      <c r="AA11" s="76">
        <f t="shared" si="28"/>
        <v>10393020.6</v>
      </c>
      <c r="AB11" s="79">
        <f>SUM(AB5:AB10)</f>
        <v>1.0000000000000004</v>
      </c>
      <c r="AC11" s="77">
        <f t="shared" si="26"/>
        <v>119299867.59999996</v>
      </c>
      <c r="AD11" s="43"/>
      <c r="AE11" s="79">
        <f>SUM(AE5:AE10)</f>
        <v>0.99999999999999989</v>
      </c>
      <c r="AF11" s="76">
        <f>SUM(AF5:AF10)</f>
        <v>9994589.5999999996</v>
      </c>
      <c r="AG11" s="79">
        <f>SUM(AG5:AG10)</f>
        <v>0.99999999999999989</v>
      </c>
      <c r="AH11" s="76">
        <f t="shared" ref="AH11:BB11" si="29">SUM(AH5:AH10)</f>
        <v>9994589.5999999996</v>
      </c>
      <c r="AI11" s="79">
        <f>SUM(AI5:AI10)</f>
        <v>0.99999999999999989</v>
      </c>
      <c r="AJ11" s="76">
        <f t="shared" si="29"/>
        <v>9994589.5999999996</v>
      </c>
      <c r="AK11" s="79">
        <f>SUM(AK5:AK10)</f>
        <v>0.99999999999999989</v>
      </c>
      <c r="AL11" s="76">
        <f t="shared" si="29"/>
        <v>9994589.5999999996</v>
      </c>
      <c r="AM11" s="79">
        <f>SUM(AM5:AM10)</f>
        <v>0.99999999999999989</v>
      </c>
      <c r="AN11" s="76">
        <f t="shared" si="29"/>
        <v>9994589.5999999996</v>
      </c>
      <c r="AO11" s="79">
        <f>SUM(AO5:AO10)</f>
        <v>0.99999999999999989</v>
      </c>
      <c r="AP11" s="76">
        <f t="shared" si="29"/>
        <v>10090440.800000001</v>
      </c>
      <c r="AQ11" s="79">
        <f>SUM(AQ5:AQ10)</f>
        <v>1</v>
      </c>
      <c r="AR11" s="76">
        <f t="shared" si="29"/>
        <v>10288739.276000001</v>
      </c>
      <c r="AS11" s="79">
        <f>SUM(AS5:AS10)</f>
        <v>1</v>
      </c>
      <c r="AT11" s="76">
        <f t="shared" si="29"/>
        <v>10344295.136</v>
      </c>
      <c r="AU11" s="79">
        <f>SUM(AU5:AU10)</f>
        <v>1</v>
      </c>
      <c r="AV11" s="76">
        <f t="shared" si="29"/>
        <v>10344295.136</v>
      </c>
      <c r="AW11" s="79">
        <f>SUM(AW5:AW10)</f>
        <v>1</v>
      </c>
      <c r="AX11" s="76">
        <f t="shared" si="29"/>
        <v>10344295.136</v>
      </c>
      <c r="AY11" s="79">
        <f>SUM(AY5:AY10)</f>
        <v>1</v>
      </c>
      <c r="AZ11" s="76">
        <f t="shared" si="29"/>
        <v>10344295.136</v>
      </c>
      <c r="BA11" s="79">
        <f>SUM(BA5:BA10)</f>
        <v>1.0000000000000002</v>
      </c>
      <c r="BB11" s="76">
        <f t="shared" si="29"/>
        <v>10483973.035999998</v>
      </c>
      <c r="BC11" s="79">
        <f>SUM(BC5:BC10)</f>
        <v>0.99999999999999967</v>
      </c>
      <c r="BD11" s="77">
        <f t="shared" si="27"/>
        <v>122213281.65600003</v>
      </c>
    </row>
    <row r="13" spans="2:56" outlineLevel="1" x14ac:dyDescent="0.2">
      <c r="B13" s="253">
        <f>Activos!K135</f>
        <v>2693969.5250000004</v>
      </c>
      <c r="C13" s="254" t="s">
        <v>1</v>
      </c>
      <c r="D13" s="78">
        <f>E13/E5</f>
        <v>0.12945677156916455</v>
      </c>
      <c r="E13" s="37">
        <f>$B13/12</f>
        <v>224497.4604166667</v>
      </c>
      <c r="F13" s="78">
        <f>G13/G5</f>
        <v>0.12945677156916455</v>
      </c>
      <c r="G13" s="37">
        <f>$B13/12</f>
        <v>224497.4604166667</v>
      </c>
      <c r="H13" s="78">
        <f>I13/I5</f>
        <v>0.12945677156916455</v>
      </c>
      <c r="I13" s="37">
        <f>$B13/12</f>
        <v>224497.4604166667</v>
      </c>
      <c r="J13" s="78">
        <f>K13/K5</f>
        <v>0.12945677156916455</v>
      </c>
      <c r="K13" s="37">
        <f>$B13/12</f>
        <v>224497.4604166667</v>
      </c>
      <c r="L13" s="78">
        <f>M13/M5</f>
        <v>0.12945677156916455</v>
      </c>
      <c r="M13" s="37">
        <f>$B13/12</f>
        <v>224497.4604166667</v>
      </c>
      <c r="N13" s="78">
        <f>O13/O5</f>
        <v>0.12945677156916455</v>
      </c>
      <c r="O13" s="37">
        <f>$B13/12</f>
        <v>224497.4604166667</v>
      </c>
      <c r="P13" s="78">
        <f>Q13/Q5</f>
        <v>0.12945677156916455</v>
      </c>
      <c r="Q13" s="37">
        <f>$B13/12</f>
        <v>224497.4604166667</v>
      </c>
      <c r="R13" s="78">
        <f>S13/S5</f>
        <v>0.12945677156916455</v>
      </c>
      <c r="S13" s="37">
        <f>$B13/12</f>
        <v>224497.4604166667</v>
      </c>
      <c r="T13" s="78">
        <f>U13/U5</f>
        <v>0.12945677156916455</v>
      </c>
      <c r="U13" s="37">
        <f>$B13/12</f>
        <v>224497.4604166667</v>
      </c>
      <c r="V13" s="78">
        <f>W13/W5</f>
        <v>0.12945677156916455</v>
      </c>
      <c r="W13" s="37">
        <f>$B13/12</f>
        <v>224497.4604166667</v>
      </c>
      <c r="X13" s="78">
        <f>Y13/Y5</f>
        <v>0.12945677156916455</v>
      </c>
      <c r="Y13" s="37">
        <f>$B13/12</f>
        <v>224497.4604166667</v>
      </c>
      <c r="Z13" s="78">
        <f>AA13/AA5</f>
        <v>0.12945677156916455</v>
      </c>
      <c r="AA13" s="37">
        <f>$B13/12</f>
        <v>224497.4604166667</v>
      </c>
      <c r="AB13" s="78">
        <f>AC13/AC5</f>
        <v>0.12945677156916455</v>
      </c>
      <c r="AC13" s="85">
        <f>E13+G13+I13+K13+M13+O13+Q13+S13+U13+W13+Y13+AA13</f>
        <v>2693969.5250000004</v>
      </c>
      <c r="AD13" s="91">
        <f>Activos!L135</f>
        <v>3098064.9537500003</v>
      </c>
      <c r="AE13" s="78">
        <f t="shared" ref="AE13:AE19" si="30">AF13/AF5</f>
        <v>0.14044838424956529</v>
      </c>
      <c r="AF13" s="37">
        <f>$AD13/12</f>
        <v>258172.07947916668</v>
      </c>
      <c r="AG13" s="78">
        <f t="shared" ref="AG13:AG19" si="31">AH13/AH5</f>
        <v>0.14044838424956529</v>
      </c>
      <c r="AH13" s="37">
        <f>$AD13/12</f>
        <v>258172.07947916668</v>
      </c>
      <c r="AI13" s="78">
        <f t="shared" ref="AI13:AI19" si="32">AJ13/AJ5</f>
        <v>0.14044838424956529</v>
      </c>
      <c r="AJ13" s="37">
        <f>$AD13/12</f>
        <v>258172.07947916668</v>
      </c>
      <c r="AK13" s="78">
        <f t="shared" ref="AK13:AK19" si="33">AL13/AL5</f>
        <v>0.14044838424956529</v>
      </c>
      <c r="AL13" s="37">
        <f>$AD13/12</f>
        <v>258172.07947916668</v>
      </c>
      <c r="AM13" s="78">
        <f t="shared" ref="AM13:AM19" si="34">AN13/AN5</f>
        <v>0.14044838424956529</v>
      </c>
      <c r="AN13" s="37">
        <f>$AD13/12</f>
        <v>258172.07947916668</v>
      </c>
      <c r="AO13" s="78">
        <f t="shared" ref="AO13:AO19" si="35">AP13/AP5</f>
        <v>0.14044838424956529</v>
      </c>
      <c r="AP13" s="37">
        <f>$AD13/12</f>
        <v>258172.07947916668</v>
      </c>
      <c r="AQ13" s="78">
        <f t="shared" ref="AQ13:AQ19" si="36">AR13/AR5</f>
        <v>0.14044838424956529</v>
      </c>
      <c r="AR13" s="37">
        <f>$AD13/12</f>
        <v>258172.07947916668</v>
      </c>
      <c r="AS13" s="78">
        <f t="shared" ref="AS13:AS19" si="37">AT13/AT5</f>
        <v>0.14044838424956529</v>
      </c>
      <c r="AT13" s="37">
        <f>$AD13/12</f>
        <v>258172.07947916668</v>
      </c>
      <c r="AU13" s="78">
        <f t="shared" ref="AU13:AU19" si="38">AV13/AV5</f>
        <v>0.14044838424956529</v>
      </c>
      <c r="AV13" s="37">
        <f>$AD13/12</f>
        <v>258172.07947916668</v>
      </c>
      <c r="AW13" s="78">
        <f t="shared" ref="AW13:AW19" si="39">AX13/AX5</f>
        <v>0.14044838424956529</v>
      </c>
      <c r="AX13" s="37">
        <f>$AD13/12</f>
        <v>258172.07947916668</v>
      </c>
      <c r="AY13" s="78">
        <f t="shared" ref="AY13:AY19" si="40">AZ13/AZ5</f>
        <v>0.14044838424956529</v>
      </c>
      <c r="AZ13" s="37">
        <f>$AD13/12</f>
        <v>258172.07947916668</v>
      </c>
      <c r="BA13" s="78">
        <f t="shared" ref="BA13:BA19" si="41">BB13/BB5</f>
        <v>0.14044838424956529</v>
      </c>
      <c r="BB13" s="37">
        <f>$AD13/12</f>
        <v>258172.07947916668</v>
      </c>
      <c r="BC13" s="78">
        <f t="shared" ref="BC13:BC19" si="42">BD13/BD5</f>
        <v>0.14044838424956532</v>
      </c>
      <c r="BD13" s="85">
        <f>AF13+AH13+AJ13+AL13+AN13+AP13+AR13+AT13+AV13+AX13+AZ13+BB13</f>
        <v>3098064.9537500008</v>
      </c>
    </row>
    <row r="14" spans="2:56" outlineLevel="1" x14ac:dyDescent="0.2">
      <c r="B14" s="253">
        <f>Activos!K116</f>
        <v>4829800.9390000002</v>
      </c>
      <c r="C14" s="254" t="s">
        <v>46</v>
      </c>
      <c r="D14" s="78">
        <f>E14/E6</f>
        <v>0.12799192634463313</v>
      </c>
      <c r="E14" s="37">
        <f t="shared" ref="E14:AA18" si="43">$B14/12</f>
        <v>402483.41158333333</v>
      </c>
      <c r="F14" s="78">
        <f>G14/G6</f>
        <v>0.12799192634463313</v>
      </c>
      <c r="G14" s="37">
        <f t="shared" si="43"/>
        <v>402483.41158333333</v>
      </c>
      <c r="H14" s="78">
        <f>I14/I6</f>
        <v>0.12799192634463313</v>
      </c>
      <c r="I14" s="37">
        <f t="shared" si="43"/>
        <v>402483.41158333333</v>
      </c>
      <c r="J14" s="78">
        <f>K14/K6</f>
        <v>0.12799192634463313</v>
      </c>
      <c r="K14" s="37">
        <f t="shared" si="43"/>
        <v>402483.41158333333</v>
      </c>
      <c r="L14" s="78">
        <f>M14/M6</f>
        <v>0.12799192634463313</v>
      </c>
      <c r="M14" s="37">
        <f t="shared" si="43"/>
        <v>402483.41158333333</v>
      </c>
      <c r="N14" s="78">
        <f>O14/O6</f>
        <v>0.12799192634463313</v>
      </c>
      <c r="O14" s="37">
        <f t="shared" si="43"/>
        <v>402483.41158333333</v>
      </c>
      <c r="P14" s="78">
        <f>Q14/Q6</f>
        <v>0.12178109071801441</v>
      </c>
      <c r="Q14" s="37">
        <f t="shared" si="43"/>
        <v>402483.41158333333</v>
      </c>
      <c r="R14" s="78">
        <f>S14/S6</f>
        <v>0.12178109071801441</v>
      </c>
      <c r="S14" s="37">
        <f t="shared" si="43"/>
        <v>402483.41158333333</v>
      </c>
      <c r="T14" s="78">
        <f>U14/U6</f>
        <v>0.12178109071801441</v>
      </c>
      <c r="U14" s="37">
        <f t="shared" si="43"/>
        <v>402483.41158333333</v>
      </c>
      <c r="V14" s="78">
        <f>W14/W6</f>
        <v>0.12178109071801441</v>
      </c>
      <c r="W14" s="37">
        <f t="shared" si="43"/>
        <v>402483.41158333333</v>
      </c>
      <c r="X14" s="78">
        <f>Y14/Y6</f>
        <v>0.12178109071801441</v>
      </c>
      <c r="Y14" s="37">
        <f t="shared" si="43"/>
        <v>402483.41158333333</v>
      </c>
      <c r="Z14" s="78">
        <f>AA14/AA6</f>
        <v>0.12178109071801441</v>
      </c>
      <c r="AA14" s="37">
        <f t="shared" si="43"/>
        <v>402483.41158333333</v>
      </c>
      <c r="AB14" s="78">
        <f>AC14/AC6</f>
        <v>0.12480928946331848</v>
      </c>
      <c r="AC14" s="85">
        <f t="shared" ref="AC14:AC19" si="44">E14+G14+I14+K14+M14+O14+Q14+S14+U14+W14+Y14+AA14</f>
        <v>4829800.9390000002</v>
      </c>
      <c r="AD14" s="91">
        <f>Activos!L116</f>
        <v>5554271.0798499994</v>
      </c>
      <c r="AE14" s="78">
        <f t="shared" si="30"/>
        <v>0.14004825432571655</v>
      </c>
      <c r="AF14" s="37">
        <f t="shared" ref="AF14:BB18" si="45">$AD14/12</f>
        <v>462855.9233208333</v>
      </c>
      <c r="AG14" s="78">
        <f t="shared" si="31"/>
        <v>0.14004825432571655</v>
      </c>
      <c r="AH14" s="37">
        <f t="shared" si="45"/>
        <v>462855.9233208333</v>
      </c>
      <c r="AI14" s="78">
        <f t="shared" si="32"/>
        <v>0.14004825432571655</v>
      </c>
      <c r="AJ14" s="37">
        <f t="shared" si="45"/>
        <v>462855.9233208333</v>
      </c>
      <c r="AK14" s="78">
        <f t="shared" si="33"/>
        <v>0.14004825432571655</v>
      </c>
      <c r="AL14" s="37">
        <f t="shared" si="45"/>
        <v>462855.9233208333</v>
      </c>
      <c r="AM14" s="78">
        <f t="shared" si="34"/>
        <v>0.14004825432571655</v>
      </c>
      <c r="AN14" s="37">
        <f t="shared" si="45"/>
        <v>462855.9233208333</v>
      </c>
      <c r="AO14" s="78">
        <f t="shared" si="35"/>
        <v>0.14004825432571655</v>
      </c>
      <c r="AP14" s="37">
        <f t="shared" si="45"/>
        <v>462855.9233208333</v>
      </c>
      <c r="AQ14" s="78">
        <f t="shared" si="36"/>
        <v>0.13212099464690241</v>
      </c>
      <c r="AR14" s="37">
        <f t="shared" si="45"/>
        <v>462855.9233208333</v>
      </c>
      <c r="AS14" s="78">
        <f t="shared" si="37"/>
        <v>0.13212099464690241</v>
      </c>
      <c r="AT14" s="37">
        <f t="shared" si="45"/>
        <v>462855.9233208333</v>
      </c>
      <c r="AU14" s="78">
        <f t="shared" si="38"/>
        <v>0.13212099464690241</v>
      </c>
      <c r="AV14" s="37">
        <f t="shared" si="45"/>
        <v>462855.9233208333</v>
      </c>
      <c r="AW14" s="78">
        <f t="shared" si="39"/>
        <v>0.13212099464690241</v>
      </c>
      <c r="AX14" s="37">
        <f t="shared" si="45"/>
        <v>462855.9233208333</v>
      </c>
      <c r="AY14" s="78">
        <f t="shared" si="40"/>
        <v>0.13212099464690241</v>
      </c>
      <c r="AZ14" s="37">
        <f t="shared" si="45"/>
        <v>462855.9233208333</v>
      </c>
      <c r="BA14" s="78">
        <f t="shared" si="41"/>
        <v>0.13212099464690241</v>
      </c>
      <c r="BB14" s="37">
        <f t="shared" si="45"/>
        <v>462855.9233208333</v>
      </c>
      <c r="BC14" s="78">
        <f t="shared" si="42"/>
        <v>0.13596917895700636</v>
      </c>
      <c r="BD14" s="85">
        <f t="shared" ref="BD14:BD19" si="46">AF14+AH14+AJ14+AL14+AN14+AP14+AR14+AT14+AV14+AX14+AZ14+BB14</f>
        <v>5554271.0798499994</v>
      </c>
    </row>
    <row r="15" spans="2:56" outlineLevel="1" x14ac:dyDescent="0.2">
      <c r="B15" s="253">
        <f>Activos!K40</f>
        <v>1995686.7360000003</v>
      </c>
      <c r="C15" s="254" t="s">
        <v>0</v>
      </c>
      <c r="D15" s="78">
        <f t="shared" ref="D15:AB19" si="47">E15/E7</f>
        <v>0.10941265000000001</v>
      </c>
      <c r="E15" s="37">
        <f t="shared" si="43"/>
        <v>166307.22800000003</v>
      </c>
      <c r="F15" s="78">
        <f t="shared" si="47"/>
        <v>0.10941265000000001</v>
      </c>
      <c r="G15" s="37">
        <f t="shared" si="43"/>
        <v>166307.22800000003</v>
      </c>
      <c r="H15" s="78">
        <f t="shared" si="47"/>
        <v>0.10941265000000001</v>
      </c>
      <c r="I15" s="37">
        <f t="shared" si="43"/>
        <v>166307.22800000003</v>
      </c>
      <c r="J15" s="78">
        <f t="shared" si="47"/>
        <v>0.10941265000000001</v>
      </c>
      <c r="K15" s="37">
        <f t="shared" si="43"/>
        <v>166307.22800000003</v>
      </c>
      <c r="L15" s="78">
        <f t="shared" si="47"/>
        <v>0.10941265000000001</v>
      </c>
      <c r="M15" s="37">
        <f t="shared" si="43"/>
        <v>166307.22800000003</v>
      </c>
      <c r="N15" s="78">
        <f t="shared" si="47"/>
        <v>8.5285757948717969E-2</v>
      </c>
      <c r="O15" s="37">
        <f t="shared" si="43"/>
        <v>166307.22800000003</v>
      </c>
      <c r="P15" s="78">
        <f t="shared" si="47"/>
        <v>7.9193918095238111E-2</v>
      </c>
      <c r="Q15" s="37">
        <f t="shared" si="43"/>
        <v>166307.22800000003</v>
      </c>
      <c r="R15" s="78">
        <f t="shared" si="47"/>
        <v>7.9193918095238111E-2</v>
      </c>
      <c r="S15" s="37">
        <f t="shared" si="43"/>
        <v>166307.22800000003</v>
      </c>
      <c r="T15" s="78">
        <f t="shared" si="47"/>
        <v>7.9193918095238111E-2</v>
      </c>
      <c r="U15" s="37">
        <f t="shared" si="43"/>
        <v>166307.22800000003</v>
      </c>
      <c r="V15" s="78">
        <f t="shared" si="47"/>
        <v>7.9193918095238111E-2</v>
      </c>
      <c r="W15" s="37">
        <f t="shared" si="43"/>
        <v>166307.22800000003</v>
      </c>
      <c r="X15" s="78">
        <f t="shared" si="47"/>
        <v>7.9193918095238111E-2</v>
      </c>
      <c r="Y15" s="37">
        <f t="shared" si="43"/>
        <v>166307.22800000003</v>
      </c>
      <c r="Z15" s="78">
        <f t="shared" si="47"/>
        <v>7.9193918095238111E-2</v>
      </c>
      <c r="AA15" s="37">
        <f t="shared" si="43"/>
        <v>166307.22800000003</v>
      </c>
      <c r="AB15" s="78">
        <f t="shared" si="47"/>
        <v>9.0098723972911993E-2</v>
      </c>
      <c r="AC15" s="85">
        <f t="shared" si="44"/>
        <v>1995686.7360000007</v>
      </c>
      <c r="AD15" s="91">
        <f>Activos!L40</f>
        <v>2295039.7464000001</v>
      </c>
      <c r="AE15" s="78">
        <f t="shared" si="30"/>
        <v>0.11971888439581352</v>
      </c>
      <c r="AF15" s="37">
        <f t="shared" si="45"/>
        <v>191253.31220000001</v>
      </c>
      <c r="AG15" s="78">
        <f t="shared" si="31"/>
        <v>0.11971888439581352</v>
      </c>
      <c r="AH15" s="37">
        <f t="shared" si="45"/>
        <v>191253.31220000001</v>
      </c>
      <c r="AI15" s="78">
        <f t="shared" si="32"/>
        <v>0.11971888439581352</v>
      </c>
      <c r="AJ15" s="37">
        <f t="shared" si="45"/>
        <v>191253.31220000001</v>
      </c>
      <c r="AK15" s="78">
        <f t="shared" si="33"/>
        <v>0.11971888439581352</v>
      </c>
      <c r="AL15" s="37">
        <f t="shared" si="45"/>
        <v>191253.31220000001</v>
      </c>
      <c r="AM15" s="78">
        <f t="shared" si="34"/>
        <v>0.11971888439581352</v>
      </c>
      <c r="AN15" s="37">
        <f t="shared" si="45"/>
        <v>191253.31220000001</v>
      </c>
      <c r="AO15" s="78">
        <f t="shared" si="35"/>
        <v>0.11294234376963538</v>
      </c>
      <c r="AP15" s="37">
        <f t="shared" si="45"/>
        <v>191253.31220000001</v>
      </c>
      <c r="AQ15" s="78">
        <f t="shared" si="36"/>
        <v>0.11294234376963538</v>
      </c>
      <c r="AR15" s="37">
        <f t="shared" si="45"/>
        <v>191253.31220000001</v>
      </c>
      <c r="AS15" s="78">
        <f t="shared" si="37"/>
        <v>0.11294234376963538</v>
      </c>
      <c r="AT15" s="37">
        <f t="shared" si="45"/>
        <v>191253.31220000001</v>
      </c>
      <c r="AU15" s="78">
        <f t="shared" si="38"/>
        <v>0.11294234376963538</v>
      </c>
      <c r="AV15" s="37">
        <f t="shared" si="45"/>
        <v>191253.31220000001</v>
      </c>
      <c r="AW15" s="78">
        <f t="shared" si="39"/>
        <v>0.11294234376963538</v>
      </c>
      <c r="AX15" s="37">
        <f t="shared" si="45"/>
        <v>191253.31220000001</v>
      </c>
      <c r="AY15" s="78">
        <f t="shared" si="40"/>
        <v>0.11294234376963538</v>
      </c>
      <c r="AZ15" s="37">
        <f t="shared" si="45"/>
        <v>191253.31220000001</v>
      </c>
      <c r="BA15" s="78">
        <f t="shared" si="41"/>
        <v>0.11294234376963538</v>
      </c>
      <c r="BB15" s="37">
        <f t="shared" si="45"/>
        <v>191253.31220000001</v>
      </c>
      <c r="BC15" s="78">
        <f t="shared" si="42"/>
        <v>0.11567041970610005</v>
      </c>
      <c r="BD15" s="85">
        <f t="shared" si="46"/>
        <v>2295039.7464000001</v>
      </c>
    </row>
    <row r="16" spans="2:56" outlineLevel="1" x14ac:dyDescent="0.2">
      <c r="B16" s="253">
        <f>Activos!K97</f>
        <v>391504.31500000006</v>
      </c>
      <c r="C16" s="254" t="s">
        <v>6</v>
      </c>
      <c r="D16" s="78">
        <f t="shared" si="47"/>
        <v>6.5250719166666679E-2</v>
      </c>
      <c r="E16" s="37">
        <f t="shared" si="43"/>
        <v>32625.359583333338</v>
      </c>
      <c r="F16" s="78">
        <f t="shared" si="47"/>
        <v>6.5250719166666679E-2</v>
      </c>
      <c r="G16" s="37">
        <f t="shared" si="43"/>
        <v>32625.359583333338</v>
      </c>
      <c r="H16" s="78">
        <f t="shared" si="47"/>
        <v>6.5250719166666679E-2</v>
      </c>
      <c r="I16" s="37">
        <f t="shared" si="43"/>
        <v>32625.359583333338</v>
      </c>
      <c r="J16" s="78">
        <f t="shared" si="47"/>
        <v>6.5250719166666679E-2</v>
      </c>
      <c r="K16" s="37">
        <f t="shared" si="43"/>
        <v>32625.359583333338</v>
      </c>
      <c r="L16" s="78">
        <f t="shared" si="47"/>
        <v>6.5250719166666679E-2</v>
      </c>
      <c r="M16" s="37">
        <f t="shared" si="43"/>
        <v>32625.359583333338</v>
      </c>
      <c r="N16" s="78">
        <f t="shared" si="47"/>
        <v>6.2084414050111017E-2</v>
      </c>
      <c r="O16" s="37">
        <f t="shared" si="43"/>
        <v>32625.359583333338</v>
      </c>
      <c r="P16" s="78">
        <f t="shared" si="47"/>
        <v>6.2084414050111017E-2</v>
      </c>
      <c r="Q16" s="37">
        <f t="shared" si="43"/>
        <v>32625.359583333338</v>
      </c>
      <c r="R16" s="78">
        <f t="shared" si="47"/>
        <v>6.2084414050111017E-2</v>
      </c>
      <c r="S16" s="37">
        <f t="shared" si="43"/>
        <v>32625.359583333338</v>
      </c>
      <c r="T16" s="78">
        <f t="shared" si="47"/>
        <v>6.2084414050111017E-2</v>
      </c>
      <c r="U16" s="37">
        <f t="shared" si="43"/>
        <v>32625.359583333338</v>
      </c>
      <c r="V16" s="78">
        <f t="shared" si="47"/>
        <v>6.2084414050111017E-2</v>
      </c>
      <c r="W16" s="37">
        <f t="shared" si="43"/>
        <v>32625.359583333338</v>
      </c>
      <c r="X16" s="78">
        <f t="shared" si="47"/>
        <v>6.2084414050111017E-2</v>
      </c>
      <c r="Y16" s="37">
        <f t="shared" si="43"/>
        <v>32625.359583333338</v>
      </c>
      <c r="Z16" s="78">
        <f t="shared" si="47"/>
        <v>6.2084414050111017E-2</v>
      </c>
      <c r="AA16" s="37">
        <f t="shared" si="43"/>
        <v>32625.359583333338</v>
      </c>
      <c r="AB16" s="78">
        <f t="shared" si="47"/>
        <v>6.3365592781419469E-2</v>
      </c>
      <c r="AC16" s="85">
        <f t="shared" si="44"/>
        <v>391504.31500000018</v>
      </c>
      <c r="AD16" s="91">
        <f>Activos!L97</f>
        <v>450229.96225000004</v>
      </c>
      <c r="AE16" s="78">
        <f t="shared" si="30"/>
        <v>7.1397076157627665E-2</v>
      </c>
      <c r="AF16" s="37">
        <f t="shared" si="45"/>
        <v>37519.163520833339</v>
      </c>
      <c r="AG16" s="78">
        <f t="shared" si="31"/>
        <v>7.1397076157627665E-2</v>
      </c>
      <c r="AH16" s="37">
        <f t="shared" si="45"/>
        <v>37519.163520833339</v>
      </c>
      <c r="AI16" s="78">
        <f t="shared" si="32"/>
        <v>7.1397076157627665E-2</v>
      </c>
      <c r="AJ16" s="37">
        <f t="shared" si="45"/>
        <v>37519.163520833339</v>
      </c>
      <c r="AK16" s="78">
        <f t="shared" si="33"/>
        <v>7.1397076157627665E-2</v>
      </c>
      <c r="AL16" s="37">
        <f t="shared" si="45"/>
        <v>37519.163520833339</v>
      </c>
      <c r="AM16" s="78">
        <f t="shared" si="34"/>
        <v>7.1397076157627665E-2</v>
      </c>
      <c r="AN16" s="37">
        <f t="shared" si="45"/>
        <v>37519.163520833339</v>
      </c>
      <c r="AO16" s="78">
        <f t="shared" si="35"/>
        <v>7.1397076157627665E-2</v>
      </c>
      <c r="AP16" s="37">
        <f t="shared" si="45"/>
        <v>37519.163520833339</v>
      </c>
      <c r="AQ16" s="78">
        <f t="shared" si="36"/>
        <v>7.1397076157627665E-2</v>
      </c>
      <c r="AR16" s="37">
        <f t="shared" si="45"/>
        <v>37519.163520833339</v>
      </c>
      <c r="AS16" s="78">
        <f t="shared" si="37"/>
        <v>7.1397076157627665E-2</v>
      </c>
      <c r="AT16" s="37">
        <f t="shared" si="45"/>
        <v>37519.163520833339</v>
      </c>
      <c r="AU16" s="78">
        <f t="shared" si="38"/>
        <v>7.1397076157627665E-2</v>
      </c>
      <c r="AV16" s="37">
        <f t="shared" si="45"/>
        <v>37519.163520833339</v>
      </c>
      <c r="AW16" s="78">
        <f t="shared" si="39"/>
        <v>7.1397076157627665E-2</v>
      </c>
      <c r="AX16" s="37">
        <f t="shared" si="45"/>
        <v>37519.163520833339</v>
      </c>
      <c r="AY16" s="78">
        <f t="shared" si="40"/>
        <v>7.1397076157627665E-2</v>
      </c>
      <c r="AZ16" s="37">
        <f t="shared" si="45"/>
        <v>37519.163520833339</v>
      </c>
      <c r="BA16" s="78">
        <f t="shared" si="41"/>
        <v>6.735573222417704E-2</v>
      </c>
      <c r="BB16" s="37">
        <f t="shared" si="45"/>
        <v>37519.163520833339</v>
      </c>
      <c r="BC16" s="78">
        <f t="shared" si="42"/>
        <v>7.104186682351013E-2</v>
      </c>
      <c r="BD16" s="85">
        <f t="shared" si="46"/>
        <v>450229.96225000016</v>
      </c>
    </row>
    <row r="17" spans="2:56" outlineLevel="1" x14ac:dyDescent="0.2">
      <c r="B17" s="253">
        <f>Activos!K59</f>
        <v>1448475.0460000001</v>
      </c>
      <c r="C17" s="254" t="s">
        <v>77</v>
      </c>
      <c r="D17" s="78">
        <f t="shared" si="47"/>
        <v>7.0382655296404278E-2</v>
      </c>
      <c r="E17" s="37">
        <f t="shared" si="43"/>
        <v>120706.25383333334</v>
      </c>
      <c r="F17" s="78">
        <f t="shared" si="47"/>
        <v>7.0382655296404278E-2</v>
      </c>
      <c r="G17" s="37">
        <f t="shared" si="43"/>
        <v>120706.25383333334</v>
      </c>
      <c r="H17" s="78">
        <f t="shared" si="47"/>
        <v>7.0382655296404278E-2</v>
      </c>
      <c r="I17" s="37">
        <f t="shared" si="43"/>
        <v>120706.25383333334</v>
      </c>
      <c r="J17" s="78">
        <f t="shared" si="47"/>
        <v>7.0382655296404278E-2</v>
      </c>
      <c r="K17" s="37">
        <f t="shared" si="43"/>
        <v>120706.25383333334</v>
      </c>
      <c r="L17" s="78">
        <f t="shared" si="47"/>
        <v>7.0382655296404278E-2</v>
      </c>
      <c r="M17" s="37">
        <f t="shared" si="43"/>
        <v>120706.25383333334</v>
      </c>
      <c r="N17" s="78">
        <f t="shared" si="47"/>
        <v>7.0382655296404278E-2</v>
      </c>
      <c r="O17" s="37">
        <f t="shared" si="43"/>
        <v>120706.25383333334</v>
      </c>
      <c r="P17" s="78">
        <f t="shared" si="47"/>
        <v>7.0382655296404278E-2</v>
      </c>
      <c r="Q17" s="37">
        <f t="shared" si="43"/>
        <v>120706.25383333334</v>
      </c>
      <c r="R17" s="78">
        <f t="shared" si="47"/>
        <v>7.0382655296404278E-2</v>
      </c>
      <c r="S17" s="37">
        <f t="shared" si="43"/>
        <v>120706.25383333334</v>
      </c>
      <c r="T17" s="78">
        <f t="shared" si="47"/>
        <v>7.0382655296404278E-2</v>
      </c>
      <c r="U17" s="37">
        <f t="shared" si="43"/>
        <v>120706.25383333334</v>
      </c>
      <c r="V17" s="78">
        <f t="shared" si="47"/>
        <v>7.0382655296404278E-2</v>
      </c>
      <c r="W17" s="37">
        <f t="shared" si="43"/>
        <v>120706.25383333334</v>
      </c>
      <c r="X17" s="78">
        <f t="shared" si="47"/>
        <v>7.0382655296404278E-2</v>
      </c>
      <c r="Y17" s="37">
        <f t="shared" si="43"/>
        <v>120706.25383333334</v>
      </c>
      <c r="Z17" s="78">
        <f t="shared" si="47"/>
        <v>6.6967321880498837E-2</v>
      </c>
      <c r="AA17" s="37">
        <f t="shared" si="43"/>
        <v>120706.25383333334</v>
      </c>
      <c r="AB17" s="78">
        <f t="shared" si="47"/>
        <v>7.0084794918002763E-2</v>
      </c>
      <c r="AC17" s="85">
        <f t="shared" si="44"/>
        <v>1448475.0459999999</v>
      </c>
      <c r="AD17" s="91">
        <f>Activos!L59</f>
        <v>1665746.3029</v>
      </c>
      <c r="AE17" s="78">
        <f t="shared" si="30"/>
        <v>7.7012420162573661E-2</v>
      </c>
      <c r="AF17" s="37">
        <f t="shared" si="45"/>
        <v>138812.19190833333</v>
      </c>
      <c r="AG17" s="78">
        <f t="shared" si="31"/>
        <v>7.7012420162573661E-2</v>
      </c>
      <c r="AH17" s="37">
        <f t="shared" si="45"/>
        <v>138812.19190833333</v>
      </c>
      <c r="AI17" s="78">
        <f t="shared" si="32"/>
        <v>7.7012420162573661E-2</v>
      </c>
      <c r="AJ17" s="37">
        <f t="shared" si="45"/>
        <v>138812.19190833333</v>
      </c>
      <c r="AK17" s="78">
        <f t="shared" si="33"/>
        <v>7.7012420162573661E-2</v>
      </c>
      <c r="AL17" s="37">
        <f t="shared" si="45"/>
        <v>138812.19190833333</v>
      </c>
      <c r="AM17" s="78">
        <f t="shared" si="34"/>
        <v>7.7012420162573661E-2</v>
      </c>
      <c r="AN17" s="37">
        <f t="shared" si="45"/>
        <v>138812.19190833333</v>
      </c>
      <c r="AO17" s="78">
        <f t="shared" si="35"/>
        <v>7.7012420162573661E-2</v>
      </c>
      <c r="AP17" s="37">
        <f t="shared" si="45"/>
        <v>138812.19190833333</v>
      </c>
      <c r="AQ17" s="78">
        <f t="shared" si="36"/>
        <v>7.7012420162573661E-2</v>
      </c>
      <c r="AR17" s="37">
        <f t="shared" si="45"/>
        <v>138812.19190833333</v>
      </c>
      <c r="AS17" s="78">
        <f t="shared" si="37"/>
        <v>7.7012420162573661E-2</v>
      </c>
      <c r="AT17" s="37">
        <f t="shared" si="45"/>
        <v>138812.19190833333</v>
      </c>
      <c r="AU17" s="78">
        <f t="shared" si="38"/>
        <v>7.7012420162573661E-2</v>
      </c>
      <c r="AV17" s="37">
        <f t="shared" si="45"/>
        <v>138812.19190833333</v>
      </c>
      <c r="AW17" s="78">
        <f t="shared" si="39"/>
        <v>7.7012420162573661E-2</v>
      </c>
      <c r="AX17" s="37">
        <f t="shared" si="45"/>
        <v>138812.19190833333</v>
      </c>
      <c r="AY17" s="78">
        <f t="shared" si="40"/>
        <v>7.7012420162573661E-2</v>
      </c>
      <c r="AZ17" s="37">
        <f t="shared" si="45"/>
        <v>138812.19190833333</v>
      </c>
      <c r="BA17" s="78">
        <f t="shared" si="41"/>
        <v>7.2653226568465706E-2</v>
      </c>
      <c r="BB17" s="37">
        <f t="shared" si="45"/>
        <v>138812.19190833333</v>
      </c>
      <c r="BC17" s="78">
        <f t="shared" si="42"/>
        <v>7.6629273793605665E-2</v>
      </c>
      <c r="BD17" s="85">
        <f t="shared" si="46"/>
        <v>1665746.3029000005</v>
      </c>
    </row>
    <row r="18" spans="2:56" outlineLevel="1" x14ac:dyDescent="0.2">
      <c r="B18" s="91">
        <f>Activos!K78</f>
        <v>946963.08400000003</v>
      </c>
      <c r="C18" s="9" t="s">
        <v>7</v>
      </c>
      <c r="D18" s="78">
        <f t="shared" si="47"/>
        <v>8.9572747256905047E-2</v>
      </c>
      <c r="E18" s="37">
        <f t="shared" si="43"/>
        <v>78913.590333333341</v>
      </c>
      <c r="F18" s="78">
        <f t="shared" si="47"/>
        <v>8.9572747256905047E-2</v>
      </c>
      <c r="G18" s="37">
        <f t="shared" si="43"/>
        <v>78913.590333333341</v>
      </c>
      <c r="H18" s="78">
        <f t="shared" si="47"/>
        <v>8.9572747256905047E-2</v>
      </c>
      <c r="I18" s="37">
        <f t="shared" si="43"/>
        <v>78913.590333333341</v>
      </c>
      <c r="J18" s="78">
        <f t="shared" si="47"/>
        <v>8.9572747256905047E-2</v>
      </c>
      <c r="K18" s="37">
        <f t="shared" si="43"/>
        <v>78913.590333333341</v>
      </c>
      <c r="L18" s="78">
        <f t="shared" si="47"/>
        <v>8.9572747256905047E-2</v>
      </c>
      <c r="M18" s="37">
        <f t="shared" si="43"/>
        <v>78913.590333333341</v>
      </c>
      <c r="N18" s="78">
        <f t="shared" si="47"/>
        <v>8.9572747256905047E-2</v>
      </c>
      <c r="O18" s="37">
        <f t="shared" si="43"/>
        <v>78913.590333333341</v>
      </c>
      <c r="P18" s="78">
        <f t="shared" si="47"/>
        <v>8.9572747256905047E-2</v>
      </c>
      <c r="Q18" s="37">
        <f t="shared" si="43"/>
        <v>78913.590333333341</v>
      </c>
      <c r="R18" s="78">
        <f t="shared" si="47"/>
        <v>8.5226210520366358E-2</v>
      </c>
      <c r="S18" s="37">
        <f t="shared" si="43"/>
        <v>78913.590333333341</v>
      </c>
      <c r="T18" s="78">
        <f t="shared" si="47"/>
        <v>8.5226210520366358E-2</v>
      </c>
      <c r="U18" s="37">
        <f t="shared" si="43"/>
        <v>78913.590333333341</v>
      </c>
      <c r="V18" s="78">
        <f t="shared" si="47"/>
        <v>8.5226210520366358E-2</v>
      </c>
      <c r="W18" s="37">
        <f t="shared" si="43"/>
        <v>78913.590333333341</v>
      </c>
      <c r="X18" s="78">
        <f t="shared" si="47"/>
        <v>8.5226210520366358E-2</v>
      </c>
      <c r="Y18" s="37">
        <f t="shared" si="43"/>
        <v>78913.590333333341</v>
      </c>
      <c r="Z18" s="78">
        <f t="shared" si="47"/>
        <v>8.5226210520366358E-2</v>
      </c>
      <c r="AA18" s="37">
        <f t="shared" si="43"/>
        <v>78913.590333333341</v>
      </c>
      <c r="AB18" s="78">
        <f t="shared" si="47"/>
        <v>8.7708932442501886E-2</v>
      </c>
      <c r="AC18" s="85">
        <f t="shared" si="44"/>
        <v>946963.08400000015</v>
      </c>
      <c r="AD18" s="91">
        <f>Activos!L78</f>
        <v>1089007.5466</v>
      </c>
      <c r="AE18" s="78">
        <f t="shared" si="30"/>
        <v>9.8010142098421307E-2</v>
      </c>
      <c r="AF18" s="37">
        <f t="shared" si="45"/>
        <v>90750.628883333338</v>
      </c>
      <c r="AG18" s="78">
        <f t="shared" si="31"/>
        <v>9.8010142098421307E-2</v>
      </c>
      <c r="AH18" s="37">
        <f t="shared" si="45"/>
        <v>90750.628883333338</v>
      </c>
      <c r="AI18" s="78">
        <f t="shared" si="32"/>
        <v>9.8010142098421307E-2</v>
      </c>
      <c r="AJ18" s="37">
        <f t="shared" si="45"/>
        <v>90750.628883333338</v>
      </c>
      <c r="AK18" s="78">
        <f t="shared" si="33"/>
        <v>9.8010142098421307E-2</v>
      </c>
      <c r="AL18" s="37">
        <f t="shared" si="45"/>
        <v>90750.628883333338</v>
      </c>
      <c r="AM18" s="78">
        <f t="shared" si="34"/>
        <v>9.8010142098421307E-2</v>
      </c>
      <c r="AN18" s="37">
        <f t="shared" si="45"/>
        <v>90750.628883333338</v>
      </c>
      <c r="AO18" s="78">
        <f t="shared" si="35"/>
        <v>9.8010142098421307E-2</v>
      </c>
      <c r="AP18" s="37">
        <f t="shared" si="45"/>
        <v>90750.628883333338</v>
      </c>
      <c r="AQ18" s="78">
        <f t="shared" si="36"/>
        <v>9.8010142098421307E-2</v>
      </c>
      <c r="AR18" s="37">
        <f t="shared" si="45"/>
        <v>90750.628883333338</v>
      </c>
      <c r="AS18" s="78">
        <f t="shared" si="37"/>
        <v>9.2462398206057825E-2</v>
      </c>
      <c r="AT18" s="37">
        <f t="shared" si="45"/>
        <v>90750.628883333338</v>
      </c>
      <c r="AU18" s="78">
        <f t="shared" si="38"/>
        <v>9.2462398206057825E-2</v>
      </c>
      <c r="AV18" s="37">
        <f t="shared" si="45"/>
        <v>90750.628883333338</v>
      </c>
      <c r="AW18" s="78">
        <f t="shared" si="39"/>
        <v>9.2462398206057825E-2</v>
      </c>
      <c r="AX18" s="37">
        <f t="shared" si="45"/>
        <v>90750.628883333338</v>
      </c>
      <c r="AY18" s="78">
        <f t="shared" si="40"/>
        <v>9.2462398206057825E-2</v>
      </c>
      <c r="AZ18" s="37">
        <f t="shared" si="45"/>
        <v>90750.628883333338</v>
      </c>
      <c r="BA18" s="78">
        <f t="shared" si="41"/>
        <v>9.2462398206057825E-2</v>
      </c>
      <c r="BB18" s="37">
        <f t="shared" si="45"/>
        <v>90750.628883333338</v>
      </c>
      <c r="BC18" s="78">
        <f t="shared" si="42"/>
        <v>9.5619650827728081E-2</v>
      </c>
      <c r="BD18" s="85">
        <f t="shared" si="46"/>
        <v>1089007.5465999998</v>
      </c>
    </row>
    <row r="19" spans="2:56" x14ac:dyDescent="0.2">
      <c r="B19" s="83" t="s">
        <v>81</v>
      </c>
      <c r="D19" s="84">
        <f>E19/E11</f>
        <v>0.10801056412754417</v>
      </c>
      <c r="E19" s="85">
        <f>SUM(E13:E18)</f>
        <v>1025533.3037500001</v>
      </c>
      <c r="F19" s="84">
        <f t="shared" si="47"/>
        <v>0.10801056412754417</v>
      </c>
      <c r="G19" s="85">
        <f>SUM(G13:G18)</f>
        <v>1025533.3037500001</v>
      </c>
      <c r="H19" s="84">
        <f>I19/I11</f>
        <v>0.10801056412754417</v>
      </c>
      <c r="I19" s="85">
        <f>SUM(I13:I18)</f>
        <v>1025533.3037500001</v>
      </c>
      <c r="J19" s="84">
        <f t="shared" si="47"/>
        <v>0.10801056412754417</v>
      </c>
      <c r="K19" s="85">
        <f>SUM(K13:K18)</f>
        <v>1025533.3037500001</v>
      </c>
      <c r="L19" s="84">
        <f t="shared" si="47"/>
        <v>0.10801056412754417</v>
      </c>
      <c r="M19" s="85">
        <f>SUM(M13:M18)</f>
        <v>1025533.3037500001</v>
      </c>
      <c r="N19" s="84">
        <f t="shared" si="47"/>
        <v>0.10306608414361448</v>
      </c>
      <c r="O19" s="85">
        <f>SUM(O13:O18)</f>
        <v>1025533.3037500001</v>
      </c>
      <c r="P19" s="84">
        <f t="shared" si="47"/>
        <v>9.9948428456294966E-2</v>
      </c>
      <c r="Q19" s="85">
        <f>SUM(Q13:Q18)</f>
        <v>1025533.3037500001</v>
      </c>
      <c r="R19" s="84">
        <f t="shared" si="47"/>
        <v>9.9512665163826786E-2</v>
      </c>
      <c r="S19" s="85">
        <f>SUM(S13:S18)</f>
        <v>1025533.3037500001</v>
      </c>
      <c r="T19" s="84">
        <f t="shared" si="47"/>
        <v>9.9512665163826786E-2</v>
      </c>
      <c r="U19" s="85">
        <f>SUM(U13:U18)</f>
        <v>1025533.3037500001</v>
      </c>
      <c r="V19" s="84">
        <f t="shared" si="47"/>
        <v>9.9512665163826786E-2</v>
      </c>
      <c r="W19" s="85">
        <f>SUM(W13:W18)</f>
        <v>1025533.3037500001</v>
      </c>
      <c r="X19" s="84">
        <f t="shared" si="47"/>
        <v>9.9512665163826786E-2</v>
      </c>
      <c r="Y19" s="85">
        <f>SUM(Y13:Y18)</f>
        <v>1025533.3037500001</v>
      </c>
      <c r="Z19" s="84">
        <f t="shared" si="47"/>
        <v>9.8675192056292091E-2</v>
      </c>
      <c r="AA19" s="85">
        <f>SUM(AA13:AA18)</f>
        <v>1025533.3037500001</v>
      </c>
      <c r="AB19" s="84">
        <f t="shared" si="47"/>
        <v>0.10315518275562618</v>
      </c>
      <c r="AC19" s="85">
        <f t="shared" si="44"/>
        <v>12306399.645000003</v>
      </c>
      <c r="AD19" s="43"/>
      <c r="AE19" s="84">
        <f t="shared" si="30"/>
        <v>0.11800017274471183</v>
      </c>
      <c r="AF19" s="85">
        <f>SUM(AF13:AF18)</f>
        <v>1179363.2993125003</v>
      </c>
      <c r="AG19" s="84">
        <f t="shared" si="31"/>
        <v>0.11800017274471183</v>
      </c>
      <c r="AH19" s="85">
        <f>SUM(AH13:AH18)</f>
        <v>1179363.2993125003</v>
      </c>
      <c r="AI19" s="84">
        <f t="shared" si="32"/>
        <v>0.11800017274471183</v>
      </c>
      <c r="AJ19" s="85">
        <f>SUM(AJ13:AJ18)</f>
        <v>1179363.2993125003</v>
      </c>
      <c r="AK19" s="84">
        <f t="shared" si="33"/>
        <v>0.11800017274471183</v>
      </c>
      <c r="AL19" s="85">
        <f>SUM(AL13:AL18)</f>
        <v>1179363.2993125003</v>
      </c>
      <c r="AM19" s="84">
        <f t="shared" si="34"/>
        <v>0.11800017274471183</v>
      </c>
      <c r="AN19" s="85">
        <f>SUM(AN13:AN18)</f>
        <v>1179363.2993125003</v>
      </c>
      <c r="AO19" s="84">
        <f t="shared" si="35"/>
        <v>0.1168792645126564</v>
      </c>
      <c r="AP19" s="85">
        <f>SUM(AP13:AP18)</f>
        <v>1179363.2993125003</v>
      </c>
      <c r="AQ19" s="84">
        <f t="shared" si="36"/>
        <v>0.11462660950730269</v>
      </c>
      <c r="AR19" s="85">
        <f>SUM(AR13:AR18)</f>
        <v>1179363.2993125003</v>
      </c>
      <c r="AS19" s="84">
        <f t="shared" si="37"/>
        <v>0.11401098710032979</v>
      </c>
      <c r="AT19" s="85">
        <f>SUM(AT13:AT18)</f>
        <v>1179363.2993125003</v>
      </c>
      <c r="AU19" s="84">
        <f t="shared" si="38"/>
        <v>0.11401098710032979</v>
      </c>
      <c r="AV19" s="85">
        <f>SUM(AV13:AV18)</f>
        <v>1179363.2993125003</v>
      </c>
      <c r="AW19" s="84">
        <f t="shared" si="39"/>
        <v>0.11401098710032979</v>
      </c>
      <c r="AX19" s="85">
        <f>SUM(AX13:AX18)</f>
        <v>1179363.2993125003</v>
      </c>
      <c r="AY19" s="84">
        <f t="shared" si="40"/>
        <v>0.11401098710032979</v>
      </c>
      <c r="AZ19" s="85">
        <f>SUM(AZ13:AZ18)</f>
        <v>1179363.2993125003</v>
      </c>
      <c r="BA19" s="84">
        <f t="shared" si="41"/>
        <v>0.1124920195104268</v>
      </c>
      <c r="BB19" s="85">
        <f>SUM(BB13:BB18)</f>
        <v>1179363.2993125003</v>
      </c>
      <c r="BC19" s="84">
        <f t="shared" si="42"/>
        <v>0.11580050384037123</v>
      </c>
      <c r="BD19" s="85">
        <f t="shared" si="46"/>
        <v>14152359.591750003</v>
      </c>
    </row>
    <row r="20" spans="2:56" x14ac:dyDescent="0.2">
      <c r="BD20" s="39"/>
    </row>
    <row r="21" spans="2:56" outlineLevel="1" x14ac:dyDescent="0.2">
      <c r="B21" s="91">
        <f>Activos!K133</f>
        <v>156000</v>
      </c>
      <c r="C21" s="9" t="s">
        <v>1</v>
      </c>
      <c r="D21" s="78">
        <f>E21/E5</f>
        <v>8.995761612317274E-2</v>
      </c>
      <c r="E21" s="86">
        <f>$B21</f>
        <v>156000</v>
      </c>
      <c r="F21" s="78">
        <f>G21/G5</f>
        <v>8.995761612317274E-2</v>
      </c>
      <c r="G21" s="38">
        <f>$B21</f>
        <v>156000</v>
      </c>
      <c r="H21" s="78">
        <f>I21/I5</f>
        <v>8.995761612317274E-2</v>
      </c>
      <c r="I21" s="38">
        <f>$B21</f>
        <v>156000</v>
      </c>
      <c r="J21" s="78">
        <f>K21/K5</f>
        <v>8.995761612317274E-2</v>
      </c>
      <c r="K21" s="38">
        <f>$B21</f>
        <v>156000</v>
      </c>
      <c r="L21" s="78">
        <f>M21/M5</f>
        <v>8.995761612317274E-2</v>
      </c>
      <c r="M21" s="38">
        <f>$B21</f>
        <v>156000</v>
      </c>
      <c r="N21" s="78">
        <f>O21/O5</f>
        <v>8.995761612317274E-2</v>
      </c>
      <c r="O21" s="38">
        <f>$B21</f>
        <v>156000</v>
      </c>
      <c r="P21" s="78">
        <f>Q21/Q5</f>
        <v>8.995761612317274E-2</v>
      </c>
      <c r="Q21" s="38">
        <f>$B21</f>
        <v>156000</v>
      </c>
      <c r="R21" s="78">
        <f>S21/S5</f>
        <v>8.995761612317274E-2</v>
      </c>
      <c r="S21" s="38">
        <f>$B21</f>
        <v>156000</v>
      </c>
      <c r="T21" s="78">
        <f>U21/U5</f>
        <v>8.995761612317274E-2</v>
      </c>
      <c r="U21" s="38">
        <f>$B21</f>
        <v>156000</v>
      </c>
      <c r="V21" s="78">
        <f>W21/W5</f>
        <v>8.995761612317274E-2</v>
      </c>
      <c r="W21" s="38">
        <f>$B21</f>
        <v>156000</v>
      </c>
      <c r="X21" s="78">
        <f>Y21/Y5</f>
        <v>8.995761612317274E-2</v>
      </c>
      <c r="Y21" s="38">
        <f>$B21</f>
        <v>156000</v>
      </c>
      <c r="Z21" s="78">
        <f>AA21/AA5</f>
        <v>8.995761612317274E-2</v>
      </c>
      <c r="AA21" s="38">
        <f>$B21</f>
        <v>156000</v>
      </c>
      <c r="AB21" s="78">
        <f>AC21/AC5</f>
        <v>8.995761612317274E-2</v>
      </c>
      <c r="AC21" s="85">
        <f>E21+G21+I21+K21+M21+O21+Q21+S21+U21+W21+Y21+AA21</f>
        <v>1872000</v>
      </c>
      <c r="AD21" s="91">
        <f>Activos!L133</f>
        <v>179400</v>
      </c>
      <c r="AE21" s="78">
        <f>AF21/AF5</f>
        <v>9.7595526926083628E-2</v>
      </c>
      <c r="AF21" s="86">
        <f>$AD21</f>
        <v>179400</v>
      </c>
      <c r="AG21" s="78">
        <f>AH21/AH5</f>
        <v>9.7595526926083628E-2</v>
      </c>
      <c r="AH21" s="38">
        <f>$AD21</f>
        <v>179400</v>
      </c>
      <c r="AI21" s="78">
        <f>AJ21/AJ5</f>
        <v>9.7595526926083628E-2</v>
      </c>
      <c r="AJ21" s="38">
        <f>$AD21</f>
        <v>179400</v>
      </c>
      <c r="AK21" s="78">
        <f>AL21/AL5</f>
        <v>9.7595526926083628E-2</v>
      </c>
      <c r="AL21" s="38">
        <f>$AD21</f>
        <v>179400</v>
      </c>
      <c r="AM21" s="78">
        <f>AN21/AN5</f>
        <v>9.7595526926083628E-2</v>
      </c>
      <c r="AN21" s="38">
        <f>$AD21</f>
        <v>179400</v>
      </c>
      <c r="AO21" s="78">
        <f>AP21/AP5</f>
        <v>9.7595526926083628E-2</v>
      </c>
      <c r="AP21" s="38">
        <f>$AD21</f>
        <v>179400</v>
      </c>
      <c r="AQ21" s="78">
        <f>AR21/AR5</f>
        <v>9.7595526926083628E-2</v>
      </c>
      <c r="AR21" s="38">
        <f>$AD21</f>
        <v>179400</v>
      </c>
      <c r="AS21" s="78">
        <f>AT21/AT5</f>
        <v>9.7595526926083628E-2</v>
      </c>
      <c r="AT21" s="38">
        <f>$AD21</f>
        <v>179400</v>
      </c>
      <c r="AU21" s="78">
        <f>AV21/AV5</f>
        <v>9.7595526926083628E-2</v>
      </c>
      <c r="AV21" s="38">
        <f>$AD21</f>
        <v>179400</v>
      </c>
      <c r="AW21" s="78">
        <f>AX21/AX5</f>
        <v>9.7595526926083628E-2</v>
      </c>
      <c r="AX21" s="38">
        <f>$AD21</f>
        <v>179400</v>
      </c>
      <c r="AY21" s="78">
        <f>AZ21/AZ5</f>
        <v>9.7595526926083628E-2</v>
      </c>
      <c r="AZ21" s="38">
        <f>$AD21</f>
        <v>179400</v>
      </c>
      <c r="BA21" s="78">
        <f>BB21/BB5</f>
        <v>9.7595526926083628E-2</v>
      </c>
      <c r="BB21" s="38">
        <f>$AD21</f>
        <v>179400</v>
      </c>
      <c r="BC21" s="78">
        <f>BD21/BD5</f>
        <v>9.7595526926083628E-2</v>
      </c>
      <c r="BD21" s="85">
        <f>AF21+AH21+AJ21+AL21+AN21+AP21+AR21+AT21+AV21+AX21+AZ21+BB21</f>
        <v>2152800</v>
      </c>
    </row>
    <row r="22" spans="2:56" outlineLevel="1" x14ac:dyDescent="0.2">
      <c r="B22" s="91">
        <f>Activos!K38</f>
        <v>590302.58500000008</v>
      </c>
      <c r="C22" s="9" t="s">
        <v>0</v>
      </c>
      <c r="D22" s="78">
        <f>E22/E7</f>
        <v>0.38835696381578955</v>
      </c>
      <c r="E22" s="86">
        <f>$B22</f>
        <v>590302.58500000008</v>
      </c>
      <c r="F22" s="78">
        <f>G22/G7</f>
        <v>0.38835696381578955</v>
      </c>
      <c r="G22" s="38">
        <f>$B22</f>
        <v>590302.58500000008</v>
      </c>
      <c r="H22" s="78">
        <f>I22/I7</f>
        <v>0.38835696381578955</v>
      </c>
      <c r="I22" s="38">
        <f>$B22</f>
        <v>590302.58500000008</v>
      </c>
      <c r="J22" s="78">
        <f>K22/K7</f>
        <v>0.38835696381578955</v>
      </c>
      <c r="K22" s="38">
        <f>$B22</f>
        <v>590302.58500000008</v>
      </c>
      <c r="L22" s="78">
        <f>M22/M7</f>
        <v>0.38835696381578955</v>
      </c>
      <c r="M22" s="38">
        <f>$B22</f>
        <v>590302.58500000008</v>
      </c>
      <c r="N22" s="78">
        <f>O22/O7</f>
        <v>0.30271927435897439</v>
      </c>
      <c r="O22" s="38">
        <f>$B22</f>
        <v>590302.58500000008</v>
      </c>
      <c r="P22" s="78">
        <f>Q22/Q7</f>
        <v>0.28109646904761909</v>
      </c>
      <c r="Q22" s="38">
        <f>$B22</f>
        <v>590302.58500000008</v>
      </c>
      <c r="R22" s="78">
        <f>S22/S7</f>
        <v>0.28109646904761909</v>
      </c>
      <c r="S22" s="38">
        <f>$B22</f>
        <v>590302.58500000008</v>
      </c>
      <c r="T22" s="78">
        <f>U22/U7</f>
        <v>0.28109646904761909</v>
      </c>
      <c r="U22" s="38">
        <f>$B22</f>
        <v>590302.58500000008</v>
      </c>
      <c r="V22" s="78">
        <f>W22/W7</f>
        <v>0.28109646904761909</v>
      </c>
      <c r="W22" s="38">
        <f>$B22</f>
        <v>590302.58500000008</v>
      </c>
      <c r="X22" s="78">
        <f>Y22/Y7</f>
        <v>0.28109646904761909</v>
      </c>
      <c r="Y22" s="38">
        <f>$B22</f>
        <v>590302.58500000008</v>
      </c>
      <c r="Z22" s="78">
        <f>AA22/AA7</f>
        <v>0.28109646904761909</v>
      </c>
      <c r="AA22" s="38">
        <f>$B22</f>
        <v>590302.58500000008</v>
      </c>
      <c r="AB22" s="78">
        <f>AC22/AC7</f>
        <v>0.31980275485327314</v>
      </c>
      <c r="AC22" s="85">
        <f>E22+G22+I22+K22+M22+O22+Q22+S22+U22+W22+Y22+AA22</f>
        <v>7083631.0200000005</v>
      </c>
      <c r="AD22" s="91">
        <f>Activos!L38</f>
        <v>678847.97275000007</v>
      </c>
      <c r="AE22" s="78">
        <f>AF22/AF7</f>
        <v>0.42493863785742908</v>
      </c>
      <c r="AF22" s="86">
        <f>$AD22</f>
        <v>678847.97275000007</v>
      </c>
      <c r="AG22" s="78">
        <f>AH22/AH7</f>
        <v>0.42493863785742908</v>
      </c>
      <c r="AH22" s="38">
        <f>$AD22</f>
        <v>678847.97275000007</v>
      </c>
      <c r="AI22" s="78">
        <f>AJ22/AJ7</f>
        <v>0.42493863785742908</v>
      </c>
      <c r="AJ22" s="38">
        <f>$AD22</f>
        <v>678847.97275000007</v>
      </c>
      <c r="AK22" s="78">
        <f>AL22/AL7</f>
        <v>0.42493863785742908</v>
      </c>
      <c r="AL22" s="38">
        <f>$AD22</f>
        <v>678847.97275000007</v>
      </c>
      <c r="AM22" s="78">
        <f>AN22/AN7</f>
        <v>0.42493863785742908</v>
      </c>
      <c r="AN22" s="38">
        <f>$AD22</f>
        <v>678847.97275000007</v>
      </c>
      <c r="AO22" s="78">
        <f>AP22/AP7</f>
        <v>0.40088550741266887</v>
      </c>
      <c r="AP22" s="38">
        <f>$AD22</f>
        <v>678847.97275000007</v>
      </c>
      <c r="AQ22" s="78">
        <f>AR22/AR7</f>
        <v>0.40088550741266887</v>
      </c>
      <c r="AR22" s="38">
        <f>$AD22</f>
        <v>678847.97275000007</v>
      </c>
      <c r="AS22" s="78">
        <f>AT22/AT7</f>
        <v>0.40088550741266887</v>
      </c>
      <c r="AT22" s="38">
        <f>$AD22</f>
        <v>678847.97275000007</v>
      </c>
      <c r="AU22" s="78">
        <f>AV22/AV7</f>
        <v>0.40088550741266887</v>
      </c>
      <c r="AV22" s="38">
        <f>$AD22</f>
        <v>678847.97275000007</v>
      </c>
      <c r="AW22" s="78">
        <f>AX22/AX7</f>
        <v>0.40088550741266887</v>
      </c>
      <c r="AX22" s="38">
        <f>$AD22</f>
        <v>678847.97275000007</v>
      </c>
      <c r="AY22" s="78">
        <f>AZ22/AZ7</f>
        <v>0.40088550741266887</v>
      </c>
      <c r="AZ22" s="38">
        <f>$AD22</f>
        <v>678847.97275000007</v>
      </c>
      <c r="BA22" s="78">
        <f>BB22/BB7</f>
        <v>0.40088550741266887</v>
      </c>
      <c r="BB22" s="38">
        <f>$AD22</f>
        <v>678847.97275000007</v>
      </c>
      <c r="BC22" s="78">
        <f>BD22/BD7</f>
        <v>0.4105687322294001</v>
      </c>
      <c r="BD22" s="85">
        <f>AF22+AH22+AJ22+AL22+AN22+AP22+AR22+AT22+AV22+AX22+AZ22+BB22</f>
        <v>8146175.6729999995</v>
      </c>
    </row>
    <row r="23" spans="2:56" outlineLevel="1" x14ac:dyDescent="0.2">
      <c r="B23" s="91">
        <f>Activos!K57</f>
        <v>317043.10000000003</v>
      </c>
      <c r="C23" s="9" t="s">
        <v>78</v>
      </c>
      <c r="D23" s="78">
        <f>E23/E9</f>
        <v>0.1848647813411079</v>
      </c>
      <c r="E23" s="86">
        <f>$B23</f>
        <v>317043.10000000003</v>
      </c>
      <c r="F23" s="78">
        <f>G23/G9</f>
        <v>0.1848647813411079</v>
      </c>
      <c r="G23" s="38">
        <f>$B23</f>
        <v>317043.10000000003</v>
      </c>
      <c r="H23" s="78">
        <f>I23/I9</f>
        <v>0.1848647813411079</v>
      </c>
      <c r="I23" s="38">
        <f>$B23</f>
        <v>317043.10000000003</v>
      </c>
      <c r="J23" s="78">
        <f>K23/K9</f>
        <v>0.1848647813411079</v>
      </c>
      <c r="K23" s="38">
        <f>$B23</f>
        <v>317043.10000000003</v>
      </c>
      <c r="L23" s="78">
        <f>M23/M9</f>
        <v>0.1848647813411079</v>
      </c>
      <c r="M23" s="38">
        <f>$B23</f>
        <v>317043.10000000003</v>
      </c>
      <c r="N23" s="78">
        <f>O23/O9</f>
        <v>0.1848647813411079</v>
      </c>
      <c r="O23" s="38">
        <f>$B23</f>
        <v>317043.10000000003</v>
      </c>
      <c r="P23" s="78">
        <f>Q23/Q9</f>
        <v>0.1848647813411079</v>
      </c>
      <c r="Q23" s="38">
        <f>$B23</f>
        <v>317043.10000000003</v>
      </c>
      <c r="R23" s="78">
        <f>S23/S9</f>
        <v>0.1848647813411079</v>
      </c>
      <c r="S23" s="38">
        <f>$B23</f>
        <v>317043.10000000003</v>
      </c>
      <c r="T23" s="78">
        <f>U23/U9</f>
        <v>0.1848647813411079</v>
      </c>
      <c r="U23" s="38">
        <f>$B23</f>
        <v>317043.10000000003</v>
      </c>
      <c r="V23" s="78">
        <f>W23/W9</f>
        <v>0.1848647813411079</v>
      </c>
      <c r="W23" s="38">
        <f>$B23</f>
        <v>317043.10000000003</v>
      </c>
      <c r="X23" s="78">
        <f>Y23/Y9</f>
        <v>0.1848647813411079</v>
      </c>
      <c r="Y23" s="38">
        <f>$B23</f>
        <v>317043.10000000003</v>
      </c>
      <c r="Z23" s="78">
        <f>AA23/AA9</f>
        <v>0.17589417825034054</v>
      </c>
      <c r="AA23" s="38">
        <f>$B23</f>
        <v>317043.10000000003</v>
      </c>
      <c r="AB23" s="78">
        <f>AC23/AC9</f>
        <v>0.18408243100931829</v>
      </c>
      <c r="AC23" s="85">
        <f>E23+G23+I23+K23+M23+O23+Q23+S23+U23+W23+Y23+AA23</f>
        <v>3804517.2000000007</v>
      </c>
      <c r="AD23" s="91">
        <f>Activos!L57</f>
        <v>364599.565</v>
      </c>
      <c r="AE23" s="78">
        <f>AF23/AF9</f>
        <v>0.20227830498789159</v>
      </c>
      <c r="AF23" s="86">
        <f>$AD23</f>
        <v>364599.565</v>
      </c>
      <c r="AG23" s="78">
        <f>AH23/AH9</f>
        <v>0.20227830498789159</v>
      </c>
      <c r="AH23" s="38">
        <f>$AD23</f>
        <v>364599.565</v>
      </c>
      <c r="AI23" s="78">
        <f>AJ23/AJ9</f>
        <v>0.20227830498789159</v>
      </c>
      <c r="AJ23" s="38">
        <f>$AD23</f>
        <v>364599.565</v>
      </c>
      <c r="AK23" s="78">
        <f>AL23/AL9</f>
        <v>0.20227830498789159</v>
      </c>
      <c r="AL23" s="38">
        <f>$AD23</f>
        <v>364599.565</v>
      </c>
      <c r="AM23" s="78">
        <f>AN23/AN9</f>
        <v>0.20227830498789159</v>
      </c>
      <c r="AN23" s="38">
        <f>$AD23</f>
        <v>364599.565</v>
      </c>
      <c r="AO23" s="78">
        <f>AP23/AP9</f>
        <v>0.20227830498789159</v>
      </c>
      <c r="AP23" s="38">
        <f>$AD23</f>
        <v>364599.565</v>
      </c>
      <c r="AQ23" s="78">
        <f>AR23/AR9</f>
        <v>0.20227830498789159</v>
      </c>
      <c r="AR23" s="38">
        <f>$AD23</f>
        <v>364599.565</v>
      </c>
      <c r="AS23" s="78">
        <f>AT23/AT9</f>
        <v>0.20227830498789159</v>
      </c>
      <c r="AT23" s="38">
        <f>$AD23</f>
        <v>364599.565</v>
      </c>
      <c r="AU23" s="78">
        <f>AV23/AV9</f>
        <v>0.20227830498789159</v>
      </c>
      <c r="AV23" s="38">
        <f>$AD23</f>
        <v>364599.565</v>
      </c>
      <c r="AW23" s="78">
        <f>AX23/AX9</f>
        <v>0.20227830498789159</v>
      </c>
      <c r="AX23" s="38">
        <f>$AD23</f>
        <v>364599.565</v>
      </c>
      <c r="AY23" s="78">
        <f>AZ23/AZ9</f>
        <v>0.20227830498789159</v>
      </c>
      <c r="AZ23" s="38">
        <f>$AD23</f>
        <v>364599.565</v>
      </c>
      <c r="BA23" s="78">
        <f>BB23/BB9</f>
        <v>0.19082858961121846</v>
      </c>
      <c r="BB23" s="38">
        <f>$AD23</f>
        <v>364599.565</v>
      </c>
      <c r="BC23" s="78">
        <f>BD23/BD9</f>
        <v>0.20127194526158368</v>
      </c>
      <c r="BD23" s="85">
        <f>AF23+AH23+AJ23+AL23+AN23+AP23+AR23+AT23+AV23+AX23+AZ23+BB23</f>
        <v>4375194.78</v>
      </c>
    </row>
    <row r="24" spans="2:56" x14ac:dyDescent="0.2">
      <c r="B24" s="83" t="s">
        <v>75</v>
      </c>
      <c r="D24" s="84">
        <f>E24/E11</f>
        <v>0.1119930156138919</v>
      </c>
      <c r="E24" s="85">
        <f>SUM(E21:E23)</f>
        <v>1063345.6850000001</v>
      </c>
      <c r="F24" s="84">
        <f>G24/G11</f>
        <v>0.1119930156138919</v>
      </c>
      <c r="G24" s="85">
        <f>SUM(G21:G23)</f>
        <v>1063345.6850000001</v>
      </c>
      <c r="H24" s="84">
        <f>I24/I11</f>
        <v>0.1119930156138919</v>
      </c>
      <c r="I24" s="85">
        <f>SUM(I21:I23)</f>
        <v>1063345.6850000001</v>
      </c>
      <c r="J24" s="84">
        <f>K24/K11</f>
        <v>0.1119930156138919</v>
      </c>
      <c r="K24" s="85">
        <f>SUM(K21:K23)</f>
        <v>1063345.6850000001</v>
      </c>
      <c r="L24" s="84">
        <f>M24/M11</f>
        <v>0.1119930156138919</v>
      </c>
      <c r="M24" s="85">
        <f>SUM(M21:M23)</f>
        <v>1063345.6850000001</v>
      </c>
      <c r="N24" s="84">
        <f>O24/O11</f>
        <v>0.1068662279842215</v>
      </c>
      <c r="O24" s="85">
        <f>SUM(O21:O23)</f>
        <v>1063345.6850000001</v>
      </c>
      <c r="P24" s="84">
        <f>Q24/Q11</f>
        <v>0.10363362138792215</v>
      </c>
      <c r="Q24" s="85">
        <f>SUM(Q21:Q23)</f>
        <v>1063345.6850000001</v>
      </c>
      <c r="R24" s="84">
        <f>S24/S11</f>
        <v>0.1031817910913993</v>
      </c>
      <c r="S24" s="85">
        <f>SUM(S21:S23)</f>
        <v>1063345.6850000001</v>
      </c>
      <c r="T24" s="84">
        <f>U24/U11</f>
        <v>0.1031817910913993</v>
      </c>
      <c r="U24" s="85">
        <f>SUM(U21:U23)</f>
        <v>1063345.6850000001</v>
      </c>
      <c r="V24" s="84">
        <f>W24/W11</f>
        <v>0.1031817910913993</v>
      </c>
      <c r="W24" s="85">
        <f>SUM(W21:W23)</f>
        <v>1063345.6850000001</v>
      </c>
      <c r="X24" s="84">
        <f>Y24/Y11</f>
        <v>0.1031817910913993</v>
      </c>
      <c r="Y24" s="85">
        <f>SUM(Y21:Y23)</f>
        <v>1063345.6850000001</v>
      </c>
      <c r="Z24" s="84">
        <f>AA24/AA11</f>
        <v>0.1023134395596214</v>
      </c>
      <c r="AA24" s="85">
        <f>SUM(AA21:AA23)</f>
        <v>1063345.6850000001</v>
      </c>
      <c r="AB24" s="84">
        <f>AC24/AC11</f>
        <v>0.10695861174618779</v>
      </c>
      <c r="AC24" s="85">
        <f>E24+G24+I24+K24+M24+O24+Q24+S24+U24+W24+Y24+AA24</f>
        <v>12760148.220000004</v>
      </c>
      <c r="AD24" s="43"/>
      <c r="AE24" s="84">
        <f>AF24/AF11</f>
        <v>0.12235095053327655</v>
      </c>
      <c r="AF24" s="85">
        <f>SUM(AF21:AF23)</f>
        <v>1222847.5377500001</v>
      </c>
      <c r="AG24" s="84">
        <f>AH24/AH11</f>
        <v>0.12235095053327655</v>
      </c>
      <c r="AH24" s="85">
        <f t="shared" ref="AH24:BB24" si="48">SUM(AH21:AH23)</f>
        <v>1222847.5377500001</v>
      </c>
      <c r="AI24" s="84">
        <f>AJ24/AJ11</f>
        <v>0.12235095053327655</v>
      </c>
      <c r="AJ24" s="85">
        <f t="shared" si="48"/>
        <v>1222847.5377500001</v>
      </c>
      <c r="AK24" s="84">
        <f>AL24/AL11</f>
        <v>0.12235095053327655</v>
      </c>
      <c r="AL24" s="85">
        <f t="shared" si="48"/>
        <v>1222847.5377500001</v>
      </c>
      <c r="AM24" s="84">
        <f>AN24/AN11</f>
        <v>0.12235095053327655</v>
      </c>
      <c r="AN24" s="85">
        <f t="shared" si="48"/>
        <v>1222847.5377500001</v>
      </c>
      <c r="AO24" s="84">
        <f>AP24/AP11</f>
        <v>0.12118871335630849</v>
      </c>
      <c r="AP24" s="85">
        <f t="shared" si="48"/>
        <v>1222847.5377500001</v>
      </c>
      <c r="AQ24" s="84">
        <f>AR24/AR11</f>
        <v>0.11885300083387983</v>
      </c>
      <c r="AR24" s="85">
        <f t="shared" si="48"/>
        <v>1222847.5377500001</v>
      </c>
      <c r="AS24" s="84">
        <f>AT24/AT11</f>
        <v>0.11821467984747183</v>
      </c>
      <c r="AT24" s="85">
        <f t="shared" si="48"/>
        <v>1222847.5377500001</v>
      </c>
      <c r="AU24" s="84">
        <f>AV24/AV11</f>
        <v>0.11821467984747183</v>
      </c>
      <c r="AV24" s="85">
        <f t="shared" si="48"/>
        <v>1222847.5377500001</v>
      </c>
      <c r="AW24" s="84">
        <f>AX24/AX11</f>
        <v>0.11821467984747183</v>
      </c>
      <c r="AX24" s="85">
        <f t="shared" si="48"/>
        <v>1222847.5377500001</v>
      </c>
      <c r="AY24" s="84">
        <f>AZ24/AZ11</f>
        <v>0.11821467984747183</v>
      </c>
      <c r="AZ24" s="85">
        <f t="shared" si="48"/>
        <v>1222847.5377500001</v>
      </c>
      <c r="BA24" s="84">
        <f>BB24/BB11</f>
        <v>0.11663970648827222</v>
      </c>
      <c r="BB24" s="85">
        <f t="shared" si="48"/>
        <v>1222847.5377500001</v>
      </c>
      <c r="BC24" s="84">
        <f>BD24/BD11</f>
        <v>0.12007017775943649</v>
      </c>
      <c r="BD24" s="85">
        <f>AF24+AH24+AJ24+AL24+AN24+AP24+AR24+AT24+AV24+AX24+AZ24+BB24</f>
        <v>14674170.453000002</v>
      </c>
    </row>
    <row r="25" spans="2:56" x14ac:dyDescent="0.2">
      <c r="E25" s="41"/>
      <c r="F25" s="4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3"/>
      <c r="AF25" s="41"/>
      <c r="AG25" s="43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</row>
    <row r="26" spans="2:56" outlineLevel="1" x14ac:dyDescent="0.2">
      <c r="C26" s="9" t="s">
        <v>1</v>
      </c>
      <c r="D26" s="78">
        <f t="shared" ref="D26:D32" si="49">E26/E5</f>
        <v>1.8747202401327049E-2</v>
      </c>
      <c r="E26" s="38">
        <f t="shared" ref="E26:E31" si="50">$B$29*D5</f>
        <v>32510.461044261305</v>
      </c>
      <c r="F26" s="78">
        <f t="shared" ref="F26:F32" si="51">G26/G5</f>
        <v>2.3190289370441562E-2</v>
      </c>
      <c r="G26" s="86">
        <f>$B$31*F5</f>
        <v>40215.440311751234</v>
      </c>
      <c r="H26" s="78">
        <f t="shared" ref="H26:H32" si="52">I26/I5</f>
        <v>2.3190289370441562E-2</v>
      </c>
      <c r="I26" s="38">
        <f>$B$31*H5</f>
        <v>40215.440311751234</v>
      </c>
      <c r="J26" s="78">
        <f t="shared" ref="J26:J32" si="53">K26/K5</f>
        <v>2.3190289370441562E-2</v>
      </c>
      <c r="K26" s="38">
        <f>$B$31*J5</f>
        <v>40215.440311751234</v>
      </c>
      <c r="L26" s="78">
        <f t="shared" ref="L26:L32" si="54">M26/M5</f>
        <v>2.3190289370441562E-2</v>
      </c>
      <c r="M26" s="38">
        <f>$B$31*L5</f>
        <v>40215.440311751234</v>
      </c>
      <c r="N26" s="78">
        <f t="shared" ref="N26:N32" si="55">O26/O5</f>
        <v>2.2128690233913725E-2</v>
      </c>
      <c r="O26" s="38">
        <f>$B$31*N5</f>
        <v>38374.468169141488</v>
      </c>
      <c r="P26" s="78">
        <f t="shared" ref="P26:P32" si="56">Q26/Q5</f>
        <v>2.1459317398669863E-2</v>
      </c>
      <c r="Q26" s="38">
        <f>$B$31*P5</f>
        <v>37213.675266903345</v>
      </c>
      <c r="R26" s="78">
        <f t="shared" ref="R26:R32" si="57">S26/S5</f>
        <v>2.1365757320255495E-2</v>
      </c>
      <c r="S26" s="38">
        <f>$B$31*R5</f>
        <v>37051.428056921068</v>
      </c>
      <c r="T26" s="78">
        <f t="shared" ref="T26:T32" si="58">U26/U5</f>
        <v>2.1365757320255495E-2</v>
      </c>
      <c r="U26" s="38">
        <f t="shared" ref="U26:U31" si="59">$B$31*T5</f>
        <v>37051.428056921068</v>
      </c>
      <c r="V26" s="78">
        <f t="shared" ref="V26:V32" si="60">W26/W5</f>
        <v>2.1365757320255495E-2</v>
      </c>
      <c r="W26" s="38">
        <f t="shared" ref="W26:W31" si="61">$B$31*V5</f>
        <v>37051.428056921068</v>
      </c>
      <c r="X26" s="78">
        <f t="shared" ref="X26:X32" si="62">Y26/Y5</f>
        <v>2.1365757320255495E-2</v>
      </c>
      <c r="Y26" s="38">
        <f t="shared" ref="Y26:Y31" si="63">$B$31*X5</f>
        <v>37051.428056921068</v>
      </c>
      <c r="Z26" s="78">
        <f t="shared" ref="Z26:Z32" si="64">AA26/AA5</f>
        <v>2.1185948577836941E-2</v>
      </c>
      <c r="AA26" s="38">
        <f t="shared" ref="AA26:AA31" si="65">$B$31*Z5</f>
        <v>36739.612726255931</v>
      </c>
      <c r="AB26" s="78">
        <f t="shared" ref="AB26:AB32" si="66">AC26/AC5</f>
        <v>2.181211211454465E-2</v>
      </c>
      <c r="AC26" s="85">
        <f>E26+G26+I26+K26+M26+O26+Q26+S26+U26+W26+Y26+AA26</f>
        <v>453905.69068125123</v>
      </c>
      <c r="AD26" s="43"/>
      <c r="AE26" s="78">
        <f>AF26/AF5</f>
        <v>2.2030519392211966E-2</v>
      </c>
      <c r="AF26" s="38">
        <f t="shared" ref="AF26:AF31" si="67">$AD$29*AE5</f>
        <v>40496.478716244645</v>
      </c>
      <c r="AG26" s="78">
        <f t="shared" ref="AG26:BC32" si="68">AH26/AH5</f>
        <v>2.533509730104376E-2</v>
      </c>
      <c r="AH26" s="86">
        <f t="shared" ref="AH26:AH31" si="69">$AD$31*AG5</f>
        <v>46570.950523681342</v>
      </c>
      <c r="AI26" s="78">
        <f t="shared" si="68"/>
        <v>2.533509730104376E-2</v>
      </c>
      <c r="AJ26" s="38">
        <f t="shared" ref="AJ26:AJ31" si="70">$AD$31*AI5</f>
        <v>46570.950523681342</v>
      </c>
      <c r="AK26" s="78">
        <f t="shared" si="68"/>
        <v>2.533509730104376E-2</v>
      </c>
      <c r="AL26" s="38">
        <f t="shared" ref="AL26:AL31" si="71">$AD$31*AK5</f>
        <v>46570.950523681342</v>
      </c>
      <c r="AM26" s="78">
        <f t="shared" si="68"/>
        <v>2.533509730104376E-2</v>
      </c>
      <c r="AN26" s="38">
        <f t="shared" ref="AN26:AN31" si="72">$AD$31*AM5</f>
        <v>46570.950523681342</v>
      </c>
      <c r="AO26" s="78">
        <f t="shared" si="68"/>
        <v>2.5094433931964599E-2</v>
      </c>
      <c r="AP26" s="38">
        <f t="shared" ref="AP26:AP31" si="73">$AD$31*AO5</f>
        <v>46128.563359303393</v>
      </c>
      <c r="AQ26" s="78">
        <f t="shared" si="68"/>
        <v>2.4610780116730017E-2</v>
      </c>
      <c r="AR26" s="38">
        <f t="shared" ref="AR26:AR31" si="74">$AD$31*AQ5</f>
        <v>45239.511399793002</v>
      </c>
      <c r="AS26" s="78">
        <f t="shared" si="68"/>
        <v>2.4478603584962528E-2</v>
      </c>
      <c r="AT26" s="38">
        <f t="shared" ref="AT26:AT31" si="75">$AD$31*AS5</f>
        <v>44996.544631274533</v>
      </c>
      <c r="AU26" s="78">
        <f t="shared" si="68"/>
        <v>2.4478603584962528E-2</v>
      </c>
      <c r="AV26" s="38">
        <f t="shared" ref="AV26:AV31" si="76">$AD$31*AU5</f>
        <v>44996.544631274533</v>
      </c>
      <c r="AW26" s="78">
        <f t="shared" si="68"/>
        <v>2.4478603584962528E-2</v>
      </c>
      <c r="AX26" s="38">
        <f t="shared" ref="AX26:AX31" si="77">$AD$31*AW5</f>
        <v>44996.544631274533</v>
      </c>
      <c r="AY26" s="78">
        <f t="shared" si="68"/>
        <v>2.4478603584962528E-2</v>
      </c>
      <c r="AZ26" s="38">
        <f t="shared" ref="AZ26:AZ31" si="78">$AD$31*AY5</f>
        <v>44996.544631274533</v>
      </c>
      <c r="BA26" s="78">
        <f t="shared" si="68"/>
        <v>2.4152475319281243E-2</v>
      </c>
      <c r="BB26" s="38">
        <f t="shared" ref="BB26:BB31" si="79">$AD$31*BA5</f>
        <v>44397.05597942746</v>
      </c>
      <c r="BC26" s="78">
        <f t="shared" si="68"/>
        <v>2.4595251025351084E-2</v>
      </c>
      <c r="BD26" s="85">
        <f>AF26+AH26+AJ26+AL26+AN26+AP26+AR26+AT26+AV26+AX26+AZ26+BB26</f>
        <v>542531.59007459204</v>
      </c>
    </row>
    <row r="27" spans="2:56" outlineLevel="1" x14ac:dyDescent="0.2">
      <c r="C27" s="9" t="s">
        <v>46</v>
      </c>
      <c r="D27" s="78">
        <f t="shared" si="49"/>
        <v>1.8747202401327049E-2</v>
      </c>
      <c r="E27" s="38">
        <f t="shared" si="50"/>
        <v>58952.452671213039</v>
      </c>
      <c r="F27" s="78">
        <f t="shared" si="51"/>
        <v>2.3190289370441562E-2</v>
      </c>
      <c r="G27" s="86">
        <f t="shared" ref="G27:S27" si="80">$B$31*F6</f>
        <v>72924.183954290536</v>
      </c>
      <c r="H27" s="78">
        <f t="shared" si="52"/>
        <v>2.3190289370441562E-2</v>
      </c>
      <c r="I27" s="38">
        <f t="shared" si="80"/>
        <v>72924.183954290536</v>
      </c>
      <c r="J27" s="78">
        <f t="shared" si="53"/>
        <v>2.3190289370441562E-2</v>
      </c>
      <c r="K27" s="38">
        <f t="shared" si="80"/>
        <v>72924.183954290536</v>
      </c>
      <c r="L27" s="78">
        <f t="shared" si="54"/>
        <v>2.3190289370441562E-2</v>
      </c>
      <c r="M27" s="38">
        <f t="shared" si="80"/>
        <v>72924.183954290536</v>
      </c>
      <c r="N27" s="78">
        <f t="shared" si="55"/>
        <v>2.2128690233913721E-2</v>
      </c>
      <c r="O27" s="38">
        <f t="shared" si="80"/>
        <v>69585.879309565091</v>
      </c>
      <c r="P27" s="78">
        <f t="shared" si="56"/>
        <v>2.1459317398669867E-2</v>
      </c>
      <c r="Q27" s="38">
        <f t="shared" si="80"/>
        <v>70922.498935941971</v>
      </c>
      <c r="R27" s="78">
        <f t="shared" si="57"/>
        <v>2.1365757320255498E-2</v>
      </c>
      <c r="S27" s="38">
        <f t="shared" si="80"/>
        <v>70613.28525320848</v>
      </c>
      <c r="T27" s="78">
        <f t="shared" si="58"/>
        <v>2.1365757320255498E-2</v>
      </c>
      <c r="U27" s="38">
        <f t="shared" si="59"/>
        <v>70613.28525320848</v>
      </c>
      <c r="V27" s="78">
        <f t="shared" si="60"/>
        <v>2.1365757320255498E-2</v>
      </c>
      <c r="W27" s="38">
        <f t="shared" si="61"/>
        <v>70613.28525320848</v>
      </c>
      <c r="X27" s="78">
        <f t="shared" si="62"/>
        <v>2.1365757320255498E-2</v>
      </c>
      <c r="Y27" s="38">
        <f t="shared" si="63"/>
        <v>70613.28525320848</v>
      </c>
      <c r="Z27" s="78">
        <f t="shared" si="64"/>
        <v>2.1185948577836941E-2</v>
      </c>
      <c r="AA27" s="38">
        <f t="shared" si="65"/>
        <v>70019.021926657209</v>
      </c>
      <c r="AB27" s="78">
        <f t="shared" si="66"/>
        <v>2.1800655650306328E-2</v>
      </c>
      <c r="AC27" s="85">
        <f t="shared" ref="AC27:AC32" si="81">E27+G27+I27+K27+M27+O27+Q27+S27+U27+W27+Y27+AA27</f>
        <v>843629.72967337328</v>
      </c>
      <c r="AD27" s="43"/>
      <c r="AE27" s="78">
        <f t="shared" ref="AE27:AE32" si="82">AF27/AF6</f>
        <v>2.2030519392211966E-2</v>
      </c>
      <c r="AF27" s="38">
        <f t="shared" si="67"/>
        <v>72810.307016067978</v>
      </c>
      <c r="AG27" s="78">
        <f t="shared" si="68"/>
        <v>2.533509730104376E-2</v>
      </c>
      <c r="AH27" s="86">
        <f t="shared" si="69"/>
        <v>83731.853068478173</v>
      </c>
      <c r="AI27" s="78">
        <f t="shared" si="68"/>
        <v>2.533509730104376E-2</v>
      </c>
      <c r="AJ27" s="38">
        <f t="shared" si="70"/>
        <v>83731.853068478173</v>
      </c>
      <c r="AK27" s="78">
        <f t="shared" si="68"/>
        <v>2.533509730104376E-2</v>
      </c>
      <c r="AL27" s="38">
        <f t="shared" si="71"/>
        <v>83731.853068478173</v>
      </c>
      <c r="AM27" s="78">
        <f t="shared" si="68"/>
        <v>2.533509730104376E-2</v>
      </c>
      <c r="AN27" s="38">
        <f t="shared" si="72"/>
        <v>83731.853068478173</v>
      </c>
      <c r="AO27" s="78">
        <f t="shared" si="68"/>
        <v>2.5094433931964602E-2</v>
      </c>
      <c r="AP27" s="38">
        <f t="shared" si="73"/>
        <v>82936.466746521124</v>
      </c>
      <c r="AQ27" s="78">
        <f t="shared" si="68"/>
        <v>2.461078011673002E-2</v>
      </c>
      <c r="AR27" s="38">
        <f t="shared" si="74"/>
        <v>86218.28336229641</v>
      </c>
      <c r="AS27" s="78">
        <f t="shared" si="68"/>
        <v>2.4478603584962524E-2</v>
      </c>
      <c r="AT27" s="38">
        <f t="shared" si="75"/>
        <v>85755.232877276285</v>
      </c>
      <c r="AU27" s="78">
        <f t="shared" si="68"/>
        <v>2.4478603584962524E-2</v>
      </c>
      <c r="AV27" s="38">
        <f t="shared" si="76"/>
        <v>85755.232877276285</v>
      </c>
      <c r="AW27" s="78">
        <f t="shared" si="68"/>
        <v>2.4478603584962524E-2</v>
      </c>
      <c r="AX27" s="38">
        <f t="shared" si="77"/>
        <v>85755.232877276285</v>
      </c>
      <c r="AY27" s="78">
        <f t="shared" si="68"/>
        <v>2.4478603584962524E-2</v>
      </c>
      <c r="AZ27" s="38">
        <f t="shared" si="78"/>
        <v>85755.232877276285</v>
      </c>
      <c r="BA27" s="78">
        <f t="shared" si="68"/>
        <v>2.4152475319281247E-2</v>
      </c>
      <c r="BB27" s="38">
        <f t="shared" si="79"/>
        <v>84612.716504792494</v>
      </c>
      <c r="BC27" s="78">
        <f t="shared" si="68"/>
        <v>2.4590912013815906E-2</v>
      </c>
      <c r="BD27" s="85">
        <f t="shared" ref="BD27:BD32" si="83">AF27+AH27+AJ27+AL27+AN27+AP27+AR27+AT27+AV27+AX27+AZ27+BB27</f>
        <v>1004526.1174126957</v>
      </c>
    </row>
    <row r="28" spans="2:56" outlineLevel="1" x14ac:dyDescent="0.2">
      <c r="C28" s="9" t="s">
        <v>0</v>
      </c>
      <c r="D28" s="78">
        <f t="shared" si="49"/>
        <v>1.8747202401327049E-2</v>
      </c>
      <c r="E28" s="38">
        <f t="shared" si="50"/>
        <v>28495.747650017114</v>
      </c>
      <c r="F28" s="78">
        <f t="shared" si="51"/>
        <v>2.3190289370441562E-2</v>
      </c>
      <c r="G28" s="86">
        <f>$B$31*F7</f>
        <v>35249.239843071176</v>
      </c>
      <c r="H28" s="78">
        <f t="shared" si="52"/>
        <v>2.3190289370441562E-2</v>
      </c>
      <c r="I28" s="38">
        <f>$B$31*H7</f>
        <v>35249.239843071176</v>
      </c>
      <c r="J28" s="78">
        <f t="shared" si="53"/>
        <v>2.3190289370441562E-2</v>
      </c>
      <c r="K28" s="38">
        <f>$B$31*J7</f>
        <v>35249.239843071176</v>
      </c>
      <c r="L28" s="78">
        <f t="shared" si="54"/>
        <v>2.3190289370441562E-2</v>
      </c>
      <c r="M28" s="38">
        <f>$B$31*L7</f>
        <v>35249.239843071176</v>
      </c>
      <c r="N28" s="78">
        <f t="shared" si="55"/>
        <v>2.2128690233913725E-2</v>
      </c>
      <c r="O28" s="38">
        <f>$B$31*N7</f>
        <v>43150.945956131764</v>
      </c>
      <c r="P28" s="78">
        <f t="shared" si="56"/>
        <v>2.1459317398669867E-2</v>
      </c>
      <c r="Q28" s="38">
        <f>$B$31*P7</f>
        <v>45064.566537206723</v>
      </c>
      <c r="R28" s="78">
        <f t="shared" si="57"/>
        <v>2.1365757320255495E-2</v>
      </c>
      <c r="S28" s="38">
        <f>$B$31*R7</f>
        <v>44868.090372536542</v>
      </c>
      <c r="T28" s="78">
        <f t="shared" si="58"/>
        <v>2.1365757320255495E-2</v>
      </c>
      <c r="U28" s="38">
        <f t="shared" si="59"/>
        <v>44868.090372536542</v>
      </c>
      <c r="V28" s="78">
        <f t="shared" si="60"/>
        <v>2.1365757320255495E-2</v>
      </c>
      <c r="W28" s="38">
        <f t="shared" si="61"/>
        <v>44868.090372536542</v>
      </c>
      <c r="X28" s="78">
        <f t="shared" si="62"/>
        <v>2.1365757320255495E-2</v>
      </c>
      <c r="Y28" s="38">
        <f t="shared" si="63"/>
        <v>44868.090372536542</v>
      </c>
      <c r="Z28" s="78">
        <f t="shared" si="64"/>
        <v>2.1185948577836941E-2</v>
      </c>
      <c r="AA28" s="38">
        <f t="shared" si="65"/>
        <v>44490.492013457573</v>
      </c>
      <c r="AB28" s="78">
        <f t="shared" si="66"/>
        <v>2.1745872371071971E-2</v>
      </c>
      <c r="AC28" s="85">
        <f t="shared" si="81"/>
        <v>481671.07301924413</v>
      </c>
      <c r="AD28" s="43"/>
      <c r="AE28" s="78">
        <f t="shared" si="82"/>
        <v>2.203051939221197E-2</v>
      </c>
      <c r="AF28" s="38">
        <f t="shared" si="67"/>
        <v>35194.195339446465</v>
      </c>
      <c r="AG28" s="78">
        <f t="shared" si="68"/>
        <v>2.5335097301043764E-2</v>
      </c>
      <c r="AH28" s="86">
        <f t="shared" si="69"/>
        <v>40473.324640363433</v>
      </c>
      <c r="AI28" s="78">
        <f t="shared" si="68"/>
        <v>2.5335097301043764E-2</v>
      </c>
      <c r="AJ28" s="38">
        <f t="shared" si="70"/>
        <v>40473.324640363433</v>
      </c>
      <c r="AK28" s="78">
        <f t="shared" si="68"/>
        <v>2.5335097301043764E-2</v>
      </c>
      <c r="AL28" s="38">
        <f t="shared" si="71"/>
        <v>40473.324640363433</v>
      </c>
      <c r="AM28" s="78">
        <f t="shared" si="68"/>
        <v>2.5335097301043764E-2</v>
      </c>
      <c r="AN28" s="38">
        <f t="shared" si="72"/>
        <v>40473.324640363433</v>
      </c>
      <c r="AO28" s="78">
        <f t="shared" si="68"/>
        <v>2.5094433931964602E-2</v>
      </c>
      <c r="AP28" s="38">
        <f t="shared" si="73"/>
        <v>42494.191700691619</v>
      </c>
      <c r="AQ28" s="78">
        <f t="shared" si="68"/>
        <v>2.4610780116730017E-2</v>
      </c>
      <c r="AR28" s="38">
        <f t="shared" si="74"/>
        <v>41675.186259203256</v>
      </c>
      <c r="AS28" s="78">
        <f t="shared" si="68"/>
        <v>2.4478603584962524E-2</v>
      </c>
      <c r="AT28" s="38">
        <f t="shared" si="75"/>
        <v>41451.362326992297</v>
      </c>
      <c r="AU28" s="78">
        <f t="shared" si="68"/>
        <v>2.4478603584962524E-2</v>
      </c>
      <c r="AV28" s="38">
        <f t="shared" si="76"/>
        <v>41451.362326992297</v>
      </c>
      <c r="AW28" s="78">
        <f t="shared" si="68"/>
        <v>2.4478603584962524E-2</v>
      </c>
      <c r="AX28" s="38">
        <f t="shared" si="77"/>
        <v>41451.362326992297</v>
      </c>
      <c r="AY28" s="78">
        <f t="shared" si="68"/>
        <v>2.4478603584962524E-2</v>
      </c>
      <c r="AZ28" s="38">
        <f t="shared" si="78"/>
        <v>41451.362326992297</v>
      </c>
      <c r="BA28" s="78">
        <f t="shared" si="68"/>
        <v>2.4152475319281243E-2</v>
      </c>
      <c r="BB28" s="38">
        <f t="shared" si="79"/>
        <v>40899.10611438167</v>
      </c>
      <c r="BC28" s="78">
        <f t="shared" si="68"/>
        <v>2.4593344486850462E-2</v>
      </c>
      <c r="BD28" s="85">
        <f t="shared" si="83"/>
        <v>487961.42728314607</v>
      </c>
    </row>
    <row r="29" spans="2:56" outlineLevel="1" x14ac:dyDescent="0.2">
      <c r="B29" s="92">
        <v>178000</v>
      </c>
      <c r="C29" s="9" t="s">
        <v>6</v>
      </c>
      <c r="D29" s="78">
        <f t="shared" si="49"/>
        <v>1.8747202401327049E-2</v>
      </c>
      <c r="E29" s="38">
        <f t="shared" si="50"/>
        <v>9373.6012006635247</v>
      </c>
      <c r="F29" s="78">
        <f t="shared" si="51"/>
        <v>2.3190289370441562E-2</v>
      </c>
      <c r="G29" s="86">
        <f>$B$31*F8</f>
        <v>11595.144685220781</v>
      </c>
      <c r="H29" s="78">
        <f t="shared" si="52"/>
        <v>2.3190289370441562E-2</v>
      </c>
      <c r="I29" s="38">
        <f>$B$31*H8</f>
        <v>11595.144685220781</v>
      </c>
      <c r="J29" s="78">
        <f t="shared" si="53"/>
        <v>2.3190289370441562E-2</v>
      </c>
      <c r="K29" s="38">
        <f>$B$31*J8</f>
        <v>11595.144685220781</v>
      </c>
      <c r="L29" s="78">
        <f t="shared" si="54"/>
        <v>2.3190289370441562E-2</v>
      </c>
      <c r="M29" s="38">
        <f>$B$31*L8</f>
        <v>11595.144685220781</v>
      </c>
      <c r="N29" s="78">
        <f t="shared" si="55"/>
        <v>2.2128690233913721E-2</v>
      </c>
      <c r="O29" s="38">
        <f>$B$31*N8</f>
        <v>11628.626717921661</v>
      </c>
      <c r="P29" s="78">
        <f t="shared" si="56"/>
        <v>2.1459317398669867E-2</v>
      </c>
      <c r="Q29" s="38">
        <f>$B$31*P8</f>
        <v>11276.871293001015</v>
      </c>
      <c r="R29" s="78">
        <f t="shared" si="57"/>
        <v>2.1365757320255498E-2</v>
      </c>
      <c r="S29" s="38">
        <f>$B$31*R8</f>
        <v>11227.705471794265</v>
      </c>
      <c r="T29" s="78">
        <f t="shared" si="58"/>
        <v>2.1365757320255498E-2</v>
      </c>
      <c r="U29" s="38">
        <f t="shared" si="59"/>
        <v>11227.705471794265</v>
      </c>
      <c r="V29" s="78">
        <f t="shared" si="60"/>
        <v>2.1365757320255498E-2</v>
      </c>
      <c r="W29" s="38">
        <f t="shared" si="61"/>
        <v>11227.705471794265</v>
      </c>
      <c r="X29" s="78">
        <f t="shared" si="62"/>
        <v>2.1365757320255498E-2</v>
      </c>
      <c r="Y29" s="38">
        <f t="shared" si="63"/>
        <v>11227.705471794265</v>
      </c>
      <c r="Z29" s="78">
        <f t="shared" si="64"/>
        <v>2.1185948577836945E-2</v>
      </c>
      <c r="AA29" s="38">
        <f t="shared" si="65"/>
        <v>11133.215977653314</v>
      </c>
      <c r="AB29" s="78">
        <f t="shared" si="66"/>
        <v>2.180200951967301E-2</v>
      </c>
      <c r="AC29" s="85">
        <f t="shared" si="81"/>
        <v>134703.7158172997</v>
      </c>
      <c r="AD29" s="92">
        <v>220186.00000000003</v>
      </c>
      <c r="AE29" s="78">
        <f t="shared" si="82"/>
        <v>2.2030519392211966E-2</v>
      </c>
      <c r="AF29" s="38">
        <f t="shared" si="67"/>
        <v>11577.037940607388</v>
      </c>
      <c r="AG29" s="78">
        <f t="shared" si="68"/>
        <v>2.533509730104376E-2</v>
      </c>
      <c r="AH29" s="86">
        <f t="shared" si="69"/>
        <v>13313.593631698495</v>
      </c>
      <c r="AI29" s="78">
        <f t="shared" si="68"/>
        <v>2.533509730104376E-2</v>
      </c>
      <c r="AJ29" s="38">
        <f t="shared" si="70"/>
        <v>13313.593631698495</v>
      </c>
      <c r="AK29" s="78">
        <f t="shared" si="68"/>
        <v>2.533509730104376E-2</v>
      </c>
      <c r="AL29" s="38">
        <f t="shared" si="71"/>
        <v>13313.593631698495</v>
      </c>
      <c r="AM29" s="78">
        <f t="shared" si="68"/>
        <v>2.533509730104376E-2</v>
      </c>
      <c r="AN29" s="38">
        <f t="shared" si="72"/>
        <v>13313.593631698495</v>
      </c>
      <c r="AO29" s="78">
        <f t="shared" si="68"/>
        <v>2.5094433931964599E-2</v>
      </c>
      <c r="AP29" s="38">
        <f t="shared" si="73"/>
        <v>13187.125031247397</v>
      </c>
      <c r="AQ29" s="78">
        <f t="shared" si="68"/>
        <v>2.4610780116730017E-2</v>
      </c>
      <c r="AR29" s="38">
        <f t="shared" si="74"/>
        <v>12932.964951341624</v>
      </c>
      <c r="AS29" s="78">
        <f t="shared" si="68"/>
        <v>2.4478603584962524E-2</v>
      </c>
      <c r="AT29" s="38">
        <f t="shared" si="75"/>
        <v>12863.506183897807</v>
      </c>
      <c r="AU29" s="78">
        <f t="shared" si="68"/>
        <v>2.4478603584962524E-2</v>
      </c>
      <c r="AV29" s="38">
        <f t="shared" si="76"/>
        <v>12863.506183897807</v>
      </c>
      <c r="AW29" s="78">
        <f t="shared" si="68"/>
        <v>2.4478603584962524E-2</v>
      </c>
      <c r="AX29" s="38">
        <f t="shared" si="77"/>
        <v>12863.506183897807</v>
      </c>
      <c r="AY29" s="78">
        <f t="shared" si="68"/>
        <v>2.4478603584962524E-2</v>
      </c>
      <c r="AZ29" s="38">
        <f t="shared" si="78"/>
        <v>12863.506183897807</v>
      </c>
      <c r="BA29" s="78">
        <f t="shared" si="68"/>
        <v>2.4152475319281243E-2</v>
      </c>
      <c r="BB29" s="38">
        <f t="shared" si="79"/>
        <v>13453.653327099231</v>
      </c>
      <c r="BC29" s="78">
        <f t="shared" si="68"/>
        <v>2.4593048161141783E-2</v>
      </c>
      <c r="BD29" s="85">
        <f t="shared" si="83"/>
        <v>155859.18051268088</v>
      </c>
    </row>
    <row r="30" spans="2:56" outlineLevel="1" x14ac:dyDescent="0.2">
      <c r="B30" s="78">
        <v>0.23699999999999999</v>
      </c>
      <c r="C30" s="9" t="s">
        <v>77</v>
      </c>
      <c r="D30" s="78">
        <f t="shared" si="49"/>
        <v>1.8747202401327049E-2</v>
      </c>
      <c r="E30" s="38">
        <f t="shared" si="50"/>
        <v>32151.452118275887</v>
      </c>
      <c r="F30" s="78">
        <f t="shared" si="51"/>
        <v>2.3190289370441562E-2</v>
      </c>
      <c r="G30" s="86">
        <f>$B$31*F9</f>
        <v>39771.34627030728</v>
      </c>
      <c r="H30" s="78">
        <f t="shared" si="52"/>
        <v>2.3190289370441562E-2</v>
      </c>
      <c r="I30" s="38">
        <f>$B$31*H9</f>
        <v>39771.34627030728</v>
      </c>
      <c r="J30" s="78">
        <f t="shared" si="53"/>
        <v>2.3190289370441562E-2</v>
      </c>
      <c r="K30" s="38">
        <f>$B$31*J9</f>
        <v>39771.34627030728</v>
      </c>
      <c r="L30" s="78">
        <f t="shared" si="54"/>
        <v>2.3190289370441562E-2</v>
      </c>
      <c r="M30" s="38">
        <f>$B$31*L9</f>
        <v>39771.34627030728</v>
      </c>
      <c r="N30" s="78">
        <f t="shared" si="55"/>
        <v>2.2128690233913725E-2</v>
      </c>
      <c r="O30" s="38">
        <f>$B$31*N9</f>
        <v>37950.703751162036</v>
      </c>
      <c r="P30" s="78">
        <f t="shared" si="56"/>
        <v>2.145931739866987E-2</v>
      </c>
      <c r="Q30" s="38">
        <f>$B$31*P9</f>
        <v>36802.729338718826</v>
      </c>
      <c r="R30" s="78">
        <f t="shared" si="57"/>
        <v>2.1365757320255495E-2</v>
      </c>
      <c r="S30" s="38">
        <f>$B$31*R9</f>
        <v>36642.273804238175</v>
      </c>
      <c r="T30" s="78">
        <f t="shared" si="58"/>
        <v>2.1365757320255495E-2</v>
      </c>
      <c r="U30" s="38">
        <f t="shared" si="59"/>
        <v>36642.273804238175</v>
      </c>
      <c r="V30" s="78">
        <f t="shared" si="60"/>
        <v>2.1365757320255495E-2</v>
      </c>
      <c r="W30" s="38">
        <f t="shared" si="61"/>
        <v>36642.273804238175</v>
      </c>
      <c r="X30" s="78">
        <f t="shared" si="62"/>
        <v>2.1365757320255495E-2</v>
      </c>
      <c r="Y30" s="38">
        <f t="shared" si="63"/>
        <v>36642.273804238175</v>
      </c>
      <c r="Z30" s="78">
        <f t="shared" si="64"/>
        <v>2.1185948577836938E-2</v>
      </c>
      <c r="AA30" s="38">
        <f t="shared" si="65"/>
        <v>38186.930803350857</v>
      </c>
      <c r="AB30" s="78">
        <f t="shared" si="66"/>
        <v>2.1809462181728117E-2</v>
      </c>
      <c r="AC30" s="85">
        <f t="shared" si="81"/>
        <v>450746.29630968947</v>
      </c>
      <c r="AD30" s="103">
        <v>0.15</v>
      </c>
      <c r="AE30" s="78">
        <f t="shared" si="82"/>
        <v>2.2030519392211966E-2</v>
      </c>
      <c r="AF30" s="38">
        <f t="shared" si="67"/>
        <v>39709.240136283341</v>
      </c>
      <c r="AG30" s="78">
        <f t="shared" si="68"/>
        <v>2.533509730104376E-2</v>
      </c>
      <c r="AH30" s="86">
        <f t="shared" si="69"/>
        <v>45665.626156725841</v>
      </c>
      <c r="AI30" s="78">
        <f t="shared" si="68"/>
        <v>2.533509730104376E-2</v>
      </c>
      <c r="AJ30" s="38">
        <f t="shared" si="70"/>
        <v>45665.626156725841</v>
      </c>
      <c r="AK30" s="78">
        <f t="shared" si="68"/>
        <v>2.533509730104376E-2</v>
      </c>
      <c r="AL30" s="38">
        <f t="shared" si="71"/>
        <v>45665.626156725841</v>
      </c>
      <c r="AM30" s="78">
        <f t="shared" si="68"/>
        <v>2.533509730104376E-2</v>
      </c>
      <c r="AN30" s="38">
        <f t="shared" si="72"/>
        <v>45665.626156725841</v>
      </c>
      <c r="AO30" s="78">
        <f t="shared" si="68"/>
        <v>2.5094433931964599E-2</v>
      </c>
      <c r="AP30" s="38">
        <f t="shared" si="73"/>
        <v>45231.838857178569</v>
      </c>
      <c r="AQ30" s="78">
        <f t="shared" si="68"/>
        <v>2.461078011673002E-2</v>
      </c>
      <c r="AR30" s="38">
        <f t="shared" si="74"/>
        <v>44360.069783101775</v>
      </c>
      <c r="AS30" s="78">
        <f t="shared" si="68"/>
        <v>2.4478603584962528E-2</v>
      </c>
      <c r="AT30" s="38">
        <f t="shared" si="75"/>
        <v>44121.826210769483</v>
      </c>
      <c r="AU30" s="78">
        <f t="shared" si="68"/>
        <v>2.4478603584962528E-2</v>
      </c>
      <c r="AV30" s="38">
        <f t="shared" si="76"/>
        <v>44121.826210769483</v>
      </c>
      <c r="AW30" s="78">
        <f t="shared" si="68"/>
        <v>2.4478603584962528E-2</v>
      </c>
      <c r="AX30" s="38">
        <f t="shared" si="77"/>
        <v>44121.826210769483</v>
      </c>
      <c r="AY30" s="78">
        <f t="shared" si="68"/>
        <v>2.4478603584962528E-2</v>
      </c>
      <c r="AZ30" s="38">
        <f t="shared" si="78"/>
        <v>44121.826210769483</v>
      </c>
      <c r="BA30" s="78">
        <f t="shared" si="68"/>
        <v>2.4152475319281243E-2</v>
      </c>
      <c r="BB30" s="38">
        <f t="shared" si="79"/>
        <v>46146.030911950365</v>
      </c>
      <c r="BC30" s="78">
        <f t="shared" si="68"/>
        <v>2.459304816114178E-2</v>
      </c>
      <c r="BD30" s="85">
        <f t="shared" si="83"/>
        <v>534596.98915849533</v>
      </c>
    </row>
    <row r="31" spans="2:56" outlineLevel="1" x14ac:dyDescent="0.2">
      <c r="B31" s="93">
        <f>B29*(1+B30)</f>
        <v>220186.00000000003</v>
      </c>
      <c r="C31" s="9" t="s">
        <v>7</v>
      </c>
      <c r="D31" s="78">
        <f t="shared" si="49"/>
        <v>1.8747202401327049E-2</v>
      </c>
      <c r="E31" s="38">
        <f t="shared" si="50"/>
        <v>16516.28531556913</v>
      </c>
      <c r="F31" s="78">
        <f t="shared" si="51"/>
        <v>2.3190289370441566E-2</v>
      </c>
      <c r="G31" s="86">
        <f>$B$31*F10</f>
        <v>20430.644935359018</v>
      </c>
      <c r="H31" s="78">
        <f t="shared" si="52"/>
        <v>2.3190289370441566E-2</v>
      </c>
      <c r="I31" s="38">
        <f>$B$31*H10</f>
        <v>20430.644935359018</v>
      </c>
      <c r="J31" s="78">
        <f t="shared" si="53"/>
        <v>2.3190289370441566E-2</v>
      </c>
      <c r="K31" s="38">
        <f>$B$31*J10</f>
        <v>20430.644935359018</v>
      </c>
      <c r="L31" s="78">
        <f t="shared" si="54"/>
        <v>2.3190289370441566E-2</v>
      </c>
      <c r="M31" s="38">
        <f>$B$31*L10</f>
        <v>20430.644935359018</v>
      </c>
      <c r="N31" s="78">
        <f t="shared" si="55"/>
        <v>2.2128690233913721E-2</v>
      </c>
      <c r="O31" s="38">
        <f>$B$31*N10</f>
        <v>19495.376096077987</v>
      </c>
      <c r="P31" s="78">
        <f t="shared" si="56"/>
        <v>2.1459317398669867E-2</v>
      </c>
      <c r="Q31" s="38">
        <f>$B$31*P10</f>
        <v>18905.658628228153</v>
      </c>
      <c r="R31" s="78">
        <f t="shared" si="57"/>
        <v>2.1365757320255498E-2</v>
      </c>
      <c r="S31" s="38">
        <f>$B$31*R10</f>
        <v>19783.217041301494</v>
      </c>
      <c r="T31" s="78">
        <f t="shared" si="58"/>
        <v>2.1365757320255498E-2</v>
      </c>
      <c r="U31" s="38">
        <f t="shared" si="59"/>
        <v>19783.217041301494</v>
      </c>
      <c r="V31" s="78">
        <f t="shared" si="60"/>
        <v>2.1365757320255498E-2</v>
      </c>
      <c r="W31" s="38">
        <f t="shared" si="61"/>
        <v>19783.217041301494</v>
      </c>
      <c r="X31" s="78">
        <f t="shared" si="62"/>
        <v>2.1365757320255498E-2</v>
      </c>
      <c r="Y31" s="38">
        <f t="shared" si="63"/>
        <v>19783.217041301494</v>
      </c>
      <c r="Z31" s="78">
        <f t="shared" si="64"/>
        <v>2.1185948577836941E-2</v>
      </c>
      <c r="AA31" s="38">
        <f t="shared" si="65"/>
        <v>19616.726552625136</v>
      </c>
      <c r="AB31" s="78">
        <f t="shared" si="66"/>
        <v>2.1802076152210328E-2</v>
      </c>
      <c r="AC31" s="85">
        <f t="shared" si="81"/>
        <v>235389.4944991424</v>
      </c>
      <c r="AD31" s="93">
        <f>AD29*(1+AD30)</f>
        <v>253213.90000000002</v>
      </c>
      <c r="AE31" s="78">
        <f t="shared" si="82"/>
        <v>2.2030519392211966E-2</v>
      </c>
      <c r="AF31" s="38">
        <f t="shared" si="67"/>
        <v>20398.74085135022</v>
      </c>
      <c r="AG31" s="78">
        <f t="shared" si="68"/>
        <v>2.533509730104376E-2</v>
      </c>
      <c r="AH31" s="86">
        <f t="shared" si="69"/>
        <v>23458.551979052751</v>
      </c>
      <c r="AI31" s="78">
        <f t="shared" si="68"/>
        <v>2.533509730104376E-2</v>
      </c>
      <c r="AJ31" s="38">
        <f t="shared" si="70"/>
        <v>23458.551979052751</v>
      </c>
      <c r="AK31" s="78">
        <f t="shared" si="68"/>
        <v>2.533509730104376E-2</v>
      </c>
      <c r="AL31" s="38">
        <f t="shared" si="71"/>
        <v>23458.551979052751</v>
      </c>
      <c r="AM31" s="78">
        <f t="shared" si="68"/>
        <v>2.533509730104376E-2</v>
      </c>
      <c r="AN31" s="38">
        <f t="shared" si="72"/>
        <v>23458.551979052751</v>
      </c>
      <c r="AO31" s="78">
        <f t="shared" si="68"/>
        <v>2.5094433931964599E-2</v>
      </c>
      <c r="AP31" s="38">
        <f t="shared" si="73"/>
        <v>23235.714305057914</v>
      </c>
      <c r="AQ31" s="78">
        <f t="shared" si="68"/>
        <v>2.461078011673002E-2</v>
      </c>
      <c r="AR31" s="38">
        <f t="shared" si="74"/>
        <v>22787.884244263943</v>
      </c>
      <c r="AS31" s="78">
        <f t="shared" si="68"/>
        <v>2.4478603584962528E-2</v>
      </c>
      <c r="AT31" s="38">
        <f t="shared" si="75"/>
        <v>24025.427769789618</v>
      </c>
      <c r="AU31" s="78">
        <f t="shared" si="68"/>
        <v>2.4478603584962528E-2</v>
      </c>
      <c r="AV31" s="38">
        <f t="shared" si="76"/>
        <v>24025.427769789618</v>
      </c>
      <c r="AW31" s="78">
        <f t="shared" si="68"/>
        <v>2.4478603584962528E-2</v>
      </c>
      <c r="AX31" s="38">
        <f t="shared" si="77"/>
        <v>24025.427769789618</v>
      </c>
      <c r="AY31" s="78">
        <f t="shared" si="68"/>
        <v>2.4478603584962528E-2</v>
      </c>
      <c r="AZ31" s="38">
        <f t="shared" si="78"/>
        <v>24025.427769789618</v>
      </c>
      <c r="BA31" s="78">
        <f t="shared" si="68"/>
        <v>2.4152475319281243E-2</v>
      </c>
      <c r="BB31" s="38">
        <f t="shared" si="79"/>
        <v>23705.337162348849</v>
      </c>
      <c r="BC31" s="78">
        <f t="shared" si="68"/>
        <v>2.4590815096240722E-2</v>
      </c>
      <c r="BD31" s="85">
        <f t="shared" si="83"/>
        <v>280063.59555839037</v>
      </c>
    </row>
    <row r="32" spans="2:56" x14ac:dyDescent="0.2">
      <c r="B32" s="83" t="s">
        <v>76</v>
      </c>
      <c r="D32" s="84">
        <f t="shared" si="49"/>
        <v>1.8747202401327049E-2</v>
      </c>
      <c r="E32" s="85">
        <f>SUM(E26:E31)</f>
        <v>178000</v>
      </c>
      <c r="F32" s="84">
        <f t="shared" si="51"/>
        <v>2.3190289370441562E-2</v>
      </c>
      <c r="G32" s="85">
        <f>SUM(G26:G31)</f>
        <v>220186.00000000003</v>
      </c>
      <c r="H32" s="84">
        <f t="shared" si="52"/>
        <v>2.3190289370441562E-2</v>
      </c>
      <c r="I32" s="85">
        <f>SUM(I26:I31)</f>
        <v>220186.00000000003</v>
      </c>
      <c r="J32" s="84">
        <f t="shared" si="53"/>
        <v>2.3190289370441562E-2</v>
      </c>
      <c r="K32" s="85">
        <f>SUM(K26:K31)</f>
        <v>220186.00000000003</v>
      </c>
      <c r="L32" s="84">
        <f t="shared" si="54"/>
        <v>2.3190289370441562E-2</v>
      </c>
      <c r="M32" s="85">
        <f>SUM(M26:M31)</f>
        <v>220186.00000000003</v>
      </c>
      <c r="N32" s="84">
        <f t="shared" si="55"/>
        <v>2.2128690233913728E-2</v>
      </c>
      <c r="O32" s="85">
        <f>SUM(O26:O31)</f>
        <v>220186.00000000006</v>
      </c>
      <c r="P32" s="84">
        <f t="shared" si="56"/>
        <v>2.1459317398669867E-2</v>
      </c>
      <c r="Q32" s="85">
        <f>SUM(Q26:Q31)</f>
        <v>220186.00000000003</v>
      </c>
      <c r="R32" s="84">
        <f t="shared" si="57"/>
        <v>2.1365757320255498E-2</v>
      </c>
      <c r="S32" s="85">
        <f>SUM(S26:S31)</f>
        <v>220186.00000000003</v>
      </c>
      <c r="T32" s="84">
        <f t="shared" si="58"/>
        <v>2.1365757320255498E-2</v>
      </c>
      <c r="U32" s="85">
        <f>SUM(U26:U31)</f>
        <v>220186.00000000003</v>
      </c>
      <c r="V32" s="84">
        <f t="shared" si="60"/>
        <v>2.1365757320255498E-2</v>
      </c>
      <c r="W32" s="85">
        <f>SUM(W26:W31)</f>
        <v>220186.00000000003</v>
      </c>
      <c r="X32" s="84">
        <f t="shared" si="62"/>
        <v>2.1365757320255498E-2</v>
      </c>
      <c r="Y32" s="85">
        <f>SUM(Y26:Y31)</f>
        <v>220186.00000000003</v>
      </c>
      <c r="Z32" s="84">
        <f t="shared" si="64"/>
        <v>2.1185948577836938E-2</v>
      </c>
      <c r="AA32" s="85">
        <f>SUM(AA26:AA31)</f>
        <v>220186</v>
      </c>
      <c r="AB32" s="84">
        <f t="shared" si="66"/>
        <v>2.1794206919974829E-2</v>
      </c>
      <c r="AC32" s="85">
        <f t="shared" si="81"/>
        <v>2600046</v>
      </c>
      <c r="AD32" s="43"/>
      <c r="AE32" s="84">
        <f t="shared" si="82"/>
        <v>2.2030519392211963E-2</v>
      </c>
      <c r="AF32" s="85">
        <f>SUM(AF26:AF31)</f>
        <v>220186</v>
      </c>
      <c r="AG32" s="84">
        <f t="shared" si="68"/>
        <v>2.533509730104376E-2</v>
      </c>
      <c r="AH32" s="85">
        <f>SUM(AH26:AH31)</f>
        <v>253213.90000000002</v>
      </c>
      <c r="AI32" s="84">
        <f t="shared" si="68"/>
        <v>2.533509730104376E-2</v>
      </c>
      <c r="AJ32" s="85">
        <f>SUM(AJ26:AJ31)</f>
        <v>253213.90000000002</v>
      </c>
      <c r="AK32" s="84">
        <f t="shared" si="68"/>
        <v>2.533509730104376E-2</v>
      </c>
      <c r="AL32" s="85">
        <f>SUM(AL26:AL31)</f>
        <v>253213.90000000002</v>
      </c>
      <c r="AM32" s="84">
        <f t="shared" si="68"/>
        <v>2.533509730104376E-2</v>
      </c>
      <c r="AN32" s="85">
        <f>SUM(AN26:AN31)</f>
        <v>253213.90000000002</v>
      </c>
      <c r="AO32" s="84">
        <f t="shared" si="68"/>
        <v>2.5094433931964599E-2</v>
      </c>
      <c r="AP32" s="85">
        <f>SUM(AP26:AP31)</f>
        <v>253213.90000000002</v>
      </c>
      <c r="AQ32" s="84">
        <f t="shared" si="68"/>
        <v>2.461078011673002E-2</v>
      </c>
      <c r="AR32" s="85">
        <f>SUM(AR26:AR31)</f>
        <v>253213.90000000002</v>
      </c>
      <c r="AS32" s="84">
        <f t="shared" si="68"/>
        <v>2.4478603584962528E-2</v>
      </c>
      <c r="AT32" s="85">
        <f>SUM(AT26:AT31)</f>
        <v>253213.90000000002</v>
      </c>
      <c r="AU32" s="84">
        <f t="shared" si="68"/>
        <v>2.4478603584962528E-2</v>
      </c>
      <c r="AV32" s="85">
        <f>SUM(AV26:AV31)</f>
        <v>253213.90000000002</v>
      </c>
      <c r="AW32" s="84">
        <f t="shared" si="68"/>
        <v>2.4478603584962528E-2</v>
      </c>
      <c r="AX32" s="85">
        <f>SUM(AX26:AX31)</f>
        <v>253213.90000000002</v>
      </c>
      <c r="AY32" s="84">
        <f t="shared" si="68"/>
        <v>2.4478603584962528E-2</v>
      </c>
      <c r="AZ32" s="85">
        <f>SUM(AZ26:AZ31)</f>
        <v>253213.90000000002</v>
      </c>
      <c r="BA32" s="84">
        <f t="shared" si="68"/>
        <v>2.4152475319281247E-2</v>
      </c>
      <c r="BB32" s="85">
        <f>SUM(BB26:BB31)</f>
        <v>253213.90000000005</v>
      </c>
      <c r="BC32" s="84">
        <f t="shared" si="68"/>
        <v>2.4592571766952821E-2</v>
      </c>
      <c r="BD32" s="85">
        <f t="shared" si="83"/>
        <v>3005538.8999999994</v>
      </c>
    </row>
    <row r="33" spans="2:56" x14ac:dyDescent="0.2">
      <c r="C33" s="9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7"/>
      <c r="AD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7"/>
    </row>
    <row r="34" spans="2:56" outlineLevel="1" x14ac:dyDescent="0.2">
      <c r="C34" s="9" t="s">
        <v>1</v>
      </c>
      <c r="D34" s="78">
        <f>E34/E5</f>
        <v>6.0946164985913279E-2</v>
      </c>
      <c r="E34" s="86">
        <f t="shared" ref="E34:E39" si="84">$B$39*D5</f>
        <v>105689.79201032151</v>
      </c>
      <c r="F34" s="78">
        <f>G34/G5</f>
        <v>6.0946164985913279E-2</v>
      </c>
      <c r="G34" s="38">
        <f>$B$39*F5</f>
        <v>105689.79201032151</v>
      </c>
      <c r="H34" s="78">
        <f t="shared" ref="H34:H40" si="85">I34/I5</f>
        <v>6.0946164985913279E-2</v>
      </c>
      <c r="I34" s="38">
        <f t="shared" ref="I34:U34" si="86">$B$39*H5</f>
        <v>105689.79201032151</v>
      </c>
      <c r="J34" s="78">
        <f t="shared" ref="J34:J40" si="87">K34/K5</f>
        <v>6.0946164985913279E-2</v>
      </c>
      <c r="K34" s="38">
        <f t="shared" si="86"/>
        <v>105689.79201032151</v>
      </c>
      <c r="L34" s="78">
        <f t="shared" ref="L34:L40" si="88">M34/M5</f>
        <v>6.0946164985913279E-2</v>
      </c>
      <c r="M34" s="38">
        <f t="shared" si="86"/>
        <v>105689.79201032151</v>
      </c>
      <c r="N34" s="78">
        <f t="shared" ref="N34:N40" si="89">O34/O5</f>
        <v>5.8156187030476633E-2</v>
      </c>
      <c r="O34" s="38">
        <f t="shared" si="86"/>
        <v>100851.55173890105</v>
      </c>
      <c r="P34" s="78">
        <f t="shared" ref="P34:P40" si="90">Q34/Q5</f>
        <v>5.6397015051111027E-2</v>
      </c>
      <c r="Q34" s="38">
        <f t="shared" si="86"/>
        <v>97800.883650884192</v>
      </c>
      <c r="R34" s="78">
        <f t="shared" ref="R34:R40" si="91">S34/S5</f>
        <v>5.6151130755143379E-2</v>
      </c>
      <c r="S34" s="38">
        <f t="shared" si="86"/>
        <v>97374.483399031888</v>
      </c>
      <c r="T34" s="78">
        <f t="shared" ref="T34:T40" si="92">U34/U5</f>
        <v>5.6151130755143379E-2</v>
      </c>
      <c r="U34" s="38">
        <f t="shared" si="86"/>
        <v>97374.483399031888</v>
      </c>
      <c r="V34" s="78">
        <f t="shared" ref="V34:V40" si="93">W34/W5</f>
        <v>2.1365757320255495E-2</v>
      </c>
      <c r="W34" s="86">
        <f>$B$31*V5</f>
        <v>37051.428056921068</v>
      </c>
      <c r="X34" s="78">
        <f t="shared" ref="X34:X40" si="94">Y34/Y5</f>
        <v>2.1365757320255495E-2</v>
      </c>
      <c r="Y34" s="38">
        <f>$B$31*X5</f>
        <v>37051.428056921068</v>
      </c>
      <c r="Z34" s="78">
        <f t="shared" ref="Z34:Z40" si="95">AA34/AA5</f>
        <v>2.1185948577836941E-2</v>
      </c>
      <c r="AA34" s="38">
        <f>$B$31*Z5</f>
        <v>36739.612726255931</v>
      </c>
      <c r="AB34" s="78">
        <f t="shared" ref="AB34:AB40" si="96">AC34/AC5</f>
        <v>4.9625312644982399E-2</v>
      </c>
      <c r="AC34" s="85">
        <f>E34+G34+I34+K34+M34+O34+Q34+S34+U34+W34+Y34+AA34</f>
        <v>1032692.8310795547</v>
      </c>
      <c r="AD34" s="43"/>
      <c r="AE34" s="78">
        <f t="shared" ref="AE34:AE40" si="97">AF34/AF5</f>
        <v>2.2030519392211966E-2</v>
      </c>
      <c r="AF34" s="38">
        <f t="shared" ref="AF34:AF39" si="98">$AD$37*AE5</f>
        <v>40496.478716244645</v>
      </c>
      <c r="AG34" s="78">
        <f>AH34/AH5</f>
        <v>2.533509730104376E-2</v>
      </c>
      <c r="AH34" s="86">
        <f t="shared" ref="AH34:AH39" si="99">$AD$39*AG5</f>
        <v>46570.950523681342</v>
      </c>
      <c r="AI34" s="78">
        <f>AJ34/AJ5</f>
        <v>2.533509730104376E-2</v>
      </c>
      <c r="AJ34" s="38">
        <f t="shared" ref="AJ34:AJ39" si="100">$AD$39*AI5</f>
        <v>46570.950523681342</v>
      </c>
      <c r="AK34" s="78">
        <f>AL34/AL5</f>
        <v>2.533509730104376E-2</v>
      </c>
      <c r="AL34" s="38">
        <f t="shared" ref="AL34:AL39" si="101">$AD$39*AK5</f>
        <v>46570.950523681342</v>
      </c>
      <c r="AM34" s="78">
        <f>AN34/AN5</f>
        <v>2.533509730104376E-2</v>
      </c>
      <c r="AN34" s="38">
        <f t="shared" ref="AN34:AN39" si="102">$AD$39*AM5</f>
        <v>46570.950523681342</v>
      </c>
      <c r="AO34" s="78">
        <f>AP34/AP5</f>
        <v>2.5094433931964599E-2</v>
      </c>
      <c r="AP34" s="38">
        <f t="shared" ref="AP34:AP39" si="103">$AD$39*AO5</f>
        <v>46128.563359303393</v>
      </c>
      <c r="AQ34" s="78">
        <f>AR34/AR5</f>
        <v>2.4610780116730017E-2</v>
      </c>
      <c r="AR34" s="38">
        <f t="shared" ref="AR34:AR39" si="104">$AD$39*AQ5</f>
        <v>45239.511399793002</v>
      </c>
      <c r="AS34" s="78">
        <f>AT34/AT5</f>
        <v>2.4478603584962528E-2</v>
      </c>
      <c r="AT34" s="38">
        <f t="shared" ref="AT34:AT39" si="105">$AD$39*AS5</f>
        <v>44996.544631274533</v>
      </c>
      <c r="AU34" s="78">
        <f>AV34/AV5</f>
        <v>2.4478603584962528E-2</v>
      </c>
      <c r="AV34" s="38">
        <f t="shared" ref="AV34:AV39" si="106">$AD$39*AU5</f>
        <v>44996.544631274533</v>
      </c>
      <c r="AW34" s="78">
        <f>AX34/AX5</f>
        <v>2.4478603584962528E-2</v>
      </c>
      <c r="AX34" s="38">
        <f t="shared" ref="AX34:AX39" si="107">$AD$39*AW5</f>
        <v>44996.544631274533</v>
      </c>
      <c r="AY34" s="78">
        <f>AZ34/AZ5</f>
        <v>2.4478603584962528E-2</v>
      </c>
      <c r="AZ34" s="38">
        <f t="shared" ref="AZ34:AZ39" si="108">$AD$39*AY5</f>
        <v>44996.544631274533</v>
      </c>
      <c r="BA34" s="78">
        <f>BB34/BB5</f>
        <v>2.4152475319281243E-2</v>
      </c>
      <c r="BB34" s="38">
        <f t="shared" ref="BB34:BB39" si="109">$AD$39*BA5</f>
        <v>44397.05597942746</v>
      </c>
      <c r="BC34" s="78">
        <f>BD34/BD5</f>
        <v>2.4595251025351084E-2</v>
      </c>
      <c r="BD34" s="85">
        <f>AF34+AH34+AJ34+AL34+AN34+AP34+AR34+AT34+AV34+AX34+AZ34+BB34</f>
        <v>542531.59007459204</v>
      </c>
    </row>
    <row r="35" spans="2:56" outlineLevel="1" x14ac:dyDescent="0.2">
      <c r="C35" s="9" t="s">
        <v>46</v>
      </c>
      <c r="D35" s="78">
        <f t="shared" ref="D35:F39" si="110">E35/E6</f>
        <v>6.0946164985913279E-2</v>
      </c>
      <c r="E35" s="86">
        <f t="shared" si="84"/>
        <v>191651.31041470289</v>
      </c>
      <c r="F35" s="78">
        <f t="shared" si="110"/>
        <v>6.0946164985913279E-2</v>
      </c>
      <c r="G35" s="38">
        <f t="shared" ref="G35:U35" si="111">$B$39*F6</f>
        <v>191651.31041470289</v>
      </c>
      <c r="H35" s="78">
        <f t="shared" si="85"/>
        <v>6.0946164985913279E-2</v>
      </c>
      <c r="I35" s="38">
        <f t="shared" si="111"/>
        <v>191651.31041470289</v>
      </c>
      <c r="J35" s="78">
        <f t="shared" si="87"/>
        <v>6.0946164985913279E-2</v>
      </c>
      <c r="K35" s="38">
        <f t="shared" si="111"/>
        <v>191651.31041470289</v>
      </c>
      <c r="L35" s="78">
        <f t="shared" si="88"/>
        <v>6.0946164985913279E-2</v>
      </c>
      <c r="M35" s="38">
        <f t="shared" si="111"/>
        <v>191651.31041470289</v>
      </c>
      <c r="N35" s="78">
        <f t="shared" si="89"/>
        <v>5.8156187030476633E-2</v>
      </c>
      <c r="O35" s="38">
        <f t="shared" si="111"/>
        <v>182877.94573603681</v>
      </c>
      <c r="P35" s="78">
        <f t="shared" si="90"/>
        <v>5.6397015051111027E-2</v>
      </c>
      <c r="Q35" s="38">
        <f t="shared" si="111"/>
        <v>186390.70225973963</v>
      </c>
      <c r="R35" s="78">
        <f t="shared" si="91"/>
        <v>5.6151130755143386E-2</v>
      </c>
      <c r="S35" s="38">
        <f t="shared" si="111"/>
        <v>185578.06090702768</v>
      </c>
      <c r="T35" s="78">
        <f t="shared" si="92"/>
        <v>5.6151130755143386E-2</v>
      </c>
      <c r="U35" s="38">
        <f t="shared" si="111"/>
        <v>185578.06090702768</v>
      </c>
      <c r="V35" s="78">
        <f t="shared" si="93"/>
        <v>2.1365757320255498E-2</v>
      </c>
      <c r="W35" s="86">
        <f t="shared" ref="W35:AA39" si="112">$B$31*V6</f>
        <v>70613.28525320848</v>
      </c>
      <c r="X35" s="78">
        <f t="shared" si="94"/>
        <v>2.1365757320255498E-2</v>
      </c>
      <c r="Y35" s="38">
        <f t="shared" si="112"/>
        <v>70613.28525320848</v>
      </c>
      <c r="Z35" s="78">
        <f t="shared" si="95"/>
        <v>2.1185948577836941E-2</v>
      </c>
      <c r="AA35" s="38">
        <f t="shared" si="112"/>
        <v>70019.021926657209</v>
      </c>
      <c r="AB35" s="78">
        <f t="shared" si="96"/>
        <v>4.9355371807943735E-2</v>
      </c>
      <c r="AC35" s="85">
        <f t="shared" ref="AC35:AC40" si="113">E35+G35+I35+K35+M35+O35+Q35+S35+U35+W35+Y35+AA35</f>
        <v>1909926.9143164204</v>
      </c>
      <c r="AD35" s="43"/>
      <c r="AE35" s="78">
        <f t="shared" si="97"/>
        <v>2.2030519392211966E-2</v>
      </c>
      <c r="AF35" s="38">
        <f t="shared" si="98"/>
        <v>72810.307016067978</v>
      </c>
      <c r="AG35" s="78">
        <f t="shared" ref="AG35:BC39" si="114">AH35/AH6</f>
        <v>2.533509730104376E-2</v>
      </c>
      <c r="AH35" s="86">
        <f t="shared" si="99"/>
        <v>83731.853068478173</v>
      </c>
      <c r="AI35" s="78">
        <f t="shared" si="114"/>
        <v>2.533509730104376E-2</v>
      </c>
      <c r="AJ35" s="38">
        <f t="shared" si="100"/>
        <v>83731.853068478173</v>
      </c>
      <c r="AK35" s="78">
        <f t="shared" si="114"/>
        <v>2.533509730104376E-2</v>
      </c>
      <c r="AL35" s="38">
        <f t="shared" si="101"/>
        <v>83731.853068478173</v>
      </c>
      <c r="AM35" s="78">
        <f t="shared" si="114"/>
        <v>2.533509730104376E-2</v>
      </c>
      <c r="AN35" s="38">
        <f t="shared" si="102"/>
        <v>83731.853068478173</v>
      </c>
      <c r="AO35" s="78">
        <f t="shared" si="114"/>
        <v>2.5094433931964602E-2</v>
      </c>
      <c r="AP35" s="38">
        <f t="shared" si="103"/>
        <v>82936.466746521124</v>
      </c>
      <c r="AQ35" s="78">
        <f t="shared" si="114"/>
        <v>2.461078011673002E-2</v>
      </c>
      <c r="AR35" s="38">
        <f t="shared" si="104"/>
        <v>86218.28336229641</v>
      </c>
      <c r="AS35" s="78">
        <f t="shared" si="114"/>
        <v>2.4478603584962524E-2</v>
      </c>
      <c r="AT35" s="38">
        <f t="shared" si="105"/>
        <v>85755.232877276285</v>
      </c>
      <c r="AU35" s="78">
        <f t="shared" si="114"/>
        <v>2.4478603584962524E-2</v>
      </c>
      <c r="AV35" s="38">
        <f t="shared" si="106"/>
        <v>85755.232877276285</v>
      </c>
      <c r="AW35" s="78">
        <f t="shared" si="114"/>
        <v>2.4478603584962524E-2</v>
      </c>
      <c r="AX35" s="38">
        <f t="shared" si="107"/>
        <v>85755.232877276285</v>
      </c>
      <c r="AY35" s="78">
        <f t="shared" si="114"/>
        <v>2.4478603584962524E-2</v>
      </c>
      <c r="AZ35" s="38">
        <f t="shared" si="108"/>
        <v>85755.232877276285</v>
      </c>
      <c r="BA35" s="78">
        <f t="shared" si="114"/>
        <v>2.4152475319281247E-2</v>
      </c>
      <c r="BB35" s="38">
        <f t="shared" si="109"/>
        <v>84612.716504792494</v>
      </c>
      <c r="BC35" s="78">
        <f t="shared" si="114"/>
        <v>2.4590912013815906E-2</v>
      </c>
      <c r="BD35" s="85">
        <f t="shared" ref="BD35:BD40" si="115">AF35+AH35+AJ35+AL35+AN35+AP35+AR35+AT35+AV35+AX35+AZ35+BB35</f>
        <v>1004526.1174126957</v>
      </c>
    </row>
    <row r="36" spans="2:56" outlineLevel="1" x14ac:dyDescent="0.2">
      <c r="C36" s="9" t="s">
        <v>0</v>
      </c>
      <c r="D36" s="78">
        <f t="shared" si="110"/>
        <v>6.0946164985913279E-2</v>
      </c>
      <c r="E36" s="86">
        <f t="shared" si="84"/>
        <v>92638.170778588188</v>
      </c>
      <c r="F36" s="78">
        <f t="shared" si="110"/>
        <v>6.0946164985913279E-2</v>
      </c>
      <c r="G36" s="38">
        <f t="shared" ref="G36:U36" si="116">$B$39*F7</f>
        <v>92638.170778588188</v>
      </c>
      <c r="H36" s="78">
        <f t="shared" si="85"/>
        <v>6.0946164985913279E-2</v>
      </c>
      <c r="I36" s="38">
        <f t="shared" si="116"/>
        <v>92638.170778588188</v>
      </c>
      <c r="J36" s="78">
        <f t="shared" si="87"/>
        <v>6.0946164985913279E-2</v>
      </c>
      <c r="K36" s="38">
        <f t="shared" si="116"/>
        <v>92638.170778588188</v>
      </c>
      <c r="L36" s="78">
        <f t="shared" si="88"/>
        <v>6.0946164985913279E-2</v>
      </c>
      <c r="M36" s="38">
        <f t="shared" si="116"/>
        <v>92638.170778588188</v>
      </c>
      <c r="N36" s="78">
        <f t="shared" si="89"/>
        <v>5.8156187030476626E-2</v>
      </c>
      <c r="O36" s="38">
        <f t="shared" si="116"/>
        <v>113404.56470942943</v>
      </c>
      <c r="P36" s="78">
        <f t="shared" si="90"/>
        <v>5.6397015051111034E-2</v>
      </c>
      <c r="Q36" s="38">
        <f t="shared" si="116"/>
        <v>118433.73160733317</v>
      </c>
      <c r="R36" s="78">
        <f t="shared" si="91"/>
        <v>5.6151130755143379E-2</v>
      </c>
      <c r="S36" s="38">
        <f t="shared" si="116"/>
        <v>117917.3745858011</v>
      </c>
      <c r="T36" s="78">
        <f t="shared" si="92"/>
        <v>5.6151130755143379E-2</v>
      </c>
      <c r="U36" s="38">
        <f t="shared" si="116"/>
        <v>117917.3745858011</v>
      </c>
      <c r="V36" s="78">
        <f t="shared" si="93"/>
        <v>2.1365757320255495E-2</v>
      </c>
      <c r="W36" s="86">
        <f t="shared" si="112"/>
        <v>44868.090372536542</v>
      </c>
      <c r="X36" s="78">
        <f t="shared" si="94"/>
        <v>2.1365757320255495E-2</v>
      </c>
      <c r="Y36" s="38">
        <f t="shared" si="112"/>
        <v>44868.090372536542</v>
      </c>
      <c r="Z36" s="78">
        <f t="shared" si="95"/>
        <v>2.1185948577836941E-2</v>
      </c>
      <c r="AA36" s="38">
        <f t="shared" si="112"/>
        <v>44490.492013457573</v>
      </c>
      <c r="AB36" s="78">
        <f t="shared" si="96"/>
        <v>4.8085353144010662E-2</v>
      </c>
      <c r="AC36" s="85">
        <f t="shared" si="113"/>
        <v>1065090.5721398361</v>
      </c>
      <c r="AD36" s="43"/>
      <c r="AE36" s="78">
        <f t="shared" si="97"/>
        <v>2.203051939221197E-2</v>
      </c>
      <c r="AF36" s="38">
        <f t="shared" si="98"/>
        <v>35194.195339446465</v>
      </c>
      <c r="AG36" s="78">
        <f t="shared" si="114"/>
        <v>2.5335097301043764E-2</v>
      </c>
      <c r="AH36" s="86">
        <f t="shared" si="99"/>
        <v>40473.324640363433</v>
      </c>
      <c r="AI36" s="78">
        <f t="shared" si="114"/>
        <v>2.5335097301043764E-2</v>
      </c>
      <c r="AJ36" s="38">
        <f t="shared" si="100"/>
        <v>40473.324640363433</v>
      </c>
      <c r="AK36" s="78">
        <f t="shared" si="114"/>
        <v>2.5335097301043764E-2</v>
      </c>
      <c r="AL36" s="38">
        <f t="shared" si="101"/>
        <v>40473.324640363433</v>
      </c>
      <c r="AM36" s="78">
        <f t="shared" si="114"/>
        <v>2.5335097301043764E-2</v>
      </c>
      <c r="AN36" s="38">
        <f t="shared" si="102"/>
        <v>40473.324640363433</v>
      </c>
      <c r="AO36" s="78">
        <f t="shared" si="114"/>
        <v>2.5094433931964602E-2</v>
      </c>
      <c r="AP36" s="38">
        <f t="shared" si="103"/>
        <v>42494.191700691619</v>
      </c>
      <c r="AQ36" s="78">
        <f t="shared" si="114"/>
        <v>2.4610780116730017E-2</v>
      </c>
      <c r="AR36" s="38">
        <f t="shared" si="104"/>
        <v>41675.186259203256</v>
      </c>
      <c r="AS36" s="78">
        <f t="shared" si="114"/>
        <v>2.4478603584962524E-2</v>
      </c>
      <c r="AT36" s="38">
        <f t="shared" si="105"/>
        <v>41451.362326992297</v>
      </c>
      <c r="AU36" s="78">
        <f t="shared" si="114"/>
        <v>2.4478603584962524E-2</v>
      </c>
      <c r="AV36" s="38">
        <f t="shared" si="106"/>
        <v>41451.362326992297</v>
      </c>
      <c r="AW36" s="78">
        <f t="shared" si="114"/>
        <v>2.4478603584962524E-2</v>
      </c>
      <c r="AX36" s="38">
        <f t="shared" si="107"/>
        <v>41451.362326992297</v>
      </c>
      <c r="AY36" s="78">
        <f t="shared" si="114"/>
        <v>2.4478603584962524E-2</v>
      </c>
      <c r="AZ36" s="38">
        <f t="shared" si="108"/>
        <v>41451.362326992297</v>
      </c>
      <c r="BA36" s="78">
        <f t="shared" si="114"/>
        <v>2.4152475319281243E-2</v>
      </c>
      <c r="BB36" s="38">
        <f t="shared" si="109"/>
        <v>40899.10611438167</v>
      </c>
      <c r="BC36" s="78">
        <f t="shared" si="114"/>
        <v>2.4593344486850462E-2</v>
      </c>
      <c r="BD36" s="85">
        <f t="shared" si="115"/>
        <v>487961.42728314607</v>
      </c>
    </row>
    <row r="37" spans="2:56" outlineLevel="1" x14ac:dyDescent="0.2">
      <c r="B37" s="92">
        <v>467800</v>
      </c>
      <c r="C37" s="9" t="s">
        <v>6</v>
      </c>
      <c r="D37" s="78">
        <f t="shared" si="110"/>
        <v>6.0946164985913272E-2</v>
      </c>
      <c r="E37" s="86">
        <f t="shared" si="84"/>
        <v>30473.082492956637</v>
      </c>
      <c r="F37" s="78">
        <f t="shared" si="110"/>
        <v>6.0946164985913272E-2</v>
      </c>
      <c r="G37" s="38">
        <f t="shared" ref="G37:U37" si="117">$B$39*F8</f>
        <v>30473.082492956637</v>
      </c>
      <c r="H37" s="78">
        <f t="shared" si="85"/>
        <v>6.0946164985913272E-2</v>
      </c>
      <c r="I37" s="38">
        <f t="shared" si="117"/>
        <v>30473.082492956637</v>
      </c>
      <c r="J37" s="78">
        <f t="shared" si="87"/>
        <v>6.0946164985913272E-2</v>
      </c>
      <c r="K37" s="38">
        <f t="shared" si="117"/>
        <v>30473.082492956637</v>
      </c>
      <c r="L37" s="78">
        <f t="shared" si="88"/>
        <v>6.0946164985913272E-2</v>
      </c>
      <c r="M37" s="38">
        <f t="shared" si="117"/>
        <v>30473.082492956637</v>
      </c>
      <c r="N37" s="78">
        <f t="shared" si="89"/>
        <v>5.8156187030476626E-2</v>
      </c>
      <c r="O37" s="38">
        <f t="shared" si="117"/>
        <v>30561.076284515468</v>
      </c>
      <c r="P37" s="78">
        <f t="shared" si="90"/>
        <v>5.6397015051111034E-2</v>
      </c>
      <c r="Q37" s="38">
        <f t="shared" si="117"/>
        <v>29636.631409358848</v>
      </c>
      <c r="R37" s="78">
        <f t="shared" si="91"/>
        <v>5.6151130755143386E-2</v>
      </c>
      <c r="S37" s="38">
        <f t="shared" si="117"/>
        <v>29507.419211827848</v>
      </c>
      <c r="T37" s="78">
        <f t="shared" si="92"/>
        <v>5.6151130755143386E-2</v>
      </c>
      <c r="U37" s="38">
        <f t="shared" si="117"/>
        <v>29507.419211827848</v>
      </c>
      <c r="V37" s="78">
        <f t="shared" si="93"/>
        <v>2.1365757320255498E-2</v>
      </c>
      <c r="W37" s="86">
        <f t="shared" si="112"/>
        <v>11227.705471794265</v>
      </c>
      <c r="X37" s="78">
        <f t="shared" si="94"/>
        <v>2.1365757320255498E-2</v>
      </c>
      <c r="Y37" s="38">
        <f t="shared" si="112"/>
        <v>11227.705471794265</v>
      </c>
      <c r="Z37" s="78">
        <f t="shared" si="95"/>
        <v>2.1185948577836945E-2</v>
      </c>
      <c r="AA37" s="38">
        <f t="shared" si="112"/>
        <v>11133.215977653314</v>
      </c>
      <c r="AB37" s="78">
        <f t="shared" si="96"/>
        <v>4.9391694667565753E-2</v>
      </c>
      <c r="AC37" s="85">
        <f t="shared" si="113"/>
        <v>305166.58550355502</v>
      </c>
      <c r="AD37" s="92">
        <v>220186.00000000003</v>
      </c>
      <c r="AE37" s="78">
        <f t="shared" si="97"/>
        <v>2.2030519392211966E-2</v>
      </c>
      <c r="AF37" s="38">
        <f t="shared" si="98"/>
        <v>11577.037940607388</v>
      </c>
      <c r="AG37" s="78">
        <f t="shared" si="114"/>
        <v>2.533509730104376E-2</v>
      </c>
      <c r="AH37" s="86">
        <f t="shared" si="99"/>
        <v>13313.593631698495</v>
      </c>
      <c r="AI37" s="78">
        <f t="shared" si="114"/>
        <v>2.533509730104376E-2</v>
      </c>
      <c r="AJ37" s="38">
        <f t="shared" si="100"/>
        <v>13313.593631698495</v>
      </c>
      <c r="AK37" s="78">
        <f t="shared" si="114"/>
        <v>2.533509730104376E-2</v>
      </c>
      <c r="AL37" s="38">
        <f t="shared" si="101"/>
        <v>13313.593631698495</v>
      </c>
      <c r="AM37" s="78">
        <f t="shared" si="114"/>
        <v>2.533509730104376E-2</v>
      </c>
      <c r="AN37" s="38">
        <f t="shared" si="102"/>
        <v>13313.593631698495</v>
      </c>
      <c r="AO37" s="78">
        <f t="shared" si="114"/>
        <v>2.5094433931964599E-2</v>
      </c>
      <c r="AP37" s="38">
        <f t="shared" si="103"/>
        <v>13187.125031247397</v>
      </c>
      <c r="AQ37" s="78">
        <f t="shared" si="114"/>
        <v>2.4610780116730017E-2</v>
      </c>
      <c r="AR37" s="38">
        <f t="shared" si="104"/>
        <v>12932.964951341624</v>
      </c>
      <c r="AS37" s="78">
        <f t="shared" si="114"/>
        <v>2.4478603584962524E-2</v>
      </c>
      <c r="AT37" s="38">
        <f t="shared" si="105"/>
        <v>12863.506183897807</v>
      </c>
      <c r="AU37" s="78">
        <f t="shared" si="114"/>
        <v>2.4478603584962524E-2</v>
      </c>
      <c r="AV37" s="38">
        <f t="shared" si="106"/>
        <v>12863.506183897807</v>
      </c>
      <c r="AW37" s="78">
        <f t="shared" si="114"/>
        <v>2.4478603584962524E-2</v>
      </c>
      <c r="AX37" s="38">
        <f t="shared" si="107"/>
        <v>12863.506183897807</v>
      </c>
      <c r="AY37" s="78">
        <f t="shared" si="114"/>
        <v>2.4478603584962524E-2</v>
      </c>
      <c r="AZ37" s="38">
        <f t="shared" si="108"/>
        <v>12863.506183897807</v>
      </c>
      <c r="BA37" s="78">
        <f t="shared" si="114"/>
        <v>2.4152475319281243E-2</v>
      </c>
      <c r="BB37" s="38">
        <f t="shared" si="109"/>
        <v>13453.653327099231</v>
      </c>
      <c r="BC37" s="78">
        <f t="shared" si="114"/>
        <v>2.4593048161141783E-2</v>
      </c>
      <c r="BD37" s="85">
        <f t="shared" si="115"/>
        <v>155859.18051268088</v>
      </c>
    </row>
    <row r="38" spans="2:56" outlineLevel="1" x14ac:dyDescent="0.2">
      <c r="B38" s="78">
        <v>0.23699999999999999</v>
      </c>
      <c r="C38" s="9" t="s">
        <v>77</v>
      </c>
      <c r="D38" s="78">
        <f t="shared" si="110"/>
        <v>6.0946164985913279E-2</v>
      </c>
      <c r="E38" s="86">
        <f t="shared" si="84"/>
        <v>104522.67295084127</v>
      </c>
      <c r="F38" s="78">
        <f t="shared" si="110"/>
        <v>6.0946164985913279E-2</v>
      </c>
      <c r="G38" s="38">
        <f t="shared" ref="G38:U38" si="118">$B$39*F9</f>
        <v>104522.67295084127</v>
      </c>
      <c r="H38" s="78">
        <f t="shared" si="85"/>
        <v>6.0946164985913279E-2</v>
      </c>
      <c r="I38" s="38">
        <f t="shared" si="118"/>
        <v>104522.67295084127</v>
      </c>
      <c r="J38" s="78">
        <f t="shared" si="87"/>
        <v>6.0946164985913279E-2</v>
      </c>
      <c r="K38" s="38">
        <f t="shared" si="118"/>
        <v>104522.67295084127</v>
      </c>
      <c r="L38" s="78">
        <f t="shared" si="88"/>
        <v>6.0946164985913279E-2</v>
      </c>
      <c r="M38" s="38">
        <f t="shared" si="118"/>
        <v>104522.67295084127</v>
      </c>
      <c r="N38" s="78">
        <f t="shared" si="89"/>
        <v>5.8156187030476633E-2</v>
      </c>
      <c r="O38" s="38">
        <f t="shared" si="118"/>
        <v>99737.860757267423</v>
      </c>
      <c r="P38" s="78">
        <f t="shared" si="90"/>
        <v>5.6397015051111034E-2</v>
      </c>
      <c r="Q38" s="38">
        <f t="shared" si="118"/>
        <v>96720.880812655421</v>
      </c>
      <c r="R38" s="78">
        <f t="shared" si="91"/>
        <v>5.6151130755143379E-2</v>
      </c>
      <c r="S38" s="38">
        <f t="shared" si="118"/>
        <v>96299.189245070898</v>
      </c>
      <c r="T38" s="78">
        <f t="shared" si="92"/>
        <v>5.6151130755143379E-2</v>
      </c>
      <c r="U38" s="38">
        <f t="shared" si="118"/>
        <v>96299.189245070898</v>
      </c>
      <c r="V38" s="78">
        <f t="shared" si="93"/>
        <v>2.1365757320255495E-2</v>
      </c>
      <c r="W38" s="86">
        <f t="shared" si="112"/>
        <v>36642.273804238175</v>
      </c>
      <c r="X38" s="78">
        <f t="shared" si="94"/>
        <v>2.1365757320255495E-2</v>
      </c>
      <c r="Y38" s="38">
        <f t="shared" si="112"/>
        <v>36642.273804238175</v>
      </c>
      <c r="Z38" s="78">
        <f t="shared" si="95"/>
        <v>2.1185948577836938E-2</v>
      </c>
      <c r="AA38" s="38">
        <f t="shared" si="112"/>
        <v>38186.930803350857</v>
      </c>
      <c r="AB38" s="78">
        <f t="shared" si="96"/>
        <v>4.9504956859784122E-2</v>
      </c>
      <c r="AC38" s="85">
        <f t="shared" si="113"/>
        <v>1023141.9632260982</v>
      </c>
      <c r="AD38" s="103">
        <v>0.15</v>
      </c>
      <c r="AE38" s="78">
        <f t="shared" si="97"/>
        <v>2.2030519392211966E-2</v>
      </c>
      <c r="AF38" s="38">
        <f t="shared" si="98"/>
        <v>39709.240136283341</v>
      </c>
      <c r="AG38" s="78">
        <f t="shared" si="114"/>
        <v>2.533509730104376E-2</v>
      </c>
      <c r="AH38" s="86">
        <f t="shared" si="99"/>
        <v>45665.626156725841</v>
      </c>
      <c r="AI38" s="78">
        <f t="shared" si="114"/>
        <v>2.533509730104376E-2</v>
      </c>
      <c r="AJ38" s="38">
        <f t="shared" si="100"/>
        <v>45665.626156725841</v>
      </c>
      <c r="AK38" s="78">
        <f t="shared" si="114"/>
        <v>2.533509730104376E-2</v>
      </c>
      <c r="AL38" s="38">
        <f t="shared" si="101"/>
        <v>45665.626156725841</v>
      </c>
      <c r="AM38" s="78">
        <f t="shared" si="114"/>
        <v>2.533509730104376E-2</v>
      </c>
      <c r="AN38" s="38">
        <f t="shared" si="102"/>
        <v>45665.626156725841</v>
      </c>
      <c r="AO38" s="78">
        <f t="shared" si="114"/>
        <v>2.5094433931964599E-2</v>
      </c>
      <c r="AP38" s="38">
        <f t="shared" si="103"/>
        <v>45231.838857178569</v>
      </c>
      <c r="AQ38" s="78">
        <f t="shared" si="114"/>
        <v>2.461078011673002E-2</v>
      </c>
      <c r="AR38" s="38">
        <f t="shared" si="104"/>
        <v>44360.069783101775</v>
      </c>
      <c r="AS38" s="78">
        <f t="shared" si="114"/>
        <v>2.4478603584962528E-2</v>
      </c>
      <c r="AT38" s="38">
        <f t="shared" si="105"/>
        <v>44121.826210769483</v>
      </c>
      <c r="AU38" s="78">
        <f t="shared" si="114"/>
        <v>2.4478603584962528E-2</v>
      </c>
      <c r="AV38" s="38">
        <f t="shared" si="106"/>
        <v>44121.826210769483</v>
      </c>
      <c r="AW38" s="78">
        <f t="shared" si="114"/>
        <v>2.4478603584962528E-2</v>
      </c>
      <c r="AX38" s="38">
        <f t="shared" si="107"/>
        <v>44121.826210769483</v>
      </c>
      <c r="AY38" s="78">
        <f t="shared" si="114"/>
        <v>2.4478603584962528E-2</v>
      </c>
      <c r="AZ38" s="38">
        <f t="shared" si="108"/>
        <v>44121.826210769483</v>
      </c>
      <c r="BA38" s="78">
        <f t="shared" si="114"/>
        <v>2.4152475319281243E-2</v>
      </c>
      <c r="BB38" s="38">
        <f t="shared" si="109"/>
        <v>46146.030911950365</v>
      </c>
      <c r="BC38" s="78">
        <f t="shared" si="114"/>
        <v>2.459304816114178E-2</v>
      </c>
      <c r="BD38" s="85">
        <f t="shared" si="115"/>
        <v>534596.98915849533</v>
      </c>
    </row>
    <row r="39" spans="2:56" outlineLevel="1" x14ac:dyDescent="0.2">
      <c r="B39" s="93">
        <f>B37*(1+B38)</f>
        <v>578668.60000000009</v>
      </c>
      <c r="C39" s="9" t="s">
        <v>7</v>
      </c>
      <c r="D39" s="78">
        <f t="shared" si="110"/>
        <v>6.0946164985913279E-2</v>
      </c>
      <c r="E39" s="86">
        <f t="shared" si="84"/>
        <v>53693.571352589599</v>
      </c>
      <c r="F39" s="78">
        <f t="shared" si="110"/>
        <v>6.0946164985913279E-2</v>
      </c>
      <c r="G39" s="38">
        <f t="shared" ref="G39:U39" si="119">$B$39*F10</f>
        <v>53693.571352589599</v>
      </c>
      <c r="H39" s="78">
        <f t="shared" si="85"/>
        <v>6.0946164985913279E-2</v>
      </c>
      <c r="I39" s="38">
        <f t="shared" si="119"/>
        <v>53693.571352589599</v>
      </c>
      <c r="J39" s="78">
        <f t="shared" si="87"/>
        <v>6.0946164985913279E-2</v>
      </c>
      <c r="K39" s="38">
        <f t="shared" si="119"/>
        <v>53693.571352589599</v>
      </c>
      <c r="L39" s="78">
        <f t="shared" si="88"/>
        <v>6.0946164985913279E-2</v>
      </c>
      <c r="M39" s="38">
        <f t="shared" si="119"/>
        <v>53693.571352589599</v>
      </c>
      <c r="N39" s="78">
        <f t="shared" si="89"/>
        <v>5.8156187030476626E-2</v>
      </c>
      <c r="O39" s="38">
        <f t="shared" si="119"/>
        <v>51235.60077384991</v>
      </c>
      <c r="P39" s="78">
        <f t="shared" si="90"/>
        <v>5.6397015051111027E-2</v>
      </c>
      <c r="Q39" s="38">
        <f t="shared" si="119"/>
        <v>49685.770260028818</v>
      </c>
      <c r="R39" s="78">
        <f t="shared" si="91"/>
        <v>5.6151130755143386E-2</v>
      </c>
      <c r="S39" s="38">
        <f t="shared" si="119"/>
        <v>51992.072651240669</v>
      </c>
      <c r="T39" s="78">
        <f t="shared" si="92"/>
        <v>5.6151130755143386E-2</v>
      </c>
      <c r="U39" s="38">
        <f t="shared" si="119"/>
        <v>51992.072651240669</v>
      </c>
      <c r="V39" s="78">
        <f t="shared" si="93"/>
        <v>2.1365757320255498E-2</v>
      </c>
      <c r="W39" s="86">
        <f t="shared" si="112"/>
        <v>19783.217041301494</v>
      </c>
      <c r="X39" s="78">
        <f t="shared" si="94"/>
        <v>2.1365757320255498E-2</v>
      </c>
      <c r="Y39" s="38">
        <f t="shared" si="112"/>
        <v>19783.217041301494</v>
      </c>
      <c r="Z39" s="78">
        <f t="shared" si="95"/>
        <v>2.1185948577836941E-2</v>
      </c>
      <c r="AA39" s="38">
        <f t="shared" si="112"/>
        <v>19616.726552625136</v>
      </c>
      <c r="AB39" s="78">
        <f t="shared" si="96"/>
        <v>4.9326067539857139E-2</v>
      </c>
      <c r="AC39" s="85">
        <f t="shared" si="113"/>
        <v>532556.53373453626</v>
      </c>
      <c r="AD39" s="93">
        <f>AD37*(1+AD38)</f>
        <v>253213.90000000002</v>
      </c>
      <c r="AE39" s="78">
        <f t="shared" si="97"/>
        <v>2.2030519392211966E-2</v>
      </c>
      <c r="AF39" s="38">
        <f t="shared" si="98"/>
        <v>20398.74085135022</v>
      </c>
      <c r="AG39" s="78">
        <f t="shared" si="114"/>
        <v>2.533509730104376E-2</v>
      </c>
      <c r="AH39" s="86">
        <f t="shared" si="99"/>
        <v>23458.551979052751</v>
      </c>
      <c r="AI39" s="78">
        <f t="shared" si="114"/>
        <v>2.533509730104376E-2</v>
      </c>
      <c r="AJ39" s="38">
        <f t="shared" si="100"/>
        <v>23458.551979052751</v>
      </c>
      <c r="AK39" s="78">
        <f t="shared" si="114"/>
        <v>2.533509730104376E-2</v>
      </c>
      <c r="AL39" s="38">
        <f t="shared" si="101"/>
        <v>23458.551979052751</v>
      </c>
      <c r="AM39" s="78">
        <f t="shared" si="114"/>
        <v>2.533509730104376E-2</v>
      </c>
      <c r="AN39" s="38">
        <f t="shared" si="102"/>
        <v>23458.551979052751</v>
      </c>
      <c r="AO39" s="78">
        <f t="shared" si="114"/>
        <v>2.5094433931964599E-2</v>
      </c>
      <c r="AP39" s="38">
        <f t="shared" si="103"/>
        <v>23235.714305057914</v>
      </c>
      <c r="AQ39" s="78">
        <f t="shared" si="114"/>
        <v>2.461078011673002E-2</v>
      </c>
      <c r="AR39" s="38">
        <f t="shared" si="104"/>
        <v>22787.884244263943</v>
      </c>
      <c r="AS39" s="78">
        <f t="shared" si="114"/>
        <v>2.4478603584962528E-2</v>
      </c>
      <c r="AT39" s="38">
        <f t="shared" si="105"/>
        <v>24025.427769789618</v>
      </c>
      <c r="AU39" s="78">
        <f t="shared" si="114"/>
        <v>2.4478603584962528E-2</v>
      </c>
      <c r="AV39" s="38">
        <f t="shared" si="106"/>
        <v>24025.427769789618</v>
      </c>
      <c r="AW39" s="78">
        <f t="shared" si="114"/>
        <v>2.4478603584962528E-2</v>
      </c>
      <c r="AX39" s="38">
        <f t="shared" si="107"/>
        <v>24025.427769789618</v>
      </c>
      <c r="AY39" s="78">
        <f t="shared" si="114"/>
        <v>2.4478603584962528E-2</v>
      </c>
      <c r="AZ39" s="38">
        <f t="shared" si="108"/>
        <v>24025.427769789618</v>
      </c>
      <c r="BA39" s="78">
        <f t="shared" si="114"/>
        <v>2.4152475319281243E-2</v>
      </c>
      <c r="BB39" s="38">
        <f t="shared" si="109"/>
        <v>23705.337162348849</v>
      </c>
      <c r="BC39" s="78">
        <f t="shared" si="114"/>
        <v>2.4590815096240722E-2</v>
      </c>
      <c r="BD39" s="85">
        <f t="shared" si="115"/>
        <v>280063.59555839037</v>
      </c>
    </row>
    <row r="40" spans="2:56" x14ac:dyDescent="0.2">
      <c r="B40" s="83" t="s">
        <v>79</v>
      </c>
      <c r="D40" s="84">
        <f>E40/E11</f>
        <v>6.0946164985913279E-2</v>
      </c>
      <c r="E40" s="85">
        <f>SUM(E34:E39)</f>
        <v>578668.60000000009</v>
      </c>
      <c r="F40" s="84">
        <f>G40/G11</f>
        <v>6.0946164985913279E-2</v>
      </c>
      <c r="G40" s="85">
        <f>SUM(G34:G39)</f>
        <v>578668.60000000009</v>
      </c>
      <c r="H40" s="84">
        <f t="shared" si="85"/>
        <v>6.0946164985913279E-2</v>
      </c>
      <c r="I40" s="85">
        <f>SUM(I34:I39)</f>
        <v>578668.60000000009</v>
      </c>
      <c r="J40" s="84">
        <f t="shared" si="87"/>
        <v>6.0946164985913279E-2</v>
      </c>
      <c r="K40" s="85">
        <f>SUM(K34:K39)</f>
        <v>578668.60000000009</v>
      </c>
      <c r="L40" s="84">
        <f t="shared" si="88"/>
        <v>6.0946164985913279E-2</v>
      </c>
      <c r="M40" s="85">
        <f>SUM(M34:M39)</f>
        <v>578668.60000000009</v>
      </c>
      <c r="N40" s="84">
        <f t="shared" si="89"/>
        <v>5.8156187030476633E-2</v>
      </c>
      <c r="O40" s="85">
        <f>SUM(O34:O39)</f>
        <v>578668.60000000009</v>
      </c>
      <c r="P40" s="84">
        <f t="shared" si="90"/>
        <v>5.6397015051111034E-2</v>
      </c>
      <c r="Q40" s="85">
        <f>SUM(Q34:Q39)</f>
        <v>578668.60000000009</v>
      </c>
      <c r="R40" s="84">
        <f t="shared" si="91"/>
        <v>5.6151130755143386E-2</v>
      </c>
      <c r="S40" s="85">
        <f>SUM(S34:S39)</f>
        <v>578668.60000000009</v>
      </c>
      <c r="T40" s="84">
        <f t="shared" si="92"/>
        <v>5.6151130755143386E-2</v>
      </c>
      <c r="U40" s="85">
        <f>SUM(U34:U39)</f>
        <v>578668.60000000009</v>
      </c>
      <c r="V40" s="84">
        <f t="shared" si="93"/>
        <v>2.1365757320255498E-2</v>
      </c>
      <c r="W40" s="85">
        <f>SUM(W34:W39)</f>
        <v>220186.00000000003</v>
      </c>
      <c r="X40" s="84">
        <f t="shared" si="94"/>
        <v>2.1365757320255498E-2</v>
      </c>
      <c r="Y40" s="85">
        <f>SUM(Y34:Y39)</f>
        <v>220186.00000000003</v>
      </c>
      <c r="Z40" s="84">
        <f t="shared" si="95"/>
        <v>2.1185948577836938E-2</v>
      </c>
      <c r="AA40" s="85">
        <f>SUM(AA34:AA39)</f>
        <v>220186</v>
      </c>
      <c r="AB40" s="84">
        <f t="shared" si="96"/>
        <v>4.9191801450079752E-2</v>
      </c>
      <c r="AC40" s="85">
        <f t="shared" si="113"/>
        <v>5868575.4000000004</v>
      </c>
      <c r="AD40" s="43"/>
      <c r="AE40" s="84">
        <f t="shared" si="97"/>
        <v>2.2030519392211963E-2</v>
      </c>
      <c r="AF40" s="85">
        <f>SUM(AF34:AF39)</f>
        <v>220186</v>
      </c>
      <c r="AG40" s="84">
        <f>AH40/AH11</f>
        <v>2.533509730104376E-2</v>
      </c>
      <c r="AH40" s="85">
        <f>SUM(AH34:AH39)</f>
        <v>253213.90000000002</v>
      </c>
      <c r="AI40" s="84">
        <f>AJ40/AJ11</f>
        <v>2.533509730104376E-2</v>
      </c>
      <c r="AJ40" s="85">
        <f>SUM(AJ34:AJ39)</f>
        <v>253213.90000000002</v>
      </c>
      <c r="AK40" s="84">
        <f>AL40/AL11</f>
        <v>2.533509730104376E-2</v>
      </c>
      <c r="AL40" s="85">
        <f>SUM(AL34:AL39)</f>
        <v>253213.90000000002</v>
      </c>
      <c r="AM40" s="84">
        <f>AN40/AN11</f>
        <v>2.533509730104376E-2</v>
      </c>
      <c r="AN40" s="85">
        <f>SUM(AN34:AN39)</f>
        <v>253213.90000000002</v>
      </c>
      <c r="AO40" s="84">
        <f>AP40/AP11</f>
        <v>2.5094433931964599E-2</v>
      </c>
      <c r="AP40" s="85">
        <f>SUM(AP34:AP39)</f>
        <v>253213.90000000002</v>
      </c>
      <c r="AQ40" s="84">
        <f>AR40/AR11</f>
        <v>2.461078011673002E-2</v>
      </c>
      <c r="AR40" s="85">
        <f>SUM(AR34:AR39)</f>
        <v>253213.90000000002</v>
      </c>
      <c r="AS40" s="84">
        <f>AT40/AT11</f>
        <v>2.4478603584962528E-2</v>
      </c>
      <c r="AT40" s="85">
        <f>SUM(AT34:AT39)</f>
        <v>253213.90000000002</v>
      </c>
      <c r="AU40" s="84">
        <f>AV40/AV11</f>
        <v>2.4478603584962528E-2</v>
      </c>
      <c r="AV40" s="85">
        <f>SUM(AV34:AV39)</f>
        <v>253213.90000000002</v>
      </c>
      <c r="AW40" s="84">
        <f>AX40/AX11</f>
        <v>2.4478603584962528E-2</v>
      </c>
      <c r="AX40" s="85">
        <f>SUM(AX34:AX39)</f>
        <v>253213.90000000002</v>
      </c>
      <c r="AY40" s="84">
        <f>AZ40/AZ11</f>
        <v>2.4478603584962528E-2</v>
      </c>
      <c r="AZ40" s="85">
        <f>SUM(AZ34:AZ39)</f>
        <v>253213.90000000002</v>
      </c>
      <c r="BA40" s="84">
        <f>BB40/BB11</f>
        <v>2.4152475319281247E-2</v>
      </c>
      <c r="BB40" s="85">
        <f>SUM(BB34:BB39)</f>
        <v>253213.90000000005</v>
      </c>
      <c r="BC40" s="84">
        <f>BD40/BD11</f>
        <v>2.4592571766952821E-2</v>
      </c>
      <c r="BD40" s="85">
        <f t="shared" si="115"/>
        <v>3005538.8999999994</v>
      </c>
    </row>
    <row r="41" spans="2:56" x14ac:dyDescent="0.2">
      <c r="BD41" s="39"/>
    </row>
    <row r="42" spans="2:56" outlineLevel="1" x14ac:dyDescent="0.2">
      <c r="C42" s="9" t="s">
        <v>1</v>
      </c>
      <c r="D42" s="78">
        <f t="shared" ref="D42:D48" si="120">E42/E5</f>
        <v>0.22138550251454753</v>
      </c>
      <c r="E42" s="87">
        <f t="shared" ref="E42:E47" si="121">D5*$B$47</f>
        <v>383915.66918560257</v>
      </c>
      <c r="F42" s="78">
        <f t="shared" ref="F42:F48" si="122">G42/G5</f>
        <v>0.22138550251454753</v>
      </c>
      <c r="G42" s="44">
        <f t="shared" ref="G42:G47" si="123">E42</f>
        <v>383915.66918560257</v>
      </c>
      <c r="H42" s="78">
        <f t="shared" ref="H42:H48" si="124">I42/I5</f>
        <v>0.22138550251454753</v>
      </c>
      <c r="I42" s="44">
        <f t="shared" ref="I42:I47" si="125">G42</f>
        <v>383915.66918560257</v>
      </c>
      <c r="J42" s="78">
        <f t="shared" ref="J42:J48" si="126">K42/K5</f>
        <v>0.22138550251454753</v>
      </c>
      <c r="K42" s="44">
        <f t="shared" ref="K42:K47" si="127">I42</f>
        <v>383915.66918560257</v>
      </c>
      <c r="L42" s="78">
        <f t="shared" ref="L42:L48" si="128">M42/M5</f>
        <v>0.22138550251454753</v>
      </c>
      <c r="M42" s="44">
        <f t="shared" ref="M42:M47" si="129">K42</f>
        <v>383915.66918560257</v>
      </c>
      <c r="N42" s="78">
        <f t="shared" ref="N42:N48" si="130">O42/O5</f>
        <v>0.22138550251454753</v>
      </c>
      <c r="O42" s="44">
        <f t="shared" ref="O42:O47" si="131">M42</f>
        <v>383915.66918560257</v>
      </c>
      <c r="P42" s="78">
        <f t="shared" ref="P42:P48" si="132">Q42/Q5</f>
        <v>0.22138550251454753</v>
      </c>
      <c r="Q42" s="44">
        <f t="shared" ref="Q42:Q47" si="133">O42</f>
        <v>383915.66918560257</v>
      </c>
      <c r="R42" s="78">
        <f t="shared" ref="R42:R48" si="134">S42/S5</f>
        <v>0.22138550251454753</v>
      </c>
      <c r="S42" s="44">
        <f t="shared" ref="S42:S47" si="135">Q42</f>
        <v>383915.66918560257</v>
      </c>
      <c r="T42" s="78">
        <f t="shared" ref="T42:T48" si="136">U42/U5</f>
        <v>0.22138550251454753</v>
      </c>
      <c r="U42" s="44">
        <f t="shared" ref="U42:U47" si="137">S42</f>
        <v>383915.66918560257</v>
      </c>
      <c r="V42" s="78">
        <f t="shared" ref="V42:V48" si="138">W42/W5</f>
        <v>0.22138550251454753</v>
      </c>
      <c r="W42" s="44">
        <f t="shared" ref="W42:W47" si="139">U42</f>
        <v>383915.66918560257</v>
      </c>
      <c r="X42" s="78">
        <f t="shared" ref="X42:X48" si="140">Y42/Y5</f>
        <v>0.22138550251454753</v>
      </c>
      <c r="Y42" s="44">
        <f t="shared" ref="Y42:Y47" si="141">W42</f>
        <v>383915.66918560257</v>
      </c>
      <c r="Z42" s="78">
        <f t="shared" ref="Z42:Z48" si="142">AA42/AA5</f>
        <v>0.22138550251454753</v>
      </c>
      <c r="AA42" s="44">
        <f t="shared" ref="AA42:AA47" si="143">Y42</f>
        <v>383915.66918560257</v>
      </c>
      <c r="AB42" s="78">
        <f t="shared" ref="AB42:AB48" si="144">AC42/AC5</f>
        <v>0.22138550251454753</v>
      </c>
      <c r="AC42" s="85">
        <f>E42+G42+I42+K42+M42+O42+Q42+S42+U42+W42+Y42+AA42</f>
        <v>4606988.0302272309</v>
      </c>
      <c r="AD42" s="43"/>
      <c r="AE42" s="78">
        <f>AF42/AF5</f>
        <v>0.22335684498741201</v>
      </c>
      <c r="AF42" s="87">
        <f t="shared" ref="AF42:AF47" si="145">AE5*$AD$47</f>
        <v>410574.3290990158</v>
      </c>
      <c r="AG42" s="78">
        <f>AH42/AH5</f>
        <v>0.22335684498741201</v>
      </c>
      <c r="AH42" s="102">
        <f t="shared" ref="AH42:AH47" si="146">AG5*$AD$47</f>
        <v>410574.3290990158</v>
      </c>
      <c r="AI42" s="78">
        <f>AJ42/AJ5</f>
        <v>0.22335684498741201</v>
      </c>
      <c r="AJ42" s="102">
        <f t="shared" ref="AJ42:AJ47" si="147">AI5*$AD$47</f>
        <v>410574.3290990158</v>
      </c>
      <c r="AK42" s="78">
        <f>AL42/AL5</f>
        <v>0.22335684498741201</v>
      </c>
      <c r="AL42" s="102">
        <f t="shared" ref="AL42:AL47" si="148">AK5*$AD$47</f>
        <v>410574.3290990158</v>
      </c>
      <c r="AM42" s="78">
        <f>AN42/AN5</f>
        <v>0.22335684498741201</v>
      </c>
      <c r="AN42" s="102">
        <f t="shared" ref="AN42:AN47" si="149">AM5*$AD$47</f>
        <v>410574.3290990158</v>
      </c>
      <c r="AO42" s="78">
        <f>AP42/AP5</f>
        <v>0.22123513176946641</v>
      </c>
      <c r="AP42" s="102">
        <f t="shared" ref="AP42:AP47" si="150">AO5*$AD$47</f>
        <v>406674.19798350136</v>
      </c>
      <c r="AQ42" s="78">
        <f>AR42/AR5</f>
        <v>0.21697118958075928</v>
      </c>
      <c r="AR42" s="102">
        <f t="shared" ref="AR42:AR47" si="151">AQ5*$AD$47</f>
        <v>398836.22371616215</v>
      </c>
      <c r="AS42" s="78">
        <f>AT42/AT5</f>
        <v>0.21580590757034643</v>
      </c>
      <c r="AT42" s="102">
        <f t="shared" ref="AT42:AT47" si="152">AS5*$AD$47</f>
        <v>396694.20348990324</v>
      </c>
      <c r="AU42" s="78">
        <f>AV42/AV5</f>
        <v>0.21580590757034643</v>
      </c>
      <c r="AV42" s="102">
        <f t="shared" ref="AV42:AV47" si="153">AU5*$AD$47</f>
        <v>396694.20348990324</v>
      </c>
      <c r="AW42" s="78">
        <f>AX42/AX5</f>
        <v>0.21580590757034643</v>
      </c>
      <c r="AX42" s="102">
        <f t="shared" ref="AX42:AX47" si="154">AW5*$AD$47</f>
        <v>396694.20348990324</v>
      </c>
      <c r="AY42" s="78">
        <f>AZ42/AZ5</f>
        <v>0.21580590757034643</v>
      </c>
      <c r="AZ42" s="102">
        <f t="shared" ref="AZ42:AZ47" si="155">AY5*$AD$47</f>
        <v>396694.20348990324</v>
      </c>
      <c r="BA42" s="78">
        <f>BB42/BB5</f>
        <v>0.21293072696147672</v>
      </c>
      <c r="BB42" s="102">
        <f t="shared" ref="BB42:BB47" si="156">BA5*$AD$47</f>
        <v>391409.04936985957</v>
      </c>
      <c r="BC42" s="78">
        <f>BD42/BD5</f>
        <v>0.21926207529417902</v>
      </c>
      <c r="BD42" s="85">
        <f>AF42+AH42+AJ42+AL42+AN42+AP42+AR42+AT42+AV42+AX42+AZ42+BB42</f>
        <v>4836567.9305242151</v>
      </c>
    </row>
    <row r="43" spans="2:56" outlineLevel="1" x14ac:dyDescent="0.2">
      <c r="C43" s="9" t="s">
        <v>46</v>
      </c>
      <c r="D43" s="78">
        <f t="shared" si="120"/>
        <v>0.2213855025145475</v>
      </c>
      <c r="E43" s="87">
        <f t="shared" si="121"/>
        <v>696168.85120724607</v>
      </c>
      <c r="F43" s="78">
        <f t="shared" si="122"/>
        <v>0.2213855025145475</v>
      </c>
      <c r="G43" s="44">
        <f t="shared" si="123"/>
        <v>696168.85120724607</v>
      </c>
      <c r="H43" s="78">
        <f t="shared" si="124"/>
        <v>0.2213855025145475</v>
      </c>
      <c r="I43" s="44">
        <f t="shared" si="125"/>
        <v>696168.85120724607</v>
      </c>
      <c r="J43" s="78">
        <f t="shared" si="126"/>
        <v>0.2213855025145475</v>
      </c>
      <c r="K43" s="44">
        <f t="shared" si="127"/>
        <v>696168.85120724607</v>
      </c>
      <c r="L43" s="78">
        <f t="shared" si="128"/>
        <v>0.2213855025145475</v>
      </c>
      <c r="M43" s="44">
        <f t="shared" si="129"/>
        <v>696168.85120724607</v>
      </c>
      <c r="N43" s="78">
        <f t="shared" si="130"/>
        <v>0.2213855025145475</v>
      </c>
      <c r="O43" s="44">
        <f t="shared" si="131"/>
        <v>696168.85120724607</v>
      </c>
      <c r="P43" s="78">
        <f t="shared" si="132"/>
        <v>0.2106427236104163</v>
      </c>
      <c r="Q43" s="44">
        <f t="shared" si="133"/>
        <v>696168.85120724607</v>
      </c>
      <c r="R43" s="78">
        <f t="shared" si="134"/>
        <v>0.2106427236104163</v>
      </c>
      <c r="S43" s="44">
        <f t="shared" si="135"/>
        <v>696168.85120724607</v>
      </c>
      <c r="T43" s="78">
        <f t="shared" si="136"/>
        <v>0.2106427236104163</v>
      </c>
      <c r="U43" s="44">
        <f t="shared" si="137"/>
        <v>696168.85120724607</v>
      </c>
      <c r="V43" s="78">
        <f t="shared" si="138"/>
        <v>0.2106427236104163</v>
      </c>
      <c r="W43" s="44">
        <f t="shared" si="139"/>
        <v>696168.85120724607</v>
      </c>
      <c r="X43" s="78">
        <f t="shared" si="140"/>
        <v>0.2106427236104163</v>
      </c>
      <c r="Y43" s="44">
        <f t="shared" si="141"/>
        <v>696168.85120724607</v>
      </c>
      <c r="Z43" s="78">
        <f t="shared" si="142"/>
        <v>0.2106427236104163</v>
      </c>
      <c r="AA43" s="44">
        <f t="shared" si="143"/>
        <v>696168.85120724607</v>
      </c>
      <c r="AB43" s="78">
        <f t="shared" si="144"/>
        <v>0.21588054852710625</v>
      </c>
      <c r="AC43" s="85">
        <f t="shared" ref="AC43:AC48" si="157">E43+G43+I43+K43+M43+O43+Q43+S43+U43+W43+Y43+AA43</f>
        <v>8354026.2144869529</v>
      </c>
      <c r="AD43" s="43"/>
      <c r="AE43" s="78">
        <f t="shared" ref="AE43:BC48" si="158">AF43/AF6</f>
        <v>0.22335684498741201</v>
      </c>
      <c r="AF43" s="87">
        <f t="shared" si="145"/>
        <v>738188.69941953395</v>
      </c>
      <c r="AG43" s="78">
        <f t="shared" si="158"/>
        <v>0.22335684498741201</v>
      </c>
      <c r="AH43" s="102">
        <f t="shared" si="146"/>
        <v>738188.69941953395</v>
      </c>
      <c r="AI43" s="78">
        <f t="shared" si="158"/>
        <v>0.22335684498741201</v>
      </c>
      <c r="AJ43" s="102">
        <f t="shared" si="147"/>
        <v>738188.69941953395</v>
      </c>
      <c r="AK43" s="78">
        <f t="shared" si="158"/>
        <v>0.22335684498741201</v>
      </c>
      <c r="AL43" s="102">
        <f t="shared" si="148"/>
        <v>738188.69941953395</v>
      </c>
      <c r="AM43" s="78">
        <f t="shared" si="158"/>
        <v>0.22335684498741201</v>
      </c>
      <c r="AN43" s="102">
        <f t="shared" si="149"/>
        <v>738188.69941953395</v>
      </c>
      <c r="AO43" s="78">
        <f t="shared" si="158"/>
        <v>0.22123513176946641</v>
      </c>
      <c r="AP43" s="102">
        <f t="shared" si="150"/>
        <v>731176.49112573941</v>
      </c>
      <c r="AQ43" s="78">
        <f t="shared" si="158"/>
        <v>0.21697118958075925</v>
      </c>
      <c r="AR43" s="102">
        <f t="shared" si="151"/>
        <v>760109.3267259656</v>
      </c>
      <c r="AS43" s="78">
        <f t="shared" si="158"/>
        <v>0.2158059075703464</v>
      </c>
      <c r="AT43" s="102">
        <f t="shared" si="152"/>
        <v>756027.02563293907</v>
      </c>
      <c r="AU43" s="78">
        <f t="shared" si="158"/>
        <v>0.2158059075703464</v>
      </c>
      <c r="AV43" s="102">
        <f t="shared" si="153"/>
        <v>756027.02563293907</v>
      </c>
      <c r="AW43" s="78">
        <f t="shared" si="158"/>
        <v>0.2158059075703464</v>
      </c>
      <c r="AX43" s="102">
        <f t="shared" si="154"/>
        <v>756027.02563293907</v>
      </c>
      <c r="AY43" s="78">
        <f t="shared" si="158"/>
        <v>0.2158059075703464</v>
      </c>
      <c r="AZ43" s="102">
        <f t="shared" si="155"/>
        <v>756027.02563293907</v>
      </c>
      <c r="BA43" s="78">
        <f t="shared" si="158"/>
        <v>0.21293072696147675</v>
      </c>
      <c r="BB43" s="102">
        <f t="shared" si="156"/>
        <v>745954.48281724879</v>
      </c>
      <c r="BC43" s="78">
        <f t="shared" si="158"/>
        <v>0.21915310973621083</v>
      </c>
      <c r="BD43" s="85">
        <f t="shared" ref="BD43:BD48" si="159">AF43+AH43+AJ43+AL43+AN43+AP43+AR43+AT43+AV43+AX43+AZ43+BB43</f>
        <v>8952291.9002983812</v>
      </c>
    </row>
    <row r="44" spans="2:56" outlineLevel="1" x14ac:dyDescent="0.2">
      <c r="C44" s="9" t="s">
        <v>0</v>
      </c>
      <c r="D44" s="78">
        <f t="shared" si="120"/>
        <v>0.22138550251454753</v>
      </c>
      <c r="E44" s="87">
        <f t="shared" si="121"/>
        <v>336505.96382211224</v>
      </c>
      <c r="F44" s="78">
        <f t="shared" si="122"/>
        <v>0.22138550251454753</v>
      </c>
      <c r="G44" s="44">
        <f t="shared" si="123"/>
        <v>336505.96382211224</v>
      </c>
      <c r="H44" s="78">
        <f t="shared" si="124"/>
        <v>0.22138550251454753</v>
      </c>
      <c r="I44" s="44">
        <f t="shared" si="125"/>
        <v>336505.96382211224</v>
      </c>
      <c r="J44" s="78">
        <f t="shared" si="126"/>
        <v>0.22138550251454753</v>
      </c>
      <c r="K44" s="44">
        <f t="shared" si="127"/>
        <v>336505.96382211224</v>
      </c>
      <c r="L44" s="78">
        <f t="shared" si="128"/>
        <v>0.22138550251454753</v>
      </c>
      <c r="M44" s="44">
        <f t="shared" si="129"/>
        <v>336505.96382211224</v>
      </c>
      <c r="N44" s="78">
        <f t="shared" si="130"/>
        <v>0.17256716093441654</v>
      </c>
      <c r="O44" s="44">
        <f t="shared" si="131"/>
        <v>336505.96382211224</v>
      </c>
      <c r="P44" s="78">
        <f t="shared" si="132"/>
        <v>0.16024093515338678</v>
      </c>
      <c r="Q44" s="44">
        <f t="shared" si="133"/>
        <v>336505.96382211224</v>
      </c>
      <c r="R44" s="78">
        <f t="shared" si="134"/>
        <v>0.16024093515338678</v>
      </c>
      <c r="S44" s="44">
        <f t="shared" si="135"/>
        <v>336505.96382211224</v>
      </c>
      <c r="T44" s="78">
        <f t="shared" si="136"/>
        <v>0.16024093515338678</v>
      </c>
      <c r="U44" s="44">
        <f t="shared" si="137"/>
        <v>336505.96382211224</v>
      </c>
      <c r="V44" s="78">
        <f t="shared" si="138"/>
        <v>0.16024093515338678</v>
      </c>
      <c r="W44" s="44">
        <f t="shared" si="139"/>
        <v>336505.96382211224</v>
      </c>
      <c r="X44" s="78">
        <f t="shared" si="140"/>
        <v>0.16024093515338678</v>
      </c>
      <c r="Y44" s="44">
        <f t="shared" si="141"/>
        <v>336505.96382211224</v>
      </c>
      <c r="Z44" s="78">
        <f t="shared" si="142"/>
        <v>0.16024093515338678</v>
      </c>
      <c r="AA44" s="44">
        <f t="shared" si="143"/>
        <v>336505.96382211224</v>
      </c>
      <c r="AB44" s="78">
        <f t="shared" si="144"/>
        <v>0.18230571403455295</v>
      </c>
      <c r="AC44" s="85">
        <f t="shared" si="157"/>
        <v>4038071.5658653476</v>
      </c>
      <c r="AD44" s="43"/>
      <c r="AE44" s="78">
        <f t="shared" si="158"/>
        <v>0.22335684498741201</v>
      </c>
      <c r="AF44" s="87">
        <f t="shared" si="145"/>
        <v>356817.02700429043</v>
      </c>
      <c r="AG44" s="78">
        <f t="shared" si="158"/>
        <v>0.22335684498741201</v>
      </c>
      <c r="AH44" s="102">
        <f t="shared" si="146"/>
        <v>356817.02700429043</v>
      </c>
      <c r="AI44" s="78">
        <f t="shared" si="158"/>
        <v>0.22335684498741201</v>
      </c>
      <c r="AJ44" s="102">
        <f t="shared" si="147"/>
        <v>356817.02700429043</v>
      </c>
      <c r="AK44" s="78">
        <f t="shared" si="158"/>
        <v>0.22335684498741201</v>
      </c>
      <c r="AL44" s="102">
        <f t="shared" si="148"/>
        <v>356817.02700429043</v>
      </c>
      <c r="AM44" s="78">
        <f t="shared" si="158"/>
        <v>0.22335684498741201</v>
      </c>
      <c r="AN44" s="102">
        <f t="shared" si="149"/>
        <v>356817.02700429043</v>
      </c>
      <c r="AO44" s="78">
        <f t="shared" si="158"/>
        <v>0.22123513176946638</v>
      </c>
      <c r="AP44" s="102">
        <f t="shared" si="150"/>
        <v>374633.20056661946</v>
      </c>
      <c r="AQ44" s="78">
        <f t="shared" si="158"/>
        <v>0.21697118958075928</v>
      </c>
      <c r="AR44" s="102">
        <f t="shared" si="151"/>
        <v>367412.76366579789</v>
      </c>
      <c r="AS44" s="78">
        <f t="shared" si="158"/>
        <v>0.2158059075703464</v>
      </c>
      <c r="AT44" s="102">
        <f t="shared" si="152"/>
        <v>365439.50866948662</v>
      </c>
      <c r="AU44" s="78">
        <f t="shared" si="158"/>
        <v>0.2158059075703464</v>
      </c>
      <c r="AV44" s="102">
        <f t="shared" si="153"/>
        <v>365439.50866948662</v>
      </c>
      <c r="AW44" s="78">
        <f t="shared" si="158"/>
        <v>0.2158059075703464</v>
      </c>
      <c r="AX44" s="102">
        <f t="shared" si="154"/>
        <v>365439.50866948662</v>
      </c>
      <c r="AY44" s="78">
        <f t="shared" si="158"/>
        <v>0.2158059075703464</v>
      </c>
      <c r="AZ44" s="102">
        <f t="shared" si="155"/>
        <v>365439.50866948662</v>
      </c>
      <c r="BA44" s="78">
        <f t="shared" si="158"/>
        <v>0.21293072696147675</v>
      </c>
      <c r="BB44" s="102">
        <f t="shared" si="156"/>
        <v>360570.76063162828</v>
      </c>
      <c r="BC44" s="78">
        <f t="shared" si="158"/>
        <v>0.21916316781366624</v>
      </c>
      <c r="BD44" s="85">
        <f t="shared" si="159"/>
        <v>4348459.8945634449</v>
      </c>
    </row>
    <row r="45" spans="2:56" outlineLevel="1" x14ac:dyDescent="0.2">
      <c r="B45" s="92">
        <v>2000000</v>
      </c>
      <c r="C45" s="9" t="s">
        <v>6</v>
      </c>
      <c r="D45" s="78">
        <f t="shared" si="120"/>
        <v>0.2213855025145475</v>
      </c>
      <c r="E45" s="87">
        <f t="shared" si="121"/>
        <v>110692.75125727375</v>
      </c>
      <c r="F45" s="78">
        <f t="shared" si="122"/>
        <v>0.2213855025145475</v>
      </c>
      <c r="G45" s="44">
        <f t="shared" si="123"/>
        <v>110692.75125727375</v>
      </c>
      <c r="H45" s="78">
        <f t="shared" si="124"/>
        <v>0.2213855025145475</v>
      </c>
      <c r="I45" s="44">
        <f t="shared" si="125"/>
        <v>110692.75125727375</v>
      </c>
      <c r="J45" s="78">
        <f t="shared" si="126"/>
        <v>0.2213855025145475</v>
      </c>
      <c r="K45" s="44">
        <f t="shared" si="127"/>
        <v>110692.75125727375</v>
      </c>
      <c r="L45" s="78">
        <f t="shared" si="128"/>
        <v>0.2213855025145475</v>
      </c>
      <c r="M45" s="44">
        <f t="shared" si="129"/>
        <v>110692.75125727375</v>
      </c>
      <c r="N45" s="78">
        <f t="shared" si="130"/>
        <v>0.21064272361041628</v>
      </c>
      <c r="O45" s="44">
        <f t="shared" si="131"/>
        <v>110692.75125727375</v>
      </c>
      <c r="P45" s="78">
        <f t="shared" si="132"/>
        <v>0.21064272361041628</v>
      </c>
      <c r="Q45" s="44">
        <f t="shared" si="133"/>
        <v>110692.75125727375</v>
      </c>
      <c r="R45" s="78">
        <f t="shared" si="134"/>
        <v>0.21064272361041628</v>
      </c>
      <c r="S45" s="44">
        <f t="shared" si="135"/>
        <v>110692.75125727375</v>
      </c>
      <c r="T45" s="78">
        <f t="shared" si="136"/>
        <v>0.21064272361041628</v>
      </c>
      <c r="U45" s="44">
        <f t="shared" si="137"/>
        <v>110692.75125727375</v>
      </c>
      <c r="V45" s="78">
        <f t="shared" si="138"/>
        <v>0.21064272361041628</v>
      </c>
      <c r="W45" s="44">
        <f t="shared" si="139"/>
        <v>110692.75125727375</v>
      </c>
      <c r="X45" s="78">
        <f t="shared" si="140"/>
        <v>0.21064272361041628</v>
      </c>
      <c r="Y45" s="44">
        <f t="shared" si="141"/>
        <v>110692.75125727375</v>
      </c>
      <c r="Z45" s="78">
        <f t="shared" si="142"/>
        <v>0.21064272361041628</v>
      </c>
      <c r="AA45" s="44">
        <f t="shared" si="143"/>
        <v>110692.75125727375</v>
      </c>
      <c r="AB45" s="78">
        <f t="shared" si="144"/>
        <v>0.21498956301485556</v>
      </c>
      <c r="AC45" s="85">
        <f t="shared" si="157"/>
        <v>1328313.0150872851</v>
      </c>
      <c r="AD45" s="92">
        <v>2106000</v>
      </c>
      <c r="AE45" s="78">
        <f t="shared" si="158"/>
        <v>0.22335684498741198</v>
      </c>
      <c r="AF45" s="87">
        <f t="shared" si="145"/>
        <v>117374.022040885</v>
      </c>
      <c r="AG45" s="78">
        <f t="shared" si="158"/>
        <v>0.22335684498741198</v>
      </c>
      <c r="AH45" s="102">
        <f t="shared" si="146"/>
        <v>117374.022040885</v>
      </c>
      <c r="AI45" s="78">
        <f t="shared" si="158"/>
        <v>0.22335684498741198</v>
      </c>
      <c r="AJ45" s="102">
        <f t="shared" si="147"/>
        <v>117374.022040885</v>
      </c>
      <c r="AK45" s="78">
        <f t="shared" si="158"/>
        <v>0.22335684498741198</v>
      </c>
      <c r="AL45" s="102">
        <f t="shared" si="148"/>
        <v>117374.022040885</v>
      </c>
      <c r="AM45" s="78">
        <f t="shared" si="158"/>
        <v>0.22335684498741198</v>
      </c>
      <c r="AN45" s="102">
        <f t="shared" si="149"/>
        <v>117374.022040885</v>
      </c>
      <c r="AO45" s="78">
        <f t="shared" si="158"/>
        <v>0.22123513176946641</v>
      </c>
      <c r="AP45" s="102">
        <f t="shared" si="150"/>
        <v>116259.0617448546</v>
      </c>
      <c r="AQ45" s="78">
        <f t="shared" si="158"/>
        <v>0.21697118958075925</v>
      </c>
      <c r="AR45" s="102">
        <f t="shared" si="151"/>
        <v>114018.36012468899</v>
      </c>
      <c r="AS45" s="78">
        <f t="shared" si="158"/>
        <v>0.21580590757034643</v>
      </c>
      <c r="AT45" s="102">
        <f t="shared" si="152"/>
        <v>113406.00442821704</v>
      </c>
      <c r="AU45" s="78">
        <f t="shared" si="158"/>
        <v>0.21580590757034643</v>
      </c>
      <c r="AV45" s="102">
        <f t="shared" si="153"/>
        <v>113406.00442821704</v>
      </c>
      <c r="AW45" s="78">
        <f t="shared" si="158"/>
        <v>0.21580590757034643</v>
      </c>
      <c r="AX45" s="102">
        <f t="shared" si="154"/>
        <v>113406.00442821704</v>
      </c>
      <c r="AY45" s="78">
        <f t="shared" si="158"/>
        <v>0.21580590757034643</v>
      </c>
      <c r="AZ45" s="102">
        <f t="shared" si="155"/>
        <v>113406.00442821704</v>
      </c>
      <c r="BA45" s="78">
        <f t="shared" si="158"/>
        <v>0.21293072696147672</v>
      </c>
      <c r="BB45" s="102">
        <f t="shared" si="156"/>
        <v>118608.80283935138</v>
      </c>
      <c r="BC45" s="78">
        <f t="shared" si="158"/>
        <v>0.21923057604874263</v>
      </c>
      <c r="BD45" s="85">
        <f t="shared" si="159"/>
        <v>1389380.352626188</v>
      </c>
    </row>
    <row r="46" spans="2:56" outlineLevel="1" x14ac:dyDescent="0.2">
      <c r="B46" s="78">
        <v>5.0999999999999997E-2</v>
      </c>
      <c r="C46" s="9" t="s">
        <v>77</v>
      </c>
      <c r="D46" s="78">
        <f t="shared" si="120"/>
        <v>0.2213855025145475</v>
      </c>
      <c r="E46" s="87">
        <f t="shared" si="121"/>
        <v>379676.13681244897</v>
      </c>
      <c r="F46" s="78">
        <f t="shared" si="122"/>
        <v>0.2213855025145475</v>
      </c>
      <c r="G46" s="44">
        <f t="shared" si="123"/>
        <v>379676.13681244897</v>
      </c>
      <c r="H46" s="78">
        <f t="shared" si="124"/>
        <v>0.2213855025145475</v>
      </c>
      <c r="I46" s="44">
        <f t="shared" si="125"/>
        <v>379676.13681244897</v>
      </c>
      <c r="J46" s="78">
        <f t="shared" si="126"/>
        <v>0.2213855025145475</v>
      </c>
      <c r="K46" s="44">
        <f t="shared" si="127"/>
        <v>379676.13681244897</v>
      </c>
      <c r="L46" s="78">
        <f t="shared" si="128"/>
        <v>0.2213855025145475</v>
      </c>
      <c r="M46" s="44">
        <f t="shared" si="129"/>
        <v>379676.13681244897</v>
      </c>
      <c r="N46" s="78">
        <f t="shared" si="130"/>
        <v>0.2213855025145475</v>
      </c>
      <c r="O46" s="44">
        <f t="shared" si="131"/>
        <v>379676.13681244897</v>
      </c>
      <c r="P46" s="78">
        <f t="shared" si="132"/>
        <v>0.2213855025145475</v>
      </c>
      <c r="Q46" s="44">
        <f t="shared" si="133"/>
        <v>379676.13681244897</v>
      </c>
      <c r="R46" s="78">
        <f t="shared" si="134"/>
        <v>0.2213855025145475</v>
      </c>
      <c r="S46" s="44">
        <f t="shared" si="135"/>
        <v>379676.13681244897</v>
      </c>
      <c r="T46" s="78">
        <f t="shared" si="136"/>
        <v>0.2213855025145475</v>
      </c>
      <c r="U46" s="44">
        <f t="shared" si="137"/>
        <v>379676.13681244897</v>
      </c>
      <c r="V46" s="78">
        <f t="shared" si="138"/>
        <v>0.2213855025145475</v>
      </c>
      <c r="W46" s="44">
        <f t="shared" si="139"/>
        <v>379676.13681244897</v>
      </c>
      <c r="X46" s="78">
        <f t="shared" si="140"/>
        <v>0.2213855025145475</v>
      </c>
      <c r="Y46" s="44">
        <f t="shared" si="141"/>
        <v>379676.13681244897</v>
      </c>
      <c r="Z46" s="78">
        <f t="shared" si="142"/>
        <v>0.21064272361041628</v>
      </c>
      <c r="AA46" s="44">
        <f t="shared" si="143"/>
        <v>379676.13681244897</v>
      </c>
      <c r="AB46" s="78">
        <f t="shared" si="144"/>
        <v>0.22044859598162558</v>
      </c>
      <c r="AC46" s="85">
        <f t="shared" si="157"/>
        <v>4556113.6417493876</v>
      </c>
      <c r="AD46" s="103">
        <v>0.06</v>
      </c>
      <c r="AE46" s="78">
        <f t="shared" si="158"/>
        <v>0.22335684498741198</v>
      </c>
      <c r="AF46" s="87">
        <f t="shared" si="145"/>
        <v>402592.89560023556</v>
      </c>
      <c r="AG46" s="78">
        <f t="shared" si="158"/>
        <v>0.22335684498741198</v>
      </c>
      <c r="AH46" s="102">
        <f t="shared" si="146"/>
        <v>402592.89560023556</v>
      </c>
      <c r="AI46" s="78">
        <f t="shared" si="158"/>
        <v>0.22335684498741198</v>
      </c>
      <c r="AJ46" s="102">
        <f t="shared" si="147"/>
        <v>402592.89560023556</v>
      </c>
      <c r="AK46" s="78">
        <f t="shared" si="158"/>
        <v>0.22335684498741198</v>
      </c>
      <c r="AL46" s="102">
        <f t="shared" si="148"/>
        <v>402592.89560023556</v>
      </c>
      <c r="AM46" s="78">
        <f t="shared" si="158"/>
        <v>0.22335684498741198</v>
      </c>
      <c r="AN46" s="102">
        <f t="shared" si="149"/>
        <v>402592.89560023556</v>
      </c>
      <c r="AO46" s="78">
        <f t="shared" si="158"/>
        <v>0.22123513176946641</v>
      </c>
      <c r="AP46" s="102">
        <f t="shared" si="150"/>
        <v>398768.58178485127</v>
      </c>
      <c r="AQ46" s="78">
        <f t="shared" si="158"/>
        <v>0.21697118958075928</v>
      </c>
      <c r="AR46" s="102">
        <f t="shared" si="151"/>
        <v>391082.97522768326</v>
      </c>
      <c r="AS46" s="78">
        <f t="shared" si="158"/>
        <v>0.21580590757034643</v>
      </c>
      <c r="AT46" s="102">
        <f t="shared" si="152"/>
        <v>388982.59518878447</v>
      </c>
      <c r="AU46" s="78">
        <f t="shared" si="158"/>
        <v>0.21580590757034643</v>
      </c>
      <c r="AV46" s="102">
        <f t="shared" si="153"/>
        <v>388982.59518878447</v>
      </c>
      <c r="AW46" s="78">
        <f t="shared" si="158"/>
        <v>0.21580590757034643</v>
      </c>
      <c r="AX46" s="102">
        <f t="shared" si="154"/>
        <v>388982.59518878447</v>
      </c>
      <c r="AY46" s="78">
        <f t="shared" si="158"/>
        <v>0.21580590757034643</v>
      </c>
      <c r="AZ46" s="102">
        <f t="shared" si="155"/>
        <v>388982.59518878447</v>
      </c>
      <c r="BA46" s="78">
        <f t="shared" si="158"/>
        <v>0.21293072696147672</v>
      </c>
      <c r="BB46" s="102">
        <f t="shared" si="156"/>
        <v>406828.19373897527</v>
      </c>
      <c r="BC46" s="78">
        <f t="shared" si="158"/>
        <v>0.21923057604874271</v>
      </c>
      <c r="BD46" s="85">
        <f t="shared" si="159"/>
        <v>4765574.6095078262</v>
      </c>
    </row>
    <row r="47" spans="2:56" outlineLevel="1" x14ac:dyDescent="0.2">
      <c r="B47" s="92">
        <f>B45*(1+B46)</f>
        <v>2102000</v>
      </c>
      <c r="C47" s="9" t="s">
        <v>7</v>
      </c>
      <c r="D47" s="78">
        <f t="shared" si="120"/>
        <v>0.22138550251454753</v>
      </c>
      <c r="E47" s="87">
        <f t="shared" si="121"/>
        <v>195040.62771531637</v>
      </c>
      <c r="F47" s="78">
        <f t="shared" si="122"/>
        <v>0.22138550251454753</v>
      </c>
      <c r="G47" s="44">
        <f t="shared" si="123"/>
        <v>195040.62771531637</v>
      </c>
      <c r="H47" s="78">
        <f t="shared" si="124"/>
        <v>0.22138550251454753</v>
      </c>
      <c r="I47" s="44">
        <f t="shared" si="125"/>
        <v>195040.62771531637</v>
      </c>
      <c r="J47" s="78">
        <f t="shared" si="126"/>
        <v>0.22138550251454753</v>
      </c>
      <c r="K47" s="44">
        <f t="shared" si="127"/>
        <v>195040.62771531637</v>
      </c>
      <c r="L47" s="78">
        <f t="shared" si="128"/>
        <v>0.22138550251454753</v>
      </c>
      <c r="M47" s="44">
        <f t="shared" si="129"/>
        <v>195040.62771531637</v>
      </c>
      <c r="N47" s="78">
        <f t="shared" si="130"/>
        <v>0.22138550251454753</v>
      </c>
      <c r="O47" s="44">
        <f t="shared" si="131"/>
        <v>195040.62771531637</v>
      </c>
      <c r="P47" s="78">
        <f t="shared" si="132"/>
        <v>0.22138550251454753</v>
      </c>
      <c r="Q47" s="44">
        <f t="shared" si="133"/>
        <v>195040.62771531637</v>
      </c>
      <c r="R47" s="78">
        <f t="shared" si="134"/>
        <v>0.2106427236104163</v>
      </c>
      <c r="S47" s="44">
        <f t="shared" si="135"/>
        <v>195040.62771531637</v>
      </c>
      <c r="T47" s="78">
        <f t="shared" si="136"/>
        <v>0.2106427236104163</v>
      </c>
      <c r="U47" s="44">
        <f t="shared" si="137"/>
        <v>195040.62771531637</v>
      </c>
      <c r="V47" s="78">
        <f t="shared" si="138"/>
        <v>0.2106427236104163</v>
      </c>
      <c r="W47" s="44">
        <f t="shared" si="139"/>
        <v>195040.62771531637</v>
      </c>
      <c r="X47" s="78">
        <f t="shared" si="140"/>
        <v>0.2106427236104163</v>
      </c>
      <c r="Y47" s="44">
        <f t="shared" si="141"/>
        <v>195040.62771531637</v>
      </c>
      <c r="Z47" s="78">
        <f t="shared" si="142"/>
        <v>0.2106427236104163</v>
      </c>
      <c r="AA47" s="44">
        <f t="shared" si="143"/>
        <v>195040.62771531637</v>
      </c>
      <c r="AB47" s="78">
        <f t="shared" si="144"/>
        <v>0.2167789498306463</v>
      </c>
      <c r="AC47" s="85">
        <f t="shared" si="157"/>
        <v>2340487.5325837964</v>
      </c>
      <c r="AD47" s="92">
        <f>AD45*(1+AD46)</f>
        <v>2232360</v>
      </c>
      <c r="AE47" s="78">
        <f t="shared" si="158"/>
        <v>0.22335684498741201</v>
      </c>
      <c r="AF47" s="87">
        <f t="shared" si="145"/>
        <v>206813.02683603938</v>
      </c>
      <c r="AG47" s="78">
        <f t="shared" si="158"/>
        <v>0.22335684498741201</v>
      </c>
      <c r="AH47" s="102">
        <f t="shared" si="146"/>
        <v>206813.02683603938</v>
      </c>
      <c r="AI47" s="78">
        <f t="shared" si="158"/>
        <v>0.22335684498741201</v>
      </c>
      <c r="AJ47" s="102">
        <f t="shared" si="147"/>
        <v>206813.02683603938</v>
      </c>
      <c r="AK47" s="78">
        <f t="shared" si="158"/>
        <v>0.22335684498741201</v>
      </c>
      <c r="AL47" s="102">
        <f t="shared" si="148"/>
        <v>206813.02683603938</v>
      </c>
      <c r="AM47" s="78">
        <f t="shared" si="158"/>
        <v>0.22335684498741201</v>
      </c>
      <c r="AN47" s="102">
        <f t="shared" si="149"/>
        <v>206813.02683603938</v>
      </c>
      <c r="AO47" s="78">
        <f t="shared" si="158"/>
        <v>0.22123513176946641</v>
      </c>
      <c r="AP47" s="102">
        <f t="shared" si="150"/>
        <v>204848.4667944338</v>
      </c>
      <c r="AQ47" s="78">
        <f t="shared" si="158"/>
        <v>0.21697118958075928</v>
      </c>
      <c r="AR47" s="102">
        <f t="shared" si="151"/>
        <v>200900.35053970202</v>
      </c>
      <c r="AS47" s="78">
        <f t="shared" si="158"/>
        <v>0.21580590757034643</v>
      </c>
      <c r="AT47" s="102">
        <f t="shared" si="152"/>
        <v>211810.66259066956</v>
      </c>
      <c r="AU47" s="78">
        <f t="shared" si="158"/>
        <v>0.21580590757034643</v>
      </c>
      <c r="AV47" s="102">
        <f t="shared" si="153"/>
        <v>211810.66259066956</v>
      </c>
      <c r="AW47" s="78">
        <f t="shared" si="158"/>
        <v>0.21580590757034643</v>
      </c>
      <c r="AX47" s="102">
        <f t="shared" si="154"/>
        <v>211810.66259066956</v>
      </c>
      <c r="AY47" s="78">
        <f t="shared" si="158"/>
        <v>0.21580590757034643</v>
      </c>
      <c r="AZ47" s="102">
        <f t="shared" si="155"/>
        <v>211810.66259066956</v>
      </c>
      <c r="BA47" s="78">
        <f t="shared" si="158"/>
        <v>0.21293072696147672</v>
      </c>
      <c r="BB47" s="102">
        <f t="shared" si="156"/>
        <v>208988.71060293715</v>
      </c>
      <c r="BC47" s="78">
        <f t="shared" si="158"/>
        <v>0.21916375324916426</v>
      </c>
      <c r="BD47" s="85">
        <f t="shared" si="159"/>
        <v>2496045.3124799482</v>
      </c>
    </row>
    <row r="48" spans="2:56" x14ac:dyDescent="0.2">
      <c r="B48" s="83" t="s">
        <v>80</v>
      </c>
      <c r="D48" s="84">
        <f t="shared" si="120"/>
        <v>0.2213855025145475</v>
      </c>
      <c r="E48" s="88">
        <f>SUM(E42:E47)</f>
        <v>2102000</v>
      </c>
      <c r="F48" s="84">
        <f t="shared" si="122"/>
        <v>0.2213855025145475</v>
      </c>
      <c r="G48" s="88">
        <f t="shared" ref="G48:AA48" si="160">SUM(G42:G47)</f>
        <v>2102000</v>
      </c>
      <c r="H48" s="84">
        <f t="shared" si="124"/>
        <v>0.2213855025145475</v>
      </c>
      <c r="I48" s="88">
        <f t="shared" si="160"/>
        <v>2102000</v>
      </c>
      <c r="J48" s="84">
        <f t="shared" si="126"/>
        <v>0.2213855025145475</v>
      </c>
      <c r="K48" s="88">
        <f t="shared" si="160"/>
        <v>2102000</v>
      </c>
      <c r="L48" s="84">
        <f t="shared" si="128"/>
        <v>0.2213855025145475</v>
      </c>
      <c r="M48" s="88">
        <f t="shared" si="160"/>
        <v>2102000</v>
      </c>
      <c r="N48" s="84">
        <f t="shared" si="130"/>
        <v>0.21125097359362829</v>
      </c>
      <c r="O48" s="88">
        <f t="shared" si="160"/>
        <v>2102000</v>
      </c>
      <c r="P48" s="84">
        <f t="shared" si="132"/>
        <v>0.20486082299512254</v>
      </c>
      <c r="Q48" s="88">
        <f t="shared" si="160"/>
        <v>2102000</v>
      </c>
      <c r="R48" s="84">
        <f t="shared" si="134"/>
        <v>0.20396765410687806</v>
      </c>
      <c r="S48" s="88">
        <f t="shared" si="160"/>
        <v>2102000</v>
      </c>
      <c r="T48" s="84">
        <f t="shared" si="136"/>
        <v>0.20396765410687806</v>
      </c>
      <c r="U48" s="88">
        <f t="shared" si="160"/>
        <v>2102000</v>
      </c>
      <c r="V48" s="84">
        <f t="shared" si="138"/>
        <v>0.20396765410687806</v>
      </c>
      <c r="W48" s="88">
        <f t="shared" si="160"/>
        <v>2102000</v>
      </c>
      <c r="X48" s="84">
        <f t="shared" si="140"/>
        <v>0.20396765410687806</v>
      </c>
      <c r="Y48" s="88">
        <f t="shared" si="160"/>
        <v>2102000</v>
      </c>
      <c r="Z48" s="84">
        <f t="shared" si="142"/>
        <v>0.20225111456047726</v>
      </c>
      <c r="AA48" s="88">
        <f t="shared" si="160"/>
        <v>2102000</v>
      </c>
      <c r="AB48" s="84">
        <f t="shared" si="144"/>
        <v>0.2114335959246279</v>
      </c>
      <c r="AC48" s="85">
        <f t="shared" si="157"/>
        <v>25224000</v>
      </c>
      <c r="AD48" s="43"/>
      <c r="AE48" s="84">
        <f t="shared" si="158"/>
        <v>0.22335684498741198</v>
      </c>
      <c r="AF48" s="88">
        <f>SUM(AF42:AF47)</f>
        <v>2232360</v>
      </c>
      <c r="AG48" s="84">
        <f t="shared" si="158"/>
        <v>0.22335684498741198</v>
      </c>
      <c r="AH48" s="88">
        <f>SUM(AH42:AH47)</f>
        <v>2232360</v>
      </c>
      <c r="AI48" s="84">
        <f t="shared" si="158"/>
        <v>0.22335684498741198</v>
      </c>
      <c r="AJ48" s="88">
        <f>SUM(AJ42:AJ47)</f>
        <v>2232360</v>
      </c>
      <c r="AK48" s="84">
        <f t="shared" si="158"/>
        <v>0.22335684498741198</v>
      </c>
      <c r="AL48" s="88">
        <f>SUM(AL42:AL47)</f>
        <v>2232360</v>
      </c>
      <c r="AM48" s="84">
        <f t="shared" si="158"/>
        <v>0.22335684498741198</v>
      </c>
      <c r="AN48" s="88">
        <f>SUM(AN42:AN47)</f>
        <v>2232360</v>
      </c>
      <c r="AO48" s="84">
        <f t="shared" si="158"/>
        <v>0.22123513176946638</v>
      </c>
      <c r="AP48" s="88">
        <f>SUM(AP42:AP47)</f>
        <v>2232360</v>
      </c>
      <c r="AQ48" s="84">
        <f t="shared" si="158"/>
        <v>0.21697118958075928</v>
      </c>
      <c r="AR48" s="88">
        <f>SUM(AR42:AR47)</f>
        <v>2232360</v>
      </c>
      <c r="AS48" s="84">
        <f t="shared" si="158"/>
        <v>0.21580590757034643</v>
      </c>
      <c r="AT48" s="88">
        <f>SUM(AT42:AT47)</f>
        <v>2232360</v>
      </c>
      <c r="AU48" s="84">
        <f t="shared" si="158"/>
        <v>0.21580590757034643</v>
      </c>
      <c r="AV48" s="88">
        <f>SUM(AV42:AV47)</f>
        <v>2232360</v>
      </c>
      <c r="AW48" s="84">
        <f t="shared" si="158"/>
        <v>0.21580590757034643</v>
      </c>
      <c r="AX48" s="88">
        <f>SUM(AX42:AX47)</f>
        <v>2232360</v>
      </c>
      <c r="AY48" s="84">
        <f t="shared" si="158"/>
        <v>0.21580590757034643</v>
      </c>
      <c r="AZ48" s="88">
        <f>SUM(AZ42:AZ47)</f>
        <v>2232360</v>
      </c>
      <c r="BA48" s="84">
        <f t="shared" si="158"/>
        <v>0.21293072696147677</v>
      </c>
      <c r="BB48" s="88">
        <f>SUM(BB42:BB47)</f>
        <v>2232360.0000000005</v>
      </c>
      <c r="BC48" s="84">
        <f t="shared" si="158"/>
        <v>0.21919319763790038</v>
      </c>
      <c r="BD48" s="85">
        <f t="shared" si="159"/>
        <v>26788320</v>
      </c>
    </row>
    <row r="49" spans="2:56" x14ac:dyDescent="0.2">
      <c r="B49" s="52"/>
      <c r="D49" s="90"/>
      <c r="E49" s="80"/>
      <c r="F49" s="90"/>
      <c r="G49" s="80"/>
      <c r="H49" s="90"/>
      <c r="I49" s="80"/>
      <c r="J49" s="90"/>
      <c r="K49" s="80"/>
      <c r="L49" s="90"/>
      <c r="M49" s="80"/>
      <c r="N49" s="90"/>
      <c r="O49" s="80"/>
      <c r="P49" s="90"/>
      <c r="Q49" s="80"/>
      <c r="R49" s="90"/>
      <c r="S49" s="80"/>
      <c r="T49" s="90"/>
      <c r="U49" s="80"/>
      <c r="V49" s="90"/>
      <c r="W49" s="80"/>
      <c r="X49" s="90"/>
      <c r="Y49" s="80"/>
      <c r="Z49" s="90"/>
      <c r="AA49" s="80"/>
      <c r="AB49" s="90"/>
      <c r="AC49" s="43"/>
      <c r="AD49" s="43"/>
      <c r="AE49" s="90"/>
      <c r="AF49" s="80"/>
      <c r="AG49" s="90"/>
      <c r="AH49" s="80"/>
      <c r="AI49" s="90"/>
      <c r="AJ49" s="80"/>
      <c r="AK49" s="90"/>
      <c r="AL49" s="80"/>
      <c r="AM49" s="90"/>
      <c r="AN49" s="80"/>
      <c r="AO49" s="90"/>
      <c r="AP49" s="80"/>
      <c r="AQ49" s="90"/>
      <c r="AR49" s="80"/>
      <c r="AS49" s="90"/>
      <c r="AT49" s="80"/>
      <c r="AU49" s="90"/>
      <c r="AV49" s="80"/>
      <c r="AW49" s="90"/>
      <c r="AX49" s="80"/>
      <c r="AY49" s="90"/>
      <c r="AZ49" s="80"/>
      <c r="BA49" s="90"/>
      <c r="BB49" s="80"/>
      <c r="BC49" s="90"/>
      <c r="BD49" s="43"/>
    </row>
    <row r="50" spans="2:56" outlineLevel="1" x14ac:dyDescent="0.2">
      <c r="C50" s="9" t="s">
        <v>1</v>
      </c>
      <c r="D50" s="78">
        <f>E50/E5</f>
        <v>0.2</v>
      </c>
      <c r="E50" s="37">
        <f t="shared" ref="E50:E55" si="161">$B$55*E5</f>
        <v>346830</v>
      </c>
      <c r="F50" s="78">
        <f>G50/G5</f>
        <v>0.2</v>
      </c>
      <c r="G50" s="37">
        <f t="shared" ref="G50:G55" si="162">$B$55*G5</f>
        <v>346830</v>
      </c>
      <c r="H50" s="78">
        <f t="shared" ref="H50:H56" si="163">I50/I5</f>
        <v>0.2</v>
      </c>
      <c r="I50" s="37">
        <f t="shared" ref="I50:I55" si="164">$B$55*I5</f>
        <v>346830</v>
      </c>
      <c r="J50" s="78">
        <f t="shared" ref="J50:J56" si="165">K50/K5</f>
        <v>0.2</v>
      </c>
      <c r="K50" s="37">
        <f t="shared" ref="K50:K55" si="166">$B$55*K5</f>
        <v>346830</v>
      </c>
      <c r="L50" s="78">
        <f t="shared" ref="L50:L56" si="167">M50/M5</f>
        <v>0.2</v>
      </c>
      <c r="M50" s="37">
        <f t="shared" ref="M50:M55" si="168">$B$55*M5</f>
        <v>346830</v>
      </c>
      <c r="N50" s="78">
        <f t="shared" ref="N50:N56" si="169">O50/O5</f>
        <v>0.2</v>
      </c>
      <c r="O50" s="37">
        <f t="shared" ref="O50:O55" si="170">$B$55*O5</f>
        <v>346830</v>
      </c>
      <c r="P50" s="78">
        <f t="shared" ref="P50:P56" si="171">Q50/Q5</f>
        <v>0.2</v>
      </c>
      <c r="Q50" s="37">
        <f t="shared" ref="Q50:Q55" si="172">$B$55*Q5</f>
        <v>346830</v>
      </c>
      <c r="R50" s="78">
        <f t="shared" ref="R50:R56" si="173">S50/S5</f>
        <v>0.2</v>
      </c>
      <c r="S50" s="37">
        <f t="shared" ref="S50:S55" si="174">$B$55*S5</f>
        <v>346830</v>
      </c>
      <c r="T50" s="78">
        <f t="shared" ref="T50:T56" si="175">U50/U5</f>
        <v>0.2</v>
      </c>
      <c r="U50" s="37">
        <f t="shared" ref="U50:U55" si="176">$B$55*U5</f>
        <v>346830</v>
      </c>
      <c r="V50" s="78">
        <f t="shared" ref="V50:V56" si="177">W50/W5</f>
        <v>0.2</v>
      </c>
      <c r="W50" s="37">
        <f t="shared" ref="W50:W55" si="178">$B$55*W5</f>
        <v>346830</v>
      </c>
      <c r="X50" s="78">
        <f t="shared" ref="X50:X56" si="179">Y50/Y5</f>
        <v>0.2</v>
      </c>
      <c r="Y50" s="37">
        <f t="shared" ref="Y50:Y55" si="180">$B$55*Y5</f>
        <v>346830</v>
      </c>
      <c r="Z50" s="78">
        <f t="shared" ref="Z50:Z56" si="181">AA50/AA5</f>
        <v>0.2</v>
      </c>
      <c r="AA50" s="37">
        <f t="shared" ref="AA50:AA55" si="182">$B$55*AA5</f>
        <v>346830</v>
      </c>
      <c r="AB50" s="78">
        <f t="shared" ref="AB50:AB56" si="183">AC50/AC5</f>
        <v>0.2</v>
      </c>
      <c r="AC50" s="85">
        <f>E50+G50+I50+K50+M50+O50+Q50+S50+U50+W50+Y50+AA50</f>
        <v>4161960</v>
      </c>
      <c r="AD50" s="43"/>
      <c r="AE50" s="78">
        <f>AF50/AF5</f>
        <v>0.20000000000000004</v>
      </c>
      <c r="AF50" s="37">
        <f t="shared" ref="AF50:AF55" si="184">$AD$55*AF5</f>
        <v>367639.80000000005</v>
      </c>
      <c r="AG50" s="78">
        <f>AH50/AH5</f>
        <v>0.20000000000000004</v>
      </c>
      <c r="AH50" s="37">
        <f t="shared" ref="AH50:AH55" si="185">$AD$55*AH5</f>
        <v>367639.80000000005</v>
      </c>
      <c r="AI50" s="78">
        <f>AJ50/AJ5</f>
        <v>0.20000000000000004</v>
      </c>
      <c r="AJ50" s="37">
        <f t="shared" ref="AJ50:AJ55" si="186">$AD$55*AJ5</f>
        <v>367639.80000000005</v>
      </c>
      <c r="AK50" s="78">
        <f>AL50/AL5</f>
        <v>0.20000000000000004</v>
      </c>
      <c r="AL50" s="37">
        <f t="shared" ref="AL50:AL55" si="187">$AD$55*AL5</f>
        <v>367639.80000000005</v>
      </c>
      <c r="AM50" s="78">
        <f>AN50/AN5</f>
        <v>0.20000000000000004</v>
      </c>
      <c r="AN50" s="37">
        <f t="shared" ref="AN50:AN55" si="188">$AD$55*AN5</f>
        <v>367639.80000000005</v>
      </c>
      <c r="AO50" s="78">
        <f>AP50/AP5</f>
        <v>0.20000000000000004</v>
      </c>
      <c r="AP50" s="37">
        <f t="shared" ref="AP50:AP55" si="189">$AD$55*AP5</f>
        <v>367639.80000000005</v>
      </c>
      <c r="AQ50" s="78">
        <f>AR50/AR5</f>
        <v>0.20000000000000004</v>
      </c>
      <c r="AR50" s="37">
        <f t="shared" ref="AR50:AR55" si="190">$AD$55*AR5</f>
        <v>367639.80000000005</v>
      </c>
      <c r="AS50" s="78">
        <f>AT50/AT5</f>
        <v>0.20000000000000004</v>
      </c>
      <c r="AT50" s="37">
        <f t="shared" ref="AT50:AT55" si="191">$AD$55*AT5</f>
        <v>367639.80000000005</v>
      </c>
      <c r="AU50" s="78">
        <f>AV50/AV5</f>
        <v>0.20000000000000004</v>
      </c>
      <c r="AV50" s="37">
        <f t="shared" ref="AV50:AV55" si="192">$AD$55*AV5</f>
        <v>367639.80000000005</v>
      </c>
      <c r="AW50" s="78">
        <f>AX50/AX5</f>
        <v>0.20000000000000004</v>
      </c>
      <c r="AX50" s="37">
        <f t="shared" ref="AX50:AX55" si="193">$AD$55*AX5</f>
        <v>367639.80000000005</v>
      </c>
      <c r="AY50" s="78">
        <f>AZ50/AZ5</f>
        <v>0.20000000000000004</v>
      </c>
      <c r="AZ50" s="37">
        <f t="shared" ref="AZ50:AZ55" si="194">$AD$55*AZ5</f>
        <v>367639.80000000005</v>
      </c>
      <c r="BA50" s="78">
        <f>BB50/BB5</f>
        <v>0.20000000000000004</v>
      </c>
      <c r="BB50" s="37">
        <f t="shared" ref="BB50:BB55" si="195">$AD$55*BB5</f>
        <v>367639.80000000005</v>
      </c>
      <c r="BC50" s="78">
        <f>BD50/BD5</f>
        <v>0.19999999999999998</v>
      </c>
      <c r="BD50" s="85">
        <f>AF50+AH50+AJ50+AL50+AN50+AP50+AR50+AT50+AV50+AX50+AZ50+BB50</f>
        <v>4411677.5999999996</v>
      </c>
    </row>
    <row r="51" spans="2:56" outlineLevel="1" x14ac:dyDescent="0.2">
      <c r="C51" s="9" t="s">
        <v>46</v>
      </c>
      <c r="D51" s="78">
        <f t="shared" ref="D51:F56" si="196">E51/E6</f>
        <v>0.2</v>
      </c>
      <c r="E51" s="37">
        <f t="shared" si="161"/>
        <v>628920</v>
      </c>
      <c r="F51" s="78">
        <f t="shared" si="196"/>
        <v>0.2</v>
      </c>
      <c r="G51" s="37">
        <f t="shared" si="162"/>
        <v>628920</v>
      </c>
      <c r="H51" s="78">
        <f t="shared" si="163"/>
        <v>0.2</v>
      </c>
      <c r="I51" s="37">
        <f t="shared" si="164"/>
        <v>628920</v>
      </c>
      <c r="J51" s="78">
        <f t="shared" si="165"/>
        <v>0.2</v>
      </c>
      <c r="K51" s="37">
        <f t="shared" si="166"/>
        <v>628920</v>
      </c>
      <c r="L51" s="78">
        <f t="shared" si="167"/>
        <v>0.2</v>
      </c>
      <c r="M51" s="37">
        <f t="shared" si="168"/>
        <v>628920</v>
      </c>
      <c r="N51" s="78">
        <f t="shared" si="169"/>
        <v>0.2</v>
      </c>
      <c r="O51" s="37">
        <f t="shared" si="170"/>
        <v>628920</v>
      </c>
      <c r="P51" s="78">
        <f t="shared" si="171"/>
        <v>0.2</v>
      </c>
      <c r="Q51" s="37">
        <f t="shared" si="172"/>
        <v>660994.91999999993</v>
      </c>
      <c r="R51" s="78">
        <f t="shared" si="173"/>
        <v>0.2</v>
      </c>
      <c r="S51" s="37">
        <f t="shared" si="174"/>
        <v>660994.91999999993</v>
      </c>
      <c r="T51" s="78">
        <f t="shared" si="175"/>
        <v>0.2</v>
      </c>
      <c r="U51" s="37">
        <f t="shared" si="176"/>
        <v>660994.91999999993</v>
      </c>
      <c r="V51" s="78">
        <f t="shared" si="177"/>
        <v>0.2</v>
      </c>
      <c r="W51" s="37">
        <f t="shared" si="178"/>
        <v>660994.91999999993</v>
      </c>
      <c r="X51" s="78">
        <f t="shared" si="179"/>
        <v>0.2</v>
      </c>
      <c r="Y51" s="37">
        <f t="shared" si="180"/>
        <v>660994.91999999993</v>
      </c>
      <c r="Z51" s="78">
        <f t="shared" si="181"/>
        <v>0.2</v>
      </c>
      <c r="AA51" s="37">
        <f t="shared" si="182"/>
        <v>660994.91999999993</v>
      </c>
      <c r="AB51" s="78">
        <f t="shared" si="183"/>
        <v>0.19999999999999996</v>
      </c>
      <c r="AC51" s="85">
        <f t="shared" ref="AC51:AC56" si="197">E51+G51+I51+K51+M51+O51+Q51+S51+U51+W51+Y51+AA51</f>
        <v>7739489.5199999996</v>
      </c>
      <c r="AD51" s="43"/>
      <c r="AE51" s="78">
        <f t="shared" ref="AE51:BC56" si="198">AF51/AF6</f>
        <v>0.2</v>
      </c>
      <c r="AF51" s="37">
        <f t="shared" si="184"/>
        <v>660994.91999999993</v>
      </c>
      <c r="AG51" s="78">
        <f t="shared" si="198"/>
        <v>0.2</v>
      </c>
      <c r="AH51" s="37">
        <f t="shared" si="185"/>
        <v>660994.91999999993</v>
      </c>
      <c r="AI51" s="78">
        <f t="shared" si="198"/>
        <v>0.2</v>
      </c>
      <c r="AJ51" s="37">
        <f t="shared" si="186"/>
        <v>660994.91999999993</v>
      </c>
      <c r="AK51" s="78">
        <f t="shared" si="198"/>
        <v>0.2</v>
      </c>
      <c r="AL51" s="37">
        <f t="shared" si="187"/>
        <v>660994.91999999993</v>
      </c>
      <c r="AM51" s="78">
        <f t="shared" si="198"/>
        <v>0.2</v>
      </c>
      <c r="AN51" s="37">
        <f t="shared" si="188"/>
        <v>660994.91999999993</v>
      </c>
      <c r="AO51" s="78">
        <f t="shared" si="198"/>
        <v>0.2</v>
      </c>
      <c r="AP51" s="37">
        <f t="shared" si="189"/>
        <v>660994.91999999993</v>
      </c>
      <c r="AQ51" s="78">
        <f t="shared" si="198"/>
        <v>0.2</v>
      </c>
      <c r="AR51" s="37">
        <f t="shared" si="190"/>
        <v>700654.6152</v>
      </c>
      <c r="AS51" s="78">
        <f t="shared" si="198"/>
        <v>0.2</v>
      </c>
      <c r="AT51" s="37">
        <f t="shared" si="191"/>
        <v>700654.6152</v>
      </c>
      <c r="AU51" s="78">
        <f t="shared" si="198"/>
        <v>0.2</v>
      </c>
      <c r="AV51" s="37">
        <f t="shared" si="192"/>
        <v>700654.6152</v>
      </c>
      <c r="AW51" s="78">
        <f t="shared" si="198"/>
        <v>0.2</v>
      </c>
      <c r="AX51" s="37">
        <f t="shared" si="193"/>
        <v>700654.6152</v>
      </c>
      <c r="AY51" s="78">
        <f t="shared" si="198"/>
        <v>0.2</v>
      </c>
      <c r="AZ51" s="37">
        <f t="shared" si="194"/>
        <v>700654.6152</v>
      </c>
      <c r="BA51" s="78">
        <f t="shared" si="198"/>
        <v>0.2</v>
      </c>
      <c r="BB51" s="37">
        <f t="shared" si="195"/>
        <v>700654.6152</v>
      </c>
      <c r="BC51" s="78">
        <f t="shared" si="198"/>
        <v>0.2</v>
      </c>
      <c r="BD51" s="85">
        <f t="shared" ref="BD51:BD56" si="199">AF51+AH51+AJ51+AL51+AN51+AP51+AR51+AT51+AV51+AX51+AZ51+BB51</f>
        <v>8169897.2111999989</v>
      </c>
    </row>
    <row r="52" spans="2:56" outlineLevel="1" x14ac:dyDescent="0.2">
      <c r="C52" s="9" t="s">
        <v>0</v>
      </c>
      <c r="D52" s="78">
        <f t="shared" si="196"/>
        <v>0.2</v>
      </c>
      <c r="E52" s="37">
        <f t="shared" si="161"/>
        <v>304000</v>
      </c>
      <c r="F52" s="78">
        <f t="shared" si="196"/>
        <v>0.2</v>
      </c>
      <c r="G52" s="37">
        <f t="shared" si="162"/>
        <v>304000</v>
      </c>
      <c r="H52" s="78">
        <f t="shared" si="163"/>
        <v>0.2</v>
      </c>
      <c r="I52" s="37">
        <f t="shared" si="164"/>
        <v>304000</v>
      </c>
      <c r="J52" s="78">
        <f t="shared" si="165"/>
        <v>0.2</v>
      </c>
      <c r="K52" s="37">
        <f t="shared" si="166"/>
        <v>304000</v>
      </c>
      <c r="L52" s="78">
        <f t="shared" si="167"/>
        <v>0.2</v>
      </c>
      <c r="M52" s="37">
        <f t="shared" si="168"/>
        <v>304000</v>
      </c>
      <c r="N52" s="78">
        <f t="shared" si="169"/>
        <v>0.2</v>
      </c>
      <c r="O52" s="37">
        <f t="shared" si="170"/>
        <v>390000</v>
      </c>
      <c r="P52" s="78">
        <f t="shared" si="171"/>
        <v>0.2</v>
      </c>
      <c r="Q52" s="37">
        <f t="shared" si="172"/>
        <v>420000</v>
      </c>
      <c r="R52" s="78">
        <f t="shared" si="173"/>
        <v>0.2</v>
      </c>
      <c r="S52" s="37">
        <f t="shared" si="174"/>
        <v>420000</v>
      </c>
      <c r="T52" s="78">
        <f t="shared" si="175"/>
        <v>0.2</v>
      </c>
      <c r="U52" s="37">
        <f t="shared" si="176"/>
        <v>420000</v>
      </c>
      <c r="V52" s="78">
        <f t="shared" si="177"/>
        <v>0.2</v>
      </c>
      <c r="W52" s="37">
        <f t="shared" si="178"/>
        <v>420000</v>
      </c>
      <c r="X52" s="78">
        <f t="shared" si="179"/>
        <v>0.2</v>
      </c>
      <c r="Y52" s="37">
        <f t="shared" si="180"/>
        <v>420000</v>
      </c>
      <c r="Z52" s="78">
        <f t="shared" si="181"/>
        <v>0.2</v>
      </c>
      <c r="AA52" s="37">
        <f t="shared" si="182"/>
        <v>420000</v>
      </c>
      <c r="AB52" s="78">
        <f t="shared" si="183"/>
        <v>0.2</v>
      </c>
      <c r="AC52" s="85">
        <f t="shared" si="197"/>
        <v>4430000</v>
      </c>
      <c r="AD52" s="43"/>
      <c r="AE52" s="78">
        <f t="shared" si="198"/>
        <v>0.2</v>
      </c>
      <c r="AF52" s="37">
        <f t="shared" si="184"/>
        <v>319504</v>
      </c>
      <c r="AG52" s="78">
        <f t="shared" si="198"/>
        <v>0.2</v>
      </c>
      <c r="AH52" s="37">
        <f t="shared" si="185"/>
        <v>319504</v>
      </c>
      <c r="AI52" s="78">
        <f t="shared" si="198"/>
        <v>0.2</v>
      </c>
      <c r="AJ52" s="37">
        <f t="shared" si="186"/>
        <v>319504</v>
      </c>
      <c r="AK52" s="78">
        <f t="shared" si="198"/>
        <v>0.2</v>
      </c>
      <c r="AL52" s="37">
        <f t="shared" si="187"/>
        <v>319504</v>
      </c>
      <c r="AM52" s="78">
        <f t="shared" si="198"/>
        <v>0.2</v>
      </c>
      <c r="AN52" s="37">
        <f t="shared" si="188"/>
        <v>319504</v>
      </c>
      <c r="AO52" s="78">
        <f t="shared" si="198"/>
        <v>0.2</v>
      </c>
      <c r="AP52" s="37">
        <f t="shared" si="189"/>
        <v>338674.24000000005</v>
      </c>
      <c r="AQ52" s="78">
        <f t="shared" si="198"/>
        <v>0.2</v>
      </c>
      <c r="AR52" s="37">
        <f t="shared" si="190"/>
        <v>338674.24000000005</v>
      </c>
      <c r="AS52" s="78">
        <f t="shared" si="198"/>
        <v>0.2</v>
      </c>
      <c r="AT52" s="37">
        <f t="shared" si="191"/>
        <v>338674.24000000005</v>
      </c>
      <c r="AU52" s="78">
        <f t="shared" si="198"/>
        <v>0.2</v>
      </c>
      <c r="AV52" s="37">
        <f t="shared" si="192"/>
        <v>338674.24000000005</v>
      </c>
      <c r="AW52" s="78">
        <f t="shared" si="198"/>
        <v>0.2</v>
      </c>
      <c r="AX52" s="37">
        <f t="shared" si="193"/>
        <v>338674.24000000005</v>
      </c>
      <c r="AY52" s="78">
        <f t="shared" si="198"/>
        <v>0.2</v>
      </c>
      <c r="AZ52" s="37">
        <f t="shared" si="194"/>
        <v>338674.24000000005</v>
      </c>
      <c r="BA52" s="78">
        <f t="shared" si="198"/>
        <v>0.2</v>
      </c>
      <c r="BB52" s="37">
        <f t="shared" si="195"/>
        <v>338674.24000000005</v>
      </c>
      <c r="BC52" s="78">
        <f t="shared" si="198"/>
        <v>0.20000000000000009</v>
      </c>
      <c r="BD52" s="85">
        <f t="shared" si="199"/>
        <v>3968239.6800000011</v>
      </c>
    </row>
    <row r="53" spans="2:56" outlineLevel="1" x14ac:dyDescent="0.2">
      <c r="C53" s="9" t="s">
        <v>6</v>
      </c>
      <c r="D53" s="78">
        <f t="shared" si="196"/>
        <v>0.2</v>
      </c>
      <c r="E53" s="37">
        <f t="shared" si="161"/>
        <v>100000</v>
      </c>
      <c r="F53" s="78">
        <f t="shared" si="196"/>
        <v>0.2</v>
      </c>
      <c r="G53" s="37">
        <f t="shared" si="162"/>
        <v>100000</v>
      </c>
      <c r="H53" s="78">
        <f t="shared" si="163"/>
        <v>0.2</v>
      </c>
      <c r="I53" s="37">
        <f t="shared" si="164"/>
        <v>100000</v>
      </c>
      <c r="J53" s="78">
        <f t="shared" si="165"/>
        <v>0.2</v>
      </c>
      <c r="K53" s="37">
        <f t="shared" si="166"/>
        <v>100000</v>
      </c>
      <c r="L53" s="78">
        <f t="shared" si="167"/>
        <v>0.2</v>
      </c>
      <c r="M53" s="37">
        <f t="shared" si="168"/>
        <v>100000</v>
      </c>
      <c r="N53" s="78">
        <f t="shared" si="169"/>
        <v>0.2</v>
      </c>
      <c r="O53" s="37">
        <f t="shared" si="170"/>
        <v>105100</v>
      </c>
      <c r="P53" s="78">
        <f t="shared" si="171"/>
        <v>0.2</v>
      </c>
      <c r="Q53" s="37">
        <f t="shared" si="172"/>
        <v>105100</v>
      </c>
      <c r="R53" s="78">
        <f t="shared" si="173"/>
        <v>0.2</v>
      </c>
      <c r="S53" s="37">
        <f t="shared" si="174"/>
        <v>105100</v>
      </c>
      <c r="T53" s="78">
        <f t="shared" si="175"/>
        <v>0.2</v>
      </c>
      <c r="U53" s="37">
        <f t="shared" si="176"/>
        <v>105100</v>
      </c>
      <c r="V53" s="78">
        <f t="shared" si="177"/>
        <v>0.2</v>
      </c>
      <c r="W53" s="37">
        <f t="shared" si="178"/>
        <v>105100</v>
      </c>
      <c r="X53" s="78">
        <f t="shared" si="179"/>
        <v>0.2</v>
      </c>
      <c r="Y53" s="37">
        <f t="shared" si="180"/>
        <v>105100</v>
      </c>
      <c r="Z53" s="78">
        <f t="shared" si="181"/>
        <v>0.2</v>
      </c>
      <c r="AA53" s="37">
        <f t="shared" si="182"/>
        <v>105100</v>
      </c>
      <c r="AB53" s="78">
        <f t="shared" si="183"/>
        <v>0.2</v>
      </c>
      <c r="AC53" s="85">
        <f t="shared" si="197"/>
        <v>1235700</v>
      </c>
      <c r="AD53" s="43"/>
      <c r="AE53" s="78">
        <f t="shared" si="198"/>
        <v>0.2</v>
      </c>
      <c r="AF53" s="37">
        <f t="shared" si="184"/>
        <v>105100</v>
      </c>
      <c r="AG53" s="78">
        <f t="shared" si="198"/>
        <v>0.2</v>
      </c>
      <c r="AH53" s="37">
        <f t="shared" si="185"/>
        <v>105100</v>
      </c>
      <c r="AI53" s="78">
        <f t="shared" si="198"/>
        <v>0.2</v>
      </c>
      <c r="AJ53" s="37">
        <f t="shared" si="186"/>
        <v>105100</v>
      </c>
      <c r="AK53" s="78">
        <f t="shared" si="198"/>
        <v>0.2</v>
      </c>
      <c r="AL53" s="37">
        <f t="shared" si="187"/>
        <v>105100</v>
      </c>
      <c r="AM53" s="78">
        <f t="shared" si="198"/>
        <v>0.2</v>
      </c>
      <c r="AN53" s="37">
        <f t="shared" si="188"/>
        <v>105100</v>
      </c>
      <c r="AO53" s="78">
        <f t="shared" si="198"/>
        <v>0.2</v>
      </c>
      <c r="AP53" s="37">
        <f t="shared" si="189"/>
        <v>105100</v>
      </c>
      <c r="AQ53" s="78">
        <f t="shared" si="198"/>
        <v>0.2</v>
      </c>
      <c r="AR53" s="37">
        <f t="shared" si="190"/>
        <v>105100</v>
      </c>
      <c r="AS53" s="78">
        <f t="shared" si="198"/>
        <v>0.2</v>
      </c>
      <c r="AT53" s="37">
        <f t="shared" si="191"/>
        <v>105100</v>
      </c>
      <c r="AU53" s="78">
        <f t="shared" si="198"/>
        <v>0.2</v>
      </c>
      <c r="AV53" s="37">
        <f t="shared" si="192"/>
        <v>105100</v>
      </c>
      <c r="AW53" s="78">
        <f t="shared" si="198"/>
        <v>0.2</v>
      </c>
      <c r="AX53" s="37">
        <f t="shared" si="193"/>
        <v>105100</v>
      </c>
      <c r="AY53" s="78">
        <f t="shared" si="198"/>
        <v>0.2</v>
      </c>
      <c r="AZ53" s="37">
        <f t="shared" si="194"/>
        <v>105100</v>
      </c>
      <c r="BA53" s="78">
        <f t="shared" si="198"/>
        <v>0.2</v>
      </c>
      <c r="BB53" s="37">
        <f t="shared" si="195"/>
        <v>111406</v>
      </c>
      <c r="BC53" s="78">
        <f t="shared" si="198"/>
        <v>0.2</v>
      </c>
      <c r="BD53" s="85">
        <f t="shared" si="199"/>
        <v>1267506</v>
      </c>
    </row>
    <row r="54" spans="2:56" outlineLevel="1" x14ac:dyDescent="0.2">
      <c r="C54" s="9" t="s">
        <v>77</v>
      </c>
      <c r="D54" s="78">
        <f t="shared" si="196"/>
        <v>0.2</v>
      </c>
      <c r="E54" s="37">
        <f t="shared" si="161"/>
        <v>343000</v>
      </c>
      <c r="F54" s="78">
        <f t="shared" si="196"/>
        <v>0.2</v>
      </c>
      <c r="G54" s="37">
        <f t="shared" si="162"/>
        <v>343000</v>
      </c>
      <c r="H54" s="78">
        <f t="shared" si="163"/>
        <v>0.2</v>
      </c>
      <c r="I54" s="37">
        <f t="shared" si="164"/>
        <v>343000</v>
      </c>
      <c r="J54" s="78">
        <f t="shared" si="165"/>
        <v>0.2</v>
      </c>
      <c r="K54" s="37">
        <f t="shared" si="166"/>
        <v>343000</v>
      </c>
      <c r="L54" s="78">
        <f t="shared" si="167"/>
        <v>0.2</v>
      </c>
      <c r="M54" s="37">
        <f t="shared" si="168"/>
        <v>343000</v>
      </c>
      <c r="N54" s="78">
        <f t="shared" si="169"/>
        <v>0.2</v>
      </c>
      <c r="O54" s="37">
        <f t="shared" si="170"/>
        <v>343000</v>
      </c>
      <c r="P54" s="78">
        <f t="shared" si="171"/>
        <v>0.2</v>
      </c>
      <c r="Q54" s="37">
        <f t="shared" si="172"/>
        <v>343000</v>
      </c>
      <c r="R54" s="78">
        <f t="shared" si="173"/>
        <v>0.2</v>
      </c>
      <c r="S54" s="37">
        <f t="shared" si="174"/>
        <v>343000</v>
      </c>
      <c r="T54" s="78">
        <f t="shared" si="175"/>
        <v>0.2</v>
      </c>
      <c r="U54" s="37">
        <f t="shared" si="176"/>
        <v>343000</v>
      </c>
      <c r="V54" s="78">
        <f t="shared" si="177"/>
        <v>0.2</v>
      </c>
      <c r="W54" s="37">
        <f t="shared" si="178"/>
        <v>343000</v>
      </c>
      <c r="X54" s="78">
        <f t="shared" si="179"/>
        <v>0.2</v>
      </c>
      <c r="Y54" s="37">
        <f t="shared" si="180"/>
        <v>343000</v>
      </c>
      <c r="Z54" s="78">
        <f t="shared" si="181"/>
        <v>0.2</v>
      </c>
      <c r="AA54" s="37">
        <f t="shared" si="182"/>
        <v>360493</v>
      </c>
      <c r="AB54" s="78">
        <f t="shared" si="183"/>
        <v>0.2</v>
      </c>
      <c r="AC54" s="85">
        <f t="shared" si="197"/>
        <v>4133493</v>
      </c>
      <c r="AD54" s="43"/>
      <c r="AE54" s="78">
        <f t="shared" si="198"/>
        <v>0.2</v>
      </c>
      <c r="AF54" s="37">
        <f t="shared" si="184"/>
        <v>360493</v>
      </c>
      <c r="AG54" s="78">
        <f t="shared" si="198"/>
        <v>0.2</v>
      </c>
      <c r="AH54" s="37">
        <f t="shared" si="185"/>
        <v>360493</v>
      </c>
      <c r="AI54" s="78">
        <f t="shared" si="198"/>
        <v>0.2</v>
      </c>
      <c r="AJ54" s="37">
        <f t="shared" si="186"/>
        <v>360493</v>
      </c>
      <c r="AK54" s="78">
        <f t="shared" si="198"/>
        <v>0.2</v>
      </c>
      <c r="AL54" s="37">
        <f t="shared" si="187"/>
        <v>360493</v>
      </c>
      <c r="AM54" s="78">
        <f t="shared" si="198"/>
        <v>0.2</v>
      </c>
      <c r="AN54" s="37">
        <f t="shared" si="188"/>
        <v>360493</v>
      </c>
      <c r="AO54" s="78">
        <f t="shared" si="198"/>
        <v>0.2</v>
      </c>
      <c r="AP54" s="37">
        <f t="shared" si="189"/>
        <v>360493</v>
      </c>
      <c r="AQ54" s="78">
        <f t="shared" si="198"/>
        <v>0.2</v>
      </c>
      <c r="AR54" s="37">
        <f t="shared" si="190"/>
        <v>360493</v>
      </c>
      <c r="AS54" s="78">
        <f t="shared" si="198"/>
        <v>0.2</v>
      </c>
      <c r="AT54" s="37">
        <f t="shared" si="191"/>
        <v>360493</v>
      </c>
      <c r="AU54" s="78">
        <f t="shared" si="198"/>
        <v>0.2</v>
      </c>
      <c r="AV54" s="37">
        <f t="shared" si="192"/>
        <v>360493</v>
      </c>
      <c r="AW54" s="78">
        <f t="shared" si="198"/>
        <v>0.2</v>
      </c>
      <c r="AX54" s="37">
        <f t="shared" si="193"/>
        <v>360493</v>
      </c>
      <c r="AY54" s="78">
        <f t="shared" si="198"/>
        <v>0.2</v>
      </c>
      <c r="AZ54" s="37">
        <f t="shared" si="194"/>
        <v>360493</v>
      </c>
      <c r="BA54" s="78">
        <f t="shared" si="198"/>
        <v>0.2</v>
      </c>
      <c r="BB54" s="37">
        <f t="shared" si="195"/>
        <v>382122.58000000007</v>
      </c>
      <c r="BC54" s="78">
        <f t="shared" si="198"/>
        <v>0.2</v>
      </c>
      <c r="BD54" s="85">
        <f t="shared" si="199"/>
        <v>4347545.58</v>
      </c>
    </row>
    <row r="55" spans="2:56" outlineLevel="1" x14ac:dyDescent="0.2">
      <c r="B55" s="82">
        <v>0.2</v>
      </c>
      <c r="C55" s="9" t="s">
        <v>7</v>
      </c>
      <c r="D55" s="78">
        <f t="shared" si="196"/>
        <v>0.2</v>
      </c>
      <c r="E55" s="37">
        <f t="shared" si="161"/>
        <v>176200</v>
      </c>
      <c r="F55" s="78">
        <f t="shared" si="196"/>
        <v>0.2</v>
      </c>
      <c r="G55" s="37">
        <f t="shared" si="162"/>
        <v>176200</v>
      </c>
      <c r="H55" s="78">
        <f t="shared" si="163"/>
        <v>0.2</v>
      </c>
      <c r="I55" s="37">
        <f t="shared" si="164"/>
        <v>176200</v>
      </c>
      <c r="J55" s="78">
        <f t="shared" si="165"/>
        <v>0.2</v>
      </c>
      <c r="K55" s="37">
        <f t="shared" si="166"/>
        <v>176200</v>
      </c>
      <c r="L55" s="78">
        <f t="shared" si="167"/>
        <v>0.2</v>
      </c>
      <c r="M55" s="37">
        <f t="shared" si="168"/>
        <v>176200</v>
      </c>
      <c r="N55" s="78">
        <f t="shared" si="169"/>
        <v>0.2</v>
      </c>
      <c r="O55" s="37">
        <f t="shared" si="170"/>
        <v>176200</v>
      </c>
      <c r="P55" s="78">
        <f t="shared" si="171"/>
        <v>0.2</v>
      </c>
      <c r="Q55" s="37">
        <f t="shared" si="172"/>
        <v>176200</v>
      </c>
      <c r="R55" s="78">
        <f t="shared" si="173"/>
        <v>0.2</v>
      </c>
      <c r="S55" s="37">
        <f t="shared" si="174"/>
        <v>185186.2</v>
      </c>
      <c r="T55" s="78">
        <f t="shared" si="175"/>
        <v>0.2</v>
      </c>
      <c r="U55" s="37">
        <f t="shared" si="176"/>
        <v>185186.2</v>
      </c>
      <c r="V55" s="78">
        <f t="shared" si="177"/>
        <v>0.2</v>
      </c>
      <c r="W55" s="37">
        <f t="shared" si="178"/>
        <v>185186.2</v>
      </c>
      <c r="X55" s="78">
        <f t="shared" si="179"/>
        <v>0.2</v>
      </c>
      <c r="Y55" s="37">
        <f t="shared" si="180"/>
        <v>185186.2</v>
      </c>
      <c r="Z55" s="78">
        <f t="shared" si="181"/>
        <v>0.2</v>
      </c>
      <c r="AA55" s="37">
        <f t="shared" si="182"/>
        <v>185186.2</v>
      </c>
      <c r="AB55" s="78">
        <f t="shared" si="183"/>
        <v>0.2</v>
      </c>
      <c r="AC55" s="85">
        <f t="shared" si="197"/>
        <v>2159331</v>
      </c>
      <c r="AD55" s="82">
        <v>0.2</v>
      </c>
      <c r="AE55" s="78">
        <f t="shared" si="198"/>
        <v>0.2</v>
      </c>
      <c r="AF55" s="37">
        <f t="shared" si="184"/>
        <v>185186.2</v>
      </c>
      <c r="AG55" s="78">
        <f t="shared" si="198"/>
        <v>0.2</v>
      </c>
      <c r="AH55" s="37">
        <f t="shared" si="185"/>
        <v>185186.2</v>
      </c>
      <c r="AI55" s="78">
        <f t="shared" si="198"/>
        <v>0.2</v>
      </c>
      <c r="AJ55" s="37">
        <f t="shared" si="186"/>
        <v>185186.2</v>
      </c>
      <c r="AK55" s="78">
        <f t="shared" si="198"/>
        <v>0.2</v>
      </c>
      <c r="AL55" s="37">
        <f t="shared" si="187"/>
        <v>185186.2</v>
      </c>
      <c r="AM55" s="78">
        <f t="shared" si="198"/>
        <v>0.2</v>
      </c>
      <c r="AN55" s="37">
        <f t="shared" si="188"/>
        <v>185186.2</v>
      </c>
      <c r="AO55" s="78">
        <f t="shared" si="198"/>
        <v>0.2</v>
      </c>
      <c r="AP55" s="37">
        <f t="shared" si="189"/>
        <v>185186.2</v>
      </c>
      <c r="AQ55" s="78">
        <f t="shared" si="198"/>
        <v>0.2</v>
      </c>
      <c r="AR55" s="37">
        <f t="shared" si="190"/>
        <v>185186.2</v>
      </c>
      <c r="AS55" s="78">
        <f t="shared" si="198"/>
        <v>0.2</v>
      </c>
      <c r="AT55" s="37">
        <f t="shared" si="191"/>
        <v>196297.37200000003</v>
      </c>
      <c r="AU55" s="78">
        <f t="shared" si="198"/>
        <v>0.2</v>
      </c>
      <c r="AV55" s="37">
        <f t="shared" si="192"/>
        <v>196297.37200000003</v>
      </c>
      <c r="AW55" s="78">
        <f t="shared" si="198"/>
        <v>0.2</v>
      </c>
      <c r="AX55" s="37">
        <f t="shared" si="193"/>
        <v>196297.37200000003</v>
      </c>
      <c r="AY55" s="78">
        <f t="shared" si="198"/>
        <v>0.2</v>
      </c>
      <c r="AZ55" s="37">
        <f t="shared" si="194"/>
        <v>196297.37200000003</v>
      </c>
      <c r="BA55" s="78">
        <f t="shared" si="198"/>
        <v>0.2</v>
      </c>
      <c r="BB55" s="37">
        <f t="shared" si="195"/>
        <v>196297.37200000003</v>
      </c>
      <c r="BC55" s="78">
        <f t="shared" si="198"/>
        <v>0.2</v>
      </c>
      <c r="BD55" s="85">
        <f t="shared" si="199"/>
        <v>2277790.2599999998</v>
      </c>
    </row>
    <row r="56" spans="2:56" x14ac:dyDescent="0.2">
      <c r="B56" s="83" t="s">
        <v>83</v>
      </c>
      <c r="D56" s="84">
        <f t="shared" si="196"/>
        <v>0.2</v>
      </c>
      <c r="E56" s="85">
        <f>SUM(E50:E55)</f>
        <v>1898950</v>
      </c>
      <c r="F56" s="84">
        <f t="shared" si="196"/>
        <v>0.2</v>
      </c>
      <c r="G56" s="85">
        <f>SUM(G50:G55)</f>
        <v>1898950</v>
      </c>
      <c r="H56" s="84">
        <f t="shared" si="163"/>
        <v>0.2</v>
      </c>
      <c r="I56" s="85">
        <f>SUM(I50:I55)</f>
        <v>1898950</v>
      </c>
      <c r="J56" s="84">
        <f t="shared" si="165"/>
        <v>0.2</v>
      </c>
      <c r="K56" s="85">
        <f>SUM(K50:K55)</f>
        <v>1898950</v>
      </c>
      <c r="L56" s="84">
        <f t="shared" si="167"/>
        <v>0.2</v>
      </c>
      <c r="M56" s="85">
        <f>SUM(M50:M55)</f>
        <v>1898950</v>
      </c>
      <c r="N56" s="84">
        <f t="shared" si="169"/>
        <v>0.2</v>
      </c>
      <c r="O56" s="85">
        <f>SUM(O50:O55)</f>
        <v>1990050</v>
      </c>
      <c r="P56" s="84">
        <f t="shared" si="171"/>
        <v>0.2</v>
      </c>
      <c r="Q56" s="85">
        <f>SUM(Q50:Q55)</f>
        <v>2052124.92</v>
      </c>
      <c r="R56" s="84">
        <f t="shared" si="173"/>
        <v>0.19999999999999998</v>
      </c>
      <c r="S56" s="85">
        <f>SUM(S50:S55)</f>
        <v>2061111.1199999999</v>
      </c>
      <c r="T56" s="84">
        <f t="shared" si="175"/>
        <v>0.19999999999999998</v>
      </c>
      <c r="U56" s="85">
        <f>SUM(U50:U55)</f>
        <v>2061111.1199999999</v>
      </c>
      <c r="V56" s="84">
        <f t="shared" si="177"/>
        <v>0.19999999999999998</v>
      </c>
      <c r="W56" s="85">
        <f>SUM(W50:W55)</f>
        <v>2061111.1199999999</v>
      </c>
      <c r="X56" s="84">
        <f t="shared" si="179"/>
        <v>0.19999999999999998</v>
      </c>
      <c r="Y56" s="85">
        <f>SUM(Y50:Y55)</f>
        <v>2061111.1199999999</v>
      </c>
      <c r="Z56" s="84">
        <f t="shared" si="181"/>
        <v>0.19999999999999998</v>
      </c>
      <c r="AA56" s="85">
        <f>SUM(AA50:AA55)</f>
        <v>2078604.1199999999</v>
      </c>
      <c r="AB56" s="84">
        <f t="shared" si="183"/>
        <v>0.20000000000000009</v>
      </c>
      <c r="AC56" s="85">
        <f t="shared" si="197"/>
        <v>23859973.520000003</v>
      </c>
      <c r="AD56" s="43"/>
      <c r="AE56" s="84">
        <f t="shared" si="198"/>
        <v>0.2</v>
      </c>
      <c r="AF56" s="85">
        <f>SUM(AF50:AF55)</f>
        <v>1998917.92</v>
      </c>
      <c r="AG56" s="84">
        <f t="shared" si="198"/>
        <v>0.2</v>
      </c>
      <c r="AH56" s="85">
        <f>SUM(AH50:AH55)</f>
        <v>1998917.92</v>
      </c>
      <c r="AI56" s="84">
        <f t="shared" si="198"/>
        <v>0.2</v>
      </c>
      <c r="AJ56" s="85">
        <f>SUM(AJ50:AJ55)</f>
        <v>1998917.92</v>
      </c>
      <c r="AK56" s="84">
        <f t="shared" si="198"/>
        <v>0.2</v>
      </c>
      <c r="AL56" s="85">
        <f>SUM(AL50:AL55)</f>
        <v>1998917.92</v>
      </c>
      <c r="AM56" s="84">
        <f t="shared" si="198"/>
        <v>0.2</v>
      </c>
      <c r="AN56" s="85">
        <f>SUM(AN50:AN55)</f>
        <v>1998917.92</v>
      </c>
      <c r="AO56" s="84">
        <f t="shared" si="198"/>
        <v>0.19999999999999998</v>
      </c>
      <c r="AP56" s="85">
        <f>SUM(AP50:AP55)</f>
        <v>2018088.16</v>
      </c>
      <c r="AQ56" s="84">
        <f t="shared" si="198"/>
        <v>0.2</v>
      </c>
      <c r="AR56" s="85">
        <f>SUM(AR50:AR55)</f>
        <v>2057747.8552000001</v>
      </c>
      <c r="AS56" s="84">
        <f t="shared" si="198"/>
        <v>0.2</v>
      </c>
      <c r="AT56" s="85">
        <f>SUM(AT50:AT55)</f>
        <v>2068859.0272000001</v>
      </c>
      <c r="AU56" s="84">
        <f t="shared" si="198"/>
        <v>0.2</v>
      </c>
      <c r="AV56" s="85">
        <f>SUM(AV50:AV55)</f>
        <v>2068859.0272000001</v>
      </c>
      <c r="AW56" s="84">
        <f t="shared" si="198"/>
        <v>0.2</v>
      </c>
      <c r="AX56" s="85">
        <f>SUM(AX50:AX55)</f>
        <v>2068859.0272000001</v>
      </c>
      <c r="AY56" s="84">
        <f t="shared" si="198"/>
        <v>0.2</v>
      </c>
      <c r="AZ56" s="85">
        <f>SUM(AZ50:AZ55)</f>
        <v>2068859.0272000001</v>
      </c>
      <c r="BA56" s="84">
        <f t="shared" si="198"/>
        <v>0.20000000000000004</v>
      </c>
      <c r="BB56" s="85">
        <f>SUM(BB50:BB55)</f>
        <v>2096794.6072000002</v>
      </c>
      <c r="BC56" s="84">
        <f t="shared" si="198"/>
        <v>0.19999999999999993</v>
      </c>
      <c r="BD56" s="85">
        <f t="shared" si="199"/>
        <v>24442656.331199996</v>
      </c>
    </row>
    <row r="57" spans="2:56" x14ac:dyDescent="0.2">
      <c r="C57" s="9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7"/>
      <c r="AD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7"/>
    </row>
    <row r="58" spans="2:56" outlineLevel="1" x14ac:dyDescent="0.2">
      <c r="C58" s="9" t="s">
        <v>1</v>
      </c>
      <c r="D58" s="78">
        <f>E58/E5</f>
        <v>0.1</v>
      </c>
      <c r="E58" s="37">
        <f t="shared" ref="E58:E63" si="200">E5*$B$63</f>
        <v>173415</v>
      </c>
      <c r="F58" s="78">
        <f>G58/G5</f>
        <v>0.1</v>
      </c>
      <c r="G58" s="37">
        <f t="shared" ref="G58:G63" si="201">G5*$B$63</f>
        <v>173415</v>
      </c>
      <c r="H58" s="78">
        <f t="shared" ref="H58:H64" si="202">I58/I5</f>
        <v>0.1</v>
      </c>
      <c r="I58" s="37">
        <f t="shared" ref="I58:I63" si="203">I5*$B$63</f>
        <v>173415</v>
      </c>
      <c r="J58" s="78">
        <f t="shared" ref="J58:J64" si="204">K58/K5</f>
        <v>0.1</v>
      </c>
      <c r="K58" s="37">
        <f t="shared" ref="K58:K63" si="205">K5*$B$63</f>
        <v>173415</v>
      </c>
      <c r="L58" s="78">
        <f t="shared" ref="L58:L64" si="206">M58/M5</f>
        <v>0.1</v>
      </c>
      <c r="M58" s="37">
        <f t="shared" ref="M58:M63" si="207">M5*$B$63</f>
        <v>173415</v>
      </c>
      <c r="N58" s="78">
        <f t="shared" ref="N58:N64" si="208">O58/O5</f>
        <v>0.1</v>
      </c>
      <c r="O58" s="37">
        <f t="shared" ref="O58:O63" si="209">O5*$B$63</f>
        <v>173415</v>
      </c>
      <c r="P58" s="78">
        <f t="shared" ref="P58:P64" si="210">Q58/Q5</f>
        <v>0.1</v>
      </c>
      <c r="Q58" s="37">
        <f t="shared" ref="Q58:Q63" si="211">Q5*$B$63</f>
        <v>173415</v>
      </c>
      <c r="R58" s="78">
        <f t="shared" ref="R58:R64" si="212">S58/S5</f>
        <v>0.1</v>
      </c>
      <c r="S58" s="37">
        <f t="shared" ref="S58:S63" si="213">S5*$B$63</f>
        <v>173415</v>
      </c>
      <c r="T58" s="78">
        <f t="shared" ref="T58:T64" si="214">U58/U5</f>
        <v>0.1</v>
      </c>
      <c r="U58" s="37">
        <f t="shared" ref="U58:U63" si="215">U5*$B$63</f>
        <v>173415</v>
      </c>
      <c r="V58" s="78">
        <f t="shared" ref="V58:V64" si="216">W58/W5</f>
        <v>0.1</v>
      </c>
      <c r="W58" s="37">
        <f t="shared" ref="W58:W63" si="217">W5*$B$63</f>
        <v>173415</v>
      </c>
      <c r="X58" s="78">
        <f t="shared" ref="X58:X64" si="218">Y58/Y5</f>
        <v>0.1</v>
      </c>
      <c r="Y58" s="37">
        <f t="shared" ref="Y58:Y63" si="219">Y5*$B$63</f>
        <v>173415</v>
      </c>
      <c r="Z58" s="78">
        <f t="shared" ref="Z58:Z64" si="220">AA58/AA5</f>
        <v>0.1</v>
      </c>
      <c r="AA58" s="37">
        <f t="shared" ref="AA58:AA63" si="221">AA5*$B$63</f>
        <v>173415</v>
      </c>
      <c r="AB58" s="78">
        <f t="shared" ref="AB58:AB64" si="222">AC58/AC5</f>
        <v>0.1</v>
      </c>
      <c r="AC58" s="85">
        <f>E58+G58+I58+K58+M58+O58+Q58+S58+U58+W58+Y58+AA58</f>
        <v>2080980</v>
      </c>
      <c r="AD58" s="43"/>
      <c r="AE58" s="78">
        <f>AF58/AF5</f>
        <v>0.10000000000000002</v>
      </c>
      <c r="AF58" s="37">
        <f t="shared" ref="AF58:AF63" si="223">AF5*$AD$63</f>
        <v>183819.90000000002</v>
      </c>
      <c r="AG58" s="78">
        <f>AH58/AH5</f>
        <v>0.10000000000000002</v>
      </c>
      <c r="AH58" s="37">
        <f t="shared" ref="AH58:AH63" si="224">AH5*$AD$63</f>
        <v>183819.90000000002</v>
      </c>
      <c r="AI58" s="78">
        <f>AJ58/AJ5</f>
        <v>0.10000000000000002</v>
      </c>
      <c r="AJ58" s="37">
        <f t="shared" ref="AJ58:AJ63" si="225">AJ5*$AD$63</f>
        <v>183819.90000000002</v>
      </c>
      <c r="AK58" s="78">
        <f>AL58/AL5</f>
        <v>0.10000000000000002</v>
      </c>
      <c r="AL58" s="37">
        <f t="shared" ref="AL58:AL63" si="226">AL5*$AD$63</f>
        <v>183819.90000000002</v>
      </c>
      <c r="AM58" s="78">
        <f>AN58/AN5</f>
        <v>0.10000000000000002</v>
      </c>
      <c r="AN58" s="37">
        <f t="shared" ref="AN58:AN63" si="227">AN5*$AD$63</f>
        <v>183819.90000000002</v>
      </c>
      <c r="AO58" s="78">
        <f>AP58/AP5</f>
        <v>0.10000000000000002</v>
      </c>
      <c r="AP58" s="37">
        <f t="shared" ref="AP58:AP63" si="228">AP5*$AD$63</f>
        <v>183819.90000000002</v>
      </c>
      <c r="AQ58" s="78">
        <f>AR58/AR5</f>
        <v>0.10000000000000002</v>
      </c>
      <c r="AR58" s="37">
        <f t="shared" ref="AR58:AR63" si="229">AR5*$AD$63</f>
        <v>183819.90000000002</v>
      </c>
      <c r="AS58" s="78">
        <f>AT58/AT5</f>
        <v>0.10000000000000002</v>
      </c>
      <c r="AT58" s="37">
        <f t="shared" ref="AT58:AT63" si="230">AT5*$AD$63</f>
        <v>183819.90000000002</v>
      </c>
      <c r="AU58" s="78">
        <f>AV58/AV5</f>
        <v>0.10000000000000002</v>
      </c>
      <c r="AV58" s="37">
        <f t="shared" ref="AV58:AV63" si="231">AV5*$AD$63</f>
        <v>183819.90000000002</v>
      </c>
      <c r="AW58" s="78">
        <f>AX58/AX5</f>
        <v>0.10000000000000002</v>
      </c>
      <c r="AX58" s="37">
        <f t="shared" ref="AX58:AX63" si="232">AX5*$AD$63</f>
        <v>183819.90000000002</v>
      </c>
      <c r="AY58" s="78">
        <f>AZ58/AZ5</f>
        <v>0.10000000000000002</v>
      </c>
      <c r="AZ58" s="37">
        <f t="shared" ref="AZ58:AZ63" si="233">AZ5*$AD$63</f>
        <v>183819.90000000002</v>
      </c>
      <c r="BA58" s="78">
        <f>BB58/BB5</f>
        <v>0.10000000000000002</v>
      </c>
      <c r="BB58" s="37">
        <f t="shared" ref="BB58:BB63" si="234">BB5*$AD$63</f>
        <v>183819.90000000002</v>
      </c>
      <c r="BC58" s="78">
        <f>BD58/BD5</f>
        <v>9.9999999999999992E-2</v>
      </c>
      <c r="BD58" s="85">
        <f>AF58+AH58+AJ58+AL58+AN58+AP58+AR58+AT58+AV58+AX58+AZ58+BB58</f>
        <v>2205838.7999999998</v>
      </c>
    </row>
    <row r="59" spans="2:56" outlineLevel="1" x14ac:dyDescent="0.2">
      <c r="C59" s="9" t="s">
        <v>46</v>
      </c>
      <c r="D59" s="78">
        <f t="shared" ref="D59:F64" si="235">E59/E6</f>
        <v>0.1</v>
      </c>
      <c r="E59" s="37">
        <f t="shared" si="200"/>
        <v>314460</v>
      </c>
      <c r="F59" s="78">
        <f t="shared" si="235"/>
        <v>0.1</v>
      </c>
      <c r="G59" s="37">
        <f t="shared" si="201"/>
        <v>314460</v>
      </c>
      <c r="H59" s="78">
        <f t="shared" si="202"/>
        <v>0.1</v>
      </c>
      <c r="I59" s="37">
        <f t="shared" si="203"/>
        <v>314460</v>
      </c>
      <c r="J59" s="78">
        <f t="shared" si="204"/>
        <v>0.1</v>
      </c>
      <c r="K59" s="37">
        <f t="shared" si="205"/>
        <v>314460</v>
      </c>
      <c r="L59" s="78">
        <f t="shared" si="206"/>
        <v>0.1</v>
      </c>
      <c r="M59" s="37">
        <f t="shared" si="207"/>
        <v>314460</v>
      </c>
      <c r="N59" s="78">
        <f t="shared" si="208"/>
        <v>0.1</v>
      </c>
      <c r="O59" s="37">
        <f t="shared" si="209"/>
        <v>314460</v>
      </c>
      <c r="P59" s="78">
        <f t="shared" si="210"/>
        <v>0.1</v>
      </c>
      <c r="Q59" s="37">
        <f t="shared" si="211"/>
        <v>330497.45999999996</v>
      </c>
      <c r="R59" s="78">
        <f t="shared" si="212"/>
        <v>0.1</v>
      </c>
      <c r="S59" s="37">
        <f t="shared" si="213"/>
        <v>330497.45999999996</v>
      </c>
      <c r="T59" s="78">
        <f t="shared" si="214"/>
        <v>0.1</v>
      </c>
      <c r="U59" s="37">
        <f t="shared" si="215"/>
        <v>330497.45999999996</v>
      </c>
      <c r="V59" s="78">
        <f t="shared" si="216"/>
        <v>0.1</v>
      </c>
      <c r="W59" s="37">
        <f t="shared" si="217"/>
        <v>330497.45999999996</v>
      </c>
      <c r="X59" s="78">
        <f t="shared" si="218"/>
        <v>0.1</v>
      </c>
      <c r="Y59" s="37">
        <f t="shared" si="219"/>
        <v>330497.45999999996</v>
      </c>
      <c r="Z59" s="78">
        <f t="shared" si="220"/>
        <v>0.1</v>
      </c>
      <c r="AA59" s="37">
        <f t="shared" si="221"/>
        <v>330497.45999999996</v>
      </c>
      <c r="AB59" s="78">
        <f t="shared" si="222"/>
        <v>9.9999999999999978E-2</v>
      </c>
      <c r="AC59" s="85">
        <f t="shared" ref="AC59:AC64" si="236">E59+G59+I59+K59+M59+O59+Q59+S59+U59+W59+Y59+AA59</f>
        <v>3869744.76</v>
      </c>
      <c r="AD59" s="43"/>
      <c r="AE59" s="78">
        <f t="shared" ref="AE59:BC63" si="237">AF59/AF6</f>
        <v>0.1</v>
      </c>
      <c r="AF59" s="37">
        <f t="shared" si="223"/>
        <v>330497.45999999996</v>
      </c>
      <c r="AG59" s="78">
        <f t="shared" si="237"/>
        <v>0.1</v>
      </c>
      <c r="AH59" s="37">
        <f t="shared" si="224"/>
        <v>330497.45999999996</v>
      </c>
      <c r="AI59" s="78">
        <f t="shared" si="237"/>
        <v>0.1</v>
      </c>
      <c r="AJ59" s="37">
        <f t="shared" si="225"/>
        <v>330497.45999999996</v>
      </c>
      <c r="AK59" s="78">
        <f t="shared" si="237"/>
        <v>0.1</v>
      </c>
      <c r="AL59" s="37">
        <f t="shared" si="226"/>
        <v>330497.45999999996</v>
      </c>
      <c r="AM59" s="78">
        <f t="shared" si="237"/>
        <v>0.1</v>
      </c>
      <c r="AN59" s="37">
        <f t="shared" si="227"/>
        <v>330497.45999999996</v>
      </c>
      <c r="AO59" s="78">
        <f t="shared" si="237"/>
        <v>0.1</v>
      </c>
      <c r="AP59" s="37">
        <f t="shared" si="228"/>
        <v>330497.45999999996</v>
      </c>
      <c r="AQ59" s="78">
        <f t="shared" si="237"/>
        <v>0.1</v>
      </c>
      <c r="AR59" s="37">
        <f t="shared" si="229"/>
        <v>350327.3076</v>
      </c>
      <c r="AS59" s="78">
        <f t="shared" si="237"/>
        <v>0.1</v>
      </c>
      <c r="AT59" s="37">
        <f t="shared" si="230"/>
        <v>350327.3076</v>
      </c>
      <c r="AU59" s="78">
        <f t="shared" si="237"/>
        <v>0.1</v>
      </c>
      <c r="AV59" s="37">
        <f t="shared" si="231"/>
        <v>350327.3076</v>
      </c>
      <c r="AW59" s="78">
        <f t="shared" si="237"/>
        <v>0.1</v>
      </c>
      <c r="AX59" s="37">
        <f t="shared" si="232"/>
        <v>350327.3076</v>
      </c>
      <c r="AY59" s="78">
        <f t="shared" si="237"/>
        <v>0.1</v>
      </c>
      <c r="AZ59" s="37">
        <f t="shared" si="233"/>
        <v>350327.3076</v>
      </c>
      <c r="BA59" s="78">
        <f t="shared" si="237"/>
        <v>0.1</v>
      </c>
      <c r="BB59" s="37">
        <f t="shared" si="234"/>
        <v>350327.3076</v>
      </c>
      <c r="BC59" s="78">
        <f t="shared" si="237"/>
        <v>0.1</v>
      </c>
      <c r="BD59" s="85">
        <f t="shared" ref="BD59:BD64" si="238">AF59+AH59+AJ59+AL59+AN59+AP59+AR59+AT59+AV59+AX59+AZ59+BB59</f>
        <v>4084948.6055999994</v>
      </c>
    </row>
    <row r="60" spans="2:56" outlineLevel="1" x14ac:dyDescent="0.2">
      <c r="C60" s="9" t="s">
        <v>0</v>
      </c>
      <c r="D60" s="78">
        <f t="shared" si="235"/>
        <v>0.1</v>
      </c>
      <c r="E60" s="37">
        <f t="shared" si="200"/>
        <v>152000</v>
      </c>
      <c r="F60" s="78">
        <f t="shared" si="235"/>
        <v>0.1</v>
      </c>
      <c r="G60" s="37">
        <f t="shared" si="201"/>
        <v>152000</v>
      </c>
      <c r="H60" s="78">
        <f t="shared" si="202"/>
        <v>0.1</v>
      </c>
      <c r="I60" s="37">
        <f t="shared" si="203"/>
        <v>152000</v>
      </c>
      <c r="J60" s="78">
        <f t="shared" si="204"/>
        <v>0.1</v>
      </c>
      <c r="K60" s="37">
        <f t="shared" si="205"/>
        <v>152000</v>
      </c>
      <c r="L60" s="78">
        <f t="shared" si="206"/>
        <v>0.1</v>
      </c>
      <c r="M60" s="37">
        <f t="shared" si="207"/>
        <v>152000</v>
      </c>
      <c r="N60" s="78">
        <f t="shared" si="208"/>
        <v>0.1</v>
      </c>
      <c r="O60" s="37">
        <f t="shared" si="209"/>
        <v>195000</v>
      </c>
      <c r="P60" s="78">
        <f t="shared" si="210"/>
        <v>0.1</v>
      </c>
      <c r="Q60" s="37">
        <f t="shared" si="211"/>
        <v>210000</v>
      </c>
      <c r="R60" s="78">
        <f t="shared" si="212"/>
        <v>0.1</v>
      </c>
      <c r="S60" s="37">
        <f t="shared" si="213"/>
        <v>210000</v>
      </c>
      <c r="T60" s="78">
        <f t="shared" si="214"/>
        <v>0.1</v>
      </c>
      <c r="U60" s="37">
        <f t="shared" si="215"/>
        <v>210000</v>
      </c>
      <c r="V60" s="78">
        <f t="shared" si="216"/>
        <v>0.1</v>
      </c>
      <c r="W60" s="37">
        <f t="shared" si="217"/>
        <v>210000</v>
      </c>
      <c r="X60" s="78">
        <f t="shared" si="218"/>
        <v>0.1</v>
      </c>
      <c r="Y60" s="37">
        <f t="shared" si="219"/>
        <v>210000</v>
      </c>
      <c r="Z60" s="78">
        <f t="shared" si="220"/>
        <v>0.1</v>
      </c>
      <c r="AA60" s="37">
        <f t="shared" si="221"/>
        <v>210000</v>
      </c>
      <c r="AB60" s="78">
        <f t="shared" si="222"/>
        <v>0.1</v>
      </c>
      <c r="AC60" s="85">
        <f t="shared" si="236"/>
        <v>2215000</v>
      </c>
      <c r="AD60" s="43"/>
      <c r="AE60" s="78">
        <f t="shared" si="237"/>
        <v>0.1</v>
      </c>
      <c r="AF60" s="37">
        <f t="shared" si="223"/>
        <v>159752</v>
      </c>
      <c r="AG60" s="78">
        <f t="shared" si="237"/>
        <v>0.1</v>
      </c>
      <c r="AH60" s="37">
        <f t="shared" si="224"/>
        <v>159752</v>
      </c>
      <c r="AI60" s="78">
        <f t="shared" si="237"/>
        <v>0.1</v>
      </c>
      <c r="AJ60" s="37">
        <f t="shared" si="225"/>
        <v>159752</v>
      </c>
      <c r="AK60" s="78">
        <f t="shared" si="237"/>
        <v>0.1</v>
      </c>
      <c r="AL60" s="37">
        <f t="shared" si="226"/>
        <v>159752</v>
      </c>
      <c r="AM60" s="78">
        <f t="shared" si="237"/>
        <v>0.1</v>
      </c>
      <c r="AN60" s="37">
        <f t="shared" si="227"/>
        <v>159752</v>
      </c>
      <c r="AO60" s="78">
        <f t="shared" si="237"/>
        <v>0.1</v>
      </c>
      <c r="AP60" s="37">
        <f t="shared" si="228"/>
        <v>169337.12000000002</v>
      </c>
      <c r="AQ60" s="78">
        <f t="shared" si="237"/>
        <v>0.1</v>
      </c>
      <c r="AR60" s="37">
        <f t="shared" si="229"/>
        <v>169337.12000000002</v>
      </c>
      <c r="AS60" s="78">
        <f t="shared" si="237"/>
        <v>0.1</v>
      </c>
      <c r="AT60" s="37">
        <f t="shared" si="230"/>
        <v>169337.12000000002</v>
      </c>
      <c r="AU60" s="78">
        <f t="shared" si="237"/>
        <v>0.1</v>
      </c>
      <c r="AV60" s="37">
        <f t="shared" si="231"/>
        <v>169337.12000000002</v>
      </c>
      <c r="AW60" s="78">
        <f t="shared" si="237"/>
        <v>0.1</v>
      </c>
      <c r="AX60" s="37">
        <f t="shared" si="232"/>
        <v>169337.12000000002</v>
      </c>
      <c r="AY60" s="78">
        <f t="shared" si="237"/>
        <v>0.1</v>
      </c>
      <c r="AZ60" s="37">
        <f t="shared" si="233"/>
        <v>169337.12000000002</v>
      </c>
      <c r="BA60" s="78">
        <f t="shared" si="237"/>
        <v>0.1</v>
      </c>
      <c r="BB60" s="37">
        <f t="shared" si="234"/>
        <v>169337.12000000002</v>
      </c>
      <c r="BC60" s="78">
        <f t="shared" si="237"/>
        <v>0.10000000000000005</v>
      </c>
      <c r="BD60" s="85">
        <f t="shared" si="238"/>
        <v>1984119.8400000005</v>
      </c>
    </row>
    <row r="61" spans="2:56" outlineLevel="1" x14ac:dyDescent="0.2">
      <c r="C61" s="9" t="s">
        <v>6</v>
      </c>
      <c r="D61" s="78">
        <f t="shared" si="235"/>
        <v>0.1</v>
      </c>
      <c r="E61" s="37">
        <f t="shared" si="200"/>
        <v>50000</v>
      </c>
      <c r="F61" s="78">
        <f t="shared" si="235"/>
        <v>0.1</v>
      </c>
      <c r="G61" s="37">
        <f t="shared" si="201"/>
        <v>50000</v>
      </c>
      <c r="H61" s="78">
        <f t="shared" si="202"/>
        <v>0.1</v>
      </c>
      <c r="I61" s="37">
        <f t="shared" si="203"/>
        <v>50000</v>
      </c>
      <c r="J61" s="78">
        <f t="shared" si="204"/>
        <v>0.1</v>
      </c>
      <c r="K61" s="37">
        <f t="shared" si="205"/>
        <v>50000</v>
      </c>
      <c r="L61" s="78">
        <f t="shared" si="206"/>
        <v>0.1</v>
      </c>
      <c r="M61" s="37">
        <f t="shared" si="207"/>
        <v>50000</v>
      </c>
      <c r="N61" s="78">
        <f t="shared" si="208"/>
        <v>0.1</v>
      </c>
      <c r="O61" s="37">
        <f t="shared" si="209"/>
        <v>52550</v>
      </c>
      <c r="P61" s="78">
        <f t="shared" si="210"/>
        <v>0.1</v>
      </c>
      <c r="Q61" s="37">
        <f t="shared" si="211"/>
        <v>52550</v>
      </c>
      <c r="R61" s="78">
        <f t="shared" si="212"/>
        <v>0.1</v>
      </c>
      <c r="S61" s="37">
        <f t="shared" si="213"/>
        <v>52550</v>
      </c>
      <c r="T61" s="78">
        <f t="shared" si="214"/>
        <v>0.1</v>
      </c>
      <c r="U61" s="37">
        <f t="shared" si="215"/>
        <v>52550</v>
      </c>
      <c r="V61" s="78">
        <f t="shared" si="216"/>
        <v>0.1</v>
      </c>
      <c r="W61" s="37">
        <f t="shared" si="217"/>
        <v>52550</v>
      </c>
      <c r="X61" s="78">
        <f t="shared" si="218"/>
        <v>0.1</v>
      </c>
      <c r="Y61" s="37">
        <f t="shared" si="219"/>
        <v>52550</v>
      </c>
      <c r="Z61" s="78">
        <f t="shared" si="220"/>
        <v>0.1</v>
      </c>
      <c r="AA61" s="37">
        <f t="shared" si="221"/>
        <v>52550</v>
      </c>
      <c r="AB61" s="78">
        <f t="shared" si="222"/>
        <v>0.1</v>
      </c>
      <c r="AC61" s="85">
        <f t="shared" si="236"/>
        <v>617850</v>
      </c>
      <c r="AD61" s="43"/>
      <c r="AE61" s="78">
        <f t="shared" si="237"/>
        <v>0.1</v>
      </c>
      <c r="AF61" s="37">
        <f t="shared" si="223"/>
        <v>52550</v>
      </c>
      <c r="AG61" s="78">
        <f t="shared" si="237"/>
        <v>0.1</v>
      </c>
      <c r="AH61" s="37">
        <f t="shared" si="224"/>
        <v>52550</v>
      </c>
      <c r="AI61" s="78">
        <f t="shared" si="237"/>
        <v>0.1</v>
      </c>
      <c r="AJ61" s="37">
        <f t="shared" si="225"/>
        <v>52550</v>
      </c>
      <c r="AK61" s="78">
        <f t="shared" si="237"/>
        <v>0.1</v>
      </c>
      <c r="AL61" s="37">
        <f t="shared" si="226"/>
        <v>52550</v>
      </c>
      <c r="AM61" s="78">
        <f t="shared" si="237"/>
        <v>0.1</v>
      </c>
      <c r="AN61" s="37">
        <f t="shared" si="227"/>
        <v>52550</v>
      </c>
      <c r="AO61" s="78">
        <f t="shared" si="237"/>
        <v>0.1</v>
      </c>
      <c r="AP61" s="37">
        <f t="shared" si="228"/>
        <v>52550</v>
      </c>
      <c r="AQ61" s="78">
        <f t="shared" si="237"/>
        <v>0.1</v>
      </c>
      <c r="AR61" s="37">
        <f t="shared" si="229"/>
        <v>52550</v>
      </c>
      <c r="AS61" s="78">
        <f t="shared" si="237"/>
        <v>0.1</v>
      </c>
      <c r="AT61" s="37">
        <f t="shared" si="230"/>
        <v>52550</v>
      </c>
      <c r="AU61" s="78">
        <f t="shared" si="237"/>
        <v>0.1</v>
      </c>
      <c r="AV61" s="37">
        <f t="shared" si="231"/>
        <v>52550</v>
      </c>
      <c r="AW61" s="78">
        <f t="shared" si="237"/>
        <v>0.1</v>
      </c>
      <c r="AX61" s="37">
        <f t="shared" si="232"/>
        <v>52550</v>
      </c>
      <c r="AY61" s="78">
        <f t="shared" si="237"/>
        <v>0.1</v>
      </c>
      <c r="AZ61" s="37">
        <f t="shared" si="233"/>
        <v>52550</v>
      </c>
      <c r="BA61" s="78">
        <f t="shared" si="237"/>
        <v>0.1</v>
      </c>
      <c r="BB61" s="37">
        <f t="shared" si="234"/>
        <v>55703</v>
      </c>
      <c r="BC61" s="78">
        <f t="shared" si="237"/>
        <v>0.1</v>
      </c>
      <c r="BD61" s="85">
        <f t="shared" si="238"/>
        <v>633753</v>
      </c>
    </row>
    <row r="62" spans="2:56" outlineLevel="1" x14ac:dyDescent="0.2">
      <c r="C62" s="9" t="s">
        <v>77</v>
      </c>
      <c r="D62" s="78">
        <f t="shared" si="235"/>
        <v>0.1</v>
      </c>
      <c r="E62" s="37">
        <f t="shared" si="200"/>
        <v>171500</v>
      </c>
      <c r="F62" s="78">
        <f t="shared" si="235"/>
        <v>0.1</v>
      </c>
      <c r="G62" s="37">
        <f t="shared" si="201"/>
        <v>171500</v>
      </c>
      <c r="H62" s="78">
        <f t="shared" si="202"/>
        <v>0.1</v>
      </c>
      <c r="I62" s="37">
        <f t="shared" si="203"/>
        <v>171500</v>
      </c>
      <c r="J62" s="78">
        <f t="shared" si="204"/>
        <v>0.1</v>
      </c>
      <c r="K62" s="37">
        <f t="shared" si="205"/>
        <v>171500</v>
      </c>
      <c r="L62" s="78">
        <f t="shared" si="206"/>
        <v>0.1</v>
      </c>
      <c r="M62" s="37">
        <f t="shared" si="207"/>
        <v>171500</v>
      </c>
      <c r="N62" s="78">
        <f t="shared" si="208"/>
        <v>0.1</v>
      </c>
      <c r="O62" s="37">
        <f t="shared" si="209"/>
        <v>171500</v>
      </c>
      <c r="P62" s="78">
        <f t="shared" si="210"/>
        <v>0.1</v>
      </c>
      <c r="Q62" s="37">
        <f t="shared" si="211"/>
        <v>171500</v>
      </c>
      <c r="R62" s="78">
        <f t="shared" si="212"/>
        <v>0.1</v>
      </c>
      <c r="S62" s="37">
        <f t="shared" si="213"/>
        <v>171500</v>
      </c>
      <c r="T62" s="78">
        <f t="shared" si="214"/>
        <v>0.1</v>
      </c>
      <c r="U62" s="37">
        <f t="shared" si="215"/>
        <v>171500</v>
      </c>
      <c r="V62" s="78">
        <f t="shared" si="216"/>
        <v>0.1</v>
      </c>
      <c r="W62" s="37">
        <f t="shared" si="217"/>
        <v>171500</v>
      </c>
      <c r="X62" s="78">
        <f t="shared" si="218"/>
        <v>0.1</v>
      </c>
      <c r="Y62" s="37">
        <f t="shared" si="219"/>
        <v>171500</v>
      </c>
      <c r="Z62" s="78">
        <f t="shared" si="220"/>
        <v>0.1</v>
      </c>
      <c r="AA62" s="37">
        <f t="shared" si="221"/>
        <v>180246.5</v>
      </c>
      <c r="AB62" s="78">
        <f t="shared" si="222"/>
        <v>0.1</v>
      </c>
      <c r="AC62" s="85">
        <f t="shared" si="236"/>
        <v>2066746.5</v>
      </c>
      <c r="AD62" s="43"/>
      <c r="AE62" s="78">
        <f t="shared" si="237"/>
        <v>0.1</v>
      </c>
      <c r="AF62" s="37">
        <f t="shared" si="223"/>
        <v>180246.5</v>
      </c>
      <c r="AG62" s="78">
        <f t="shared" si="237"/>
        <v>0.1</v>
      </c>
      <c r="AH62" s="37">
        <f t="shared" si="224"/>
        <v>180246.5</v>
      </c>
      <c r="AI62" s="78">
        <f t="shared" si="237"/>
        <v>0.1</v>
      </c>
      <c r="AJ62" s="37">
        <f t="shared" si="225"/>
        <v>180246.5</v>
      </c>
      <c r="AK62" s="78">
        <f t="shared" si="237"/>
        <v>0.1</v>
      </c>
      <c r="AL62" s="37">
        <f t="shared" si="226"/>
        <v>180246.5</v>
      </c>
      <c r="AM62" s="78">
        <f t="shared" si="237"/>
        <v>0.1</v>
      </c>
      <c r="AN62" s="37">
        <f t="shared" si="227"/>
        <v>180246.5</v>
      </c>
      <c r="AO62" s="78">
        <f t="shared" si="237"/>
        <v>0.1</v>
      </c>
      <c r="AP62" s="37">
        <f t="shared" si="228"/>
        <v>180246.5</v>
      </c>
      <c r="AQ62" s="78">
        <f t="shared" si="237"/>
        <v>0.1</v>
      </c>
      <c r="AR62" s="37">
        <f t="shared" si="229"/>
        <v>180246.5</v>
      </c>
      <c r="AS62" s="78">
        <f t="shared" si="237"/>
        <v>0.1</v>
      </c>
      <c r="AT62" s="37">
        <f t="shared" si="230"/>
        <v>180246.5</v>
      </c>
      <c r="AU62" s="78">
        <f t="shared" si="237"/>
        <v>0.1</v>
      </c>
      <c r="AV62" s="37">
        <f t="shared" si="231"/>
        <v>180246.5</v>
      </c>
      <c r="AW62" s="78">
        <f t="shared" si="237"/>
        <v>0.1</v>
      </c>
      <c r="AX62" s="37">
        <f t="shared" si="232"/>
        <v>180246.5</v>
      </c>
      <c r="AY62" s="78">
        <f t="shared" si="237"/>
        <v>0.1</v>
      </c>
      <c r="AZ62" s="37">
        <f t="shared" si="233"/>
        <v>180246.5</v>
      </c>
      <c r="BA62" s="78">
        <f t="shared" si="237"/>
        <v>0.1</v>
      </c>
      <c r="BB62" s="37">
        <f t="shared" si="234"/>
        <v>191061.29000000004</v>
      </c>
      <c r="BC62" s="78">
        <f t="shared" si="237"/>
        <v>0.1</v>
      </c>
      <c r="BD62" s="85">
        <f t="shared" si="238"/>
        <v>2173772.79</v>
      </c>
    </row>
    <row r="63" spans="2:56" outlineLevel="1" x14ac:dyDescent="0.2">
      <c r="B63" s="82">
        <v>0.1</v>
      </c>
      <c r="C63" s="9" t="s">
        <v>7</v>
      </c>
      <c r="D63" s="78">
        <f t="shared" si="235"/>
        <v>0.1</v>
      </c>
      <c r="E63" s="37">
        <f t="shared" si="200"/>
        <v>88100</v>
      </c>
      <c r="F63" s="78">
        <f t="shared" si="235"/>
        <v>0.1</v>
      </c>
      <c r="G63" s="37">
        <f t="shared" si="201"/>
        <v>88100</v>
      </c>
      <c r="H63" s="78">
        <f t="shared" si="202"/>
        <v>0.1</v>
      </c>
      <c r="I63" s="37">
        <f t="shared" si="203"/>
        <v>88100</v>
      </c>
      <c r="J63" s="78">
        <f t="shared" si="204"/>
        <v>0.1</v>
      </c>
      <c r="K63" s="37">
        <f t="shared" si="205"/>
        <v>88100</v>
      </c>
      <c r="L63" s="78">
        <f t="shared" si="206"/>
        <v>0.1</v>
      </c>
      <c r="M63" s="37">
        <f t="shared" si="207"/>
        <v>88100</v>
      </c>
      <c r="N63" s="78">
        <f t="shared" si="208"/>
        <v>0.1</v>
      </c>
      <c r="O63" s="37">
        <f t="shared" si="209"/>
        <v>88100</v>
      </c>
      <c r="P63" s="78">
        <f t="shared" si="210"/>
        <v>0.1</v>
      </c>
      <c r="Q63" s="37">
        <f t="shared" si="211"/>
        <v>88100</v>
      </c>
      <c r="R63" s="78">
        <f t="shared" si="212"/>
        <v>0.1</v>
      </c>
      <c r="S63" s="37">
        <f t="shared" si="213"/>
        <v>92593.1</v>
      </c>
      <c r="T63" s="78">
        <f t="shared" si="214"/>
        <v>0.1</v>
      </c>
      <c r="U63" s="37">
        <f t="shared" si="215"/>
        <v>92593.1</v>
      </c>
      <c r="V63" s="78">
        <f t="shared" si="216"/>
        <v>0.1</v>
      </c>
      <c r="W63" s="37">
        <f t="shared" si="217"/>
        <v>92593.1</v>
      </c>
      <c r="X63" s="78">
        <f t="shared" si="218"/>
        <v>0.1</v>
      </c>
      <c r="Y63" s="37">
        <f t="shared" si="219"/>
        <v>92593.1</v>
      </c>
      <c r="Z63" s="78">
        <f t="shared" si="220"/>
        <v>0.1</v>
      </c>
      <c r="AA63" s="37">
        <f t="shared" si="221"/>
        <v>92593.1</v>
      </c>
      <c r="AB63" s="78">
        <f t="shared" si="222"/>
        <v>0.1</v>
      </c>
      <c r="AC63" s="85">
        <f t="shared" si="236"/>
        <v>1079665.5</v>
      </c>
      <c r="AD63" s="82">
        <v>0.1</v>
      </c>
      <c r="AE63" s="78">
        <f t="shared" si="237"/>
        <v>0.1</v>
      </c>
      <c r="AF63" s="37">
        <f t="shared" si="223"/>
        <v>92593.1</v>
      </c>
      <c r="AG63" s="78">
        <f t="shared" si="237"/>
        <v>0.1</v>
      </c>
      <c r="AH63" s="37">
        <f t="shared" si="224"/>
        <v>92593.1</v>
      </c>
      <c r="AI63" s="78">
        <f t="shared" si="237"/>
        <v>0.1</v>
      </c>
      <c r="AJ63" s="37">
        <f t="shared" si="225"/>
        <v>92593.1</v>
      </c>
      <c r="AK63" s="78">
        <f t="shared" si="237"/>
        <v>0.1</v>
      </c>
      <c r="AL63" s="37">
        <f t="shared" si="226"/>
        <v>92593.1</v>
      </c>
      <c r="AM63" s="78">
        <f t="shared" si="237"/>
        <v>0.1</v>
      </c>
      <c r="AN63" s="37">
        <f t="shared" si="227"/>
        <v>92593.1</v>
      </c>
      <c r="AO63" s="78">
        <f t="shared" si="237"/>
        <v>0.1</v>
      </c>
      <c r="AP63" s="37">
        <f t="shared" si="228"/>
        <v>92593.1</v>
      </c>
      <c r="AQ63" s="78">
        <f t="shared" si="237"/>
        <v>0.1</v>
      </c>
      <c r="AR63" s="37">
        <f t="shared" si="229"/>
        <v>92593.1</v>
      </c>
      <c r="AS63" s="78">
        <f t="shared" si="237"/>
        <v>0.1</v>
      </c>
      <c r="AT63" s="37">
        <f t="shared" si="230"/>
        <v>98148.686000000016</v>
      </c>
      <c r="AU63" s="78">
        <f t="shared" si="237"/>
        <v>0.1</v>
      </c>
      <c r="AV63" s="37">
        <f t="shared" si="231"/>
        <v>98148.686000000016</v>
      </c>
      <c r="AW63" s="78">
        <f t="shared" si="237"/>
        <v>0.1</v>
      </c>
      <c r="AX63" s="37">
        <f t="shared" si="232"/>
        <v>98148.686000000016</v>
      </c>
      <c r="AY63" s="78">
        <f t="shared" si="237"/>
        <v>0.1</v>
      </c>
      <c r="AZ63" s="37">
        <f t="shared" si="233"/>
        <v>98148.686000000016</v>
      </c>
      <c r="BA63" s="78">
        <f t="shared" si="237"/>
        <v>0.1</v>
      </c>
      <c r="BB63" s="37">
        <f t="shared" si="234"/>
        <v>98148.686000000016</v>
      </c>
      <c r="BC63" s="78">
        <f t="shared" si="237"/>
        <v>0.1</v>
      </c>
      <c r="BD63" s="85">
        <f t="shared" si="238"/>
        <v>1138895.1299999999</v>
      </c>
    </row>
    <row r="64" spans="2:56" x14ac:dyDescent="0.2">
      <c r="B64" s="83" t="s">
        <v>82</v>
      </c>
      <c r="D64" s="84">
        <f t="shared" si="235"/>
        <v>0.1</v>
      </c>
      <c r="E64" s="85">
        <f>SUM(E58:E63)</f>
        <v>949475</v>
      </c>
      <c r="F64" s="84">
        <f t="shared" si="235"/>
        <v>0.1</v>
      </c>
      <c r="G64" s="85">
        <f t="shared" ref="G64:AA64" si="239">SUM(G58:G63)</f>
        <v>949475</v>
      </c>
      <c r="H64" s="84">
        <f t="shared" si="202"/>
        <v>0.1</v>
      </c>
      <c r="I64" s="85">
        <f t="shared" si="239"/>
        <v>949475</v>
      </c>
      <c r="J64" s="84">
        <f t="shared" si="204"/>
        <v>0.1</v>
      </c>
      <c r="K64" s="85">
        <f t="shared" si="239"/>
        <v>949475</v>
      </c>
      <c r="L64" s="84">
        <f t="shared" si="206"/>
        <v>0.1</v>
      </c>
      <c r="M64" s="85">
        <f t="shared" si="239"/>
        <v>949475</v>
      </c>
      <c r="N64" s="84">
        <f t="shared" si="208"/>
        <v>0.1</v>
      </c>
      <c r="O64" s="85">
        <f t="shared" si="239"/>
        <v>995025</v>
      </c>
      <c r="P64" s="84">
        <f t="shared" si="210"/>
        <v>0.1</v>
      </c>
      <c r="Q64" s="85">
        <f t="shared" si="239"/>
        <v>1026062.46</v>
      </c>
      <c r="R64" s="84">
        <f t="shared" si="212"/>
        <v>9.9999999999999992E-2</v>
      </c>
      <c r="S64" s="85">
        <f t="shared" si="239"/>
        <v>1030555.5599999999</v>
      </c>
      <c r="T64" s="84">
        <f t="shared" si="214"/>
        <v>9.9999999999999992E-2</v>
      </c>
      <c r="U64" s="85">
        <f t="shared" si="239"/>
        <v>1030555.5599999999</v>
      </c>
      <c r="V64" s="84">
        <f t="shared" si="216"/>
        <v>9.9999999999999992E-2</v>
      </c>
      <c r="W64" s="85">
        <f t="shared" si="239"/>
        <v>1030555.5599999999</v>
      </c>
      <c r="X64" s="84">
        <f t="shared" si="218"/>
        <v>9.9999999999999992E-2</v>
      </c>
      <c r="Y64" s="85">
        <f t="shared" si="239"/>
        <v>1030555.5599999999</v>
      </c>
      <c r="Z64" s="84">
        <f t="shared" si="220"/>
        <v>9.9999999999999992E-2</v>
      </c>
      <c r="AA64" s="85">
        <f t="shared" si="239"/>
        <v>1039302.0599999999</v>
      </c>
      <c r="AB64" s="84">
        <f t="shared" si="222"/>
        <v>0.10000000000000005</v>
      </c>
      <c r="AC64" s="85">
        <f t="shared" si="236"/>
        <v>11929986.760000002</v>
      </c>
      <c r="AD64" s="43"/>
      <c r="AE64" s="84">
        <f t="shared" ref="AE64:BC64" si="240">AF64/AF11</f>
        <v>0.1</v>
      </c>
      <c r="AF64" s="85">
        <f t="shared" ref="AF64:BB64" si="241">SUM(AF58:AF63)</f>
        <v>999458.96</v>
      </c>
      <c r="AG64" s="84">
        <f t="shared" si="240"/>
        <v>0.1</v>
      </c>
      <c r="AH64" s="85">
        <f t="shared" si="241"/>
        <v>999458.96</v>
      </c>
      <c r="AI64" s="84">
        <f t="shared" si="240"/>
        <v>0.1</v>
      </c>
      <c r="AJ64" s="85">
        <f t="shared" si="241"/>
        <v>999458.96</v>
      </c>
      <c r="AK64" s="84">
        <f t="shared" si="240"/>
        <v>0.1</v>
      </c>
      <c r="AL64" s="85">
        <f t="shared" si="241"/>
        <v>999458.96</v>
      </c>
      <c r="AM64" s="84">
        <f t="shared" si="240"/>
        <v>0.1</v>
      </c>
      <c r="AN64" s="85">
        <f t="shared" si="241"/>
        <v>999458.96</v>
      </c>
      <c r="AO64" s="84">
        <f t="shared" si="240"/>
        <v>9.9999999999999992E-2</v>
      </c>
      <c r="AP64" s="85">
        <f t="shared" si="241"/>
        <v>1009044.08</v>
      </c>
      <c r="AQ64" s="84">
        <f t="shared" si="240"/>
        <v>0.1</v>
      </c>
      <c r="AR64" s="85">
        <f t="shared" si="241"/>
        <v>1028873.9276000001</v>
      </c>
      <c r="AS64" s="84">
        <f t="shared" si="240"/>
        <v>0.1</v>
      </c>
      <c r="AT64" s="85">
        <f t="shared" si="241"/>
        <v>1034429.5136000001</v>
      </c>
      <c r="AU64" s="84">
        <f t="shared" si="240"/>
        <v>0.1</v>
      </c>
      <c r="AV64" s="85">
        <f t="shared" si="241"/>
        <v>1034429.5136000001</v>
      </c>
      <c r="AW64" s="84">
        <f t="shared" si="240"/>
        <v>0.1</v>
      </c>
      <c r="AX64" s="85">
        <f t="shared" si="241"/>
        <v>1034429.5136000001</v>
      </c>
      <c r="AY64" s="84">
        <f t="shared" si="240"/>
        <v>0.1</v>
      </c>
      <c r="AZ64" s="85">
        <f t="shared" si="241"/>
        <v>1034429.5136000001</v>
      </c>
      <c r="BA64" s="84">
        <f t="shared" si="240"/>
        <v>0.10000000000000002</v>
      </c>
      <c r="BB64" s="85">
        <f t="shared" si="241"/>
        <v>1048397.3036000001</v>
      </c>
      <c r="BC64" s="84">
        <f t="shared" si="240"/>
        <v>9.9999999999999964E-2</v>
      </c>
      <c r="BD64" s="85">
        <f t="shared" si="238"/>
        <v>12221328.165599998</v>
      </c>
    </row>
    <row r="65" spans="2:56" x14ac:dyDescent="0.2">
      <c r="BD65" s="39"/>
    </row>
    <row r="66" spans="2:56" outlineLevel="1" x14ac:dyDescent="0.2">
      <c r="C66" s="9" t="s">
        <v>1</v>
      </c>
      <c r="D66" s="78">
        <f>E66/E5</f>
        <v>7.6886851387327126E-3</v>
      </c>
      <c r="E66" s="36">
        <f>$B$70/12</f>
        <v>13333.333333333334</v>
      </c>
      <c r="F66" s="78">
        <f>G66/G5</f>
        <v>7.6886851387327126E-3</v>
      </c>
      <c r="G66" s="36">
        <f>$B$70/12</f>
        <v>13333.333333333334</v>
      </c>
      <c r="H66" s="78">
        <f>I66/I5</f>
        <v>7.6886851387327126E-3</v>
      </c>
      <c r="I66" s="36">
        <f>$B$70/12</f>
        <v>13333.333333333334</v>
      </c>
      <c r="J66" s="78">
        <f>K66/K5</f>
        <v>7.6886851387327126E-3</v>
      </c>
      <c r="K66" s="36">
        <f>$B$70/12</f>
        <v>13333.333333333334</v>
      </c>
      <c r="L66" s="78">
        <f>M66/M5</f>
        <v>7.6886851387327126E-3</v>
      </c>
      <c r="M66" s="36">
        <f>$B$70/12</f>
        <v>13333.333333333334</v>
      </c>
      <c r="N66" s="78">
        <f>O66/O5</f>
        <v>7.6886851387327126E-3</v>
      </c>
      <c r="O66" s="36">
        <f>$B$70/12</f>
        <v>13333.333333333334</v>
      </c>
      <c r="P66" s="78">
        <f>Q66/Q5</f>
        <v>7.6886851387327126E-3</v>
      </c>
      <c r="Q66" s="36">
        <f>$B$70/12</f>
        <v>13333.333333333334</v>
      </c>
      <c r="R66" s="78">
        <f>S66/S5</f>
        <v>7.6886851387327126E-3</v>
      </c>
      <c r="S66" s="36">
        <f>$B$70/12</f>
        <v>13333.333333333334</v>
      </c>
      <c r="T66" s="78">
        <f>U66/U5</f>
        <v>7.6886851387327126E-3</v>
      </c>
      <c r="U66" s="36">
        <f>$B$70/12</f>
        <v>13333.333333333334</v>
      </c>
      <c r="V66" s="78">
        <f>W66/W5</f>
        <v>7.6886851387327126E-3</v>
      </c>
      <c r="W66" s="36">
        <f>$B$70/12</f>
        <v>13333.333333333334</v>
      </c>
      <c r="X66" s="78">
        <f>Y66/Y5</f>
        <v>7.6886851387327126E-3</v>
      </c>
      <c r="Y66" s="36">
        <f>$B$70/12</f>
        <v>13333.333333333334</v>
      </c>
      <c r="Z66" s="78">
        <f>AA66/AA5</f>
        <v>7.6886851387327126E-3</v>
      </c>
      <c r="AA66" s="36">
        <f>$B$70/12</f>
        <v>13333.333333333334</v>
      </c>
      <c r="AB66" s="78">
        <f>AC66/AC5</f>
        <v>7.6886851387327126E-3</v>
      </c>
      <c r="AC66" s="85">
        <f t="shared" ref="AC66:AC71" si="242">E66+G66+I66+K66+M66+O66+Q66+S66+U66+W66+Y66+AA66</f>
        <v>160000</v>
      </c>
      <c r="AD66" s="43"/>
      <c r="AE66" s="78">
        <f>AF66/AF5</f>
        <v>7.2534765459742571E-3</v>
      </c>
      <c r="AF66" s="36">
        <f>$AD$70/12</f>
        <v>13333.333333333334</v>
      </c>
      <c r="AG66" s="78">
        <f>AH66/AH5</f>
        <v>7.2534765459742571E-3</v>
      </c>
      <c r="AH66" s="36">
        <f>$AD$70/12</f>
        <v>13333.333333333334</v>
      </c>
      <c r="AI66" s="78">
        <f>AJ66/AJ5</f>
        <v>7.2534765459742571E-3</v>
      </c>
      <c r="AJ66" s="36">
        <f>$AD$70/12</f>
        <v>13333.333333333334</v>
      </c>
      <c r="AK66" s="78">
        <f>AL66/AL5</f>
        <v>7.2534765459742571E-3</v>
      </c>
      <c r="AL66" s="36">
        <f>$AD$70/12</f>
        <v>13333.333333333334</v>
      </c>
      <c r="AM66" s="78">
        <f>AN66/AN5</f>
        <v>7.2534765459742571E-3</v>
      </c>
      <c r="AN66" s="36">
        <f>$AD$70/12</f>
        <v>13333.333333333334</v>
      </c>
      <c r="AO66" s="78">
        <f>AP66/AP5</f>
        <v>7.2534765459742571E-3</v>
      </c>
      <c r="AP66" s="36">
        <f>$AD$70/12</f>
        <v>13333.333333333334</v>
      </c>
      <c r="AQ66" s="78">
        <f>AR66/AR5</f>
        <v>7.2534765459742571E-3</v>
      </c>
      <c r="AR66" s="36">
        <f>$AD$70/12</f>
        <v>13333.333333333334</v>
      </c>
      <c r="AS66" s="78">
        <f>AT66/AT5</f>
        <v>7.2534765459742571E-3</v>
      </c>
      <c r="AT66" s="36">
        <f>$AD$70/12</f>
        <v>13333.333333333334</v>
      </c>
      <c r="AU66" s="78">
        <f>AV66/AV5</f>
        <v>7.2534765459742571E-3</v>
      </c>
      <c r="AV66" s="36">
        <f>$AD$70/12</f>
        <v>13333.333333333334</v>
      </c>
      <c r="AW66" s="78">
        <f>AX66/AX5</f>
        <v>7.2534765459742571E-3</v>
      </c>
      <c r="AX66" s="36">
        <f>$AD$70/12</f>
        <v>13333.333333333334</v>
      </c>
      <c r="AY66" s="78">
        <f>AZ66/AZ5</f>
        <v>7.2534765459742571E-3</v>
      </c>
      <c r="AZ66" s="36">
        <f>$AD$70/12</f>
        <v>13333.333333333334</v>
      </c>
      <c r="BA66" s="78">
        <f>BB66/BB5</f>
        <v>7.2534765459742571E-3</v>
      </c>
      <c r="BB66" s="36">
        <f>$AD$70/12</f>
        <v>13333.333333333334</v>
      </c>
      <c r="BC66" s="78">
        <f>BD66/BD5</f>
        <v>7.2534765459742571E-3</v>
      </c>
      <c r="BD66" s="85">
        <f t="shared" ref="BD66:BD71" si="243">AF66+AH66+AJ66+AL66+AN66+AP66+AR66+AT66+AV66+AX66+AZ66+BB66</f>
        <v>160000</v>
      </c>
    </row>
    <row r="67" spans="2:56" outlineLevel="1" x14ac:dyDescent="0.2">
      <c r="C67" s="9" t="s">
        <v>46</v>
      </c>
      <c r="D67" s="78">
        <f>E67/E6</f>
        <v>4.2400729292543836E-3</v>
      </c>
      <c r="E67" s="36">
        <f>$B$70/12</f>
        <v>13333.333333333334</v>
      </c>
      <c r="F67" s="78">
        <f>G67/G6</f>
        <v>4.2400729292543836E-3</v>
      </c>
      <c r="G67" s="36">
        <f>$B$70/12</f>
        <v>13333.333333333334</v>
      </c>
      <c r="H67" s="78">
        <f>I67/I6</f>
        <v>4.2400729292543836E-3</v>
      </c>
      <c r="I67" s="36">
        <f>$B$70/12</f>
        <v>13333.333333333334</v>
      </c>
      <c r="J67" s="78">
        <f>K67/K6</f>
        <v>4.2400729292543836E-3</v>
      </c>
      <c r="K67" s="36">
        <f>$B$70/12</f>
        <v>13333.333333333334</v>
      </c>
      <c r="L67" s="78">
        <f>M67/M6</f>
        <v>4.2400729292543836E-3</v>
      </c>
      <c r="M67" s="36">
        <f>$B$70/12</f>
        <v>13333.333333333334</v>
      </c>
      <c r="N67" s="78">
        <f>O67/O6</f>
        <v>4.2400729292543836E-3</v>
      </c>
      <c r="O67" s="36">
        <f>$B$70/12</f>
        <v>13333.333333333334</v>
      </c>
      <c r="P67" s="78">
        <f>Q67/Q6</f>
        <v>4.0343224826397562E-3</v>
      </c>
      <c r="Q67" s="36">
        <f>$B$70/12</f>
        <v>13333.333333333334</v>
      </c>
      <c r="R67" s="78">
        <f>S67/S6</f>
        <v>4.0343224826397562E-3</v>
      </c>
      <c r="S67" s="36">
        <f>$B$70/12</f>
        <v>13333.333333333334</v>
      </c>
      <c r="T67" s="78">
        <f>U67/U6</f>
        <v>4.0343224826397562E-3</v>
      </c>
      <c r="U67" s="36">
        <f>$B$70/12</f>
        <v>13333.333333333334</v>
      </c>
      <c r="V67" s="78">
        <f>W67/W6</f>
        <v>4.0343224826397562E-3</v>
      </c>
      <c r="W67" s="36">
        <f>$B$70/12</f>
        <v>13333.333333333334</v>
      </c>
      <c r="X67" s="78">
        <f>Y67/Y6</f>
        <v>4.0343224826397562E-3</v>
      </c>
      <c r="Y67" s="36">
        <f>$B$70/12</f>
        <v>13333.333333333334</v>
      </c>
      <c r="Z67" s="78">
        <f>AA67/AA6</f>
        <v>4.0343224826397562E-3</v>
      </c>
      <c r="AA67" s="36">
        <f>$B$70/12</f>
        <v>13333.333333333334</v>
      </c>
      <c r="AB67" s="78">
        <f>AC67/AC6</f>
        <v>4.1346396189706307E-3</v>
      </c>
      <c r="AC67" s="85">
        <f t="shared" si="242"/>
        <v>160000</v>
      </c>
      <c r="AD67" s="43"/>
      <c r="AE67" s="78">
        <f>AF67/AF6</f>
        <v>4.0343224826397562E-3</v>
      </c>
      <c r="AF67" s="36">
        <f>$AD$70/12</f>
        <v>13333.333333333334</v>
      </c>
      <c r="AG67" s="78">
        <f>AH67/AH6</f>
        <v>4.0343224826397562E-3</v>
      </c>
      <c r="AH67" s="36">
        <f>$AD$70/12</f>
        <v>13333.333333333334</v>
      </c>
      <c r="AI67" s="78">
        <f>AJ67/AJ6</f>
        <v>4.0343224826397562E-3</v>
      </c>
      <c r="AJ67" s="36">
        <f>$AD$70/12</f>
        <v>13333.333333333334</v>
      </c>
      <c r="AK67" s="78">
        <f>AL67/AL6</f>
        <v>4.0343224826397562E-3</v>
      </c>
      <c r="AL67" s="36">
        <f>$AD$70/12</f>
        <v>13333.333333333334</v>
      </c>
      <c r="AM67" s="78">
        <f>AN67/AN6</f>
        <v>4.0343224826397562E-3</v>
      </c>
      <c r="AN67" s="36">
        <f>$AD$70/12</f>
        <v>13333.333333333334</v>
      </c>
      <c r="AO67" s="78">
        <f>AP67/AP6</f>
        <v>4.0343224826397562E-3</v>
      </c>
      <c r="AP67" s="36">
        <f>$AD$70/12</f>
        <v>13333.333333333334</v>
      </c>
      <c r="AQ67" s="78">
        <f>AR67/AR6</f>
        <v>3.8059646062639208E-3</v>
      </c>
      <c r="AR67" s="36">
        <f>$AD$70/12</f>
        <v>13333.333333333334</v>
      </c>
      <c r="AS67" s="78">
        <f>AT67/AT6</f>
        <v>3.8059646062639208E-3</v>
      </c>
      <c r="AT67" s="36">
        <f>$AD$70/12</f>
        <v>13333.333333333334</v>
      </c>
      <c r="AU67" s="78">
        <f>AV67/AV6</f>
        <v>3.8059646062639208E-3</v>
      </c>
      <c r="AV67" s="36">
        <f>$AD$70/12</f>
        <v>13333.333333333334</v>
      </c>
      <c r="AW67" s="78">
        <f>AX67/AX6</f>
        <v>3.8059646062639208E-3</v>
      </c>
      <c r="AX67" s="36">
        <f>$AD$70/12</f>
        <v>13333.333333333334</v>
      </c>
      <c r="AY67" s="78">
        <f>AZ67/AZ6</f>
        <v>3.8059646062639208E-3</v>
      </c>
      <c r="AZ67" s="36">
        <f>$AD$70/12</f>
        <v>13333.333333333334</v>
      </c>
      <c r="BA67" s="78">
        <f>BB67/BB6</f>
        <v>3.8059646062639208E-3</v>
      </c>
      <c r="BB67" s="36">
        <f>$AD$70/12</f>
        <v>13333.333333333334</v>
      </c>
      <c r="BC67" s="78">
        <f>BD67/BD6</f>
        <v>3.9168179443104427E-3</v>
      </c>
      <c r="BD67" s="85">
        <f t="shared" si="243"/>
        <v>160000</v>
      </c>
    </row>
    <row r="68" spans="2:56" outlineLevel="1" x14ac:dyDescent="0.2">
      <c r="C68" s="9" t="s">
        <v>0</v>
      </c>
      <c r="D68" s="78">
        <f>E68/E7</f>
        <v>8.7719298245614048E-3</v>
      </c>
      <c r="E68" s="36">
        <f>$B$70/12</f>
        <v>13333.333333333334</v>
      </c>
      <c r="F68" s="78">
        <f>G68/G7</f>
        <v>8.7719298245614048E-3</v>
      </c>
      <c r="G68" s="36">
        <f>$B$70/12</f>
        <v>13333.333333333334</v>
      </c>
      <c r="H68" s="78">
        <f>I68/I7</f>
        <v>8.7719298245614048E-3</v>
      </c>
      <c r="I68" s="36">
        <f>$B$70/12</f>
        <v>13333.333333333334</v>
      </c>
      <c r="J68" s="78">
        <f>K68/K7</f>
        <v>8.7719298245614048E-3</v>
      </c>
      <c r="K68" s="36">
        <f>$B$70/12</f>
        <v>13333.333333333334</v>
      </c>
      <c r="L68" s="78">
        <f>M68/M7</f>
        <v>8.7719298245614048E-3</v>
      </c>
      <c r="M68" s="36">
        <f>$B$70/12</f>
        <v>13333.333333333334</v>
      </c>
      <c r="N68" s="78">
        <f>O68/O7</f>
        <v>6.8376068376068376E-3</v>
      </c>
      <c r="O68" s="36">
        <f>$B$70/12</f>
        <v>13333.333333333334</v>
      </c>
      <c r="P68" s="78">
        <f>Q68/Q7</f>
        <v>6.3492063492063492E-3</v>
      </c>
      <c r="Q68" s="36">
        <f>$B$70/12</f>
        <v>13333.333333333334</v>
      </c>
      <c r="R68" s="78">
        <f>S68/S7</f>
        <v>6.3492063492063492E-3</v>
      </c>
      <c r="S68" s="36">
        <f>$B$70/12</f>
        <v>13333.333333333334</v>
      </c>
      <c r="T68" s="78">
        <f>U68/U7</f>
        <v>6.3492063492063492E-3</v>
      </c>
      <c r="U68" s="36">
        <f>$B$70/12</f>
        <v>13333.333333333334</v>
      </c>
      <c r="V68" s="78">
        <f>W68/W7</f>
        <v>6.3492063492063492E-3</v>
      </c>
      <c r="W68" s="36">
        <f>$B$70/12</f>
        <v>13333.333333333334</v>
      </c>
      <c r="X68" s="78">
        <f>Y68/Y7</f>
        <v>6.3492063492063492E-3</v>
      </c>
      <c r="Y68" s="36">
        <f>$B$70/12</f>
        <v>13333.333333333334</v>
      </c>
      <c r="Z68" s="78">
        <f>AA68/AA7</f>
        <v>6.3492063492063492E-3</v>
      </c>
      <c r="AA68" s="36">
        <f>$B$70/12</f>
        <v>13333.333333333334</v>
      </c>
      <c r="AB68" s="78">
        <f>AC68/AC7</f>
        <v>7.2234762979683969E-3</v>
      </c>
      <c r="AC68" s="85">
        <f t="shared" si="242"/>
        <v>160000</v>
      </c>
      <c r="AD68" s="43"/>
      <c r="AE68" s="78">
        <f>AF68/AF7</f>
        <v>8.3462700519138008E-3</v>
      </c>
      <c r="AF68" s="36">
        <f>$AD$70/12</f>
        <v>13333.333333333334</v>
      </c>
      <c r="AG68" s="78">
        <f>AH68/AH7</f>
        <v>8.3462700519138008E-3</v>
      </c>
      <c r="AH68" s="36">
        <f>$AD$70/12</f>
        <v>13333.333333333334</v>
      </c>
      <c r="AI68" s="78">
        <f>AJ68/AJ7</f>
        <v>8.3462700519138008E-3</v>
      </c>
      <c r="AJ68" s="36">
        <f>$AD$70/12</f>
        <v>13333.333333333334</v>
      </c>
      <c r="AK68" s="78">
        <f>AL68/AL7</f>
        <v>8.3462700519138008E-3</v>
      </c>
      <c r="AL68" s="36">
        <f>$AD$70/12</f>
        <v>13333.333333333334</v>
      </c>
      <c r="AM68" s="78">
        <f>AN68/AN7</f>
        <v>8.3462700519138008E-3</v>
      </c>
      <c r="AN68" s="36">
        <f>$AD$70/12</f>
        <v>13333.333333333334</v>
      </c>
      <c r="AO68" s="78">
        <f>AP68/AP7</f>
        <v>7.8738396716167922E-3</v>
      </c>
      <c r="AP68" s="36">
        <f>$AD$70/12</f>
        <v>13333.333333333334</v>
      </c>
      <c r="AQ68" s="78">
        <f>AR68/AR7</f>
        <v>7.8738396716167922E-3</v>
      </c>
      <c r="AR68" s="36">
        <f>$AD$70/12</f>
        <v>13333.333333333334</v>
      </c>
      <c r="AS68" s="78">
        <f>AT68/AT7</f>
        <v>7.8738396716167922E-3</v>
      </c>
      <c r="AT68" s="36">
        <f>$AD$70/12</f>
        <v>13333.333333333334</v>
      </c>
      <c r="AU68" s="78">
        <f>AV68/AV7</f>
        <v>7.8738396716167922E-3</v>
      </c>
      <c r="AV68" s="36">
        <f>$AD$70/12</f>
        <v>13333.333333333334</v>
      </c>
      <c r="AW68" s="78">
        <f>AX68/AX7</f>
        <v>7.8738396716167922E-3</v>
      </c>
      <c r="AX68" s="36">
        <f>$AD$70/12</f>
        <v>13333.333333333334</v>
      </c>
      <c r="AY68" s="78">
        <f>AZ68/AZ7</f>
        <v>7.8738396716167922E-3</v>
      </c>
      <c r="AZ68" s="36">
        <f>$AD$70/12</f>
        <v>13333.333333333334</v>
      </c>
      <c r="BA68" s="78">
        <f>BB68/BB7</f>
        <v>7.8738396716167922E-3</v>
      </c>
      <c r="BB68" s="36">
        <f>$AD$70/12</f>
        <v>13333.333333333334</v>
      </c>
      <c r="BC68" s="78">
        <f>BD68/BD7</f>
        <v>8.0640290356655091E-3</v>
      </c>
      <c r="BD68" s="85">
        <f t="shared" si="243"/>
        <v>160000</v>
      </c>
    </row>
    <row r="69" spans="2:56" outlineLevel="1" x14ac:dyDescent="0.2">
      <c r="C69" s="9" t="s">
        <v>77</v>
      </c>
      <c r="D69" s="78">
        <f>E69/E9</f>
        <v>7.7745383867832852E-3</v>
      </c>
      <c r="E69" s="36">
        <f>$B$70/12</f>
        <v>13333.333333333334</v>
      </c>
      <c r="F69" s="78">
        <f>G69/G9</f>
        <v>7.7745383867832852E-3</v>
      </c>
      <c r="G69" s="36">
        <f>$B$70/12</f>
        <v>13333.333333333334</v>
      </c>
      <c r="H69" s="78">
        <f>I69/I9</f>
        <v>7.7745383867832852E-3</v>
      </c>
      <c r="I69" s="36">
        <f>$B$70/12</f>
        <v>13333.333333333334</v>
      </c>
      <c r="J69" s="78">
        <f>K69/K9</f>
        <v>7.7745383867832852E-3</v>
      </c>
      <c r="K69" s="36">
        <f>$B$70/12</f>
        <v>13333.333333333334</v>
      </c>
      <c r="L69" s="78">
        <f>M69/M9</f>
        <v>7.7745383867832852E-3</v>
      </c>
      <c r="M69" s="36">
        <f>$B$70/12</f>
        <v>13333.333333333334</v>
      </c>
      <c r="N69" s="78">
        <f>O69/O9</f>
        <v>7.7745383867832852E-3</v>
      </c>
      <c r="O69" s="36">
        <f>$B$70/12</f>
        <v>13333.333333333334</v>
      </c>
      <c r="P69" s="78">
        <f>Q69/Q9</f>
        <v>7.7745383867832852E-3</v>
      </c>
      <c r="Q69" s="36">
        <f>$B$70/12</f>
        <v>13333.333333333334</v>
      </c>
      <c r="R69" s="78">
        <f>S69/S9</f>
        <v>7.7745383867832852E-3</v>
      </c>
      <c r="S69" s="36">
        <f>$B$70/12</f>
        <v>13333.333333333334</v>
      </c>
      <c r="T69" s="78">
        <f>U69/U9</f>
        <v>7.7745383867832852E-3</v>
      </c>
      <c r="U69" s="36">
        <f>$B$70/12</f>
        <v>13333.333333333334</v>
      </c>
      <c r="V69" s="78">
        <f>W69/W9</f>
        <v>7.7745383867832852E-3</v>
      </c>
      <c r="W69" s="36">
        <f>$B$70/12</f>
        <v>13333.333333333334</v>
      </c>
      <c r="X69" s="78">
        <f>Y69/Y9</f>
        <v>7.7745383867832852E-3</v>
      </c>
      <c r="Y69" s="36">
        <f>$B$70/12</f>
        <v>13333.333333333334</v>
      </c>
      <c r="Z69" s="78">
        <f>AA69/AA9</f>
        <v>7.3972772471772455E-3</v>
      </c>
      <c r="AA69" s="36">
        <f>$B$70/12</f>
        <v>13333.333333333334</v>
      </c>
      <c r="AB69" s="78">
        <f>AC69/AC9</f>
        <v>7.7416364319475078E-3</v>
      </c>
      <c r="AC69" s="85">
        <f t="shared" si="242"/>
        <v>160000</v>
      </c>
      <c r="AD69" s="43"/>
      <c r="AE69" s="78">
        <f>AF69/AF9</f>
        <v>7.3972772471772455E-3</v>
      </c>
      <c r="AF69" s="36">
        <f>$AD$70/12</f>
        <v>13333.333333333334</v>
      </c>
      <c r="AG69" s="78">
        <f>AH69/AH9</f>
        <v>7.3972772471772455E-3</v>
      </c>
      <c r="AH69" s="36">
        <f>$AD$70/12</f>
        <v>13333.333333333334</v>
      </c>
      <c r="AI69" s="78">
        <f>AJ69/AJ9</f>
        <v>7.3972772471772455E-3</v>
      </c>
      <c r="AJ69" s="36">
        <f>$AD$70/12</f>
        <v>13333.333333333334</v>
      </c>
      <c r="AK69" s="78">
        <f>AL69/AL9</f>
        <v>7.3972772471772455E-3</v>
      </c>
      <c r="AL69" s="36">
        <f>$AD$70/12</f>
        <v>13333.333333333334</v>
      </c>
      <c r="AM69" s="78">
        <f>AN69/AN9</f>
        <v>7.3972772471772455E-3</v>
      </c>
      <c r="AN69" s="36">
        <f>$AD$70/12</f>
        <v>13333.333333333334</v>
      </c>
      <c r="AO69" s="78">
        <f>AP69/AP9</f>
        <v>7.3972772471772455E-3</v>
      </c>
      <c r="AP69" s="36">
        <f>$AD$70/12</f>
        <v>13333.333333333334</v>
      </c>
      <c r="AQ69" s="78">
        <f>AR69/AR9</f>
        <v>7.3972772471772455E-3</v>
      </c>
      <c r="AR69" s="36">
        <f>$AD$70/12</f>
        <v>13333.333333333334</v>
      </c>
      <c r="AS69" s="78">
        <f>AT69/AT9</f>
        <v>7.3972772471772455E-3</v>
      </c>
      <c r="AT69" s="36">
        <f>$AD$70/12</f>
        <v>13333.333333333334</v>
      </c>
      <c r="AU69" s="78">
        <f>AV69/AV9</f>
        <v>7.3972772471772455E-3</v>
      </c>
      <c r="AV69" s="36">
        <f>$AD$70/12</f>
        <v>13333.333333333334</v>
      </c>
      <c r="AW69" s="78">
        <f>AX69/AX9</f>
        <v>7.3972772471772455E-3</v>
      </c>
      <c r="AX69" s="36">
        <f>$AD$70/12</f>
        <v>13333.333333333334</v>
      </c>
      <c r="AY69" s="78">
        <f>AZ69/AZ9</f>
        <v>7.3972772471772455E-3</v>
      </c>
      <c r="AZ69" s="36">
        <f>$AD$70/12</f>
        <v>13333.333333333334</v>
      </c>
      <c r="BA69" s="78">
        <f>BB69/BB9</f>
        <v>6.9785634407332504E-3</v>
      </c>
      <c r="BB69" s="36">
        <f>$AD$70/12</f>
        <v>13333.333333333334</v>
      </c>
      <c r="BC69" s="78">
        <f>BD69/BD9</f>
        <v>7.3604748728131799E-3</v>
      </c>
      <c r="BD69" s="85">
        <f t="shared" si="243"/>
        <v>160000</v>
      </c>
    </row>
    <row r="70" spans="2:56" outlineLevel="1" x14ac:dyDescent="0.2">
      <c r="B70" s="92">
        <v>160000</v>
      </c>
      <c r="C70" s="9" t="s">
        <v>7</v>
      </c>
      <c r="D70" s="78">
        <f>E70/E10</f>
        <v>1.513431706394249E-2</v>
      </c>
      <c r="E70" s="36">
        <f>$B$70/12</f>
        <v>13333.333333333334</v>
      </c>
      <c r="F70" s="78">
        <f>G70/G10</f>
        <v>1.513431706394249E-2</v>
      </c>
      <c r="G70" s="36">
        <f>$B$70/12</f>
        <v>13333.333333333334</v>
      </c>
      <c r="H70" s="78">
        <f>I70/I10</f>
        <v>1.513431706394249E-2</v>
      </c>
      <c r="I70" s="36">
        <f>$B$70/12</f>
        <v>13333.333333333334</v>
      </c>
      <c r="J70" s="78">
        <f>K70/K10</f>
        <v>1.513431706394249E-2</v>
      </c>
      <c r="K70" s="36">
        <f>$B$70/12</f>
        <v>13333.333333333334</v>
      </c>
      <c r="L70" s="78">
        <f>M70/M10</f>
        <v>1.513431706394249E-2</v>
      </c>
      <c r="M70" s="36">
        <f>$B$70/12</f>
        <v>13333.333333333334</v>
      </c>
      <c r="N70" s="78">
        <f>O70/O10</f>
        <v>1.513431706394249E-2</v>
      </c>
      <c r="O70" s="36">
        <f>$B$70/12</f>
        <v>13333.333333333334</v>
      </c>
      <c r="P70" s="78">
        <f>Q70/Q10</f>
        <v>1.513431706394249E-2</v>
      </c>
      <c r="Q70" s="36">
        <f>$B$70/12</f>
        <v>13333.333333333334</v>
      </c>
      <c r="R70" s="78">
        <f>S70/S10</f>
        <v>1.4399921088432436E-2</v>
      </c>
      <c r="S70" s="36">
        <f>$B$70/12</f>
        <v>13333.333333333334</v>
      </c>
      <c r="T70" s="78">
        <f>U70/U10</f>
        <v>1.4399921088432436E-2</v>
      </c>
      <c r="U70" s="36">
        <f>$B$70/12</f>
        <v>13333.333333333334</v>
      </c>
      <c r="V70" s="78">
        <f>W70/W10</f>
        <v>1.4399921088432436E-2</v>
      </c>
      <c r="W70" s="36">
        <f>$B$70/12</f>
        <v>13333.333333333334</v>
      </c>
      <c r="X70" s="78">
        <f>Y70/Y10</f>
        <v>1.4399921088432436E-2</v>
      </c>
      <c r="Y70" s="36">
        <f>$B$70/12</f>
        <v>13333.333333333334</v>
      </c>
      <c r="Z70" s="78">
        <f>AA70/AA10</f>
        <v>1.4399921088432436E-2</v>
      </c>
      <c r="AA70" s="36">
        <f>$B$70/12</f>
        <v>13333.333333333334</v>
      </c>
      <c r="AB70" s="78">
        <f>AC70/AC10</f>
        <v>1.4819404713774775E-2</v>
      </c>
      <c r="AC70" s="85">
        <f t="shared" si="242"/>
        <v>160000</v>
      </c>
      <c r="AD70" s="92">
        <v>160000</v>
      </c>
      <c r="AE70" s="78">
        <f>AF70/AF10</f>
        <v>1.4399921088432436E-2</v>
      </c>
      <c r="AF70" s="36">
        <f>$AD$70/12</f>
        <v>13333.333333333334</v>
      </c>
      <c r="AG70" s="78">
        <f>AH70/AH10</f>
        <v>1.4399921088432436E-2</v>
      </c>
      <c r="AH70" s="36">
        <f>$AD$70/12</f>
        <v>13333.333333333334</v>
      </c>
      <c r="AI70" s="78">
        <f>AJ70/AJ10</f>
        <v>1.4399921088432436E-2</v>
      </c>
      <c r="AJ70" s="36">
        <f>$AD$70/12</f>
        <v>13333.333333333334</v>
      </c>
      <c r="AK70" s="78">
        <f>AL70/AL10</f>
        <v>1.4399921088432436E-2</v>
      </c>
      <c r="AL70" s="36">
        <f>$AD$70/12</f>
        <v>13333.333333333334</v>
      </c>
      <c r="AM70" s="78">
        <f>AN70/AN10</f>
        <v>1.4399921088432436E-2</v>
      </c>
      <c r="AN70" s="36">
        <f>$AD$70/12</f>
        <v>13333.333333333334</v>
      </c>
      <c r="AO70" s="78">
        <f>AP70/AP10</f>
        <v>1.4399921088432436E-2</v>
      </c>
      <c r="AP70" s="36">
        <f>$AD$70/12</f>
        <v>13333.333333333334</v>
      </c>
      <c r="AQ70" s="78">
        <f>AR70/AR10</f>
        <v>1.4399921088432436E-2</v>
      </c>
      <c r="AR70" s="36">
        <f>$AD$70/12</f>
        <v>13333.333333333334</v>
      </c>
      <c r="AS70" s="78">
        <f>AT70/AT10</f>
        <v>1.3584831215502297E-2</v>
      </c>
      <c r="AT70" s="36">
        <f>$AD$70/12</f>
        <v>13333.333333333334</v>
      </c>
      <c r="AU70" s="78">
        <f>AV70/AV10</f>
        <v>1.3584831215502297E-2</v>
      </c>
      <c r="AV70" s="36">
        <f>$AD$70/12</f>
        <v>13333.333333333334</v>
      </c>
      <c r="AW70" s="78">
        <f>AX70/AX10</f>
        <v>1.3584831215502297E-2</v>
      </c>
      <c r="AX70" s="36">
        <f>$AD$70/12</f>
        <v>13333.333333333334</v>
      </c>
      <c r="AY70" s="78">
        <f>AZ70/AZ10</f>
        <v>1.3584831215502297E-2</v>
      </c>
      <c r="AZ70" s="36">
        <f>$AD$70/12</f>
        <v>13333.333333333334</v>
      </c>
      <c r="BA70" s="78">
        <f>BB70/BB10</f>
        <v>1.3584831215502297E-2</v>
      </c>
      <c r="BB70" s="36">
        <f>$AD$70/12</f>
        <v>13333.333333333334</v>
      </c>
      <c r="BC70" s="78">
        <f>BD70/BD10</f>
        <v>1.4048703500909695E-2</v>
      </c>
      <c r="BD70" s="85">
        <f t="shared" si="243"/>
        <v>160000</v>
      </c>
    </row>
    <row r="71" spans="2:56" x14ac:dyDescent="0.2">
      <c r="B71" s="83" t="s">
        <v>84</v>
      </c>
      <c r="C71" s="52"/>
      <c r="D71" s="84">
        <f>E71/E11</f>
        <v>7.0214241203472097E-3</v>
      </c>
      <c r="E71" s="85">
        <f>SUM(E66:E70)</f>
        <v>66666.666666666672</v>
      </c>
      <c r="F71" s="84">
        <f>G71/G11</f>
        <v>7.0214241203472097E-3</v>
      </c>
      <c r="G71" s="85">
        <f>SUM(G66:G70)</f>
        <v>66666.666666666672</v>
      </c>
      <c r="H71" s="84">
        <f>I71/I11</f>
        <v>7.0214241203472097E-3</v>
      </c>
      <c r="I71" s="85">
        <f>SUM(I66:I70)</f>
        <v>66666.666666666672</v>
      </c>
      <c r="J71" s="84">
        <f>K71/K11</f>
        <v>7.0214241203472097E-3</v>
      </c>
      <c r="K71" s="85">
        <f>SUM(K66:K70)</f>
        <v>66666.666666666672</v>
      </c>
      <c r="L71" s="84">
        <f>M71/M11</f>
        <v>7.0214241203472097E-3</v>
      </c>
      <c r="M71" s="85">
        <f>SUM(M66:M70)</f>
        <v>66666.666666666672</v>
      </c>
      <c r="N71" s="84">
        <f>O71/O11</f>
        <v>6.6999991625001053E-3</v>
      </c>
      <c r="O71" s="85">
        <f>SUM(O66:O70)</f>
        <v>66666.666666666672</v>
      </c>
      <c r="P71" s="84">
        <f>Q71/Q11</f>
        <v>6.4973302567435005E-3</v>
      </c>
      <c r="Q71" s="85">
        <f>SUM(Q66:Q70)</f>
        <v>66666.666666666672</v>
      </c>
      <c r="R71" s="84">
        <f>S71/S11</f>
        <v>6.4690026675191265E-3</v>
      </c>
      <c r="S71" s="85">
        <f>SUM(S66:S70)</f>
        <v>66666.666666666672</v>
      </c>
      <c r="T71" s="84">
        <f>U71/U11</f>
        <v>6.4690026675191265E-3</v>
      </c>
      <c r="U71" s="85">
        <f>SUM(U66:U70)</f>
        <v>66666.666666666672</v>
      </c>
      <c r="V71" s="84">
        <f>W71/W11</f>
        <v>6.4690026675191265E-3</v>
      </c>
      <c r="W71" s="85">
        <f>SUM(W66:W70)</f>
        <v>66666.666666666672</v>
      </c>
      <c r="X71" s="84">
        <f>Y71/Y11</f>
        <v>6.4690026675191265E-3</v>
      </c>
      <c r="Y71" s="85">
        <f>SUM(Y66:Y70)</f>
        <v>66666.666666666672</v>
      </c>
      <c r="Z71" s="84">
        <f>AA71/AA11</f>
        <v>6.4145611976047338E-3</v>
      </c>
      <c r="AA71" s="85">
        <f>SUM(AA66:AA70)</f>
        <v>66666.666666666672</v>
      </c>
      <c r="AB71" s="84">
        <f>AC71/AC11</f>
        <v>6.7057911806098274E-3</v>
      </c>
      <c r="AC71" s="85">
        <f t="shared" si="242"/>
        <v>799999.99999999988</v>
      </c>
      <c r="AD71" s="43"/>
      <c r="AE71" s="84">
        <f>AF71/AF11</f>
        <v>6.6702755525516197E-3</v>
      </c>
      <c r="AF71" s="85">
        <f>SUM(AF66:AF70)</f>
        <v>66666.666666666672</v>
      </c>
      <c r="AG71" s="84">
        <f>AH71/AH11</f>
        <v>6.6702755525516197E-3</v>
      </c>
      <c r="AH71" s="85">
        <f>SUM(AH66:AH70)</f>
        <v>66666.666666666672</v>
      </c>
      <c r="AI71" s="84">
        <f>AJ71/AJ11</f>
        <v>6.6702755525516197E-3</v>
      </c>
      <c r="AJ71" s="85">
        <f>SUM(AJ66:AJ70)</f>
        <v>66666.666666666672</v>
      </c>
      <c r="AK71" s="84">
        <f>AL71/AL11</f>
        <v>6.6702755525516197E-3</v>
      </c>
      <c r="AL71" s="85">
        <f>SUM(AL66:AL70)</f>
        <v>66666.666666666672</v>
      </c>
      <c r="AM71" s="84">
        <f>AN71/AN11</f>
        <v>6.6702755525516197E-3</v>
      </c>
      <c r="AN71" s="85">
        <f>SUM(AN66:AN70)</f>
        <v>66666.666666666672</v>
      </c>
      <c r="AO71" s="84">
        <f>AP71/AP11</f>
        <v>6.6069132149971753E-3</v>
      </c>
      <c r="AP71" s="85">
        <f>SUM(AP66:AP70)</f>
        <v>66666.666666666672</v>
      </c>
      <c r="AQ71" s="84">
        <f>AR71/AR11</f>
        <v>6.4795758623387894E-3</v>
      </c>
      <c r="AR71" s="85">
        <f>SUM(AR66:AR70)</f>
        <v>66666.666666666672</v>
      </c>
      <c r="AS71" s="84">
        <f>AT71/AT11</f>
        <v>6.4447761582763366E-3</v>
      </c>
      <c r="AT71" s="85">
        <f>SUM(AT66:AT70)</f>
        <v>66666.666666666672</v>
      </c>
      <c r="AU71" s="84">
        <f>AV71/AV11</f>
        <v>6.4447761582763366E-3</v>
      </c>
      <c r="AV71" s="85">
        <f>SUM(AV66:AV70)</f>
        <v>66666.666666666672</v>
      </c>
      <c r="AW71" s="84">
        <f>AX71/AX11</f>
        <v>6.4447761582763366E-3</v>
      </c>
      <c r="AX71" s="85">
        <f>SUM(AX66:AX70)</f>
        <v>66666.666666666672</v>
      </c>
      <c r="AY71" s="84">
        <f>AZ71/AZ11</f>
        <v>6.4447761582763366E-3</v>
      </c>
      <c r="AZ71" s="85">
        <f>SUM(AZ66:AZ70)</f>
        <v>66666.666666666672</v>
      </c>
      <c r="BA71" s="84">
        <f>BB71/BB11</f>
        <v>6.358912450246279E-3</v>
      </c>
      <c r="BB71" s="85">
        <f>SUM(BB66:BB70)</f>
        <v>66666.666666666672</v>
      </c>
      <c r="BC71" s="84">
        <f>BD71/BD11</f>
        <v>6.5459333810526481E-3</v>
      </c>
      <c r="BD71" s="85">
        <f t="shared" si="243"/>
        <v>799999.99999999988</v>
      </c>
    </row>
    <row r="72" spans="2:56" x14ac:dyDescent="0.2">
      <c r="BD72" s="39"/>
    </row>
    <row r="73" spans="2:56" outlineLevel="1" x14ac:dyDescent="0.2">
      <c r="C73" s="9" t="s">
        <v>1</v>
      </c>
      <c r="D73" s="78">
        <f t="shared" ref="D73:D79" si="244">E73/E5</f>
        <v>0.17181805726714222</v>
      </c>
      <c r="E73" s="39">
        <f>E5-E13-E21-E26-E34-E42-E50-E58-E66</f>
        <v>297958.28400981467</v>
      </c>
      <c r="F73" s="78">
        <f t="shared" ref="F73:F79" si="245">G73/G5</f>
        <v>0.16737497029802761</v>
      </c>
      <c r="G73" s="39">
        <f>G5-G13-G21-G26-G34-G42-G50-G58-G66</f>
        <v>290253.30474232457</v>
      </c>
      <c r="H73" s="78">
        <f t="shared" ref="H73:H79" si="246">I73/I5</f>
        <v>0.16737497029802761</v>
      </c>
      <c r="I73" s="39">
        <f>I5-I13-I21-I26-I34-I42-I50-I58-I66</f>
        <v>290253.30474232457</v>
      </c>
      <c r="J73" s="78">
        <f t="shared" ref="J73:J79" si="247">K73/K5</f>
        <v>0.16737497029802761</v>
      </c>
      <c r="K73" s="39">
        <f>K5-K13-K21-K26-K34-K42-K50-K58-K66</f>
        <v>290253.30474232457</v>
      </c>
      <c r="L73" s="78">
        <f t="shared" ref="L73:L79" si="248">M73/M5</f>
        <v>0.16737497029802761</v>
      </c>
      <c r="M73" s="39">
        <f>M5-M13-M21-M26-M34-M42-M50-M58-M66</f>
        <v>290253.30474232457</v>
      </c>
      <c r="N73" s="78">
        <f t="shared" ref="N73:N79" si="249">O73/O5</f>
        <v>0.1712265473899921</v>
      </c>
      <c r="O73" s="39">
        <f>O5-O13-O21-O26-O34-O42-O50-O58-O66</f>
        <v>296932.51715635479</v>
      </c>
      <c r="P73" s="78">
        <f t="shared" ref="P73:P79" si="250">Q73/Q5</f>
        <v>0.17365509220460157</v>
      </c>
      <c r="Q73" s="39">
        <f>Q5-Q13-Q21-Q26-Q34-Q42-Q50-Q58-Q66</f>
        <v>301143.97814660979</v>
      </c>
      <c r="R73" s="78">
        <f t="shared" ref="R73:R79" si="251">S73/S5</f>
        <v>0.17399453657898359</v>
      </c>
      <c r="S73" s="39">
        <f>S5-S13-S21-S26-S34-S42-S50-S58-S66</f>
        <v>301732.62560844439</v>
      </c>
      <c r="T73" s="78">
        <f t="shared" ref="T73:T79" si="252">U73/U5</f>
        <v>0.17399453657898359</v>
      </c>
      <c r="U73" s="39">
        <f>U5-U13-U21-U26-U34-U42-U50-U58-U66</f>
        <v>301732.62560844439</v>
      </c>
      <c r="V73" s="78">
        <f t="shared" ref="V73:V79" si="253">W73/W5</f>
        <v>0.20877991001387147</v>
      </c>
      <c r="W73" s="39">
        <f>W5-W13-W21-W26-W34-W42-W50-W58-W66</f>
        <v>362055.68095055519</v>
      </c>
      <c r="X73" s="78">
        <f t="shared" ref="X73:X79" si="254">Y73/Y5</f>
        <v>0.20877991001387147</v>
      </c>
      <c r="Y73" s="39">
        <f>Y5-Y13-Y21-Y26-Y34-Y42-Y50-Y58-Y66</f>
        <v>362055.68095055519</v>
      </c>
      <c r="Z73" s="78">
        <f t="shared" ref="Z73:Z79" si="255">AA73/AA5</f>
        <v>0.20913952749870851</v>
      </c>
      <c r="AA73" s="39">
        <f>AA5-AA13-AA21-AA26-AA34-AA42-AA50-AA58-AA66</f>
        <v>362679.31161188538</v>
      </c>
      <c r="AB73" s="78">
        <f t="shared" ref="AB73:AB79" si="256">AC73/AC5</f>
        <v>0.18007399989485537</v>
      </c>
      <c r="AC73" s="96">
        <f>E73+G73+I73+K73+M73+O73+Q73+S73+U73+W73+Y73+AA73</f>
        <v>3747303.9230119614</v>
      </c>
      <c r="AD73" s="43"/>
      <c r="AE73" s="78">
        <f t="shared" ref="AE73:AE79" si="257">AF73/AF5</f>
        <v>0.18728472850654074</v>
      </c>
      <c r="AF73" s="39">
        <f>AF5-AF13-AF21-AF26-AF34-AF42-AF50-AF58-AF66</f>
        <v>344266.60065599467</v>
      </c>
      <c r="AG73" s="78">
        <f t="shared" ref="AG73:AG79" si="258">AH73/AH5</f>
        <v>0.1806755726888773</v>
      </c>
      <c r="AH73" s="39">
        <f>AH5-AH13-AH21-AH26-AH34-AH42-AH50-AH58-AH66</f>
        <v>332117.65704112157</v>
      </c>
      <c r="AI73" s="78">
        <f t="shared" ref="AI73:AI79" si="259">AJ73/AJ5</f>
        <v>0.1806755726888773</v>
      </c>
      <c r="AJ73" s="39">
        <f>AJ5-AJ13-AJ21-AJ26-AJ34-AJ42-AJ50-AJ58-AJ66</f>
        <v>332117.65704112157</v>
      </c>
      <c r="AK73" s="78">
        <f t="shared" ref="AK73:AK79" si="260">AL73/AL5</f>
        <v>0.1806755726888773</v>
      </c>
      <c r="AL73" s="39">
        <f>AL5-AL13-AL21-AL26-AL34-AL42-AL50-AL58-AL66</f>
        <v>332117.65704112157</v>
      </c>
      <c r="AM73" s="78">
        <f t="shared" ref="AM73:AM79" si="261">AN73/AN5</f>
        <v>0.1806755726888773</v>
      </c>
      <c r="AN73" s="39">
        <f>AN5-AN13-AN21-AN26-AN34-AN42-AN50-AN58-AN66</f>
        <v>332117.65704112157</v>
      </c>
      <c r="AO73" s="78">
        <f t="shared" ref="AO73:AO79" si="262">AP73/AP5</f>
        <v>0.18327861264498113</v>
      </c>
      <c r="AP73" s="39">
        <f>AP5-AP13-AP21-AP26-AP34-AP42-AP50-AP58-AP66</f>
        <v>336902.56248539168</v>
      </c>
      <c r="AQ73" s="78">
        <f t="shared" ref="AQ73:AQ79" si="263">AR73/AR5</f>
        <v>0.18850986246415743</v>
      </c>
      <c r="AR73" s="39">
        <f>AR5-AR13-AR21-AR26-AR34-AR42-AR50-AR58-AR66</f>
        <v>346518.64067175175</v>
      </c>
      <c r="AS73" s="78">
        <f t="shared" ref="AS73:AS79" si="264">AT73/AT5</f>
        <v>0.18993949753810538</v>
      </c>
      <c r="AT73" s="39">
        <f>AT5-AT13-AT21-AT26-AT34-AT42-AT50-AT58-AT66</f>
        <v>349146.59443504777</v>
      </c>
      <c r="AU73" s="78">
        <f t="shared" ref="AU73:AU79" si="265">AV73/AV5</f>
        <v>0.18993949753810538</v>
      </c>
      <c r="AV73" s="39">
        <f>AV5-AV13-AV21-AV26-AV34-AV42-AV50-AV58-AV66</f>
        <v>349146.59443504777</v>
      </c>
      <c r="AW73" s="78">
        <f t="shared" ref="AW73:AW79" si="266">AX73/AX5</f>
        <v>0.18993949753810538</v>
      </c>
      <c r="AX73" s="39">
        <f>AX5-AX13-AX21-AX26-AX34-AX42-AX50-AX58-AX66</f>
        <v>349146.59443504777</v>
      </c>
      <c r="AY73" s="78">
        <f t="shared" ref="AY73:AY79" si="267">AZ73/AZ5</f>
        <v>0.18993949753810538</v>
      </c>
      <c r="AZ73" s="39">
        <f>AZ5-AZ13-AZ21-AZ26-AZ34-AZ42-AZ50-AZ58-AZ66</f>
        <v>349146.59443504777</v>
      </c>
      <c r="BA73" s="78">
        <f t="shared" ref="BA73:BA79" si="268">BB73/BB5</f>
        <v>0.19346693467833762</v>
      </c>
      <c r="BB73" s="39">
        <f>BB5-BB13-BB21-BB26-BB34-BB42-BB50-BB58-BB66</f>
        <v>355630.7258587855</v>
      </c>
      <c r="BC73" s="78">
        <f t="shared" ref="BC73:BC79" si="269">BD73/BD5</f>
        <v>0.18625003493349565</v>
      </c>
      <c r="BD73" s="96">
        <f>AF73+AH73+AJ73+AL73+AN73+AP73+AR73+AT73+AV73+AX73+AZ73+BB73</f>
        <v>4108375.5355766015</v>
      </c>
    </row>
    <row r="74" spans="2:56" outlineLevel="1" x14ac:dyDescent="0.2">
      <c r="C74" s="9" t="s">
        <v>46</v>
      </c>
      <c r="D74" s="78">
        <f t="shared" si="244"/>
        <v>0.26668913082432461</v>
      </c>
      <c r="E74" s="39">
        <f>E6-E14-E27-E35-E43-E51-E59-E67</f>
        <v>838630.64079017111</v>
      </c>
      <c r="F74" s="78">
        <f t="shared" si="245"/>
        <v>0.26224604385521005</v>
      </c>
      <c r="G74" s="39">
        <f>G6-G14-G27-G35-G43-G51-G59-G67</f>
        <v>824658.9095070936</v>
      </c>
      <c r="H74" s="78">
        <f t="shared" si="246"/>
        <v>0.26224604385521005</v>
      </c>
      <c r="I74" s="39">
        <f>I6-I14-I27-I35-I43-I51-I59-I67</f>
        <v>824658.9095070936</v>
      </c>
      <c r="J74" s="78">
        <f t="shared" si="247"/>
        <v>0.26224604385521005</v>
      </c>
      <c r="K74" s="39">
        <f>K6-K14-K27-K35-K43-K51-K59-K67</f>
        <v>824658.9095070936</v>
      </c>
      <c r="L74" s="78">
        <f t="shared" si="248"/>
        <v>0.26224604385521005</v>
      </c>
      <c r="M74" s="39">
        <f>M6-M14-M27-M35-M43-M51-M59-M67</f>
        <v>824658.9095070936</v>
      </c>
      <c r="N74" s="78">
        <f t="shared" si="249"/>
        <v>0.26609762094717465</v>
      </c>
      <c r="O74" s="39">
        <f>O6-O14-O27-O35-O43-O51-O59-O67</f>
        <v>836770.57883048535</v>
      </c>
      <c r="P74" s="78">
        <f t="shared" si="250"/>
        <v>0.28568553073914871</v>
      </c>
      <c r="Q74" s="39">
        <f>Q6-Q14-Q27-Q35-Q43-Q51-Q59-Q67</f>
        <v>944183.42268040555</v>
      </c>
      <c r="R74" s="78">
        <f t="shared" si="251"/>
        <v>0.28602497511353064</v>
      </c>
      <c r="S74" s="39">
        <f>S6-S14-S27-S35-S43-S51-S59-S67</f>
        <v>945305.27771585074</v>
      </c>
      <c r="T74" s="78">
        <f t="shared" si="252"/>
        <v>0.28602497511353064</v>
      </c>
      <c r="U74" s="39">
        <f>U6-U14-U27-U35-U43-U51-U59-U67</f>
        <v>945305.27771585074</v>
      </c>
      <c r="V74" s="78">
        <f t="shared" si="253"/>
        <v>0.3208103485484185</v>
      </c>
      <c r="W74" s="39">
        <f>W6-W14-W27-W35-W43-W51-W59-W67</f>
        <v>1060270.0533696699</v>
      </c>
      <c r="X74" s="78">
        <f t="shared" si="254"/>
        <v>0.3208103485484185</v>
      </c>
      <c r="Y74" s="39">
        <f>Y6-Y14-Y27-Y35-Y43-Y51-Y59-Y67</f>
        <v>1060270.0533696699</v>
      </c>
      <c r="Z74" s="78">
        <f t="shared" si="255"/>
        <v>0.32116996603325565</v>
      </c>
      <c r="AA74" s="39">
        <f>AA6-AA14-AA27-AA35-AA43-AA51-AA59-AA67</f>
        <v>1061458.5800227725</v>
      </c>
      <c r="AB74" s="78">
        <f t="shared" si="256"/>
        <v>0.28401949493235434</v>
      </c>
      <c r="AC74" s="96">
        <f t="shared" ref="AC74:AC79" si="270">E74+G74+I74+K74+M74+O74+Q74+S74+U74+W74+Y74+AA74</f>
        <v>10990829.52252325</v>
      </c>
      <c r="AD74" s="43"/>
      <c r="AE74" s="78">
        <f t="shared" si="257"/>
        <v>0.28849953941980772</v>
      </c>
      <c r="AF74" s="39">
        <f>AF6-AF14-AF27-AF35-AF43-AF51-AF59-AF67</f>
        <v>953483.64989416313</v>
      </c>
      <c r="AG74" s="78">
        <f t="shared" si="258"/>
        <v>0.28189038360214425</v>
      </c>
      <c r="AH74" s="39">
        <f>AH6-AH14-AH27-AH35-AH43-AH51-AH59-AH67</f>
        <v>931640.55778934306</v>
      </c>
      <c r="AI74" s="78">
        <f t="shared" si="259"/>
        <v>0.28189038360214425</v>
      </c>
      <c r="AJ74" s="39">
        <f>AJ6-AJ14-AJ27-AJ35-AJ43-AJ51-AJ59-AJ67</f>
        <v>931640.55778934306</v>
      </c>
      <c r="AK74" s="78">
        <f t="shared" si="260"/>
        <v>0.28189038360214425</v>
      </c>
      <c r="AL74" s="39">
        <f>AL6-AL14-AL27-AL35-AL43-AL51-AL59-AL67</f>
        <v>931640.55778934306</v>
      </c>
      <c r="AM74" s="78">
        <f t="shared" si="261"/>
        <v>0.28189038360214425</v>
      </c>
      <c r="AN74" s="39">
        <f>AN6-AN14-AN27-AN35-AN43-AN51-AN59-AN67</f>
        <v>931640.55778934306</v>
      </c>
      <c r="AO74" s="78">
        <f t="shared" si="262"/>
        <v>0.28449342355824808</v>
      </c>
      <c r="AP74" s="39">
        <f>AP6-AP14-AP27-AP35-AP43-AP51-AP59-AP67</f>
        <v>940243.53872705146</v>
      </c>
      <c r="AQ74" s="78">
        <f t="shared" si="263"/>
        <v>0.29788029093261453</v>
      </c>
      <c r="AR74" s="39">
        <f>AR6-AR14-AR27-AR35-AR43-AR51-AR59-AR67</f>
        <v>1043556.0030952754</v>
      </c>
      <c r="AS74" s="78">
        <f t="shared" si="264"/>
        <v>0.2993099260065622</v>
      </c>
      <c r="AT74" s="39">
        <f>AT6-AT14-AT27-AT35-AT43-AT51-AT59-AT67</f>
        <v>1048564.4051583415</v>
      </c>
      <c r="AU74" s="78">
        <f t="shared" si="265"/>
        <v>0.2993099260065622</v>
      </c>
      <c r="AV74" s="39">
        <f>AV6-AV14-AV27-AV35-AV43-AV51-AV59-AV67</f>
        <v>1048564.4051583415</v>
      </c>
      <c r="AW74" s="78">
        <f t="shared" si="266"/>
        <v>0.2993099260065622</v>
      </c>
      <c r="AX74" s="39">
        <f>AX6-AX14-AX27-AX35-AX43-AX51-AX59-AX67</f>
        <v>1048564.4051583415</v>
      </c>
      <c r="AY74" s="78">
        <f t="shared" si="267"/>
        <v>0.2993099260065622</v>
      </c>
      <c r="AZ74" s="39">
        <f>AZ6-AZ14-AZ27-AZ35-AZ43-AZ51-AZ59-AZ67</f>
        <v>1048564.4051583415</v>
      </c>
      <c r="BA74" s="78">
        <f t="shared" si="268"/>
        <v>0.30283736314679438</v>
      </c>
      <c r="BB74" s="39">
        <f>BB6-BB14-BB27-BB35-BB43-BB51-BB59-BB67</f>
        <v>1060921.9807189994</v>
      </c>
      <c r="BC74" s="78">
        <f t="shared" si="269"/>
        <v>0.2917790693348406</v>
      </c>
      <c r="BD74" s="96">
        <f t="shared" ref="BD74:BD79" si="271">AF74+AH74+AJ74+AL74+AN74+AP74+AR74+AT74+AV74+AX74+AZ74+BB74</f>
        <v>11919025.024226228</v>
      </c>
    </row>
    <row r="75" spans="2:56" outlineLevel="1" x14ac:dyDescent="0.2">
      <c r="C75" s="9" t="s">
        <v>0</v>
      </c>
      <c r="D75" s="78">
        <f t="shared" si="244"/>
        <v>-0.10762041354213887</v>
      </c>
      <c r="E75" s="39">
        <f>E7-E15-E22-E28-E36-E44-E52-E60-E68</f>
        <v>-163583.02858405109</v>
      </c>
      <c r="F75" s="78">
        <f t="shared" si="245"/>
        <v>-0.11206350051125338</v>
      </c>
      <c r="G75" s="39">
        <f>G7-G15-G22-G28-G36-G44-G52-G60-G68</f>
        <v>-170336.52077710515</v>
      </c>
      <c r="H75" s="78">
        <f t="shared" si="246"/>
        <v>-0.11206350051125338</v>
      </c>
      <c r="I75" s="39">
        <f>I7-I15-I22-I28-I36-I44-I52-I60-I68</f>
        <v>-170336.52077710515</v>
      </c>
      <c r="J75" s="78">
        <f t="shared" si="247"/>
        <v>-0.11206350051125338</v>
      </c>
      <c r="K75" s="39">
        <f>K7-K15-K22-K28-K36-K44-K52-K60-K68</f>
        <v>-170336.52077710515</v>
      </c>
      <c r="L75" s="78">
        <f t="shared" si="248"/>
        <v>-0.11206350051125338</v>
      </c>
      <c r="M75" s="39">
        <f>M7-M15-M22-M28-M36-M44-M52-M60-M68</f>
        <v>-170336.52077710515</v>
      </c>
      <c r="N75" s="78">
        <f t="shared" si="249"/>
        <v>5.2305322655894014E-2</v>
      </c>
      <c r="O75" s="39">
        <f>O7-O15-O22-O28-O36-O44-O52-O60-O68</f>
        <v>101995.37917899333</v>
      </c>
      <c r="P75" s="78">
        <f t="shared" si="250"/>
        <v>9.526313890476884E-2</v>
      </c>
      <c r="Q75" s="39">
        <f>Q7-Q15-Q22-Q28-Q36-Q44-Q52-Q60-Q68</f>
        <v>200052.59170001457</v>
      </c>
      <c r="R75" s="78">
        <f t="shared" si="251"/>
        <v>9.5602583279150846E-2</v>
      </c>
      <c r="S75" s="39">
        <f>S7-S15-S22-S28-S36-S44-S52-S60-S68</f>
        <v>200765.42488621679</v>
      </c>
      <c r="T75" s="78">
        <f t="shared" si="252"/>
        <v>9.5602583279150846E-2</v>
      </c>
      <c r="U75" s="39">
        <f>U7-U15-U22-U28-U36-U44-U52-U60-U68</f>
        <v>200765.42488621679</v>
      </c>
      <c r="V75" s="78">
        <f t="shared" si="253"/>
        <v>0.13038795671403872</v>
      </c>
      <c r="W75" s="39">
        <f>W7-W15-W22-W28-W36-W44-W52-W60-W68</f>
        <v>273814.70909948129</v>
      </c>
      <c r="X75" s="78">
        <f t="shared" si="254"/>
        <v>0.13038795671403872</v>
      </c>
      <c r="Y75" s="39">
        <f>Y7-Y15-Y22-Y28-Y36-Y44-Y52-Y60-Y68</f>
        <v>273814.70909948129</v>
      </c>
      <c r="Z75" s="78">
        <f t="shared" si="255"/>
        <v>0.13074757419887595</v>
      </c>
      <c r="AA75" s="39">
        <f>AA7-AA15-AA22-AA28-AA36-AA44-AA52-AA60-AA68</f>
        <v>274569.90581763949</v>
      </c>
      <c r="AB75" s="78">
        <f t="shared" si="256"/>
        <v>3.0738105326210911E-2</v>
      </c>
      <c r="AC75" s="96">
        <f t="shared" si="270"/>
        <v>680849.0329755717</v>
      </c>
      <c r="AD75" s="43"/>
      <c r="AE75" s="78">
        <f t="shared" si="257"/>
        <v>-0.12042167607699229</v>
      </c>
      <c r="AF75" s="39">
        <f>AF7-AF15-AF22-AF28-AF36-AF44-AF52-AF60-AF68</f>
        <v>-192376.03596651673</v>
      </c>
      <c r="AG75" s="78">
        <f t="shared" si="258"/>
        <v>-0.12703083189465597</v>
      </c>
      <c r="AH75" s="39">
        <f>AH7-AH15-AH22-AH28-AH36-AH44-AH52-AH60-AH68</f>
        <v>-202934.2945683508</v>
      </c>
      <c r="AI75" s="78">
        <f t="shared" si="259"/>
        <v>-0.12703083189465597</v>
      </c>
      <c r="AJ75" s="39">
        <f>AJ7-AJ15-AJ22-AJ28-AJ36-AJ44-AJ52-AJ60-AJ68</f>
        <v>-202934.2945683508</v>
      </c>
      <c r="AK75" s="78">
        <f t="shared" si="260"/>
        <v>-0.12703083189465597</v>
      </c>
      <c r="AL75" s="39">
        <f>AL7-AL15-AL22-AL28-AL36-AL44-AL52-AL60-AL68</f>
        <v>-202934.2945683508</v>
      </c>
      <c r="AM75" s="78">
        <f t="shared" si="261"/>
        <v>-0.12703083189465597</v>
      </c>
      <c r="AN75" s="39">
        <f>AN7-AN15-AN22-AN28-AN36-AN44-AN52-AN60-AN68</f>
        <v>-202934.2945683508</v>
      </c>
      <c r="AO75" s="78">
        <f t="shared" si="262"/>
        <v>-9.3125690487316642E-2</v>
      </c>
      <c r="AP75" s="39">
        <f>AP7-AP15-AP22-AP28-AP36-AP44-AP52-AP60-AP68</f>
        <v>-157696.36225133599</v>
      </c>
      <c r="AQ75" s="78">
        <f t="shared" si="263"/>
        <v>-8.7894440668140394E-2</v>
      </c>
      <c r="AR75" s="39">
        <f>AR7-AR15-AR22-AR28-AR36-AR44-AR52-AR60-AR68</f>
        <v>-148837.91446753772</v>
      </c>
      <c r="AS75" s="78">
        <f t="shared" si="264"/>
        <v>-8.6464805594192576E-2</v>
      </c>
      <c r="AT75" s="39">
        <f>AT7-AT15-AT22-AT28-AT36-AT44-AT52-AT60-AT68</f>
        <v>-146417.01160680462</v>
      </c>
      <c r="AU75" s="78">
        <f t="shared" si="265"/>
        <v>-8.6464805594192576E-2</v>
      </c>
      <c r="AV75" s="39">
        <f>AV7-AV15-AV22-AV28-AV36-AV44-AV52-AV60-AV68</f>
        <v>-146417.01160680462</v>
      </c>
      <c r="AW75" s="78">
        <f t="shared" si="266"/>
        <v>-8.6464805594192576E-2</v>
      </c>
      <c r="AX75" s="39">
        <f>AX7-AX15-AX22-AX28-AX36-AX44-AX52-AX60-AX68</f>
        <v>-146417.01160680462</v>
      </c>
      <c r="AY75" s="78">
        <f t="shared" si="267"/>
        <v>-8.6464805594192576E-2</v>
      </c>
      <c r="AZ75" s="39">
        <f>AZ7-AZ15-AZ22-AZ28-AZ36-AZ44-AZ52-AZ60-AZ68</f>
        <v>-146417.01160680462</v>
      </c>
      <c r="BA75" s="78">
        <f t="shared" si="268"/>
        <v>-8.2937368453960353E-2</v>
      </c>
      <c r="BB75" s="39">
        <f>BB7-BB15-BB22-BB28-BB36-BB44-BB52-BB60-BB68</f>
        <v>-140443.75114372501</v>
      </c>
      <c r="BC75" s="78">
        <f t="shared" si="269"/>
        <v>-0.10265303775853264</v>
      </c>
      <c r="BD75" s="96">
        <f t="shared" si="271"/>
        <v>-2036759.2885297369</v>
      </c>
    </row>
    <row r="76" spans="2:56" outlineLevel="1" x14ac:dyDescent="0.2">
      <c r="C76" s="9" t="s">
        <v>6</v>
      </c>
      <c r="D76" s="78">
        <f t="shared" si="244"/>
        <v>0.33367041093154531</v>
      </c>
      <c r="E76" s="39">
        <f>E8-E16-E29-E37-E45-E53-E61</f>
        <v>166835.20546577265</v>
      </c>
      <c r="F76" s="78">
        <f t="shared" si="245"/>
        <v>0.32922732396243093</v>
      </c>
      <c r="G76" s="39">
        <f t="shared" ref="G76:AA76" si="272">G8-G16-G29-G37-G45-G53-G61</f>
        <v>164613.66198121547</v>
      </c>
      <c r="H76" s="78">
        <f t="shared" si="246"/>
        <v>0.32922732396243093</v>
      </c>
      <c r="I76" s="39">
        <f t="shared" si="272"/>
        <v>164613.66198121547</v>
      </c>
      <c r="J76" s="78">
        <f t="shared" si="247"/>
        <v>0.32922732396243093</v>
      </c>
      <c r="K76" s="39">
        <f t="shared" si="272"/>
        <v>164613.66198121547</v>
      </c>
      <c r="L76" s="78">
        <f t="shared" si="248"/>
        <v>0.32922732396243093</v>
      </c>
      <c r="M76" s="39">
        <f t="shared" si="272"/>
        <v>164613.66198121547</v>
      </c>
      <c r="N76" s="78">
        <f t="shared" si="249"/>
        <v>0.34698798507508238</v>
      </c>
      <c r="O76" s="39">
        <f t="shared" si="272"/>
        <v>182342.18615695578</v>
      </c>
      <c r="P76" s="78">
        <f t="shared" si="250"/>
        <v>0.34941652988969168</v>
      </c>
      <c r="Q76" s="39">
        <f t="shared" si="272"/>
        <v>183618.38645703299</v>
      </c>
      <c r="R76" s="78">
        <f t="shared" si="251"/>
        <v>0.34975597426407373</v>
      </c>
      <c r="S76" s="39">
        <f t="shared" si="272"/>
        <v>183796.76447577076</v>
      </c>
      <c r="T76" s="78">
        <f t="shared" si="252"/>
        <v>0.34975597426407373</v>
      </c>
      <c r="U76" s="39">
        <f t="shared" si="272"/>
        <v>183796.76447577076</v>
      </c>
      <c r="V76" s="78">
        <f t="shared" si="253"/>
        <v>0.38454134769896181</v>
      </c>
      <c r="W76" s="39">
        <f t="shared" si="272"/>
        <v>202076.47821580444</v>
      </c>
      <c r="X76" s="78">
        <f t="shared" si="254"/>
        <v>0.38454134769896181</v>
      </c>
      <c r="Y76" s="39">
        <f t="shared" si="272"/>
        <v>202076.47821580444</v>
      </c>
      <c r="Z76" s="78">
        <f t="shared" si="255"/>
        <v>0.38490096518379874</v>
      </c>
      <c r="AA76" s="39">
        <f t="shared" si="272"/>
        <v>202265.45720408624</v>
      </c>
      <c r="AB76" s="78">
        <f t="shared" si="256"/>
        <v>0.3504511400164862</v>
      </c>
      <c r="AC76" s="96">
        <f t="shared" si="270"/>
        <v>2165262.3685918599</v>
      </c>
      <c r="AD76" s="43"/>
      <c r="AE76" s="78">
        <f t="shared" si="257"/>
        <v>0.36118504007053631</v>
      </c>
      <c r="AF76" s="39">
        <f>AF8-AF16-AF29-AF37-AF45-AF53-AF61</f>
        <v>189802.73855706683</v>
      </c>
      <c r="AG76" s="78">
        <f t="shared" si="258"/>
        <v>0.35457588425287268</v>
      </c>
      <c r="AH76" s="39">
        <f>AH8-AH16-AH29-AH37-AH45-AH53-AH61</f>
        <v>186329.6271748846</v>
      </c>
      <c r="AI76" s="78">
        <f t="shared" si="259"/>
        <v>0.35457588425287268</v>
      </c>
      <c r="AJ76" s="39">
        <f>AJ8-AJ16-AJ29-AJ37-AJ45-AJ53-AJ61</f>
        <v>186329.6271748846</v>
      </c>
      <c r="AK76" s="78">
        <f t="shared" si="260"/>
        <v>0.35457588425287268</v>
      </c>
      <c r="AL76" s="39">
        <f>AL8-AL16-AL29-AL37-AL45-AL53-AL61</f>
        <v>186329.6271748846</v>
      </c>
      <c r="AM76" s="78">
        <f t="shared" si="261"/>
        <v>0.35457588425287268</v>
      </c>
      <c r="AN76" s="39">
        <f>AN8-AN16-AN29-AN37-AN45-AN53-AN61</f>
        <v>186329.6271748846</v>
      </c>
      <c r="AO76" s="78">
        <f t="shared" si="262"/>
        <v>0.35717892420897668</v>
      </c>
      <c r="AP76" s="39">
        <f>AP8-AP16-AP29-AP37-AP45-AP53-AP61</f>
        <v>187697.52467181726</v>
      </c>
      <c r="AQ76" s="78">
        <f t="shared" si="263"/>
        <v>0.36241017402815295</v>
      </c>
      <c r="AR76" s="39">
        <f>AR8-AR16-AR29-AR37-AR45-AR53-AR61</f>
        <v>190446.54645179439</v>
      </c>
      <c r="AS76" s="78">
        <f t="shared" si="264"/>
        <v>0.36383980910210084</v>
      </c>
      <c r="AT76" s="39">
        <f>AT8-AT16-AT29-AT37-AT45-AT53-AT61</f>
        <v>191197.819683154</v>
      </c>
      <c r="AU76" s="78">
        <f t="shared" si="265"/>
        <v>0.36383980910210084</v>
      </c>
      <c r="AV76" s="39">
        <f>AV8-AV16-AV29-AV37-AV45-AV53-AV61</f>
        <v>191197.819683154</v>
      </c>
      <c r="AW76" s="78">
        <f t="shared" si="266"/>
        <v>0.36383980910210084</v>
      </c>
      <c r="AX76" s="39">
        <f>AX8-AX16-AX29-AX37-AX45-AX53-AX61</f>
        <v>191197.819683154</v>
      </c>
      <c r="AY76" s="78">
        <f t="shared" si="267"/>
        <v>0.36383980910210084</v>
      </c>
      <c r="AZ76" s="39">
        <f>AZ8-AZ16-AZ29-AZ37-AZ45-AZ53-AZ61</f>
        <v>191197.819683154</v>
      </c>
      <c r="BA76" s="78">
        <f t="shared" si="268"/>
        <v>0.37140859017578376</v>
      </c>
      <c r="BB76" s="39">
        <f>BB8-BB16-BB29-BB37-BB45-BB53-BB61</f>
        <v>206885.72698561684</v>
      </c>
      <c r="BC76" s="78">
        <f t="shared" si="269"/>
        <v>0.36054146080546368</v>
      </c>
      <c r="BD76" s="96">
        <f t="shared" si="271"/>
        <v>2284942.3240984501</v>
      </c>
    </row>
    <row r="77" spans="2:56" outlineLevel="1" x14ac:dyDescent="0.2">
      <c r="C77" s="9" t="s">
        <v>77</v>
      </c>
      <c r="D77" s="78">
        <f t="shared" si="244"/>
        <v>0.1358991550739167</v>
      </c>
      <c r="E77" s="39">
        <f>E9-E17-E23-E30-E38-E46-E54-E62-E69</f>
        <v>233067.05095176716</v>
      </c>
      <c r="F77" s="78">
        <f t="shared" si="245"/>
        <v>0.13145606810480226</v>
      </c>
      <c r="G77" s="39">
        <f>G9-G17-G23-G30-G38-G46-G54-G62-G69</f>
        <v>225447.15679973588</v>
      </c>
      <c r="H77" s="78">
        <f t="shared" si="246"/>
        <v>0.13145606810480226</v>
      </c>
      <c r="I77" s="39">
        <f>I9-I17-I23-I30-I38-I46-I54-I62-I69</f>
        <v>225447.15679973588</v>
      </c>
      <c r="J77" s="78">
        <f t="shared" si="247"/>
        <v>0.13145606810480226</v>
      </c>
      <c r="K77" s="39">
        <f>K9-K17-K23-K30-K38-K46-K54-K62-K69</f>
        <v>225447.15679973588</v>
      </c>
      <c r="L77" s="78">
        <f t="shared" si="248"/>
        <v>0.13145606810480226</v>
      </c>
      <c r="M77" s="39">
        <f>M9-M17-M23-M30-M38-M46-M54-M62-M69</f>
        <v>225447.15679973588</v>
      </c>
      <c r="N77" s="78">
        <f t="shared" si="249"/>
        <v>0.1353076451967668</v>
      </c>
      <c r="O77" s="39">
        <f>O9-O17-O23-O30-O38-O46-O54-O62-O69</f>
        <v>232052.61151245507</v>
      </c>
      <c r="P77" s="78">
        <f t="shared" si="250"/>
        <v>0.13773619001137613</v>
      </c>
      <c r="Q77" s="39">
        <f>Q9-Q17-Q23-Q30-Q38-Q46-Q54-Q62-Q69</f>
        <v>236217.56586951009</v>
      </c>
      <c r="R77" s="78">
        <f t="shared" si="251"/>
        <v>0.13807563438575829</v>
      </c>
      <c r="S77" s="39">
        <f>S9-S17-S23-S30-S38-S46-S54-S62-S69</f>
        <v>236799.71297157547</v>
      </c>
      <c r="T77" s="78">
        <f t="shared" si="252"/>
        <v>0.13807563438575829</v>
      </c>
      <c r="U77" s="39">
        <f>U9-U17-U23-U30-U38-U46-U54-U62-U69</f>
        <v>236799.71297157547</v>
      </c>
      <c r="V77" s="78">
        <f t="shared" si="253"/>
        <v>0.1728610078206462</v>
      </c>
      <c r="W77" s="39">
        <f>W9-W17-W23-W30-W38-W46-W54-W62-W69</f>
        <v>296456.62841240823</v>
      </c>
      <c r="X77" s="78">
        <f t="shared" si="254"/>
        <v>0.1728610078206462</v>
      </c>
      <c r="Y77" s="39">
        <f>Y9-Y17-Y23-Y30-Y38-Y46-Y54-Y62-Y69</f>
        <v>296456.62841240823</v>
      </c>
      <c r="Z77" s="78">
        <f t="shared" si="255"/>
        <v>0.19672660185589325</v>
      </c>
      <c r="AA77" s="39">
        <f>AA9-AA17-AA23-AA30-AA38-AA46-AA54-AA62-AA69</f>
        <v>354592.81441418262</v>
      </c>
      <c r="AB77" s="78">
        <f t="shared" si="256"/>
        <v>0.1463281226175937</v>
      </c>
      <c r="AC77" s="96">
        <f t="shared" si="270"/>
        <v>3024231.3527148264</v>
      </c>
      <c r="AD77" s="43"/>
      <c r="AE77" s="78">
        <f t="shared" si="257"/>
        <v>0.14589411383052145</v>
      </c>
      <c r="AF77" s="39">
        <f>AF9-AF17-AF23-AF30-AF38-AF46-AF54-AF62-AF69</f>
        <v>262969.03388553084</v>
      </c>
      <c r="AG77" s="78">
        <f t="shared" si="258"/>
        <v>0.13928495801285787</v>
      </c>
      <c r="AH77" s="39">
        <f>AH9-AH17-AH23-AH30-AH38-AH46-AH54-AH62-AH69</f>
        <v>251056.26184464587</v>
      </c>
      <c r="AI77" s="78">
        <f t="shared" si="259"/>
        <v>0.13928495801285787</v>
      </c>
      <c r="AJ77" s="39">
        <f>AJ9-AJ17-AJ23-AJ30-AJ38-AJ46-AJ54-AJ62-AJ69</f>
        <v>251056.26184464587</v>
      </c>
      <c r="AK77" s="78">
        <f t="shared" si="260"/>
        <v>0.13928495801285787</v>
      </c>
      <c r="AL77" s="39">
        <f>AL9-AL17-AL23-AL30-AL38-AL46-AL54-AL62-AL69</f>
        <v>251056.26184464587</v>
      </c>
      <c r="AM77" s="78">
        <f t="shared" si="261"/>
        <v>0.13928495801285787</v>
      </c>
      <c r="AN77" s="39">
        <f>AN9-AN17-AN23-AN30-AN38-AN46-AN54-AN62-AN69</f>
        <v>251056.26184464587</v>
      </c>
      <c r="AO77" s="78">
        <f t="shared" si="262"/>
        <v>0.14188799796896187</v>
      </c>
      <c r="AP77" s="39">
        <f>AP9-AP17-AP23-AP30-AP38-AP46-AP54-AP62-AP69</f>
        <v>255748.15025912484</v>
      </c>
      <c r="AQ77" s="78">
        <f t="shared" si="263"/>
        <v>0.14711924778813812</v>
      </c>
      <c r="AR77" s="39">
        <f>AR9-AR17-AR23-AR30-AR38-AR46-AR54-AR62-AR69</f>
        <v>265177.2949644464</v>
      </c>
      <c r="AS77" s="78">
        <f t="shared" si="264"/>
        <v>0.14854888286208592</v>
      </c>
      <c r="AT77" s="39">
        <f>AT9-AT17-AT23-AT30-AT38-AT46-AT54-AT62-AT69</f>
        <v>267754.16214800969</v>
      </c>
      <c r="AU77" s="78">
        <f t="shared" si="265"/>
        <v>0.14854888286208592</v>
      </c>
      <c r="AV77" s="39">
        <f>AV9-AV17-AV23-AV30-AV38-AV46-AV54-AV62-AV69</f>
        <v>267754.16214800969</v>
      </c>
      <c r="AW77" s="78">
        <f t="shared" si="266"/>
        <v>0.14854888286208592</v>
      </c>
      <c r="AX77" s="39">
        <f>AX9-AX17-AX23-AX30-AX38-AX46-AX54-AX62-AX69</f>
        <v>267754.16214800969</v>
      </c>
      <c r="AY77" s="78">
        <f t="shared" si="267"/>
        <v>0.14854888286208592</v>
      </c>
      <c r="AZ77" s="39">
        <f>AZ9-AZ17-AZ23-AZ30-AZ38-AZ46-AZ54-AZ62-AZ69</f>
        <v>267754.16214800969</v>
      </c>
      <c r="BA77" s="78">
        <f t="shared" si="268"/>
        <v>0.16830394277954336</v>
      </c>
      <c r="BB77" s="39">
        <f>BB9-BB17-BB23-BB30-BB38-BB46-BB54-BB62-BB69</f>
        <v>321563.68419545743</v>
      </c>
      <c r="BC77" s="78">
        <f t="shared" si="269"/>
        <v>0.14632163370097118</v>
      </c>
      <c r="BD77" s="96">
        <f t="shared" si="271"/>
        <v>3180699.8592751813</v>
      </c>
    </row>
    <row r="78" spans="2:56" outlineLevel="1" x14ac:dyDescent="0.2">
      <c r="C78" s="9" t="s">
        <v>7</v>
      </c>
      <c r="D78" s="78">
        <f t="shared" si="244"/>
        <v>0.29421406577736453</v>
      </c>
      <c r="E78" s="39">
        <f>E10-E18-E31-E39-E47-E55-E63-E70</f>
        <v>259202.59194985815</v>
      </c>
      <c r="F78" s="78">
        <f t="shared" si="245"/>
        <v>0.28977097880825003</v>
      </c>
      <c r="G78" s="39">
        <f>G10-G18-G31-G39-G47-G55-G63-G70</f>
        <v>255288.23233006828</v>
      </c>
      <c r="H78" s="78">
        <f t="shared" si="246"/>
        <v>0.28977097880825003</v>
      </c>
      <c r="I78" s="39">
        <f>I10-I18-I31-I39-I47-I55-I63-I70</f>
        <v>255288.23233006828</v>
      </c>
      <c r="J78" s="78">
        <f t="shared" si="247"/>
        <v>0.28977097880825003</v>
      </c>
      <c r="K78" s="39">
        <f>K10-K18-K31-K39-K47-K55-K63-K70</f>
        <v>255288.23233006828</v>
      </c>
      <c r="L78" s="78">
        <f t="shared" si="248"/>
        <v>0.28977097880825003</v>
      </c>
      <c r="M78" s="39">
        <f>M10-M18-M31-M39-M47-M55-M63-M70</f>
        <v>255288.23233006828</v>
      </c>
      <c r="N78" s="78">
        <f t="shared" si="249"/>
        <v>0.29362255590021463</v>
      </c>
      <c r="O78" s="39">
        <f>O10-O18-O31-O39-O47-O55-O63-O70</f>
        <v>258681.4717480891</v>
      </c>
      <c r="P78" s="78">
        <f t="shared" si="250"/>
        <v>0.2960511007148241</v>
      </c>
      <c r="Q78" s="39">
        <f>Q10-Q18-Q31-Q39-Q47-Q55-Q63-Q70</f>
        <v>260821.01972976004</v>
      </c>
      <c r="R78" s="78">
        <f t="shared" si="251"/>
        <v>0.312214256705386</v>
      </c>
      <c r="S78" s="39">
        <f>S10-S18-S31-S39-S47-S55-S63-S70</f>
        <v>289088.85892547475</v>
      </c>
      <c r="T78" s="78">
        <f t="shared" si="252"/>
        <v>0.312214256705386</v>
      </c>
      <c r="U78" s="39">
        <f>U10-U18-U31-U39-U47-U55-U63-U70</f>
        <v>289088.85892547475</v>
      </c>
      <c r="V78" s="78">
        <f t="shared" si="253"/>
        <v>0.3469996301402738</v>
      </c>
      <c r="W78" s="39">
        <f>W10-W18-W31-W39-W47-W55-W63-W70</f>
        <v>321297.71453541383</v>
      </c>
      <c r="X78" s="78">
        <f t="shared" si="254"/>
        <v>0.3469996301402738</v>
      </c>
      <c r="Y78" s="39">
        <f>Y10-Y18-Y31-Y39-Y47-Y55-Y63-Y70</f>
        <v>321297.71453541383</v>
      </c>
      <c r="Z78" s="78">
        <f t="shared" si="255"/>
        <v>0.34735924762511089</v>
      </c>
      <c r="AA78" s="39">
        <f>AA10-AA18-AA31-AA39-AA47-AA55-AA63-AA70</f>
        <v>321630.69551276654</v>
      </c>
      <c r="AB78" s="78">
        <f t="shared" si="256"/>
        <v>0.30956456932100951</v>
      </c>
      <c r="AC78" s="96">
        <f t="shared" si="270"/>
        <v>3342261.8551825238</v>
      </c>
      <c r="AD78" s="43"/>
      <c r="AE78" s="78">
        <f t="shared" si="257"/>
        <v>0.3201720530413103</v>
      </c>
      <c r="AF78" s="39">
        <f>AF10-AF18-AF31-AF39-AF47-AF55-AF63-AF70</f>
        <v>296457.22924459347</v>
      </c>
      <c r="AG78" s="78">
        <f t="shared" si="258"/>
        <v>0.31356289722364683</v>
      </c>
      <c r="AH78" s="39">
        <f>AH10-AH18-AH31-AH39-AH47-AH55-AH63-AH70</f>
        <v>290337.60698918853</v>
      </c>
      <c r="AI78" s="78">
        <f t="shared" si="259"/>
        <v>0.31356289722364683</v>
      </c>
      <c r="AJ78" s="39">
        <f>AJ10-AJ18-AJ31-AJ39-AJ47-AJ55-AJ63-AJ70</f>
        <v>290337.60698918853</v>
      </c>
      <c r="AK78" s="78">
        <f t="shared" si="260"/>
        <v>0.31356289722364683</v>
      </c>
      <c r="AL78" s="39">
        <f>AL10-AL18-AL31-AL39-AL47-AL55-AL63-AL70</f>
        <v>290337.60698918853</v>
      </c>
      <c r="AM78" s="78">
        <f t="shared" si="261"/>
        <v>0.31356289722364683</v>
      </c>
      <c r="AN78" s="39">
        <f>AN10-AN18-AN31-AN39-AN47-AN55-AN63-AN70</f>
        <v>290337.60698918853</v>
      </c>
      <c r="AO78" s="78">
        <f t="shared" si="262"/>
        <v>0.31616593717975078</v>
      </c>
      <c r="AP78" s="39">
        <f>AP10-AP18-AP31-AP39-AP47-AP55-AP63-AP70</f>
        <v>292747.8423787838</v>
      </c>
      <c r="AQ78" s="78">
        <f t="shared" si="263"/>
        <v>0.32139718699892689</v>
      </c>
      <c r="AR78" s="39">
        <f>AR10-AR18-AR31-AR39-AR47-AR55-AR63-AR70</f>
        <v>297591.61875510338</v>
      </c>
      <c r="AS78" s="78">
        <f t="shared" si="264"/>
        <v>0.32918965583816845</v>
      </c>
      <c r="AT78" s="39">
        <f>AT10-AT18-AT31-AT39-AT47-AT55-AT63-AT70</f>
        <v>323095.32165308465</v>
      </c>
      <c r="AU78" s="78">
        <f t="shared" si="265"/>
        <v>0.32918965583816845</v>
      </c>
      <c r="AV78" s="39">
        <f>AV10-AV18-AV31-AV39-AV47-AV55-AV63-AV70</f>
        <v>323095.32165308465</v>
      </c>
      <c r="AW78" s="78">
        <f t="shared" si="266"/>
        <v>0.32918965583816845</v>
      </c>
      <c r="AX78" s="39">
        <f>AX10-AX18-AX31-AX39-AX47-AX55-AX63-AX70</f>
        <v>323095.32165308465</v>
      </c>
      <c r="AY78" s="78">
        <f t="shared" si="267"/>
        <v>0.32918965583816845</v>
      </c>
      <c r="AZ78" s="39">
        <f>AZ10-AZ18-AZ31-AZ39-AZ47-AZ55-AZ63-AZ70</f>
        <v>323095.32165308465</v>
      </c>
      <c r="BA78" s="78">
        <f t="shared" si="268"/>
        <v>0.33271709297840069</v>
      </c>
      <c r="BB78" s="39">
        <f>BB10-BB18-BB31-BB39-BB47-BB55-BB63-BB70</f>
        <v>326557.45485569857</v>
      </c>
      <c r="BC78" s="78">
        <f t="shared" si="269"/>
        <v>0.32198626222971671</v>
      </c>
      <c r="BD78" s="96">
        <f t="shared" si="271"/>
        <v>3667085.8598032724</v>
      </c>
    </row>
    <row r="79" spans="2:56" x14ac:dyDescent="0.2">
      <c r="B79" s="97" t="s">
        <v>101</v>
      </c>
      <c r="D79" s="95">
        <f t="shared" si="244"/>
        <v>0.17189612623642886</v>
      </c>
      <c r="E79" s="94">
        <f>SUM(E73:E78)</f>
        <v>1632110.7445833329</v>
      </c>
      <c r="F79" s="95">
        <f t="shared" si="245"/>
        <v>0.16745303926731434</v>
      </c>
      <c r="G79" s="94">
        <f t="shared" ref="G79:AA79" si="273">SUM(G73:G78)</f>
        <v>1589924.7445833327</v>
      </c>
      <c r="H79" s="95">
        <f t="shared" si="246"/>
        <v>0.16745303926731434</v>
      </c>
      <c r="I79" s="94">
        <f t="shared" si="273"/>
        <v>1589924.7445833327</v>
      </c>
      <c r="J79" s="95">
        <f t="shared" si="247"/>
        <v>0.16745303926731434</v>
      </c>
      <c r="K79" s="94">
        <f t="shared" si="273"/>
        <v>1589924.7445833327</v>
      </c>
      <c r="L79" s="95">
        <f t="shared" si="248"/>
        <v>0.16745303926731434</v>
      </c>
      <c r="M79" s="94">
        <f t="shared" si="273"/>
        <v>1589924.7445833327</v>
      </c>
      <c r="N79" s="95">
        <f t="shared" si="249"/>
        <v>0.19183183785164529</v>
      </c>
      <c r="O79" s="94">
        <f t="shared" si="273"/>
        <v>1908774.7445833336</v>
      </c>
      <c r="P79" s="95">
        <f t="shared" si="250"/>
        <v>0.20720346445413598</v>
      </c>
      <c r="Q79" s="94">
        <f t="shared" si="273"/>
        <v>2126036.9645833331</v>
      </c>
      <c r="R79" s="95">
        <f t="shared" si="251"/>
        <v>0.20935199889497785</v>
      </c>
      <c r="S79" s="94">
        <f t="shared" si="273"/>
        <v>2157488.6645833328</v>
      </c>
      <c r="T79" s="95">
        <f t="shared" si="252"/>
        <v>0.20935199889497785</v>
      </c>
      <c r="U79" s="94">
        <f t="shared" si="273"/>
        <v>2157488.6645833328</v>
      </c>
      <c r="V79" s="95">
        <f t="shared" si="253"/>
        <v>0.24413737232986574</v>
      </c>
      <c r="W79" s="94">
        <f t="shared" si="273"/>
        <v>2515971.2645833329</v>
      </c>
      <c r="X79" s="95">
        <f t="shared" si="254"/>
        <v>0.24413737232986574</v>
      </c>
      <c r="Y79" s="94">
        <f t="shared" si="273"/>
        <v>2515971.2645833329</v>
      </c>
      <c r="Z79" s="95">
        <f t="shared" si="255"/>
        <v>0.24797379547033063</v>
      </c>
      <c r="AA79" s="94">
        <f t="shared" si="273"/>
        <v>2577196.7645833329</v>
      </c>
      <c r="AB79" s="95">
        <f t="shared" si="256"/>
        <v>0.200760810022894</v>
      </c>
      <c r="AC79" s="96">
        <f t="shared" si="270"/>
        <v>23950738.055</v>
      </c>
      <c r="AD79" s="43"/>
      <c r="AE79" s="95">
        <f t="shared" si="257"/>
        <v>0.18556071739762406</v>
      </c>
      <c r="AF79" s="94">
        <f>SUM(AF73:AF78)</f>
        <v>1854603.2162708323</v>
      </c>
      <c r="AG79" s="95">
        <f t="shared" si="258"/>
        <v>0.17895156157996053</v>
      </c>
      <c r="AH79" s="94">
        <f>SUM(AH73:AH78)</f>
        <v>1788547.416270833</v>
      </c>
      <c r="AI79" s="95">
        <f t="shared" si="259"/>
        <v>0.17895156157996053</v>
      </c>
      <c r="AJ79" s="94">
        <f>SUM(AJ73:AJ78)</f>
        <v>1788547.416270833</v>
      </c>
      <c r="AK79" s="95">
        <f t="shared" si="260"/>
        <v>0.17895156157996053</v>
      </c>
      <c r="AL79" s="94">
        <f>SUM(AL73:AL78)</f>
        <v>1788547.416270833</v>
      </c>
      <c r="AM79" s="95">
        <f t="shared" si="261"/>
        <v>0.17895156157996053</v>
      </c>
      <c r="AN79" s="94">
        <f>SUM(AN73:AN78)</f>
        <v>1788547.416270833</v>
      </c>
      <c r="AO79" s="95">
        <f t="shared" si="262"/>
        <v>0.18390110928264231</v>
      </c>
      <c r="AP79" s="94">
        <f>SUM(AP73:AP78)</f>
        <v>1855643.2562708328</v>
      </c>
      <c r="AQ79" s="95">
        <f t="shared" si="263"/>
        <v>0.19384806398225943</v>
      </c>
      <c r="AR79" s="94">
        <f>SUM(AR73:AR78)</f>
        <v>1994452.1894708336</v>
      </c>
      <c r="AS79" s="95">
        <f t="shared" si="264"/>
        <v>0.1965664421536506</v>
      </c>
      <c r="AT79" s="94">
        <f>SUM(AT73:AT78)</f>
        <v>2033341.2914708331</v>
      </c>
      <c r="AU79" s="95">
        <f t="shared" si="265"/>
        <v>0.1965664421536506</v>
      </c>
      <c r="AV79" s="94">
        <f>SUM(AV73:AV78)</f>
        <v>2033341.2914708331</v>
      </c>
      <c r="AW79" s="95">
        <f t="shared" si="266"/>
        <v>0.1965664421536506</v>
      </c>
      <c r="AX79" s="94">
        <f>SUM(AX73:AX78)</f>
        <v>2033341.2914708331</v>
      </c>
      <c r="AY79" s="95">
        <f t="shared" si="267"/>
        <v>0.1965664421536506</v>
      </c>
      <c r="AZ79" s="94">
        <f>SUM(AZ73:AZ78)</f>
        <v>2033341.2914708331</v>
      </c>
      <c r="BA79" s="95">
        <f t="shared" si="268"/>
        <v>0.20327368395101553</v>
      </c>
      <c r="BB79" s="94">
        <f>SUM(BB73:BB78)</f>
        <v>2131115.8214708325</v>
      </c>
      <c r="BC79" s="95">
        <f t="shared" si="269"/>
        <v>0.18920504384733342</v>
      </c>
      <c r="BD79" s="96">
        <f t="shared" si="271"/>
        <v>23123369.314449996</v>
      </c>
    </row>
    <row r="80" spans="2:56" x14ac:dyDescent="0.2">
      <c r="BD80" s="39"/>
    </row>
    <row r="81" spans="2:56" outlineLevel="1" x14ac:dyDescent="0.2">
      <c r="C81" s="78">
        <v>5.0999999999999997E-2</v>
      </c>
      <c r="AD81" s="103">
        <v>0.06</v>
      </c>
      <c r="BD81" s="39"/>
    </row>
    <row r="82" spans="2:56" outlineLevel="1" x14ac:dyDescent="0.2">
      <c r="B82" s="250" t="s">
        <v>86</v>
      </c>
      <c r="C82" s="251">
        <v>1503502</v>
      </c>
      <c r="E82" s="40">
        <f>($C$82*(1+$C$81))/12</f>
        <v>131681.71683333334</v>
      </c>
      <c r="F82" s="40"/>
      <c r="G82" s="40">
        <f t="shared" ref="G82:AA82" si="274">($C$82*(1+$C$81))/12</f>
        <v>131681.71683333334</v>
      </c>
      <c r="H82" s="40"/>
      <c r="I82" s="40">
        <f t="shared" si="274"/>
        <v>131681.71683333334</v>
      </c>
      <c r="J82" s="40"/>
      <c r="K82" s="40">
        <f t="shared" si="274"/>
        <v>131681.71683333334</v>
      </c>
      <c r="L82" s="40"/>
      <c r="M82" s="40">
        <f t="shared" si="274"/>
        <v>131681.71683333334</v>
      </c>
      <c r="N82" s="40"/>
      <c r="O82" s="40">
        <f t="shared" si="274"/>
        <v>131681.71683333334</v>
      </c>
      <c r="P82" s="40"/>
      <c r="Q82" s="40">
        <f t="shared" si="274"/>
        <v>131681.71683333334</v>
      </c>
      <c r="R82" s="40"/>
      <c r="S82" s="40">
        <f t="shared" si="274"/>
        <v>131681.71683333334</v>
      </c>
      <c r="T82" s="40"/>
      <c r="U82" s="40">
        <f t="shared" si="274"/>
        <v>131681.71683333334</v>
      </c>
      <c r="V82" s="40"/>
      <c r="W82" s="40">
        <f t="shared" si="274"/>
        <v>131681.71683333334</v>
      </c>
      <c r="X82" s="40"/>
      <c r="Y82" s="40">
        <f t="shared" si="274"/>
        <v>131681.71683333334</v>
      </c>
      <c r="Z82" s="40"/>
      <c r="AA82" s="40">
        <f t="shared" si="274"/>
        <v>131681.71683333334</v>
      </c>
      <c r="AB82" s="40"/>
      <c r="AC82" s="43">
        <f>E82+G82+I82+K82+M82+O82+Q82+S82+U82+W82+Y82+AA82</f>
        <v>1580180.6019999997</v>
      </c>
      <c r="AD82" s="92">
        <v>1583187.6059999994</v>
      </c>
      <c r="AF82" s="40">
        <f>($AD$82*(1+$AD$81))/12</f>
        <v>139848.23852999994</v>
      </c>
      <c r="AG82" s="40"/>
      <c r="AH82" s="40">
        <f t="shared" ref="AH82:BB82" si="275">($AD$82*(1+$AD$81))/12</f>
        <v>139848.23852999994</v>
      </c>
      <c r="AI82" s="40"/>
      <c r="AJ82" s="40">
        <f t="shared" si="275"/>
        <v>139848.23852999994</v>
      </c>
      <c r="AK82" s="40"/>
      <c r="AL82" s="40">
        <f t="shared" si="275"/>
        <v>139848.23852999994</v>
      </c>
      <c r="AM82" s="40"/>
      <c r="AN82" s="40">
        <f t="shared" si="275"/>
        <v>139848.23852999994</v>
      </c>
      <c r="AO82" s="40"/>
      <c r="AP82" s="40">
        <f t="shared" si="275"/>
        <v>139848.23852999994</v>
      </c>
      <c r="AQ82" s="40"/>
      <c r="AR82" s="40">
        <f t="shared" si="275"/>
        <v>139848.23852999994</v>
      </c>
      <c r="AS82" s="40"/>
      <c r="AT82" s="40">
        <f t="shared" si="275"/>
        <v>139848.23852999994</v>
      </c>
      <c r="AU82" s="40"/>
      <c r="AV82" s="40">
        <f t="shared" si="275"/>
        <v>139848.23852999994</v>
      </c>
      <c r="AW82" s="40"/>
      <c r="AX82" s="40">
        <f t="shared" si="275"/>
        <v>139848.23852999994</v>
      </c>
      <c r="AY82" s="40"/>
      <c r="AZ82" s="40">
        <f t="shared" si="275"/>
        <v>139848.23852999994</v>
      </c>
      <c r="BA82" s="40"/>
      <c r="BB82" s="40">
        <f t="shared" si="275"/>
        <v>139848.23852999994</v>
      </c>
      <c r="BC82" s="40"/>
      <c r="BD82" s="43">
        <f>AF82+AH82+AJ82+AL82+AN82+AP82+AR82+AT82+AV82+AX82+AZ82+BB82</f>
        <v>1678178.8623599994</v>
      </c>
    </row>
    <row r="83" spans="2:56" outlineLevel="1" x14ac:dyDescent="0.2">
      <c r="B83" s="250" t="s">
        <v>96</v>
      </c>
      <c r="C83" s="251">
        <v>2200000</v>
      </c>
      <c r="E83" s="40">
        <f>($C$83*(1+$C$81))/12</f>
        <v>192683.33333333334</v>
      </c>
      <c r="F83" s="40"/>
      <c r="G83" s="40">
        <f>($C$83*(1+$C$81))/12</f>
        <v>192683.33333333334</v>
      </c>
      <c r="H83" s="40"/>
      <c r="I83" s="40">
        <f>($C$83*(1+$C$81))/12</f>
        <v>192683.33333333334</v>
      </c>
      <c r="J83" s="40"/>
      <c r="K83" s="40">
        <f>($C$83*(1+$C$81))/12</f>
        <v>192683.33333333334</v>
      </c>
      <c r="L83" s="40"/>
      <c r="M83" s="40">
        <f>($C$83*(1+$C$81))/12</f>
        <v>192683.33333333334</v>
      </c>
      <c r="N83" s="40"/>
      <c r="O83" s="40">
        <f>($C$83*(1+$C$81))/12</f>
        <v>192683.33333333334</v>
      </c>
      <c r="P83" s="40"/>
      <c r="Q83" s="40">
        <f>($C$83*(1+$C$81))/12</f>
        <v>192683.33333333334</v>
      </c>
      <c r="R83" s="40"/>
      <c r="S83" s="40">
        <f>($C$83*(1+$C$81))/12</f>
        <v>192683.33333333334</v>
      </c>
      <c r="T83" s="40"/>
      <c r="U83" s="40">
        <f>($C$83*(1+$C$81))/12</f>
        <v>192683.33333333334</v>
      </c>
      <c r="V83" s="40"/>
      <c r="W83" s="40">
        <f>($C$83*(1+$C$81))/12</f>
        <v>192683.33333333334</v>
      </c>
      <c r="X83" s="40"/>
      <c r="Y83" s="40">
        <f>($C$83*(1+$C$81))/12</f>
        <v>192683.33333333334</v>
      </c>
      <c r="Z83" s="40"/>
      <c r="AA83" s="40">
        <f>($C$83*(1+$C$81))/12</f>
        <v>192683.33333333334</v>
      </c>
      <c r="AC83" s="43">
        <f>E83+G83+I83+K83+M83+O83+Q83+S83+U83+W83+Y83+AA83</f>
        <v>2312200</v>
      </c>
      <c r="AD83" s="92">
        <v>2316600</v>
      </c>
      <c r="AF83" s="40">
        <f>($AD$83*(1+$AD$81))/12</f>
        <v>204633</v>
      </c>
      <c r="AG83" s="40"/>
      <c r="AH83" s="40">
        <f t="shared" ref="AH83:BB83" si="276">($AD$83*(1+$AD$81))/12</f>
        <v>204633</v>
      </c>
      <c r="AI83" s="40"/>
      <c r="AJ83" s="40">
        <f t="shared" si="276"/>
        <v>204633</v>
      </c>
      <c r="AK83" s="40"/>
      <c r="AL83" s="40">
        <f t="shared" si="276"/>
        <v>204633</v>
      </c>
      <c r="AM83" s="40"/>
      <c r="AN83" s="40">
        <f t="shared" si="276"/>
        <v>204633</v>
      </c>
      <c r="AO83" s="40"/>
      <c r="AP83" s="40">
        <f t="shared" si="276"/>
        <v>204633</v>
      </c>
      <c r="AQ83" s="40"/>
      <c r="AR83" s="40">
        <f t="shared" si="276"/>
        <v>204633</v>
      </c>
      <c r="AS83" s="40"/>
      <c r="AT83" s="40">
        <f t="shared" si="276"/>
        <v>204633</v>
      </c>
      <c r="AU83" s="40"/>
      <c r="AV83" s="40">
        <f t="shared" si="276"/>
        <v>204633</v>
      </c>
      <c r="AW83" s="40"/>
      <c r="AX83" s="40">
        <f t="shared" si="276"/>
        <v>204633</v>
      </c>
      <c r="AY83" s="40"/>
      <c r="AZ83" s="40">
        <f t="shared" si="276"/>
        <v>204633</v>
      </c>
      <c r="BA83" s="40"/>
      <c r="BB83" s="40">
        <f t="shared" si="276"/>
        <v>204633</v>
      </c>
      <c r="BD83" s="43">
        <f>AF83+AH83+AJ83+AL83+AN83+AP83+AR83+AT83+AV83+AX83+AZ83+BB83</f>
        <v>2455596</v>
      </c>
    </row>
    <row r="84" spans="2:56" outlineLevel="1" x14ac:dyDescent="0.2">
      <c r="B84" s="48" t="s">
        <v>87</v>
      </c>
      <c r="C84" s="92">
        <v>324523</v>
      </c>
      <c r="E84" s="40">
        <f>($C$84*(1+$C$81))/12</f>
        <v>28422.806083333329</v>
      </c>
      <c r="F84" s="40"/>
      <c r="G84" s="40">
        <f>($C$84*(1+$C$81))/12</f>
        <v>28422.806083333329</v>
      </c>
      <c r="H84" s="40"/>
      <c r="I84" s="40">
        <f>($C$84*(1+$C$81))/12</f>
        <v>28422.806083333329</v>
      </c>
      <c r="J84" s="40"/>
      <c r="K84" s="40">
        <f>($C$84*(1+$C$81))/12</f>
        <v>28422.806083333329</v>
      </c>
      <c r="L84" s="40"/>
      <c r="M84" s="40">
        <f>($C$84*(1+$C$81))/12</f>
        <v>28422.806083333329</v>
      </c>
      <c r="N84" s="40"/>
      <c r="O84" s="40">
        <f>($C$84*(1+$C$81))/12</f>
        <v>28422.806083333329</v>
      </c>
      <c r="P84" s="40"/>
      <c r="Q84" s="40">
        <f>($C$84*(1+$C$81))/12</f>
        <v>28422.806083333329</v>
      </c>
      <c r="R84" s="40"/>
      <c r="S84" s="40">
        <f>($C$84*(1+$C$81))/12</f>
        <v>28422.806083333329</v>
      </c>
      <c r="T84" s="40"/>
      <c r="U84" s="40">
        <f>($C$84*(1+$C$81))/12</f>
        <v>28422.806083333329</v>
      </c>
      <c r="V84" s="40"/>
      <c r="W84" s="40">
        <f>($C$84*(1+$C$81))/12</f>
        <v>28422.806083333329</v>
      </c>
      <c r="X84" s="40"/>
      <c r="Y84" s="40">
        <f>($C$84*(1+$C$81))/12</f>
        <v>28422.806083333329</v>
      </c>
      <c r="Z84" s="40"/>
      <c r="AA84" s="40">
        <f>($C$84*(1+$C$81))/12</f>
        <v>28422.806083333329</v>
      </c>
      <c r="AC84" s="43">
        <f>E84+G84+I84+K84+M84+O84+Q84+S84+U84+W84+Y84+AA84</f>
        <v>341073.67299999995</v>
      </c>
      <c r="AD84" s="92">
        <v>341722.71900000004</v>
      </c>
      <c r="AF84" s="40">
        <f>($AD$84*(1+$AD$81))/12</f>
        <v>30185.506845000007</v>
      </c>
      <c r="AG84" s="40"/>
      <c r="AH84" s="40">
        <f t="shared" ref="AH84:BB84" si="277">($AD$84*(1+$AD$81))/12</f>
        <v>30185.506845000007</v>
      </c>
      <c r="AI84" s="40"/>
      <c r="AJ84" s="40">
        <f t="shared" si="277"/>
        <v>30185.506845000007</v>
      </c>
      <c r="AK84" s="40"/>
      <c r="AL84" s="40">
        <f t="shared" si="277"/>
        <v>30185.506845000007</v>
      </c>
      <c r="AM84" s="40"/>
      <c r="AN84" s="40">
        <f t="shared" si="277"/>
        <v>30185.506845000007</v>
      </c>
      <c r="AO84" s="40"/>
      <c r="AP84" s="40">
        <f t="shared" si="277"/>
        <v>30185.506845000007</v>
      </c>
      <c r="AQ84" s="40"/>
      <c r="AR84" s="40">
        <f t="shared" si="277"/>
        <v>30185.506845000007</v>
      </c>
      <c r="AS84" s="40"/>
      <c r="AT84" s="40">
        <f t="shared" si="277"/>
        <v>30185.506845000007</v>
      </c>
      <c r="AU84" s="40"/>
      <c r="AV84" s="40">
        <f t="shared" si="277"/>
        <v>30185.506845000007</v>
      </c>
      <c r="AW84" s="40"/>
      <c r="AX84" s="40">
        <f t="shared" si="277"/>
        <v>30185.506845000007</v>
      </c>
      <c r="AY84" s="40"/>
      <c r="AZ84" s="40">
        <f t="shared" si="277"/>
        <v>30185.506845000007</v>
      </c>
      <c r="BA84" s="40"/>
      <c r="BB84" s="40">
        <f t="shared" si="277"/>
        <v>30185.506845000007</v>
      </c>
      <c r="BD84" s="43">
        <f>AF84+AH84+AJ84+AL84+AN84+AP84+AR84+AT84+AV84+AX84+AZ84+BB84</f>
        <v>362226.08214000013</v>
      </c>
    </row>
    <row r="85" spans="2:56" outlineLevel="1" x14ac:dyDescent="0.2">
      <c r="B85" s="48" t="s">
        <v>88</v>
      </c>
      <c r="C85" s="92">
        <v>268200</v>
      </c>
      <c r="E85" s="40">
        <f>($C$85*(1+$C$81))/12</f>
        <v>23489.849999999995</v>
      </c>
      <c r="F85" s="40"/>
      <c r="G85" s="40">
        <f>($C$85*(1+$C$81))/12</f>
        <v>23489.849999999995</v>
      </c>
      <c r="H85" s="40"/>
      <c r="I85" s="40">
        <f>($C$85*(1+$C$81))/12</f>
        <v>23489.849999999995</v>
      </c>
      <c r="J85" s="40"/>
      <c r="K85" s="40">
        <f>($C$85*(1+$C$81))/12</f>
        <v>23489.849999999995</v>
      </c>
      <c r="L85" s="40"/>
      <c r="M85" s="40">
        <f>($C$85*(1+$C$81))/12</f>
        <v>23489.849999999995</v>
      </c>
      <c r="N85" s="40"/>
      <c r="O85" s="40">
        <f>($C$85*(1+$C$81))/12</f>
        <v>23489.849999999995</v>
      </c>
      <c r="P85" s="40"/>
      <c r="Q85" s="40">
        <f>($C$85*(1+$C$81))/12</f>
        <v>23489.849999999995</v>
      </c>
      <c r="R85" s="40"/>
      <c r="S85" s="40">
        <f>($C$85*(1+$C$81))/12</f>
        <v>23489.849999999995</v>
      </c>
      <c r="T85" s="40"/>
      <c r="U85" s="40">
        <f>($C$85*(1+$C$81))/12</f>
        <v>23489.849999999995</v>
      </c>
      <c r="V85" s="40"/>
      <c r="W85" s="40">
        <f>($C$85*(1+$C$81))/12</f>
        <v>23489.849999999995</v>
      </c>
      <c r="X85" s="40"/>
      <c r="Y85" s="40">
        <f>($C$85*(1+$C$81))/12</f>
        <v>23489.849999999995</v>
      </c>
      <c r="Z85" s="40"/>
      <c r="AA85" s="40">
        <f>($C$85*(1+$C$81))/12</f>
        <v>23489.849999999995</v>
      </c>
      <c r="AC85" s="43">
        <f>E85+G85+I85+K85+M85+O85+Q85+S85+U85+W85+Y85+AA85</f>
        <v>281878.2</v>
      </c>
      <c r="AD85" s="92">
        <v>282414.59999999992</v>
      </c>
      <c r="AF85" s="40">
        <f>($AD$85*(1+$AD$81))/12</f>
        <v>24946.622999999992</v>
      </c>
      <c r="AG85" s="40"/>
      <c r="AH85" s="40">
        <f t="shared" ref="AH85:BB85" si="278">($AD$85*(1+$AD$81))/12</f>
        <v>24946.622999999992</v>
      </c>
      <c r="AI85" s="40"/>
      <c r="AJ85" s="40">
        <f t="shared" si="278"/>
        <v>24946.622999999992</v>
      </c>
      <c r="AK85" s="40"/>
      <c r="AL85" s="40">
        <f t="shared" si="278"/>
        <v>24946.622999999992</v>
      </c>
      <c r="AM85" s="40"/>
      <c r="AN85" s="40">
        <f t="shared" si="278"/>
        <v>24946.622999999992</v>
      </c>
      <c r="AO85" s="40"/>
      <c r="AP85" s="40">
        <f t="shared" si="278"/>
        <v>24946.622999999992</v>
      </c>
      <c r="AQ85" s="40"/>
      <c r="AR85" s="40">
        <f t="shared" si="278"/>
        <v>24946.622999999992</v>
      </c>
      <c r="AS85" s="40"/>
      <c r="AT85" s="40">
        <f t="shared" si="278"/>
        <v>24946.622999999992</v>
      </c>
      <c r="AU85" s="40"/>
      <c r="AV85" s="40">
        <f t="shared" si="278"/>
        <v>24946.622999999992</v>
      </c>
      <c r="AW85" s="40"/>
      <c r="AX85" s="40">
        <f t="shared" si="278"/>
        <v>24946.622999999992</v>
      </c>
      <c r="AY85" s="40"/>
      <c r="AZ85" s="40">
        <f t="shared" si="278"/>
        <v>24946.622999999992</v>
      </c>
      <c r="BA85" s="40"/>
      <c r="BB85" s="40">
        <f t="shared" si="278"/>
        <v>24946.622999999992</v>
      </c>
      <c r="BD85" s="43">
        <f>AF85+AH85+AJ85+AL85+AN85+AP85+AR85+AT85+AV85+AX85+AZ85+BB85</f>
        <v>299359.47599999991</v>
      </c>
    </row>
    <row r="86" spans="2:56" outlineLevel="1" x14ac:dyDescent="0.2">
      <c r="B86" s="48" t="s">
        <v>99</v>
      </c>
      <c r="C86" s="92">
        <v>60000</v>
      </c>
      <c r="E86" s="40">
        <f>($C$86*(1+$C$81))/12</f>
        <v>5254.9999999999991</v>
      </c>
      <c r="F86" s="40"/>
      <c r="G86" s="40">
        <f>($C$86*(1+$C$81))/12</f>
        <v>5254.9999999999991</v>
      </c>
      <c r="H86" s="40"/>
      <c r="I86" s="40">
        <f>($C$86*(1+$C$81))/12</f>
        <v>5254.9999999999991</v>
      </c>
      <c r="J86" s="40"/>
      <c r="K86" s="40">
        <f>($C$86*(1+$C$81))/12</f>
        <v>5254.9999999999991</v>
      </c>
      <c r="L86" s="40"/>
      <c r="M86" s="40">
        <f>($C$86*(1+$C$81))/12</f>
        <v>5254.9999999999991</v>
      </c>
      <c r="N86" s="40"/>
      <c r="O86" s="40">
        <f>($C$86*(1+$C$81))/12</f>
        <v>5254.9999999999991</v>
      </c>
      <c r="P86" s="40"/>
      <c r="Q86" s="40">
        <f>($C$86*(1+$C$81))/12</f>
        <v>5254.9999999999991</v>
      </c>
      <c r="R86" s="40"/>
      <c r="S86" s="40">
        <f>($C$86*(1+$C$81))/12</f>
        <v>5254.9999999999991</v>
      </c>
      <c r="T86" s="40"/>
      <c r="U86" s="40">
        <f>($C$86*(1+$C$81))/12</f>
        <v>5254.9999999999991</v>
      </c>
      <c r="V86" s="40"/>
      <c r="W86" s="40">
        <f>($C$86*(1+$C$81))/12</f>
        <v>5254.9999999999991</v>
      </c>
      <c r="X86" s="40"/>
      <c r="Y86" s="40">
        <f>($C$86*(1+$C$81))/12</f>
        <v>5254.9999999999991</v>
      </c>
      <c r="Z86" s="40"/>
      <c r="AA86" s="40">
        <f>($C$86*(1+$C$81))/12</f>
        <v>5254.9999999999991</v>
      </c>
      <c r="AC86" s="43">
        <f t="shared" ref="AC86:AC92" si="279">E86+G86+I86+K86+M86+O86+Q86+S86+U86+W86+Y86+AA86</f>
        <v>63059.999999999993</v>
      </c>
      <c r="AD86" s="92">
        <v>63179.999999999993</v>
      </c>
      <c r="AF86" s="40">
        <f>($AD$86*(1+$AD$81))/12</f>
        <v>5580.9000000000005</v>
      </c>
      <c r="AG86" s="40"/>
      <c r="AH86" s="40">
        <f t="shared" ref="AH86:BB86" si="280">($AD$86*(1+$AD$81))/12</f>
        <v>5580.9000000000005</v>
      </c>
      <c r="AI86" s="40"/>
      <c r="AJ86" s="40">
        <f t="shared" si="280"/>
        <v>5580.9000000000005</v>
      </c>
      <c r="AK86" s="40"/>
      <c r="AL86" s="40">
        <f t="shared" si="280"/>
        <v>5580.9000000000005</v>
      </c>
      <c r="AM86" s="40"/>
      <c r="AN86" s="40">
        <f t="shared" si="280"/>
        <v>5580.9000000000005</v>
      </c>
      <c r="AO86" s="40"/>
      <c r="AP86" s="40">
        <f t="shared" si="280"/>
        <v>5580.9000000000005</v>
      </c>
      <c r="AQ86" s="40"/>
      <c r="AR86" s="40">
        <f t="shared" si="280"/>
        <v>5580.9000000000005</v>
      </c>
      <c r="AS86" s="40"/>
      <c r="AT86" s="40">
        <f t="shared" si="280"/>
        <v>5580.9000000000005</v>
      </c>
      <c r="AU86" s="40"/>
      <c r="AV86" s="40">
        <f t="shared" si="280"/>
        <v>5580.9000000000005</v>
      </c>
      <c r="AW86" s="40"/>
      <c r="AX86" s="40">
        <f t="shared" si="280"/>
        <v>5580.9000000000005</v>
      </c>
      <c r="AY86" s="40"/>
      <c r="AZ86" s="40">
        <f t="shared" si="280"/>
        <v>5580.9000000000005</v>
      </c>
      <c r="BA86" s="40"/>
      <c r="BB86" s="40">
        <f t="shared" si="280"/>
        <v>5580.9000000000005</v>
      </c>
      <c r="BD86" s="43">
        <f t="shared" ref="BD86:BD92" si="281">AF86+AH86+AJ86+AL86+AN86+AP86+AR86+AT86+AV86+AX86+AZ86+BB86</f>
        <v>66970.8</v>
      </c>
    </row>
    <row r="87" spans="2:56" outlineLevel="1" x14ac:dyDescent="0.2">
      <c r="B87" s="48" t="s">
        <v>93</v>
      </c>
      <c r="C87" s="92">
        <v>3000000</v>
      </c>
      <c r="E87" s="40">
        <f>($C$87*(1))/12</f>
        <v>250000</v>
      </c>
      <c r="F87" s="40"/>
      <c r="G87" s="40">
        <f>($C$87*(1))/12</f>
        <v>250000</v>
      </c>
      <c r="H87" s="40"/>
      <c r="I87" s="40">
        <f>($C$87*(1))/12</f>
        <v>250000</v>
      </c>
      <c r="J87" s="40"/>
      <c r="K87" s="40">
        <f>($C$87*(1))/12</f>
        <v>250000</v>
      </c>
      <c r="L87" s="40"/>
      <c r="M87" s="40">
        <f>($C$87*(1))/12</f>
        <v>250000</v>
      </c>
      <c r="N87" s="40"/>
      <c r="O87" s="40">
        <f>($C$87*(1))/12</f>
        <v>250000</v>
      </c>
      <c r="P87" s="40"/>
      <c r="Q87" s="40">
        <f>($C$87*(1))/12</f>
        <v>250000</v>
      </c>
      <c r="R87" s="40"/>
      <c r="S87" s="40">
        <f>($C$87*(1))/12</f>
        <v>250000</v>
      </c>
      <c r="T87" s="40"/>
      <c r="U87" s="40">
        <f>($C$87*(1))/12</f>
        <v>250000</v>
      </c>
      <c r="V87" s="40"/>
      <c r="W87" s="40">
        <f>($C$87*(1))/12</f>
        <v>250000</v>
      </c>
      <c r="X87" s="40"/>
      <c r="Y87" s="40">
        <f>($C$87*(1))/12</f>
        <v>250000</v>
      </c>
      <c r="Z87" s="40"/>
      <c r="AA87" s="40">
        <f>($C$87*(1))/12</f>
        <v>250000</v>
      </c>
      <c r="AC87" s="43">
        <f t="shared" si="279"/>
        <v>3000000</v>
      </c>
      <c r="AD87" s="92">
        <v>3000000</v>
      </c>
      <c r="AF87" s="40">
        <f>($AD$87*(1))/12</f>
        <v>250000</v>
      </c>
      <c r="AG87" s="40"/>
      <c r="AH87" s="40">
        <f t="shared" ref="AH87:BB87" si="282">($AD$87*(1))/12</f>
        <v>250000</v>
      </c>
      <c r="AI87" s="40"/>
      <c r="AJ87" s="40">
        <f t="shared" si="282"/>
        <v>250000</v>
      </c>
      <c r="AK87" s="40"/>
      <c r="AL87" s="40">
        <f t="shared" si="282"/>
        <v>250000</v>
      </c>
      <c r="AM87" s="40"/>
      <c r="AN87" s="40">
        <f t="shared" si="282"/>
        <v>250000</v>
      </c>
      <c r="AO87" s="40"/>
      <c r="AP87" s="40">
        <f t="shared" si="282"/>
        <v>250000</v>
      </c>
      <c r="AQ87" s="40"/>
      <c r="AR87" s="40">
        <f t="shared" si="282"/>
        <v>250000</v>
      </c>
      <c r="AS87" s="40"/>
      <c r="AT87" s="40">
        <f t="shared" si="282"/>
        <v>250000</v>
      </c>
      <c r="AU87" s="40"/>
      <c r="AV87" s="40">
        <f t="shared" si="282"/>
        <v>250000</v>
      </c>
      <c r="AW87" s="40"/>
      <c r="AX87" s="40">
        <f t="shared" si="282"/>
        <v>250000</v>
      </c>
      <c r="AY87" s="40"/>
      <c r="AZ87" s="40">
        <f t="shared" si="282"/>
        <v>250000</v>
      </c>
      <c r="BA87" s="40"/>
      <c r="BB87" s="40">
        <f t="shared" si="282"/>
        <v>250000</v>
      </c>
      <c r="BD87" s="43">
        <f t="shared" si="281"/>
        <v>3000000</v>
      </c>
    </row>
    <row r="88" spans="2:56" outlineLevel="1" x14ac:dyDescent="0.2">
      <c r="B88" s="250" t="s">
        <v>92</v>
      </c>
      <c r="C88" s="251">
        <v>216000</v>
      </c>
      <c r="E88" s="40">
        <f>($C$88*(1+$C$81))/12</f>
        <v>18918</v>
      </c>
      <c r="F88" s="40"/>
      <c r="G88" s="40">
        <f>($C$88*(1+$C$81))/12</f>
        <v>18918</v>
      </c>
      <c r="H88" s="40"/>
      <c r="I88" s="40">
        <f>($C$88*(1+$C$81))/12</f>
        <v>18918</v>
      </c>
      <c r="J88" s="40"/>
      <c r="K88" s="40">
        <f>($C$88*(1+$C$81))/12</f>
        <v>18918</v>
      </c>
      <c r="L88" s="40"/>
      <c r="M88" s="40">
        <f>($C$88*(1+$C$81))/12</f>
        <v>18918</v>
      </c>
      <c r="N88" s="40"/>
      <c r="O88" s="40">
        <f>($C$88*(1+$C$81))/12</f>
        <v>18918</v>
      </c>
      <c r="P88" s="40"/>
      <c r="Q88" s="40">
        <f>($C$88*(1+$C$81))/12</f>
        <v>18918</v>
      </c>
      <c r="R88" s="40"/>
      <c r="S88" s="40">
        <f>($C$88*(1+$C$81))/12</f>
        <v>18918</v>
      </c>
      <c r="T88" s="40"/>
      <c r="U88" s="40">
        <f>($C$88*(1+$C$81))/12</f>
        <v>18918</v>
      </c>
      <c r="V88" s="40"/>
      <c r="W88" s="40">
        <f>($C$88*(1+$C$81))/12</f>
        <v>18918</v>
      </c>
      <c r="X88" s="40"/>
      <c r="Y88" s="40">
        <f>($C$88*(1+$C$81))/12</f>
        <v>18918</v>
      </c>
      <c r="Z88" s="40"/>
      <c r="AA88" s="40">
        <f>($C$88*(1+$C$81))/12</f>
        <v>18918</v>
      </c>
      <c r="AC88" s="43">
        <f t="shared" si="279"/>
        <v>227016</v>
      </c>
      <c r="AD88" s="92">
        <v>227448</v>
      </c>
      <c r="AF88" s="40">
        <f>($AD$88*(1+$AD$81))/12</f>
        <v>20091.240000000002</v>
      </c>
      <c r="AG88" s="40"/>
      <c r="AH88" s="40">
        <f t="shared" ref="AH88:BB88" si="283">($AD$88*(1+$AD$81))/12</f>
        <v>20091.240000000002</v>
      </c>
      <c r="AI88" s="40"/>
      <c r="AJ88" s="40">
        <f t="shared" si="283"/>
        <v>20091.240000000002</v>
      </c>
      <c r="AK88" s="40"/>
      <c r="AL88" s="40">
        <f t="shared" si="283"/>
        <v>20091.240000000002</v>
      </c>
      <c r="AM88" s="40"/>
      <c r="AN88" s="40">
        <f t="shared" si="283"/>
        <v>20091.240000000002</v>
      </c>
      <c r="AO88" s="40"/>
      <c r="AP88" s="40">
        <f t="shared" si="283"/>
        <v>20091.240000000002</v>
      </c>
      <c r="AQ88" s="40"/>
      <c r="AR88" s="40">
        <f t="shared" si="283"/>
        <v>20091.240000000002</v>
      </c>
      <c r="AS88" s="40"/>
      <c r="AT88" s="40">
        <f t="shared" si="283"/>
        <v>20091.240000000002</v>
      </c>
      <c r="AU88" s="40"/>
      <c r="AV88" s="40">
        <f t="shared" si="283"/>
        <v>20091.240000000002</v>
      </c>
      <c r="AW88" s="40"/>
      <c r="AX88" s="40">
        <f t="shared" si="283"/>
        <v>20091.240000000002</v>
      </c>
      <c r="AY88" s="40"/>
      <c r="AZ88" s="40">
        <f t="shared" si="283"/>
        <v>20091.240000000002</v>
      </c>
      <c r="BA88" s="40"/>
      <c r="BB88" s="40">
        <f t="shared" si="283"/>
        <v>20091.240000000002</v>
      </c>
      <c r="BD88" s="43">
        <f t="shared" si="281"/>
        <v>241094.87999999998</v>
      </c>
    </row>
    <row r="89" spans="2:56" outlineLevel="1" x14ac:dyDescent="0.2">
      <c r="B89" s="250" t="s">
        <v>97</v>
      </c>
      <c r="C89" s="251">
        <v>40800</v>
      </c>
      <c r="E89" s="40">
        <f>($C$89*(1+$C$81))/12</f>
        <v>3573.3999999999996</v>
      </c>
      <c r="F89" s="40"/>
      <c r="G89" s="40">
        <f>($C$89*(1+$C$81))/12</f>
        <v>3573.3999999999996</v>
      </c>
      <c r="H89" s="40"/>
      <c r="I89" s="40">
        <f>($C$89*(1+$C$81))/12</f>
        <v>3573.3999999999996</v>
      </c>
      <c r="J89" s="40"/>
      <c r="K89" s="40">
        <f>($C$89*(1+$C$81))/12</f>
        <v>3573.3999999999996</v>
      </c>
      <c r="L89" s="40"/>
      <c r="M89" s="40">
        <f>($C$89*(1+$C$81))/12</f>
        <v>3573.3999999999996</v>
      </c>
      <c r="N89" s="40"/>
      <c r="O89" s="40">
        <f>($C$89*(1+$C$81))/12</f>
        <v>3573.3999999999996</v>
      </c>
      <c r="P89" s="40"/>
      <c r="Q89" s="40">
        <f>($C$89*(1+$C$81))/12</f>
        <v>3573.3999999999996</v>
      </c>
      <c r="R89" s="40"/>
      <c r="S89" s="40">
        <f>($C$89*(1+$C$81))/12</f>
        <v>3573.3999999999996</v>
      </c>
      <c r="T89" s="40"/>
      <c r="U89" s="40">
        <f>($C$89*(1+$C$81))/12</f>
        <v>3573.3999999999996</v>
      </c>
      <c r="V89" s="40"/>
      <c r="W89" s="40">
        <f>($C$89*(1+$C$81))/12</f>
        <v>3573.3999999999996</v>
      </c>
      <c r="X89" s="40"/>
      <c r="Y89" s="40">
        <f>($C$89*(1+$C$81))/12</f>
        <v>3573.3999999999996</v>
      </c>
      <c r="Z89" s="40"/>
      <c r="AA89" s="40">
        <f>($C$89*(1+$C$81))/12</f>
        <v>3573.3999999999996</v>
      </c>
      <c r="AC89" s="43">
        <f t="shared" si="279"/>
        <v>42880.80000000001</v>
      </c>
      <c r="AD89" s="92">
        <v>42962.399999999994</v>
      </c>
      <c r="AF89" s="40">
        <f>($AD$89*(1+$AD$81))/12</f>
        <v>3795.0119999999993</v>
      </c>
      <c r="AG89" s="40"/>
      <c r="AH89" s="40">
        <f t="shared" ref="AH89:BB89" si="284">($AD$89*(1+$AD$81))/12</f>
        <v>3795.0119999999993</v>
      </c>
      <c r="AI89" s="40"/>
      <c r="AJ89" s="40">
        <f t="shared" si="284"/>
        <v>3795.0119999999993</v>
      </c>
      <c r="AK89" s="40"/>
      <c r="AL89" s="40">
        <f t="shared" si="284"/>
        <v>3795.0119999999993</v>
      </c>
      <c r="AM89" s="40"/>
      <c r="AN89" s="40">
        <f t="shared" si="284"/>
        <v>3795.0119999999993</v>
      </c>
      <c r="AO89" s="40"/>
      <c r="AP89" s="40">
        <f t="shared" si="284"/>
        <v>3795.0119999999993</v>
      </c>
      <c r="AQ89" s="40"/>
      <c r="AR89" s="40">
        <f t="shared" si="284"/>
        <v>3795.0119999999993</v>
      </c>
      <c r="AS89" s="40"/>
      <c r="AT89" s="40">
        <f t="shared" si="284"/>
        <v>3795.0119999999993</v>
      </c>
      <c r="AU89" s="40"/>
      <c r="AV89" s="40">
        <f t="shared" si="284"/>
        <v>3795.0119999999993</v>
      </c>
      <c r="AW89" s="40"/>
      <c r="AX89" s="40">
        <f t="shared" si="284"/>
        <v>3795.0119999999993</v>
      </c>
      <c r="AY89" s="40"/>
      <c r="AZ89" s="40">
        <f t="shared" si="284"/>
        <v>3795.0119999999993</v>
      </c>
      <c r="BA89" s="40"/>
      <c r="BB89" s="40">
        <f t="shared" si="284"/>
        <v>3795.0119999999993</v>
      </c>
      <c r="BD89" s="43">
        <f t="shared" si="281"/>
        <v>45540.144</v>
      </c>
    </row>
    <row r="90" spans="2:56" outlineLevel="1" x14ac:dyDescent="0.2">
      <c r="B90" s="48" t="s">
        <v>98</v>
      </c>
      <c r="C90" s="92">
        <v>674700</v>
      </c>
      <c r="E90" s="40">
        <f>($C$90*(1+$C$81))/12</f>
        <v>59092.474999999999</v>
      </c>
      <c r="F90" s="40"/>
      <c r="G90" s="40">
        <f>($C$90*(1+$C$81))/12</f>
        <v>59092.474999999999</v>
      </c>
      <c r="H90" s="40"/>
      <c r="I90" s="40">
        <f>($C$90*(1+$C$81))/12</f>
        <v>59092.474999999999</v>
      </c>
      <c r="J90" s="40"/>
      <c r="K90" s="40">
        <f>($C$90*(1+$C$81))/12</f>
        <v>59092.474999999999</v>
      </c>
      <c r="L90" s="40"/>
      <c r="M90" s="40">
        <f>($C$90*(1+$C$81))/12</f>
        <v>59092.474999999999</v>
      </c>
      <c r="N90" s="40"/>
      <c r="O90" s="40">
        <f>($C$90*(1+$C$81))/12</f>
        <v>59092.474999999999</v>
      </c>
      <c r="P90" s="40"/>
      <c r="Q90" s="40">
        <f>($C$90*(1+$C$81))/12</f>
        <v>59092.474999999999</v>
      </c>
      <c r="R90" s="40"/>
      <c r="S90" s="40">
        <f>($C$90*(1+$C$81))/12</f>
        <v>59092.474999999999</v>
      </c>
      <c r="T90" s="40"/>
      <c r="U90" s="40">
        <f>($C$90*(1+$C$81))/12</f>
        <v>59092.474999999999</v>
      </c>
      <c r="V90" s="40"/>
      <c r="W90" s="40">
        <f>($C$90*(1+$C$81))/12</f>
        <v>59092.474999999999</v>
      </c>
      <c r="X90" s="40"/>
      <c r="Y90" s="40">
        <f>($C$90*(1+$C$81))/12</f>
        <v>59092.474999999999</v>
      </c>
      <c r="Z90" s="40"/>
      <c r="AA90" s="40">
        <f>($C$90*(1+$C$81))/12</f>
        <v>59092.474999999999</v>
      </c>
      <c r="AC90" s="43">
        <f t="shared" si="279"/>
        <v>709109.69999999984</v>
      </c>
      <c r="AD90" s="92">
        <v>710459.10000000009</v>
      </c>
      <c r="AF90" s="40">
        <f>($AD$90*(1+$AD$81))/12</f>
        <v>62757.220500000018</v>
      </c>
      <c r="AG90" s="40"/>
      <c r="AH90" s="40">
        <f t="shared" ref="AH90:BB90" si="285">($AD$90*(1+$AD$81))/12</f>
        <v>62757.220500000018</v>
      </c>
      <c r="AI90" s="40"/>
      <c r="AJ90" s="40">
        <f t="shared" si="285"/>
        <v>62757.220500000018</v>
      </c>
      <c r="AK90" s="40"/>
      <c r="AL90" s="40">
        <f t="shared" si="285"/>
        <v>62757.220500000018</v>
      </c>
      <c r="AM90" s="40"/>
      <c r="AN90" s="40">
        <f t="shared" si="285"/>
        <v>62757.220500000018</v>
      </c>
      <c r="AO90" s="40"/>
      <c r="AP90" s="40">
        <f t="shared" si="285"/>
        <v>62757.220500000018</v>
      </c>
      <c r="AQ90" s="40"/>
      <c r="AR90" s="40">
        <f t="shared" si="285"/>
        <v>62757.220500000018</v>
      </c>
      <c r="AS90" s="40"/>
      <c r="AT90" s="40">
        <f t="shared" si="285"/>
        <v>62757.220500000018</v>
      </c>
      <c r="AU90" s="40"/>
      <c r="AV90" s="40">
        <f t="shared" si="285"/>
        <v>62757.220500000018</v>
      </c>
      <c r="AW90" s="40"/>
      <c r="AX90" s="40">
        <f t="shared" si="285"/>
        <v>62757.220500000018</v>
      </c>
      <c r="AY90" s="40"/>
      <c r="AZ90" s="40">
        <f t="shared" si="285"/>
        <v>62757.220500000018</v>
      </c>
      <c r="BA90" s="40"/>
      <c r="BB90" s="40">
        <f t="shared" si="285"/>
        <v>62757.220500000018</v>
      </c>
      <c r="BD90" s="43">
        <f t="shared" si="281"/>
        <v>753086.6460000003</v>
      </c>
    </row>
    <row r="91" spans="2:56" outlineLevel="1" x14ac:dyDescent="0.2">
      <c r="B91" s="48" t="s">
        <v>89</v>
      </c>
      <c r="C91" s="92">
        <v>9000000</v>
      </c>
      <c r="E91" s="40">
        <f>($C$91*(1))/12</f>
        <v>750000</v>
      </c>
      <c r="F91" s="40"/>
      <c r="G91" s="40">
        <f>($C$91*(1))/12</f>
        <v>750000</v>
      </c>
      <c r="H91" s="40"/>
      <c r="I91" s="40">
        <f>($C$91*(1))/12</f>
        <v>750000</v>
      </c>
      <c r="J91" s="40"/>
      <c r="K91" s="40">
        <f>($C$91*(1))/12</f>
        <v>750000</v>
      </c>
      <c r="L91" s="40"/>
      <c r="M91" s="40">
        <f>($C$91*(1))/12</f>
        <v>750000</v>
      </c>
      <c r="N91" s="40"/>
      <c r="O91" s="40">
        <f>($C$91*(1))/12</f>
        <v>750000</v>
      </c>
      <c r="P91" s="40"/>
      <c r="Q91" s="40">
        <f>($C$91*(1))/12</f>
        <v>750000</v>
      </c>
      <c r="R91" s="40"/>
      <c r="S91" s="40">
        <f>($C$91*(1))/12</f>
        <v>750000</v>
      </c>
      <c r="T91" s="40"/>
      <c r="U91" s="40">
        <f>($C$91*(1))/12</f>
        <v>750000</v>
      </c>
      <c r="V91" s="40"/>
      <c r="W91" s="40">
        <f>($C$91*(1))/12</f>
        <v>750000</v>
      </c>
      <c r="X91" s="40"/>
      <c r="Y91" s="40">
        <f>($C$91*(1))/12</f>
        <v>750000</v>
      </c>
      <c r="Z91" s="40"/>
      <c r="AA91" s="40">
        <f>($C$91*(1))/12</f>
        <v>750000</v>
      </c>
      <c r="AC91" s="43">
        <f t="shared" si="279"/>
        <v>9000000</v>
      </c>
      <c r="AD91" s="92"/>
      <c r="AF91" s="40">
        <f>($AD$91*(1))/12</f>
        <v>0</v>
      </c>
      <c r="AG91" s="40"/>
      <c r="AH91" s="40">
        <f t="shared" ref="AH91:BB91" si="286">($AD$91*(1))/12</f>
        <v>0</v>
      </c>
      <c r="AI91" s="40"/>
      <c r="AJ91" s="40">
        <f t="shared" si="286"/>
        <v>0</v>
      </c>
      <c r="AK91" s="40"/>
      <c r="AL91" s="40">
        <f t="shared" si="286"/>
        <v>0</v>
      </c>
      <c r="AM91" s="40"/>
      <c r="AN91" s="40">
        <f t="shared" si="286"/>
        <v>0</v>
      </c>
      <c r="AO91" s="40"/>
      <c r="AP91" s="40">
        <f t="shared" si="286"/>
        <v>0</v>
      </c>
      <c r="AQ91" s="40"/>
      <c r="AR91" s="40">
        <f t="shared" si="286"/>
        <v>0</v>
      </c>
      <c r="AS91" s="40"/>
      <c r="AT91" s="40">
        <f t="shared" si="286"/>
        <v>0</v>
      </c>
      <c r="AU91" s="40"/>
      <c r="AV91" s="40">
        <f t="shared" si="286"/>
        <v>0</v>
      </c>
      <c r="AW91" s="40"/>
      <c r="AX91" s="40">
        <f t="shared" si="286"/>
        <v>0</v>
      </c>
      <c r="AY91" s="40"/>
      <c r="AZ91" s="40">
        <f t="shared" si="286"/>
        <v>0</v>
      </c>
      <c r="BA91" s="40"/>
      <c r="BB91" s="40">
        <f t="shared" si="286"/>
        <v>0</v>
      </c>
      <c r="BD91" s="43">
        <f t="shared" si="281"/>
        <v>0</v>
      </c>
    </row>
    <row r="92" spans="2:56" outlineLevel="1" x14ac:dyDescent="0.2">
      <c r="B92" s="48" t="s">
        <v>90</v>
      </c>
      <c r="C92" s="92">
        <v>1000000</v>
      </c>
      <c r="E92" s="40">
        <f>($C$92*(1))/12</f>
        <v>83333.333333333328</v>
      </c>
      <c r="F92" s="40"/>
      <c r="G92" s="40">
        <f>($C$92*(1))/12</f>
        <v>83333.333333333328</v>
      </c>
      <c r="H92" s="40"/>
      <c r="I92" s="40">
        <f>($C$92*(1))/12</f>
        <v>83333.333333333328</v>
      </c>
      <c r="J92" s="40"/>
      <c r="K92" s="40">
        <f>($C$92*(1))/12</f>
        <v>83333.333333333328</v>
      </c>
      <c r="L92" s="40"/>
      <c r="M92" s="40">
        <f>($C$92*(1))/12</f>
        <v>83333.333333333328</v>
      </c>
      <c r="N92" s="40"/>
      <c r="O92" s="40">
        <f>($C$92*(1))/12</f>
        <v>83333.333333333328</v>
      </c>
      <c r="P92" s="40"/>
      <c r="Q92" s="40">
        <f>($C$92*(1))/12</f>
        <v>83333.333333333328</v>
      </c>
      <c r="R92" s="40"/>
      <c r="S92" s="40">
        <f>($C$92*(1))/12</f>
        <v>83333.333333333328</v>
      </c>
      <c r="T92" s="40"/>
      <c r="U92" s="40">
        <f>($C$92*(1))/12</f>
        <v>83333.333333333328</v>
      </c>
      <c r="V92" s="40"/>
      <c r="W92" s="40">
        <f>($C$92*(1))/12</f>
        <v>83333.333333333328</v>
      </c>
      <c r="X92" s="40"/>
      <c r="Y92" s="40">
        <f>($C$92*(1))/12</f>
        <v>83333.333333333328</v>
      </c>
      <c r="Z92" s="40"/>
      <c r="AA92" s="40">
        <f>($C$92*(1))/12</f>
        <v>83333.333333333328</v>
      </c>
      <c r="AC92" s="43">
        <f t="shared" si="279"/>
        <v>1000000.0000000001</v>
      </c>
      <c r="AD92" s="92">
        <v>1000000.0000000001</v>
      </c>
      <c r="AF92" s="40">
        <f>($AD$92*(1))/12</f>
        <v>83333.333333333343</v>
      </c>
      <c r="AG92" s="40"/>
      <c r="AH92" s="40">
        <f t="shared" ref="AH92:BB92" si="287">($AD$92*(1))/12</f>
        <v>83333.333333333343</v>
      </c>
      <c r="AI92" s="40"/>
      <c r="AJ92" s="40">
        <f t="shared" si="287"/>
        <v>83333.333333333343</v>
      </c>
      <c r="AK92" s="40"/>
      <c r="AL92" s="40">
        <f t="shared" si="287"/>
        <v>83333.333333333343</v>
      </c>
      <c r="AM92" s="40"/>
      <c r="AN92" s="40">
        <f t="shared" si="287"/>
        <v>83333.333333333343</v>
      </c>
      <c r="AO92" s="40"/>
      <c r="AP92" s="40">
        <f t="shared" si="287"/>
        <v>83333.333333333343</v>
      </c>
      <c r="AQ92" s="40"/>
      <c r="AR92" s="40">
        <f t="shared" si="287"/>
        <v>83333.333333333343</v>
      </c>
      <c r="AS92" s="40"/>
      <c r="AT92" s="40">
        <f t="shared" si="287"/>
        <v>83333.333333333343</v>
      </c>
      <c r="AU92" s="40"/>
      <c r="AV92" s="40">
        <f t="shared" si="287"/>
        <v>83333.333333333343</v>
      </c>
      <c r="AW92" s="40"/>
      <c r="AX92" s="40">
        <f t="shared" si="287"/>
        <v>83333.333333333343</v>
      </c>
      <c r="AY92" s="40"/>
      <c r="AZ92" s="40">
        <f t="shared" si="287"/>
        <v>83333.333333333343</v>
      </c>
      <c r="BA92" s="40"/>
      <c r="BB92" s="40">
        <f t="shared" si="287"/>
        <v>83333.333333333343</v>
      </c>
      <c r="BD92" s="43">
        <f t="shared" si="281"/>
        <v>1000000.0000000003</v>
      </c>
    </row>
    <row r="93" spans="2:56" outlineLevel="1" x14ac:dyDescent="0.2">
      <c r="B93" s="48" t="s">
        <v>91</v>
      </c>
      <c r="C93" s="92">
        <v>1000000</v>
      </c>
      <c r="E93" s="40">
        <f>($C$93*(1))/12</f>
        <v>83333.333333333328</v>
      </c>
      <c r="F93" s="40"/>
      <c r="G93" s="40">
        <f>($C$93*(1))/12</f>
        <v>83333.333333333328</v>
      </c>
      <c r="H93" s="40"/>
      <c r="I93" s="40">
        <f>($C$93*(1))/12</f>
        <v>83333.333333333328</v>
      </c>
      <c r="J93" s="40"/>
      <c r="K93" s="40">
        <f>($C$93*(1))/12</f>
        <v>83333.333333333328</v>
      </c>
      <c r="L93" s="40"/>
      <c r="M93" s="40">
        <f>($C$93*(1))/12</f>
        <v>83333.333333333328</v>
      </c>
      <c r="N93" s="40"/>
      <c r="O93" s="40">
        <f>($C$93*(1))/12</f>
        <v>83333.333333333328</v>
      </c>
      <c r="P93" s="40"/>
      <c r="Q93" s="40">
        <f>($C$93*(1))/12</f>
        <v>83333.333333333328</v>
      </c>
      <c r="R93" s="40"/>
      <c r="S93" s="40">
        <f>($C$93*(1))/12</f>
        <v>83333.333333333328</v>
      </c>
      <c r="T93" s="40"/>
      <c r="U93" s="40">
        <f>($C$93*(1))/12</f>
        <v>83333.333333333328</v>
      </c>
      <c r="V93" s="40"/>
      <c r="W93" s="40">
        <f>($C$93*(1))/12</f>
        <v>83333.333333333328</v>
      </c>
      <c r="X93" s="40"/>
      <c r="Y93" s="40">
        <f>($C$93*(1))/12</f>
        <v>83333.333333333328</v>
      </c>
      <c r="Z93" s="40"/>
      <c r="AA93" s="40">
        <f>($C$93*(1))/12</f>
        <v>83333.333333333328</v>
      </c>
      <c r="AC93" s="43">
        <f>E93+G93+I93+K93+M93+O93+Q93+S93+U93+W93+Y93+AA93</f>
        <v>1000000.0000000001</v>
      </c>
      <c r="AD93" s="92">
        <v>1000000.0000000001</v>
      </c>
      <c r="AF93" s="40">
        <f>($AD$93*(1))/12</f>
        <v>83333.333333333343</v>
      </c>
      <c r="AG93" s="40"/>
      <c r="AH93" s="40">
        <f t="shared" ref="AH93:BB93" si="288">($AD$93*(1))/12</f>
        <v>83333.333333333343</v>
      </c>
      <c r="AI93" s="40"/>
      <c r="AJ93" s="40">
        <f t="shared" si="288"/>
        <v>83333.333333333343</v>
      </c>
      <c r="AK93" s="40"/>
      <c r="AL93" s="40">
        <f t="shared" si="288"/>
        <v>83333.333333333343</v>
      </c>
      <c r="AM93" s="40"/>
      <c r="AN93" s="40">
        <f t="shared" si="288"/>
        <v>83333.333333333343</v>
      </c>
      <c r="AO93" s="40"/>
      <c r="AP93" s="40">
        <f t="shared" si="288"/>
        <v>83333.333333333343</v>
      </c>
      <c r="AQ93" s="40"/>
      <c r="AR93" s="40">
        <f t="shared" si="288"/>
        <v>83333.333333333343</v>
      </c>
      <c r="AS93" s="40"/>
      <c r="AT93" s="40">
        <f t="shared" si="288"/>
        <v>83333.333333333343</v>
      </c>
      <c r="AU93" s="40"/>
      <c r="AV93" s="40">
        <f t="shared" si="288"/>
        <v>83333.333333333343</v>
      </c>
      <c r="AW93" s="40"/>
      <c r="AX93" s="40">
        <f t="shared" si="288"/>
        <v>83333.333333333343</v>
      </c>
      <c r="AY93" s="40"/>
      <c r="AZ93" s="40">
        <f t="shared" si="288"/>
        <v>83333.333333333343</v>
      </c>
      <c r="BA93" s="40"/>
      <c r="BB93" s="40">
        <f t="shared" si="288"/>
        <v>83333.333333333343</v>
      </c>
      <c r="BD93" s="43">
        <f>AF93+AH93+AJ93+AL93+AN93+AP93+AR93+AT93+AV93+AX93+AZ93+BB93</f>
        <v>1000000.0000000003</v>
      </c>
    </row>
    <row r="94" spans="2:56" outlineLevel="1" x14ac:dyDescent="0.2">
      <c r="B94" s="250" t="s">
        <v>94</v>
      </c>
      <c r="C94" s="251">
        <v>45000</v>
      </c>
      <c r="E94" s="40">
        <f>($C$94*(1+$C$81))/12</f>
        <v>3941.25</v>
      </c>
      <c r="F94" s="40"/>
      <c r="G94" s="40">
        <f>($C$94*(1+$C$81))/12</f>
        <v>3941.25</v>
      </c>
      <c r="H94" s="40"/>
      <c r="I94" s="40">
        <f>($C$94*(1+$C$81))/12</f>
        <v>3941.25</v>
      </c>
      <c r="J94" s="40"/>
      <c r="K94" s="40">
        <f>($C$94*(1+$C$81))/12</f>
        <v>3941.25</v>
      </c>
      <c r="L94" s="40"/>
      <c r="M94" s="40">
        <f>($C$94*(1+$C$81))/12</f>
        <v>3941.25</v>
      </c>
      <c r="N94" s="40"/>
      <c r="O94" s="40">
        <f>($C$94*(1+$C$81))/12</f>
        <v>3941.25</v>
      </c>
      <c r="P94" s="40"/>
      <c r="Q94" s="40">
        <f>($C$94*(1+$C$81))/12</f>
        <v>3941.25</v>
      </c>
      <c r="R94" s="40"/>
      <c r="S94" s="40">
        <f>($C$94*(1+$C$81))/12</f>
        <v>3941.25</v>
      </c>
      <c r="T94" s="40"/>
      <c r="U94" s="40">
        <f>($C$94*(1+$C$81))/12</f>
        <v>3941.25</v>
      </c>
      <c r="V94" s="40"/>
      <c r="W94" s="40">
        <f>($C$94*(1+$C$81))/12</f>
        <v>3941.25</v>
      </c>
      <c r="X94" s="40"/>
      <c r="Y94" s="40">
        <f>($C$94*(1+$C$81))/12</f>
        <v>3941.25</v>
      </c>
      <c r="Z94" s="40"/>
      <c r="AA94" s="40">
        <f>($C$94*(1+$C$81))/12</f>
        <v>3941.25</v>
      </c>
      <c r="AC94" s="43">
        <f>E94+G94+I94+K94+M94+O94+Q94+S94+U94+W94+Y94+AA94</f>
        <v>47295</v>
      </c>
      <c r="AD94" s="92">
        <v>47385</v>
      </c>
      <c r="AF94" s="40">
        <f>($AD$94*(1+$AD$81))/12</f>
        <v>4185.6750000000002</v>
      </c>
      <c r="AG94" s="40"/>
      <c r="AH94" s="40">
        <f t="shared" ref="AH94:BB94" si="289">($AD$94*(1+$AD$81))/12</f>
        <v>4185.6750000000002</v>
      </c>
      <c r="AI94" s="40"/>
      <c r="AJ94" s="40">
        <f t="shared" si="289"/>
        <v>4185.6750000000002</v>
      </c>
      <c r="AK94" s="40"/>
      <c r="AL94" s="40">
        <f t="shared" si="289"/>
        <v>4185.6750000000002</v>
      </c>
      <c r="AM94" s="40"/>
      <c r="AN94" s="40">
        <f t="shared" si="289"/>
        <v>4185.6750000000002</v>
      </c>
      <c r="AO94" s="40"/>
      <c r="AP94" s="40">
        <f t="shared" si="289"/>
        <v>4185.6750000000002</v>
      </c>
      <c r="AQ94" s="40"/>
      <c r="AR94" s="40">
        <f t="shared" si="289"/>
        <v>4185.6750000000002</v>
      </c>
      <c r="AS94" s="40"/>
      <c r="AT94" s="40">
        <f t="shared" si="289"/>
        <v>4185.6750000000002</v>
      </c>
      <c r="AU94" s="40"/>
      <c r="AV94" s="40">
        <f t="shared" si="289"/>
        <v>4185.6750000000002</v>
      </c>
      <c r="AW94" s="40"/>
      <c r="AX94" s="40">
        <f t="shared" si="289"/>
        <v>4185.6750000000002</v>
      </c>
      <c r="AY94" s="40"/>
      <c r="AZ94" s="40">
        <f t="shared" si="289"/>
        <v>4185.6750000000002</v>
      </c>
      <c r="BA94" s="40"/>
      <c r="BB94" s="40">
        <f t="shared" si="289"/>
        <v>4185.6750000000002</v>
      </c>
      <c r="BD94" s="43">
        <f>AF94+AH94+AJ94+AL94+AN94+AP94+AR94+AT94+AV94+AX94+AZ94+BB94</f>
        <v>50228.100000000013</v>
      </c>
    </row>
    <row r="95" spans="2:56" outlineLevel="1" x14ac:dyDescent="0.2">
      <c r="B95" s="250" t="s">
        <v>95</v>
      </c>
      <c r="C95" s="251">
        <v>94800</v>
      </c>
      <c r="E95" s="40">
        <f>($C$95*(1+$C$81))/12</f>
        <v>8302.9</v>
      </c>
      <c r="F95" s="40"/>
      <c r="G95" s="40">
        <f>($C$95*(1+$C$81))/12</f>
        <v>8302.9</v>
      </c>
      <c r="H95" s="40"/>
      <c r="I95" s="40">
        <f>($C$95*(1+$C$81))/12</f>
        <v>8302.9</v>
      </c>
      <c r="J95" s="40"/>
      <c r="K95" s="40">
        <f>($C$95*(1+$C$81))/12</f>
        <v>8302.9</v>
      </c>
      <c r="L95" s="40"/>
      <c r="M95" s="40">
        <f>($C$95*(1+$C$81))/12</f>
        <v>8302.9</v>
      </c>
      <c r="N95" s="40"/>
      <c r="O95" s="40">
        <f>($C$95*(1+$C$81))/12</f>
        <v>8302.9</v>
      </c>
      <c r="P95" s="40"/>
      <c r="Q95" s="40">
        <f>($C$95*(1+$C$81))/12</f>
        <v>8302.9</v>
      </c>
      <c r="R95" s="40"/>
      <c r="S95" s="40">
        <f>($C$95*(1+$C$81))/12</f>
        <v>8302.9</v>
      </c>
      <c r="T95" s="40"/>
      <c r="U95" s="40">
        <f>($C$95*(1+$C$81))/12</f>
        <v>8302.9</v>
      </c>
      <c r="V95" s="40"/>
      <c r="W95" s="40">
        <f>($C$95*(1+$C$81))/12</f>
        <v>8302.9</v>
      </c>
      <c r="X95" s="40"/>
      <c r="Y95" s="40">
        <f>($C$95*(1+$C$81))/12</f>
        <v>8302.9</v>
      </c>
      <c r="Z95" s="40"/>
      <c r="AA95" s="40">
        <f>($C$95*(1+$C$81))/12</f>
        <v>8302.9</v>
      </c>
      <c r="AC95" s="43">
        <f>E95+G95+I95+K95+M95+O95+Q95+S95+U95+W95+Y95+AA95</f>
        <v>99634.799999999974</v>
      </c>
      <c r="AD95" s="92">
        <v>99824.39999999998</v>
      </c>
      <c r="AF95" s="40">
        <f>($AD$95*(1+$AD$81))/12</f>
        <v>8817.8219999999983</v>
      </c>
      <c r="AG95" s="40"/>
      <c r="AH95" s="40">
        <f t="shared" ref="AH95:BB95" si="290">($AD$95*(1+$AD$81))/12</f>
        <v>8817.8219999999983</v>
      </c>
      <c r="AI95" s="40"/>
      <c r="AJ95" s="40">
        <f t="shared" si="290"/>
        <v>8817.8219999999983</v>
      </c>
      <c r="AK95" s="40"/>
      <c r="AL95" s="40">
        <f t="shared" si="290"/>
        <v>8817.8219999999983</v>
      </c>
      <c r="AM95" s="40"/>
      <c r="AN95" s="40">
        <f t="shared" si="290"/>
        <v>8817.8219999999983</v>
      </c>
      <c r="AO95" s="40"/>
      <c r="AP95" s="40">
        <f t="shared" si="290"/>
        <v>8817.8219999999983</v>
      </c>
      <c r="AQ95" s="40"/>
      <c r="AR95" s="40">
        <f t="shared" si="290"/>
        <v>8817.8219999999983</v>
      </c>
      <c r="AS95" s="40"/>
      <c r="AT95" s="40">
        <f t="shared" si="290"/>
        <v>8817.8219999999983</v>
      </c>
      <c r="AU95" s="40"/>
      <c r="AV95" s="40">
        <f t="shared" si="290"/>
        <v>8817.8219999999983</v>
      </c>
      <c r="AW95" s="40"/>
      <c r="AX95" s="40">
        <f t="shared" si="290"/>
        <v>8817.8219999999983</v>
      </c>
      <c r="AY95" s="40"/>
      <c r="AZ95" s="40">
        <f t="shared" si="290"/>
        <v>8817.8219999999983</v>
      </c>
      <c r="BA95" s="40"/>
      <c r="BB95" s="40">
        <f t="shared" si="290"/>
        <v>8817.8219999999983</v>
      </c>
      <c r="BD95" s="43">
        <f>AF95+AH95+AJ95+AL95+AN95+AP95+AR95+AT95+AV95+AX95+AZ95+BB95</f>
        <v>105813.86399999999</v>
      </c>
    </row>
    <row r="96" spans="2:56" x14ac:dyDescent="0.2">
      <c r="B96" s="83" t="s">
        <v>100</v>
      </c>
      <c r="C96" s="52"/>
      <c r="D96" s="84"/>
      <c r="E96" s="98">
        <f>SUM(E82:E95)</f>
        <v>1642027.3979166665</v>
      </c>
      <c r="F96" s="98"/>
      <c r="G96" s="98">
        <f t="shared" ref="G96:AA96" si="291">SUM(G82:G95)</f>
        <v>1642027.3979166665</v>
      </c>
      <c r="H96" s="98"/>
      <c r="I96" s="98">
        <f t="shared" si="291"/>
        <v>1642027.3979166665</v>
      </c>
      <c r="J96" s="98"/>
      <c r="K96" s="98">
        <f t="shared" si="291"/>
        <v>1642027.3979166665</v>
      </c>
      <c r="L96" s="98"/>
      <c r="M96" s="98">
        <f t="shared" si="291"/>
        <v>1642027.3979166665</v>
      </c>
      <c r="N96" s="98"/>
      <c r="O96" s="98">
        <f t="shared" si="291"/>
        <v>1642027.3979166665</v>
      </c>
      <c r="P96" s="98"/>
      <c r="Q96" s="98">
        <f t="shared" si="291"/>
        <v>1642027.3979166665</v>
      </c>
      <c r="R96" s="98"/>
      <c r="S96" s="98">
        <f t="shared" si="291"/>
        <v>1642027.3979166665</v>
      </c>
      <c r="T96" s="98"/>
      <c r="U96" s="98">
        <f t="shared" si="291"/>
        <v>1642027.3979166665</v>
      </c>
      <c r="V96" s="98"/>
      <c r="W96" s="98">
        <f t="shared" si="291"/>
        <v>1642027.3979166665</v>
      </c>
      <c r="X96" s="98"/>
      <c r="Y96" s="98">
        <f t="shared" si="291"/>
        <v>1642027.3979166665</v>
      </c>
      <c r="Z96" s="98"/>
      <c r="AA96" s="98">
        <f t="shared" si="291"/>
        <v>1642027.3979166665</v>
      </c>
      <c r="AB96" s="89"/>
      <c r="AC96" s="85">
        <f>E96+G96+I96+K96+M96+O96+Q96+S96+U96+W96+Y96+AA96</f>
        <v>19704328.775000002</v>
      </c>
      <c r="AD96" s="43"/>
      <c r="AE96" s="84"/>
      <c r="AF96" s="98">
        <f>SUM(AF82:AF95)</f>
        <v>921507.90454166685</v>
      </c>
      <c r="AG96" s="98"/>
      <c r="AH96" s="98">
        <f t="shared" ref="AH96:BB96" si="292">SUM(AH82:AH95)</f>
        <v>921507.90454166685</v>
      </c>
      <c r="AI96" s="98"/>
      <c r="AJ96" s="98">
        <f t="shared" si="292"/>
        <v>921507.90454166685</v>
      </c>
      <c r="AK96" s="98"/>
      <c r="AL96" s="98">
        <f t="shared" si="292"/>
        <v>921507.90454166685</v>
      </c>
      <c r="AM96" s="98"/>
      <c r="AN96" s="98">
        <f t="shared" si="292"/>
        <v>921507.90454166685</v>
      </c>
      <c r="AO96" s="98"/>
      <c r="AP96" s="98">
        <f t="shared" si="292"/>
        <v>921507.90454166685</v>
      </c>
      <c r="AQ96" s="98"/>
      <c r="AR96" s="98">
        <f t="shared" si="292"/>
        <v>921507.90454166685</v>
      </c>
      <c r="AS96" s="98"/>
      <c r="AT96" s="98">
        <f t="shared" si="292"/>
        <v>921507.90454166685</v>
      </c>
      <c r="AU96" s="98"/>
      <c r="AV96" s="98">
        <f t="shared" si="292"/>
        <v>921507.90454166685</v>
      </c>
      <c r="AW96" s="98"/>
      <c r="AX96" s="98">
        <f t="shared" si="292"/>
        <v>921507.90454166685</v>
      </c>
      <c r="AY96" s="98"/>
      <c r="AZ96" s="98">
        <f t="shared" si="292"/>
        <v>921507.90454166685</v>
      </c>
      <c r="BA96" s="98"/>
      <c r="BB96" s="98">
        <f t="shared" si="292"/>
        <v>921507.90454166685</v>
      </c>
      <c r="BC96" s="89"/>
      <c r="BD96" s="85">
        <f>AF96+AH96+AJ96+AL96+AN96+AP96+AR96+AT96+AV96+AX96+AZ96+BB96</f>
        <v>11058094.854500003</v>
      </c>
    </row>
    <row r="97" spans="2:56" x14ac:dyDescent="0.2">
      <c r="BD97" s="39"/>
    </row>
    <row r="98" spans="2:56" x14ac:dyDescent="0.2">
      <c r="B98" s="97" t="s">
        <v>85</v>
      </c>
      <c r="D98" s="95">
        <f>E98/E11</f>
        <v>-1.0444354336168464E-3</v>
      </c>
      <c r="E98" s="94">
        <f>E79-E96</f>
        <v>-9916.6533333335537</v>
      </c>
      <c r="F98" s="95">
        <f>G98/G11</f>
        <v>-5.487522402731382E-3</v>
      </c>
      <c r="G98" s="94">
        <f>G79-G96</f>
        <v>-52102.653333333787</v>
      </c>
      <c r="H98" s="95">
        <f>I98/I11</f>
        <v>-5.487522402731382E-3</v>
      </c>
      <c r="I98" s="94">
        <f>I79-I96</f>
        <v>-52102.653333333787</v>
      </c>
      <c r="J98" s="95">
        <f>K98/K11</f>
        <v>-5.487522402731382E-3</v>
      </c>
      <c r="K98" s="94">
        <f>K79-K96</f>
        <v>-52102.653333333787</v>
      </c>
      <c r="L98" s="95">
        <f>M98/M11</f>
        <v>-5.487522402731382E-3</v>
      </c>
      <c r="M98" s="94">
        <f>M79-M96</f>
        <v>-52102.653333333787</v>
      </c>
      <c r="N98" s="95">
        <f>O98/O11</f>
        <v>2.6808104988986923E-2</v>
      </c>
      <c r="O98" s="94">
        <f>O79-O96</f>
        <v>266747.34666666714</v>
      </c>
      <c r="P98" s="95">
        <f>Q98/Q11</f>
        <v>4.7171550030849649E-2</v>
      </c>
      <c r="Q98" s="94">
        <f>Q79-Q96</f>
        <v>484009.56666666665</v>
      </c>
      <c r="R98" s="95">
        <f>S98/S11</f>
        <v>5.0017804636041788E-2</v>
      </c>
      <c r="S98" s="94">
        <f>S79-S96</f>
        <v>515461.26666666637</v>
      </c>
      <c r="T98" s="95">
        <f>U98/U11</f>
        <v>5.0017804636041788E-2</v>
      </c>
      <c r="U98" s="94">
        <f>U79-U96</f>
        <v>515461.26666666637</v>
      </c>
      <c r="V98" s="95">
        <f>W98/W11</f>
        <v>8.4803178070929672E-2</v>
      </c>
      <c r="W98" s="94">
        <f>W79-W96</f>
        <v>873943.86666666646</v>
      </c>
      <c r="X98" s="95">
        <f>Y98/Y11</f>
        <v>8.4803178070929672E-2</v>
      </c>
      <c r="Y98" s="94">
        <f>Y79-Y96</f>
        <v>873943.86666666646</v>
      </c>
      <c r="Z98" s="95">
        <f>AA98/AA11</f>
        <v>8.9980516989128886E-2</v>
      </c>
      <c r="AA98" s="94">
        <f>AA79-AA96</f>
        <v>935169.36666666646</v>
      </c>
      <c r="AB98" s="95">
        <f>AC98/AC11</f>
        <v>3.5594417373854638E-2</v>
      </c>
      <c r="AC98" s="96">
        <f>E98+G98+I98+K98+M98+O98+Q98+S98+U98+W98+Y98+AA98</f>
        <v>4246409.2799999965</v>
      </c>
      <c r="AD98" s="43"/>
      <c r="AE98" s="95">
        <f>AF98/AF11</f>
        <v>9.3360042690413772E-2</v>
      </c>
      <c r="AF98" s="94">
        <f>AF79-AF96</f>
        <v>933095.31172916549</v>
      </c>
      <c r="AG98" s="95">
        <f>AH98/AH11</f>
        <v>8.6750886872750246E-2</v>
      </c>
      <c r="AH98" s="94">
        <f>AH79-AH96</f>
        <v>867039.51172916614</v>
      </c>
      <c r="AI98" s="95">
        <f>AJ98/AJ11</f>
        <v>8.6750886872750246E-2</v>
      </c>
      <c r="AJ98" s="94">
        <f>AJ79-AJ96</f>
        <v>867039.51172916614</v>
      </c>
      <c r="AK98" s="95">
        <f>AL98/AL11</f>
        <v>8.6750886872750246E-2</v>
      </c>
      <c r="AL98" s="94">
        <f>AL79-AL96</f>
        <v>867039.51172916614</v>
      </c>
      <c r="AM98" s="95">
        <f>AN98/AN11</f>
        <v>8.6750886872750246E-2</v>
      </c>
      <c r="AN98" s="94">
        <f>AN79-AN96</f>
        <v>867039.51172916614</v>
      </c>
      <c r="AO98" s="95">
        <f>AP98/AP11</f>
        <v>9.2576267999031903E-2</v>
      </c>
      <c r="AP98" s="94">
        <f>AP79-AP96</f>
        <v>934135.351729166</v>
      </c>
      <c r="AQ98" s="95">
        <f>AR98/AR11</f>
        <v>0.1042833583539207</v>
      </c>
      <c r="AR98" s="94">
        <f>AR79-AR96</f>
        <v>1072944.2849291668</v>
      </c>
      <c r="AS98" s="95">
        <f>AT98/AT11</f>
        <v>0.10748275956085078</v>
      </c>
      <c r="AT98" s="94">
        <f>AT79-AT96</f>
        <v>1111833.3869291663</v>
      </c>
      <c r="AU98" s="95">
        <f>AV98/AV11</f>
        <v>0.10748275956085078</v>
      </c>
      <c r="AV98" s="94">
        <f>AV79-AV96</f>
        <v>1111833.3869291663</v>
      </c>
      <c r="AW98" s="95">
        <f>AX98/AX11</f>
        <v>0.10748275956085078</v>
      </c>
      <c r="AX98" s="94">
        <f>AX79-AX96</f>
        <v>1111833.3869291663</v>
      </c>
      <c r="AY98" s="95">
        <f>AZ98/AZ11</f>
        <v>0.10748275956085078</v>
      </c>
      <c r="AZ98" s="94">
        <f>AZ79-AZ96</f>
        <v>1111833.3869291663</v>
      </c>
      <c r="BA98" s="95">
        <f>BB98/BB11</f>
        <v>0.11537686264316006</v>
      </c>
      <c r="BB98" s="94">
        <f>BB79-BB96</f>
        <v>1209607.9169291656</v>
      </c>
      <c r="BC98" s="95">
        <f>BD98/BD11</f>
        <v>9.872310354868577E-2</v>
      </c>
      <c r="BD98" s="96">
        <f>AF98+AH98+AJ98+AL98+AN98+AP98+AR98+AT98+AV98+AX98+AZ98+BB98</f>
        <v>12065274.459949991</v>
      </c>
    </row>
    <row r="101" spans="2:56" x14ac:dyDescent="0.2">
      <c r="O101" s="39">
        <f>O96/6</f>
        <v>273671.23298611108</v>
      </c>
    </row>
  </sheetData>
  <mergeCells count="26">
    <mergeCell ref="BC3:BD3"/>
    <mergeCell ref="AE3:AF3"/>
    <mergeCell ref="BA3:BB3"/>
    <mergeCell ref="AY3:AZ3"/>
    <mergeCell ref="AW3:AX3"/>
    <mergeCell ref="AU3:AV3"/>
    <mergeCell ref="AS3:AT3"/>
    <mergeCell ref="AQ3:AR3"/>
    <mergeCell ref="AO3:AP3"/>
    <mergeCell ref="AM3:AN3"/>
    <mergeCell ref="AK3:AL3"/>
    <mergeCell ref="AI3:AJ3"/>
    <mergeCell ref="AG3:AH3"/>
    <mergeCell ref="AB3:AC3"/>
    <mergeCell ref="P3:Q3"/>
    <mergeCell ref="R3:S3"/>
    <mergeCell ref="T3:U3"/>
    <mergeCell ref="V3:W3"/>
    <mergeCell ref="X3:Y3"/>
    <mergeCell ref="Z3:AA3"/>
    <mergeCell ref="N3:O3"/>
    <mergeCell ref="D3:E3"/>
    <mergeCell ref="F3:G3"/>
    <mergeCell ref="H3:I3"/>
    <mergeCell ref="J3:K3"/>
    <mergeCell ref="L3:M3"/>
  </mergeCells>
  <phoneticPr fontId="4" type="noConversion"/>
  <conditionalFormatting sqref="D73:BD78">
    <cfRule type="cellIs" dxfId="57" priority="55" operator="greaterThan">
      <formula>0</formula>
    </cfRule>
    <cfRule type="cellIs" dxfId="56" priority="56" operator="lessThan">
      <formula>0</formula>
    </cfRule>
  </conditionalFormatting>
  <conditionalFormatting sqref="D98:BD98">
    <cfRule type="cellIs" dxfId="55" priority="53" operator="greaterThan">
      <formula>0</formula>
    </cfRule>
    <cfRule type="cellIs" dxfId="54" priority="54" operator="lessThan">
      <formula>0</formula>
    </cfRule>
  </conditionalFormatting>
  <pageMargins left="0.7" right="0.7" top="0.75" bottom="0.75" header="0.3" footer="0.3"/>
  <ignoredErrors>
    <ignoredError sqref="Z5:Z10 X5:X10 V5:V10 T5:T7 R5:R9 P5:P10 N5:N10 L5:L10 J5:J10 H5:H10 F5:F10 E14:E32 G20:AC20 F39:AB39 E40:H40 J40:AB40 G14:AB19 G26:AB32 G25:AC25 G21:AB21 G22:AB24 E66:AB71 E42:AB49 E72:AB78 H13:AB13 AF5:BB18 AF19:BD19 AF21:BB64 AF66:BC71 AF73:BC78 AF79:BC79 E80:BC90 E79:AE79 E92:BC98 E91:AC91 AE91:BC91 E51:AB65 F50:AB50 F34:AB34 F35:AB35 F36:AB36 F37:AB37 F38:AB38 T9:T1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E2E5-AD34-0C47-B796-59FB2F819C5E}">
  <sheetPr filterMode="1"/>
  <dimension ref="A1:Q65"/>
  <sheetViews>
    <sheetView zoomScale="84" zoomScaleNormal="100" workbookViewId="0">
      <selection activeCell="Q61" sqref="Q61"/>
    </sheetView>
  </sheetViews>
  <sheetFormatPr baseColWidth="10" defaultRowHeight="15" x14ac:dyDescent="0.2"/>
  <cols>
    <col min="1" max="1" width="5.5" style="48" bestFit="1" customWidth="1"/>
    <col min="2" max="2" width="4.6640625" style="48" bestFit="1" customWidth="1"/>
    <col min="3" max="3" width="10.5" style="48" bestFit="1" customWidth="1"/>
    <col min="4" max="4" width="13.6640625" style="272" bestFit="1" customWidth="1"/>
    <col min="5" max="5" width="14.83203125" style="272" customWidth="1"/>
    <col min="6" max="9" width="14.83203125" style="271" customWidth="1"/>
    <col min="10" max="10" width="14" style="271" bestFit="1" customWidth="1"/>
  </cols>
  <sheetData>
    <row r="1" spans="1:17" s="273" customFormat="1" ht="45.75" customHeight="1" x14ac:dyDescent="0.2">
      <c r="A1" s="275" t="s">
        <v>553</v>
      </c>
      <c r="B1" s="275" t="s">
        <v>552</v>
      </c>
      <c r="C1" s="275" t="s">
        <v>561</v>
      </c>
      <c r="D1" s="276" t="s">
        <v>558</v>
      </c>
      <c r="E1" s="276" t="s">
        <v>559</v>
      </c>
      <c r="F1" s="276" t="s">
        <v>557</v>
      </c>
      <c r="G1" s="276" t="s">
        <v>560</v>
      </c>
      <c r="H1" s="276" t="s">
        <v>556</v>
      </c>
      <c r="I1" s="276" t="s">
        <v>554</v>
      </c>
      <c r="J1" s="276" t="s">
        <v>555</v>
      </c>
    </row>
    <row r="2" spans="1:17" hidden="1" x14ac:dyDescent="0.2">
      <c r="A2" s="48">
        <v>2022</v>
      </c>
      <c r="B2" s="48">
        <v>3</v>
      </c>
      <c r="C2" s="274">
        <f>DATE(A2,B2,31)</f>
        <v>44651</v>
      </c>
      <c r="D2" s="270">
        <f>'EEFF 2022'!$X$6</f>
        <v>0</v>
      </c>
      <c r="E2" s="270"/>
      <c r="F2" s="270">
        <f>'EEFF 2022'!$X$16</f>
        <v>-158200</v>
      </c>
      <c r="G2" s="270"/>
      <c r="H2" s="270">
        <f>'EEFF 2022'!$X$47</f>
        <v>-917620.3</v>
      </c>
      <c r="I2" s="270">
        <v>0</v>
      </c>
      <c r="J2" s="270">
        <f>'EEFF 2022'!$X$71</f>
        <v>8552288.8699999992</v>
      </c>
    </row>
    <row r="3" spans="1:17" hidden="1" x14ac:dyDescent="0.2">
      <c r="A3" s="48">
        <v>2022</v>
      </c>
      <c r="B3" s="48">
        <v>4</v>
      </c>
      <c r="C3" s="274">
        <f>DATE(A3,B3,30)</f>
        <v>44681</v>
      </c>
      <c r="D3" s="270">
        <f>'EEFF 2022'!$AE$6</f>
        <v>2405000</v>
      </c>
      <c r="E3" s="270"/>
      <c r="F3" s="270">
        <f>'EEFF 2022'!$AE$16</f>
        <v>1777595</v>
      </c>
      <c r="G3" s="270"/>
      <c r="H3" s="270">
        <f>'EEFF 2022'!$AE$47</f>
        <v>-302398.05000000005</v>
      </c>
      <c r="I3" s="270">
        <f>I2+H2</f>
        <v>-917620.3</v>
      </c>
      <c r="J3" s="270">
        <f>'EEFF 2022'!$AE$71</f>
        <v>8552288.8699999992</v>
      </c>
    </row>
    <row r="4" spans="1:17" ht="16" hidden="1" x14ac:dyDescent="0.2">
      <c r="A4" s="48">
        <v>2022</v>
      </c>
      <c r="B4" s="48">
        <v>5</v>
      </c>
      <c r="C4" s="274">
        <f>DATE(A4,B4,31)</f>
        <v>44712</v>
      </c>
      <c r="D4" s="270">
        <f>'EEFF 2022'!$AL$6</f>
        <v>3660000</v>
      </c>
      <c r="E4" s="270"/>
      <c r="F4" s="270">
        <f>'EEFF 2022'!$AL$16</f>
        <v>2798588</v>
      </c>
      <c r="G4" s="270"/>
      <c r="H4" s="270">
        <f>'EEFF 2022'!$AL$47</f>
        <v>2895264.58</v>
      </c>
      <c r="I4" s="270">
        <f t="shared" ref="I4:I59" si="0">I3+H3</f>
        <v>-1220018.3500000001</v>
      </c>
      <c r="J4" s="270">
        <f>'EEFF 2022'!$AL$71</f>
        <v>8552288.8699999992</v>
      </c>
      <c r="K4" s="120"/>
      <c r="L4" s="120"/>
      <c r="M4" s="120"/>
      <c r="N4" s="120"/>
      <c r="O4" s="120"/>
      <c r="P4" s="120"/>
      <c r="Q4" s="120"/>
    </row>
    <row r="5" spans="1:17" hidden="1" x14ac:dyDescent="0.2">
      <c r="A5" s="48">
        <v>2022</v>
      </c>
      <c r="B5" s="48">
        <v>6</v>
      </c>
      <c r="C5" s="274">
        <f t="shared" ref="C5:C58" si="1">DATE(A5,B5,30)</f>
        <v>44742</v>
      </c>
      <c r="D5" s="270">
        <f>'EEFF 2022'!$AS$6</f>
        <v>4220000</v>
      </c>
      <c r="E5" s="270"/>
      <c r="F5" s="270">
        <f>'EEFF 2022'!$AS$16</f>
        <v>3543395</v>
      </c>
      <c r="G5" s="270"/>
      <c r="H5" s="270">
        <f>'EEFF 2022'!$AS$47</f>
        <v>833512.08999999962</v>
      </c>
      <c r="I5" s="270">
        <f t="shared" si="0"/>
        <v>1675246.23</v>
      </c>
      <c r="J5" s="270">
        <f>'EEFF 2022'!$AS$71</f>
        <v>8552288.8699999992</v>
      </c>
    </row>
    <row r="6" spans="1:17" hidden="1" x14ac:dyDescent="0.2">
      <c r="A6" s="48">
        <v>2022</v>
      </c>
      <c r="B6" s="48">
        <v>7</v>
      </c>
      <c r="C6" s="274">
        <f>DATE(A6,B6,31)</f>
        <v>44773</v>
      </c>
      <c r="D6" s="270">
        <f>'EEFF 2022'!$AZ$6</f>
        <v>3400000</v>
      </c>
      <c r="E6" s="270"/>
      <c r="F6" s="270">
        <f>'EEFF 2022'!$AZ$16</f>
        <v>708488</v>
      </c>
      <c r="G6" s="270"/>
      <c r="H6" s="270">
        <f>'EEFF 2022'!$AZ$47</f>
        <v>2321560.5699999998</v>
      </c>
      <c r="I6" s="270">
        <f t="shared" si="0"/>
        <v>2508758.3199999994</v>
      </c>
      <c r="J6" s="270">
        <f>'EEFF 2022'!$AZ$71</f>
        <v>8552288.8699999992</v>
      </c>
    </row>
    <row r="7" spans="1:17" hidden="1" x14ac:dyDescent="0.2">
      <c r="A7" s="48">
        <v>2022</v>
      </c>
      <c r="B7" s="48">
        <v>8</v>
      </c>
      <c r="C7" s="274">
        <f>DATE(A7,B7,31)</f>
        <v>44804</v>
      </c>
      <c r="D7" s="270">
        <f>'EEFF 2022'!$BG$6</f>
        <v>4120000</v>
      </c>
      <c r="E7" s="270"/>
      <c r="F7" s="270">
        <f>'EEFF 2022'!$BG$16</f>
        <v>-7343955</v>
      </c>
      <c r="G7" s="270"/>
      <c r="H7" s="270">
        <f>'EEFF 2022'!$BG$47</f>
        <v>497266.99000000069</v>
      </c>
      <c r="I7" s="270">
        <f t="shared" si="0"/>
        <v>4830318.8899999987</v>
      </c>
      <c r="J7" s="270">
        <f>'EEFF 2022'!$BG$71</f>
        <v>8552288.8699999992</v>
      </c>
    </row>
    <row r="8" spans="1:17" hidden="1" x14ac:dyDescent="0.2">
      <c r="A8" s="48">
        <v>2022</v>
      </c>
      <c r="B8" s="48">
        <v>9</v>
      </c>
      <c r="C8" s="274">
        <f t="shared" si="1"/>
        <v>44834</v>
      </c>
      <c r="D8" s="270">
        <f>'EEFF 2022'!$BN$6</f>
        <v>2200000</v>
      </c>
      <c r="E8" s="270"/>
      <c r="F8" s="270">
        <f>'EEFF 2022'!$BN$16</f>
        <v>-3744202</v>
      </c>
      <c r="G8" s="270"/>
      <c r="H8" s="270">
        <f>'EEFF 2022'!$BN$47</f>
        <v>-1237074.9900000002</v>
      </c>
      <c r="I8" s="270">
        <f t="shared" si="0"/>
        <v>5327585.879999999</v>
      </c>
      <c r="J8" s="270">
        <f>'EEFF 2022'!$BN$71</f>
        <v>8552288.8699999992</v>
      </c>
    </row>
    <row r="9" spans="1:17" hidden="1" x14ac:dyDescent="0.2">
      <c r="A9" s="48">
        <v>2022</v>
      </c>
      <c r="B9" s="48">
        <v>10</v>
      </c>
      <c r="C9" s="274">
        <f>DATE(A9,B9,31)</f>
        <v>44865</v>
      </c>
      <c r="D9" s="270">
        <f>'EEFF 2022'!$BU$6</f>
        <v>5320000</v>
      </c>
      <c r="E9" s="270"/>
      <c r="F9" s="270">
        <f>'EEFF 2022'!$BU$16</f>
        <v>217886</v>
      </c>
      <c r="G9" s="270"/>
      <c r="H9" s="270">
        <f>'EEFF 2022'!$BU$47</f>
        <v>2924735.05</v>
      </c>
      <c r="I9" s="270">
        <f t="shared" si="0"/>
        <v>4090510.8899999987</v>
      </c>
      <c r="J9" s="270">
        <f>'EEFF 2022'!$BU$71</f>
        <v>8552288.8699999992</v>
      </c>
    </row>
    <row r="10" spans="1:17" hidden="1" x14ac:dyDescent="0.2">
      <c r="A10" s="48">
        <v>2022</v>
      </c>
      <c r="B10" s="48">
        <v>11</v>
      </c>
      <c r="C10" s="274">
        <f t="shared" si="1"/>
        <v>44895</v>
      </c>
      <c r="D10" s="270">
        <f>'EEFF 2022'!$CB$6</f>
        <v>3760000</v>
      </c>
      <c r="E10" s="270"/>
      <c r="F10" s="270">
        <f>'EEFF 2022'!$CB$16</f>
        <v>3060378</v>
      </c>
      <c r="G10" s="270"/>
      <c r="H10" s="270">
        <f>'EEFF 2022'!$CB$47</f>
        <v>2476935.13</v>
      </c>
      <c r="I10" s="270">
        <f t="shared" si="0"/>
        <v>7015245.9399999985</v>
      </c>
      <c r="J10" s="270">
        <f>'EEFF 2022'!$CB$71</f>
        <v>8552288.8699999992</v>
      </c>
    </row>
    <row r="11" spans="1:17" hidden="1" x14ac:dyDescent="0.2">
      <c r="A11" s="48">
        <v>2022</v>
      </c>
      <c r="B11" s="48">
        <v>12</v>
      </c>
      <c r="C11" s="274">
        <f>DATE(A11,B11,31)</f>
        <v>44926</v>
      </c>
      <c r="D11" s="270">
        <f>'EEFF 2022'!$CI$6</f>
        <v>2660000</v>
      </c>
      <c r="E11" s="270">
        <f>SUM(D2:D11)</f>
        <v>31745000</v>
      </c>
      <c r="F11" s="270">
        <f>'EEFF 2022'!$CI$16</f>
        <v>1386008.5</v>
      </c>
      <c r="G11" s="270">
        <f>SUM(F2:F11)</f>
        <v>2245981.5</v>
      </c>
      <c r="H11" s="270">
        <f>'EEFF 2022'!$CI$47</f>
        <v>1524474.6700000002</v>
      </c>
      <c r="I11" s="270">
        <f t="shared" si="0"/>
        <v>9492181.0699999984</v>
      </c>
      <c r="J11" s="270">
        <f>'EEFF 2022'!$CI$71</f>
        <v>8552288.8699999992</v>
      </c>
    </row>
    <row r="12" spans="1:17" hidden="1" x14ac:dyDescent="0.2">
      <c r="A12" s="48">
        <v>2023</v>
      </c>
      <c r="B12" s="48">
        <v>1</v>
      </c>
      <c r="C12" s="274">
        <f>DATE(A12,B12,31)</f>
        <v>44957</v>
      </c>
      <c r="D12" s="270">
        <f>'EEFF 2023'!$J$6</f>
        <v>3500000</v>
      </c>
      <c r="E12" s="270"/>
      <c r="F12" s="270">
        <f>'EEFF 2023'!$J$16</f>
        <v>-4399556</v>
      </c>
      <c r="G12" s="270"/>
      <c r="H12" s="270">
        <f>'EEFF 2023'!$J$47</f>
        <v>-8296761.4199999999</v>
      </c>
      <c r="I12" s="270">
        <f t="shared" si="0"/>
        <v>11016655.739999998</v>
      </c>
      <c r="J12" s="270">
        <f>'EEFF 2023'!$J$71</f>
        <v>19135085.939999998</v>
      </c>
    </row>
    <row r="13" spans="1:17" hidden="1" x14ac:dyDescent="0.2">
      <c r="A13" s="48">
        <v>2023</v>
      </c>
      <c r="B13" s="48">
        <v>2</v>
      </c>
      <c r="C13" s="274">
        <f>DATE(A13,B13,28)</f>
        <v>44985</v>
      </c>
      <c r="D13" s="270">
        <f>'EEFF 2023'!$Q$6</f>
        <v>5180000</v>
      </c>
      <c r="E13" s="270"/>
      <c r="F13" s="270">
        <f>'EEFF 2023'!$Q$16</f>
        <v>4230322</v>
      </c>
      <c r="G13" s="270"/>
      <c r="H13" s="270">
        <f>'EEFF 2023'!$Q$47</f>
        <v>171013.72999999992</v>
      </c>
      <c r="I13" s="270">
        <f t="shared" si="0"/>
        <v>2719894.3199999984</v>
      </c>
      <c r="J13" s="270">
        <f>'EEFF 2023'!$Q$71</f>
        <v>19135085.939999998</v>
      </c>
    </row>
    <row r="14" spans="1:17" hidden="1" x14ac:dyDescent="0.2">
      <c r="A14" s="48">
        <v>2023</v>
      </c>
      <c r="B14" s="48">
        <v>3</v>
      </c>
      <c r="C14" s="274">
        <f>DATE(A14,B14,31)</f>
        <v>45016</v>
      </c>
      <c r="D14" s="270">
        <f>'EEFF 2023'!$X$6</f>
        <v>4360000</v>
      </c>
      <c r="E14" s="270"/>
      <c r="F14" s="270">
        <f>'EEFF 2023'!$X$16</f>
        <v>2885623</v>
      </c>
      <c r="G14" s="270"/>
      <c r="H14" s="270">
        <f>'EEFF 2023'!$X$47</f>
        <v>-917919.74</v>
      </c>
      <c r="I14" s="270">
        <f t="shared" si="0"/>
        <v>2890908.0499999984</v>
      </c>
      <c r="J14" s="270">
        <f>'EEFF 2023'!$X$71</f>
        <v>19135085.939999998</v>
      </c>
    </row>
    <row r="15" spans="1:17" hidden="1" x14ac:dyDescent="0.2">
      <c r="A15" s="48">
        <v>2023</v>
      </c>
      <c r="B15" s="48">
        <v>4</v>
      </c>
      <c r="C15" s="274">
        <f t="shared" si="1"/>
        <v>45046</v>
      </c>
      <c r="D15" s="270">
        <f>'EEFF 2023'!$AE$6</f>
        <v>3980000</v>
      </c>
      <c r="E15" s="270"/>
      <c r="F15" s="270">
        <f>'EEFF 2023'!$AE$16</f>
        <v>3049964</v>
      </c>
      <c r="G15" s="270"/>
      <c r="H15" s="270">
        <f>'EEFF 2023'!$AE$47</f>
        <v>754353.49000000022</v>
      </c>
      <c r="I15" s="270">
        <f t="shared" si="0"/>
        <v>1972988.3099999984</v>
      </c>
      <c r="J15" s="270">
        <f>'EEFF 2023'!$AE$71</f>
        <v>19135085.939999998</v>
      </c>
    </row>
    <row r="16" spans="1:17" hidden="1" x14ac:dyDescent="0.2">
      <c r="A16" s="48">
        <v>2023</v>
      </c>
      <c r="B16" s="48">
        <v>5</v>
      </c>
      <c r="C16" s="274">
        <f>DATE(A16,B16,31)</f>
        <v>45077</v>
      </c>
      <c r="D16" s="270">
        <f>'EEFF 2023'!$AL$6</f>
        <v>4641000</v>
      </c>
      <c r="E16" s="270"/>
      <c r="F16" s="270">
        <f>'EEFF 2023'!$AL$16</f>
        <v>3879762</v>
      </c>
      <c r="G16" s="270"/>
      <c r="H16" s="270">
        <f>'EEFF 2023'!$AL$47</f>
        <v>4424339.88</v>
      </c>
      <c r="I16" s="270">
        <f t="shared" si="0"/>
        <v>2727341.7999999989</v>
      </c>
      <c r="J16" s="270">
        <f>'EEFF 2023'!$AL$71</f>
        <v>19135085.939999998</v>
      </c>
    </row>
    <row r="17" spans="1:10" hidden="1" x14ac:dyDescent="0.2">
      <c r="A17" s="48">
        <v>2023</v>
      </c>
      <c r="B17" s="48">
        <v>6</v>
      </c>
      <c r="C17" s="274">
        <f>DATE(A17,B17,30)</f>
        <v>45107</v>
      </c>
      <c r="D17" s="270">
        <f>'EEFF 2023'!$AS$6</f>
        <v>5441000</v>
      </c>
      <c r="E17" s="270"/>
      <c r="F17" s="270">
        <f>'EEFF 2023'!$AS$16</f>
        <v>4725895</v>
      </c>
      <c r="G17" s="270"/>
      <c r="H17" s="270">
        <f>'EEFF 2023'!$AS$47</f>
        <v>2146539.4500000002</v>
      </c>
      <c r="I17" s="270">
        <f t="shared" si="0"/>
        <v>7151681.6799999988</v>
      </c>
      <c r="J17" s="270">
        <f>'EEFF 2023'!$AS$71</f>
        <v>19135085.939999998</v>
      </c>
    </row>
    <row r="18" spans="1:10" hidden="1" x14ac:dyDescent="0.2">
      <c r="A18" s="48">
        <v>2023</v>
      </c>
      <c r="B18" s="48">
        <v>7</v>
      </c>
      <c r="C18" s="274">
        <f>DATE(A18,B18,31)</f>
        <v>45138</v>
      </c>
      <c r="D18" s="270">
        <f>'EEFF 2023'!$AZ$6</f>
        <v>2081000</v>
      </c>
      <c r="E18" s="270"/>
      <c r="F18" s="270">
        <f>'EEFF 2023'!$AZ$16</f>
        <v>1168590</v>
      </c>
      <c r="G18" s="270"/>
      <c r="H18" s="270">
        <f>'EEFF 2023'!$AZ$47</f>
        <v>561631.71</v>
      </c>
      <c r="I18" s="270">
        <f t="shared" si="0"/>
        <v>9298221.129999999</v>
      </c>
      <c r="J18" s="270">
        <f>'EEFF 2023'!$AZ$71</f>
        <v>19135085.939999998</v>
      </c>
    </row>
    <row r="19" spans="1:10" hidden="1" x14ac:dyDescent="0.2">
      <c r="A19" s="48">
        <v>2023</v>
      </c>
      <c r="B19" s="48">
        <v>8</v>
      </c>
      <c r="C19" s="274">
        <f>DATE(A19,B19,31)</f>
        <v>45169</v>
      </c>
      <c r="D19" s="270">
        <f>'EEFF 2023'!$BG$6</f>
        <v>7722000</v>
      </c>
      <c r="E19" s="270"/>
      <c r="F19" s="270">
        <f>'EEFF 2023'!$BG$16</f>
        <v>5898585</v>
      </c>
      <c r="G19" s="270"/>
      <c r="H19" s="270">
        <f>'EEFF 2023'!$BG$47</f>
        <v>2668281.5999999992</v>
      </c>
      <c r="I19" s="270">
        <f t="shared" si="0"/>
        <v>9859852.8399999999</v>
      </c>
      <c r="J19" s="270">
        <f>'EEFF 2023'!$BG$71</f>
        <v>19135085.939999998</v>
      </c>
    </row>
    <row r="20" spans="1:10" hidden="1" x14ac:dyDescent="0.2">
      <c r="A20" s="48">
        <v>2023</v>
      </c>
      <c r="B20" s="48">
        <v>9</v>
      </c>
      <c r="C20" s="274">
        <f t="shared" si="1"/>
        <v>45199</v>
      </c>
      <c r="D20" s="270">
        <f>'EEFF 2023'!$BN$6</f>
        <v>8961000</v>
      </c>
      <c r="E20" s="270"/>
      <c r="F20" s="270">
        <f>'EEFF 2023'!$BN$16</f>
        <v>7852690</v>
      </c>
      <c r="G20" s="270"/>
      <c r="H20" s="270">
        <f>'EEFF 2023'!$BN$47</f>
        <v>9321918</v>
      </c>
      <c r="I20" s="270">
        <f t="shared" si="0"/>
        <v>12528134.439999999</v>
      </c>
      <c r="J20" s="270">
        <f>'EEFF 2023'!$BN$71</f>
        <v>34783751.949999996</v>
      </c>
    </row>
    <row r="21" spans="1:10" hidden="1" x14ac:dyDescent="0.2">
      <c r="A21" s="48">
        <v>2023</v>
      </c>
      <c r="B21" s="48">
        <v>10</v>
      </c>
      <c r="C21" s="274">
        <f>DATE(A21,B21,31)</f>
        <v>45230</v>
      </c>
      <c r="D21" s="270">
        <f>'EEFF 2023'!$BU$6</f>
        <v>1800000</v>
      </c>
      <c r="E21" s="270"/>
      <c r="F21" s="270">
        <f>'EEFF 2023'!$BU$16</f>
        <v>-2436080.63</v>
      </c>
      <c r="G21" s="270"/>
      <c r="H21" s="270">
        <f>'EEFF 2023'!$BU$47</f>
        <v>-9491694.5299999975</v>
      </c>
      <c r="I21" s="270">
        <f t="shared" si="0"/>
        <v>21850052.439999998</v>
      </c>
      <c r="J21" s="270">
        <f>'EEFF 2023'!$BU$71</f>
        <v>34783751.949999996</v>
      </c>
    </row>
    <row r="22" spans="1:10" hidden="1" x14ac:dyDescent="0.2">
      <c r="A22" s="48">
        <v>2023</v>
      </c>
      <c r="B22" s="48">
        <v>11</v>
      </c>
      <c r="C22" s="274">
        <f t="shared" si="1"/>
        <v>45260</v>
      </c>
      <c r="D22" s="270">
        <f>'EEFF 2023'!$CB$6</f>
        <v>3581000</v>
      </c>
      <c r="E22" s="270"/>
      <c r="F22" s="270">
        <f>'EEFF 2023'!$CB$16</f>
        <v>-15463905</v>
      </c>
      <c r="G22" s="270"/>
      <c r="H22" s="270">
        <f>'EEFF 2023'!$CB$47</f>
        <v>-16920058.68</v>
      </c>
      <c r="I22" s="270">
        <f t="shared" si="0"/>
        <v>12358357.91</v>
      </c>
      <c r="J22" s="270">
        <f>'EEFF 2023'!$CB$71</f>
        <v>53309451.949999996</v>
      </c>
    </row>
    <row r="23" spans="1:10" hidden="1" x14ac:dyDescent="0.2">
      <c r="A23" s="48">
        <v>2023</v>
      </c>
      <c r="B23" s="48">
        <v>12</v>
      </c>
      <c r="C23" s="274">
        <f>DATE(A23,B23,31)</f>
        <v>45291</v>
      </c>
      <c r="D23" s="270">
        <f>'EEFF 2023'!$CI$6</f>
        <v>4350000</v>
      </c>
      <c r="E23" s="270">
        <f>SUM(D12:D23)</f>
        <v>55597000</v>
      </c>
      <c r="F23" s="270">
        <f>'EEFF 2023'!$CI$16</f>
        <v>3240741</v>
      </c>
      <c r="G23" s="270">
        <f>SUM(F12:F23)</f>
        <v>14632630.370000001</v>
      </c>
      <c r="H23" s="270">
        <f>'EEFF 2023'!$CI$47</f>
        <v>3386925.5900000003</v>
      </c>
      <c r="I23" s="270">
        <f t="shared" si="0"/>
        <v>-4561700.7699999996</v>
      </c>
      <c r="J23" s="270">
        <f>'EEFF 2023'!$CI$71</f>
        <v>53309451.949999996</v>
      </c>
    </row>
    <row r="24" spans="1:10" hidden="1" x14ac:dyDescent="0.2">
      <c r="A24" s="48">
        <v>2024</v>
      </c>
      <c r="B24" s="48">
        <v>1</v>
      </c>
      <c r="C24" s="274">
        <f>DATE(A24,B24,31)</f>
        <v>45322</v>
      </c>
      <c r="D24" s="270">
        <f>'EEFF 2024'!$J$6</f>
        <v>6250000</v>
      </c>
      <c r="E24" s="270"/>
      <c r="F24" s="270">
        <f>'EEFF 2024'!$J$16</f>
        <v>-8147963</v>
      </c>
      <c r="G24" s="270"/>
      <c r="H24" s="270">
        <f>'EEFF 2024'!$J$47</f>
        <v>-7319254.4800000014</v>
      </c>
      <c r="I24" s="270">
        <f t="shared" si="0"/>
        <v>-1174775.1799999992</v>
      </c>
      <c r="J24" s="270">
        <f>'EEFF 2024'!$J$71</f>
        <v>53309451.949999996</v>
      </c>
    </row>
    <row r="25" spans="1:10" hidden="1" x14ac:dyDescent="0.2">
      <c r="A25" s="48">
        <v>2024</v>
      </c>
      <c r="B25" s="48">
        <v>2</v>
      </c>
      <c r="C25" s="274">
        <f>DATE(A25,B25,29)</f>
        <v>45351</v>
      </c>
      <c r="D25" s="270">
        <f>'EEFF 2024'!$Q$6</f>
        <v>2850000</v>
      </c>
      <c r="E25" s="270"/>
      <c r="F25" s="270">
        <f>'EEFF 2024'!$Q$16</f>
        <v>-19819884</v>
      </c>
      <c r="G25" s="270"/>
      <c r="H25" s="270">
        <f>'EEFF 2024'!$Q$47</f>
        <v>-18222947.060000002</v>
      </c>
      <c r="I25" s="270">
        <f t="shared" si="0"/>
        <v>-8494029.6600000001</v>
      </c>
      <c r="J25" s="270">
        <f>'EEFF 2024'!$Q$71</f>
        <v>87883686.50999999</v>
      </c>
    </row>
    <row r="26" spans="1:10" hidden="1" x14ac:dyDescent="0.2">
      <c r="A26" s="48">
        <v>2024</v>
      </c>
      <c r="B26" s="48">
        <v>3</v>
      </c>
      <c r="C26" s="274">
        <f>DATE(A26,B26,31)</f>
        <v>45382</v>
      </c>
      <c r="D26" s="270">
        <f>'EEFF 2024'!$X$6</f>
        <v>6650000</v>
      </c>
      <c r="E26" s="270"/>
      <c r="F26" s="270">
        <f>'EEFF 2024'!$X$16</f>
        <v>-9053897</v>
      </c>
      <c r="G26" s="270"/>
      <c r="H26" s="270">
        <f>'EEFF 2024'!$X$47</f>
        <v>-28722449.289999999</v>
      </c>
      <c r="I26" s="270">
        <f t="shared" si="0"/>
        <v>-26716976.720000003</v>
      </c>
      <c r="J26" s="270">
        <f>'EEFF 2024'!$X$71</f>
        <v>104971798.32999998</v>
      </c>
    </row>
    <row r="27" spans="1:10" hidden="1" x14ac:dyDescent="0.2">
      <c r="A27" s="48">
        <v>2024</v>
      </c>
      <c r="B27" s="48">
        <v>4</v>
      </c>
      <c r="C27" s="274">
        <f t="shared" si="1"/>
        <v>45412</v>
      </c>
      <c r="D27" s="270">
        <f>'EEFF 2024'!$AE$6</f>
        <v>3731000</v>
      </c>
      <c r="E27" s="270"/>
      <c r="F27" s="270">
        <f>'EEFF 2024'!$AE$16</f>
        <v>-1334102</v>
      </c>
      <c r="G27" s="270"/>
      <c r="H27" s="270">
        <f>'EEFF 2024'!$AE$47</f>
        <v>-1948521.9400000006</v>
      </c>
      <c r="I27" s="270">
        <f t="shared" si="0"/>
        <v>-55439426.010000005</v>
      </c>
      <c r="J27" s="270">
        <f>'EEFF 2024'!$AE$71</f>
        <v>104971798.32999998</v>
      </c>
    </row>
    <row r="28" spans="1:10" hidden="1" x14ac:dyDescent="0.2">
      <c r="A28" s="48">
        <v>2024</v>
      </c>
      <c r="B28" s="48">
        <v>5</v>
      </c>
      <c r="C28" s="274">
        <f>DATE(A28,B28,31)</f>
        <v>45443</v>
      </c>
      <c r="D28" s="270">
        <f>'EEFF 2024'!$AL$6</f>
        <v>9381000</v>
      </c>
      <c r="E28" s="270"/>
      <c r="F28" s="270">
        <f>'EEFF 2024'!$AL$16</f>
        <v>2119241</v>
      </c>
      <c r="G28" s="270"/>
      <c r="H28" s="270">
        <f>'EEFF 2024'!$AL$47</f>
        <v>2219239.7000000002</v>
      </c>
      <c r="I28" s="270">
        <f t="shared" si="0"/>
        <v>-57387947.950000003</v>
      </c>
      <c r="J28" s="270">
        <f>'EEFF 2024'!$AL$71</f>
        <v>104971798.32999998</v>
      </c>
    </row>
    <row r="29" spans="1:10" hidden="1" x14ac:dyDescent="0.2">
      <c r="A29" s="48">
        <v>2024</v>
      </c>
      <c r="B29" s="48">
        <v>6</v>
      </c>
      <c r="C29" s="274">
        <f t="shared" si="1"/>
        <v>45473</v>
      </c>
      <c r="D29" s="270">
        <f>'EEFF 2024'!$AS$6</f>
        <v>7981000</v>
      </c>
      <c r="E29" s="270"/>
      <c r="F29" s="270">
        <f>'EEFF 2024'!$AS$16</f>
        <v>7179795</v>
      </c>
      <c r="G29" s="270"/>
      <c r="H29" s="270">
        <f>'EEFF 2024'!$AS$47</f>
        <v>5939346.5200000014</v>
      </c>
      <c r="I29" s="270">
        <f t="shared" si="0"/>
        <v>-55168708.25</v>
      </c>
      <c r="J29" s="270">
        <f>'EEFF 2024'!$AS$71</f>
        <v>104971798.32999998</v>
      </c>
    </row>
    <row r="30" spans="1:10" hidden="1" x14ac:dyDescent="0.2">
      <c r="A30" s="48">
        <v>2024</v>
      </c>
      <c r="B30" s="48">
        <v>7</v>
      </c>
      <c r="C30" s="274">
        <f>DATE(A30,B30,31)</f>
        <v>45504</v>
      </c>
      <c r="D30" s="270">
        <f>'EEFF 2024'!$AZ$6</f>
        <v>8131000</v>
      </c>
      <c r="E30" s="270"/>
      <c r="F30" s="270">
        <f>'EEFF 2024'!$AZ$16</f>
        <v>6580660</v>
      </c>
      <c r="G30" s="270"/>
      <c r="H30" s="270">
        <f>'EEFF 2024'!$AZ$47</f>
        <v>5914259.4800000014</v>
      </c>
      <c r="I30" s="270">
        <f t="shared" si="0"/>
        <v>-49229361.729999997</v>
      </c>
      <c r="J30" s="270">
        <f>'EEFF 2024'!$AZ$71</f>
        <v>104971798.32999998</v>
      </c>
    </row>
    <row r="31" spans="1:10" hidden="1" x14ac:dyDescent="0.2">
      <c r="A31" s="48">
        <v>2024</v>
      </c>
      <c r="B31" s="48">
        <v>8</v>
      </c>
      <c r="C31" s="274">
        <f>DATE(A31,B31,31)</f>
        <v>45535</v>
      </c>
      <c r="D31" s="270">
        <f>'EEFF 2024'!$BG$6</f>
        <v>8527500</v>
      </c>
      <c r="E31" s="270"/>
      <c r="F31" s="270">
        <f>'EEFF 2024'!$BG$16</f>
        <v>7709295</v>
      </c>
      <c r="G31" s="270"/>
      <c r="H31" s="270">
        <f>'EEFF 2024'!$BG$47</f>
        <v>6100390.3200000003</v>
      </c>
      <c r="I31" s="270">
        <f t="shared" si="0"/>
        <v>-43315102.249999993</v>
      </c>
      <c r="J31" s="270">
        <f>'EEFF 2024'!$BG$71</f>
        <v>104971798.32999998</v>
      </c>
    </row>
    <row r="32" spans="1:10" hidden="1" x14ac:dyDescent="0.2">
      <c r="A32" s="48">
        <v>2024</v>
      </c>
      <c r="B32" s="48">
        <v>9</v>
      </c>
      <c r="C32" s="274">
        <f t="shared" si="1"/>
        <v>45565</v>
      </c>
      <c r="D32" s="270">
        <f>'EEFF 2024'!$BN$6</f>
        <v>7111000</v>
      </c>
      <c r="E32" s="270"/>
      <c r="F32" s="270">
        <f>'EEFF 2024'!$BN$16</f>
        <v>6473195.0099999998</v>
      </c>
      <c r="G32" s="270"/>
      <c r="H32" s="270">
        <f>'EEFF 2024'!$BN$47</f>
        <v>-2561597.3200000008</v>
      </c>
      <c r="I32" s="270">
        <f t="shared" si="0"/>
        <v>-37214711.929999992</v>
      </c>
      <c r="J32" s="270">
        <f>'EEFF 2024'!$BN$71</f>
        <v>104971798.32999998</v>
      </c>
    </row>
    <row r="33" spans="1:10" hidden="1" x14ac:dyDescent="0.2">
      <c r="A33" s="48">
        <v>2024</v>
      </c>
      <c r="B33" s="48">
        <v>10</v>
      </c>
      <c r="C33" s="274">
        <f>DATE(A33,B33,31)</f>
        <v>45596</v>
      </c>
      <c r="D33" s="270">
        <f>'EEFF 2024'!$BU$6</f>
        <v>6081000</v>
      </c>
      <c r="E33" s="270"/>
      <c r="F33" s="270">
        <f>'EEFF 2024'!$BU$16</f>
        <v>5120795</v>
      </c>
      <c r="G33" s="270"/>
      <c r="H33" s="270">
        <f>'EEFF 2024'!$BU$47</f>
        <v>3806166.5700000003</v>
      </c>
      <c r="I33" s="270">
        <f t="shared" si="0"/>
        <v>-39776309.249999993</v>
      </c>
      <c r="J33" s="270">
        <f>'EEFF 2024'!$BU$71</f>
        <v>104971798.32999998</v>
      </c>
    </row>
    <row r="34" spans="1:10" hidden="1" x14ac:dyDescent="0.2">
      <c r="A34" s="48">
        <v>2024</v>
      </c>
      <c r="B34" s="48">
        <v>11</v>
      </c>
      <c r="C34" s="274">
        <f t="shared" si="1"/>
        <v>45626</v>
      </c>
      <c r="D34" s="270">
        <f>'EEFF 2024'!$CB$6</f>
        <v>13474500</v>
      </c>
      <c r="E34" s="270"/>
      <c r="F34" s="270">
        <f>'EEFF 2024'!$CB$16</f>
        <v>11976090</v>
      </c>
      <c r="G34" s="270"/>
      <c r="H34" s="270">
        <f>'EEFF 2024'!$CB$47</f>
        <v>11369333.289999999</v>
      </c>
      <c r="I34" s="270">
        <f t="shared" si="0"/>
        <v>-35970142.679999992</v>
      </c>
      <c r="J34" s="270">
        <f>'EEFF 2024'!$CB$71</f>
        <v>104971798.32999998</v>
      </c>
    </row>
    <row r="35" spans="1:10" hidden="1" x14ac:dyDescent="0.2">
      <c r="A35" s="48">
        <v>2024</v>
      </c>
      <c r="B35" s="48">
        <v>12</v>
      </c>
      <c r="C35" s="274">
        <f>DATE(A35,B35,31)</f>
        <v>45657</v>
      </c>
      <c r="D35" s="270">
        <f>'EEFF 2024'!$CI$6</f>
        <v>5961000</v>
      </c>
      <c r="E35" s="270">
        <f>SUM(D24:D35)</f>
        <v>86129000</v>
      </c>
      <c r="F35" s="270">
        <f>'EEFF 2024'!$CI$16</f>
        <v>-10507058</v>
      </c>
      <c r="G35" s="270">
        <f>SUM(F24:F35)</f>
        <v>-1703832.9900000002</v>
      </c>
      <c r="H35" s="270">
        <f>'EEFF 2024'!$CI$47</f>
        <v>-11712030.870000001</v>
      </c>
      <c r="I35" s="270">
        <f t="shared" si="0"/>
        <v>-24600809.389999993</v>
      </c>
      <c r="J35" s="270">
        <f>'EEFF 2024'!$CI$71</f>
        <v>104971798.32999998</v>
      </c>
    </row>
    <row r="36" spans="1:10" hidden="1" x14ac:dyDescent="0.2">
      <c r="A36" s="48">
        <v>2025</v>
      </c>
      <c r="B36" s="48">
        <v>1</v>
      </c>
      <c r="C36" s="274">
        <f>DATE(A36,B36,31)</f>
        <v>45688</v>
      </c>
      <c r="D36" s="270">
        <f>'EEFF 2025'!$J$6</f>
        <v>9281000</v>
      </c>
      <c r="E36" s="270"/>
      <c r="F36" s="270">
        <f>'EEFF 2025'!$J$16</f>
        <v>1300639.33</v>
      </c>
      <c r="G36" s="270"/>
      <c r="H36" s="270">
        <f>'EEFF 2025'!$J$47</f>
        <v>-17890708.099999998</v>
      </c>
      <c r="I36" s="270">
        <f t="shared" si="0"/>
        <v>-36312840.25999999</v>
      </c>
      <c r="J36" s="270">
        <f>'EEFF 2025'!$J$71</f>
        <v>104971798.32999998</v>
      </c>
    </row>
    <row r="37" spans="1:10" hidden="1" x14ac:dyDescent="0.2">
      <c r="A37" s="48">
        <v>2025</v>
      </c>
      <c r="B37" s="48">
        <v>2</v>
      </c>
      <c r="C37" s="274">
        <f>DATE(A37,B37,28)</f>
        <v>45716</v>
      </c>
      <c r="D37" s="270">
        <f>'EEFF 2025'!$Q$6</f>
        <v>8631000</v>
      </c>
      <c r="E37" s="270"/>
      <c r="F37" s="270">
        <f>'EEFF 2025'!$Q$16</f>
        <v>-1404458</v>
      </c>
      <c r="G37" s="270"/>
      <c r="H37" s="270">
        <f>'EEFF 2025'!$Q$47</f>
        <v>-10186846.380000001</v>
      </c>
      <c r="I37" s="270">
        <f t="shared" si="0"/>
        <v>-54203548.359999985</v>
      </c>
      <c r="J37" s="270">
        <f>'EEFF 2025'!$Q$71</f>
        <v>104971798.32999998</v>
      </c>
    </row>
    <row r="38" spans="1:10" hidden="1" x14ac:dyDescent="0.2">
      <c r="A38" s="48">
        <v>2025</v>
      </c>
      <c r="B38" s="48">
        <v>3</v>
      </c>
      <c r="C38" s="274">
        <f>DATE(A38,B38,31)</f>
        <v>45747</v>
      </c>
      <c r="D38" s="270">
        <f>'EEFF 2025'!$X$6</f>
        <v>10961000</v>
      </c>
      <c r="E38" s="270"/>
      <c r="F38" s="270">
        <f>'EEFF 2025'!$X$16</f>
        <v>3622958</v>
      </c>
      <c r="G38" s="270"/>
      <c r="H38" s="270">
        <f>'EEFF 2025'!$X$47</f>
        <v>2075558.3500000006</v>
      </c>
      <c r="I38" s="270">
        <f t="shared" si="0"/>
        <v>-64390394.739999987</v>
      </c>
      <c r="J38" s="270">
        <f>'EEFF 2025'!$X$71</f>
        <v>104971798.32999998</v>
      </c>
    </row>
    <row r="39" spans="1:10" hidden="1" x14ac:dyDescent="0.2">
      <c r="A39" s="48">
        <v>2025</v>
      </c>
      <c r="B39" s="48">
        <v>4</v>
      </c>
      <c r="C39" s="274">
        <f t="shared" si="1"/>
        <v>45777</v>
      </c>
      <c r="D39" s="270">
        <f>'EEFF 2025'!$AE$6</f>
        <v>7161000</v>
      </c>
      <c r="E39" s="270"/>
      <c r="F39" s="270">
        <f>'EEFF 2025'!$AE$16</f>
        <v>6458700</v>
      </c>
      <c r="G39" s="270"/>
      <c r="H39" s="270">
        <f>'EEFF 2025'!$AE$47</f>
        <v>2289520.9800000018</v>
      </c>
      <c r="I39" s="270">
        <f t="shared" si="0"/>
        <v>-62314836.389999986</v>
      </c>
      <c r="J39" s="270">
        <f>'EEFF 2025'!$AE$71</f>
        <v>104971798.32999998</v>
      </c>
    </row>
    <row r="40" spans="1:10" hidden="1" x14ac:dyDescent="0.2">
      <c r="A40" s="48">
        <v>2025</v>
      </c>
      <c r="B40" s="48">
        <v>5</v>
      </c>
      <c r="C40" s="274">
        <f>DATE(A40,B40,31)</f>
        <v>45808</v>
      </c>
      <c r="D40" s="270">
        <f>'EEFF 2025'!$AL$6</f>
        <v>9606812</v>
      </c>
      <c r="E40" s="270"/>
      <c r="F40" s="270">
        <f>'EEFF 2025'!$AL$16</f>
        <v>6151807</v>
      </c>
      <c r="G40" s="270"/>
      <c r="H40" s="270">
        <f>'EEFF 2025'!$AL$47</f>
        <v>5385269.5099999998</v>
      </c>
      <c r="I40" s="270">
        <f t="shared" si="0"/>
        <v>-60025315.409999982</v>
      </c>
      <c r="J40" s="270">
        <f>'EEFF 2025'!$AL$71</f>
        <v>104971798.32999998</v>
      </c>
    </row>
    <row r="41" spans="1:10" hidden="1" x14ac:dyDescent="0.2">
      <c r="A41" s="48">
        <v>2025</v>
      </c>
      <c r="B41" s="48">
        <v>6</v>
      </c>
      <c r="C41" s="274">
        <f t="shared" si="1"/>
        <v>45838</v>
      </c>
      <c r="D41" s="270">
        <f>'EEFF 2025'!$AS$6</f>
        <v>7147000</v>
      </c>
      <c r="E41" s="270"/>
      <c r="F41" s="270">
        <f>'EEFF 2025'!$AS$16</f>
        <v>4181595</v>
      </c>
      <c r="G41" s="270"/>
      <c r="H41" s="270">
        <f>'EEFF 2025'!$AS$47</f>
        <v>189934.07999999961</v>
      </c>
      <c r="I41" s="270">
        <f t="shared" si="0"/>
        <v>-54640045.899999984</v>
      </c>
      <c r="J41" s="270">
        <f>'EEFF 2025'!$AS$71</f>
        <v>104971798.32999998</v>
      </c>
    </row>
    <row r="42" spans="1:10" hidden="1" x14ac:dyDescent="0.2">
      <c r="A42" s="48">
        <v>2025</v>
      </c>
      <c r="B42" s="48">
        <v>7</v>
      </c>
      <c r="C42" s="274">
        <f>DATE(A42,B42,31)</f>
        <v>45869</v>
      </c>
      <c r="D42" s="270">
        <f>'EEFF 2025'!$AZ$6</f>
        <v>10074600</v>
      </c>
      <c r="E42" s="270"/>
      <c r="F42" s="270">
        <f>'EEFF 2025'!$AZ$16</f>
        <v>8458495</v>
      </c>
      <c r="G42" s="270"/>
      <c r="H42" s="270">
        <f>'EEFF 2025'!$AZ$47</f>
        <v>16075474.65</v>
      </c>
      <c r="I42" s="270">
        <f t="shared" si="0"/>
        <v>-54450111.819999985</v>
      </c>
      <c r="J42" s="270">
        <f>'EEFF 2025'!$AZ$71</f>
        <v>104971798.32999998</v>
      </c>
    </row>
    <row r="43" spans="1:10" hidden="1" x14ac:dyDescent="0.2">
      <c r="A43" s="48">
        <v>2025</v>
      </c>
      <c r="B43" s="48">
        <v>8</v>
      </c>
      <c r="C43" s="274">
        <f>DATE(A43,B43,31)</f>
        <v>45900</v>
      </c>
      <c r="D43" s="270">
        <f>'EEFF 2025'!$BG$6</f>
        <v>9285600</v>
      </c>
      <c r="E43" s="270"/>
      <c r="F43" s="270">
        <f>'EEFF 2025'!$BG$16</f>
        <v>8314595</v>
      </c>
      <c r="G43" s="270"/>
      <c r="H43" s="270">
        <f>'EEFF 2025'!$BG$47</f>
        <v>8807037.3100000005</v>
      </c>
      <c r="I43" s="270">
        <f t="shared" si="0"/>
        <v>-38374637.169999987</v>
      </c>
      <c r="J43" s="270">
        <f>'EEFF 2025'!$BG$71</f>
        <v>104971798.32999998</v>
      </c>
    </row>
    <row r="44" spans="1:10" hidden="1" x14ac:dyDescent="0.2">
      <c r="A44" s="48">
        <v>2025</v>
      </c>
      <c r="B44" s="48">
        <v>9</v>
      </c>
      <c r="C44" s="274">
        <f t="shared" si="1"/>
        <v>45930</v>
      </c>
      <c r="D44" s="270">
        <f>'EEFF 2025'!$BN$6</f>
        <v>6814600</v>
      </c>
      <c r="E44" s="270"/>
      <c r="F44" s="270">
        <f>'EEFF 2025'!$BN$16</f>
        <v>5086995</v>
      </c>
      <c r="G44" s="270"/>
      <c r="H44" s="270">
        <f>'EEFF 2025'!$BN$47</f>
        <v>-6984171.3900000006</v>
      </c>
      <c r="I44" s="270">
        <f t="shared" si="0"/>
        <v>-29567599.859999985</v>
      </c>
      <c r="J44" s="270">
        <f>'EEFF 2025'!$BN$71</f>
        <v>104971798.32999998</v>
      </c>
    </row>
    <row r="45" spans="1:10" hidden="1" x14ac:dyDescent="0.2">
      <c r="A45" s="48">
        <v>2025</v>
      </c>
      <c r="B45" s="48">
        <v>10</v>
      </c>
      <c r="C45" s="274">
        <f>DATE(A45,B45,31)</f>
        <v>45961</v>
      </c>
      <c r="D45" s="270">
        <f>'EEFF 2025'!$BU$6</f>
        <v>11334600</v>
      </c>
      <c r="E45" s="270"/>
      <c r="F45" s="270">
        <f>'EEFF 2025'!$BU$16</f>
        <v>5132802</v>
      </c>
      <c r="G45" s="270"/>
      <c r="H45" s="270">
        <f>'EEFF 2025'!$BU$47</f>
        <v>2539586.5100000002</v>
      </c>
      <c r="I45" s="270">
        <f t="shared" si="0"/>
        <v>-36551771.249999985</v>
      </c>
      <c r="J45" s="270">
        <f>'EEFF 2025'!$BU$71</f>
        <v>104971798.32999998</v>
      </c>
    </row>
    <row r="46" spans="1:10" hidden="1" x14ac:dyDescent="0.2">
      <c r="A46" s="48">
        <v>2025</v>
      </c>
      <c r="B46" s="48">
        <v>11</v>
      </c>
      <c r="C46" s="274">
        <f t="shared" si="1"/>
        <v>45991</v>
      </c>
      <c r="D46" s="270">
        <f>'EEFF 2025'!$CB$6</f>
        <v>8195600</v>
      </c>
      <c r="E46" s="270"/>
      <c r="F46" s="270">
        <f>'EEFF 2025'!$CB$16</f>
        <v>5075985</v>
      </c>
      <c r="G46" s="270"/>
      <c r="H46" s="270">
        <f>'EEFF 2025'!$CB$47</f>
        <v>5355327.8599999994</v>
      </c>
      <c r="I46" s="270">
        <f t="shared" si="0"/>
        <v>-34012184.739999987</v>
      </c>
      <c r="J46" s="270">
        <f>'EEFF 2025'!$CB$71</f>
        <v>104971798.32999998</v>
      </c>
    </row>
    <row r="47" spans="1:10" hidden="1" x14ac:dyDescent="0.2">
      <c r="A47" s="48">
        <v>2025</v>
      </c>
      <c r="B47" s="48">
        <v>12</v>
      </c>
      <c r="C47" s="274">
        <f>DATE(A47,B47,31)</f>
        <v>46022</v>
      </c>
      <c r="D47" s="270">
        <f>'EEFF 2025'!$CI$6</f>
        <v>11125600</v>
      </c>
      <c r="E47" s="270">
        <f>SUM(D36:D47)</f>
        <v>109618412</v>
      </c>
      <c r="F47" s="270">
        <f>'EEFF 2025'!$CI$16</f>
        <v>10156095</v>
      </c>
      <c r="G47" s="270">
        <f>SUM(F36:F47)</f>
        <v>62536208.329999998</v>
      </c>
      <c r="H47" s="270">
        <f>'EEFF 2025'!$CI$47</f>
        <v>4374831.5500000007</v>
      </c>
      <c r="I47" s="270">
        <f t="shared" si="0"/>
        <v>-28656856.879999988</v>
      </c>
      <c r="J47" s="270">
        <f>'EEFF 2025'!$CI$71</f>
        <v>104971798.32999998</v>
      </c>
    </row>
    <row r="48" spans="1:10" x14ac:dyDescent="0.2">
      <c r="A48" s="48">
        <v>2026</v>
      </c>
      <c r="B48" s="48">
        <v>1</v>
      </c>
      <c r="C48" s="274">
        <f>DATE(A48,B48,31)</f>
        <v>46053</v>
      </c>
      <c r="D48" s="270">
        <f>'EEFF 2026'!$J$6</f>
        <v>9492600</v>
      </c>
      <c r="E48" s="270"/>
      <c r="F48" s="270">
        <f>'EEFF 2026'!$J$16</f>
        <v>8560258</v>
      </c>
      <c r="G48" s="270"/>
      <c r="H48" s="270">
        <f>'EEFF 2026'!$J$48</f>
        <v>1809984.53</v>
      </c>
      <c r="I48" s="270">
        <f>I47+H47-12108994.05</f>
        <v>-36391019.379999988</v>
      </c>
      <c r="J48" s="270">
        <f>'EEFF 2026'!$J$73</f>
        <v>83977438.66399999</v>
      </c>
    </row>
    <row r="49" spans="1:10" x14ac:dyDescent="0.2">
      <c r="A49" s="48">
        <v>2026</v>
      </c>
      <c r="B49" s="48">
        <v>2</v>
      </c>
      <c r="C49" s="274">
        <f>DATE(A49,B49,28)</f>
        <v>46081</v>
      </c>
      <c r="D49" s="270">
        <f>'EEFF 2026'!$Q$6</f>
        <v>6436600</v>
      </c>
      <c r="E49" s="270"/>
      <c r="F49" s="270">
        <f>'EEFF 2026'!$Q$16</f>
        <v>-5553897</v>
      </c>
      <c r="G49" s="270"/>
      <c r="H49" s="270">
        <f>'EEFF 2026'!$Q$48</f>
        <v>-8677197</v>
      </c>
      <c r="I49" s="270">
        <f t="shared" si="0"/>
        <v>-34581034.849999987</v>
      </c>
      <c r="J49" s="270">
        <f>'EEFF 2026'!$Q$73</f>
        <v>83977438.66399999</v>
      </c>
    </row>
    <row r="50" spans="1:10" x14ac:dyDescent="0.2">
      <c r="A50" s="48">
        <v>2026</v>
      </c>
      <c r="B50" s="48">
        <v>3</v>
      </c>
      <c r="C50" s="274">
        <f>DATE(A50,B50,31)</f>
        <v>46112</v>
      </c>
      <c r="D50" s="270">
        <f>'EEFF 2026'!$X$6</f>
        <v>0</v>
      </c>
      <c r="E50" s="270"/>
      <c r="F50" s="270">
        <f>'EEFF 2026'!$X$16</f>
        <v>0</v>
      </c>
      <c r="G50" s="270"/>
      <c r="H50" s="270">
        <f>'EEFF 2026'!$X$48</f>
        <v>0</v>
      </c>
      <c r="I50" s="270">
        <f t="shared" si="0"/>
        <v>-43258231.849999987</v>
      </c>
      <c r="J50" s="270">
        <f>'EEFF 2026'!$X$73</f>
        <v>83977438.66399999</v>
      </c>
    </row>
    <row r="51" spans="1:10" x14ac:dyDescent="0.2">
      <c r="A51" s="48">
        <v>2026</v>
      </c>
      <c r="B51" s="48">
        <v>4</v>
      </c>
      <c r="C51" s="274">
        <f t="shared" si="1"/>
        <v>46142</v>
      </c>
      <c r="D51" s="270">
        <f>'EEFF 2026'!$AE$6</f>
        <v>0</v>
      </c>
      <c r="E51" s="270"/>
      <c r="F51" s="270">
        <f>'EEFF 2026'!$AE$16</f>
        <v>0</v>
      </c>
      <c r="G51" s="270"/>
      <c r="H51" s="270">
        <f>'EEFF 2026'!$AE$48</f>
        <v>0</v>
      </c>
      <c r="I51" s="270">
        <f t="shared" si="0"/>
        <v>-43258231.849999987</v>
      </c>
      <c r="J51" s="270">
        <f>'EEFF 2026'!$AE$73</f>
        <v>83977438.66399999</v>
      </c>
    </row>
    <row r="52" spans="1:10" x14ac:dyDescent="0.2">
      <c r="A52" s="48">
        <v>2026</v>
      </c>
      <c r="B52" s="48">
        <v>5</v>
      </c>
      <c r="C52" s="274">
        <f>DATE(A52,B52,31)</f>
        <v>46173</v>
      </c>
      <c r="D52" s="270">
        <f>'EEFF 2026'!$AL$6</f>
        <v>0</v>
      </c>
      <c r="E52" s="270"/>
      <c r="F52" s="270">
        <f>'EEFF 2026'!$AL$16</f>
        <v>0</v>
      </c>
      <c r="G52" s="270"/>
      <c r="H52" s="270">
        <f>'EEFF 2026'!$AL$48</f>
        <v>0</v>
      </c>
      <c r="I52" s="270">
        <f t="shared" si="0"/>
        <v>-43258231.849999987</v>
      </c>
      <c r="J52" s="270">
        <f>'EEFF 2026'!$AL$73</f>
        <v>83977438.66399999</v>
      </c>
    </row>
    <row r="53" spans="1:10" x14ac:dyDescent="0.2">
      <c r="A53" s="48">
        <v>2026</v>
      </c>
      <c r="B53" s="48">
        <v>6</v>
      </c>
      <c r="C53" s="274">
        <f t="shared" si="1"/>
        <v>46203</v>
      </c>
      <c r="D53" s="270">
        <f>'EEFF 2026'!$AS$6</f>
        <v>0</v>
      </c>
      <c r="E53" s="270"/>
      <c r="F53" s="270">
        <f>'EEFF 2026'!$AS$16</f>
        <v>0</v>
      </c>
      <c r="G53" s="270"/>
      <c r="H53" s="270">
        <f>'EEFF 2026'!$AS$48</f>
        <v>0</v>
      </c>
      <c r="I53" s="270">
        <f t="shared" si="0"/>
        <v>-43258231.849999987</v>
      </c>
      <c r="J53" s="270">
        <f>'EEFF 2026'!$AS$73</f>
        <v>83977438.66399999</v>
      </c>
    </row>
    <row r="54" spans="1:10" x14ac:dyDescent="0.2">
      <c r="A54" s="48">
        <v>2026</v>
      </c>
      <c r="B54" s="48">
        <v>7</v>
      </c>
      <c r="C54" s="274">
        <f>DATE(A54,B54,31)</f>
        <v>46234</v>
      </c>
      <c r="D54" s="270">
        <f>'EEFF 2026'!$AZ$6</f>
        <v>0</v>
      </c>
      <c r="E54" s="270"/>
      <c r="F54" s="270">
        <f>'EEFF 2026'!$AZ$16</f>
        <v>0</v>
      </c>
      <c r="G54" s="270"/>
      <c r="H54" s="270">
        <f>'EEFF 2026'!$AZ$48</f>
        <v>0</v>
      </c>
      <c r="I54" s="270">
        <f t="shared" si="0"/>
        <v>-43258231.849999987</v>
      </c>
      <c r="J54" s="270">
        <f>'EEFF 2026'!$AZ$73</f>
        <v>83977438.66399999</v>
      </c>
    </row>
    <row r="55" spans="1:10" x14ac:dyDescent="0.2">
      <c r="A55" s="48">
        <v>2026</v>
      </c>
      <c r="B55" s="48">
        <v>8</v>
      </c>
      <c r="C55" s="274">
        <f>DATE(A55,B55,31)</f>
        <v>46265</v>
      </c>
      <c r="D55" s="270">
        <f>'EEFF 2026'!$BG$6</f>
        <v>0</v>
      </c>
      <c r="E55" s="270"/>
      <c r="F55" s="270">
        <f>'EEFF 2026'!$BG$16</f>
        <v>0</v>
      </c>
      <c r="G55" s="270"/>
      <c r="H55" s="270">
        <f>'EEFF 2026'!$BG$48</f>
        <v>0</v>
      </c>
      <c r="I55" s="270">
        <f t="shared" si="0"/>
        <v>-43258231.849999987</v>
      </c>
      <c r="J55" s="270">
        <f>'EEFF 2026'!$BG$73</f>
        <v>83977438.66399999</v>
      </c>
    </row>
    <row r="56" spans="1:10" x14ac:dyDescent="0.2">
      <c r="A56" s="48">
        <v>2026</v>
      </c>
      <c r="B56" s="48">
        <v>9</v>
      </c>
      <c r="C56" s="274">
        <f t="shared" si="1"/>
        <v>46295</v>
      </c>
      <c r="D56" s="270">
        <f>'EEFF 2026'!$BN$6</f>
        <v>0</v>
      </c>
      <c r="E56" s="270"/>
      <c r="F56" s="270">
        <f>'EEFF 2026'!$BN$16</f>
        <v>0</v>
      </c>
      <c r="G56" s="270"/>
      <c r="H56" s="270">
        <f>'EEFF 2026'!$BN$48</f>
        <v>0</v>
      </c>
      <c r="I56" s="270">
        <f t="shared" si="0"/>
        <v>-43258231.849999987</v>
      </c>
      <c r="J56" s="270">
        <f>'EEFF 2026'!$BN$73</f>
        <v>83977438.66399999</v>
      </c>
    </row>
    <row r="57" spans="1:10" x14ac:dyDescent="0.2">
      <c r="A57" s="48">
        <v>2026</v>
      </c>
      <c r="B57" s="48">
        <v>10</v>
      </c>
      <c r="C57" s="274">
        <f>DATE(A57,B57,31)</f>
        <v>46326</v>
      </c>
      <c r="D57" s="270">
        <f>'EEFF 2026'!$BU$6</f>
        <v>0</v>
      </c>
      <c r="E57" s="270"/>
      <c r="F57" s="270">
        <f>'EEFF 2026'!$BU$16</f>
        <v>0</v>
      </c>
      <c r="G57" s="270"/>
      <c r="H57" s="270">
        <f>'EEFF 2026'!$BU$48</f>
        <v>0</v>
      </c>
      <c r="I57" s="270">
        <f t="shared" si="0"/>
        <v>-43258231.849999987</v>
      </c>
      <c r="J57" s="270">
        <f>'EEFF 2026'!$BU$73</f>
        <v>83977438.66399999</v>
      </c>
    </row>
    <row r="58" spans="1:10" x14ac:dyDescent="0.2">
      <c r="A58" s="48">
        <v>2026</v>
      </c>
      <c r="B58" s="48">
        <v>11</v>
      </c>
      <c r="C58" s="274">
        <f t="shared" si="1"/>
        <v>46356</v>
      </c>
      <c r="D58" s="270">
        <f>'EEFF 2026'!$CB$6</f>
        <v>0</v>
      </c>
      <c r="E58" s="270"/>
      <c r="F58" s="270">
        <f>'EEFF 2026'!$CB$16</f>
        <v>0</v>
      </c>
      <c r="G58" s="270"/>
      <c r="H58" s="270">
        <f>'EEFF 2026'!$CB$48</f>
        <v>0</v>
      </c>
      <c r="I58" s="270">
        <f t="shared" si="0"/>
        <v>-43258231.849999987</v>
      </c>
      <c r="J58" s="270">
        <f>'EEFF 2026'!$CB$73</f>
        <v>83977438.66399999</v>
      </c>
    </row>
    <row r="59" spans="1:10" x14ac:dyDescent="0.2">
      <c r="A59" s="48">
        <v>2026</v>
      </c>
      <c r="B59" s="48">
        <v>12</v>
      </c>
      <c r="C59" s="274">
        <f>DATE(A59,B59,31)</f>
        <v>46387</v>
      </c>
      <c r="D59" s="270">
        <f>'EEFF 2026'!$CI$6</f>
        <v>0</v>
      </c>
      <c r="E59" s="270">
        <f>SUM(D48:D59)</f>
        <v>15929200</v>
      </c>
      <c r="F59" s="270">
        <f>'EEFF 2026'!$CI$16</f>
        <v>0</v>
      </c>
      <c r="G59" s="270">
        <f>SUM(F48:F59)</f>
        <v>3006361</v>
      </c>
      <c r="H59" s="270">
        <f>'EEFF 2026'!$CI$48</f>
        <v>0</v>
      </c>
      <c r="I59" s="270">
        <f t="shared" si="0"/>
        <v>-43258231.849999987</v>
      </c>
      <c r="J59" s="270">
        <f>'EEFF 2026'!$CI$73</f>
        <v>83977438.66399999</v>
      </c>
    </row>
    <row r="60" spans="1:10" x14ac:dyDescent="0.2">
      <c r="D60" s="270"/>
      <c r="E60" s="270"/>
    </row>
    <row r="61" spans="1:10" x14ac:dyDescent="0.2">
      <c r="D61" s="270"/>
      <c r="E61" s="270"/>
    </row>
    <row r="62" spans="1:10" x14ac:dyDescent="0.2">
      <c r="D62" s="270"/>
      <c r="E62" s="270"/>
    </row>
    <row r="63" spans="1:10" x14ac:dyDescent="0.2">
      <c r="D63" s="270"/>
      <c r="E63" s="270"/>
    </row>
    <row r="64" spans="1:10" x14ac:dyDescent="0.2">
      <c r="D64" s="270"/>
      <c r="E64" s="270"/>
    </row>
    <row r="65" spans="4:5" x14ac:dyDescent="0.2">
      <c r="D65" s="270"/>
      <c r="E65" s="270"/>
    </row>
  </sheetData>
  <autoFilter ref="A1:J59" xr:uid="{4BB1E2E5-AD34-0C47-B796-59FB2F819C5E}">
    <filterColumn colId="2">
      <filters>
        <dateGroupItem year="2026" dateTimeGrouping="year"/>
      </filters>
    </filterColumn>
  </autoFilter>
  <conditionalFormatting sqref="D2:E65">
    <cfRule type="cellIs" dxfId="53" priority="8" operator="lessThan">
      <formula>0</formula>
    </cfRule>
  </conditionalFormatting>
  <conditionalFormatting sqref="F2:J59">
    <cfRule type="cellIs" dxfId="52" priority="1" operator="lessThan">
      <formula>0</formula>
    </cfRule>
  </conditionalFormatting>
  <conditionalFormatting sqref="K4:Q4">
    <cfRule type="cellIs" dxfId="51" priority="7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CC17-1666-5849-A46B-5249D0F813BC}">
  <dimension ref="A1:AY166"/>
  <sheetViews>
    <sheetView zoomScale="80" zoomScaleNormal="80" workbookViewId="0">
      <pane xSplit="3" ySplit="3" topLeftCell="J4" activePane="bottomRight" state="frozen"/>
      <selection activeCell="AE32" sqref="AE32"/>
      <selection pane="topRight" activeCell="AE32" sqref="AE32"/>
      <selection pane="bottomLeft" activeCell="AE32" sqref="AE32"/>
      <selection pane="bottomRight" activeCell="J48" sqref="J48"/>
    </sheetView>
  </sheetViews>
  <sheetFormatPr baseColWidth="10" defaultRowHeight="15" outlineLevelCol="1" x14ac:dyDescent="0.2"/>
  <cols>
    <col min="2" max="2" width="32" style="105" customWidth="1"/>
    <col min="3" max="3" width="29.83203125" style="105" bestFit="1" customWidth="1"/>
    <col min="4" max="6" width="12.6640625" style="105" hidden="1" customWidth="1" outlineLevel="1"/>
    <col min="7" max="7" width="11.5" style="105" hidden="1" customWidth="1" outlineLevel="1"/>
    <col min="8" max="8" width="15" style="105" hidden="1" customWidth="1" outlineLevel="1"/>
    <col min="9" max="9" width="12.1640625" style="105" hidden="1" customWidth="1" outlineLevel="1"/>
    <col min="10" max="10" width="17.6640625" style="105" bestFit="1" customWidth="1" collapsed="1"/>
    <col min="11" max="13" width="12.6640625" style="105" hidden="1" customWidth="1" outlineLevel="1"/>
    <col min="14" max="14" width="11.5" style="105" hidden="1" customWidth="1" outlineLevel="1"/>
    <col min="15" max="15" width="15" style="105" hidden="1" customWidth="1" outlineLevel="1"/>
    <col min="16" max="16" width="12.1640625" style="105" hidden="1" customWidth="1" outlineLevel="1"/>
    <col min="17" max="17" width="16.6640625" style="105" bestFit="1" customWidth="1" collapsed="1"/>
    <col min="18" max="20" width="12.6640625" style="105" hidden="1" customWidth="1" outlineLevel="1"/>
    <col min="21" max="21" width="11.5" style="105" hidden="1" customWidth="1" outlineLevel="1"/>
    <col min="22" max="22" width="15" style="105" hidden="1" customWidth="1" outlineLevel="1"/>
    <col min="23" max="23" width="11.5" style="105" hidden="1" customWidth="1" outlineLevel="1"/>
    <col min="24" max="24" width="16.6640625" style="105" bestFit="1" customWidth="1" collapsed="1"/>
    <col min="25" max="27" width="12.6640625" style="105" hidden="1" customWidth="1" outlineLevel="1"/>
    <col min="28" max="28" width="11.5" style="105" hidden="1" customWidth="1" outlineLevel="1"/>
    <col min="29" max="29" width="15" style="105" hidden="1" customWidth="1" outlineLevel="1"/>
    <col min="30" max="30" width="11.5" style="105" hidden="1" customWidth="1" outlineLevel="1"/>
    <col min="31" max="31" width="16.6640625" style="105" bestFit="1" customWidth="1" collapsed="1"/>
    <col min="32" max="34" width="12.6640625" style="105" hidden="1" customWidth="1" outlineLevel="1"/>
    <col min="35" max="35" width="11.5" style="105" hidden="1" customWidth="1" outlineLevel="1"/>
    <col min="36" max="36" width="15" style="105" hidden="1" customWidth="1" outlineLevel="1"/>
    <col min="37" max="37" width="11.5" style="105" hidden="1" customWidth="1" outlineLevel="1"/>
    <col min="38" max="38" width="16.6640625" style="105" bestFit="1" customWidth="1" collapsed="1"/>
    <col min="39" max="41" width="12.6640625" style="105" hidden="1" customWidth="1" outlineLevel="1"/>
    <col min="42" max="42" width="11.5" style="105" hidden="1" customWidth="1" outlineLevel="1"/>
    <col min="43" max="43" width="15" style="105" hidden="1" customWidth="1" outlineLevel="1"/>
    <col min="44" max="44" width="11.5" style="105" hidden="1" customWidth="1" outlineLevel="1"/>
    <col min="45" max="45" width="16.6640625" style="105" bestFit="1" customWidth="1" collapsed="1"/>
    <col min="46" max="46" width="11.6640625" bestFit="1" customWidth="1"/>
    <col min="47" max="47" width="9.33203125" style="105" bestFit="1" customWidth="1"/>
    <col min="48" max="48" width="12.33203125" style="105" bestFit="1" customWidth="1"/>
    <col min="49" max="51" width="9.33203125" style="105" bestFit="1" customWidth="1"/>
  </cols>
  <sheetData>
    <row r="1" spans="1:51" ht="16" x14ac:dyDescent="0.2"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U1" s="288" t="s">
        <v>504</v>
      </c>
      <c r="AV1" s="288"/>
      <c r="AW1" s="288"/>
      <c r="AX1" s="288"/>
      <c r="AY1" s="288"/>
    </row>
    <row r="2" spans="1:51" ht="16" x14ac:dyDescent="0.2">
      <c r="B2" s="182"/>
      <c r="C2" s="182"/>
      <c r="D2" s="196">
        <v>2022</v>
      </c>
      <c r="E2" s="196">
        <v>2022</v>
      </c>
      <c r="F2" s="196">
        <v>2022</v>
      </c>
      <c r="G2" s="196">
        <v>2022</v>
      </c>
      <c r="H2" s="196">
        <v>2022</v>
      </c>
      <c r="I2" s="196">
        <v>2022</v>
      </c>
      <c r="J2" s="196">
        <v>2022</v>
      </c>
      <c r="K2" s="189">
        <v>2023</v>
      </c>
      <c r="L2" s="189">
        <v>2023</v>
      </c>
      <c r="M2" s="189">
        <v>2023</v>
      </c>
      <c r="N2" s="189">
        <v>2023</v>
      </c>
      <c r="O2" s="189">
        <v>2023</v>
      </c>
      <c r="P2" s="189">
        <v>2023</v>
      </c>
      <c r="Q2" s="196">
        <v>2023</v>
      </c>
      <c r="R2" s="189">
        <v>2024</v>
      </c>
      <c r="S2" s="189">
        <v>2024</v>
      </c>
      <c r="T2" s="189">
        <v>2024</v>
      </c>
      <c r="U2" s="189">
        <v>2024</v>
      </c>
      <c r="V2" s="189">
        <v>2024</v>
      </c>
      <c r="W2" s="189">
        <v>2024</v>
      </c>
      <c r="X2" s="196">
        <v>2024</v>
      </c>
      <c r="Y2" s="189">
        <v>2025</v>
      </c>
      <c r="Z2" s="189">
        <v>2025</v>
      </c>
      <c r="AA2" s="189">
        <v>2025</v>
      </c>
      <c r="AB2" s="189">
        <v>2025</v>
      </c>
      <c r="AC2" s="189">
        <v>2025</v>
      </c>
      <c r="AD2" s="189">
        <v>2025</v>
      </c>
      <c r="AE2" s="196">
        <v>2025</v>
      </c>
      <c r="AF2" s="189">
        <v>2026</v>
      </c>
      <c r="AG2" s="189">
        <v>2026</v>
      </c>
      <c r="AH2" s="189">
        <v>2026</v>
      </c>
      <c r="AI2" s="189">
        <v>2026</v>
      </c>
      <c r="AJ2" s="189">
        <v>2026</v>
      </c>
      <c r="AK2" s="189">
        <v>2026</v>
      </c>
      <c r="AL2" s="196">
        <v>2026</v>
      </c>
      <c r="AM2" s="189"/>
      <c r="AN2" s="189"/>
      <c r="AO2" s="189"/>
      <c r="AP2" s="189"/>
      <c r="AQ2" s="189"/>
      <c r="AR2" s="189"/>
      <c r="AS2" s="196">
        <v>2027</v>
      </c>
      <c r="AU2" s="182">
        <v>2022</v>
      </c>
      <c r="AV2" s="182">
        <v>2023</v>
      </c>
      <c r="AW2" s="182">
        <v>2024</v>
      </c>
      <c r="AX2" s="182">
        <v>2025</v>
      </c>
      <c r="AY2" s="182">
        <v>2026</v>
      </c>
    </row>
    <row r="3" spans="1:51" ht="32" x14ac:dyDescent="0.2">
      <c r="B3" s="104"/>
      <c r="C3" s="104"/>
      <c r="D3" s="104" t="s">
        <v>455</v>
      </c>
      <c r="E3" s="104" t="s">
        <v>456</v>
      </c>
      <c r="F3" s="104" t="s">
        <v>457</v>
      </c>
      <c r="G3" s="104" t="s">
        <v>458</v>
      </c>
      <c r="H3" s="104" t="s">
        <v>459</v>
      </c>
      <c r="I3" s="104" t="s">
        <v>460</v>
      </c>
      <c r="J3" s="104" t="s">
        <v>473</v>
      </c>
      <c r="K3" s="104" t="s">
        <v>455</v>
      </c>
      <c r="L3" s="104" t="s">
        <v>456</v>
      </c>
      <c r="M3" s="104" t="s">
        <v>457</v>
      </c>
      <c r="N3" s="104" t="s">
        <v>458</v>
      </c>
      <c r="O3" s="104" t="s">
        <v>459</v>
      </c>
      <c r="P3" s="104" t="s">
        <v>460</v>
      </c>
      <c r="Q3" s="104" t="s">
        <v>473</v>
      </c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473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473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473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473</v>
      </c>
      <c r="AU3" s="181"/>
      <c r="AV3" s="181"/>
      <c r="AW3" s="181"/>
      <c r="AX3" s="181"/>
      <c r="AY3" s="181"/>
    </row>
    <row r="4" spans="1:51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</row>
    <row r="5" spans="1:51" ht="16" x14ac:dyDescent="0.2">
      <c r="B5" s="246" t="s">
        <v>397</v>
      </c>
      <c r="C5" s="246"/>
      <c r="D5" s="107"/>
      <c r="E5" s="107"/>
      <c r="F5" s="107"/>
      <c r="G5" s="107"/>
      <c r="H5" s="107"/>
      <c r="K5" s="108"/>
      <c r="L5" s="108"/>
      <c r="N5" s="107"/>
      <c r="O5" s="107"/>
      <c r="P5" s="107"/>
      <c r="R5" s="108"/>
      <c r="S5" s="108"/>
      <c r="U5" s="107"/>
      <c r="V5" s="107"/>
      <c r="W5" s="107"/>
      <c r="Y5" s="108"/>
      <c r="Z5" s="108"/>
      <c r="AB5" s="107"/>
      <c r="AC5" s="107"/>
      <c r="AD5" s="107"/>
      <c r="AF5" s="108"/>
      <c r="AG5" s="108"/>
      <c r="AI5" s="107"/>
      <c r="AJ5" s="107"/>
      <c r="AK5" s="107"/>
      <c r="AM5" s="108"/>
      <c r="AN5" s="108"/>
      <c r="AP5" s="107"/>
      <c r="AQ5" s="107"/>
      <c r="AR5" s="107"/>
      <c r="AU5" s="107"/>
      <c r="AV5" s="107"/>
      <c r="AW5" s="107"/>
      <c r="AX5" s="107"/>
      <c r="AY5" s="107"/>
    </row>
    <row r="6" spans="1:51" ht="16" x14ac:dyDescent="0.2">
      <c r="A6" s="265"/>
      <c r="B6" s="109" t="s">
        <v>398</v>
      </c>
      <c r="C6" s="193" t="s">
        <v>130</v>
      </c>
      <c r="D6" s="110">
        <f>SUMIFS(wallet_records!$D:$D,wallet_records!$B:$B,'EEFF Anuales'!$C$6,wallet_records!$L:$L,'EEFF Anuales'!D3,wallet_records!$O:$O,'EEFF Anuales'!D$2)</f>
        <v>8900000</v>
      </c>
      <c r="E6" s="110">
        <f>SUMIFS(wallet_records!$D:$D,wallet_records!$B:$B,'EEFF Anuales'!$C$6,wallet_records!$L:$L,'EEFF Anuales'!E3,wallet_records!$O:$O,'EEFF Anuales'!E$2)</f>
        <v>0</v>
      </c>
      <c r="F6" s="110">
        <f>SUMIFS(wallet_records!$D:$D,wallet_records!$B:$B,'EEFF Anuales'!$C$6,wallet_records!$L:$L,'EEFF Anuales'!F3,wallet_records!$O:$O,'EEFF Anuales'!F$2)</f>
        <v>9780000</v>
      </c>
      <c r="G6" s="110">
        <f>SUMIFS(wallet_records!$D:$D,wallet_records!$B:$B,'EEFF Anuales'!$C$6,wallet_records!$L:$L,'EEFF Anuales'!G3,wallet_records!$O:$O,'EEFF Anuales'!G$2)</f>
        <v>3240000</v>
      </c>
      <c r="H6" s="110">
        <f>SUMIFS(wallet_records!$D:$D,wallet_records!$B:$B,'EEFF Anuales'!$C$6,wallet_records!$L:$L,'EEFF Anuales'!H3,wallet_records!$O:$O,'EEFF Anuales'!H$2)</f>
        <v>9600000</v>
      </c>
      <c r="I6" s="110">
        <f>SUMIFS(wallet_records!$D:$D,wallet_records!$B:$B,'EEFF Anuales'!$C$6,wallet_records!$L:$L,'EEFF Anuales'!I3,wallet_records!$O:$O,'EEFF Anuales'!I$2)</f>
        <v>225000</v>
      </c>
      <c r="J6" s="110">
        <f>SUM(D6:I6)</f>
        <v>31745000</v>
      </c>
      <c r="K6" s="110">
        <f>SUMIFS(wallet_records!$D:$D,wallet_records!$B:$B,'EEFF Anuales'!$C$6,wallet_records!$L:$L,'EEFF Anuales'!K3,wallet_records!$O:$O,'EEFF Anuales'!K$2)</f>
        <v>14550000</v>
      </c>
      <c r="L6" s="110">
        <f>SUMIFS(wallet_records!$D:$D,wallet_records!$B:$B,'EEFF Anuales'!$C$6,wallet_records!$L:$L,'EEFF Anuales'!L3,wallet_records!$O:$O,'EEFF Anuales'!L$2)</f>
        <v>0</v>
      </c>
      <c r="M6" s="110">
        <f>SUMIFS(wallet_records!$D:$D,wallet_records!$B:$B,'EEFF Anuales'!$C$6,wallet_records!$L:$L,'EEFF Anuales'!M3,wallet_records!$O:$O,'EEFF Anuales'!M$2)</f>
        <v>14900000</v>
      </c>
      <c r="N6" s="110">
        <f>SUMIFS(wallet_records!$D:$D,wallet_records!$B:$B,'EEFF Anuales'!$C$6,wallet_records!$L:$L,'EEFF Anuales'!N3,wallet_records!$O:$O,'EEFF Anuales'!N$2)</f>
        <v>3820000</v>
      </c>
      <c r="O6" s="110">
        <f>SUMIFS(wallet_records!$D:$D,wallet_records!$B:$B,'EEFF Anuales'!$C$6,wallet_records!$L:$L,'EEFF Anuales'!O3,wallet_records!$O:$O,'EEFF Anuales'!O$2)</f>
        <v>16200000</v>
      </c>
      <c r="P6" s="110">
        <f>SUMIFS(wallet_records!$D:$D,wallet_records!$B:$B,'EEFF Anuales'!$C$6,wallet_records!$L:$L,'EEFF Anuales'!P3,wallet_records!$O:$O,'EEFF Anuales'!P$2)</f>
        <v>6127000</v>
      </c>
      <c r="Q6" s="110">
        <f>SUM(K6:P6)</f>
        <v>55597000</v>
      </c>
      <c r="R6" s="110">
        <f>SUMIFS(wallet_records!$D:$D,wallet_records!$B:$B,'EEFF Anuales'!$C$6,wallet_records!$L:$L,'EEFF Anuales'!R3,wallet_records!$O:$O,'EEFF Anuales'!R$2)</f>
        <v>14175000</v>
      </c>
      <c r="S6" s="110">
        <f>SUMIFS(wallet_records!$D:$D,wallet_records!$B:$B,'EEFF Anuales'!$C$6,wallet_records!$L:$L,'EEFF Anuales'!S3,wallet_records!$O:$O,'EEFF Anuales'!S$2)</f>
        <v>22500000</v>
      </c>
      <c r="T6" s="110">
        <f>SUMIFS(wallet_records!$D:$D,wallet_records!$B:$B,'EEFF Anuales'!$C$6,wallet_records!$L:$L,'EEFF Anuales'!T3,wallet_records!$O:$O,'EEFF Anuales'!T$2)</f>
        <v>16550000</v>
      </c>
      <c r="U6" s="110">
        <f>SUMIFS(wallet_records!$D:$D,wallet_records!$B:$B,'EEFF Anuales'!$C$6,wallet_records!$L:$L,'EEFF Anuales'!U3,wallet_records!$O:$O,'EEFF Anuales'!U$2)</f>
        <v>5310000</v>
      </c>
      <c r="V6" s="110">
        <f>SUMIFS(wallet_records!$D:$D,wallet_records!$B:$B,'EEFF Anuales'!$C$6,wallet_records!$L:$L,'EEFF Anuales'!V3,wallet_records!$O:$O,'EEFF Anuales'!V$2)</f>
        <v>19760000</v>
      </c>
      <c r="W6" s="110">
        <f>SUMIFS(wallet_records!$D:$D,wallet_records!$B:$B,'EEFF Anuales'!$C$6,wallet_records!$L:$L,'EEFF Anuales'!W3,wallet_records!$O:$O,'EEFF Anuales'!W$2)</f>
        <v>7834000</v>
      </c>
      <c r="X6" s="110">
        <f>SUM(R6:W6)</f>
        <v>86129000</v>
      </c>
      <c r="Y6" s="110">
        <f>SUMIFS(wallet_records!$D:$D,wallet_records!$B:$B,'EEFF Anuales'!$C$6,wallet_records!$L:$L,'EEFF Anuales'!Y3,wallet_records!$O:$O,'EEFF Anuales'!Y$2)</f>
        <v>20020000</v>
      </c>
      <c r="Z6" s="110">
        <f>SUMIFS(wallet_records!$D:$D,wallet_records!$B:$B,'EEFF Anuales'!$C$6,wallet_records!$L:$L,'EEFF Anuales'!Z3,wallet_records!$O:$O,'EEFF Anuales'!Z$2)</f>
        <v>36867600</v>
      </c>
      <c r="AA6" s="110">
        <f>SUMIFS(wallet_records!$D:$D,wallet_records!$B:$B,'EEFF Anuales'!$C$6,wallet_records!$L:$L,'EEFF Anuales'!AA3,wallet_records!$O:$O,'EEFF Anuales'!AA$2)</f>
        <v>17890000</v>
      </c>
      <c r="AB6" s="110">
        <f>SUMIFS(wallet_records!$D:$D,wallet_records!$B:$B,'EEFF Anuales'!$C$6,wallet_records!$L:$L,'EEFF Anuales'!AB3,wallet_records!$O:$O,'EEFF Anuales'!AB$2)</f>
        <v>5750000</v>
      </c>
      <c r="AC6" s="110">
        <f>SUMIFS(wallet_records!$D:$D,wallet_records!$B:$B,'EEFF Anuales'!$C$6,wallet_records!$L:$L,'EEFF Anuales'!AC3,wallet_records!$O:$O,'EEFF Anuales'!AC$2)</f>
        <v>19750000</v>
      </c>
      <c r="AD6" s="110">
        <f>SUMIFS(wallet_records!$D:$D,wallet_records!$B:$B,'EEFF Anuales'!$C$6,wallet_records!$L:$L,'EEFF Anuales'!AD3,wallet_records!$O:$O,'EEFF Anuales'!AD$2)</f>
        <v>9340812</v>
      </c>
      <c r="AE6" s="110">
        <f>SUM(Y6:AD6)</f>
        <v>109618412</v>
      </c>
      <c r="AF6" s="110">
        <f>SUMIFS(wallet_records!$D:$D,wallet_records!$B:$B,'EEFF Anuales'!$C$6,wallet_records!$L:$L,'EEFF Anuales'!AF3,wallet_records!$O:$O,'EEFF Anuales'!AF$2)</f>
        <v>3500000</v>
      </c>
      <c r="AG6" s="110">
        <f>SUMIFS(wallet_records!$D:$D,wallet_records!$B:$B,'EEFF Anuales'!$C$6,wallet_records!$L:$L,'EEFF Anuales'!AG3,wallet_records!$O:$O,'EEFF Anuales'!AG$2)</f>
        <v>6293200</v>
      </c>
      <c r="AH6" s="110">
        <f>SUMIFS(wallet_records!$D:$D,wallet_records!$B:$B,'EEFF Anuales'!$C$6,wallet_records!$L:$L,'EEFF Anuales'!AH3,wallet_records!$O:$O,'EEFF Anuales'!AH$2)</f>
        <v>3040000</v>
      </c>
      <c r="AI6" s="110">
        <f>SUMIFS(wallet_records!$D:$D,wallet_records!$B:$B,'EEFF Anuales'!$C$6,wallet_records!$L:$L,'EEFF Anuales'!AI3,wallet_records!$O:$O,'EEFF Anuales'!AI$2)</f>
        <v>500000</v>
      </c>
      <c r="AJ6" s="110">
        <f>SUMIFS(wallet_records!$D:$D,wallet_records!$B:$B,'EEFF Anuales'!$C$6,wallet_records!$L:$L,'EEFF Anuales'!AJ3,wallet_records!$O:$O,'EEFF Anuales'!AJ$2)</f>
        <v>1715000</v>
      </c>
      <c r="AK6" s="110">
        <f>SUMIFS(wallet_records!$D:$D,wallet_records!$B:$B,'EEFF Anuales'!$C$6,wallet_records!$L:$L,'EEFF Anuales'!AK3,wallet_records!$O:$O,'EEFF Anuales'!AK$2)</f>
        <v>881000</v>
      </c>
      <c r="AL6" s="110">
        <f>SUM(AF6:AK6)</f>
        <v>15929200</v>
      </c>
      <c r="AM6" s="110">
        <f>SUMIFS(wallet_records!$D:$D,wallet_records!$B:$B,'EEFF Anuales'!$C$6,wallet_records!$L:$L,'EEFF Anuales'!AM3,wallet_records!$O:$O,'EEFF Anuales'!AM$2)</f>
        <v>0</v>
      </c>
      <c r="AN6" s="110">
        <f>SUMIFS(wallet_records!$D:$D,wallet_records!$B:$B,'EEFF Anuales'!$C$6,wallet_records!$L:$L,'EEFF Anuales'!AN3,wallet_records!$O:$O,'EEFF Anuales'!AN$2)</f>
        <v>0</v>
      </c>
      <c r="AO6" s="110">
        <f>SUMIFS(wallet_records!$D:$D,wallet_records!$B:$B,'EEFF Anuales'!$C$6,wallet_records!$L:$L,'EEFF Anuales'!AO3,wallet_records!$O:$O,'EEFF Anuales'!AO$2)</f>
        <v>0</v>
      </c>
      <c r="AP6" s="110">
        <f>SUMIFS(wallet_records!$D:$D,wallet_records!$B:$B,'EEFF Anuales'!$C$6,wallet_records!$L:$L,'EEFF Anuales'!AP3,wallet_records!$O:$O,'EEFF Anuales'!AP$2)</f>
        <v>0</v>
      </c>
      <c r="AQ6" s="110">
        <f>SUMIFS(wallet_records!$D:$D,wallet_records!$B:$B,'EEFF Anuales'!$C$6,wallet_records!$L:$L,'EEFF Anuales'!AQ3,wallet_records!$O:$O,'EEFF Anuales'!AQ$2)</f>
        <v>0</v>
      </c>
      <c r="AR6" s="110">
        <f>SUMIFS(wallet_records!$D:$D,wallet_records!$B:$B,'EEFF Anuales'!$C$6,wallet_records!$L:$L,'EEFF Anuales'!AR3,wallet_records!$O:$O,'EEFF Anuales'!AR$2)</f>
        <v>0</v>
      </c>
      <c r="AS6" s="110">
        <f>SUM(AM6:AR6)</f>
        <v>0</v>
      </c>
      <c r="AU6" s="111">
        <f t="shared" ref="AU6:AU12" si="0">J6/J$6</f>
        <v>1</v>
      </c>
      <c r="AV6" s="111">
        <f t="shared" ref="AV6:AV12" si="1">Q6/Q$6</f>
        <v>1</v>
      </c>
      <c r="AW6" s="111">
        <f t="shared" ref="AW6:AW12" si="2">X6/X$6</f>
        <v>1</v>
      </c>
      <c r="AX6" s="111">
        <f t="shared" ref="AX6:AX12" si="3">AE6/AE$6</f>
        <v>1</v>
      </c>
      <c r="AY6" s="111">
        <f t="shared" ref="AY6:AY44" si="4">AL6/AL$6</f>
        <v>1</v>
      </c>
    </row>
    <row r="7" spans="1:51" x14ac:dyDescent="0.2">
      <c r="A7" s="107"/>
      <c r="B7" s="247" t="s">
        <v>399</v>
      </c>
      <c r="C7" s="248"/>
      <c r="D7" s="113">
        <v>0</v>
      </c>
      <c r="E7" s="113">
        <v>0</v>
      </c>
      <c r="F7" s="113">
        <v>0</v>
      </c>
      <c r="G7" s="114">
        <v>0</v>
      </c>
      <c r="H7" s="114">
        <v>0</v>
      </c>
      <c r="I7" s="114">
        <v>0</v>
      </c>
      <c r="J7" s="114">
        <f>SUM(D7:I7)</f>
        <v>0</v>
      </c>
      <c r="K7" s="113">
        <v>0</v>
      </c>
      <c r="L7" s="113">
        <v>0</v>
      </c>
      <c r="M7" s="113">
        <v>0</v>
      </c>
      <c r="N7" s="114">
        <v>0</v>
      </c>
      <c r="O7" s="114">
        <v>0</v>
      </c>
      <c r="P7" s="114">
        <v>0</v>
      </c>
      <c r="Q7" s="114">
        <f>SUM(K7:P7)</f>
        <v>0</v>
      </c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U7" s="111">
        <f t="shared" si="0"/>
        <v>0</v>
      </c>
      <c r="AV7" s="111">
        <f t="shared" si="1"/>
        <v>0</v>
      </c>
      <c r="AW7" s="111">
        <f t="shared" si="2"/>
        <v>0</v>
      </c>
      <c r="AX7" s="111">
        <f t="shared" si="3"/>
        <v>0</v>
      </c>
      <c r="AY7" s="111">
        <f t="shared" si="4"/>
        <v>0</v>
      </c>
    </row>
    <row r="8" spans="1:51" ht="16" x14ac:dyDescent="0.2">
      <c r="A8" s="265"/>
      <c r="B8" s="129" t="s">
        <v>351</v>
      </c>
      <c r="C8" s="206"/>
      <c r="D8" s="117">
        <f t="shared" ref="D8:J8" si="5">D6-D7</f>
        <v>8900000</v>
      </c>
      <c r="E8" s="117">
        <f t="shared" si="5"/>
        <v>0</v>
      </c>
      <c r="F8" s="117">
        <f t="shared" si="5"/>
        <v>9780000</v>
      </c>
      <c r="G8" s="117">
        <f t="shared" si="5"/>
        <v>3240000</v>
      </c>
      <c r="H8" s="117">
        <f t="shared" si="5"/>
        <v>9600000</v>
      </c>
      <c r="I8" s="117">
        <f t="shared" si="5"/>
        <v>225000</v>
      </c>
      <c r="J8" s="117">
        <f t="shared" si="5"/>
        <v>31745000</v>
      </c>
      <c r="K8" s="117">
        <f t="shared" ref="K8:Q8" si="6">K6-K7</f>
        <v>14550000</v>
      </c>
      <c r="L8" s="117">
        <f t="shared" si="6"/>
        <v>0</v>
      </c>
      <c r="M8" s="117">
        <f t="shared" si="6"/>
        <v>14900000</v>
      </c>
      <c r="N8" s="117">
        <f t="shared" si="6"/>
        <v>3820000</v>
      </c>
      <c r="O8" s="117">
        <f t="shared" si="6"/>
        <v>16200000</v>
      </c>
      <c r="P8" s="117">
        <f t="shared" si="6"/>
        <v>6127000</v>
      </c>
      <c r="Q8" s="117">
        <f t="shared" si="6"/>
        <v>55597000</v>
      </c>
      <c r="R8" s="117">
        <f t="shared" ref="R8:W8" si="7">R6-R7</f>
        <v>14175000</v>
      </c>
      <c r="S8" s="117">
        <f t="shared" si="7"/>
        <v>22500000</v>
      </c>
      <c r="T8" s="117">
        <f t="shared" si="7"/>
        <v>16550000</v>
      </c>
      <c r="U8" s="117">
        <f t="shared" si="7"/>
        <v>5310000</v>
      </c>
      <c r="V8" s="117">
        <f t="shared" si="7"/>
        <v>19760000</v>
      </c>
      <c r="W8" s="117">
        <f t="shared" si="7"/>
        <v>7834000</v>
      </c>
      <c r="X8" s="117">
        <f t="shared" ref="X8:AD8" si="8">X6-X7</f>
        <v>86129000</v>
      </c>
      <c r="Y8" s="117">
        <f t="shared" si="8"/>
        <v>20020000</v>
      </c>
      <c r="Z8" s="117">
        <f t="shared" si="8"/>
        <v>36867600</v>
      </c>
      <c r="AA8" s="117">
        <f t="shared" si="8"/>
        <v>17890000</v>
      </c>
      <c r="AB8" s="117">
        <f t="shared" si="8"/>
        <v>5750000</v>
      </c>
      <c r="AC8" s="117">
        <f t="shared" si="8"/>
        <v>19750000</v>
      </c>
      <c r="AD8" s="117">
        <f t="shared" si="8"/>
        <v>9340812</v>
      </c>
      <c r="AE8" s="117">
        <f t="shared" ref="AE8:AK8" si="9">AE6-AE7</f>
        <v>109618412</v>
      </c>
      <c r="AF8" s="117">
        <f t="shared" si="9"/>
        <v>3500000</v>
      </c>
      <c r="AG8" s="117">
        <f t="shared" si="9"/>
        <v>6293200</v>
      </c>
      <c r="AH8" s="117">
        <f t="shared" si="9"/>
        <v>3040000</v>
      </c>
      <c r="AI8" s="117">
        <f t="shared" si="9"/>
        <v>500000</v>
      </c>
      <c r="AJ8" s="117">
        <f t="shared" si="9"/>
        <v>1715000</v>
      </c>
      <c r="AK8" s="117">
        <f t="shared" si="9"/>
        <v>881000</v>
      </c>
      <c r="AL8" s="117">
        <f t="shared" ref="AL8:AR8" si="10">AL6-AL7</f>
        <v>15929200</v>
      </c>
      <c r="AM8" s="117">
        <f t="shared" si="10"/>
        <v>0</v>
      </c>
      <c r="AN8" s="117">
        <f t="shared" si="10"/>
        <v>0</v>
      </c>
      <c r="AO8" s="117">
        <f t="shared" si="10"/>
        <v>0</v>
      </c>
      <c r="AP8" s="117">
        <f t="shared" si="10"/>
        <v>0</v>
      </c>
      <c r="AQ8" s="117">
        <f t="shared" si="10"/>
        <v>0</v>
      </c>
      <c r="AR8" s="117">
        <f t="shared" si="10"/>
        <v>0</v>
      </c>
      <c r="AS8" s="117">
        <f>AS6-AS7</f>
        <v>0</v>
      </c>
      <c r="AU8" s="111">
        <f t="shared" si="0"/>
        <v>1</v>
      </c>
      <c r="AV8" s="111">
        <f t="shared" si="1"/>
        <v>1</v>
      </c>
      <c r="AW8" s="111">
        <f t="shared" si="2"/>
        <v>1</v>
      </c>
      <c r="AX8" s="111">
        <f t="shared" si="3"/>
        <v>1</v>
      </c>
      <c r="AY8" s="111">
        <f t="shared" si="4"/>
        <v>1</v>
      </c>
    </row>
    <row r="9" spans="1:51" x14ac:dyDescent="0.2">
      <c r="A9" s="107"/>
      <c r="B9" s="107" t="s">
        <v>478</v>
      </c>
      <c r="C9" s="191" t="s">
        <v>306</v>
      </c>
      <c r="D9" s="115">
        <f>SUMIFS(wallet_records!$D:$D,wallet_records!$B:$B,'EEFF Anuales'!$C9,wallet_records!$L:$L,'EEFF Anuales'!D$3,wallet_records!$O:$O,'EEFF Anuales'!D$2,wallet_records!$H:$H,'EEFF Anuales'!$B9)</f>
        <v>0</v>
      </c>
      <c r="E9" s="115">
        <f>SUMIFS(wallet_records!$D:$D,wallet_records!$B:$B,'EEFF Anuales'!$C9,wallet_records!$L:$L,'EEFF Anuales'!E$3,wallet_records!$O:$O,'EEFF Anuales'!E$2,wallet_records!$H:$H,'EEFF Anuales'!$B9)</f>
        <v>0</v>
      </c>
      <c r="F9" s="115">
        <f>SUMIFS(wallet_records!$D:$D,wallet_records!$B:$B,'EEFF Anuales'!$C9,wallet_records!$L:$L,'EEFF Anuales'!F$3,wallet_records!$O:$O,'EEFF Anuales'!F$2,wallet_records!$H:$H,'EEFF Anuales'!$B9)</f>
        <v>0</v>
      </c>
      <c r="G9" s="115">
        <f>SUMIFS(wallet_records!$D:$D,wallet_records!$B:$B,'EEFF Anuales'!$C9,wallet_records!$L:$L,'EEFF Anuales'!G$3,wallet_records!$O:$O,'EEFF Anuales'!G$2,wallet_records!$H:$H,'EEFF Anuales'!$B9)</f>
        <v>0</v>
      </c>
      <c r="H9" s="115">
        <f>SUMIFS(wallet_records!$D:$D,wallet_records!$B:$B,'EEFF Anuales'!$C9,wallet_records!$L:$L,'EEFF Anuales'!H$3,wallet_records!$O:$O,'EEFF Anuales'!H$2,wallet_records!$H:$H,'EEFF Anuales'!$B9)</f>
        <v>119721</v>
      </c>
      <c r="I9" s="115">
        <f>SUMIFS(wallet_records!$D:$D,wallet_records!$B:$B,'EEFF Anuales'!$C9,wallet_records!$L:$L,'EEFF Anuales'!I$3,wallet_records!$O:$O,'EEFF Anuales'!I$2,wallet_records!$H:$H,'EEFF Anuales'!$B9)</f>
        <v>332424</v>
      </c>
      <c r="J9" s="116">
        <f t="shared" ref="J9:J14" si="11">SUM(D9:I9)</f>
        <v>452145</v>
      </c>
      <c r="K9" s="115">
        <f>SUMIFS(wallet_records!$D:$D,wallet_records!$B:$B,'EEFF Anuales'!$C9,wallet_records!$L:$L,'EEFF Anuales'!K$3,wallet_records!$O:$O,'EEFF Anuales'!K$2,wallet_records!$H:$H,'EEFF Anuales'!$B9)</f>
        <v>0</v>
      </c>
      <c r="L9" s="115">
        <f>SUMIFS(wallet_records!$D:$D,wallet_records!$B:$B,'EEFF Anuales'!$C9,wallet_records!$L:$L,'EEFF Anuales'!L$3,wallet_records!$O:$O,'EEFF Anuales'!L$2,wallet_records!$H:$H,'EEFF Anuales'!$B9)</f>
        <v>0</v>
      </c>
      <c r="M9" s="115">
        <f>SUMIFS(wallet_records!$D:$D,wallet_records!$B:$B,'EEFF Anuales'!$C9,wallet_records!$L:$L,'EEFF Anuales'!M$3,wallet_records!$O:$O,'EEFF Anuales'!M$2,wallet_records!$H:$H,'EEFF Anuales'!$B9)</f>
        <v>0</v>
      </c>
      <c r="N9" s="115">
        <f>SUMIFS(wallet_records!$D:$D,wallet_records!$B:$B,'EEFF Anuales'!$C9,wallet_records!$L:$L,'EEFF Anuales'!N$3,wallet_records!$O:$O,'EEFF Anuales'!N$2,wallet_records!$H:$H,'EEFF Anuales'!$B9)</f>
        <v>0</v>
      </c>
      <c r="O9" s="115">
        <f>SUMIFS(wallet_records!$D:$D,wallet_records!$B:$B,'EEFF Anuales'!$C9,wallet_records!$L:$L,'EEFF Anuales'!O$3,wallet_records!$O:$O,'EEFF Anuales'!O$2,wallet_records!$H:$H,'EEFF Anuales'!$B9)</f>
        <v>0</v>
      </c>
      <c r="P9" s="115">
        <f>SUMIFS(wallet_records!$D:$D,wallet_records!$B:$B,'EEFF Anuales'!$C9,wallet_records!$L:$L,'EEFF Anuales'!P$3,wallet_records!$O:$O,'EEFF Anuales'!P$2,wallet_records!$H:$H,'EEFF Anuales'!$B9)</f>
        <v>269841</v>
      </c>
      <c r="Q9" s="116">
        <f t="shared" ref="Q9:Q14" si="12">SUM(K9:P9)</f>
        <v>269841</v>
      </c>
      <c r="R9" s="115">
        <f>SUMIFS(wallet_records!$D:$D,wallet_records!$B:$B,'EEFF Anuales'!$C9,wallet_records!$L:$L,'EEFF Anuales'!R$3,wallet_records!$O:$O,'EEFF Anuales'!R$2,wallet_records!$H:$H,'EEFF Anuales'!$B9)</f>
        <v>0</v>
      </c>
      <c r="S9" s="115">
        <f>SUMIFS(wallet_records!$D:$D,wallet_records!$B:$B,'EEFF Anuales'!$C9,wallet_records!$L:$L,'EEFF Anuales'!S$3,wallet_records!$O:$O,'EEFF Anuales'!S$2,wallet_records!$H:$H,'EEFF Anuales'!$B9)</f>
        <v>0</v>
      </c>
      <c r="T9" s="115">
        <f>SUMIFS(wallet_records!$D:$D,wallet_records!$B:$B,'EEFF Anuales'!$C9,wallet_records!$L:$L,'EEFF Anuales'!T$3,wallet_records!$O:$O,'EEFF Anuales'!T$2,wallet_records!$H:$H,'EEFF Anuales'!$B9)</f>
        <v>0</v>
      </c>
      <c r="U9" s="115">
        <f>SUMIFS(wallet_records!$D:$D,wallet_records!$B:$B,'EEFF Anuales'!$C9,wallet_records!$L:$L,'EEFF Anuales'!U$3,wallet_records!$O:$O,'EEFF Anuales'!U$2,wallet_records!$H:$H,'EEFF Anuales'!$B9)</f>
        <v>0</v>
      </c>
      <c r="V9" s="115">
        <f>SUMIFS(wallet_records!$D:$D,wallet_records!$B:$B,'EEFF Anuales'!$C9,wallet_records!$L:$L,'EEFF Anuales'!V$3,wallet_records!$O:$O,'EEFF Anuales'!V$2,wallet_records!$H:$H,'EEFF Anuales'!$B9)</f>
        <v>0</v>
      </c>
      <c r="W9" s="115">
        <f>SUMIFS(wallet_records!$D:$D,wallet_records!$B:$B,'EEFF Anuales'!$C9,wallet_records!$L:$L,'EEFF Anuales'!W$3,wallet_records!$O:$O,'EEFF Anuales'!W$2,wallet_records!$H:$H,'EEFF Anuales'!$B9)</f>
        <v>0</v>
      </c>
      <c r="X9" s="116">
        <f t="shared" ref="X9:X14" si="13">SUM(R9:W9)</f>
        <v>0</v>
      </c>
      <c r="Y9" s="115">
        <f>SUMIFS(wallet_records!$D:$D,wallet_records!$B:$B,'EEFF Anuales'!$C9,wallet_records!$L:$L,'EEFF Anuales'!Y$3,wallet_records!$O:$O,'EEFF Anuales'!Y$2,wallet_records!$H:$H,'EEFF Anuales'!$B9)</f>
        <v>0</v>
      </c>
      <c r="Z9" s="115">
        <f>SUMIFS(wallet_records!$D:$D,wallet_records!$B:$B,'EEFF Anuales'!$C9,wallet_records!$L:$L,'EEFF Anuales'!Z$3,wallet_records!$O:$O,'EEFF Anuales'!Z$2,wallet_records!$H:$H,'EEFF Anuales'!$B9)</f>
        <v>0</v>
      </c>
      <c r="AA9" s="115">
        <f>SUMIFS(wallet_records!$D:$D,wallet_records!$B:$B,'EEFF Anuales'!$C9,wallet_records!$L:$L,'EEFF Anuales'!AA$3,wallet_records!$O:$O,'EEFF Anuales'!AA$2,wallet_records!$H:$H,'EEFF Anuales'!$B9)</f>
        <v>0</v>
      </c>
      <c r="AB9" s="115">
        <f>SUMIFS(wallet_records!$D:$D,wallet_records!$B:$B,'EEFF Anuales'!$C9,wallet_records!$L:$L,'EEFF Anuales'!AB$3,wallet_records!$O:$O,'EEFF Anuales'!AB$2,wallet_records!$H:$H,'EEFF Anuales'!$B9)</f>
        <v>0</v>
      </c>
      <c r="AC9" s="115">
        <f>SUMIFS(wallet_records!$D:$D,wallet_records!$B:$B,'EEFF Anuales'!$C9,wallet_records!$L:$L,'EEFF Anuales'!AC$3,wallet_records!$O:$O,'EEFF Anuales'!AC$2,wallet_records!$H:$H,'EEFF Anuales'!$B9)</f>
        <v>0</v>
      </c>
      <c r="AD9" s="115">
        <f>SUMIFS(wallet_records!$D:$D,wallet_records!$B:$B,'EEFF Anuales'!$C9,wallet_records!$L:$L,'EEFF Anuales'!AD$3,wallet_records!$O:$O,'EEFF Anuales'!AD$2,wallet_records!$H:$H,'EEFF Anuales'!$B9)</f>
        <v>0</v>
      </c>
      <c r="AE9" s="116">
        <f t="shared" ref="AE9:AE14" si="14">SUM(Y9:AD9)</f>
        <v>0</v>
      </c>
      <c r="AF9" s="115">
        <f>SUMIFS(wallet_records!$D:$D,wallet_records!$B:$B,'EEFF Anuales'!$C9,wallet_records!$L:$L,'EEFF Anuales'!AF$3,wallet_records!$O:$O,'EEFF Anuales'!AF$2,wallet_records!$H:$H,'EEFF Anuales'!$B9)</f>
        <v>0</v>
      </c>
      <c r="AG9" s="115">
        <f>SUMIFS(wallet_records!$D:$D,wallet_records!$B:$B,'EEFF Anuales'!$C9,wallet_records!$L:$L,'EEFF Anuales'!AG$3,wallet_records!$O:$O,'EEFF Anuales'!AG$2,wallet_records!$H:$H,'EEFF Anuales'!$B9)</f>
        <v>0</v>
      </c>
      <c r="AH9" s="115">
        <f>SUMIFS(wallet_records!$D:$D,wallet_records!$B:$B,'EEFF Anuales'!$C9,wallet_records!$L:$L,'EEFF Anuales'!AH$3,wallet_records!$O:$O,'EEFF Anuales'!AH$2,wallet_records!$H:$H,'EEFF Anuales'!$B9)</f>
        <v>0</v>
      </c>
      <c r="AI9" s="115">
        <f>SUMIFS(wallet_records!$D:$D,wallet_records!$B:$B,'EEFF Anuales'!$C9,wallet_records!$L:$L,'EEFF Anuales'!AI$3,wallet_records!$O:$O,'EEFF Anuales'!AI$2,wallet_records!$H:$H,'EEFF Anuales'!$B9)</f>
        <v>0</v>
      </c>
      <c r="AJ9" s="115">
        <f>SUMIFS(wallet_records!$D:$D,wallet_records!$B:$B,'EEFF Anuales'!$C9,wallet_records!$L:$L,'EEFF Anuales'!AJ$3,wallet_records!$O:$O,'EEFF Anuales'!AJ$2,wallet_records!$H:$H,'EEFF Anuales'!$B9)</f>
        <v>0</v>
      </c>
      <c r="AK9" s="115">
        <f>SUMIFS(wallet_records!$D:$D,wallet_records!$B:$B,'EEFF Anuales'!$C9,wallet_records!$L:$L,'EEFF Anuales'!AK$3,wallet_records!$O:$O,'EEFF Anuales'!AK$2,wallet_records!$H:$H,'EEFF Anuales'!$B9)</f>
        <v>0</v>
      </c>
      <c r="AL9" s="116">
        <f t="shared" ref="AL9:AL14" si="15">SUM(AF9:AK9)</f>
        <v>0</v>
      </c>
      <c r="AM9" s="115">
        <f>SUMIFS(wallet_records!$D:$D,wallet_records!$B:$B,'EEFF Anuales'!$C9,wallet_records!$L:$L,'EEFF Anuales'!AM$3,wallet_records!$O:$O,'EEFF Anuales'!AM$2,wallet_records!$H:$H,'EEFF Anuales'!$B9)</f>
        <v>0</v>
      </c>
      <c r="AN9" s="115">
        <f>SUMIFS(wallet_records!$D:$D,wallet_records!$B:$B,'EEFF Anuales'!$C9,wallet_records!$L:$L,'EEFF Anuales'!AN$3,wallet_records!$O:$O,'EEFF Anuales'!AN$2,wallet_records!$H:$H,'EEFF Anuales'!$B9)</f>
        <v>0</v>
      </c>
      <c r="AO9" s="115">
        <f>SUMIFS(wallet_records!$D:$D,wallet_records!$B:$B,'EEFF Anuales'!$C9,wallet_records!$L:$L,'EEFF Anuales'!AO$3,wallet_records!$O:$O,'EEFF Anuales'!AO$2,wallet_records!$H:$H,'EEFF Anuales'!$B9)</f>
        <v>0</v>
      </c>
      <c r="AP9" s="115">
        <f>SUMIFS(wallet_records!$D:$D,wallet_records!$B:$B,'EEFF Anuales'!$C9,wallet_records!$L:$L,'EEFF Anuales'!AP$3,wallet_records!$O:$O,'EEFF Anuales'!AP$2,wallet_records!$H:$H,'EEFF Anuales'!$B9)</f>
        <v>0</v>
      </c>
      <c r="AQ9" s="115">
        <f>SUMIFS(wallet_records!$D:$D,wallet_records!$B:$B,'EEFF Anuales'!$C9,wallet_records!$L:$L,'EEFF Anuales'!AQ$3,wallet_records!$O:$O,'EEFF Anuales'!AQ$2,wallet_records!$H:$H,'EEFF Anuales'!$B9)</f>
        <v>0</v>
      </c>
      <c r="AR9" s="115">
        <f>SUMIFS(wallet_records!$D:$D,wallet_records!$B:$B,'EEFF Anuales'!$C9,wallet_records!$L:$L,'EEFF Anuales'!AR$3,wallet_records!$O:$O,'EEFF Anuales'!AR$2,wallet_records!$H:$H,'EEFF Anuales'!$B9)</f>
        <v>0</v>
      </c>
      <c r="AS9" s="116">
        <f t="shared" ref="AS9:AS14" si="16">SUM(AM9:AR9)</f>
        <v>0</v>
      </c>
      <c r="AU9" s="118">
        <f t="shared" si="0"/>
        <v>1.4243030398487951E-2</v>
      </c>
      <c r="AV9" s="118">
        <f t="shared" si="1"/>
        <v>4.8535172761120203E-3</v>
      </c>
      <c r="AW9" s="118">
        <f t="shared" si="2"/>
        <v>0</v>
      </c>
      <c r="AX9" s="118">
        <f t="shared" si="3"/>
        <v>0</v>
      </c>
      <c r="AY9" s="118">
        <f t="shared" si="4"/>
        <v>0</v>
      </c>
    </row>
    <row r="10" spans="1:51" x14ac:dyDescent="0.2">
      <c r="A10" s="107"/>
      <c r="B10" s="107" t="s">
        <v>118</v>
      </c>
      <c r="C10" s="191" t="s">
        <v>114</v>
      </c>
      <c r="D10" s="115">
        <f>SUMIFS(wallet_records!$D:$D,wallet_records!$B:$B,'EEFF Anuales'!$C10,wallet_records!$L:$L,'EEFF Anuales'!D$3,wallet_records!$O:$O,'EEFF Anuales'!D$2,wallet_records!$H:$H,'EEFF Anuales'!$B10)</f>
        <v>620000</v>
      </c>
      <c r="E10" s="115">
        <f>SUMIFS(wallet_records!$D:$D,wallet_records!$B:$B,'EEFF Anuales'!$C10,wallet_records!$L:$L,'EEFF Anuales'!E$3,wallet_records!$O:$O,'EEFF Anuales'!E$2,wallet_records!$H:$H,'EEFF Anuales'!$B10)</f>
        <v>0</v>
      </c>
      <c r="F10" s="115">
        <f>SUMIFS(wallet_records!$D:$D,wallet_records!$B:$B,'EEFF Anuales'!$C10,wallet_records!$L:$L,'EEFF Anuales'!F$3,wallet_records!$O:$O,'EEFF Anuales'!F$2,wallet_records!$H:$H,'EEFF Anuales'!$B10)</f>
        <v>0</v>
      </c>
      <c r="G10" s="115">
        <f>SUMIFS(wallet_records!$D:$D,wallet_records!$B:$B,'EEFF Anuales'!$C10,wallet_records!$L:$L,'EEFF Anuales'!G$3,wallet_records!$O:$O,'EEFF Anuales'!G$2,wallet_records!$H:$H,'EEFF Anuales'!$B10)</f>
        <v>0</v>
      </c>
      <c r="H10" s="115">
        <f>SUMIFS(wallet_records!$D:$D,wallet_records!$B:$B,'EEFF Anuales'!$C10,wallet_records!$L:$L,'EEFF Anuales'!H$3,wallet_records!$O:$O,'EEFF Anuales'!H$2,wallet_records!$H:$H,'EEFF Anuales'!$B10)</f>
        <v>298200</v>
      </c>
      <c r="I10" s="115">
        <f>SUMIFS(wallet_records!$D:$D,wallet_records!$B:$B,'EEFF Anuales'!$C10,wallet_records!$L:$L,'EEFF Anuales'!I$3,wallet_records!$O:$O,'EEFF Anuales'!I$2,wallet_records!$H:$H,'EEFF Anuales'!$B10)</f>
        <v>21281709.5</v>
      </c>
      <c r="J10" s="116">
        <f t="shared" si="11"/>
        <v>22199909.5</v>
      </c>
      <c r="K10" s="115">
        <f>SUMIFS(wallet_records!$D:$D,wallet_records!$B:$B,'EEFF Anuales'!$C10,wallet_records!$L:$L,'EEFF Anuales'!K$3,wallet_records!$O:$O,'EEFF Anuales'!K$2,wallet_records!$H:$H,'EEFF Anuales'!$B10)</f>
        <v>40000</v>
      </c>
      <c r="L10" s="115">
        <f>SUMIFS(wallet_records!$D:$D,wallet_records!$B:$B,'EEFF Anuales'!$C10,wallet_records!$L:$L,'EEFF Anuales'!L$3,wallet_records!$O:$O,'EEFF Anuales'!L$2,wallet_records!$H:$H,'EEFF Anuales'!$B10)</f>
        <v>0</v>
      </c>
      <c r="M10" s="115">
        <f>SUMIFS(wallet_records!$D:$D,wallet_records!$B:$B,'EEFF Anuales'!$C10,wallet_records!$L:$L,'EEFF Anuales'!M$3,wallet_records!$O:$O,'EEFF Anuales'!M$2,wallet_records!$H:$H,'EEFF Anuales'!$B10)</f>
        <v>3742675.63</v>
      </c>
      <c r="N10" s="115">
        <f>SUMIFS(wallet_records!$D:$D,wallet_records!$B:$B,'EEFF Anuales'!$C10,wallet_records!$L:$L,'EEFF Anuales'!N$3,wallet_records!$O:$O,'EEFF Anuales'!N$2,wallet_records!$H:$H,'EEFF Anuales'!$B10)</f>
        <v>18430000</v>
      </c>
      <c r="O10" s="115">
        <f>SUMIFS(wallet_records!$D:$D,wallet_records!$B:$B,'EEFF Anuales'!$C10,wallet_records!$L:$L,'EEFF Anuales'!O$3,wallet_records!$O:$O,'EEFF Anuales'!O$2,wallet_records!$H:$H,'EEFF Anuales'!$B10)</f>
        <v>197077</v>
      </c>
      <c r="P10" s="115">
        <f>SUMIFS(wallet_records!$D:$D,wallet_records!$B:$B,'EEFF Anuales'!$C10,wallet_records!$L:$L,'EEFF Anuales'!P$3,wallet_records!$O:$O,'EEFF Anuales'!P$2,wallet_records!$H:$H,'EEFF Anuales'!$B10)</f>
        <v>0</v>
      </c>
      <c r="Q10" s="116">
        <f t="shared" si="12"/>
        <v>22409752.629999999</v>
      </c>
      <c r="R10" s="115">
        <f>SUMIFS(wallet_records!$D:$D,wallet_records!$B:$B,'EEFF Anuales'!$C10,wallet_records!$L:$L,'EEFF Anuales'!R$3,wallet_records!$O:$O,'EEFF Anuales'!R$2,wallet_records!$H:$H,'EEFF Anuales'!$B10)</f>
        <v>16002501</v>
      </c>
      <c r="S10" s="115">
        <f>SUMIFS(wallet_records!$D:$D,wallet_records!$B:$B,'EEFF Anuales'!$C10,wallet_records!$L:$L,'EEFF Anuales'!S$3,wallet_records!$O:$O,'EEFF Anuales'!S$2,wallet_records!$H:$H,'EEFF Anuales'!$B10)</f>
        <v>50057841</v>
      </c>
      <c r="T10" s="115">
        <f>SUMIFS(wallet_records!$D:$D,wallet_records!$B:$B,'EEFF Anuales'!$C10,wallet_records!$L:$L,'EEFF Anuales'!T$3,wallet_records!$O:$O,'EEFF Anuales'!T$2,wallet_records!$H:$H,'EEFF Anuales'!$B10)</f>
        <v>250000</v>
      </c>
      <c r="U10" s="115">
        <f>SUMIFS(wallet_records!$D:$D,wallet_records!$B:$B,'EEFF Anuales'!$C10,wallet_records!$L:$L,'EEFF Anuales'!U$3,wallet_records!$O:$O,'EEFF Anuales'!U$2,wallet_records!$H:$H,'EEFF Anuales'!$B10)</f>
        <v>789399.99</v>
      </c>
      <c r="V10" s="115">
        <f>SUMIFS(wallet_records!$D:$D,wallet_records!$B:$B,'EEFF Anuales'!$C10,wallet_records!$L:$L,'EEFF Anuales'!V$3,wallet_records!$O:$O,'EEFF Anuales'!V$2,wallet_records!$H:$H,'EEFF Anuales'!$B10)</f>
        <v>0</v>
      </c>
      <c r="W10" s="115">
        <f>SUMIFS(wallet_records!$D:$D,wallet_records!$B:$B,'EEFF Anuales'!$C10,wallet_records!$L:$L,'EEFF Anuales'!W$3,wallet_records!$O:$O,'EEFF Anuales'!W$2,wallet_records!$H:$H,'EEFF Anuales'!$B10)</f>
        <v>1311277</v>
      </c>
      <c r="X10" s="116">
        <f t="shared" si="13"/>
        <v>68411018.99000001</v>
      </c>
      <c r="Y10" s="115">
        <f>SUMIFS(wallet_records!$D:$D,wallet_records!$B:$B,'EEFF Anuales'!$C10,wallet_records!$L:$L,'EEFF Anuales'!Y$3,wallet_records!$O:$O,'EEFF Anuales'!Y$2,wallet_records!$H:$H,'EEFF Anuales'!$B10)</f>
        <v>18269537.670000002</v>
      </c>
      <c r="Z10" s="115">
        <f>SUMIFS(wallet_records!$D:$D,wallet_records!$B:$B,'EEFF Anuales'!$C10,wallet_records!$L:$L,'EEFF Anuales'!Z$3,wallet_records!$O:$O,'EEFF Anuales'!Z$2,wallet_records!$H:$H,'EEFF Anuales'!$B10)</f>
        <v>4666800</v>
      </c>
      <c r="AA10" s="115">
        <f>SUMIFS(wallet_records!$D:$D,wallet_records!$B:$B,'EEFF Anuales'!$C10,wallet_records!$L:$L,'EEFF Anuales'!AA$3,wallet_records!$O:$O,'EEFF Anuales'!AA$2,wallet_records!$H:$H,'EEFF Anuales'!$B10)</f>
        <v>90000</v>
      </c>
      <c r="AB10" s="115">
        <f>SUMIFS(wallet_records!$D:$D,wallet_records!$B:$B,'EEFF Anuales'!$C10,wallet_records!$L:$L,'EEFF Anuales'!AB$3,wallet_records!$O:$O,'EEFF Anuales'!AB$2,wallet_records!$H:$H,'EEFF Anuales'!$B10)</f>
        <v>428700</v>
      </c>
      <c r="AC10" s="115">
        <f>SUMIFS(wallet_records!$D:$D,wallet_records!$B:$B,'EEFF Anuales'!$C10,wallet_records!$L:$L,'EEFF Anuales'!AC$3,wallet_records!$O:$O,'EEFF Anuales'!AC$2,wallet_records!$H:$H,'EEFF Anuales'!$B10)</f>
        <v>864700</v>
      </c>
      <c r="AD10" s="115">
        <f>SUMIFS(wallet_records!$D:$D,wallet_records!$B:$B,'EEFF Anuales'!$C10,wallet_records!$L:$L,'EEFF Anuales'!AD$3,wallet_records!$O:$O,'EEFF Anuales'!AD$2,wallet_records!$H:$H,'EEFF Anuales'!$B10)</f>
        <v>2129400</v>
      </c>
      <c r="AE10" s="116">
        <f t="shared" si="14"/>
        <v>26449137.670000002</v>
      </c>
      <c r="AF10" s="115">
        <f>SUMIFS(wallet_records!$D:$D,wallet_records!$B:$B,'EEFF Anuales'!$C10,wallet_records!$L:$L,'EEFF Anuales'!AF$3,wallet_records!$O:$O,'EEFF Anuales'!AF$2,wallet_records!$H:$H,'EEFF Anuales'!$B10)</f>
        <v>666250</v>
      </c>
      <c r="AG10" s="115">
        <f>SUMIFS(wallet_records!$D:$D,wallet_records!$B:$B,'EEFF Anuales'!$C10,wallet_records!$L:$L,'EEFF Anuales'!AG$3,wallet_records!$O:$O,'EEFF Anuales'!AG$2,wallet_records!$H:$H,'EEFF Anuales'!$B10)</f>
        <v>0</v>
      </c>
      <c r="AH10" s="115">
        <f>SUMIFS(wallet_records!$D:$D,wallet_records!$B:$B,'EEFF Anuales'!$C10,wallet_records!$L:$L,'EEFF Anuales'!AH$3,wallet_records!$O:$O,'EEFF Anuales'!AH$2,wallet_records!$H:$H,'EEFF Anuales'!$B10)</f>
        <v>0</v>
      </c>
      <c r="AI10" s="115">
        <f>SUMIFS(wallet_records!$D:$D,wallet_records!$B:$B,'EEFF Anuales'!$C10,wallet_records!$L:$L,'EEFF Anuales'!AI$3,wallet_records!$O:$O,'EEFF Anuales'!AI$2,wallet_records!$H:$H,'EEFF Anuales'!$B10)</f>
        <v>5400</v>
      </c>
      <c r="AJ10" s="115">
        <f>SUMIFS(wallet_records!$D:$D,wallet_records!$B:$B,'EEFF Anuales'!$C10,wallet_records!$L:$L,'EEFF Anuales'!AJ$3,wallet_records!$O:$O,'EEFF Anuales'!AJ$2,wallet_records!$H:$H,'EEFF Anuales'!$B10)</f>
        <v>0</v>
      </c>
      <c r="AK10" s="115">
        <f>SUMIFS(wallet_records!$D:$D,wallet_records!$B:$B,'EEFF Anuales'!$C10,wallet_records!$L:$L,'EEFF Anuales'!AK$3,wallet_records!$O:$O,'EEFF Anuales'!AK$2,wallet_records!$H:$H,'EEFF Anuales'!$B10)</f>
        <v>0</v>
      </c>
      <c r="AL10" s="116">
        <f t="shared" si="15"/>
        <v>671650</v>
      </c>
      <c r="AM10" s="115">
        <f>SUMIFS(wallet_records!$D:$D,wallet_records!$B:$B,'EEFF Anuales'!$C10,wallet_records!$L:$L,'EEFF Anuales'!AM$3,wallet_records!$O:$O,'EEFF Anuales'!AM$2,wallet_records!$H:$H,'EEFF Anuales'!$B10)</f>
        <v>0</v>
      </c>
      <c r="AN10" s="115">
        <f>SUMIFS(wallet_records!$D:$D,wallet_records!$B:$B,'EEFF Anuales'!$C10,wallet_records!$L:$L,'EEFF Anuales'!AN$3,wallet_records!$O:$O,'EEFF Anuales'!AN$2,wallet_records!$H:$H,'EEFF Anuales'!$B10)</f>
        <v>0</v>
      </c>
      <c r="AO10" s="115">
        <f>SUMIFS(wallet_records!$D:$D,wallet_records!$B:$B,'EEFF Anuales'!$C10,wallet_records!$L:$L,'EEFF Anuales'!AO$3,wallet_records!$O:$O,'EEFF Anuales'!AO$2,wallet_records!$H:$H,'EEFF Anuales'!$B10)</f>
        <v>0</v>
      </c>
      <c r="AP10" s="115">
        <f>SUMIFS(wallet_records!$D:$D,wallet_records!$B:$B,'EEFF Anuales'!$C10,wallet_records!$L:$L,'EEFF Anuales'!AP$3,wallet_records!$O:$O,'EEFF Anuales'!AP$2,wallet_records!$H:$H,'EEFF Anuales'!$B10)</f>
        <v>0</v>
      </c>
      <c r="AQ10" s="115">
        <f>SUMIFS(wallet_records!$D:$D,wallet_records!$B:$B,'EEFF Anuales'!$C10,wallet_records!$L:$L,'EEFF Anuales'!AQ$3,wallet_records!$O:$O,'EEFF Anuales'!AQ$2,wallet_records!$H:$H,'EEFF Anuales'!$B10)</f>
        <v>0</v>
      </c>
      <c r="AR10" s="115">
        <f>SUMIFS(wallet_records!$D:$D,wallet_records!$B:$B,'EEFF Anuales'!$C10,wallet_records!$L:$L,'EEFF Anuales'!AR$3,wallet_records!$O:$O,'EEFF Anuales'!AR$2,wallet_records!$H:$H,'EEFF Anuales'!$B10)</f>
        <v>0</v>
      </c>
      <c r="AS10" s="116">
        <f t="shared" si="16"/>
        <v>0</v>
      </c>
      <c r="AU10" s="118">
        <f t="shared" si="0"/>
        <v>0.6993198771460073</v>
      </c>
      <c r="AV10" s="118">
        <f t="shared" si="1"/>
        <v>0.40307485349928951</v>
      </c>
      <c r="AW10" s="118">
        <f t="shared" si="2"/>
        <v>0.79428553669495772</v>
      </c>
      <c r="AX10" s="118">
        <f t="shared" si="3"/>
        <v>0.2412837149109586</v>
      </c>
      <c r="AY10" s="118">
        <f t="shared" si="4"/>
        <v>4.2164703814378625E-2</v>
      </c>
    </row>
    <row r="11" spans="1:51" x14ac:dyDescent="0.2">
      <c r="A11" s="107"/>
      <c r="B11" s="107" t="s">
        <v>140</v>
      </c>
      <c r="C11" s="191" t="s">
        <v>136</v>
      </c>
      <c r="D11" s="115">
        <f>SUMIFS(wallet_records!$D:$D,wallet_records!$B:$B,'EEFF Anuales'!$C11,wallet_records!$L:$L,'EEFF Anuales'!D$3,wallet_records!$O:$O,'EEFF Anuales'!D$2,wallet_records!$H:$H,'EEFF Anuales'!$B11)</f>
        <v>912000</v>
      </c>
      <c r="E11" s="115">
        <f>SUMIFS(wallet_records!$D:$D,wallet_records!$B:$B,'EEFF Anuales'!$C11,wallet_records!$L:$L,'EEFF Anuales'!E$3,wallet_records!$O:$O,'EEFF Anuales'!E$2,wallet_records!$H:$H,'EEFF Anuales'!$B11)</f>
        <v>0</v>
      </c>
      <c r="F11" s="115">
        <f>SUMIFS(wallet_records!$D:$D,wallet_records!$B:$B,'EEFF Anuales'!$C11,wallet_records!$L:$L,'EEFF Anuales'!F$3,wallet_records!$O:$O,'EEFF Anuales'!F$2,wallet_records!$H:$H,'EEFF Anuales'!$B11)</f>
        <v>3998906</v>
      </c>
      <c r="G11" s="115">
        <f>SUMIFS(wallet_records!$D:$D,wallet_records!$B:$B,'EEFF Anuales'!$C11,wallet_records!$L:$L,'EEFF Anuales'!G$3,wallet_records!$O:$O,'EEFF Anuales'!G$2,wallet_records!$H:$H,'EEFF Anuales'!$B11)</f>
        <v>0</v>
      </c>
      <c r="H11" s="115">
        <f>SUMIFS(wallet_records!$D:$D,wallet_records!$B:$B,'EEFF Anuales'!$C11,wallet_records!$L:$L,'EEFF Anuales'!H$3,wallet_records!$O:$O,'EEFF Anuales'!H$2,wallet_records!$H:$H,'EEFF Anuales'!$B11)</f>
        <v>1385600</v>
      </c>
      <c r="I11" s="115">
        <f>SUMIFS(wallet_records!$D:$D,wallet_records!$B:$B,'EEFF Anuales'!$C11,wallet_records!$L:$L,'EEFF Anuales'!I$3,wallet_records!$O:$O,'EEFF Anuales'!I$2,wallet_records!$H:$H,'EEFF Anuales'!$B11)</f>
        <v>0</v>
      </c>
      <c r="J11" s="116">
        <f t="shared" si="11"/>
        <v>6296506</v>
      </c>
      <c r="K11" s="115">
        <f>SUMIFS(wallet_records!$D:$D,wallet_records!$B:$B,'EEFF Anuales'!$C11,wallet_records!$L:$L,'EEFF Anuales'!K$3,wallet_records!$O:$O,'EEFF Anuales'!K$2,wallet_records!$H:$H,'EEFF Anuales'!$B11)</f>
        <v>1600000</v>
      </c>
      <c r="L11" s="115">
        <f>SUMIFS(wallet_records!$D:$D,wallet_records!$B:$B,'EEFF Anuales'!$C11,wallet_records!$L:$L,'EEFF Anuales'!L$3,wallet_records!$O:$O,'EEFF Anuales'!L$2,wallet_records!$H:$H,'EEFF Anuales'!$B11)</f>
        <v>0</v>
      </c>
      <c r="M11" s="115">
        <f>SUMIFS(wallet_records!$D:$D,wallet_records!$B:$B,'EEFF Anuales'!$C11,wallet_records!$L:$L,'EEFF Anuales'!M$3,wallet_records!$O:$O,'EEFF Anuales'!M$2,wallet_records!$H:$H,'EEFF Anuales'!$B11)</f>
        <v>6229280</v>
      </c>
      <c r="N11" s="115">
        <f>SUMIFS(wallet_records!$D:$D,wallet_records!$B:$B,'EEFF Anuales'!$C11,wallet_records!$L:$L,'EEFF Anuales'!N$3,wallet_records!$O:$O,'EEFF Anuales'!N$2,wallet_records!$H:$H,'EEFF Anuales'!$B11)</f>
        <v>0</v>
      </c>
      <c r="O11" s="115">
        <f>SUMIFS(wallet_records!$D:$D,wallet_records!$B:$B,'EEFF Anuales'!$C11,wallet_records!$L:$L,'EEFF Anuales'!O$3,wallet_records!$O:$O,'EEFF Anuales'!O$2,wallet_records!$H:$H,'EEFF Anuales'!$B11)</f>
        <v>2547877</v>
      </c>
      <c r="P11" s="115">
        <f>SUMIFS(wallet_records!$D:$D,wallet_records!$B:$B,'EEFF Anuales'!$C11,wallet_records!$L:$L,'EEFF Anuales'!P$3,wallet_records!$O:$O,'EEFF Anuales'!P$2,wallet_records!$H:$H,'EEFF Anuales'!$B11)</f>
        <v>0</v>
      </c>
      <c r="Q11" s="116">
        <f t="shared" si="12"/>
        <v>10377157</v>
      </c>
      <c r="R11" s="115">
        <f>SUMIFS(wallet_records!$D:$D,wallet_records!$B:$B,'EEFF Anuales'!$C11,wallet_records!$L:$L,'EEFF Anuales'!R$3,wallet_records!$O:$O,'EEFF Anuales'!R$2,wallet_records!$H:$H,'EEFF Anuales'!$B11)</f>
        <v>1782000</v>
      </c>
      <c r="S11" s="115">
        <f>SUMIFS(wallet_records!$D:$D,wallet_records!$B:$B,'EEFF Anuales'!$C11,wallet_records!$L:$L,'EEFF Anuales'!S$3,wallet_records!$O:$O,'EEFF Anuales'!S$2,wallet_records!$H:$H,'EEFF Anuales'!$B11)</f>
        <v>0</v>
      </c>
      <c r="T11" s="115">
        <f>SUMIFS(wallet_records!$D:$D,wallet_records!$B:$B,'EEFF Anuales'!$C11,wallet_records!$L:$L,'EEFF Anuales'!T$3,wallet_records!$O:$O,'EEFF Anuales'!T$2,wallet_records!$H:$H,'EEFF Anuales'!$B11)</f>
        <v>5435799</v>
      </c>
      <c r="U11" s="115">
        <f>SUMIFS(wallet_records!$D:$D,wallet_records!$B:$B,'EEFF Anuales'!$C11,wallet_records!$L:$L,'EEFF Anuales'!U$3,wallet_records!$O:$O,'EEFF Anuales'!U$2,wallet_records!$H:$H,'EEFF Anuales'!$B11)</f>
        <v>0</v>
      </c>
      <c r="V11" s="115">
        <f>SUMIFS(wallet_records!$D:$D,wallet_records!$B:$B,'EEFF Anuales'!$C11,wallet_records!$L:$L,'EEFF Anuales'!V$3,wallet_records!$O:$O,'EEFF Anuales'!V$2,wallet_records!$H:$H,'EEFF Anuales'!$B11)</f>
        <v>3055149</v>
      </c>
      <c r="W11" s="115">
        <f>SUMIFS(wallet_records!$D:$D,wallet_records!$B:$B,'EEFF Anuales'!$C11,wallet_records!$L:$L,'EEFF Anuales'!W$3,wallet_records!$O:$O,'EEFF Anuales'!W$2,wallet_records!$H:$H,'EEFF Anuales'!$B11)</f>
        <v>0</v>
      </c>
      <c r="X11" s="116">
        <f t="shared" si="13"/>
        <v>10272948</v>
      </c>
      <c r="Y11" s="115">
        <f>SUMIFS(wallet_records!$D:$D,wallet_records!$B:$B,'EEFF Anuales'!$C11,wallet_records!$L:$L,'EEFF Anuales'!Y$3,wallet_records!$O:$O,'EEFF Anuales'!Y$2,wallet_records!$H:$H,'EEFF Anuales'!$B11)</f>
        <v>1752000</v>
      </c>
      <c r="Z11" s="115">
        <f>SUMIFS(wallet_records!$D:$D,wallet_records!$B:$B,'EEFF Anuales'!$C11,wallet_records!$L:$L,'EEFF Anuales'!Z$3,wallet_records!$O:$O,'EEFF Anuales'!Z$2,wallet_records!$H:$H,'EEFF Anuales'!$B11)</f>
        <v>0</v>
      </c>
      <c r="AA11" s="115">
        <f>SUMIFS(wallet_records!$D:$D,wallet_records!$B:$B,'EEFF Anuales'!$C11,wallet_records!$L:$L,'EEFF Anuales'!AA$3,wallet_records!$O:$O,'EEFF Anuales'!AA$2,wallet_records!$H:$H,'EEFF Anuales'!$B11)</f>
        <v>5678578</v>
      </c>
      <c r="AB11" s="115">
        <f>SUMIFS(wallet_records!$D:$D,wallet_records!$B:$B,'EEFF Anuales'!$C11,wallet_records!$L:$L,'EEFF Anuales'!AB$3,wallet_records!$O:$O,'EEFF Anuales'!AB$2,wallet_records!$H:$H,'EEFF Anuales'!$B11)</f>
        <v>0</v>
      </c>
      <c r="AC11" s="115">
        <f>SUMIFS(wallet_records!$D:$D,wallet_records!$B:$B,'EEFF Anuales'!$C11,wallet_records!$L:$L,'EEFF Anuales'!AC$3,wallet_records!$O:$O,'EEFF Anuales'!AC$2,wallet_records!$H:$H,'EEFF Anuales'!$B11)</f>
        <v>2845393</v>
      </c>
      <c r="AD11" s="115">
        <f>SUMIFS(wallet_records!$D:$D,wallet_records!$B:$B,'EEFF Anuales'!$C11,wallet_records!$L:$L,'EEFF Anuales'!AD$3,wallet_records!$O:$O,'EEFF Anuales'!AD$2,wallet_records!$H:$H,'EEFF Anuales'!$B11)</f>
        <v>0</v>
      </c>
      <c r="AE11" s="116">
        <f t="shared" si="14"/>
        <v>10275971</v>
      </c>
      <c r="AF11" s="115">
        <f>SUMIFS(wallet_records!$D:$D,wallet_records!$B:$B,'EEFF Anuales'!$C11,wallet_records!$L:$L,'EEFF Anuales'!AF$3,wallet_records!$O:$O,'EEFF Anuales'!AF$2,wallet_records!$H:$H,'EEFF Anuales'!$B11)</f>
        <v>312000</v>
      </c>
      <c r="AG11" s="115">
        <f>SUMIFS(wallet_records!$D:$D,wallet_records!$B:$B,'EEFF Anuales'!$C11,wallet_records!$L:$L,'EEFF Anuales'!AG$3,wallet_records!$O:$O,'EEFF Anuales'!AG$2,wallet_records!$H:$H,'EEFF Anuales'!$B11)</f>
        <v>0</v>
      </c>
      <c r="AH11" s="115">
        <f>SUMIFS(wallet_records!$D:$D,wallet_records!$B:$B,'EEFF Anuales'!$C11,wallet_records!$L:$L,'EEFF Anuales'!AH$3,wallet_records!$O:$O,'EEFF Anuales'!AH$2,wallet_records!$H:$H,'EEFF Anuales'!$B11)</f>
        <v>1003084</v>
      </c>
      <c r="AI11" s="115">
        <f>SUMIFS(wallet_records!$D:$D,wallet_records!$B:$B,'EEFF Anuales'!$C11,wallet_records!$L:$L,'EEFF Anuales'!AI$3,wallet_records!$O:$O,'EEFF Anuales'!AI$2,wallet_records!$H:$H,'EEFF Anuales'!$B11)</f>
        <v>0</v>
      </c>
      <c r="AJ11" s="115">
        <f>SUMIFS(wallet_records!$D:$D,wallet_records!$B:$B,'EEFF Anuales'!$C11,wallet_records!$L:$L,'EEFF Anuales'!AJ$3,wallet_records!$O:$O,'EEFF Anuales'!AJ$2,wallet_records!$H:$H,'EEFF Anuales'!$B11)</f>
        <v>538800</v>
      </c>
      <c r="AK11" s="115">
        <f>SUMIFS(wallet_records!$D:$D,wallet_records!$B:$B,'EEFF Anuales'!$C11,wallet_records!$L:$L,'EEFF Anuales'!AK$3,wallet_records!$O:$O,'EEFF Anuales'!AK$2,wallet_records!$H:$H,'EEFF Anuales'!$B11)</f>
        <v>0</v>
      </c>
      <c r="AL11" s="116">
        <f t="shared" si="15"/>
        <v>1853884</v>
      </c>
      <c r="AM11" s="115">
        <f>SUMIFS(wallet_records!$D:$D,wallet_records!$B:$B,'EEFF Anuales'!$C11,wallet_records!$L:$L,'EEFF Anuales'!AM$3,wallet_records!$O:$O,'EEFF Anuales'!AM$2,wallet_records!$H:$H,'EEFF Anuales'!$B11)</f>
        <v>0</v>
      </c>
      <c r="AN11" s="115">
        <f>SUMIFS(wallet_records!$D:$D,wallet_records!$B:$B,'EEFF Anuales'!$C11,wallet_records!$L:$L,'EEFF Anuales'!AN$3,wallet_records!$O:$O,'EEFF Anuales'!AN$2,wallet_records!$H:$H,'EEFF Anuales'!$B11)</f>
        <v>0</v>
      </c>
      <c r="AO11" s="115">
        <f>SUMIFS(wallet_records!$D:$D,wallet_records!$B:$B,'EEFF Anuales'!$C11,wallet_records!$L:$L,'EEFF Anuales'!AO$3,wallet_records!$O:$O,'EEFF Anuales'!AO$2,wallet_records!$H:$H,'EEFF Anuales'!$B11)</f>
        <v>0</v>
      </c>
      <c r="AP11" s="115">
        <f>SUMIFS(wallet_records!$D:$D,wallet_records!$B:$B,'EEFF Anuales'!$C11,wallet_records!$L:$L,'EEFF Anuales'!AP$3,wallet_records!$O:$O,'EEFF Anuales'!AP$2,wallet_records!$H:$H,'EEFF Anuales'!$B11)</f>
        <v>0</v>
      </c>
      <c r="AQ11" s="115">
        <f>SUMIFS(wallet_records!$D:$D,wallet_records!$B:$B,'EEFF Anuales'!$C11,wallet_records!$L:$L,'EEFF Anuales'!AQ$3,wallet_records!$O:$O,'EEFF Anuales'!AQ$2,wallet_records!$H:$H,'EEFF Anuales'!$B11)</f>
        <v>0</v>
      </c>
      <c r="AR11" s="115">
        <f>SUMIFS(wallet_records!$D:$D,wallet_records!$B:$B,'EEFF Anuales'!$C11,wallet_records!$L:$L,'EEFF Anuales'!AR$3,wallet_records!$O:$O,'EEFF Anuales'!AR$2,wallet_records!$H:$H,'EEFF Anuales'!$B11)</f>
        <v>0</v>
      </c>
      <c r="AS11" s="116">
        <f t="shared" si="16"/>
        <v>0</v>
      </c>
      <c r="AU11" s="118">
        <f t="shared" si="0"/>
        <v>0.19834638525752088</v>
      </c>
      <c r="AV11" s="118">
        <f t="shared" si="1"/>
        <v>0.18664958540928467</v>
      </c>
      <c r="AW11" s="118">
        <f t="shared" si="2"/>
        <v>0.11927397276178756</v>
      </c>
      <c r="AX11" s="118">
        <f t="shared" si="3"/>
        <v>9.374311133060384E-2</v>
      </c>
      <c r="AY11" s="118">
        <f t="shared" si="4"/>
        <v>0.1163827436406097</v>
      </c>
    </row>
    <row r="12" spans="1:51" x14ac:dyDescent="0.2">
      <c r="A12" s="107"/>
      <c r="B12" s="107" t="s">
        <v>508</v>
      </c>
      <c r="C12" s="191" t="s">
        <v>154</v>
      </c>
      <c r="D12" s="115">
        <f>SUMIFS(wallet_records!$D:$D,wallet_records!$B:$B,'EEFF Anuales'!$C12,wallet_records!$L:$L,'EEFF Anuales'!D$3,wallet_records!$O:$O,'EEFF Anuales'!D$2,wallet_records!$H:$H,'EEFF Anuales'!$B12)</f>
        <v>0</v>
      </c>
      <c r="E12" s="115">
        <f>SUMIFS(wallet_records!$D:$D,wallet_records!$B:$B,'EEFF Anuales'!$C12,wallet_records!$L:$L,'EEFF Anuales'!E$3,wallet_records!$O:$O,'EEFF Anuales'!E$2,wallet_records!$H:$H,'EEFF Anuales'!$B12)</f>
        <v>0</v>
      </c>
      <c r="F12" s="115">
        <f>SUMIFS(wallet_records!$D:$D,wallet_records!$B:$B,'EEFF Anuales'!$C12,wallet_records!$L:$L,'EEFF Anuales'!F$3,wallet_records!$O:$O,'EEFF Anuales'!F$2,wallet_records!$H:$H,'EEFF Anuales'!$B12)</f>
        <v>0</v>
      </c>
      <c r="G12" s="115">
        <f>SUMIFS(wallet_records!$D:$D,wallet_records!$B:$B,'EEFF Anuales'!$C12,wallet_records!$L:$L,'EEFF Anuales'!G$3,wallet_records!$O:$O,'EEFF Anuales'!G$2,wallet_records!$H:$H,'EEFF Anuales'!$B12)</f>
        <v>0</v>
      </c>
      <c r="H12" s="115">
        <f>SUMIFS(wallet_records!$D:$D,wallet_records!$B:$B,'EEFF Anuales'!$C12,wallet_records!$L:$L,'EEFF Anuales'!H$3,wallet_records!$O:$O,'EEFF Anuales'!H$2,wallet_records!$H:$H,'EEFF Anuales'!$B12)</f>
        <v>0</v>
      </c>
      <c r="I12" s="115">
        <f>SUMIFS(wallet_records!$D:$D,wallet_records!$B:$B,'EEFF Anuales'!$C12,wallet_records!$L:$L,'EEFF Anuales'!I$3,wallet_records!$O:$O,'EEFF Anuales'!I$2,wallet_records!$H:$H,'EEFF Anuales'!$B12)</f>
        <v>550458</v>
      </c>
      <c r="J12" s="116">
        <f t="shared" si="11"/>
        <v>550458</v>
      </c>
      <c r="K12" s="115">
        <f>SUMIFS(wallet_records!$D:$D,wallet_records!$B:$B,'EEFF Anuales'!$C12,wallet_records!$L:$L,'EEFF Anuales'!K$3,wallet_records!$O:$O,'EEFF Anuales'!K$2,wallet_records!$H:$H,'EEFF Anuales'!$B12)</f>
        <v>1652293</v>
      </c>
      <c r="L12" s="115">
        <f>SUMIFS(wallet_records!$D:$D,wallet_records!$B:$B,'EEFF Anuales'!$C12,wallet_records!$L:$L,'EEFF Anuales'!L$3,wallet_records!$O:$O,'EEFF Anuales'!L$2,wallet_records!$H:$H,'EEFF Anuales'!$B12)</f>
        <v>2905777</v>
      </c>
      <c r="M12" s="115">
        <f>SUMIFS(wallet_records!$D:$D,wallet_records!$B:$B,'EEFF Anuales'!$C12,wallet_records!$L:$L,'EEFF Anuales'!M$3,wallet_records!$O:$O,'EEFF Anuales'!M$2,wallet_records!$H:$H,'EEFF Anuales'!$B12)</f>
        <v>1442921</v>
      </c>
      <c r="N12" s="115">
        <f>SUMIFS(wallet_records!$D:$D,wallet_records!$B:$B,'EEFF Anuales'!$C12,wallet_records!$L:$L,'EEFF Anuales'!N$3,wallet_records!$O:$O,'EEFF Anuales'!N$2,wallet_records!$H:$H,'EEFF Anuales'!$B12)</f>
        <v>269629</v>
      </c>
      <c r="O12" s="115">
        <f>SUMIFS(wallet_records!$D:$D,wallet_records!$B:$B,'EEFF Anuales'!$C12,wallet_records!$L:$L,'EEFF Anuales'!O$3,wallet_records!$O:$O,'EEFF Anuales'!O$2,wallet_records!$H:$H,'EEFF Anuales'!$B12)</f>
        <v>871419</v>
      </c>
      <c r="P12" s="115">
        <f>SUMIFS(wallet_records!$D:$D,wallet_records!$B:$B,'EEFF Anuales'!$C12,wallet_records!$L:$L,'EEFF Anuales'!P$3,wallet_records!$O:$O,'EEFF Anuales'!P$2,wallet_records!$H:$H,'EEFF Anuales'!$B12)</f>
        <v>765580</v>
      </c>
      <c r="Q12" s="116">
        <f t="shared" si="12"/>
        <v>7907619</v>
      </c>
      <c r="R12" s="115">
        <f>SUMIFS(wallet_records!$D:$D,wallet_records!$B:$B,'EEFF Anuales'!$C12,wallet_records!$L:$L,'EEFF Anuales'!R$3,wallet_records!$O:$O,'EEFF Anuales'!R$2,wallet_records!$H:$H,'EEFF Anuales'!$B12)</f>
        <v>1926459</v>
      </c>
      <c r="S12" s="115">
        <f>SUMIFS(wallet_records!$D:$D,wallet_records!$B:$B,'EEFF Anuales'!$C12,wallet_records!$L:$L,'EEFF Anuales'!S$3,wallet_records!$O:$O,'EEFF Anuales'!S$2,wallet_records!$H:$H,'EEFF Anuales'!$B12)</f>
        <v>3442766</v>
      </c>
      <c r="T12" s="115">
        <f>SUMIFS(wallet_records!$D:$D,wallet_records!$B:$B,'EEFF Anuales'!$C12,wallet_records!$L:$L,'EEFF Anuales'!T$3,wallet_records!$O:$O,'EEFF Anuales'!T$2,wallet_records!$H:$H,'EEFF Anuales'!$B12)</f>
        <v>1556970</v>
      </c>
      <c r="U12" s="115">
        <f>SUMIFS(wallet_records!$D:$D,wallet_records!$B:$B,'EEFF Anuales'!$C12,wallet_records!$L:$L,'EEFF Anuales'!U$3,wallet_records!$O:$O,'EEFF Anuales'!U$2,wallet_records!$H:$H,'EEFF Anuales'!$B12)</f>
        <v>279068</v>
      </c>
      <c r="V12" s="115">
        <f>SUMIFS(wallet_records!$D:$D,wallet_records!$B:$B,'EEFF Anuales'!$C12,wallet_records!$L:$L,'EEFF Anuales'!V$3,wallet_records!$O:$O,'EEFF Anuales'!V$2,wallet_records!$H:$H,'EEFF Anuales'!$B12)</f>
        <v>1032495</v>
      </c>
      <c r="W12" s="115">
        <f>SUMIFS(wallet_records!$D:$D,wallet_records!$B:$B,'EEFF Anuales'!$C12,wallet_records!$L:$L,'EEFF Anuales'!W$3,wallet_records!$O:$O,'EEFF Anuales'!W$2,wallet_records!$H:$H,'EEFF Anuales'!$B12)</f>
        <v>911108</v>
      </c>
      <c r="X12" s="116">
        <f t="shared" si="13"/>
        <v>9148866</v>
      </c>
      <c r="Y12" s="115">
        <f>SUMIFS(wallet_records!$D:$D,wallet_records!$B:$B,'EEFF Anuales'!$C12,wallet_records!$L:$L,'EEFF Anuales'!Y$3,wallet_records!$O:$O,'EEFF Anuales'!Y$2,wallet_records!$H:$H,'EEFF Anuales'!$B12)</f>
        <v>2177825</v>
      </c>
      <c r="Z12" s="115">
        <f>SUMIFS(wallet_records!$D:$D,wallet_records!$B:$B,'EEFF Anuales'!$C12,wallet_records!$L:$L,'EEFF Anuales'!Z$3,wallet_records!$O:$O,'EEFF Anuales'!Z$2,wallet_records!$H:$H,'EEFF Anuales'!$B12)</f>
        <v>3904447</v>
      </c>
      <c r="AA12" s="115">
        <f>SUMIFS(wallet_records!$D:$D,wallet_records!$B:$B,'EEFF Anuales'!$C12,wallet_records!$L:$L,'EEFF Anuales'!AA$3,wallet_records!$O:$O,'EEFF Anuales'!AA$2,wallet_records!$H:$H,'EEFF Anuales'!$B12)</f>
        <v>1613328</v>
      </c>
      <c r="AB12" s="115">
        <f>SUMIFS(wallet_records!$D:$D,wallet_records!$B:$B,'EEFF Anuales'!$C12,wallet_records!$L:$L,'EEFF Anuales'!AB$3,wallet_records!$O:$O,'EEFF Anuales'!AB$2,wallet_records!$H:$H,'EEFF Anuales'!$B12)</f>
        <v>316495</v>
      </c>
      <c r="AC12" s="115">
        <f>SUMIFS(wallet_records!$D:$D,wallet_records!$B:$B,'EEFF Anuales'!$C12,wallet_records!$L:$L,'EEFF Anuales'!AC$3,wallet_records!$O:$O,'EEFF Anuales'!AC$2,wallet_records!$H:$H,'EEFF Anuales'!$B12)</f>
        <v>1170958</v>
      </c>
      <c r="AD12" s="115">
        <f>SUMIFS(wallet_records!$D:$D,wallet_records!$B:$B,'EEFF Anuales'!$C12,wallet_records!$L:$L,'EEFF Anuales'!AD$3,wallet_records!$O:$O,'EEFF Anuales'!AD$2,wallet_records!$H:$H,'EEFF Anuales'!$B12)</f>
        <v>756032</v>
      </c>
      <c r="AE12" s="116">
        <f t="shared" si="14"/>
        <v>9939085</v>
      </c>
      <c r="AF12" s="115">
        <f>SUMIFS(wallet_records!$D:$D,wallet_records!$B:$B,'EEFF Anuales'!$C12,wallet_records!$L:$L,'EEFF Anuales'!AF$3,wallet_records!$O:$O,'EEFF Anuales'!AF$2,wallet_records!$H:$H,'EEFF Anuales'!$B12)</f>
        <v>2461875</v>
      </c>
      <c r="AG12" s="115">
        <f>SUMIFS(wallet_records!$D:$D,wallet_records!$B:$B,'EEFF Anuales'!$C12,wallet_records!$L:$L,'EEFF Anuales'!AG$3,wallet_records!$O:$O,'EEFF Anuales'!AG$2,wallet_records!$H:$H,'EEFF Anuales'!$B12)</f>
        <v>4431940</v>
      </c>
      <c r="AH12" s="115">
        <f>SUMIFS(wallet_records!$D:$D,wallet_records!$B:$B,'EEFF Anuales'!$C12,wallet_records!$L:$L,'EEFF Anuales'!AH$3,wallet_records!$O:$O,'EEFF Anuales'!AH$2,wallet_records!$H:$H,'EEFF Anuales'!$B12)</f>
        <v>1823377</v>
      </c>
      <c r="AI12" s="115">
        <f>SUMIFS(wallet_records!$D:$D,wallet_records!$B:$B,'EEFF Anuales'!$C12,wallet_records!$L:$L,'EEFF Anuales'!AI$3,wallet_records!$O:$O,'EEFF Anuales'!AI$2,wallet_records!$H:$H,'EEFF Anuales'!$B12)</f>
        <v>359256</v>
      </c>
      <c r="AJ12" s="115">
        <f>SUMIFS(wallet_records!$D:$D,wallet_records!$B:$B,'EEFF Anuales'!$C12,wallet_records!$L:$L,'EEFF Anuales'!AJ$3,wallet_records!$O:$O,'EEFF Anuales'!AJ$2,wallet_records!$H:$H,'EEFF Anuales'!$B12)</f>
        <v>1320857</v>
      </c>
      <c r="AK12" s="115">
        <f>SUMIFS(wallet_records!$D:$D,wallet_records!$B:$B,'EEFF Anuales'!$C12,wallet_records!$L:$L,'EEFF Anuales'!AK$3,wallet_records!$O:$O,'EEFF Anuales'!AK$2,wallet_records!$H:$H,'EEFF Anuales'!$B12)</f>
        <v>0</v>
      </c>
      <c r="AL12" s="116">
        <f t="shared" si="15"/>
        <v>10397305</v>
      </c>
      <c r="AM12" s="115">
        <f>SUMIFS(wallet_records!$D:$D,wallet_records!$B:$B,'EEFF Anuales'!$C12,wallet_records!$L:$L,'EEFF Anuales'!AM$3,wallet_records!$O:$O,'EEFF Anuales'!AM$2,wallet_records!$H:$H,'EEFF Anuales'!$B12)</f>
        <v>0</v>
      </c>
      <c r="AN12" s="115">
        <f>SUMIFS(wallet_records!$D:$D,wallet_records!$B:$B,'EEFF Anuales'!$C12,wallet_records!$L:$L,'EEFF Anuales'!AN$3,wallet_records!$O:$O,'EEFF Anuales'!AN$2,wallet_records!$H:$H,'EEFF Anuales'!$B12)</f>
        <v>0</v>
      </c>
      <c r="AO12" s="115">
        <f>SUMIFS(wallet_records!$D:$D,wallet_records!$B:$B,'EEFF Anuales'!$C12,wallet_records!$L:$L,'EEFF Anuales'!AO$3,wallet_records!$O:$O,'EEFF Anuales'!AO$2,wallet_records!$H:$H,'EEFF Anuales'!$B12)</f>
        <v>0</v>
      </c>
      <c r="AP12" s="115">
        <f>SUMIFS(wallet_records!$D:$D,wallet_records!$B:$B,'EEFF Anuales'!$C12,wallet_records!$L:$L,'EEFF Anuales'!AP$3,wallet_records!$O:$O,'EEFF Anuales'!AP$2,wallet_records!$H:$H,'EEFF Anuales'!$B12)</f>
        <v>0</v>
      </c>
      <c r="AQ12" s="115">
        <f>SUMIFS(wallet_records!$D:$D,wallet_records!$B:$B,'EEFF Anuales'!$C12,wallet_records!$L:$L,'EEFF Anuales'!AQ$3,wallet_records!$O:$O,'EEFF Anuales'!AQ$2,wallet_records!$H:$H,'EEFF Anuales'!$B12)</f>
        <v>0</v>
      </c>
      <c r="AR12" s="115">
        <f>SUMIFS(wallet_records!$D:$D,wallet_records!$B:$B,'EEFF Anuales'!$C12,wallet_records!$L:$L,'EEFF Anuales'!AR$3,wallet_records!$O:$O,'EEFF Anuales'!AR$2,wallet_records!$H:$H,'EEFF Anuales'!$B12)</f>
        <v>0</v>
      </c>
      <c r="AS12" s="116">
        <f t="shared" si="16"/>
        <v>0</v>
      </c>
      <c r="AU12" s="118">
        <f t="shared" si="0"/>
        <v>1.7339990549692864E-2</v>
      </c>
      <c r="AV12" s="118">
        <f t="shared" si="1"/>
        <v>0.14223103764591616</v>
      </c>
      <c r="AW12" s="118">
        <f t="shared" si="2"/>
        <v>0.10622282854787586</v>
      </c>
      <c r="AX12" s="118">
        <f t="shared" si="3"/>
        <v>9.0669850243771097E-2</v>
      </c>
      <c r="AY12" s="118">
        <f t="shared" si="4"/>
        <v>0.65271984782663284</v>
      </c>
    </row>
    <row r="13" spans="1:51" x14ac:dyDescent="0.2">
      <c r="A13" s="10"/>
      <c r="B13" s="235" t="s">
        <v>510</v>
      </c>
      <c r="C13" s="191" t="s">
        <v>154</v>
      </c>
      <c r="D13" s="115">
        <f>SUMIFS(wallet_records!$D:$D,wallet_records!$B:$B,'EEFF Anuales'!$C13,wallet_records!$L:$L,'EEFF Anuales'!D$3,wallet_records!$O:$O,'EEFF Anuales'!D$2,wallet_records!$H:$H,'EEFF Anuales'!$B13)</f>
        <v>0</v>
      </c>
      <c r="E13" s="115">
        <f>SUMIFS(wallet_records!$D:$D,wallet_records!$B:$B,'EEFF Anuales'!$C13,wallet_records!$L:$L,'EEFF Anuales'!E$3,wallet_records!$O:$O,'EEFF Anuales'!E$2,wallet_records!$H:$H,'EEFF Anuales'!$B13)</f>
        <v>0</v>
      </c>
      <c r="F13" s="115">
        <f>SUMIFS(wallet_records!$D:$D,wallet_records!$B:$B,'EEFF Anuales'!$C13,wallet_records!$L:$L,'EEFF Anuales'!F$3,wallet_records!$O:$O,'EEFF Anuales'!F$2,wallet_records!$H:$H,'EEFF Anuales'!$B13)</f>
        <v>0</v>
      </c>
      <c r="G13" s="115">
        <f>SUMIFS(wallet_records!$D:$D,wallet_records!$B:$B,'EEFF Anuales'!$C13,wallet_records!$L:$L,'EEFF Anuales'!G$3,wallet_records!$O:$O,'EEFF Anuales'!G$2,wallet_records!$H:$H,'EEFF Anuales'!$B13)</f>
        <v>0</v>
      </c>
      <c r="H13" s="115">
        <f>SUMIFS(wallet_records!$D:$D,wallet_records!$B:$B,'EEFF Anuales'!$C13,wallet_records!$L:$L,'EEFF Anuales'!H$3,wallet_records!$O:$O,'EEFF Anuales'!H$2,wallet_records!$H:$H,'EEFF Anuales'!$B13)</f>
        <v>0</v>
      </c>
      <c r="I13" s="115">
        <f>SUMIFS(wallet_records!$D:$D,wallet_records!$B:$B,'EEFF Anuales'!$C13,wallet_records!$L:$L,'EEFF Anuales'!I$3,wallet_records!$O:$O,'EEFF Anuales'!I$2,wallet_records!$H:$H,'EEFF Anuales'!$B13)</f>
        <v>0</v>
      </c>
      <c r="J13" s="116">
        <f t="shared" si="11"/>
        <v>0</v>
      </c>
      <c r="K13" s="115">
        <f>SUMIFS(wallet_records!$D:$D,wallet_records!$B:$B,'EEFF Anuales'!$C13,wallet_records!$L:$L,'EEFF Anuales'!K$3,wallet_records!$O:$O,'EEFF Anuales'!K$2,wallet_records!$H:$H,'EEFF Anuales'!$B13)</f>
        <v>0</v>
      </c>
      <c r="L13" s="115">
        <f>SUMIFS(wallet_records!$D:$D,wallet_records!$B:$B,'EEFF Anuales'!$C13,wallet_records!$L:$L,'EEFF Anuales'!L$3,wallet_records!$O:$O,'EEFF Anuales'!L$2,wallet_records!$H:$H,'EEFF Anuales'!$B13)</f>
        <v>0</v>
      </c>
      <c r="M13" s="115">
        <f>SUMIFS(wallet_records!$D:$D,wallet_records!$B:$B,'EEFF Anuales'!$C13,wallet_records!$L:$L,'EEFF Anuales'!M$3,wallet_records!$O:$O,'EEFF Anuales'!M$2,wallet_records!$H:$H,'EEFF Anuales'!$B13)</f>
        <v>0</v>
      </c>
      <c r="N13" s="115">
        <f>SUMIFS(wallet_records!$D:$D,wallet_records!$B:$B,'EEFF Anuales'!$C13,wallet_records!$L:$L,'EEFF Anuales'!N$3,wallet_records!$O:$O,'EEFF Anuales'!N$2,wallet_records!$H:$H,'EEFF Anuales'!$B13)</f>
        <v>0</v>
      </c>
      <c r="O13" s="115">
        <f>SUMIFS(wallet_records!$D:$D,wallet_records!$B:$B,'EEFF Anuales'!$C13,wallet_records!$L:$L,'EEFF Anuales'!O$3,wallet_records!$O:$O,'EEFF Anuales'!O$2,wallet_records!$H:$H,'EEFF Anuales'!$B13)</f>
        <v>0</v>
      </c>
      <c r="P13" s="115">
        <f>SUMIFS(wallet_records!$D:$D,wallet_records!$B:$B,'EEFF Anuales'!$C13,wallet_records!$L:$L,'EEFF Anuales'!P$3,wallet_records!$O:$O,'EEFF Anuales'!P$2,wallet_records!$H:$H,'EEFF Anuales'!$B13)</f>
        <v>0</v>
      </c>
      <c r="Q13" s="116">
        <f t="shared" si="12"/>
        <v>0</v>
      </c>
      <c r="R13" s="115">
        <f>SUMIFS(wallet_records!$D:$D,wallet_records!$B:$B,'EEFF Anuales'!$C13,wallet_records!$L:$L,'EEFF Anuales'!R$3,wallet_records!$O:$O,'EEFF Anuales'!R$2,wallet_records!$H:$H,'EEFF Anuales'!$B13)</f>
        <v>0</v>
      </c>
      <c r="S13" s="115">
        <f>SUMIFS(wallet_records!$D:$D,wallet_records!$B:$B,'EEFF Anuales'!$C13,wallet_records!$L:$L,'EEFF Anuales'!S$3,wallet_records!$O:$O,'EEFF Anuales'!S$2,wallet_records!$H:$H,'EEFF Anuales'!$B13)</f>
        <v>0</v>
      </c>
      <c r="T13" s="115">
        <f>SUMIFS(wallet_records!$D:$D,wallet_records!$B:$B,'EEFF Anuales'!$C13,wallet_records!$L:$L,'EEFF Anuales'!T$3,wallet_records!$O:$O,'EEFF Anuales'!T$2,wallet_records!$H:$H,'EEFF Anuales'!$B13)</f>
        <v>0</v>
      </c>
      <c r="U13" s="115">
        <f>SUMIFS(wallet_records!$D:$D,wallet_records!$B:$B,'EEFF Anuales'!$C13,wallet_records!$L:$L,'EEFF Anuales'!U$3,wallet_records!$O:$O,'EEFF Anuales'!U$2,wallet_records!$H:$H,'EEFF Anuales'!$B13)</f>
        <v>0</v>
      </c>
      <c r="V13" s="115">
        <f>SUMIFS(wallet_records!$D:$D,wallet_records!$B:$B,'EEFF Anuales'!$C13,wallet_records!$L:$L,'EEFF Anuales'!V$3,wallet_records!$O:$O,'EEFF Anuales'!V$2,wallet_records!$H:$H,'EEFF Anuales'!$B13)</f>
        <v>0</v>
      </c>
      <c r="W13" s="115">
        <f>SUMIFS(wallet_records!$D:$D,wallet_records!$B:$B,'EEFF Anuales'!$C13,wallet_records!$L:$L,'EEFF Anuales'!W$3,wallet_records!$O:$O,'EEFF Anuales'!W$2,wallet_records!$H:$H,'EEFF Anuales'!$B13)</f>
        <v>0</v>
      </c>
      <c r="X13" s="116">
        <f t="shared" si="13"/>
        <v>0</v>
      </c>
      <c r="Y13" s="115">
        <f>SUMIFS(wallet_records!$D:$D,wallet_records!$B:$B,'EEFF Anuales'!$C13,wallet_records!$L:$L,'EEFF Anuales'!Y$3,wallet_records!$O:$O,'EEFF Anuales'!Y$2,wallet_records!$H:$H,'EEFF Anuales'!$B13)</f>
        <v>101600</v>
      </c>
      <c r="Z13" s="115">
        <f>SUMIFS(wallet_records!$D:$D,wallet_records!$B:$B,'EEFF Anuales'!$C13,wallet_records!$L:$L,'EEFF Anuales'!Z$3,wallet_records!$O:$O,'EEFF Anuales'!Z$2,wallet_records!$H:$H,'EEFF Anuales'!$B13)</f>
        <v>73800</v>
      </c>
      <c r="AA13" s="115">
        <f>SUMIFS(wallet_records!$D:$D,wallet_records!$B:$B,'EEFF Anuales'!$C13,wallet_records!$L:$L,'EEFF Anuales'!AA$3,wallet_records!$O:$O,'EEFF Anuales'!AA$2,wallet_records!$H:$H,'EEFF Anuales'!$B13)</f>
        <v>98300</v>
      </c>
      <c r="AB13" s="115">
        <f>SUMIFS(wallet_records!$D:$D,wallet_records!$B:$B,'EEFF Anuales'!$C13,wallet_records!$L:$L,'EEFF Anuales'!AB$3,wallet_records!$O:$O,'EEFF Anuales'!AB$2,wallet_records!$H:$H,'EEFF Anuales'!$B13)</f>
        <v>0</v>
      </c>
      <c r="AC13" s="115">
        <f>SUMIFS(wallet_records!$D:$D,wallet_records!$B:$B,'EEFF Anuales'!$C13,wallet_records!$L:$L,'EEFF Anuales'!AC$3,wallet_records!$O:$O,'EEFF Anuales'!AC$2,wallet_records!$H:$H,'EEFF Anuales'!$B13)</f>
        <v>126800</v>
      </c>
      <c r="AD13" s="115">
        <f>SUMIFS(wallet_records!$D:$D,wallet_records!$B:$B,'EEFF Anuales'!$C13,wallet_records!$L:$L,'EEFF Anuales'!AD$3,wallet_records!$O:$O,'EEFF Anuales'!AD$2,wallet_records!$H:$H,'EEFF Anuales'!$B13)</f>
        <v>17510</v>
      </c>
      <c r="AE13" s="116">
        <f t="shared" si="14"/>
        <v>418010</v>
      </c>
      <c r="AF13" s="115">
        <f>SUMIFS(wallet_records!$D:$D,wallet_records!$B:$B,'EEFF Anuales'!$C13,wallet_records!$L:$L,'EEFF Anuales'!AF$3,wallet_records!$O:$O,'EEFF Anuales'!AF$2,wallet_records!$H:$H,'EEFF Anuales'!$B13)</f>
        <v>0</v>
      </c>
      <c r="AG13" s="115">
        <f>SUMIFS(wallet_records!$D:$D,wallet_records!$B:$B,'EEFF Anuales'!$C13,wallet_records!$L:$L,'EEFF Anuales'!AG$3,wallet_records!$O:$O,'EEFF Anuales'!AG$2,wallet_records!$H:$H,'EEFF Anuales'!$B13)</f>
        <v>0</v>
      </c>
      <c r="AH13" s="115">
        <f>SUMIFS(wallet_records!$D:$D,wallet_records!$B:$B,'EEFF Anuales'!$C13,wallet_records!$L:$L,'EEFF Anuales'!AH$3,wallet_records!$O:$O,'EEFF Anuales'!AH$2,wallet_records!$H:$H,'EEFF Anuales'!$B13)</f>
        <v>0</v>
      </c>
      <c r="AI13" s="115">
        <f>SUMIFS(wallet_records!$D:$D,wallet_records!$B:$B,'EEFF Anuales'!$C13,wallet_records!$L:$L,'EEFF Anuales'!AI$3,wallet_records!$O:$O,'EEFF Anuales'!AI$2,wallet_records!$H:$H,'EEFF Anuales'!$B13)</f>
        <v>0</v>
      </c>
      <c r="AJ13" s="115">
        <f>SUMIFS(wallet_records!$D:$D,wallet_records!$B:$B,'EEFF Anuales'!$C13,wallet_records!$L:$L,'EEFF Anuales'!AJ$3,wallet_records!$O:$O,'EEFF Anuales'!AJ$2,wallet_records!$H:$H,'EEFF Anuales'!$B13)</f>
        <v>0</v>
      </c>
      <c r="AK13" s="115">
        <f>SUMIFS(wallet_records!$D:$D,wallet_records!$B:$B,'EEFF Anuales'!$C13,wallet_records!$L:$L,'EEFF Anuales'!AK$3,wallet_records!$O:$O,'EEFF Anuales'!AK$2,wallet_records!$H:$H,'EEFF Anuales'!$B13)</f>
        <v>0</v>
      </c>
      <c r="AL13" s="116">
        <f t="shared" si="15"/>
        <v>0</v>
      </c>
      <c r="AM13" s="115">
        <f>SUMIFS(wallet_records!$D:$D,wallet_records!$B:$B,'EEFF Anuales'!$C13,wallet_records!$L:$L,'EEFF Anuales'!AM$3,wallet_records!$O:$O,'EEFF Anuales'!AM$2,wallet_records!$H:$H,'EEFF Anuales'!$B13)</f>
        <v>0</v>
      </c>
      <c r="AN13" s="115">
        <f>SUMIFS(wallet_records!$D:$D,wallet_records!$B:$B,'EEFF Anuales'!$C13,wallet_records!$L:$L,'EEFF Anuales'!AN$3,wallet_records!$O:$O,'EEFF Anuales'!AN$2,wallet_records!$H:$H,'EEFF Anuales'!$B13)</f>
        <v>0</v>
      </c>
      <c r="AO13" s="115">
        <f>SUMIFS(wallet_records!$D:$D,wallet_records!$B:$B,'EEFF Anuales'!$C13,wallet_records!$L:$L,'EEFF Anuales'!AO$3,wallet_records!$O:$O,'EEFF Anuales'!AO$2,wallet_records!$H:$H,'EEFF Anuales'!$B13)</f>
        <v>0</v>
      </c>
      <c r="AP13" s="115">
        <f>SUMIFS(wallet_records!$D:$D,wallet_records!$B:$B,'EEFF Anuales'!$C13,wallet_records!$L:$L,'EEFF Anuales'!AP$3,wallet_records!$O:$O,'EEFF Anuales'!AP$2,wallet_records!$H:$H,'EEFF Anuales'!$B13)</f>
        <v>0</v>
      </c>
      <c r="AQ13" s="115">
        <f>SUMIFS(wallet_records!$D:$D,wallet_records!$B:$B,'EEFF Anuales'!$C13,wallet_records!$L:$L,'EEFF Anuales'!AQ$3,wallet_records!$O:$O,'EEFF Anuales'!AQ$2,wallet_records!$H:$H,'EEFF Anuales'!$B13)</f>
        <v>0</v>
      </c>
      <c r="AR13" s="115">
        <f>SUMIFS(wallet_records!$D:$D,wallet_records!$B:$B,'EEFF Anuales'!$C13,wallet_records!$L:$L,'EEFF Anuales'!AR$3,wallet_records!$O:$O,'EEFF Anuales'!AR$2,wallet_records!$H:$H,'EEFF Anuales'!$B13)</f>
        <v>0</v>
      </c>
      <c r="AS13" s="116">
        <f t="shared" si="16"/>
        <v>0</v>
      </c>
      <c r="AU13" s="118"/>
      <c r="AV13" s="118"/>
      <c r="AW13" s="118"/>
      <c r="AX13" s="118"/>
      <c r="AY13" s="118"/>
    </row>
    <row r="14" spans="1:51" ht="16" x14ac:dyDescent="0.2">
      <c r="A14" s="107"/>
      <c r="B14" s="107" t="s">
        <v>400</v>
      </c>
      <c r="C14" s="191"/>
      <c r="D14" s="115">
        <f>SUMIFS(wallet_records!$D:$D,wallet_records!$B:$B,'EEFF Anuales'!$C14,wallet_records!$L:$L,'EEFF Anuales'!D$3,wallet_records!$O:$O,'EEFF Anuales'!D$2,wallet_records!$H:$H,'EEFF Anuales'!$B14)</f>
        <v>0</v>
      </c>
      <c r="E14" s="115">
        <f>SUMIFS(wallet_records!$D:$D,wallet_records!$B:$B,'EEFF Anuales'!$C14,wallet_records!$L:$L,'EEFF Anuales'!E$3,wallet_records!$O:$O,'EEFF Anuales'!E$2,wallet_records!$H:$H,'EEFF Anuales'!$B14)</f>
        <v>0</v>
      </c>
      <c r="F14" s="115">
        <f>SUMIFS(wallet_records!$D:$D,wallet_records!$B:$B,'EEFF Anuales'!$C14,wallet_records!$L:$L,'EEFF Anuales'!F$3,wallet_records!$O:$O,'EEFF Anuales'!F$2,wallet_records!$H:$H,'EEFF Anuales'!$B14)</f>
        <v>0</v>
      </c>
      <c r="G14" s="115">
        <f>SUMIFS(wallet_records!$D:$D,wallet_records!$B:$B,'EEFF Anuales'!$C14,wallet_records!$L:$L,'EEFF Anuales'!G$3,wallet_records!$O:$O,'EEFF Anuales'!G$2,wallet_records!$H:$H,'EEFF Anuales'!$B14)</f>
        <v>0</v>
      </c>
      <c r="H14" s="115">
        <f>SUMIFS(wallet_records!$D:$D,wallet_records!$B:$B,'EEFF Anuales'!$C14,wallet_records!$L:$L,'EEFF Anuales'!H$3,wallet_records!$O:$O,'EEFF Anuales'!H$2,wallet_records!$H:$H,'EEFF Anuales'!$B14)</f>
        <v>0</v>
      </c>
      <c r="I14" s="115">
        <f>SUMIFS(wallet_records!$D:$D,wallet_records!$B:$B,'EEFF Anuales'!$C14,wallet_records!$L:$L,'EEFF Anuales'!I$3,wallet_records!$O:$O,'EEFF Anuales'!I$2,wallet_records!$H:$H,'EEFF Anuales'!$B14)</f>
        <v>0</v>
      </c>
      <c r="J14" s="119">
        <f t="shared" si="11"/>
        <v>0</v>
      </c>
      <c r="K14" s="115">
        <f>SUMIFS(wallet_records!$D:$D,wallet_records!$B:$B,'EEFF Anuales'!$C14,wallet_records!$L:$L,'EEFF Anuales'!K$3,wallet_records!$O:$O,'EEFF Anuales'!K$2,wallet_records!$H:$H,'EEFF Anuales'!$B14)</f>
        <v>0</v>
      </c>
      <c r="L14" s="115">
        <f>SUMIFS(wallet_records!$D:$D,wallet_records!$B:$B,'EEFF Anuales'!$C14,wallet_records!$L:$L,'EEFF Anuales'!L$3,wallet_records!$O:$O,'EEFF Anuales'!L$2,wallet_records!$H:$H,'EEFF Anuales'!$B14)</f>
        <v>0</v>
      </c>
      <c r="M14" s="115">
        <f>SUMIFS(wallet_records!$D:$D,wallet_records!$B:$B,'EEFF Anuales'!$C14,wallet_records!$L:$L,'EEFF Anuales'!M$3,wallet_records!$O:$O,'EEFF Anuales'!M$2,wallet_records!$H:$H,'EEFF Anuales'!$B14)</f>
        <v>0</v>
      </c>
      <c r="N14" s="115">
        <f>SUMIFS(wallet_records!$D:$D,wallet_records!$B:$B,'EEFF Anuales'!$C14,wallet_records!$L:$L,'EEFF Anuales'!N$3,wallet_records!$O:$O,'EEFF Anuales'!N$2,wallet_records!$H:$H,'EEFF Anuales'!$B14)</f>
        <v>0</v>
      </c>
      <c r="O14" s="115">
        <f>SUMIFS(wallet_records!$D:$D,wallet_records!$B:$B,'EEFF Anuales'!$C14,wallet_records!$L:$L,'EEFF Anuales'!O$3,wallet_records!$O:$O,'EEFF Anuales'!O$2,wallet_records!$H:$H,'EEFF Anuales'!$B14)</f>
        <v>0</v>
      </c>
      <c r="P14" s="115">
        <f>SUMIFS(wallet_records!$D:$D,wallet_records!$B:$B,'EEFF Anuales'!$C14,wallet_records!$L:$L,'EEFF Anuales'!P$3,wallet_records!$O:$O,'EEFF Anuales'!P$2,wallet_records!$H:$H,'EEFF Anuales'!$B14)</f>
        <v>0</v>
      </c>
      <c r="Q14" s="119">
        <f t="shared" si="12"/>
        <v>0</v>
      </c>
      <c r="R14" s="115">
        <f>SUMIFS(wallet_records!$D:$D,wallet_records!$B:$B,'EEFF Anuales'!$C14,wallet_records!$L:$L,'EEFF Anuales'!R$3,wallet_records!$O:$O,'EEFF Anuales'!R$2,wallet_records!$H:$H,'EEFF Anuales'!$B14)</f>
        <v>0</v>
      </c>
      <c r="S14" s="115">
        <f>SUMIFS(wallet_records!$D:$D,wallet_records!$B:$B,'EEFF Anuales'!$C14,wallet_records!$L:$L,'EEFF Anuales'!S$3,wallet_records!$O:$O,'EEFF Anuales'!S$2,wallet_records!$H:$H,'EEFF Anuales'!$B14)</f>
        <v>0</v>
      </c>
      <c r="T14" s="115">
        <f>SUMIFS(wallet_records!$D:$D,wallet_records!$B:$B,'EEFF Anuales'!$C14,wallet_records!$L:$L,'EEFF Anuales'!T$3,wallet_records!$O:$O,'EEFF Anuales'!T$2,wallet_records!$H:$H,'EEFF Anuales'!$B14)</f>
        <v>0</v>
      </c>
      <c r="U14" s="115">
        <f>SUMIFS(wallet_records!$D:$D,wallet_records!$B:$B,'EEFF Anuales'!$C14,wallet_records!$L:$L,'EEFF Anuales'!U$3,wallet_records!$O:$O,'EEFF Anuales'!U$2,wallet_records!$H:$H,'EEFF Anuales'!$B14)</f>
        <v>0</v>
      </c>
      <c r="V14" s="115">
        <f>SUMIFS(wallet_records!$D:$D,wallet_records!$B:$B,'EEFF Anuales'!$C14,wallet_records!$L:$L,'EEFF Anuales'!V$3,wallet_records!$O:$O,'EEFF Anuales'!V$2,wallet_records!$H:$H,'EEFF Anuales'!$B14)</f>
        <v>0</v>
      </c>
      <c r="W14" s="115">
        <f>SUMIFS(wallet_records!$D:$D,wallet_records!$B:$B,'EEFF Anuales'!$C14,wallet_records!$L:$L,'EEFF Anuales'!W$3,wallet_records!$O:$O,'EEFF Anuales'!W$2,wallet_records!$H:$H,'EEFF Anuales'!$B14)</f>
        <v>0</v>
      </c>
      <c r="X14" s="119">
        <f t="shared" si="13"/>
        <v>0</v>
      </c>
      <c r="Y14" s="115">
        <f>SUMIFS(wallet_records!$D:$D,wallet_records!$B:$B,'EEFF Anuales'!$C14,wallet_records!$L:$L,'EEFF Anuales'!Y$3,wallet_records!$O:$O,'EEFF Anuales'!Y$2,wallet_records!$H:$H,'EEFF Anuales'!$B14)</f>
        <v>0</v>
      </c>
      <c r="Z14" s="115">
        <f>SUMIFS(wallet_records!$D:$D,wallet_records!$B:$B,'EEFF Anuales'!$C14,wallet_records!$L:$L,'EEFF Anuales'!Z$3,wallet_records!$O:$O,'EEFF Anuales'!Z$2,wallet_records!$H:$H,'EEFF Anuales'!$B14)</f>
        <v>0</v>
      </c>
      <c r="AA14" s="115">
        <f>SUMIFS(wallet_records!$D:$D,wallet_records!$B:$B,'EEFF Anuales'!$C14,wallet_records!$L:$L,'EEFF Anuales'!AA$3,wallet_records!$O:$O,'EEFF Anuales'!AA$2,wallet_records!$H:$H,'EEFF Anuales'!$B14)</f>
        <v>0</v>
      </c>
      <c r="AB14" s="115">
        <f>SUMIFS(wallet_records!$D:$D,wallet_records!$B:$B,'EEFF Anuales'!$C14,wallet_records!$L:$L,'EEFF Anuales'!AB$3,wallet_records!$O:$O,'EEFF Anuales'!AB$2,wallet_records!$H:$H,'EEFF Anuales'!$B14)</f>
        <v>0</v>
      </c>
      <c r="AC14" s="115">
        <f>SUMIFS(wallet_records!$D:$D,wallet_records!$B:$B,'EEFF Anuales'!$C14,wallet_records!$L:$L,'EEFF Anuales'!AC$3,wallet_records!$O:$O,'EEFF Anuales'!AC$2,wallet_records!$H:$H,'EEFF Anuales'!$B14)</f>
        <v>0</v>
      </c>
      <c r="AD14" s="115">
        <f>SUMIFS(wallet_records!$D:$D,wallet_records!$B:$B,'EEFF Anuales'!$C14,wallet_records!$L:$L,'EEFF Anuales'!AD$3,wallet_records!$O:$O,'EEFF Anuales'!AD$2,wallet_records!$H:$H,'EEFF Anuales'!$B14)</f>
        <v>0</v>
      </c>
      <c r="AE14" s="119">
        <f t="shared" si="14"/>
        <v>0</v>
      </c>
      <c r="AF14" s="115">
        <f>SUMIFS(wallet_records!$D:$D,wallet_records!$B:$B,'EEFF Anuales'!$C14,wallet_records!$L:$L,'EEFF Anuales'!AF$3,wallet_records!$O:$O,'EEFF Anuales'!AF$2,wallet_records!$H:$H,'EEFF Anuales'!$B14)</f>
        <v>0</v>
      </c>
      <c r="AG14" s="115">
        <f>SUMIFS(wallet_records!$D:$D,wallet_records!$B:$B,'EEFF Anuales'!$C14,wallet_records!$L:$L,'EEFF Anuales'!AG$3,wallet_records!$O:$O,'EEFF Anuales'!AG$2,wallet_records!$H:$H,'EEFF Anuales'!$B14)</f>
        <v>0</v>
      </c>
      <c r="AH14" s="115">
        <f>SUMIFS(wallet_records!$D:$D,wallet_records!$B:$B,'EEFF Anuales'!$C14,wallet_records!$L:$L,'EEFF Anuales'!AH$3,wallet_records!$O:$O,'EEFF Anuales'!AH$2,wallet_records!$H:$H,'EEFF Anuales'!$B14)</f>
        <v>0</v>
      </c>
      <c r="AI14" s="115">
        <f>SUMIFS(wallet_records!$D:$D,wallet_records!$B:$B,'EEFF Anuales'!$C14,wallet_records!$L:$L,'EEFF Anuales'!AI$3,wallet_records!$O:$O,'EEFF Anuales'!AI$2,wallet_records!$H:$H,'EEFF Anuales'!$B14)</f>
        <v>0</v>
      </c>
      <c r="AJ14" s="115">
        <f>SUMIFS(wallet_records!$D:$D,wallet_records!$B:$B,'EEFF Anuales'!$C14,wallet_records!$L:$L,'EEFF Anuales'!AJ$3,wallet_records!$O:$O,'EEFF Anuales'!AJ$2,wallet_records!$H:$H,'EEFF Anuales'!$B14)</f>
        <v>0</v>
      </c>
      <c r="AK14" s="115">
        <f>SUMIFS(wallet_records!$D:$D,wallet_records!$B:$B,'EEFF Anuales'!$C14,wallet_records!$L:$L,'EEFF Anuales'!AK$3,wallet_records!$O:$O,'EEFF Anuales'!AK$2,wallet_records!$H:$H,'EEFF Anuales'!$B14)</f>
        <v>0</v>
      </c>
      <c r="AL14" s="119">
        <f t="shared" si="15"/>
        <v>0</v>
      </c>
      <c r="AM14" s="115">
        <f>SUMIFS(wallet_records!$D:$D,wallet_records!$B:$B,'EEFF Anuales'!$C14,wallet_records!$L:$L,'EEFF Anuales'!AM$3,wallet_records!$O:$O,'EEFF Anuales'!AM$2,wallet_records!$H:$H,'EEFF Anuales'!$B14)</f>
        <v>0</v>
      </c>
      <c r="AN14" s="115">
        <f>SUMIFS(wallet_records!$D:$D,wallet_records!$B:$B,'EEFF Anuales'!$C14,wallet_records!$L:$L,'EEFF Anuales'!AN$3,wallet_records!$O:$O,'EEFF Anuales'!AN$2,wallet_records!$H:$H,'EEFF Anuales'!$B14)</f>
        <v>0</v>
      </c>
      <c r="AO14" s="115">
        <f>SUMIFS(wallet_records!$D:$D,wallet_records!$B:$B,'EEFF Anuales'!$C14,wallet_records!$L:$L,'EEFF Anuales'!AO$3,wallet_records!$O:$O,'EEFF Anuales'!AO$2,wallet_records!$H:$H,'EEFF Anuales'!$B14)</f>
        <v>0</v>
      </c>
      <c r="AP14" s="115">
        <f>SUMIFS(wallet_records!$D:$D,wallet_records!$B:$B,'EEFF Anuales'!$C14,wallet_records!$L:$L,'EEFF Anuales'!AP$3,wallet_records!$O:$O,'EEFF Anuales'!AP$2,wallet_records!$H:$H,'EEFF Anuales'!$B14)</f>
        <v>0</v>
      </c>
      <c r="AQ14" s="115">
        <f>SUMIFS(wallet_records!$D:$D,wallet_records!$B:$B,'EEFF Anuales'!$C14,wallet_records!$L:$L,'EEFF Anuales'!AQ$3,wallet_records!$O:$O,'EEFF Anuales'!AQ$2,wallet_records!$H:$H,'EEFF Anuales'!$B14)</f>
        <v>0</v>
      </c>
      <c r="AR14" s="115">
        <f>SUMIFS(wallet_records!$D:$D,wallet_records!$B:$B,'EEFF Anuales'!$C14,wallet_records!$L:$L,'EEFF Anuales'!AR$3,wallet_records!$O:$O,'EEFF Anuales'!AR$2,wallet_records!$H:$H,'EEFF Anuales'!$B14)</f>
        <v>0</v>
      </c>
      <c r="AS14" s="119">
        <f t="shared" si="16"/>
        <v>0</v>
      </c>
      <c r="AU14" s="118">
        <f t="shared" ref="AU14:AU24" si="17">J14/J$6</f>
        <v>0</v>
      </c>
      <c r="AV14" s="118">
        <f t="shared" ref="AV14:AV24" si="18">Q14/Q$6</f>
        <v>0</v>
      </c>
      <c r="AW14" s="118">
        <f t="shared" ref="AW14:AW24" si="19">X14/X$6</f>
        <v>0</v>
      </c>
      <c r="AX14" s="118">
        <f t="shared" ref="AX14:AX24" si="20">AE14/AE$6</f>
        <v>0</v>
      </c>
      <c r="AY14" s="118">
        <f t="shared" si="4"/>
        <v>0</v>
      </c>
    </row>
    <row r="15" spans="1:51" ht="16" x14ac:dyDescent="0.2">
      <c r="A15" s="107"/>
      <c r="B15" s="107" t="s">
        <v>530</v>
      </c>
      <c r="C15" s="191"/>
      <c r="D15" s="115"/>
      <c r="E15" s="115"/>
      <c r="F15" s="115"/>
      <c r="G15" s="115"/>
      <c r="H15" s="115"/>
      <c r="I15" s="115"/>
      <c r="J15" s="119"/>
      <c r="K15" s="115"/>
      <c r="L15" s="115"/>
      <c r="M15" s="115"/>
      <c r="N15" s="115"/>
      <c r="O15" s="115"/>
      <c r="P15" s="115"/>
      <c r="Q15" s="119"/>
      <c r="R15" s="115"/>
      <c r="S15" s="115"/>
      <c r="T15" s="115"/>
      <c r="U15" s="115"/>
      <c r="V15" s="115"/>
      <c r="W15" s="115"/>
      <c r="X15" s="119"/>
      <c r="Y15" s="115"/>
      <c r="Z15" s="115"/>
      <c r="AA15" s="115"/>
      <c r="AB15" s="115"/>
      <c r="AC15" s="115"/>
      <c r="AD15" s="115"/>
      <c r="AE15" s="119"/>
      <c r="AF15" s="115"/>
      <c r="AG15" s="115"/>
      <c r="AH15" s="115"/>
      <c r="AI15" s="115"/>
      <c r="AJ15" s="115"/>
      <c r="AK15" s="115"/>
      <c r="AL15" s="119"/>
      <c r="AM15" s="115"/>
      <c r="AN15" s="115"/>
      <c r="AO15" s="115"/>
      <c r="AP15" s="115"/>
      <c r="AQ15" s="115"/>
      <c r="AR15" s="115"/>
      <c r="AS15" s="119"/>
      <c r="AU15" s="111">
        <f t="shared" si="17"/>
        <v>0</v>
      </c>
      <c r="AV15" s="111">
        <f t="shared" si="18"/>
        <v>0</v>
      </c>
      <c r="AW15" s="111">
        <f t="shared" si="19"/>
        <v>0</v>
      </c>
      <c r="AX15" s="111">
        <f t="shared" si="20"/>
        <v>0</v>
      </c>
      <c r="AY15" s="111">
        <f t="shared" si="4"/>
        <v>0</v>
      </c>
    </row>
    <row r="16" spans="1:51" ht="16" x14ac:dyDescent="0.2">
      <c r="A16" s="265"/>
      <c r="B16" s="109" t="s">
        <v>401</v>
      </c>
      <c r="C16" s="193"/>
      <c r="D16" s="110">
        <f t="shared" ref="D16:I16" si="21">D8-D9-D10-D11-D12-D13-D14</f>
        <v>7368000</v>
      </c>
      <c r="E16" s="110">
        <f t="shared" si="21"/>
        <v>0</v>
      </c>
      <c r="F16" s="110">
        <f t="shared" si="21"/>
        <v>5781094</v>
      </c>
      <c r="G16" s="110">
        <f t="shared" si="21"/>
        <v>3240000</v>
      </c>
      <c r="H16" s="110">
        <f t="shared" si="21"/>
        <v>7796479</v>
      </c>
      <c r="I16" s="110">
        <f t="shared" si="21"/>
        <v>-21939591.5</v>
      </c>
      <c r="J16" s="110">
        <f>J8-J9-J10-J11-J12-J13-J14</f>
        <v>2245981.5</v>
      </c>
      <c r="K16" s="110">
        <f t="shared" ref="K16:P16" si="22">K8-K9-K10-K11-K12-K13-K14</f>
        <v>11257707</v>
      </c>
      <c r="L16" s="110">
        <f t="shared" si="22"/>
        <v>-2905777</v>
      </c>
      <c r="M16" s="110">
        <f t="shared" si="22"/>
        <v>3485123.370000001</v>
      </c>
      <c r="N16" s="110">
        <f t="shared" si="22"/>
        <v>-14879629</v>
      </c>
      <c r="O16" s="110">
        <f t="shared" si="22"/>
        <v>12583627</v>
      </c>
      <c r="P16" s="110">
        <f t="shared" si="22"/>
        <v>5091579</v>
      </c>
      <c r="Q16" s="110">
        <f>Q8-Q9-Q10-Q11-Q12-Q13-Q14</f>
        <v>14632630.370000001</v>
      </c>
      <c r="R16" s="110">
        <f t="shared" ref="R16:W16" si="23">R8-R9-R10-R11-R12-R13-R14</f>
        <v>-5535960</v>
      </c>
      <c r="S16" s="110">
        <f t="shared" si="23"/>
        <v>-31000607</v>
      </c>
      <c r="T16" s="110">
        <f t="shared" si="23"/>
        <v>9307231</v>
      </c>
      <c r="U16" s="110">
        <f t="shared" si="23"/>
        <v>4241532.01</v>
      </c>
      <c r="V16" s="110">
        <f t="shared" si="23"/>
        <v>15672356</v>
      </c>
      <c r="W16" s="110">
        <f t="shared" si="23"/>
        <v>5611615</v>
      </c>
      <c r="X16" s="110">
        <f>X8-X9-X10-X11-X12-X13-X14</f>
        <v>-1703832.9900000095</v>
      </c>
      <c r="Y16" s="110">
        <f t="shared" ref="Y16:AD16" si="24">Y8-Y9-Y10-Y11-Y12-Y13-Y14</f>
        <v>-2280962.6700000018</v>
      </c>
      <c r="Z16" s="110">
        <f t="shared" si="24"/>
        <v>28222553</v>
      </c>
      <c r="AA16" s="110">
        <f t="shared" si="24"/>
        <v>10409794</v>
      </c>
      <c r="AB16" s="110">
        <f t="shared" si="24"/>
        <v>5004805</v>
      </c>
      <c r="AC16" s="110">
        <f t="shared" si="24"/>
        <v>14742149</v>
      </c>
      <c r="AD16" s="110">
        <f t="shared" si="24"/>
        <v>6437870</v>
      </c>
      <c r="AE16" s="110">
        <f>AE8-AE9-AE10-AE11-AE12-AE13-AE14</f>
        <v>62536208.329999998</v>
      </c>
      <c r="AF16" s="110">
        <f t="shared" ref="AF16:AK16" si="25">AF8-AF9-AF10-AF11-AF12-AF13-AF14</f>
        <v>59875</v>
      </c>
      <c r="AG16" s="110">
        <f t="shared" si="25"/>
        <v>1861260</v>
      </c>
      <c r="AH16" s="110">
        <f t="shared" si="25"/>
        <v>213539</v>
      </c>
      <c r="AI16" s="110">
        <f t="shared" si="25"/>
        <v>135344</v>
      </c>
      <c r="AJ16" s="110">
        <f t="shared" si="25"/>
        <v>-144657</v>
      </c>
      <c r="AK16" s="110">
        <f t="shared" si="25"/>
        <v>881000</v>
      </c>
      <c r="AL16" s="110">
        <f>AL8-AL9-AL10-AL11-AL12-AL13-AL14</f>
        <v>3006361</v>
      </c>
      <c r="AM16" s="110">
        <f t="shared" ref="AM16:AR16" si="26">AM8-AM9-AM10-AM11-AM12-AM13-AM14</f>
        <v>0</v>
      </c>
      <c r="AN16" s="110">
        <f t="shared" si="26"/>
        <v>0</v>
      </c>
      <c r="AO16" s="110">
        <f t="shared" si="26"/>
        <v>0</v>
      </c>
      <c r="AP16" s="110">
        <f t="shared" si="26"/>
        <v>0</v>
      </c>
      <c r="AQ16" s="110">
        <f t="shared" si="26"/>
        <v>0</v>
      </c>
      <c r="AR16" s="110">
        <f t="shared" si="26"/>
        <v>0</v>
      </c>
      <c r="AS16" s="110">
        <f>AS8-AS9-AS10-AS11-AS12-AS13-AS14</f>
        <v>0</v>
      </c>
      <c r="AU16" s="118">
        <f t="shared" si="17"/>
        <v>7.0750716648291065E-2</v>
      </c>
      <c r="AV16" s="118">
        <f t="shared" si="18"/>
        <v>0.26319100616939767</v>
      </c>
      <c r="AW16" s="118">
        <f t="shared" si="19"/>
        <v>-1.9782338004621085E-2</v>
      </c>
      <c r="AX16" s="118">
        <f t="shared" si="20"/>
        <v>0.57049000427045049</v>
      </c>
      <c r="AY16" s="118">
        <f t="shared" si="4"/>
        <v>0.18873270471837883</v>
      </c>
    </row>
    <row r="17" spans="1:51" ht="16" x14ac:dyDescent="0.2">
      <c r="A17" s="235"/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5">
        <f>SUMIFS(wallet_records!$D:$D,wallet_records!$B:$B,'EEFF Anuales'!$C17,wallet_records!$O:$O,'EEFF Anuales'!J$2,wallet_records!$H:$H,'EEFF Anuales'!$B17,wallet_records!$F:$F,"Ingreso")</f>
        <v>0</v>
      </c>
      <c r="K17" s="115"/>
      <c r="L17" s="115"/>
      <c r="M17" s="115"/>
      <c r="N17" s="121"/>
      <c r="O17" s="121"/>
      <c r="P17" s="121"/>
      <c r="Q17" s="115">
        <f>SUMIFS(wallet_records!$D:$D,wallet_records!$B:$B,'EEFF Anuales'!$C17,wallet_records!$O:$O,'EEFF Anuales'!Q$2,wallet_records!$H:$H,'EEFF Anuales'!$B17,wallet_records!$F:$F,"Ingreso")</f>
        <v>44757163.079999998</v>
      </c>
      <c r="R17" s="115"/>
      <c r="S17" s="115"/>
      <c r="T17" s="115"/>
      <c r="U17" s="121"/>
      <c r="V17" s="121"/>
      <c r="W17" s="121"/>
      <c r="X17" s="115">
        <f>SUMIFS(wallet_records!$D:$D,wallet_records!$B:$B,'EEFF Anuales'!$C17,wallet_records!$O:$O,'EEFF Anuales'!X$2,wallet_records!$H:$H,'EEFF Anuales'!$B17,wallet_records!$F:$F,"Ingreso")</f>
        <v>51662346.379999995</v>
      </c>
      <c r="Y17" s="115"/>
      <c r="Z17" s="115"/>
      <c r="AA17" s="115"/>
      <c r="AB17" s="121"/>
      <c r="AC17" s="121"/>
      <c r="AD17" s="121"/>
      <c r="AE17" s="115">
        <f>SUMIFS(wallet_records!$D:$D,wallet_records!$B:$B,'EEFF Anuales'!$C17,wallet_records!$O:$O,'EEFF Anuales'!AE$2,wallet_records!$H:$H,'EEFF Anuales'!$B17,wallet_records!$F:$F,"Ingreso")</f>
        <v>0</v>
      </c>
      <c r="AF17" s="115"/>
      <c r="AG17" s="115"/>
      <c r="AH17" s="115"/>
      <c r="AI17" s="121"/>
      <c r="AJ17" s="121"/>
      <c r="AK17" s="121"/>
      <c r="AL17" s="115">
        <f>SUMIFS(wallet_records!$D:$D,wallet_records!$B:$B,'EEFF Anuales'!$C17,wallet_records!$O:$O,'EEFF Anuales'!AL$2,wallet_records!$H:$H,'EEFF Anuales'!$B17,wallet_records!$F:$F,"Ingreso")</f>
        <v>0</v>
      </c>
      <c r="AM17" s="115"/>
      <c r="AN17" s="115"/>
      <c r="AO17" s="115"/>
      <c r="AP17" s="121"/>
      <c r="AQ17" s="121"/>
      <c r="AR17" s="121"/>
      <c r="AS17" s="115">
        <f>SUMIFS(wallet_records!$D:$D,wallet_records!$B:$B,'EEFF Anuales'!$C17,wallet_records!$O:$O,'EEFF Anuales'!AS$2,wallet_records!$H:$H,'EEFF Anuales'!$B17,wallet_records!$F:$F,"Ingreso")</f>
        <v>0</v>
      </c>
      <c r="AU17" s="118">
        <f t="shared" si="17"/>
        <v>0</v>
      </c>
      <c r="AV17" s="118">
        <f t="shared" si="18"/>
        <v>0.80502838426533807</v>
      </c>
      <c r="AW17" s="118">
        <f t="shared" si="19"/>
        <v>0.59982522007686134</v>
      </c>
      <c r="AX17" s="118">
        <f t="shared" si="20"/>
        <v>0</v>
      </c>
      <c r="AY17" s="118">
        <f t="shared" si="4"/>
        <v>0</v>
      </c>
    </row>
    <row r="18" spans="1:51" ht="16" x14ac:dyDescent="0.2">
      <c r="A18" s="235"/>
      <c r="B18" s="235" t="s">
        <v>522</v>
      </c>
      <c r="C18" s="191" t="s">
        <v>136</v>
      </c>
      <c r="D18" s="121"/>
      <c r="E18" s="121"/>
      <c r="F18" s="121"/>
      <c r="G18" s="121"/>
      <c r="H18" s="121"/>
      <c r="J18" s="115">
        <f>SUMIFS(wallet_records!$D:$D,wallet_records!$B:$B,'EEFF Anuales'!$C18,wallet_records!$O:$O,'EEFF Anuales'!J$2,wallet_records!$H:$H,'EEFF Anuales'!$B18,wallet_records!$F:$F,"Ingreso")</f>
        <v>24233572.349999998</v>
      </c>
      <c r="K18" s="187"/>
      <c r="L18" s="187"/>
      <c r="M18" s="187"/>
      <c r="N18" s="188"/>
      <c r="O18" s="188"/>
      <c r="P18" s="188"/>
      <c r="Q18" s="115">
        <f>SUMIFS(wallet_records!$D:$D,wallet_records!$B:$B,'EEFF Anuales'!$C18,wallet_records!$O:$O,'EEFF Anuales'!Q$2,wallet_records!$H:$H,'EEFF Anuales'!$B18,wallet_records!$F:$F,"Ingreso")</f>
        <v>25388762.400000006</v>
      </c>
      <c r="R18" s="187"/>
      <c r="S18" s="187"/>
      <c r="T18" s="187"/>
      <c r="U18" s="188"/>
      <c r="V18" s="188"/>
      <c r="W18" s="188"/>
      <c r="X18" s="115">
        <f>SUMIFS(wallet_records!$D:$D,wallet_records!$B:$B,'EEFF Anuales'!$C18,wallet_records!$O:$O,'EEFF Anuales'!X$2,wallet_records!$H:$H,'EEFF Anuales'!$B18,wallet_records!$F:$F,"Ingreso")</f>
        <v>51528992.219999999</v>
      </c>
      <c r="Y18" s="187"/>
      <c r="Z18" s="187"/>
      <c r="AA18" s="187"/>
      <c r="AB18" s="188"/>
      <c r="AC18" s="188"/>
      <c r="AD18" s="188"/>
      <c r="AE18" s="115">
        <f>SUMIFS(wallet_records!$D:$D,wallet_records!$B:$B,'EEFF Anuales'!$C18,wallet_records!$O:$O,'EEFF Anuales'!AE$2,wallet_records!$H:$H,'EEFF Anuales'!$B18,wallet_records!$F:$F,"Ingreso")</f>
        <v>54486488.209999986</v>
      </c>
      <c r="AF18" s="187"/>
      <c r="AG18" s="187"/>
      <c r="AH18" s="187"/>
      <c r="AI18" s="188"/>
      <c r="AJ18" s="188"/>
      <c r="AK18" s="188"/>
      <c r="AL18" s="115">
        <f>SUMIFS(wallet_records!$D:$D,wallet_records!$B:$B,'EEFF Anuales'!$C18,wallet_records!$O:$O,'EEFF Anuales'!AL$2,wallet_records!$H:$H,'EEFF Anuales'!$B18,wallet_records!$F:$F,"Ingreso")</f>
        <v>0</v>
      </c>
      <c r="AM18" s="187"/>
      <c r="AN18" s="187"/>
      <c r="AO18" s="187"/>
      <c r="AP18" s="188"/>
      <c r="AQ18" s="188"/>
      <c r="AR18" s="188"/>
      <c r="AS18" s="115">
        <f>SUMIFS(wallet_records!$D:$D,wallet_records!$B:$B,'EEFF Anuales'!$C18,wallet_records!$O:$O,'EEFF Anuales'!AS$2,wallet_records!$H:$H,'EEFF Anuales'!$B18,wallet_records!$F:$F,"Ingreso")</f>
        <v>0</v>
      </c>
      <c r="AU18" s="118">
        <f t="shared" si="17"/>
        <v>0.76338233895101582</v>
      </c>
      <c r="AV18" s="118">
        <f t="shared" si="18"/>
        <v>0.45665705703545167</v>
      </c>
      <c r="AW18" s="118">
        <f t="shared" si="19"/>
        <v>0.59827691277037931</v>
      </c>
      <c r="AX18" s="118">
        <f t="shared" si="20"/>
        <v>0.49705598918911531</v>
      </c>
      <c r="AY18" s="118">
        <f t="shared" si="4"/>
        <v>0</v>
      </c>
    </row>
    <row r="19" spans="1:51" ht="16" x14ac:dyDescent="0.2">
      <c r="B19" s="252" t="s">
        <v>535</v>
      </c>
      <c r="C19" s="191" t="s">
        <v>144</v>
      </c>
      <c r="D19" s="121"/>
      <c r="E19" s="121"/>
      <c r="F19" s="121"/>
      <c r="G19" s="121"/>
      <c r="H19" s="121"/>
      <c r="J19" s="115">
        <f>SUMIFS(wallet_records!$D:$D,wallet_records!$B:$B,'EEFF Anuales'!$C19,wallet_records!$O:$O,'EEFF Anuales'!J$2,wallet_records!$H:$H,'EEFF Anuales'!$B19)</f>
        <v>0</v>
      </c>
      <c r="K19" s="115"/>
      <c r="L19" s="115"/>
      <c r="M19" s="115"/>
      <c r="N19" s="116"/>
      <c r="O19" s="116"/>
      <c r="P19" s="116"/>
      <c r="Q19" s="115">
        <f>SUMIFS(wallet_records!$D:$D,wallet_records!$B:$B,'EEFF Anuales'!$C19,wallet_records!$O:$O,'EEFF Anuales'!Q$2,wallet_records!$H:$H,'EEFF Anuales'!$B19)</f>
        <v>0</v>
      </c>
      <c r="R19" s="115"/>
      <c r="S19" s="115"/>
      <c r="T19" s="115"/>
      <c r="U19" s="116"/>
      <c r="V19" s="116"/>
      <c r="W19" s="116"/>
      <c r="X19" s="115">
        <f>SUMIFS(wallet_records!$D:$D,wallet_records!$B:$B,'EEFF Anuales'!$C19,wallet_records!$O:$O,'EEFF Anuales'!X$2,wallet_records!$H:$H,'EEFF Anuales'!$B19)</f>
        <v>0</v>
      </c>
      <c r="Y19" s="115"/>
      <c r="Z19" s="115"/>
      <c r="AA19" s="115"/>
      <c r="AB19" s="116"/>
      <c r="AC19" s="116"/>
      <c r="AD19" s="116"/>
      <c r="AE19" s="115">
        <f>SUMIFS(wallet_records!$D:$D,wallet_records!$B:$B,'EEFF Anuales'!$C19,wallet_records!$O:$O,'EEFF Anuales'!AE$2,wallet_records!$H:$H,'EEFF Anuales'!$B19)</f>
        <v>0</v>
      </c>
      <c r="AF19" s="115"/>
      <c r="AG19" s="115"/>
      <c r="AH19" s="115"/>
      <c r="AI19" s="116"/>
      <c r="AJ19" s="116"/>
      <c r="AK19" s="116"/>
      <c r="AL19" s="115">
        <f>SUMIFS(wallet_records!$D:$D,wallet_records!$B:$B,'EEFF Anuales'!$C19,wallet_records!$O:$O,'EEFF Anuales'!AL$2,wallet_records!$H:$H,'EEFF Anuales'!$B19)</f>
        <v>4206000</v>
      </c>
      <c r="AM19" s="115"/>
      <c r="AN19" s="115"/>
      <c r="AO19" s="115"/>
      <c r="AP19" s="116"/>
      <c r="AQ19" s="116"/>
      <c r="AR19" s="116"/>
      <c r="AS19" s="115">
        <f>SUMIFS(wallet_records!$D:$D,wallet_records!$B:$B,'EEFF Anuales'!$C19,wallet_records!$O:$O,'EEFF Anuales'!AS$2,wallet_records!$H:$H,'EEFF Anuales'!$B19)</f>
        <v>0</v>
      </c>
      <c r="AT19" t="s">
        <v>511</v>
      </c>
      <c r="AU19" s="118">
        <f t="shared" si="17"/>
        <v>0</v>
      </c>
      <c r="AV19" s="118">
        <f t="shared" si="18"/>
        <v>0</v>
      </c>
      <c r="AW19" s="118">
        <f t="shared" si="19"/>
        <v>0</v>
      </c>
      <c r="AX19" s="118">
        <f t="shared" si="20"/>
        <v>0</v>
      </c>
      <c r="AY19" s="118">
        <f t="shared" si="4"/>
        <v>0.26404339200964266</v>
      </c>
    </row>
    <row r="20" spans="1:51" x14ac:dyDescent="0.2">
      <c r="A20" s="107"/>
      <c r="B20" s="107" t="s">
        <v>145</v>
      </c>
      <c r="C20" s="191" t="s">
        <v>144</v>
      </c>
      <c r="D20" s="116"/>
      <c r="E20" s="116"/>
      <c r="F20" s="116"/>
      <c r="G20" s="116"/>
      <c r="H20" s="116"/>
      <c r="J20" s="115">
        <f>SUMIFS(wallet_records!$D:$D,wallet_records!$B:$B,'EEFF Anuales'!$C20,wallet_records!$O:$O,'EEFF Anuales'!J$2,wallet_records!$H:$H,'EEFF Anuales'!$B20)</f>
        <v>2565000</v>
      </c>
      <c r="K20" s="115"/>
      <c r="L20" s="115"/>
      <c r="M20" s="115"/>
      <c r="N20" s="116"/>
      <c r="O20" s="116"/>
      <c r="P20" s="116"/>
      <c r="Q20" s="115">
        <f>SUMIFS(wallet_records!$D:$D,wallet_records!$B:$B,'EEFF Anuales'!$C20,wallet_records!$O:$O,'EEFF Anuales'!Q$2,wallet_records!$H:$H,'EEFF Anuales'!$B20)</f>
        <v>3636600</v>
      </c>
      <c r="R20" s="115"/>
      <c r="S20" s="115"/>
      <c r="T20" s="115"/>
      <c r="U20" s="116"/>
      <c r="V20" s="116"/>
      <c r="W20" s="116"/>
      <c r="X20" s="115">
        <f>SUMIFS(wallet_records!$D:$D,wallet_records!$B:$B,'EEFF Anuales'!$C20,wallet_records!$O:$O,'EEFF Anuales'!X$2,wallet_records!$H:$H,'EEFF Anuales'!$B20)</f>
        <v>4441400</v>
      </c>
      <c r="Y20" s="115"/>
      <c r="Z20" s="115"/>
      <c r="AA20" s="115"/>
      <c r="AB20" s="116"/>
      <c r="AC20" s="116"/>
      <c r="AD20" s="116"/>
      <c r="AE20" s="115">
        <f>SUMIFS(wallet_records!$D:$D,wallet_records!$B:$B,'EEFF Anuales'!$C20,wallet_records!$O:$O,'EEFF Anuales'!AE$2,wallet_records!$H:$H,'EEFF Anuales'!$B20)</f>
        <v>3047200</v>
      </c>
      <c r="AF20" s="115"/>
      <c r="AG20" s="115"/>
      <c r="AH20" s="115"/>
      <c r="AI20" s="116"/>
      <c r="AJ20" s="116"/>
      <c r="AK20" s="116"/>
      <c r="AL20" s="115">
        <f>SUMIFS(wallet_records!$D:$D,wallet_records!$B:$B,'EEFF Anuales'!$C20,wallet_records!$O:$O,'EEFF Anuales'!AL$2,wallet_records!$H:$H,'EEFF Anuales'!$B20)</f>
        <v>1547500</v>
      </c>
      <c r="AM20" s="115"/>
      <c r="AN20" s="115"/>
      <c r="AO20" s="115"/>
      <c r="AP20" s="116"/>
      <c r="AQ20" s="116"/>
      <c r="AR20" s="116"/>
      <c r="AS20" s="115">
        <f>SUMIFS(wallet_records!$D:$D,wallet_records!$B:$B,'EEFF Anuales'!$C20,wallet_records!$O:$O,'EEFF Anuales'!AS$2,wallet_records!$H:$H,'EEFF Anuales'!$B20)</f>
        <v>0</v>
      </c>
      <c r="AU20" s="118">
        <f t="shared" si="17"/>
        <v>8.0800126004095127E-2</v>
      </c>
      <c r="AV20" s="118">
        <f t="shared" si="18"/>
        <v>6.5410004136913863E-2</v>
      </c>
      <c r="AW20" s="118">
        <f t="shared" si="19"/>
        <v>5.1566835792822396E-2</v>
      </c>
      <c r="AX20" s="118">
        <f t="shared" si="20"/>
        <v>2.7798249804968894E-2</v>
      </c>
      <c r="AY20" s="118">
        <f t="shared" si="4"/>
        <v>9.7148632699696161E-2</v>
      </c>
    </row>
    <row r="21" spans="1:51" x14ac:dyDescent="0.2">
      <c r="A21" s="10"/>
      <c r="B21" s="235" t="s">
        <v>132</v>
      </c>
      <c r="C21" s="191" t="s">
        <v>131</v>
      </c>
      <c r="D21" s="116"/>
      <c r="E21" s="116"/>
      <c r="F21" s="116"/>
      <c r="G21" s="116"/>
      <c r="H21" s="116"/>
      <c r="J21" s="115">
        <f>SUMIFS(wallet_records!$D:$D,wallet_records!$B:$B,'EEFF Anuales'!$C21,wallet_records!$O:$O,'EEFF Anuales'!J$2,wallet_records!$H:$H,'EEFF Anuales'!$B21)</f>
        <v>0</v>
      </c>
      <c r="K21" s="115"/>
      <c r="L21" s="115"/>
      <c r="M21" s="115"/>
      <c r="N21" s="116"/>
      <c r="O21" s="116"/>
      <c r="P21" s="116"/>
      <c r="Q21" s="115">
        <f>SUMIFS(wallet_records!$D:$D,wallet_records!$B:$B,'EEFF Anuales'!$C21,wallet_records!$O:$O,'EEFF Anuales'!Q$2,wallet_records!$H:$H,'EEFF Anuales'!$B21)</f>
        <v>0</v>
      </c>
      <c r="R21" s="115"/>
      <c r="S21" s="115"/>
      <c r="T21" s="115"/>
      <c r="U21" s="116"/>
      <c r="V21" s="116"/>
      <c r="W21" s="116"/>
      <c r="X21" s="115">
        <f>SUMIFS(wallet_records!$D:$D,wallet_records!$B:$B,'EEFF Anuales'!$C21,wallet_records!$O:$O,'EEFF Anuales'!X$2,wallet_records!$H:$H,'EEFF Anuales'!$B21)</f>
        <v>600300</v>
      </c>
      <c r="Y21" s="115"/>
      <c r="Z21" s="115"/>
      <c r="AA21" s="115"/>
      <c r="AB21" s="116"/>
      <c r="AC21" s="116"/>
      <c r="AD21" s="116"/>
      <c r="AE21" s="115">
        <f>SUMIFS(wallet_records!$D:$D,wallet_records!$B:$B,'EEFF Anuales'!$C21,wallet_records!$O:$O,'EEFF Anuales'!AE$2,wallet_records!$H:$H,'EEFF Anuales'!$B21)</f>
        <v>2233723</v>
      </c>
      <c r="AF21" s="115"/>
      <c r="AG21" s="115"/>
      <c r="AH21" s="115"/>
      <c r="AI21" s="116"/>
      <c r="AJ21" s="116"/>
      <c r="AK21" s="116"/>
      <c r="AL21" s="115">
        <f>SUMIFS(wallet_records!$D:$D,wallet_records!$B:$B,'EEFF Anuales'!$C21,wallet_records!$O:$O,'EEFF Anuales'!AL$2,wallet_records!$H:$H,'EEFF Anuales'!$B21)</f>
        <v>0</v>
      </c>
      <c r="AM21" s="115"/>
      <c r="AN21" s="115"/>
      <c r="AO21" s="115"/>
      <c r="AP21" s="116"/>
      <c r="AQ21" s="116"/>
      <c r="AR21" s="116"/>
      <c r="AS21" s="115">
        <f>SUMIFS(wallet_records!$D:$D,wallet_records!$B:$B,'EEFF Anuales'!$C21,wallet_records!$O:$O,'EEFF Anuales'!AS$2,wallet_records!$H:$H,'EEFF Anuales'!$B21)</f>
        <v>0</v>
      </c>
      <c r="AU21" s="118">
        <f t="shared" si="17"/>
        <v>0</v>
      </c>
      <c r="AV21" s="118">
        <f t="shared" si="18"/>
        <v>0</v>
      </c>
      <c r="AW21" s="118">
        <f t="shared" si="19"/>
        <v>6.9697778913025811E-3</v>
      </c>
      <c r="AX21" s="118">
        <f t="shared" si="20"/>
        <v>2.0377261075447801E-2</v>
      </c>
      <c r="AY21" s="118">
        <f t="shared" si="4"/>
        <v>0</v>
      </c>
    </row>
    <row r="22" spans="1:51" x14ac:dyDescent="0.2">
      <c r="A22" s="10"/>
      <c r="B22" s="235" t="s">
        <v>222</v>
      </c>
      <c r="C22" s="191" t="s">
        <v>131</v>
      </c>
      <c r="D22" s="116"/>
      <c r="E22" s="116"/>
      <c r="F22" s="116"/>
      <c r="G22" s="116"/>
      <c r="H22" s="116"/>
      <c r="J22" s="115">
        <f>SUMIFS(wallet_records!$D:$D,wallet_records!$B:$B,'EEFF Anuales'!$C22,wallet_records!$O:$O,'EEFF Anuales'!J$2,wallet_records!$H:$H,'EEFF Anuales'!$B22)</f>
        <v>0</v>
      </c>
      <c r="K22" s="115"/>
      <c r="L22" s="115"/>
      <c r="M22" s="115"/>
      <c r="N22" s="116"/>
      <c r="O22" s="116"/>
      <c r="P22" s="116"/>
      <c r="Q22" s="115">
        <f>SUMIFS(wallet_records!$D:$D,wallet_records!$B:$B,'EEFF Anuales'!$C22,wallet_records!$O:$O,'EEFF Anuales'!Q$2,wallet_records!$H:$H,'EEFF Anuales'!$B22)</f>
        <v>0</v>
      </c>
      <c r="R22" s="115"/>
      <c r="S22" s="115"/>
      <c r="T22" s="115"/>
      <c r="U22" s="116"/>
      <c r="V22" s="116"/>
      <c r="W22" s="116"/>
      <c r="X22" s="115">
        <f>SUMIFS(wallet_records!$D:$D,wallet_records!$B:$B,'EEFF Anuales'!$C22,wallet_records!$O:$O,'EEFF Anuales'!X$2,wallet_records!$H:$H,'EEFF Anuales'!$B22)</f>
        <v>1995218</v>
      </c>
      <c r="Y22" s="115"/>
      <c r="Z22" s="115"/>
      <c r="AA22" s="115"/>
      <c r="AB22" s="116"/>
      <c r="AC22" s="116"/>
      <c r="AD22" s="116"/>
      <c r="AE22" s="115">
        <f>SUMIFS(wallet_records!$D:$D,wallet_records!$B:$B,'EEFF Anuales'!$C22,wallet_records!$O:$O,'EEFF Anuales'!AE$2,wallet_records!$H:$H,'EEFF Anuales'!$B22)</f>
        <v>2200000</v>
      </c>
      <c r="AF22" s="115"/>
      <c r="AG22" s="115"/>
      <c r="AH22" s="115"/>
      <c r="AI22" s="116"/>
      <c r="AJ22" s="116"/>
      <c r="AK22" s="116"/>
      <c r="AL22" s="115">
        <f>SUMIFS(wallet_records!$D:$D,wallet_records!$B:$B,'EEFF Anuales'!$C22,wallet_records!$O:$O,'EEFF Anuales'!AL$2,wallet_records!$H:$H,'EEFF Anuales'!$B22)</f>
        <v>2194118</v>
      </c>
      <c r="AM22" s="115"/>
      <c r="AN22" s="115"/>
      <c r="AO22" s="115"/>
      <c r="AP22" s="116"/>
      <c r="AQ22" s="116"/>
      <c r="AR22" s="116"/>
      <c r="AS22" s="115">
        <f>SUMIFS(wallet_records!$D:$D,wallet_records!$B:$B,'EEFF Anuales'!$C22,wallet_records!$O:$O,'EEFF Anuales'!AS$2,wallet_records!$H:$H,'EEFF Anuales'!$B22)</f>
        <v>0</v>
      </c>
      <c r="AU22" s="118">
        <f t="shared" si="17"/>
        <v>0</v>
      </c>
      <c r="AV22" s="118">
        <f t="shared" si="18"/>
        <v>0</v>
      </c>
      <c r="AW22" s="118">
        <f t="shared" si="19"/>
        <v>2.3165461110659591E-2</v>
      </c>
      <c r="AX22" s="118">
        <f t="shared" si="20"/>
        <v>2.0069621150870166E-2</v>
      </c>
      <c r="AY22" s="118">
        <f t="shared" si="4"/>
        <v>0.13774188283152952</v>
      </c>
    </row>
    <row r="23" spans="1:51" x14ac:dyDescent="0.2">
      <c r="A23" s="10"/>
      <c r="B23" s="235" t="s">
        <v>87</v>
      </c>
      <c r="C23" s="191" t="s">
        <v>114</v>
      </c>
      <c r="D23" s="116"/>
      <c r="E23" s="116"/>
      <c r="F23" s="116"/>
      <c r="G23" s="116"/>
      <c r="H23" s="116"/>
      <c r="J23" s="115">
        <f>SUMIFS(wallet_records!$D:$D,wallet_records!$B:$B,'EEFF Anuales'!$C23,wallet_records!$O:$O,'EEFF Anuales'!J$2,wallet_records!$H:$H,'EEFF Anuales'!$B23)</f>
        <v>0</v>
      </c>
      <c r="K23" s="115"/>
      <c r="L23" s="115"/>
      <c r="M23" s="115"/>
      <c r="N23" s="116"/>
      <c r="O23" s="116"/>
      <c r="P23" s="116"/>
      <c r="Q23" s="115">
        <f>SUMIFS(wallet_records!$D:$D,wallet_records!$B:$B,'EEFF Anuales'!$C23,wallet_records!$O:$O,'EEFF Anuales'!Q$2,wallet_records!$H:$H,'EEFF Anuales'!$B23)</f>
        <v>0</v>
      </c>
      <c r="R23" s="115"/>
      <c r="S23" s="115"/>
      <c r="T23" s="115"/>
      <c r="U23" s="116"/>
      <c r="V23" s="116"/>
      <c r="W23" s="116"/>
      <c r="X23" s="115">
        <f>SUMIFS(wallet_records!$D:$D,wallet_records!$B:$B,'EEFF Anuales'!$C23,wallet_records!$O:$O,'EEFF Anuales'!X$2,wallet_records!$H:$H,'EEFF Anuales'!$B23)</f>
        <v>292000</v>
      </c>
      <c r="Y23" s="115"/>
      <c r="Z23" s="115"/>
      <c r="AA23" s="115"/>
      <c r="AB23" s="116"/>
      <c r="AC23" s="116"/>
      <c r="AD23" s="116"/>
      <c r="AE23" s="115">
        <f>SUMIFS(wallet_records!$D:$D,wallet_records!$B:$B,'EEFF Anuales'!$C23,wallet_records!$O:$O,'EEFF Anuales'!AE$2,wallet_records!$H:$H,'EEFF Anuales'!$B23)</f>
        <v>324523</v>
      </c>
      <c r="AF23" s="115"/>
      <c r="AG23" s="115"/>
      <c r="AH23" s="115"/>
      <c r="AI23" s="116"/>
      <c r="AJ23" s="116"/>
      <c r="AK23" s="116"/>
      <c r="AL23" s="115">
        <f>SUMIFS(wallet_records!$D:$D,wallet_records!$B:$B,'EEFF Anuales'!$C23,wallet_records!$O:$O,'EEFF Anuales'!AL$2,wallet_records!$H:$H,'EEFF Anuales'!$B23)</f>
        <v>0</v>
      </c>
      <c r="AM23" s="115"/>
      <c r="AN23" s="115"/>
      <c r="AO23" s="115"/>
      <c r="AP23" s="116"/>
      <c r="AQ23" s="116"/>
      <c r="AR23" s="116"/>
      <c r="AS23" s="115">
        <f>SUMIFS(wallet_records!$D:$D,wallet_records!$B:$B,'EEFF Anuales'!$C23,wallet_records!$O:$O,'EEFF Anuales'!AS$2,wallet_records!$H:$H,'EEFF Anuales'!$B23)</f>
        <v>0</v>
      </c>
      <c r="AU23" s="118">
        <f t="shared" si="17"/>
        <v>0</v>
      </c>
      <c r="AV23" s="118">
        <f t="shared" si="18"/>
        <v>0</v>
      </c>
      <c r="AW23" s="118">
        <f t="shared" si="19"/>
        <v>3.3902634420462331E-3</v>
      </c>
      <c r="AX23" s="118">
        <f t="shared" si="20"/>
        <v>2.9604789385199266E-3</v>
      </c>
      <c r="AY23" s="118">
        <f t="shared" si="4"/>
        <v>0</v>
      </c>
    </row>
    <row r="24" spans="1:51" x14ac:dyDescent="0.2">
      <c r="A24" s="10"/>
      <c r="B24" s="235" t="s">
        <v>88</v>
      </c>
      <c r="C24" s="191" t="s">
        <v>131</v>
      </c>
      <c r="D24" s="116"/>
      <c r="E24" s="116"/>
      <c r="F24" s="116"/>
      <c r="G24" s="116"/>
      <c r="H24" s="116"/>
      <c r="J24" s="115">
        <f>SUMIFS(wallet_records!$D:$D,wallet_records!$B:$B,'EEFF Anuales'!$C24,wallet_records!$O:$O,'EEFF Anuales'!J$2,wallet_records!$H:$H,'EEFF Anuales'!$B24)</f>
        <v>0</v>
      </c>
      <c r="K24" s="115"/>
      <c r="L24" s="115"/>
      <c r="M24" s="115"/>
      <c r="N24" s="116"/>
      <c r="O24" s="116"/>
      <c r="P24" s="116"/>
      <c r="Q24" s="115">
        <f>SUMIFS(wallet_records!$D:$D,wallet_records!$B:$B,'EEFF Anuales'!$C24,wallet_records!$O:$O,'EEFF Anuales'!Q$2,wallet_records!$H:$H,'EEFF Anuales'!$B24)</f>
        <v>0</v>
      </c>
      <c r="R24" s="115"/>
      <c r="S24" s="115"/>
      <c r="T24" s="115"/>
      <c r="U24" s="116"/>
      <c r="V24" s="116"/>
      <c r="W24" s="116"/>
      <c r="X24" s="115">
        <f>SUMIFS(wallet_records!$D:$D,wallet_records!$B:$B,'EEFF Anuales'!$C24,wallet_records!$O:$O,'EEFF Anuales'!X$2,wallet_records!$H:$H,'EEFF Anuales'!$B24)</f>
        <v>399300</v>
      </c>
      <c r="Y24" s="115"/>
      <c r="Z24" s="115"/>
      <c r="AA24" s="115"/>
      <c r="AB24" s="116"/>
      <c r="AC24" s="116"/>
      <c r="AD24" s="116"/>
      <c r="AE24" s="115">
        <f>SUMIFS(wallet_records!$D:$D,wallet_records!$B:$B,'EEFF Anuales'!$C24,wallet_records!$O:$O,'EEFF Anuales'!AE$2,wallet_records!$H:$H,'EEFF Anuales'!$B24)</f>
        <v>268200</v>
      </c>
      <c r="AF24" s="115"/>
      <c r="AG24" s="115"/>
      <c r="AH24" s="115"/>
      <c r="AI24" s="116"/>
      <c r="AJ24" s="116"/>
      <c r="AK24" s="116"/>
      <c r="AL24" s="115">
        <f>SUMIFS(wallet_records!$D:$D,wallet_records!$B:$B,'EEFF Anuales'!$C24,wallet_records!$O:$O,'EEFF Anuales'!AL$2,wallet_records!$H:$H,'EEFF Anuales'!$B24)</f>
        <v>0</v>
      </c>
      <c r="AM24" s="115"/>
      <c r="AN24" s="115"/>
      <c r="AO24" s="115"/>
      <c r="AP24" s="116"/>
      <c r="AQ24" s="116"/>
      <c r="AR24" s="116"/>
      <c r="AS24" s="115">
        <f>SUMIFS(wallet_records!$D:$D,wallet_records!$B:$B,'EEFF Anuales'!$C24,wallet_records!$O:$O,'EEFF Anuales'!AS$2,wallet_records!$H:$H,'EEFF Anuales'!$B24)</f>
        <v>0</v>
      </c>
      <c r="AU24" s="118">
        <f t="shared" si="17"/>
        <v>0</v>
      </c>
      <c r="AV24" s="118">
        <f t="shared" si="18"/>
        <v>0</v>
      </c>
      <c r="AW24" s="118">
        <f t="shared" si="19"/>
        <v>4.6360691520858244E-3</v>
      </c>
      <c r="AX24" s="118">
        <f t="shared" si="20"/>
        <v>2.4466692693924448E-3</v>
      </c>
      <c r="AY24" s="118">
        <f>AL24/AL$6</f>
        <v>0</v>
      </c>
    </row>
    <row r="25" spans="1:51" x14ac:dyDescent="0.2">
      <c r="A25" s="10"/>
      <c r="B25" s="235" t="s">
        <v>99</v>
      </c>
      <c r="C25" s="191" t="s">
        <v>154</v>
      </c>
      <c r="D25" s="116"/>
      <c r="E25" s="116"/>
      <c r="F25" s="116"/>
      <c r="G25" s="116"/>
      <c r="H25" s="116"/>
      <c r="J25" s="115">
        <f>SUMIFS(wallet_records!$D:$D,wallet_records!$B:$B,'EEFF Anuales'!$C25,wallet_records!$O:$O,'EEFF Anuales'!J$2,wallet_records!$H:$H,'EEFF Anuales'!$B25)</f>
        <v>0</v>
      </c>
      <c r="K25" s="115"/>
      <c r="L25" s="115"/>
      <c r="M25" s="115"/>
      <c r="N25" s="116"/>
      <c r="O25" s="116"/>
      <c r="P25" s="116"/>
      <c r="Q25" s="115">
        <f>SUMIFS(wallet_records!$D:$D,wallet_records!$B:$B,'EEFF Anuales'!$C25,wallet_records!$O:$O,'EEFF Anuales'!Q$2,wallet_records!$H:$H,'EEFF Anuales'!$B25)</f>
        <v>53600</v>
      </c>
      <c r="R25" s="115"/>
      <c r="S25" s="115"/>
      <c r="T25" s="115"/>
      <c r="U25" s="116"/>
      <c r="V25" s="116"/>
      <c r="W25" s="116"/>
      <c r="X25" s="115">
        <f>SUMIFS(wallet_records!$D:$D,wallet_records!$B:$B,'EEFF Anuales'!$C25,wallet_records!$O:$O,'EEFF Anuales'!X$2,wallet_records!$H:$H,'EEFF Anuales'!$B25)</f>
        <v>56280</v>
      </c>
      <c r="Y25" s="115"/>
      <c r="Z25" s="115"/>
      <c r="AA25" s="115"/>
      <c r="AB25" s="116"/>
      <c r="AC25" s="116"/>
      <c r="AD25" s="116"/>
      <c r="AE25" s="115">
        <f>SUMIFS(wallet_records!$D:$D,wallet_records!$B:$B,'EEFF Anuales'!$C25,wallet_records!$O:$O,'EEFF Anuales'!AE$2,wallet_records!$H:$H,'EEFF Anuales'!$B25)</f>
        <v>59208</v>
      </c>
      <c r="AF25" s="115"/>
      <c r="AG25" s="115"/>
      <c r="AH25" s="115"/>
      <c r="AI25" s="116"/>
      <c r="AJ25" s="116"/>
      <c r="AK25" s="116"/>
      <c r="AL25" s="115">
        <f>SUMIFS(wallet_records!$D:$D,wallet_records!$B:$B,'EEFF Anuales'!$C25,wallet_records!$O:$O,'EEFF Anuales'!AL$2,wallet_records!$H:$H,'EEFF Anuales'!$B25)</f>
        <v>0</v>
      </c>
      <c r="AM25" s="115"/>
      <c r="AN25" s="115"/>
      <c r="AO25" s="115"/>
      <c r="AP25" s="116"/>
      <c r="AQ25" s="116"/>
      <c r="AR25" s="116"/>
      <c r="AS25" s="115">
        <f>SUMIFS(wallet_records!$D:$D,wallet_records!$B:$B,'EEFF Anuales'!$C25,wallet_records!$O:$O,'EEFF Anuales'!AS$2,wallet_records!$H:$H,'EEFF Anuales'!$B25)</f>
        <v>0</v>
      </c>
      <c r="AU25" s="118">
        <f t="shared" ref="AU25:AU38" si="27">J25/J$6</f>
        <v>0</v>
      </c>
      <c r="AV25" s="118">
        <f t="shared" ref="AV25:AV38" si="28">Q25/Q$6</f>
        <v>9.6408079572638807E-4</v>
      </c>
      <c r="AW25" s="118">
        <f t="shared" ref="AW25:AW38" si="29">X25/X$6</f>
        <v>6.5343844698069172E-4</v>
      </c>
      <c r="AX25" s="118">
        <f t="shared" ref="AX25:AX38" si="30">AE25/AE$6</f>
        <v>5.4012824050032762E-4</v>
      </c>
      <c r="AY25" s="118">
        <f>AL25/AL$6</f>
        <v>0</v>
      </c>
    </row>
    <row r="26" spans="1:51" x14ac:dyDescent="0.2">
      <c r="A26" s="10"/>
      <c r="B26" s="235" t="s">
        <v>509</v>
      </c>
      <c r="C26" s="191" t="s">
        <v>114</v>
      </c>
      <c r="D26" s="116"/>
      <c r="E26" s="116"/>
      <c r="F26" s="116"/>
      <c r="G26" s="116"/>
      <c r="H26" s="116"/>
      <c r="J26" s="115">
        <f>SUMIFS(wallet_records!$D:$D,wallet_records!$B:$B,'EEFF Anuales'!$C26,wallet_records!$O:$O,'EEFF Anuales'!J$2,wallet_records!$H:$H,'EEFF Anuales'!$B26)</f>
        <v>0</v>
      </c>
      <c r="K26" s="115"/>
      <c r="L26" s="115"/>
      <c r="M26" s="115"/>
      <c r="N26" s="116"/>
      <c r="O26" s="116"/>
      <c r="P26" s="116"/>
      <c r="Q26" s="115">
        <f>SUMIFS(wallet_records!$D:$D,wallet_records!$B:$B,'EEFF Anuales'!$C26,wallet_records!$O:$O,'EEFF Anuales'!Q$2,wallet_records!$H:$H,'EEFF Anuales'!$B26)</f>
        <v>0</v>
      </c>
      <c r="R26" s="115"/>
      <c r="S26" s="115"/>
      <c r="T26" s="115"/>
      <c r="U26" s="116"/>
      <c r="V26" s="116"/>
      <c r="W26" s="116"/>
      <c r="X26" s="115">
        <f>SUMIFS(wallet_records!$D:$D,wallet_records!$B:$B,'EEFF Anuales'!$C26,wallet_records!$O:$O,'EEFF Anuales'!X$2,wallet_records!$H:$H,'EEFF Anuales'!$B26)</f>
        <v>0</v>
      </c>
      <c r="Y26" s="115"/>
      <c r="Z26" s="115"/>
      <c r="AA26" s="115"/>
      <c r="AB26" s="116"/>
      <c r="AC26" s="116"/>
      <c r="AD26" s="116"/>
      <c r="AE26" s="115">
        <f>SUMIFS(wallet_records!$D:$D,wallet_records!$B:$B,'EEFF Anuales'!$C26,wallet_records!$O:$O,'EEFF Anuales'!AE$2,wallet_records!$H:$H,'EEFF Anuales'!$B26)</f>
        <v>1090000</v>
      </c>
      <c r="AF26" s="115"/>
      <c r="AG26" s="115"/>
      <c r="AH26" s="115"/>
      <c r="AI26" s="116"/>
      <c r="AJ26" s="116"/>
      <c r="AK26" s="116"/>
      <c r="AL26" s="115">
        <f>SUMIFS(wallet_records!$D:$D,wallet_records!$B:$B,'EEFF Anuales'!$C26,wallet_records!$O:$O,'EEFF Anuales'!AL$2,wallet_records!$H:$H,'EEFF Anuales'!$B26)</f>
        <v>423900</v>
      </c>
      <c r="AM26" s="115"/>
      <c r="AN26" s="115"/>
      <c r="AO26" s="115"/>
      <c r="AP26" s="116"/>
      <c r="AQ26" s="116"/>
      <c r="AR26" s="116"/>
      <c r="AS26" s="115">
        <f>SUMIFS(wallet_records!$D:$D,wallet_records!$B:$B,'EEFF Anuales'!$C26,wallet_records!$O:$O,'EEFF Anuales'!AS$2,wallet_records!$H:$H,'EEFF Anuales'!$B26)</f>
        <v>0</v>
      </c>
      <c r="AU26" s="118">
        <f t="shared" si="27"/>
        <v>0</v>
      </c>
      <c r="AV26" s="118">
        <f t="shared" si="28"/>
        <v>0</v>
      </c>
      <c r="AW26" s="118">
        <f t="shared" si="29"/>
        <v>0</v>
      </c>
      <c r="AX26" s="118">
        <f t="shared" si="30"/>
        <v>9.9435850247493098E-3</v>
      </c>
      <c r="AY26" s="118">
        <f t="shared" ref="AY26:AY38" si="31">AL26/AL$6</f>
        <v>2.6611505913667982E-2</v>
      </c>
    </row>
    <row r="27" spans="1:51" x14ac:dyDescent="0.2">
      <c r="A27" s="10"/>
      <c r="B27" s="235" t="s">
        <v>93</v>
      </c>
      <c r="C27" s="191" t="s">
        <v>131</v>
      </c>
      <c r="D27" s="116"/>
      <c r="E27" s="116"/>
      <c r="F27" s="116"/>
      <c r="G27" s="116"/>
      <c r="H27" s="116"/>
      <c r="J27" s="115">
        <f>SUMIFS(wallet_records!$D:$D,wallet_records!$B:$B,'EEFF Anuales'!$C27,wallet_records!$O:$O,'EEFF Anuales'!J$2,wallet_records!$H:$H,'EEFF Anuales'!$B27)</f>
        <v>0</v>
      </c>
      <c r="K27" s="115"/>
      <c r="L27" s="115"/>
      <c r="M27" s="115"/>
      <c r="N27" s="116"/>
      <c r="O27" s="116"/>
      <c r="P27" s="116"/>
      <c r="Q27" s="115">
        <f>SUMIFS(wallet_records!$D:$D,wallet_records!$B:$B,'EEFF Anuales'!$C27,wallet_records!$O:$O,'EEFF Anuales'!Q$2,wallet_records!$H:$H,'EEFF Anuales'!$B27)</f>
        <v>2551010</v>
      </c>
      <c r="R27" s="115"/>
      <c r="S27" s="115"/>
      <c r="T27" s="115"/>
      <c r="U27" s="116"/>
      <c r="V27" s="116"/>
      <c r="W27" s="116"/>
      <c r="X27" s="115">
        <f>SUMIFS(wallet_records!$D:$D,wallet_records!$B:$B,'EEFF Anuales'!$C27,wallet_records!$O:$O,'EEFF Anuales'!X$2,wallet_records!$H:$H,'EEFF Anuales'!$B27)</f>
        <v>2739425</v>
      </c>
      <c r="Y27" s="115"/>
      <c r="Z27" s="115"/>
      <c r="AA27" s="115"/>
      <c r="AB27" s="116"/>
      <c r="AC27" s="116"/>
      <c r="AD27" s="116"/>
      <c r="AE27" s="115">
        <f>SUMIFS(wallet_records!$D:$D,wallet_records!$B:$B,'EEFF Anuales'!$C27,wallet_records!$O:$O,'EEFF Anuales'!AE$2,wallet_records!$H:$H,'EEFF Anuales'!$B27)</f>
        <v>2843190</v>
      </c>
      <c r="AF27" s="115"/>
      <c r="AG27" s="115"/>
      <c r="AH27" s="115"/>
      <c r="AI27" s="116"/>
      <c r="AJ27" s="116"/>
      <c r="AK27" s="116"/>
      <c r="AL27" s="115">
        <f>SUMIFS(wallet_records!$D:$D,wallet_records!$B:$B,'EEFF Anuales'!$C27,wallet_records!$O:$O,'EEFF Anuales'!AL$2,wallet_records!$H:$H,'EEFF Anuales'!$B27)</f>
        <v>0</v>
      </c>
      <c r="AM27" s="115"/>
      <c r="AN27" s="115"/>
      <c r="AO27" s="115"/>
      <c r="AP27" s="116"/>
      <c r="AQ27" s="116"/>
      <c r="AR27" s="116"/>
      <c r="AS27" s="115">
        <f>SUMIFS(wallet_records!$D:$D,wallet_records!$B:$B,'EEFF Anuales'!$C27,wallet_records!$O:$O,'EEFF Anuales'!AS$2,wallet_records!$H:$H,'EEFF Anuales'!$B27)</f>
        <v>0</v>
      </c>
      <c r="AU27" s="118">
        <f t="shared" si="27"/>
        <v>0</v>
      </c>
      <c r="AV27" s="118">
        <f t="shared" si="28"/>
        <v>4.5883950572872638E-2</v>
      </c>
      <c r="AW27" s="118">
        <f t="shared" si="29"/>
        <v>3.1806069964820209E-2</v>
      </c>
      <c r="AX27" s="118">
        <f t="shared" si="30"/>
        <v>2.5937157345428431E-2</v>
      </c>
      <c r="AY27" s="118">
        <f t="shared" si="31"/>
        <v>0</v>
      </c>
    </row>
    <row r="28" spans="1:51" x14ac:dyDescent="0.2">
      <c r="A28" s="10"/>
      <c r="B28" s="235" t="s">
        <v>225</v>
      </c>
      <c r="C28" s="191" t="s">
        <v>131</v>
      </c>
      <c r="D28" s="116"/>
      <c r="E28" s="116"/>
      <c r="F28" s="116"/>
      <c r="G28" s="116"/>
      <c r="H28" s="116"/>
      <c r="J28" s="115">
        <f>SUMIFS(wallet_records!$D:$D,wallet_records!$B:$B,'EEFF Anuales'!$C28,wallet_records!$O:$O,'EEFF Anuales'!J$2,wallet_records!$H:$H,'EEFF Anuales'!$B28)</f>
        <v>0</v>
      </c>
      <c r="K28" s="115"/>
      <c r="L28" s="115"/>
      <c r="M28" s="115"/>
      <c r="N28" s="116"/>
      <c r="O28" s="116"/>
      <c r="P28" s="116"/>
      <c r="Q28" s="115">
        <f>SUMIFS(wallet_records!$D:$D,wallet_records!$B:$B,'EEFF Anuales'!$C28,wallet_records!$O:$O,'EEFF Anuales'!Q$2,wallet_records!$H:$H,'EEFF Anuales'!$B28)</f>
        <v>624000</v>
      </c>
      <c r="R28" s="115"/>
      <c r="S28" s="115"/>
      <c r="T28" s="115"/>
      <c r="U28" s="116"/>
      <c r="V28" s="116"/>
      <c r="W28" s="116"/>
      <c r="X28" s="115">
        <f>SUMIFS(wallet_records!$D:$D,wallet_records!$B:$B,'EEFF Anuales'!$C28,wallet_records!$O:$O,'EEFF Anuales'!X$2,wallet_records!$H:$H,'EEFF Anuales'!$B28)</f>
        <v>738600</v>
      </c>
      <c r="Y28" s="115"/>
      <c r="Z28" s="115"/>
      <c r="AA28" s="115"/>
      <c r="AB28" s="116"/>
      <c r="AC28" s="116"/>
      <c r="AD28" s="116"/>
      <c r="AE28" s="115">
        <f>SUMIFS(wallet_records!$D:$D,wallet_records!$B:$B,'EEFF Anuales'!$C28,wallet_records!$O:$O,'EEFF Anuales'!AE$2,wallet_records!$H:$H,'EEFF Anuales'!$B28)</f>
        <v>674700</v>
      </c>
      <c r="AF28" s="115"/>
      <c r="AG28" s="115"/>
      <c r="AH28" s="115"/>
      <c r="AI28" s="116"/>
      <c r="AJ28" s="116"/>
      <c r="AK28" s="116"/>
      <c r="AL28" s="115">
        <f>SUMIFS(wallet_records!$D:$D,wallet_records!$B:$B,'EEFF Anuales'!$C28,wallet_records!$O:$O,'EEFF Anuales'!AL$2,wallet_records!$H:$H,'EEFF Anuales'!$B28)</f>
        <v>677400</v>
      </c>
      <c r="AM28" s="115"/>
      <c r="AN28" s="115"/>
      <c r="AO28" s="115"/>
      <c r="AP28" s="116"/>
      <c r="AQ28" s="116"/>
      <c r="AR28" s="116"/>
      <c r="AS28" s="115">
        <f>SUMIFS(wallet_records!$D:$D,wallet_records!$B:$B,'EEFF Anuales'!$C28,wallet_records!$O:$O,'EEFF Anuales'!AS$2,wallet_records!$H:$H,'EEFF Anuales'!$B28)</f>
        <v>0</v>
      </c>
      <c r="AU28" s="118">
        <f t="shared" si="27"/>
        <v>0</v>
      </c>
      <c r="AV28" s="118">
        <f t="shared" si="28"/>
        <v>1.1223627174128101E-2</v>
      </c>
      <c r="AW28" s="118">
        <f t="shared" si="29"/>
        <v>8.5755088297785886E-3</v>
      </c>
      <c r="AX28" s="118">
        <f t="shared" si="30"/>
        <v>6.154987904769137E-3</v>
      </c>
      <c r="AY28" s="118">
        <f t="shared" si="31"/>
        <v>4.2525676116816916E-2</v>
      </c>
    </row>
    <row r="29" spans="1:51" x14ac:dyDescent="0.2">
      <c r="A29" s="10"/>
      <c r="B29" s="235" t="s">
        <v>92</v>
      </c>
      <c r="C29" s="191" t="s">
        <v>114</v>
      </c>
      <c r="D29" s="116"/>
      <c r="E29" s="116"/>
      <c r="F29" s="116"/>
      <c r="G29" s="116"/>
      <c r="H29" s="116"/>
      <c r="J29" s="115">
        <f>SUMIFS(wallet_records!$D:$D,wallet_records!$B:$B,'EEFF Anuales'!$C29,wallet_records!$O:$O,'EEFF Anuales'!J$2,wallet_records!$H:$H,'EEFF Anuales'!$B29)</f>
        <v>0</v>
      </c>
      <c r="K29" s="115"/>
      <c r="L29" s="115"/>
      <c r="M29" s="115"/>
      <c r="N29" s="116"/>
      <c r="O29" s="116"/>
      <c r="P29" s="116"/>
      <c r="Q29" s="115">
        <f>SUMIFS(wallet_records!$D:$D,wallet_records!$B:$B,'EEFF Anuales'!$C29,wallet_records!$O:$O,'EEFF Anuales'!Q$2,wallet_records!$H:$H,'EEFF Anuales'!$B29)</f>
        <v>0</v>
      </c>
      <c r="R29" s="115"/>
      <c r="S29" s="115"/>
      <c r="T29" s="115"/>
      <c r="U29" s="116"/>
      <c r="V29" s="116"/>
      <c r="W29" s="116"/>
      <c r="X29" s="115">
        <f>SUMIFS(wallet_records!$D:$D,wallet_records!$B:$B,'EEFF Anuales'!$C29,wallet_records!$O:$O,'EEFF Anuales'!X$2,wallet_records!$H:$H,'EEFF Anuales'!$B29)</f>
        <v>204150</v>
      </c>
      <c r="Y29" s="115"/>
      <c r="Z29" s="115"/>
      <c r="AA29" s="115"/>
      <c r="AB29" s="116"/>
      <c r="AC29" s="116"/>
      <c r="AD29" s="116"/>
      <c r="AE29" s="115">
        <f>SUMIFS(wallet_records!$D:$D,wallet_records!$B:$B,'EEFF Anuales'!$C29,wallet_records!$O:$O,'EEFF Anuales'!AE$2,wallet_records!$H:$H,'EEFF Anuales'!$B29)</f>
        <v>298492.71999999997</v>
      </c>
      <c r="AF29" s="115"/>
      <c r="AG29" s="115"/>
      <c r="AH29" s="115"/>
      <c r="AI29" s="116"/>
      <c r="AJ29" s="116"/>
      <c r="AK29" s="116"/>
      <c r="AL29" s="115">
        <f>SUMIFS(wallet_records!$D:$D,wallet_records!$B:$B,'EEFF Anuales'!$C29,wallet_records!$O:$O,'EEFF Anuales'!AL$2,wallet_records!$H:$H,'EEFF Anuales'!$B29)</f>
        <v>364600</v>
      </c>
      <c r="AM29" s="115"/>
      <c r="AN29" s="115"/>
      <c r="AO29" s="115"/>
      <c r="AP29" s="116"/>
      <c r="AQ29" s="116"/>
      <c r="AR29" s="116"/>
      <c r="AS29" s="115">
        <f>SUMIFS(wallet_records!$D:$D,wallet_records!$B:$B,'EEFF Anuales'!$C29,wallet_records!$O:$O,'EEFF Anuales'!AS$2,wallet_records!$H:$H,'EEFF Anuales'!$B29)</f>
        <v>0</v>
      </c>
      <c r="AU29" s="118">
        <f t="shared" si="27"/>
        <v>0</v>
      </c>
      <c r="AV29" s="118">
        <f t="shared" si="28"/>
        <v>0</v>
      </c>
      <c r="AW29" s="118">
        <f t="shared" si="29"/>
        <v>2.3702817866223919E-3</v>
      </c>
      <c r="AX29" s="118">
        <f t="shared" si="30"/>
        <v>2.7230162757694389E-3</v>
      </c>
      <c r="AY29" s="118">
        <f t="shared" si="31"/>
        <v>2.2888782864173968E-2</v>
      </c>
    </row>
    <row r="30" spans="1:51" x14ac:dyDescent="0.2">
      <c r="A30" s="10"/>
      <c r="B30" s="235" t="s">
        <v>97</v>
      </c>
      <c r="C30" s="191" t="s">
        <v>154</v>
      </c>
      <c r="D30" s="116"/>
      <c r="E30" s="116"/>
      <c r="F30" s="116"/>
      <c r="G30" s="116"/>
      <c r="H30" s="116"/>
      <c r="J30" s="115">
        <f>SUMIFS(wallet_records!$D:$D,wallet_records!$B:$B,'EEFF Anuales'!$C30,wallet_records!$O:$O,'EEFF Anuales'!J$2,wallet_records!$H:$H,'EEFF Anuales'!$B30)</f>
        <v>0</v>
      </c>
      <c r="K30" s="115"/>
      <c r="L30" s="115"/>
      <c r="M30" s="115"/>
      <c r="N30" s="116"/>
      <c r="O30" s="116"/>
      <c r="P30" s="116"/>
      <c r="Q30" s="115">
        <f>SUMIFS(wallet_records!$D:$D,wallet_records!$B:$B,'EEFF Anuales'!$C30,wallet_records!$O:$O,'EEFF Anuales'!Q$2,wallet_records!$H:$H,'EEFF Anuales'!$B30)</f>
        <v>39000</v>
      </c>
      <c r="R30" s="115"/>
      <c r="S30" s="115"/>
      <c r="T30" s="115"/>
      <c r="U30" s="116"/>
      <c r="V30" s="116"/>
      <c r="W30" s="116"/>
      <c r="X30" s="115">
        <f>SUMIFS(wallet_records!$D:$D,wallet_records!$B:$B,'EEFF Anuales'!$C30,wallet_records!$O:$O,'EEFF Anuales'!X$2,wallet_records!$H:$H,'EEFF Anuales'!$B30)</f>
        <v>43300</v>
      </c>
      <c r="Y30" s="115"/>
      <c r="Z30" s="115"/>
      <c r="AA30" s="115"/>
      <c r="AB30" s="116"/>
      <c r="AC30" s="116"/>
      <c r="AD30" s="116"/>
      <c r="AE30" s="115">
        <f>SUMIFS(wallet_records!$D:$D,wallet_records!$B:$B,'EEFF Anuales'!$C30,wallet_records!$O:$O,'EEFF Anuales'!AE$2,wallet_records!$H:$H,'EEFF Anuales'!$B30)</f>
        <v>40800</v>
      </c>
      <c r="AF30" s="115"/>
      <c r="AG30" s="115"/>
      <c r="AH30" s="115"/>
      <c r="AI30" s="116"/>
      <c r="AJ30" s="116"/>
      <c r="AK30" s="116"/>
      <c r="AL30" s="115">
        <f>SUMIFS(wallet_records!$D:$D,wallet_records!$B:$B,'EEFF Anuales'!$C30,wallet_records!$O:$O,'EEFF Anuales'!AL$2,wallet_records!$H:$H,'EEFF Anuales'!$B30)</f>
        <v>42900</v>
      </c>
      <c r="AM30" s="115"/>
      <c r="AN30" s="115"/>
      <c r="AO30" s="115"/>
      <c r="AP30" s="116"/>
      <c r="AQ30" s="116"/>
      <c r="AR30" s="116"/>
      <c r="AS30" s="115">
        <f>SUMIFS(wallet_records!$D:$D,wallet_records!$B:$B,'EEFF Anuales'!$C30,wallet_records!$O:$O,'EEFF Anuales'!AS$2,wallet_records!$H:$H,'EEFF Anuales'!$B30)</f>
        <v>0</v>
      </c>
      <c r="AU30" s="118">
        <f t="shared" si="27"/>
        <v>0</v>
      </c>
      <c r="AV30" s="118">
        <f t="shared" si="28"/>
        <v>7.014766983830063E-4</v>
      </c>
      <c r="AW30" s="118">
        <f t="shared" si="29"/>
        <v>5.027342706869928E-4</v>
      </c>
      <c r="AX30" s="118">
        <f t="shared" si="30"/>
        <v>3.7220024679795582E-4</v>
      </c>
      <c r="AY30" s="118">
        <f t="shared" si="31"/>
        <v>2.6931672651482812E-3</v>
      </c>
    </row>
    <row r="31" spans="1:51" x14ac:dyDescent="0.2">
      <c r="A31" s="10"/>
      <c r="B31" s="235" t="s">
        <v>98</v>
      </c>
      <c r="C31" s="191" t="s">
        <v>154</v>
      </c>
      <c r="D31" s="116"/>
      <c r="E31" s="116"/>
      <c r="F31" s="116"/>
      <c r="G31" s="116"/>
      <c r="H31" s="116"/>
      <c r="J31" s="115">
        <f>SUMIFS(wallet_records!$D:$D,wallet_records!$B:$B,'EEFF Anuales'!$C31,wallet_records!$O:$O,'EEFF Anuales'!J$2,wallet_records!$H:$H,'EEFF Anuales'!$B31)</f>
        <v>0</v>
      </c>
      <c r="K31" s="115"/>
      <c r="L31" s="115"/>
      <c r="M31" s="115"/>
      <c r="N31" s="116"/>
      <c r="O31" s="116"/>
      <c r="P31" s="116"/>
      <c r="Q31" s="115">
        <f>SUMIFS(wallet_records!$D:$D,wallet_records!$B:$B,'EEFF Anuales'!$C31,wallet_records!$O:$O,'EEFF Anuales'!Q$2,wallet_records!$H:$H,'EEFF Anuales'!$B31)</f>
        <v>196050</v>
      </c>
      <c r="R31" s="115"/>
      <c r="S31" s="115"/>
      <c r="T31" s="115"/>
      <c r="U31" s="116"/>
      <c r="V31" s="116"/>
      <c r="W31" s="116"/>
      <c r="X31" s="115">
        <f>SUMIFS(wallet_records!$D:$D,wallet_records!$B:$B,'EEFF Anuales'!$C31,wallet_records!$O:$O,'EEFF Anuales'!X$2,wallet_records!$H:$H,'EEFF Anuales'!$B31)</f>
        <v>0</v>
      </c>
      <c r="Y31" s="115"/>
      <c r="Z31" s="115"/>
      <c r="AA31" s="115"/>
      <c r="AB31" s="116"/>
      <c r="AC31" s="116"/>
      <c r="AD31" s="116"/>
      <c r="AE31" s="115">
        <f>SUMIFS(wallet_records!$D:$D,wallet_records!$B:$B,'EEFF Anuales'!$C31,wallet_records!$O:$O,'EEFF Anuales'!AE$2,wallet_records!$H:$H,'EEFF Anuales'!$B31)</f>
        <v>216000</v>
      </c>
      <c r="AF31" s="115"/>
      <c r="AG31" s="115"/>
      <c r="AH31" s="115"/>
      <c r="AI31" s="116"/>
      <c r="AJ31" s="116"/>
      <c r="AK31" s="116"/>
      <c r="AL31" s="115">
        <f>SUMIFS(wallet_records!$D:$D,wallet_records!$B:$B,'EEFF Anuales'!$C31,wallet_records!$O:$O,'EEFF Anuales'!AL$2,wallet_records!$H:$H,'EEFF Anuales'!$B31)</f>
        <v>227100</v>
      </c>
      <c r="AM31" s="115"/>
      <c r="AN31" s="115"/>
      <c r="AO31" s="115"/>
      <c r="AP31" s="116"/>
      <c r="AQ31" s="116"/>
      <c r="AR31" s="116"/>
      <c r="AS31" s="115">
        <f>SUMIFS(wallet_records!$D:$D,wallet_records!$B:$B,'EEFF Anuales'!$C31,wallet_records!$O:$O,'EEFF Anuales'!AS$2,wallet_records!$H:$H,'EEFF Anuales'!$B31)</f>
        <v>0</v>
      </c>
      <c r="AU31" s="118">
        <f t="shared" si="27"/>
        <v>0</v>
      </c>
      <c r="AV31" s="118">
        <f t="shared" si="28"/>
        <v>3.526269403025343E-3</v>
      </c>
      <c r="AW31" s="118">
        <f t="shared" si="29"/>
        <v>0</v>
      </c>
      <c r="AX31" s="118">
        <f t="shared" si="30"/>
        <v>1.9704718948127071E-3</v>
      </c>
      <c r="AY31" s="118">
        <f t="shared" si="31"/>
        <v>1.4256836501519222E-2</v>
      </c>
    </row>
    <row r="32" spans="1:51" x14ac:dyDescent="0.2">
      <c r="A32" s="10"/>
      <c r="B32" s="235" t="s">
        <v>287</v>
      </c>
      <c r="C32" s="191" t="s">
        <v>114</v>
      </c>
      <c r="D32" s="116"/>
      <c r="E32" s="116"/>
      <c r="F32" s="116"/>
      <c r="G32" s="116"/>
      <c r="H32" s="116"/>
      <c r="J32" s="115">
        <f>SUMIFS(wallet_records!$D:$D,wallet_records!$B:$B,'EEFF Anuales'!$C32,wallet_records!$O:$O,'EEFF Anuales'!J$2,wallet_records!$H:$H,'EEFF Anuales'!$B32)</f>
        <v>0</v>
      </c>
      <c r="K32" s="115"/>
      <c r="L32" s="115"/>
      <c r="M32" s="115"/>
      <c r="N32" s="116"/>
      <c r="O32" s="116"/>
      <c r="P32" s="116"/>
      <c r="Q32" s="115">
        <f>SUMIFS(wallet_records!$D:$D,wallet_records!$B:$B,'EEFF Anuales'!$C32,wallet_records!$O:$O,'EEFF Anuales'!Q$2,wallet_records!$H:$H,'EEFF Anuales'!$B32)</f>
        <v>0</v>
      </c>
      <c r="R32" s="115"/>
      <c r="S32" s="115"/>
      <c r="T32" s="115"/>
      <c r="U32" s="116"/>
      <c r="V32" s="116"/>
      <c r="W32" s="116"/>
      <c r="X32" s="115">
        <f>SUMIFS(wallet_records!$D:$D,wallet_records!$B:$B,'EEFF Anuales'!$C32,wallet_records!$O:$O,'EEFF Anuales'!X$2,wallet_records!$H:$H,'EEFF Anuales'!$B32)</f>
        <v>314500</v>
      </c>
      <c r="Y32" s="115"/>
      <c r="Z32" s="115"/>
      <c r="AA32" s="115"/>
      <c r="AB32" s="116"/>
      <c r="AC32" s="116"/>
      <c r="AD32" s="116"/>
      <c r="AE32" s="115">
        <f>SUMIFS(wallet_records!$D:$D,wallet_records!$B:$B,'EEFF Anuales'!$C32,wallet_records!$O:$O,'EEFF Anuales'!AE$2,wallet_records!$H:$H,'EEFF Anuales'!$B32)</f>
        <v>0</v>
      </c>
      <c r="AF32" s="115"/>
      <c r="AG32" s="115"/>
      <c r="AH32" s="115"/>
      <c r="AI32" s="116"/>
      <c r="AJ32" s="116"/>
      <c r="AK32" s="116"/>
      <c r="AL32" s="115">
        <f>SUMIFS(wallet_records!$D:$D,wallet_records!$B:$B,'EEFF Anuales'!$C32,wallet_records!$O:$O,'EEFF Anuales'!AL$2,wallet_records!$H:$H,'EEFF Anuales'!$B32)</f>
        <v>0</v>
      </c>
      <c r="AM32" s="115"/>
      <c r="AN32" s="115"/>
      <c r="AO32" s="115"/>
      <c r="AP32" s="116"/>
      <c r="AQ32" s="116"/>
      <c r="AR32" s="116"/>
      <c r="AS32" s="115">
        <f>SUMIFS(wallet_records!$D:$D,wallet_records!$B:$B,'EEFF Anuales'!$C32,wallet_records!$O:$O,'EEFF Anuales'!AS$2,wallet_records!$H:$H,'EEFF Anuales'!$B32)</f>
        <v>0</v>
      </c>
      <c r="AU32" s="118">
        <f t="shared" si="27"/>
        <v>0</v>
      </c>
      <c r="AV32" s="118">
        <f t="shared" si="28"/>
        <v>0</v>
      </c>
      <c r="AW32" s="118">
        <f t="shared" si="29"/>
        <v>3.6514994949436311E-3</v>
      </c>
      <c r="AX32" s="118">
        <f t="shared" si="30"/>
        <v>0</v>
      </c>
      <c r="AY32" s="118">
        <f t="shared" si="31"/>
        <v>0</v>
      </c>
    </row>
    <row r="33" spans="1:51" x14ac:dyDescent="0.2">
      <c r="A33" s="10"/>
      <c r="B33" s="235" t="s">
        <v>173</v>
      </c>
      <c r="C33" s="191" t="s">
        <v>172</v>
      </c>
      <c r="D33" s="116"/>
      <c r="E33" s="116"/>
      <c r="F33" s="116"/>
      <c r="G33" s="116"/>
      <c r="H33" s="116"/>
      <c r="J33" s="115">
        <f>SUMIFS(wallet_records!$D:$D,wallet_records!$B:$B,'EEFF Anuales'!$C33,wallet_records!$O:$O,'EEFF Anuales'!J$2,wallet_records!$H:$H,'EEFF Anuales'!$B33)</f>
        <v>0</v>
      </c>
      <c r="K33" s="115"/>
      <c r="L33" s="115"/>
      <c r="M33" s="115"/>
      <c r="N33" s="116"/>
      <c r="O33" s="116"/>
      <c r="P33" s="116"/>
      <c r="Q33" s="115">
        <f>SUMIFS(wallet_records!$D:$D,wallet_records!$B:$B,'EEFF Anuales'!$C33,wallet_records!$O:$O,'EEFF Anuales'!Q$2,wallet_records!$H:$H,'EEFF Anuales'!$B33)</f>
        <v>0</v>
      </c>
      <c r="R33" s="115"/>
      <c r="S33" s="115"/>
      <c r="T33" s="115"/>
      <c r="U33" s="116"/>
      <c r="V33" s="116"/>
      <c r="W33" s="116"/>
      <c r="X33" s="115">
        <f>SUMIFS(wallet_records!$D:$D,wallet_records!$B:$B,'EEFF Anuales'!$C33,wallet_records!$O:$O,'EEFF Anuales'!X$2,wallet_records!$H:$H,'EEFF Anuales'!$B33)</f>
        <v>0</v>
      </c>
      <c r="Y33" s="115"/>
      <c r="Z33" s="115"/>
      <c r="AA33" s="115"/>
      <c r="AB33" s="116"/>
      <c r="AC33" s="116"/>
      <c r="AD33" s="116"/>
      <c r="AE33" s="115">
        <f>SUMIFS(wallet_records!$D:$D,wallet_records!$B:$B,'EEFF Anuales'!$C33,wallet_records!$O:$O,'EEFF Anuales'!AE$2,wallet_records!$H:$H,'EEFF Anuales'!$B33)</f>
        <v>18270000</v>
      </c>
      <c r="AF33" s="115"/>
      <c r="AG33" s="115"/>
      <c r="AH33" s="115"/>
      <c r="AI33" s="116"/>
      <c r="AJ33" s="116"/>
      <c r="AK33" s="116"/>
      <c r="AL33" s="115">
        <f>SUMIFS(wallet_records!$D:$D,wallet_records!$B:$B,'EEFF Anuales'!$C33,wallet_records!$O:$O,'EEFF Anuales'!AL$2,wallet_records!$H:$H,'EEFF Anuales'!$B33)</f>
        <v>0</v>
      </c>
      <c r="AM33" s="115"/>
      <c r="AN33" s="115"/>
      <c r="AO33" s="115"/>
      <c r="AP33" s="116"/>
      <c r="AQ33" s="116"/>
      <c r="AR33" s="116"/>
      <c r="AS33" s="115">
        <f>SUMIFS(wallet_records!$D:$D,wallet_records!$B:$B,'EEFF Anuales'!$C33,wallet_records!$O:$O,'EEFF Anuales'!AS$2,wallet_records!$H:$H,'EEFF Anuales'!$B33)</f>
        <v>0</v>
      </c>
      <c r="AU33" s="118">
        <f t="shared" si="27"/>
        <v>0</v>
      </c>
      <c r="AV33" s="118">
        <f t="shared" si="28"/>
        <v>0</v>
      </c>
      <c r="AW33" s="118">
        <f t="shared" si="29"/>
        <v>0</v>
      </c>
      <c r="AX33" s="118">
        <f t="shared" si="30"/>
        <v>0.16666908110290815</v>
      </c>
      <c r="AY33" s="118">
        <f t="shared" si="31"/>
        <v>0</v>
      </c>
    </row>
    <row r="34" spans="1:51" x14ac:dyDescent="0.2">
      <c r="A34" s="10"/>
      <c r="B34" s="235" t="s">
        <v>174</v>
      </c>
      <c r="C34" s="191" t="s">
        <v>172</v>
      </c>
      <c r="D34" s="116"/>
      <c r="E34" s="116"/>
      <c r="F34" s="116"/>
      <c r="G34" s="116"/>
      <c r="H34" s="116"/>
      <c r="J34" s="115">
        <f>SUMIFS(wallet_records!$D:$D,wallet_records!$B:$B,'EEFF Anuales'!$C34,wallet_records!$O:$O,'EEFF Anuales'!J$2,wallet_records!$H:$H,'EEFF Anuales'!$B34)</f>
        <v>0</v>
      </c>
      <c r="K34" s="115"/>
      <c r="L34" s="115"/>
      <c r="M34" s="115"/>
      <c r="N34" s="116"/>
      <c r="O34" s="116"/>
      <c r="P34" s="116"/>
      <c r="Q34" s="115">
        <f>SUMIFS(wallet_records!$D:$D,wallet_records!$B:$B,'EEFF Anuales'!$C34,wallet_records!$O:$O,'EEFF Anuales'!Q$2,wallet_records!$H:$H,'EEFF Anuales'!$B34)</f>
        <v>0</v>
      </c>
      <c r="R34" s="115"/>
      <c r="S34" s="115"/>
      <c r="T34" s="115"/>
      <c r="U34" s="116"/>
      <c r="V34" s="116"/>
      <c r="W34" s="116"/>
      <c r="X34" s="115">
        <f>SUMIFS(wallet_records!$D:$D,wallet_records!$B:$B,'EEFF Anuales'!$C34,wallet_records!$O:$O,'EEFF Anuales'!X$2,wallet_records!$H:$H,'EEFF Anuales'!$B34)</f>
        <v>0</v>
      </c>
      <c r="Y34" s="115"/>
      <c r="Z34" s="115"/>
      <c r="AA34" s="115"/>
      <c r="AB34" s="116"/>
      <c r="AC34" s="116"/>
      <c r="AD34" s="116"/>
      <c r="AE34" s="115">
        <f>SUMIFS(wallet_records!$D:$D,wallet_records!$B:$B,'EEFF Anuales'!$C34,wallet_records!$O:$O,'EEFF Anuales'!AE$2,wallet_records!$H:$H,'EEFF Anuales'!$B34)</f>
        <v>600000</v>
      </c>
      <c r="AF34" s="115"/>
      <c r="AG34" s="115"/>
      <c r="AH34" s="115"/>
      <c r="AI34" s="116"/>
      <c r="AJ34" s="116"/>
      <c r="AK34" s="116"/>
      <c r="AL34" s="115">
        <f>SUMIFS(wallet_records!$D:$D,wallet_records!$B:$B,'EEFF Anuales'!$C34,wallet_records!$O:$O,'EEFF Anuales'!AL$2,wallet_records!$H:$H,'EEFF Anuales'!$B34)</f>
        <v>0</v>
      </c>
      <c r="AM34" s="115"/>
      <c r="AN34" s="115"/>
      <c r="AO34" s="115"/>
      <c r="AP34" s="116"/>
      <c r="AQ34" s="116"/>
      <c r="AR34" s="116"/>
      <c r="AS34" s="115">
        <f>SUMIFS(wallet_records!$D:$D,wallet_records!$B:$B,'EEFF Anuales'!$C34,wallet_records!$O:$O,'EEFF Anuales'!AS$2,wallet_records!$H:$H,'EEFF Anuales'!$B34)</f>
        <v>0</v>
      </c>
      <c r="AU34" s="118">
        <f t="shared" si="27"/>
        <v>0</v>
      </c>
      <c r="AV34" s="118">
        <f t="shared" si="28"/>
        <v>0</v>
      </c>
      <c r="AW34" s="118">
        <f t="shared" si="29"/>
        <v>0</v>
      </c>
      <c r="AX34" s="118">
        <f t="shared" si="30"/>
        <v>5.4735330411464092E-3</v>
      </c>
      <c r="AY34" s="118">
        <f t="shared" si="31"/>
        <v>0</v>
      </c>
    </row>
    <row r="35" spans="1:51" x14ac:dyDescent="0.2">
      <c r="A35" s="10"/>
      <c r="B35" s="235" t="s">
        <v>94</v>
      </c>
      <c r="C35" s="191" t="s">
        <v>136</v>
      </c>
      <c r="D35" s="116"/>
      <c r="E35" s="116"/>
      <c r="F35" s="116"/>
      <c r="G35" s="116"/>
      <c r="H35" s="116"/>
      <c r="J35" s="115">
        <f>SUMIFS(wallet_records!$D:$D,wallet_records!$B:$B,'EEFF Anuales'!$C35,wallet_records!$O:$O,'EEFF Anuales'!J$2,wallet_records!$H:$H,'EEFF Anuales'!$B35)</f>
        <v>0</v>
      </c>
      <c r="K35" s="115"/>
      <c r="L35" s="115"/>
      <c r="M35" s="115"/>
      <c r="N35" s="116"/>
      <c r="O35" s="116"/>
      <c r="P35" s="116"/>
      <c r="Q35" s="115">
        <f>SUMIFS(wallet_records!$D:$D,wallet_records!$B:$B,'EEFF Anuales'!$C35,wallet_records!$O:$O,'EEFF Anuales'!Q$2,wallet_records!$H:$H,'EEFF Anuales'!$B35)</f>
        <v>0</v>
      </c>
      <c r="R35" s="115"/>
      <c r="S35" s="115"/>
      <c r="T35" s="115"/>
      <c r="U35" s="116"/>
      <c r="V35" s="116"/>
      <c r="W35" s="116"/>
      <c r="X35" s="115">
        <f>SUMIFS(wallet_records!$D:$D,wallet_records!$B:$B,'EEFF Anuales'!$C35,wallet_records!$O:$O,'EEFF Anuales'!X$2,wallet_records!$H:$H,'EEFF Anuales'!$B35)</f>
        <v>40000</v>
      </c>
      <c r="Y35" s="115"/>
      <c r="Z35" s="115"/>
      <c r="AA35" s="115"/>
      <c r="AB35" s="116"/>
      <c r="AC35" s="116"/>
      <c r="AD35" s="116"/>
      <c r="AE35" s="115">
        <f>SUMIFS(wallet_records!$D:$D,wallet_records!$B:$B,'EEFF Anuales'!$C35,wallet_records!$O:$O,'EEFF Anuales'!AE$2,wallet_records!$H:$H,'EEFF Anuales'!$B35)</f>
        <v>45000</v>
      </c>
      <c r="AF35" s="115"/>
      <c r="AG35" s="115"/>
      <c r="AH35" s="115"/>
      <c r="AI35" s="116"/>
      <c r="AJ35" s="116"/>
      <c r="AK35" s="116"/>
      <c r="AL35" s="115">
        <f>SUMIFS(wallet_records!$D:$D,wallet_records!$B:$B,'EEFF Anuales'!$C35,wallet_records!$O:$O,'EEFF Anuales'!AL$2,wallet_records!$H:$H,'EEFF Anuales'!$B35)</f>
        <v>58000</v>
      </c>
      <c r="AM35" s="115"/>
      <c r="AN35" s="115"/>
      <c r="AO35" s="115"/>
      <c r="AP35" s="116"/>
      <c r="AQ35" s="116"/>
      <c r="AR35" s="116"/>
      <c r="AS35" s="115">
        <f>SUMIFS(wallet_records!$D:$D,wallet_records!$B:$B,'EEFF Anuales'!$C35,wallet_records!$O:$O,'EEFF Anuales'!AS$2,wallet_records!$H:$H,'EEFF Anuales'!$B35)</f>
        <v>0</v>
      </c>
      <c r="AU35" s="118">
        <f t="shared" si="27"/>
        <v>0</v>
      </c>
      <c r="AV35" s="118">
        <f t="shared" si="28"/>
        <v>0</v>
      </c>
      <c r="AW35" s="118">
        <f t="shared" si="29"/>
        <v>4.6441964959537439E-4</v>
      </c>
      <c r="AX35" s="118">
        <f t="shared" si="30"/>
        <v>4.1051497808598065E-4</v>
      </c>
      <c r="AY35" s="118">
        <f t="shared" si="31"/>
        <v>3.6411119202470932E-3</v>
      </c>
    </row>
    <row r="36" spans="1:51" x14ac:dyDescent="0.2">
      <c r="A36" s="10"/>
      <c r="B36" s="235" t="s">
        <v>95</v>
      </c>
      <c r="C36" s="191" t="s">
        <v>136</v>
      </c>
      <c r="D36" s="116"/>
      <c r="E36" s="116"/>
      <c r="F36" s="116"/>
      <c r="G36" s="116"/>
      <c r="H36" s="116"/>
      <c r="J36" s="115">
        <f>SUMIFS(wallet_records!$D:$D,wallet_records!$B:$B,'EEFF Anuales'!$C36,wallet_records!$O:$O,'EEFF Anuales'!J$2,wallet_records!$H:$H,'EEFF Anuales'!$B36)</f>
        <v>0</v>
      </c>
      <c r="K36" s="115"/>
      <c r="L36" s="115"/>
      <c r="M36" s="115"/>
      <c r="N36" s="116"/>
      <c r="O36" s="116"/>
      <c r="P36" s="116"/>
      <c r="Q36" s="115">
        <f>SUMIFS(wallet_records!$D:$D,wallet_records!$B:$B,'EEFF Anuales'!$C36,wallet_records!$O:$O,'EEFF Anuales'!Q$2,wallet_records!$H:$H,'EEFF Anuales'!$B36)</f>
        <v>0</v>
      </c>
      <c r="R36" s="115"/>
      <c r="S36" s="115"/>
      <c r="T36" s="115"/>
      <c r="U36" s="116"/>
      <c r="V36" s="116"/>
      <c r="W36" s="116"/>
      <c r="X36" s="115">
        <f>SUMIFS(wallet_records!$D:$D,wallet_records!$B:$B,'EEFF Anuales'!$C36,wallet_records!$O:$O,'EEFF Anuales'!X$2,wallet_records!$H:$H,'EEFF Anuales'!$B36)</f>
        <v>46600</v>
      </c>
      <c r="Y36" s="115"/>
      <c r="Z36" s="115"/>
      <c r="AA36" s="115"/>
      <c r="AB36" s="116"/>
      <c r="AC36" s="116"/>
      <c r="AD36" s="116"/>
      <c r="AE36" s="115">
        <f>SUMIFS(wallet_records!$D:$D,wallet_records!$B:$B,'EEFF Anuales'!$C36,wallet_records!$O:$O,'EEFF Anuales'!AE$2,wallet_records!$H:$H,'EEFF Anuales'!$B36)</f>
        <v>94800</v>
      </c>
      <c r="AF36" s="115"/>
      <c r="AG36" s="115"/>
      <c r="AH36" s="115"/>
      <c r="AI36" s="116"/>
      <c r="AJ36" s="116"/>
      <c r="AK36" s="116"/>
      <c r="AL36" s="115">
        <f>SUMIFS(wallet_records!$D:$D,wallet_records!$B:$B,'EEFF Anuales'!$C36,wallet_records!$O:$O,'EEFF Anuales'!AL$2,wallet_records!$H:$H,'EEFF Anuales'!$B36)</f>
        <v>116800</v>
      </c>
      <c r="AM36" s="115"/>
      <c r="AN36" s="115"/>
      <c r="AO36" s="115"/>
      <c r="AP36" s="116"/>
      <c r="AQ36" s="116"/>
      <c r="AR36" s="116"/>
      <c r="AS36" s="115">
        <f>SUMIFS(wallet_records!$D:$D,wallet_records!$B:$B,'EEFF Anuales'!$C36,wallet_records!$O:$O,'EEFF Anuales'!AS$2,wallet_records!$H:$H,'EEFF Anuales'!$B36)</f>
        <v>0</v>
      </c>
      <c r="AU36" s="118">
        <f t="shared" si="27"/>
        <v>0</v>
      </c>
      <c r="AV36" s="118">
        <f t="shared" si="28"/>
        <v>0</v>
      </c>
      <c r="AW36" s="118">
        <f t="shared" si="29"/>
        <v>5.4104889177861116E-4</v>
      </c>
      <c r="AX36" s="118">
        <f t="shared" si="30"/>
        <v>8.648182205011326E-4</v>
      </c>
      <c r="AY36" s="118">
        <f t="shared" si="31"/>
        <v>7.3324460738769057E-3</v>
      </c>
    </row>
    <row r="37" spans="1:51" x14ac:dyDescent="0.2">
      <c r="A37" s="10"/>
      <c r="B37" s="235" t="s">
        <v>137</v>
      </c>
      <c r="C37" s="191" t="s">
        <v>136</v>
      </c>
      <c r="D37" s="116"/>
      <c r="E37" s="116"/>
      <c r="F37" s="116"/>
      <c r="G37" s="116"/>
      <c r="H37" s="116"/>
      <c r="J37" s="115">
        <f>SUMIFS(wallet_records!$D:$D,wallet_records!$B:$B,'EEFF Anuales'!$C37,wallet_records!$O:$O,'EEFF Anuales'!J$2,wallet_records!$H:$H,'EEFF Anuales'!$B37)</f>
        <v>0</v>
      </c>
      <c r="K37" s="115"/>
      <c r="L37" s="115"/>
      <c r="M37" s="115"/>
      <c r="N37" s="116"/>
      <c r="O37" s="116"/>
      <c r="P37" s="116"/>
      <c r="Q37" s="115">
        <f>SUMIFS(wallet_records!$D:$D,wallet_records!$B:$B,'EEFF Anuales'!$C37,wallet_records!$O:$O,'EEFF Anuales'!Q$2,wallet_records!$H:$H,'EEFF Anuales'!$B37)</f>
        <v>0</v>
      </c>
      <c r="R37" s="115"/>
      <c r="S37" s="115"/>
      <c r="T37" s="115"/>
      <c r="U37" s="116"/>
      <c r="V37" s="116"/>
      <c r="W37" s="116"/>
      <c r="X37" s="115">
        <f>SUMIFS(wallet_records!$D:$D,wallet_records!$B:$B,'EEFF Anuales'!$C37,wallet_records!$O:$O,'EEFF Anuales'!X$2,wallet_records!$H:$H,'EEFF Anuales'!$B37)</f>
        <v>430800</v>
      </c>
      <c r="Y37" s="115"/>
      <c r="Z37" s="115"/>
      <c r="AA37" s="115"/>
      <c r="AB37" s="116"/>
      <c r="AC37" s="116"/>
      <c r="AD37" s="116"/>
      <c r="AE37" s="115">
        <f>SUMIFS(wallet_records!$D:$D,wallet_records!$B:$B,'EEFF Anuales'!$C37,wallet_records!$O:$O,'EEFF Anuales'!AE$2,wallet_records!$H:$H,'EEFF Anuales'!$B37)</f>
        <v>254400</v>
      </c>
      <c r="AF37" s="115"/>
      <c r="AG37" s="115"/>
      <c r="AH37" s="115"/>
      <c r="AI37" s="116"/>
      <c r="AJ37" s="116"/>
      <c r="AK37" s="116"/>
      <c r="AL37" s="115">
        <f>SUMIFS(wallet_records!$D:$D,wallet_records!$B:$B,'EEFF Anuales'!$C37,wallet_records!$O:$O,'EEFF Anuales'!AL$2,wallet_records!$H:$H,'EEFF Anuales'!$B37)</f>
        <v>0</v>
      </c>
      <c r="AM37" s="115"/>
      <c r="AN37" s="115"/>
      <c r="AO37" s="115"/>
      <c r="AP37" s="116"/>
      <c r="AQ37" s="116"/>
      <c r="AR37" s="116"/>
      <c r="AS37" s="115">
        <f>SUMIFS(wallet_records!$D:$D,wallet_records!$B:$B,'EEFF Anuales'!$C37,wallet_records!$O:$O,'EEFF Anuales'!AS$2,wallet_records!$H:$H,'EEFF Anuales'!$B37)</f>
        <v>0</v>
      </c>
      <c r="AU37" s="118">
        <f t="shared" si="27"/>
        <v>0</v>
      </c>
      <c r="AV37" s="118">
        <f t="shared" si="28"/>
        <v>0</v>
      </c>
      <c r="AW37" s="118">
        <f t="shared" si="29"/>
        <v>5.0017996261421819E-3</v>
      </c>
      <c r="AX37" s="118">
        <f t="shared" si="30"/>
        <v>2.3207780094460775E-3</v>
      </c>
      <c r="AY37" s="118">
        <f t="shared" si="31"/>
        <v>0</v>
      </c>
    </row>
    <row r="38" spans="1:51" x14ac:dyDescent="0.2">
      <c r="A38" s="10"/>
      <c r="B38" s="235" t="s">
        <v>156</v>
      </c>
      <c r="C38" s="191" t="s">
        <v>136</v>
      </c>
      <c r="D38" s="116"/>
      <c r="E38" s="116"/>
      <c r="F38" s="116"/>
      <c r="G38" s="116"/>
      <c r="H38" s="116"/>
      <c r="J38" s="115">
        <f>SUMIFS(wallet_records!$D:$D,wallet_records!$B:$B,'EEFF Anuales'!$C38,wallet_records!$O:$O,'EEFF Anuales'!J$2,wallet_records!$H:$H,'EEFF Anuales'!$B38)</f>
        <v>0</v>
      </c>
      <c r="K38" s="115"/>
      <c r="L38" s="115"/>
      <c r="M38" s="115"/>
      <c r="N38" s="116"/>
      <c r="O38" s="116"/>
      <c r="P38" s="116"/>
      <c r="Q38" s="115">
        <f>SUMIFS(wallet_records!$D:$D,wallet_records!$B:$B,'EEFF Anuales'!$C38,wallet_records!$O:$O,'EEFF Anuales'!Q$2,wallet_records!$H:$H,'EEFF Anuales'!$B38)</f>
        <v>0</v>
      </c>
      <c r="R38" s="115"/>
      <c r="S38" s="115"/>
      <c r="T38" s="115"/>
      <c r="U38" s="116"/>
      <c r="V38" s="116"/>
      <c r="W38" s="116"/>
      <c r="X38" s="115">
        <f>SUMIFS(wallet_records!$D:$D,wallet_records!$B:$B,'EEFF Anuales'!$C38,wallet_records!$O:$O,'EEFF Anuales'!X$2,wallet_records!$H:$H,'EEFF Anuales'!$B38)</f>
        <v>0</v>
      </c>
      <c r="Y38" s="115"/>
      <c r="Z38" s="115"/>
      <c r="AA38" s="115"/>
      <c r="AB38" s="116"/>
      <c r="AC38" s="116"/>
      <c r="AD38" s="116"/>
      <c r="AE38" s="115">
        <f>SUMIFS(wallet_records!$D:$D,wallet_records!$B:$B,'EEFF Anuales'!$C38,wallet_records!$O:$O,'EEFF Anuales'!AE$2,wallet_records!$H:$H,'EEFF Anuales'!$B38)</f>
        <v>17494000</v>
      </c>
      <c r="AF38" s="115"/>
      <c r="AG38" s="115"/>
      <c r="AH38" s="115"/>
      <c r="AI38" s="116"/>
      <c r="AJ38" s="116"/>
      <c r="AK38" s="116"/>
      <c r="AL38" s="115">
        <f>SUMIFS(wallet_records!$D:$D,wallet_records!$B:$B,'EEFF Anuales'!$C38,wallet_records!$O:$O,'EEFF Anuales'!AL$2,wallet_records!$H:$H,'EEFF Anuales'!$B38)</f>
        <v>461460</v>
      </c>
      <c r="AM38" s="115"/>
      <c r="AN38" s="115"/>
      <c r="AO38" s="115"/>
      <c r="AP38" s="116"/>
      <c r="AQ38" s="116"/>
      <c r="AR38" s="116"/>
      <c r="AS38" s="115">
        <f>SUMIFS(wallet_records!$D:$D,wallet_records!$B:$B,'EEFF Anuales'!$C38,wallet_records!$O:$O,'EEFF Anuales'!AS$2,wallet_records!$H:$H,'EEFF Anuales'!$B38)</f>
        <v>0</v>
      </c>
      <c r="AU38" s="118">
        <f t="shared" si="27"/>
        <v>0</v>
      </c>
      <c r="AV38" s="118">
        <f t="shared" si="28"/>
        <v>0</v>
      </c>
      <c r="AW38" s="118">
        <f t="shared" si="29"/>
        <v>0</v>
      </c>
      <c r="AX38" s="118">
        <f t="shared" si="30"/>
        <v>0.15958997836969213</v>
      </c>
      <c r="AY38" s="118">
        <f t="shared" si="31"/>
        <v>2.8969439770986614E-2</v>
      </c>
    </row>
    <row r="39" spans="1:51" x14ac:dyDescent="0.2">
      <c r="A39" s="10"/>
      <c r="B39" s="235" t="s">
        <v>510</v>
      </c>
      <c r="C39" s="191" t="s">
        <v>131</v>
      </c>
      <c r="D39" s="116"/>
      <c r="E39" s="116"/>
      <c r="F39" s="116"/>
      <c r="G39" s="116"/>
      <c r="H39" s="116"/>
      <c r="J39" s="115">
        <f>SUMIFS(wallet_records!$D:$D,wallet_records!$B:$B,'EEFF Anuales'!$C39,wallet_records!$O:$O,'EEFF Anuales'!J$2,wallet_records!$H:$H,'EEFF Anuales'!$B39)</f>
        <v>0</v>
      </c>
      <c r="K39" s="115"/>
      <c r="L39" s="115"/>
      <c r="M39" s="122"/>
      <c r="N39" s="116"/>
      <c r="O39" s="116"/>
      <c r="P39" s="116"/>
      <c r="Q39" s="115">
        <f>SUMIFS(wallet_records!$D:$D,wallet_records!$B:$B,'EEFF Anuales'!$C39,wallet_records!$O:$O,'EEFF Anuales'!Q$2,wallet_records!$H:$H,'EEFF Anuales'!$B39)</f>
        <v>0</v>
      </c>
      <c r="R39" s="115"/>
      <c r="S39" s="115"/>
      <c r="T39" s="122"/>
      <c r="U39" s="116"/>
      <c r="V39" s="116"/>
      <c r="W39" s="116"/>
      <c r="X39" s="115">
        <f>SUMIFS(wallet_records!$D:$D,wallet_records!$B:$B,'EEFF Anuales'!$C39,wallet_records!$O:$O,'EEFF Anuales'!X$2,wallet_records!$H:$H,'EEFF Anuales'!$B39)</f>
        <v>0</v>
      </c>
      <c r="Y39" s="115"/>
      <c r="Z39" s="115"/>
      <c r="AA39" s="122"/>
      <c r="AB39" s="116"/>
      <c r="AC39" s="116"/>
      <c r="AD39" s="116"/>
      <c r="AE39" s="115">
        <f>SUMIFS(wallet_records!$D:$D,wallet_records!$B:$B,'EEFF Anuales'!$C39,wallet_records!$O:$O,'EEFF Anuales'!AE$2,wallet_records!$H:$H,'EEFF Anuales'!$B39)</f>
        <v>0</v>
      </c>
      <c r="AF39" s="115"/>
      <c r="AG39" s="115"/>
      <c r="AH39" s="122"/>
      <c r="AI39" s="116"/>
      <c r="AJ39" s="116"/>
      <c r="AK39" s="116"/>
      <c r="AL39" s="115">
        <f>SUMIFS(wallet_records!$D:$D,wallet_records!$B:$B,'EEFF Anuales'!$C39,wallet_records!$O:$O,'EEFF Anuales'!AL$2,wallet_records!$H:$H,'EEFF Anuales'!$B39)</f>
        <v>0</v>
      </c>
      <c r="AM39" s="115"/>
      <c r="AN39" s="115"/>
      <c r="AO39" s="122"/>
      <c r="AP39" s="116"/>
      <c r="AQ39" s="116"/>
      <c r="AR39" s="116"/>
      <c r="AS39" s="115">
        <f>SUMIFS(wallet_records!$D:$D,wallet_records!$B:$B,'EEFF Anuales'!$C39,wallet_records!$O:$O,'EEFF Anuales'!AS$2,wallet_records!$H:$H,'EEFF Anuales'!$B39)</f>
        <v>0</v>
      </c>
      <c r="AU39" s="118">
        <f t="shared" ref="AU39:AU45" si="32">J39/J$6</f>
        <v>0</v>
      </c>
      <c r="AV39" s="118">
        <f t="shared" ref="AV39:AV45" si="33">Q39/Q$6</f>
        <v>0</v>
      </c>
      <c r="AW39" s="118">
        <f t="shared" ref="AW39:AW45" si="34">X39/X$6</f>
        <v>0</v>
      </c>
      <c r="AX39" s="118">
        <f t="shared" ref="AX39:AX45" si="35">AE39/AE$6</f>
        <v>0</v>
      </c>
      <c r="AY39" s="118">
        <f t="shared" si="4"/>
        <v>0</v>
      </c>
    </row>
    <row r="40" spans="1:51" x14ac:dyDescent="0.2">
      <c r="A40" s="10"/>
      <c r="B40" s="235" t="s">
        <v>522</v>
      </c>
      <c r="C40" s="191" t="s">
        <v>136</v>
      </c>
      <c r="D40" s="116"/>
      <c r="E40" s="116"/>
      <c r="F40" s="116"/>
      <c r="G40" s="116"/>
      <c r="H40" s="116"/>
      <c r="J40" s="115">
        <f>SUMIFS(wallet_records!$D:$D,wallet_records!$B:$B,'EEFF Anuales'!$C40,wallet_records!$O:$O,'EEFF Anuales'!J$2,wallet_records!$H:$H,'EEFF Anuales'!$B40,wallet_records!$F:$F,"Gasto")</f>
        <v>13313951.68</v>
      </c>
      <c r="K40" s="115"/>
      <c r="L40" s="115"/>
      <c r="M40" s="122"/>
      <c r="N40" s="116"/>
      <c r="O40" s="116"/>
      <c r="P40" s="116"/>
      <c r="Q40" s="115">
        <f>SUMIFS(wallet_records!$D:$D,wallet_records!$B:$B,'EEFF Anuales'!$C40,wallet_records!$O:$O,'EEFF Anuales'!Q$2,wallet_records!$H:$H,'EEFF Anuales'!$B40,wallet_records!$F:$F,"Gasto")</f>
        <v>47123088.290000007</v>
      </c>
      <c r="R40" s="115"/>
      <c r="S40" s="115"/>
      <c r="T40" s="122"/>
      <c r="U40" s="116"/>
      <c r="V40" s="116"/>
      <c r="W40" s="116"/>
      <c r="X40" s="115">
        <f>SUMIFS(wallet_records!$D:$D,wallet_records!$B:$B,'EEFF Anuales'!$C40,wallet_records!$O:$O,'EEFF Anuales'!X$2,wallet_records!$H:$H,'EEFF Anuales'!$B40,wallet_records!$F:$F,"Gasto")</f>
        <v>76048700.609999999</v>
      </c>
      <c r="Y40" s="115"/>
      <c r="Z40" s="115"/>
      <c r="AA40" s="122"/>
      <c r="AB40" s="116"/>
      <c r="AC40" s="116"/>
      <c r="AD40" s="116"/>
      <c r="AE40" s="115">
        <f>SUMIFS(wallet_records!$D:$D,wallet_records!$B:$B,'EEFF Anuales'!$C40,wallet_records!$O:$O,'EEFF Anuales'!AE$2,wallet_records!$H:$H,'EEFF Anuales'!$B40,wallet_records!$F:$F,"Gasto")</f>
        <v>52966503.049999997</v>
      </c>
      <c r="AF40" s="115"/>
      <c r="AG40" s="115"/>
      <c r="AH40" s="122"/>
      <c r="AI40" s="116"/>
      <c r="AJ40" s="116"/>
      <c r="AK40" s="116"/>
      <c r="AL40" s="115">
        <f>SUMIFS(wallet_records!$D:$D,wallet_records!$B:$B,'EEFF Anuales'!$C40,wallet_records!$O:$O,'EEFF Anuales'!AL$2,wallet_records!$H:$H,'EEFF Anuales'!$B40,wallet_records!$F:$F,"Gasto")</f>
        <v>0</v>
      </c>
      <c r="AM40" s="115"/>
      <c r="AN40" s="115"/>
      <c r="AO40" s="122"/>
      <c r="AP40" s="116"/>
      <c r="AQ40" s="116"/>
      <c r="AR40" s="116"/>
      <c r="AS40" s="115">
        <f>SUMIFS(wallet_records!$D:$D,wallet_records!$B:$B,'EEFF Anuales'!$C40,wallet_records!$O:$O,'EEFF Anuales'!AS$2,wallet_records!$H:$H,'EEFF Anuales'!$B40,wallet_records!$F:$F,"Gasto")</f>
        <v>0</v>
      </c>
      <c r="AU40" s="118">
        <f t="shared" si="32"/>
        <v>0.41940310852102691</v>
      </c>
      <c r="AV40" s="118">
        <f t="shared" si="33"/>
        <v>0.84758329208410532</v>
      </c>
      <c r="AW40" s="118">
        <f t="shared" si="34"/>
        <v>0.88296277223699338</v>
      </c>
      <c r="AX40" s="118">
        <f t="shared" si="35"/>
        <v>0.48318984086359507</v>
      </c>
      <c r="AY40" s="118">
        <f t="shared" si="4"/>
        <v>0</v>
      </c>
    </row>
    <row r="41" spans="1:51" x14ac:dyDescent="0.2">
      <c r="A41" s="10"/>
      <c r="B41" s="258" t="s">
        <v>542</v>
      </c>
      <c r="C41" s="191" t="s">
        <v>136</v>
      </c>
      <c r="D41" s="116"/>
      <c r="E41" s="116"/>
      <c r="F41" s="116"/>
      <c r="G41" s="116"/>
      <c r="H41" s="116"/>
      <c r="J41" s="115"/>
      <c r="K41" s="115"/>
      <c r="L41" s="115"/>
      <c r="M41" s="122"/>
      <c r="N41" s="116"/>
      <c r="O41" s="116"/>
      <c r="P41" s="116"/>
      <c r="Q41" s="115"/>
      <c r="R41" s="115"/>
      <c r="S41" s="115"/>
      <c r="T41" s="122"/>
      <c r="U41" s="116"/>
      <c r="V41" s="116"/>
      <c r="W41" s="116"/>
      <c r="X41" s="115"/>
      <c r="Y41" s="115"/>
      <c r="Z41" s="115"/>
      <c r="AA41" s="122"/>
      <c r="AB41" s="116"/>
      <c r="AC41" s="116"/>
      <c r="AD41" s="116"/>
      <c r="AE41" s="115"/>
      <c r="AF41" s="115"/>
      <c r="AG41" s="115"/>
      <c r="AH41" s="122"/>
      <c r="AI41" s="116"/>
      <c r="AJ41" s="116"/>
      <c r="AK41" s="116"/>
      <c r="AL41" s="115"/>
      <c r="AM41" s="115"/>
      <c r="AN41" s="115"/>
      <c r="AO41" s="122"/>
      <c r="AP41" s="116"/>
      <c r="AQ41" s="116"/>
      <c r="AR41" s="116"/>
      <c r="AS41" s="115"/>
      <c r="AU41" s="118"/>
      <c r="AV41" s="118"/>
      <c r="AW41" s="118"/>
      <c r="AX41" s="118"/>
      <c r="AY41" s="118"/>
    </row>
    <row r="42" spans="1:51" x14ac:dyDescent="0.2">
      <c r="A42" s="10"/>
      <c r="B42" s="235" t="s">
        <v>216</v>
      </c>
      <c r="C42" s="191" t="s">
        <v>215</v>
      </c>
      <c r="D42" s="116"/>
      <c r="E42" s="116"/>
      <c r="F42" s="116"/>
      <c r="G42" s="116"/>
      <c r="H42" s="116"/>
      <c r="J42" s="115">
        <f>SUMIFS(wallet_records!$D:$D,wallet_records!$B:$B,'EEFF Anuales'!$C42,wallet_records!$O:$O,'EEFF Anuales'!J$2,wallet_records!$H:$H,'EEFF Anuales'!$B42)</f>
        <v>0</v>
      </c>
      <c r="K42" s="115"/>
      <c r="L42" s="115"/>
      <c r="M42" s="122"/>
      <c r="N42" s="123"/>
      <c r="O42" s="123"/>
      <c r="P42" s="123"/>
      <c r="Q42" s="115">
        <f>SUMIFS(wallet_records!$D:$D,wallet_records!$B:$B,'EEFF Anuales'!$C42,wallet_records!$O:$O,'EEFF Anuales'!Q$2,wallet_records!$H:$H,'EEFF Anuales'!$B42)</f>
        <v>0</v>
      </c>
      <c r="R42" s="115"/>
      <c r="S42" s="115"/>
      <c r="T42" s="122"/>
      <c r="U42" s="123"/>
      <c r="V42" s="123"/>
      <c r="W42" s="123"/>
      <c r="X42" s="115">
        <f>SUMIFS(wallet_records!$D:$D,wallet_records!$B:$B,'EEFF Anuales'!$C42,wallet_records!$O:$O,'EEFF Anuales'!X$2,wallet_records!$H:$H,'EEFF Anuales'!$B42)</f>
        <v>0</v>
      </c>
      <c r="Y42" s="115"/>
      <c r="Z42" s="115"/>
      <c r="AA42" s="122"/>
      <c r="AB42" s="123"/>
      <c r="AC42" s="123"/>
      <c r="AD42" s="123"/>
      <c r="AE42" s="115">
        <f>SUMIFS(wallet_records!$D:$D,wallet_records!$B:$B,'EEFF Anuales'!$C42,wallet_records!$O:$O,'EEFF Anuales'!AE$2,wallet_records!$H:$H,'EEFF Anuales'!$B42)</f>
        <v>5000000</v>
      </c>
      <c r="AF42" s="115"/>
      <c r="AG42" s="115"/>
      <c r="AH42" s="122"/>
      <c r="AI42" s="123"/>
      <c r="AJ42" s="123"/>
      <c r="AK42" s="123"/>
      <c r="AL42" s="115">
        <f>SUMIFS(wallet_records!$D:$D,wallet_records!$B:$B,'EEFF Anuales'!$C42,wallet_records!$O:$O,'EEFF Anuales'!AL$2,wallet_records!$H:$H,'EEFF Anuales'!$B42)</f>
        <v>0</v>
      </c>
      <c r="AM42" s="115"/>
      <c r="AN42" s="115"/>
      <c r="AO42" s="122"/>
      <c r="AP42" s="123"/>
      <c r="AQ42" s="123"/>
      <c r="AR42" s="123"/>
      <c r="AS42" s="115">
        <f>SUMIFS(wallet_records!$D:$D,wallet_records!$B:$B,'EEFF Anuales'!$C42,wallet_records!$O:$O,'EEFF Anuales'!AS$2,wallet_records!$H:$H,'EEFF Anuales'!$B42)</f>
        <v>0</v>
      </c>
      <c r="AU42" s="118">
        <f t="shared" si="32"/>
        <v>0</v>
      </c>
      <c r="AV42" s="118">
        <f t="shared" si="33"/>
        <v>0</v>
      </c>
      <c r="AW42" s="118">
        <f t="shared" si="34"/>
        <v>0</v>
      </c>
      <c r="AX42" s="118">
        <f t="shared" si="35"/>
        <v>4.5612775342886741E-2</v>
      </c>
      <c r="AY42" s="118">
        <f t="shared" si="4"/>
        <v>0</v>
      </c>
    </row>
    <row r="43" spans="1:51" x14ac:dyDescent="0.2">
      <c r="A43" s="107"/>
      <c r="B43" s="107" t="s">
        <v>125</v>
      </c>
      <c r="C43" s="191" t="s">
        <v>124</v>
      </c>
      <c r="D43" s="116"/>
      <c r="E43" s="116"/>
      <c r="F43" s="116"/>
      <c r="G43" s="116"/>
      <c r="H43" s="116"/>
      <c r="J43" s="115">
        <f>SUMIFS(wallet_records!$D:$D,wallet_records!$B:$B,'EEFF Anuales'!$C43,wallet_records!$O:$O,'EEFF Anuales'!J$2,wallet_records!$H:$H,'EEFF Anuales'!$B43)</f>
        <v>416053.57000000007</v>
      </c>
      <c r="Q43" s="115">
        <f>SUMIFS(wallet_records!$D:$D,wallet_records!$B:$B,'EEFF Anuales'!$C43,wallet_records!$O:$O,'EEFF Anuales'!Q$2,wallet_records!$H:$H,'EEFF Anuales'!$B43)</f>
        <v>2010524.6</v>
      </c>
      <c r="X43" s="115">
        <f>SUMIFS(wallet_records!$D:$D,wallet_records!$B:$B,'EEFF Anuales'!$C43,wallet_records!$O:$O,'EEFF Anuales'!X$2,wallet_records!$H:$H,'EEFF Anuales'!$B43)</f>
        <v>3427349.2999999993</v>
      </c>
      <c r="AE43" s="115">
        <f>SUMIFS(wallet_records!$D:$D,wallet_records!$B:$B,'EEFF Anuales'!$C43,wallet_records!$O:$O,'EEFF Anuales'!AE$2,wallet_records!$H:$H,'EEFF Anuales'!$B43)</f>
        <v>4069671.7000000007</v>
      </c>
      <c r="AL43" s="115">
        <f>SUMIFS(wallet_records!$D:$D,wallet_records!$B:$B,'EEFF Anuales'!$C43,wallet_records!$O:$O,'EEFF Anuales'!AL$2,wallet_records!$H:$H,'EEFF Anuales'!$B43)</f>
        <v>457514.65000000008</v>
      </c>
      <c r="AS43" s="115">
        <f>SUMIFS(wallet_records!$D:$D,wallet_records!$B:$B,'EEFF Anuales'!$C43,wallet_records!$O:$O,'EEFF Anuales'!AS$2,wallet_records!$H:$H,'EEFF Anuales'!$B43)</f>
        <v>0</v>
      </c>
      <c r="AU43" s="125">
        <f t="shared" si="32"/>
        <v>1.3106113403685622E-2</v>
      </c>
      <c r="AV43" s="125">
        <f t="shared" si="33"/>
        <v>3.6162465600661907E-2</v>
      </c>
      <c r="AW43" s="125">
        <f t="shared" si="34"/>
        <v>3.9793209023673781E-2</v>
      </c>
      <c r="AX43" s="125">
        <f t="shared" si="35"/>
        <v>3.7125804194280798E-2</v>
      </c>
      <c r="AY43" s="125">
        <f t="shared" si="4"/>
        <v>2.8721759410390985E-2</v>
      </c>
    </row>
    <row r="44" spans="1:51" x14ac:dyDescent="0.2">
      <c r="A44" s="107"/>
      <c r="B44" s="107" t="s">
        <v>155</v>
      </c>
      <c r="C44" s="191" t="s">
        <v>154</v>
      </c>
      <c r="D44" s="116"/>
      <c r="E44" s="116"/>
      <c r="F44" s="116"/>
      <c r="G44" s="116"/>
      <c r="H44" s="116"/>
      <c r="J44" s="115">
        <f>SUMIFS(wallet_records!$D:$D,wallet_records!$B:$B,'EEFF Anuales'!$C44,wallet_records!$O:$O,'EEFF Anuales'!J$2,wallet_records!$H:$H,'EEFF Anuales'!$B44)</f>
        <v>0</v>
      </c>
      <c r="Q44" s="115">
        <f>SUMIFS(wallet_records!$D:$D,wallet_records!$B:$B,'EEFF Anuales'!$C44,wallet_records!$O:$O,'EEFF Anuales'!Q$2,wallet_records!$H:$H,'EEFF Anuales'!$B44)</f>
        <v>0</v>
      </c>
      <c r="X44" s="115">
        <f>SUMIFS(wallet_records!$D:$D,wallet_records!$B:$B,'EEFF Anuales'!$C44,wallet_records!$O:$O,'EEFF Anuales'!X$2,wallet_records!$H:$H,'EEFF Anuales'!$B44)</f>
        <v>0</v>
      </c>
      <c r="AE44" s="115">
        <f>SUMIFS(wallet_records!$D:$D,wallet_records!$B:$B,'EEFF Anuales'!$C44,wallet_records!$O:$O,'EEFF Anuales'!AE$2,wallet_records!$H:$H,'EEFF Anuales'!$B44)</f>
        <v>69976</v>
      </c>
      <c r="AL44" s="115">
        <f>SUMIFS(wallet_records!$D:$D,wallet_records!$B:$B,'EEFF Anuales'!$C44,wallet_records!$O:$O,'EEFF Anuales'!AL$2,wallet_records!$H:$H,'EEFF Anuales'!$B44)</f>
        <v>0</v>
      </c>
      <c r="AS44" s="115">
        <f>SUMIFS(wallet_records!$D:$D,wallet_records!$B:$B,'EEFF Anuales'!$C44,wallet_records!$O:$O,'EEFF Anuales'!AS$2,wallet_records!$H:$H,'EEFF Anuales'!$B44)</f>
        <v>0</v>
      </c>
      <c r="AU44" s="111">
        <f t="shared" si="32"/>
        <v>0</v>
      </c>
      <c r="AV44" s="111">
        <f t="shared" si="33"/>
        <v>0</v>
      </c>
      <c r="AW44" s="111">
        <f t="shared" si="34"/>
        <v>0</v>
      </c>
      <c r="AX44" s="111">
        <f t="shared" si="35"/>
        <v>6.3835991347876856E-4</v>
      </c>
      <c r="AY44" s="111">
        <f t="shared" si="4"/>
        <v>0</v>
      </c>
    </row>
    <row r="45" spans="1:51" x14ac:dyDescent="0.2">
      <c r="A45" s="107"/>
      <c r="B45" s="107" t="s">
        <v>205</v>
      </c>
      <c r="C45" s="191" t="s">
        <v>154</v>
      </c>
      <c r="D45" s="116"/>
      <c r="E45" s="123"/>
      <c r="F45" s="123"/>
      <c r="G45" s="123"/>
      <c r="H45" s="123"/>
      <c r="J45" s="115">
        <f>SUMIFS(wallet_records!$D:$D,wallet_records!$B:$B,'EEFF Anuales'!$C45,wallet_records!$O:$O,'EEFF Anuales'!J$2,wallet_records!$H:$H,'EEFF Anuales'!$B45)</f>
        <v>0</v>
      </c>
      <c r="Q45" s="115">
        <f>SUMIFS(wallet_records!$D:$D,wallet_records!$B:$B,'EEFF Anuales'!$C45,wallet_records!$O:$O,'EEFF Anuales'!Q$2,wallet_records!$H:$H,'EEFF Anuales'!$B45)</f>
        <v>0</v>
      </c>
      <c r="X45" s="115">
        <f>SUMIFS(wallet_records!$D:$D,wallet_records!$B:$B,'EEFF Anuales'!$C45,wallet_records!$O:$O,'EEFF Anuales'!X$2,wallet_records!$H:$H,'EEFF Anuales'!$B45)</f>
        <v>0</v>
      </c>
      <c r="AE45" s="115">
        <f>SUMIFS(wallet_records!$D:$D,wallet_records!$B:$B,'EEFF Anuales'!$C45,wallet_records!$O:$O,'EEFF Anuales'!AE$2,wallet_records!$H:$H,'EEFF Anuales'!$B45)</f>
        <v>9837.5400000000009</v>
      </c>
      <c r="AL45" s="115">
        <f>SUMIFS(wallet_records!$D:$D,wallet_records!$B:$B,'EEFF Anuales'!$C45,wallet_records!$O:$O,'EEFF Anuales'!AL$2,wallet_records!$H:$H,'EEFF Anuales'!$B45)</f>
        <v>8610.1200000000008</v>
      </c>
      <c r="AS45" s="115">
        <f>SUMIFS(wallet_records!$D:$D,wallet_records!$B:$B,'EEFF Anuales'!$C45,wallet_records!$O:$O,'EEFF Anuales'!AS$2,wallet_records!$H:$H,'EEFF Anuales'!$B45)</f>
        <v>0</v>
      </c>
      <c r="AU45" s="131">
        <f t="shared" si="32"/>
        <v>0</v>
      </c>
      <c r="AV45" s="131">
        <f t="shared" si="33"/>
        <v>0</v>
      </c>
      <c r="AW45" s="131">
        <f t="shared" si="34"/>
        <v>0</v>
      </c>
      <c r="AX45" s="131">
        <f t="shared" si="35"/>
        <v>8.9743500389332412E-5</v>
      </c>
      <c r="AY45" s="131">
        <f>AL45/AL$6</f>
        <v>5.4052432011651567E-4</v>
      </c>
    </row>
    <row r="46" spans="1:51" ht="16" x14ac:dyDescent="0.2">
      <c r="A46" s="265"/>
      <c r="B46" s="199" t="s">
        <v>402</v>
      </c>
      <c r="C46" s="194"/>
      <c r="D46" s="110"/>
      <c r="E46" s="110"/>
      <c r="F46" s="110"/>
      <c r="G46" s="110"/>
      <c r="H46" s="110"/>
      <c r="I46" s="110"/>
      <c r="J46" s="110">
        <f>J16+J18-J19-J20-J21-J22-J23-J24-J25-J26-J27-J28-J29-J30-J31-J32-J33-J34-J35-J36-J37-J38-J39-J40-J42+J43-J44-J45</f>
        <v>11016655.739999998</v>
      </c>
      <c r="K46" s="124"/>
      <c r="L46" s="124"/>
      <c r="M46" s="124"/>
      <c r="N46" s="124"/>
      <c r="O46" s="124"/>
      <c r="P46" s="124"/>
      <c r="Q46" s="110">
        <f>Q16+Q18-Q19-Q20-Q21-Q22-Q23-Q24-Q25-Q26-Q27-Q28-Q29-Q30-Q31-Q32-Q33-Q34-Q35-Q36-Q37-Q38-Q39-Q40-Q42+Q43-Q44-Q45</f>
        <v>-12191430.919999996</v>
      </c>
      <c r="R46" s="124"/>
      <c r="S46" s="124"/>
      <c r="T46" s="124"/>
      <c r="U46" s="124"/>
      <c r="V46" s="124"/>
      <c r="W46" s="124"/>
      <c r="X46" s="110">
        <f>X16+X18-X19-X20-X21-X22-X23-X24-X25-X26-X27-X28-X29-X30-X31-X32-X33-X34-X35-X36-X37-X38-X39-X40-X42+X43-X44-X45</f>
        <v>-35138065.080000013</v>
      </c>
      <c r="Y46" s="124"/>
      <c r="Z46" s="124"/>
      <c r="AA46" s="124"/>
      <c r="AB46" s="124"/>
      <c r="AC46" s="124"/>
      <c r="AD46" s="124"/>
      <c r="AE46" s="110">
        <f>AE16+AE18-AE19-AE20-AE21-AE22-AE23-AE24-AE25-AE26-AE27-AE28-AE29-AE30-AE31-AE32-AE33-AE34-AE35-AE36-AE37-AE38-AE39-AE40-AE42+AE43-AE44-AE45</f>
        <v>12991814.929999998</v>
      </c>
      <c r="AF46" s="124"/>
      <c r="AG46" s="124"/>
      <c r="AH46" s="124"/>
      <c r="AI46" s="124"/>
      <c r="AJ46" s="124"/>
      <c r="AK46" s="124"/>
      <c r="AL46" s="110">
        <f>AL16+AL18-AL19-AL20-AL21-AL22-AL23-AL24-AL25-AL26-AL27-AL28-AL29-AL30-AL31-AL32-AL33-AL34-AL35-AL36-AL37-AL38-AL39-AL40-AL42+AL43-AL44-AL45</f>
        <v>-6864512.4699999997</v>
      </c>
      <c r="AM46" s="124"/>
      <c r="AN46" s="124"/>
      <c r="AO46" s="124"/>
      <c r="AP46" s="124"/>
      <c r="AQ46" s="124"/>
      <c r="AR46" s="124"/>
      <c r="AS46" s="110">
        <f>AS16+AS18-AS19-AS20-AS21-AS22-AS23-AS24-AS25-AS26-AS27-AS28-AS29-AS30-AS31-AS32-AS33-AS34-AS35-AS36-AS37-AS38-AS39-AS40-AS42+AS43-AS44-AS45</f>
        <v>0</v>
      </c>
      <c r="AU46" s="118"/>
      <c r="AV46" s="118"/>
      <c r="AW46" s="118"/>
      <c r="AX46" s="118"/>
      <c r="AY46" s="118"/>
    </row>
    <row r="47" spans="1:51" x14ac:dyDescent="0.2">
      <c r="A47" s="107"/>
      <c r="B47" s="112" t="s">
        <v>90</v>
      </c>
      <c r="C47" s="192" t="s">
        <v>154</v>
      </c>
      <c r="D47" s="128"/>
      <c r="E47" s="128"/>
      <c r="F47" s="128"/>
      <c r="G47" s="128"/>
      <c r="H47" s="128"/>
      <c r="J47" s="115">
        <f>SUMIFS(wallet_records!$D:$D,wallet_records!$B:$B,'EEFF Anuales'!$C47,wallet_records!$O:$O,'EEFF Anuales'!J$2,wallet_records!$H:$H,'EEFF Anuales'!$B47)</f>
        <v>0</v>
      </c>
      <c r="K47" s="126"/>
      <c r="L47" s="126"/>
      <c r="M47" s="126"/>
      <c r="N47" s="127"/>
      <c r="O47" s="127"/>
      <c r="P47" s="127"/>
      <c r="Q47" s="115">
        <f>SUMIFS(wallet_records!$D:$D,wallet_records!$B:$B,'EEFF Anuales'!$C47,wallet_records!$O:$O,'EEFF Anuales'!Q$2,wallet_records!$H:$H,'EEFF Anuales'!$B47)</f>
        <v>0</v>
      </c>
      <c r="R47" s="126"/>
      <c r="S47" s="126"/>
      <c r="T47" s="126"/>
      <c r="U47" s="127"/>
      <c r="V47" s="127"/>
      <c r="W47" s="127"/>
      <c r="X47" s="115">
        <f>SUMIFS(wallet_records!$D:$D,wallet_records!$B:$B,'EEFF Anuales'!$C47,wallet_records!$O:$O,'EEFF Anuales'!X$2,wallet_records!$H:$H,'EEFF Anuales'!$B47)</f>
        <v>0</v>
      </c>
      <c r="Y47" s="126"/>
      <c r="Z47" s="126"/>
      <c r="AA47" s="126"/>
      <c r="AB47" s="127"/>
      <c r="AC47" s="127"/>
      <c r="AD47" s="127"/>
      <c r="AE47" s="115">
        <f>SUMIFS(wallet_records!$D:$D,wallet_records!$B:$B,'EEFF Anuales'!$C47,wallet_records!$O:$O,'EEFF Anuales'!AE$2,wallet_records!$H:$H,'EEFF Anuales'!$B47)</f>
        <v>961000</v>
      </c>
      <c r="AF47" s="126"/>
      <c r="AG47" s="126"/>
      <c r="AH47" s="126"/>
      <c r="AI47" s="127"/>
      <c r="AJ47" s="127"/>
      <c r="AK47" s="127"/>
      <c r="AL47" s="115">
        <f>SUMIFS(wallet_records!$D:$D,wallet_records!$B:$B,'EEFF Anuales'!$C47,wallet_records!$O:$O,'EEFF Anuales'!AL$2,wallet_records!$H:$H,'EEFF Anuales'!$B47)</f>
        <v>0</v>
      </c>
      <c r="AM47" s="126"/>
      <c r="AN47" s="126"/>
      <c r="AO47" s="126"/>
      <c r="AP47" s="127"/>
      <c r="AQ47" s="127"/>
      <c r="AR47" s="127"/>
      <c r="AS47" s="115">
        <f>SUMIFS(wallet_records!$D:$D,wallet_records!$B:$B,'EEFF Anuales'!$C47,wallet_records!$O:$O,'EEFF Anuales'!AS$2,wallet_records!$H:$H,'EEFF Anuales'!$B47)</f>
        <v>0</v>
      </c>
    </row>
    <row r="48" spans="1:51" ht="16" x14ac:dyDescent="0.2">
      <c r="A48" s="265"/>
      <c r="B48" s="129" t="s">
        <v>352</v>
      </c>
      <c r="C48" s="206"/>
      <c r="D48" s="110"/>
      <c r="E48" s="110"/>
      <c r="F48" s="110"/>
      <c r="G48" s="110"/>
      <c r="H48" s="110"/>
      <c r="I48" s="110"/>
      <c r="J48" s="263">
        <f>J46-J47</f>
        <v>11016655.739999998</v>
      </c>
      <c r="K48" s="130"/>
      <c r="L48" s="130"/>
      <c r="M48" s="130"/>
      <c r="N48" s="130"/>
      <c r="O48" s="130"/>
      <c r="P48" s="130"/>
      <c r="Q48" s="263">
        <f>Q46-Q47</f>
        <v>-12191430.919999996</v>
      </c>
      <c r="R48" s="290"/>
      <c r="S48" s="290"/>
      <c r="T48" s="290"/>
      <c r="U48" s="290"/>
      <c r="V48" s="290"/>
      <c r="W48" s="290"/>
      <c r="X48" s="263">
        <f>X46-X47</f>
        <v>-35138065.080000013</v>
      </c>
      <c r="Y48" s="290"/>
      <c r="Z48" s="290"/>
      <c r="AA48" s="290"/>
      <c r="AB48" s="290"/>
      <c r="AC48" s="290"/>
      <c r="AD48" s="290"/>
      <c r="AE48" s="263">
        <f>AE46-AE47</f>
        <v>12030814.929999998</v>
      </c>
      <c r="AF48" s="130"/>
      <c r="AG48" s="130"/>
      <c r="AH48" s="130"/>
      <c r="AI48" s="130"/>
      <c r="AJ48" s="130"/>
      <c r="AK48" s="130"/>
      <c r="AL48" s="110">
        <f>AL46-AL47</f>
        <v>-6864512.4699999997</v>
      </c>
      <c r="AM48" s="130"/>
      <c r="AN48" s="130"/>
      <c r="AO48" s="130"/>
      <c r="AP48" s="130"/>
      <c r="AQ48" s="130"/>
      <c r="AR48" s="130"/>
      <c r="AS48" s="110">
        <f>AS46-AS47</f>
        <v>0</v>
      </c>
      <c r="AU48" s="181"/>
      <c r="AV48" s="181"/>
      <c r="AW48" s="181"/>
      <c r="AX48" s="181"/>
      <c r="AY48" s="181"/>
    </row>
    <row r="49" spans="2:51" x14ac:dyDescent="0.2">
      <c r="C49" s="204"/>
      <c r="D49" s="133"/>
      <c r="E49" s="133"/>
      <c r="F49" s="133"/>
      <c r="G49" s="133"/>
      <c r="H49" s="133"/>
      <c r="K49" s="138"/>
      <c r="L49" s="138"/>
      <c r="M49" s="138"/>
      <c r="N49" s="137"/>
      <c r="O49" s="137"/>
      <c r="P49" s="137"/>
      <c r="R49" s="138"/>
      <c r="S49" s="138"/>
      <c r="T49" s="138"/>
      <c r="U49" s="137"/>
      <c r="V49" s="137"/>
      <c r="W49" s="137"/>
      <c r="Y49" s="138"/>
      <c r="Z49" s="138"/>
      <c r="AA49" s="138"/>
      <c r="AB49" s="137"/>
      <c r="AC49" s="137"/>
      <c r="AD49" s="137"/>
      <c r="AF49" s="138"/>
      <c r="AG49" s="138"/>
      <c r="AH49" s="138"/>
      <c r="AI49" s="137"/>
      <c r="AJ49" s="137"/>
      <c r="AK49" s="137"/>
      <c r="AM49" s="138"/>
      <c r="AN49" s="138"/>
      <c r="AO49" s="138"/>
      <c r="AP49" s="137"/>
      <c r="AQ49" s="137"/>
      <c r="AR49" s="137"/>
      <c r="AU49" s="139">
        <f>J49/J$56</f>
        <v>0</v>
      </c>
      <c r="AV49" s="139">
        <f>Q49/Q$56</f>
        <v>0</v>
      </c>
      <c r="AW49" s="139">
        <f t="shared" ref="AW49:AW72" si="36">X49/X$56</f>
        <v>0</v>
      </c>
      <c r="AX49" s="139">
        <f t="shared" ref="AX49:AX72" si="37">AE49/AE$56</f>
        <v>0</v>
      </c>
      <c r="AY49" s="139" t="e">
        <f t="shared" ref="AY49:AY71" si="38">AL49/AL$56</f>
        <v>#DIV/0!</v>
      </c>
    </row>
    <row r="50" spans="2:51" x14ac:dyDescent="0.2">
      <c r="C50" s="204"/>
      <c r="K50" s="138"/>
      <c r="L50" s="138"/>
      <c r="M50" s="138"/>
      <c r="N50" s="133"/>
      <c r="O50" s="133"/>
      <c r="P50" s="133"/>
      <c r="R50" s="138"/>
      <c r="S50" s="138"/>
      <c r="T50" s="138"/>
      <c r="U50" s="133"/>
      <c r="V50" s="133"/>
      <c r="W50" s="133"/>
      <c r="Y50" s="138"/>
      <c r="Z50" s="138"/>
      <c r="AA50" s="138"/>
      <c r="AB50" s="133"/>
      <c r="AC50" s="133"/>
      <c r="AD50" s="133"/>
      <c r="AF50" s="138"/>
      <c r="AG50" s="138"/>
      <c r="AH50" s="138"/>
      <c r="AI50" s="133"/>
      <c r="AJ50" s="133"/>
      <c r="AK50" s="133"/>
      <c r="AM50" s="138"/>
      <c r="AN50" s="138"/>
      <c r="AO50" s="138"/>
      <c r="AP50" s="133"/>
      <c r="AQ50" s="133"/>
      <c r="AR50" s="133"/>
      <c r="AU50" s="139">
        <f>J50/J$56</f>
        <v>0</v>
      </c>
      <c r="AV50" s="139">
        <f>Q50/Q$56</f>
        <v>0</v>
      </c>
      <c r="AW50" s="139">
        <f t="shared" si="36"/>
        <v>0</v>
      </c>
      <c r="AX50" s="139">
        <f t="shared" si="37"/>
        <v>0</v>
      </c>
      <c r="AY50" s="139" t="e">
        <f t="shared" si="38"/>
        <v>#DIV/0!</v>
      </c>
    </row>
    <row r="51" spans="2:51" ht="16" x14ac:dyDescent="0.2">
      <c r="B51" s="183" t="s">
        <v>403</v>
      </c>
      <c r="C51" s="214"/>
      <c r="D51" s="184"/>
      <c r="E51" s="185"/>
      <c r="F51" s="185"/>
      <c r="G51" s="185"/>
      <c r="H51" s="181"/>
      <c r="I51" s="186"/>
      <c r="J51" s="186"/>
      <c r="K51" s="184"/>
      <c r="L51" s="185"/>
      <c r="M51" s="185"/>
      <c r="N51" s="185"/>
      <c r="O51" s="181"/>
      <c r="P51" s="115"/>
      <c r="Q51" s="186"/>
      <c r="R51" s="138"/>
      <c r="S51" s="138"/>
      <c r="T51" s="138"/>
      <c r="U51" s="133"/>
      <c r="V51" s="133"/>
      <c r="W51" s="133"/>
      <c r="X51" s="181"/>
      <c r="Y51" s="138"/>
      <c r="Z51" s="138"/>
      <c r="AA51" s="138"/>
      <c r="AB51" s="133"/>
      <c r="AC51" s="133"/>
      <c r="AD51" s="133"/>
      <c r="AE51" s="181"/>
      <c r="AF51" s="138"/>
      <c r="AG51" s="138"/>
      <c r="AH51" s="138"/>
      <c r="AI51" s="133"/>
      <c r="AJ51" s="133"/>
      <c r="AK51" s="133"/>
      <c r="AL51" s="181"/>
      <c r="AM51" s="138"/>
      <c r="AN51" s="138"/>
      <c r="AO51" s="138"/>
      <c r="AP51" s="133"/>
      <c r="AQ51" s="133"/>
      <c r="AR51" s="133"/>
      <c r="AS51" s="181"/>
      <c r="AU51" s="139">
        <f>J51/J$56</f>
        <v>0</v>
      </c>
      <c r="AV51" s="139">
        <f>Q51/Q$56</f>
        <v>0</v>
      </c>
      <c r="AW51" s="139">
        <f t="shared" si="36"/>
        <v>0</v>
      </c>
      <c r="AX51" s="139">
        <f t="shared" si="37"/>
        <v>0</v>
      </c>
      <c r="AY51" s="139" t="e">
        <f t="shared" si="38"/>
        <v>#DIV/0!</v>
      </c>
    </row>
    <row r="52" spans="2:51" x14ac:dyDescent="0.2">
      <c r="B52" s="105" t="s">
        <v>404</v>
      </c>
      <c r="C52" s="204"/>
      <c r="D52" s="136"/>
      <c r="E52" s="136"/>
      <c r="F52" s="136"/>
      <c r="G52" s="137"/>
      <c r="H52" s="137"/>
      <c r="I52" s="137"/>
      <c r="J52" s="137">
        <f>SUM(J53:J59)</f>
        <v>19568944.609999999</v>
      </c>
      <c r="K52" s="138"/>
      <c r="L52" s="138"/>
      <c r="M52" s="138"/>
      <c r="N52" s="137"/>
      <c r="O52" s="137"/>
      <c r="P52" s="115"/>
      <c r="Q52" s="137">
        <f>SUM(Q53:Q59)</f>
        <v>52134676.769999996</v>
      </c>
      <c r="R52" s="138"/>
      <c r="S52" s="138"/>
      <c r="T52" s="138"/>
      <c r="U52" s="137"/>
      <c r="V52" s="137"/>
      <c r="W52" s="115"/>
      <c r="X52" s="137">
        <f>SUM(X53:X59)</f>
        <v>68658958.069999993</v>
      </c>
      <c r="Y52" s="138"/>
      <c r="Z52" s="138"/>
      <c r="AA52" s="138"/>
      <c r="AB52" s="137"/>
      <c r="AC52" s="137"/>
      <c r="AD52" s="115"/>
      <c r="AE52" s="137">
        <f>SUM(AE53:AE59)</f>
        <v>80689773</v>
      </c>
      <c r="AF52" s="138"/>
      <c r="AG52" s="138"/>
      <c r="AH52" s="138"/>
      <c r="AI52" s="137"/>
      <c r="AJ52" s="137"/>
      <c r="AK52" s="115"/>
      <c r="AL52" s="137">
        <f>SUM(AL53:AL59)</f>
        <v>12900</v>
      </c>
      <c r="AM52" s="138"/>
      <c r="AN52" s="138"/>
      <c r="AO52" s="138"/>
      <c r="AP52" s="137"/>
      <c r="AQ52" s="137"/>
      <c r="AR52" s="115"/>
      <c r="AS52" s="137"/>
      <c r="AU52" s="139">
        <f>J52/J$56</f>
        <v>1.5372202628654874</v>
      </c>
      <c r="AV52" s="139">
        <f>Q52/Q$56</f>
        <v>2.1517014775204717</v>
      </c>
      <c r="AW52" s="139">
        <f t="shared" si="36"/>
        <v>1.7383455107558659</v>
      </c>
      <c r="AX52" s="139">
        <f t="shared" si="37"/>
        <v>3.2498542414724616</v>
      </c>
      <c r="AY52" s="139" t="e">
        <f t="shared" si="38"/>
        <v>#DIV/0!</v>
      </c>
    </row>
    <row r="53" spans="2:51" ht="16" x14ac:dyDescent="0.2">
      <c r="C53" s="204" t="s">
        <v>505</v>
      </c>
      <c r="D53" s="136"/>
      <c r="E53" s="136"/>
      <c r="F53" s="136"/>
      <c r="G53" s="137"/>
      <c r="H53" s="137"/>
      <c r="I53" s="137"/>
      <c r="J53" s="137">
        <v>0</v>
      </c>
      <c r="K53" s="138"/>
      <c r="L53" s="138"/>
      <c r="M53" s="138"/>
      <c r="N53" s="137"/>
      <c r="O53" s="137"/>
      <c r="P53" s="115"/>
      <c r="Q53" s="137">
        <v>0</v>
      </c>
      <c r="R53" s="138"/>
      <c r="S53" s="138"/>
      <c r="T53" s="138"/>
      <c r="U53" s="137"/>
      <c r="V53" s="137"/>
      <c r="W53" s="115"/>
      <c r="X53" s="137">
        <v>0</v>
      </c>
      <c r="Y53" s="138"/>
      <c r="Z53" s="138"/>
      <c r="AA53" s="138"/>
      <c r="AB53" s="137"/>
      <c r="AC53" s="137"/>
      <c r="AD53" s="115"/>
      <c r="AE53" s="137">
        <v>0</v>
      </c>
      <c r="AF53" s="138"/>
      <c r="AG53" s="138"/>
      <c r="AH53" s="138"/>
      <c r="AI53" s="137"/>
      <c r="AJ53" s="137"/>
      <c r="AK53" s="115"/>
      <c r="AL53" s="137">
        <v>12900</v>
      </c>
      <c r="AM53" s="138"/>
      <c r="AN53" s="138"/>
      <c r="AO53" s="138"/>
      <c r="AP53" s="137"/>
      <c r="AQ53" s="137"/>
      <c r="AR53" s="115"/>
      <c r="AS53" s="137">
        <v>0</v>
      </c>
      <c r="AU53" s="145">
        <f t="shared" ref="AU53:AU72" si="39">J53/J$56</f>
        <v>0</v>
      </c>
      <c r="AV53" s="145">
        <f t="shared" ref="AV53:AV72" si="40">Q53/Q$56</f>
        <v>0</v>
      </c>
      <c r="AW53" s="145">
        <f t="shared" si="36"/>
        <v>0</v>
      </c>
      <c r="AX53" s="145">
        <f t="shared" si="37"/>
        <v>0</v>
      </c>
      <c r="AY53" s="145" t="e">
        <f t="shared" si="38"/>
        <v>#DIV/0!</v>
      </c>
    </row>
    <row r="54" spans="2:51" x14ac:dyDescent="0.2">
      <c r="C54" s="204" t="s">
        <v>127</v>
      </c>
      <c r="D54" s="136"/>
      <c r="E54" s="136"/>
      <c r="F54" s="136"/>
      <c r="G54" s="137"/>
      <c r="H54" s="137"/>
      <c r="I54" s="137"/>
      <c r="J54" s="116">
        <f>SUMIFS(Saldos!$D:$D,Saldos!$B:$B,12,Saldos!$C:$C,'EEFF Anuales'!J$2)</f>
        <v>2169341.61</v>
      </c>
      <c r="K54" s="138"/>
      <c r="L54" s="138"/>
      <c r="M54" s="138"/>
      <c r="N54" s="137"/>
      <c r="O54" s="137"/>
      <c r="P54" s="115"/>
      <c r="Q54" s="116">
        <f>SUMIFS(Saldos!$D:$D,Saldos!$B:$B,12,Saldos!$C:$C,'EEFF Anuales'!Q$2)</f>
        <v>8349632.7699999996</v>
      </c>
      <c r="R54" s="138"/>
      <c r="S54" s="138"/>
      <c r="T54" s="138"/>
      <c r="U54" s="137"/>
      <c r="V54" s="137"/>
      <c r="W54" s="115"/>
      <c r="X54" s="116">
        <f>SUMIFS(Saldos!$D:$D,Saldos!$B:$B,12,Saldos!$C:$C,'EEFF Anuales'!X$2)</f>
        <v>16255659.83</v>
      </c>
      <c r="Y54" s="138"/>
      <c r="Z54" s="138"/>
      <c r="AA54" s="138"/>
      <c r="AB54" s="137"/>
      <c r="AC54" s="137"/>
      <c r="AD54" s="115"/>
      <c r="AE54" s="116">
        <f>SUMIFS(Saldos!$D:$D,Saldos!$B:$B,12,Saldos!$C:$C,'EEFF Anuales'!AE$2)</f>
        <v>4112943.35</v>
      </c>
      <c r="AF54" s="138"/>
      <c r="AG54" s="138"/>
      <c r="AH54" s="138"/>
      <c r="AI54" s="137"/>
      <c r="AJ54" s="137"/>
      <c r="AK54" s="115"/>
      <c r="AL54" s="116">
        <f>SUMIFS(Saldos!$D:$D,Saldos!$B:$B,12,Saldos!$C:$C,'EEFF Anuales'!AL$2)</f>
        <v>0</v>
      </c>
      <c r="AM54" s="138"/>
      <c r="AN54" s="138"/>
      <c r="AO54" s="138"/>
      <c r="AP54" s="137"/>
      <c r="AQ54" s="137"/>
      <c r="AR54" s="115"/>
      <c r="AS54" s="115">
        <f>SUMIFS(Saldos!$D:$D,Saldos!$B:$B,'EEFF 2026'!AS$2,Saldos!$C:$C,'EEFF 2026'!$B$1)</f>
        <v>0</v>
      </c>
      <c r="AU54" s="149">
        <f t="shared" si="39"/>
        <v>0.17041061469738811</v>
      </c>
      <c r="AV54" s="149">
        <f t="shared" si="40"/>
        <v>0.34460589920259227</v>
      </c>
      <c r="AW54" s="149">
        <f t="shared" si="36"/>
        <v>0.41156979488452294</v>
      </c>
      <c r="AX54" s="149">
        <f t="shared" si="37"/>
        <v>0.16565254671039234</v>
      </c>
      <c r="AY54" s="149" t="e">
        <f t="shared" si="38"/>
        <v>#DIV/0!</v>
      </c>
    </row>
    <row r="55" spans="2:51" ht="16" x14ac:dyDescent="0.2">
      <c r="C55" s="204" t="s">
        <v>118</v>
      </c>
      <c r="D55" s="136"/>
      <c r="E55" s="136"/>
      <c r="F55" s="136"/>
      <c r="G55" s="137"/>
      <c r="H55" s="137"/>
      <c r="I55" s="137"/>
      <c r="J55" s="116">
        <f>SUMIFS(Saldos!$E:$E,Saldos!$B:$B,12,Saldos!$C:$C,'EEFF Anuales'!J$2)</f>
        <v>3666466</v>
      </c>
      <c r="K55" s="138"/>
      <c r="L55" s="138"/>
      <c r="M55" s="138"/>
      <c r="N55" s="137"/>
      <c r="O55" s="137"/>
      <c r="P55" s="115"/>
      <c r="Q55" s="116">
        <f>SUMIFS(Saldos!$E:$E,Saldos!$B:$B,12,Saldos!$C:$C,'EEFF Anuales'!Q$2)</f>
        <v>10925330</v>
      </c>
      <c r="R55" s="138"/>
      <c r="S55" s="138"/>
      <c r="T55" s="138"/>
      <c r="U55" s="137"/>
      <c r="V55" s="137"/>
      <c r="W55" s="115"/>
      <c r="X55" s="116">
        <f>SUMIFS(Saldos!$E:$E,Saldos!$B:$B,12,Saldos!$C:$C,'EEFF Anuales'!X$2)</f>
        <v>1000000</v>
      </c>
      <c r="Y55" s="138"/>
      <c r="Z55" s="138"/>
      <c r="AA55" s="138"/>
      <c r="AB55" s="137"/>
      <c r="AC55" s="137"/>
      <c r="AD55" s="115"/>
      <c r="AE55" s="116">
        <f>SUMIFS(Saldos!$E:$E,Saldos!$B:$B,12,Saldos!$C:$C,'EEFF Anuales'!AE$2)</f>
        <v>5263268</v>
      </c>
      <c r="AF55" s="138"/>
      <c r="AG55" s="138"/>
      <c r="AH55" s="138"/>
      <c r="AI55" s="137"/>
      <c r="AJ55" s="137"/>
      <c r="AK55" s="115"/>
      <c r="AL55" s="116">
        <f>SUMIFS(Saldos!$E:$E,Saldos!$B:$B,12,Saldos!$C:$C,'EEFF Anuales'!AL$2)</f>
        <v>0</v>
      </c>
      <c r="AM55" s="138"/>
      <c r="AN55" s="138"/>
      <c r="AO55" s="138"/>
      <c r="AP55" s="137"/>
      <c r="AQ55" s="137"/>
      <c r="AR55" s="115"/>
      <c r="AS55" s="115">
        <f>SUMIFS(Saldos!$E:$E,Saldos!$B:$B,'EEFF 2026'!AS$2,Saldos!$C:$C,'EEFF 2026'!$B$1)</f>
        <v>0</v>
      </c>
      <c r="AU55" s="145">
        <f t="shared" si="39"/>
        <v>0.28801583021637328</v>
      </c>
      <c r="AV55" s="145">
        <f t="shared" si="40"/>
        <v>0.45091003070965691</v>
      </c>
      <c r="AW55" s="145">
        <f t="shared" si="36"/>
        <v>2.5318553610784004E-2</v>
      </c>
      <c r="AX55" s="145">
        <f t="shared" si="37"/>
        <v>0.21198292172424726</v>
      </c>
      <c r="AY55" s="145" t="e">
        <f t="shared" si="38"/>
        <v>#DIV/0!</v>
      </c>
    </row>
    <row r="56" spans="2:51" ht="16" x14ac:dyDescent="0.2">
      <c r="C56" s="204" t="s">
        <v>515</v>
      </c>
      <c r="D56" s="136"/>
      <c r="E56" s="136"/>
      <c r="F56" s="136"/>
      <c r="G56" s="137"/>
      <c r="H56" s="137"/>
      <c r="I56" s="137"/>
      <c r="J56" s="116">
        <f>SUMIFS(Saldos!$F:$F,Saldos!$B:$B,12,Saldos!$C:$C,'EEFF Anuales'!J$2)</f>
        <v>12730085</v>
      </c>
      <c r="K56" s="138"/>
      <c r="L56" s="138"/>
      <c r="M56" s="138"/>
      <c r="N56" s="137"/>
      <c r="O56" s="137"/>
      <c r="P56" s="115"/>
      <c r="Q56" s="116">
        <f>SUMIFS(Saldos!$F:$F,Saldos!$B:$B,12,Saldos!$C:$C,'EEFF Anuales'!Q$2)</f>
        <v>24229512</v>
      </c>
      <c r="R56" s="138"/>
      <c r="S56" s="138"/>
      <c r="T56" s="138"/>
      <c r="U56" s="137"/>
      <c r="V56" s="137"/>
      <c r="W56" s="115"/>
      <c r="X56" s="116">
        <f>SUMIFS(Saldos!$F:$F,Saldos!$B:$B,12,Saldos!$C:$C,'EEFF Anuales'!X$2)</f>
        <v>39496727</v>
      </c>
      <c r="Y56" s="138"/>
      <c r="Z56" s="138"/>
      <c r="AA56" s="138"/>
      <c r="AB56" s="137"/>
      <c r="AC56" s="137"/>
      <c r="AD56" s="115"/>
      <c r="AE56" s="116">
        <f>SUMIFS(Saldos!$F:$F,Saldos!$B:$B,12,Saldos!$C:$C,'EEFF Anuales'!AE$2)</f>
        <v>24828736</v>
      </c>
      <c r="AF56" s="138"/>
      <c r="AG56" s="138"/>
      <c r="AH56" s="138"/>
      <c r="AI56" s="137"/>
      <c r="AJ56" s="137"/>
      <c r="AK56" s="115"/>
      <c r="AL56" s="116">
        <f>SUMIFS(Saldos!$F:$F,Saldos!$B:$B,12,Saldos!$C:$C,'EEFF Anuales'!AL$2)</f>
        <v>0</v>
      </c>
      <c r="AM56" s="138"/>
      <c r="AN56" s="138"/>
      <c r="AO56" s="138"/>
      <c r="AP56" s="137"/>
      <c r="AQ56" s="137"/>
      <c r="AR56" s="115"/>
      <c r="AS56" s="115">
        <f>SUMIFS(Saldos!$F:$F,Saldos!$B:$B,'EEFF 2026'!AS$2,Saldos!$C:$C,'EEFF 2026'!$B$1)</f>
        <v>0</v>
      </c>
      <c r="AU56" s="153">
        <f t="shared" si="39"/>
        <v>1</v>
      </c>
      <c r="AV56" s="153">
        <f t="shared" si="40"/>
        <v>1</v>
      </c>
      <c r="AW56" s="153">
        <f t="shared" si="36"/>
        <v>1</v>
      </c>
      <c r="AX56" s="153">
        <f t="shared" si="37"/>
        <v>1</v>
      </c>
      <c r="AY56" s="153" t="e">
        <f t="shared" si="38"/>
        <v>#DIV/0!</v>
      </c>
    </row>
    <row r="57" spans="2:51" x14ac:dyDescent="0.2">
      <c r="C57" s="256" t="s">
        <v>59</v>
      </c>
      <c r="D57" s="136"/>
      <c r="E57" s="136"/>
      <c r="F57" s="136"/>
      <c r="G57" s="137"/>
      <c r="H57" s="137"/>
      <c r="I57" s="137"/>
      <c r="J57" s="116">
        <f>SUMIFS(Saldos!$G:$G,Saldos!$B:$B,12,Saldos!$C:$C,'EEFF Anuales'!J$2)</f>
        <v>0</v>
      </c>
      <c r="K57" s="138"/>
      <c r="L57" s="138"/>
      <c r="M57" s="138"/>
      <c r="N57" s="137"/>
      <c r="O57" s="137"/>
      <c r="P57" s="115"/>
      <c r="Q57" s="116">
        <f>SUMIFS(Saldos!$G:$G,Saldos!$B:$B,12,Saldos!$C:$C,'EEFF Anuales'!Q$2)</f>
        <v>0</v>
      </c>
      <c r="R57" s="138"/>
      <c r="S57" s="138"/>
      <c r="T57" s="138"/>
      <c r="U57" s="137"/>
      <c r="V57" s="137"/>
      <c r="W57" s="115"/>
      <c r="X57" s="116">
        <f>SUMIFS(Saldos!$G:$G,Saldos!$B:$B,12,Saldos!$C:$C,'EEFF Anuales'!X$2)</f>
        <v>0</v>
      </c>
      <c r="Y57" s="138"/>
      <c r="Z57" s="138"/>
      <c r="AA57" s="138"/>
      <c r="AB57" s="137"/>
      <c r="AC57" s="137"/>
      <c r="AD57" s="115"/>
      <c r="AE57" s="116">
        <f>SUMIFS(Saldos!$G:$G,Saldos!$B:$B,12,Saldos!$C:$C,'EEFF Anuales'!AE$2)</f>
        <v>0</v>
      </c>
      <c r="AF57" s="138"/>
      <c r="AG57" s="138"/>
      <c r="AH57" s="138"/>
      <c r="AI57" s="137"/>
      <c r="AJ57" s="137"/>
      <c r="AK57" s="115"/>
      <c r="AL57" s="116">
        <f>SUMIFS(Saldos!$G:$G,Saldos!$B:$B,12,Saldos!$C:$C,'EEFF Anuales'!AL$2)</f>
        <v>0</v>
      </c>
      <c r="AM57" s="138"/>
      <c r="AN57" s="138"/>
      <c r="AO57" s="138"/>
      <c r="AP57" s="137"/>
      <c r="AQ57" s="137"/>
      <c r="AR57" s="115"/>
      <c r="AS57" s="116">
        <f>SUMIFS(Saldos!$G:$G,Saldos!$B:$B,'EEFF 2026'!AS$2,Saldos!$C:$C,'EEFF 2026'!$B$1)</f>
        <v>0</v>
      </c>
      <c r="AU57" s="139">
        <f t="shared" si="39"/>
        <v>0</v>
      </c>
      <c r="AV57" s="139">
        <f t="shared" si="40"/>
        <v>0</v>
      </c>
      <c r="AW57" s="139">
        <f t="shared" si="36"/>
        <v>0</v>
      </c>
      <c r="AX57" s="139">
        <f t="shared" si="37"/>
        <v>0</v>
      </c>
      <c r="AY57" s="139" t="e">
        <f t="shared" si="38"/>
        <v>#DIV/0!</v>
      </c>
    </row>
    <row r="58" spans="2:51" x14ac:dyDescent="0.2">
      <c r="C58" s="204" t="s">
        <v>516</v>
      </c>
      <c r="D58" s="136"/>
      <c r="E58" s="136"/>
      <c r="F58" s="136"/>
      <c r="G58" s="137"/>
      <c r="H58" s="137"/>
      <c r="I58" s="137"/>
      <c r="J58" s="116">
        <f>SUMIFS(Saldos!$H:$H,Saldos!$B:$B,12,Saldos!$C:$C,'EEFF Anuales'!J$2)</f>
        <v>0</v>
      </c>
      <c r="K58" s="138"/>
      <c r="L58" s="138"/>
      <c r="M58" s="138"/>
      <c r="N58" s="137"/>
      <c r="O58" s="137"/>
      <c r="P58" s="115"/>
      <c r="Q58" s="116">
        <f>SUMIFS(Saldos!$H:$H,Saldos!$B:$B,12,Saldos!$C:$C,'EEFF Anuales'!Q$2)</f>
        <v>0</v>
      </c>
      <c r="R58" s="138"/>
      <c r="S58" s="138"/>
      <c r="T58" s="138"/>
      <c r="U58" s="137"/>
      <c r="V58" s="137"/>
      <c r="W58" s="115"/>
      <c r="X58" s="116">
        <f>SUMIFS(Saldos!$H:$H,Saldos!$B:$B,12,Saldos!$C:$C,'EEFF Anuales'!X$2)</f>
        <v>5145331.24</v>
      </c>
      <c r="Y58" s="138"/>
      <c r="Z58" s="138"/>
      <c r="AA58" s="138"/>
      <c r="AB58" s="137"/>
      <c r="AC58" s="137"/>
      <c r="AD58" s="115"/>
      <c r="AE58" s="116">
        <f>SUMIFS(Saldos!$H:$H,Saldos!$B:$B,12,Saldos!$C:$C,'EEFF Anuales'!AE$2)</f>
        <v>14238315.6</v>
      </c>
      <c r="AF58" s="138"/>
      <c r="AG58" s="138"/>
      <c r="AH58" s="138"/>
      <c r="AI58" s="137"/>
      <c r="AJ58" s="137"/>
      <c r="AK58" s="115"/>
      <c r="AL58" s="116">
        <f>SUMIFS(Saldos!$H:$H,Saldos!$B:$B,12,Saldos!$C:$C,'EEFF Anuales'!AL$2)</f>
        <v>0</v>
      </c>
      <c r="AM58" s="138"/>
      <c r="AN58" s="138"/>
      <c r="AO58" s="138"/>
      <c r="AP58" s="137"/>
      <c r="AQ58" s="137"/>
      <c r="AR58" s="115"/>
      <c r="AS58" s="115">
        <f>SUMIFS(Saldos!$H:$H,Saldos!$B:$B,'EEFF 2026'!AS$2,Saldos!$C:$C,'EEFF 2026'!$B$1)</f>
        <v>0</v>
      </c>
      <c r="AU58" s="139">
        <f t="shared" si="39"/>
        <v>0</v>
      </c>
      <c r="AV58" s="139">
        <f t="shared" si="40"/>
        <v>0</v>
      </c>
      <c r="AW58" s="139">
        <f t="shared" si="36"/>
        <v>0.13027234484518174</v>
      </c>
      <c r="AX58" s="139">
        <f t="shared" si="37"/>
        <v>0.57346115404344389</v>
      </c>
      <c r="AY58" s="139" t="e">
        <f t="shared" si="38"/>
        <v>#DIV/0!</v>
      </c>
    </row>
    <row r="59" spans="2:51" x14ac:dyDescent="0.2">
      <c r="C59" s="204" t="s">
        <v>126</v>
      </c>
      <c r="D59" s="136"/>
      <c r="E59" s="136"/>
      <c r="F59" s="136"/>
      <c r="G59" s="137"/>
      <c r="H59" s="137"/>
      <c r="I59" s="137"/>
      <c r="J59" s="116">
        <f>SUMIFS(Saldos!$I:$I,Saldos!$B:$B,12,Saldos!$C:$C,'EEFF Anuales'!J$2)</f>
        <v>1003052</v>
      </c>
      <c r="K59" s="138"/>
      <c r="L59" s="138"/>
      <c r="M59" s="138"/>
      <c r="N59" s="137"/>
      <c r="O59" s="137"/>
      <c r="P59" s="115"/>
      <c r="Q59" s="116">
        <f>SUMIFS(Saldos!$I:$I,Saldos!$B:$B,12,Saldos!$C:$C,'EEFF Anuales'!Q$2)</f>
        <v>8630202</v>
      </c>
      <c r="R59" s="138"/>
      <c r="S59" s="138"/>
      <c r="T59" s="138"/>
      <c r="U59" s="137"/>
      <c r="V59" s="137"/>
      <c r="W59" s="115"/>
      <c r="X59" s="116">
        <f>SUMIFS(Saldos!$I:$I,Saldos!$B:$B,12,Saldos!$C:$C,'EEFF Anuales'!X$2)</f>
        <v>6761240</v>
      </c>
      <c r="Y59" s="138"/>
      <c r="Z59" s="138"/>
      <c r="AA59" s="138"/>
      <c r="AB59" s="137"/>
      <c r="AC59" s="137"/>
      <c r="AD59" s="115"/>
      <c r="AE59" s="116">
        <f>SUMIFS(Saldos!$I:$I,Saldos!$B:$B,12,Saldos!$C:$C,'EEFF Anuales'!AE$2)</f>
        <v>32246510.050000001</v>
      </c>
      <c r="AF59" s="138"/>
      <c r="AG59" s="138"/>
      <c r="AH59" s="138"/>
      <c r="AI59" s="137"/>
      <c r="AJ59" s="137"/>
      <c r="AK59" s="115"/>
      <c r="AL59" s="116">
        <f>SUMIFS(Saldos!$I:$I,Saldos!$B:$B,12,Saldos!$C:$C,'EEFF Anuales'!AL$2)</f>
        <v>0</v>
      </c>
      <c r="AM59" s="138"/>
      <c r="AN59" s="138"/>
      <c r="AO59" s="138"/>
      <c r="AP59" s="137"/>
      <c r="AQ59" s="137"/>
      <c r="AR59" s="115"/>
      <c r="AS59" s="115">
        <f>SUMIFS(Saldos!$I:$I,Saldos!$B:$B,'EEFF 2026'!AS$2,Saldos!$C:$C,'EEFF 2026'!$B$1)</f>
        <v>0</v>
      </c>
      <c r="AU59" s="139">
        <f t="shared" si="39"/>
        <v>7.8793817951726172E-2</v>
      </c>
      <c r="AV59" s="139">
        <f t="shared" si="40"/>
        <v>0.35618554760822257</v>
      </c>
      <c r="AW59" s="139">
        <f t="shared" si="36"/>
        <v>0.17118481741537722</v>
      </c>
      <c r="AX59" s="139">
        <f t="shared" si="37"/>
        <v>1.2987576189943781</v>
      </c>
      <c r="AY59" s="139" t="e">
        <f t="shared" si="38"/>
        <v>#DIV/0!</v>
      </c>
    </row>
    <row r="60" spans="2:51" x14ac:dyDescent="0.2">
      <c r="B60" s="105" t="s">
        <v>405</v>
      </c>
      <c r="C60" s="204"/>
      <c r="D60" s="136"/>
      <c r="E60" s="136"/>
      <c r="F60" s="136"/>
      <c r="G60" s="133"/>
      <c r="H60" s="133"/>
      <c r="I60" s="133"/>
      <c r="K60" s="138"/>
      <c r="L60" s="138"/>
      <c r="M60" s="138"/>
      <c r="N60" s="133"/>
      <c r="O60" s="133"/>
      <c r="P60" s="115"/>
      <c r="R60" s="138"/>
      <c r="S60" s="138"/>
      <c r="T60" s="138"/>
      <c r="U60" s="133"/>
      <c r="V60" s="133"/>
      <c r="W60" s="115"/>
      <c r="Y60" s="138"/>
      <c r="Z60" s="138"/>
      <c r="AA60" s="138"/>
      <c r="AB60" s="133"/>
      <c r="AC60" s="133"/>
      <c r="AD60" s="115"/>
      <c r="AF60" s="138"/>
      <c r="AG60" s="138"/>
      <c r="AH60" s="138"/>
      <c r="AI60" s="133"/>
      <c r="AJ60" s="133"/>
      <c r="AK60" s="115"/>
      <c r="AM60" s="138"/>
      <c r="AN60" s="138"/>
      <c r="AO60" s="138"/>
      <c r="AP60" s="133"/>
      <c r="AQ60" s="133"/>
      <c r="AR60" s="115"/>
      <c r="AU60" s="139">
        <f t="shared" si="39"/>
        <v>0</v>
      </c>
      <c r="AV60" s="139">
        <f t="shared" si="40"/>
        <v>0</v>
      </c>
      <c r="AW60" s="139">
        <f t="shared" si="36"/>
        <v>0</v>
      </c>
      <c r="AX60" s="139">
        <f t="shared" si="37"/>
        <v>0</v>
      </c>
      <c r="AY60" s="139" t="e">
        <f t="shared" si="38"/>
        <v>#DIV/0!</v>
      </c>
    </row>
    <row r="61" spans="2:51" x14ac:dyDescent="0.2">
      <c r="B61" s="105" t="s">
        <v>406</v>
      </c>
      <c r="C61" s="204"/>
      <c r="D61" s="136"/>
      <c r="E61" s="136"/>
      <c r="F61" s="136"/>
      <c r="G61" s="133"/>
      <c r="H61" s="133"/>
      <c r="I61" s="133"/>
      <c r="K61" s="138"/>
      <c r="L61" s="138"/>
      <c r="M61" s="138"/>
      <c r="N61" s="133"/>
      <c r="O61" s="133"/>
      <c r="P61" s="115"/>
      <c r="R61" s="138"/>
      <c r="S61" s="138"/>
      <c r="T61" s="138"/>
      <c r="U61" s="133"/>
      <c r="V61" s="133"/>
      <c r="W61" s="115"/>
      <c r="Y61" s="138"/>
      <c r="Z61" s="138"/>
      <c r="AA61" s="138"/>
      <c r="AB61" s="133"/>
      <c r="AC61" s="133"/>
      <c r="AD61" s="115"/>
      <c r="AF61" s="138"/>
      <c r="AG61" s="138"/>
      <c r="AH61" s="138"/>
      <c r="AI61" s="133"/>
      <c r="AJ61" s="133"/>
      <c r="AK61" s="115"/>
      <c r="AM61" s="138"/>
      <c r="AN61" s="138"/>
      <c r="AO61" s="138"/>
      <c r="AP61" s="133"/>
      <c r="AQ61" s="133"/>
      <c r="AR61" s="115"/>
      <c r="AU61" s="139">
        <f t="shared" si="39"/>
        <v>0</v>
      </c>
      <c r="AV61" s="139">
        <f t="shared" si="40"/>
        <v>0</v>
      </c>
      <c r="AW61" s="139">
        <f t="shared" si="36"/>
        <v>0</v>
      </c>
      <c r="AX61" s="139">
        <f t="shared" si="37"/>
        <v>0</v>
      </c>
      <c r="AY61" s="139" t="e">
        <f t="shared" si="38"/>
        <v>#DIV/0!</v>
      </c>
    </row>
    <row r="62" spans="2:51" ht="16" x14ac:dyDescent="0.2">
      <c r="B62" s="105" t="s">
        <v>407</v>
      </c>
      <c r="C62" s="204"/>
      <c r="D62" s="136"/>
      <c r="E62" s="136"/>
      <c r="F62" s="136"/>
      <c r="G62" s="140"/>
      <c r="H62" s="140"/>
      <c r="I62" s="140"/>
      <c r="K62" s="138"/>
      <c r="L62" s="138"/>
      <c r="M62" s="138"/>
      <c r="N62" s="140"/>
      <c r="O62" s="140"/>
      <c r="P62" s="120"/>
      <c r="R62" s="138"/>
      <c r="S62" s="138"/>
      <c r="T62" s="138"/>
      <c r="U62" s="140"/>
      <c r="V62" s="140"/>
      <c r="W62" s="120"/>
      <c r="Y62" s="138"/>
      <c r="Z62" s="138"/>
      <c r="AA62" s="138"/>
      <c r="AB62" s="140"/>
      <c r="AC62" s="140"/>
      <c r="AD62" s="120"/>
      <c r="AF62" s="138"/>
      <c r="AG62" s="138"/>
      <c r="AH62" s="138"/>
      <c r="AI62" s="140"/>
      <c r="AJ62" s="140"/>
      <c r="AK62" s="120"/>
      <c r="AM62" s="138"/>
      <c r="AN62" s="138"/>
      <c r="AO62" s="138"/>
      <c r="AP62" s="140"/>
      <c r="AQ62" s="140"/>
      <c r="AR62" s="120"/>
      <c r="AU62" s="145">
        <f t="shared" si="39"/>
        <v>0</v>
      </c>
      <c r="AV62" s="145">
        <f t="shared" si="40"/>
        <v>0</v>
      </c>
      <c r="AW62" s="145">
        <f t="shared" si="36"/>
        <v>0</v>
      </c>
      <c r="AX62" s="145">
        <f t="shared" si="37"/>
        <v>0</v>
      </c>
      <c r="AY62" s="145" t="e">
        <f t="shared" si="38"/>
        <v>#DIV/0!</v>
      </c>
    </row>
    <row r="63" spans="2:51" ht="16" x14ac:dyDescent="0.2">
      <c r="B63" s="141" t="s">
        <v>408</v>
      </c>
      <c r="C63" s="207"/>
      <c r="D63" s="142"/>
      <c r="E63" s="142"/>
      <c r="F63" s="142"/>
      <c r="G63" s="142"/>
      <c r="H63" s="142"/>
      <c r="I63" s="142"/>
      <c r="J63" s="143">
        <f>SUM(J60:J62)+J52</f>
        <v>19568944.609999999</v>
      </c>
      <c r="K63" s="142"/>
      <c r="L63" s="142"/>
      <c r="M63" s="142"/>
      <c r="N63" s="142"/>
      <c r="O63" s="142"/>
      <c r="P63" s="142"/>
      <c r="Q63" s="142">
        <f>SUM(Q60:Q62)+Q52</f>
        <v>52134676.769999996</v>
      </c>
      <c r="R63" s="142"/>
      <c r="S63" s="142"/>
      <c r="T63" s="142"/>
      <c r="U63" s="142"/>
      <c r="V63" s="142"/>
      <c r="W63" s="142"/>
      <c r="X63" s="142">
        <f>SUM(X60:X62)+X52</f>
        <v>68658958.069999993</v>
      </c>
      <c r="Y63" s="142"/>
      <c r="Z63" s="142"/>
      <c r="AA63" s="142"/>
      <c r="AB63" s="142"/>
      <c r="AC63" s="142"/>
      <c r="AD63" s="142"/>
      <c r="AE63" s="142">
        <f>SUM(AE60:AE62)+AE52</f>
        <v>80689773</v>
      </c>
      <c r="AF63" s="142"/>
      <c r="AG63" s="142"/>
      <c r="AH63" s="142"/>
      <c r="AI63" s="142"/>
      <c r="AJ63" s="142"/>
      <c r="AK63" s="142"/>
      <c r="AL63" s="142">
        <f>SUM(AL60:AL62)+AL52</f>
        <v>12900</v>
      </c>
      <c r="AM63" s="142"/>
      <c r="AN63" s="142"/>
      <c r="AO63" s="142"/>
      <c r="AP63" s="142"/>
      <c r="AQ63" s="142"/>
      <c r="AR63" s="142"/>
      <c r="AS63" s="142">
        <f>SUM(AS60:AS62)+AS52</f>
        <v>0</v>
      </c>
      <c r="AU63" s="146">
        <f t="shared" si="39"/>
        <v>1.5372202628654874</v>
      </c>
      <c r="AV63" s="146">
        <f t="shared" si="40"/>
        <v>2.1517014775204717</v>
      </c>
      <c r="AW63" s="146">
        <f t="shared" si="36"/>
        <v>1.7383455107558659</v>
      </c>
      <c r="AX63" s="146">
        <f t="shared" si="37"/>
        <v>3.2498542414724616</v>
      </c>
      <c r="AY63" s="146" t="e">
        <f t="shared" si="38"/>
        <v>#DIV/0!</v>
      </c>
    </row>
    <row r="64" spans="2:51" x14ac:dyDescent="0.2">
      <c r="B64" s="147" t="s">
        <v>409</v>
      </c>
      <c r="C64" s="208"/>
      <c r="D64" s="148">
        <f>Activos!$H$129</f>
        <v>269047800</v>
      </c>
      <c r="E64" s="148">
        <f>Activos!$H$110</f>
        <v>993789999.99999988</v>
      </c>
      <c r="F64" s="148">
        <f>Activos!$H$34</f>
        <v>239852199.99999997</v>
      </c>
      <c r="G64" s="148">
        <f>Activos!$H$91</f>
        <v>56763000</v>
      </c>
      <c r="H64" s="148">
        <f>Activos!$H$53</f>
        <v>215607000</v>
      </c>
      <c r="I64" s="148">
        <f>Activos!$H$72</f>
        <v>110678377.59999999</v>
      </c>
      <c r="J64" s="148">
        <f>SUM(D64:I64)</f>
        <v>1885738377.5999999</v>
      </c>
      <c r="K64" s="148">
        <f>Activos!$H$129</f>
        <v>269047800</v>
      </c>
      <c r="L64" s="148">
        <f>Activos!$H$110</f>
        <v>993789999.99999988</v>
      </c>
      <c r="M64" s="148">
        <f>Activos!$H$34</f>
        <v>239852199.99999997</v>
      </c>
      <c r="N64" s="148">
        <f>Activos!$H$91</f>
        <v>56763000</v>
      </c>
      <c r="O64" s="148">
        <f>Activos!$H$53</f>
        <v>215607000</v>
      </c>
      <c r="P64" s="148">
        <f>Activos!$H$72</f>
        <v>110678377.59999999</v>
      </c>
      <c r="Q64" s="148">
        <f>SUM(K64:P64)</f>
        <v>1885738377.5999999</v>
      </c>
      <c r="R64" s="148">
        <f>Activos!$H$129</f>
        <v>269047800</v>
      </c>
      <c r="S64" s="148">
        <f>Activos!$H$110</f>
        <v>993789999.99999988</v>
      </c>
      <c r="T64" s="148">
        <f>Activos!$H$34</f>
        <v>239852199.99999997</v>
      </c>
      <c r="U64" s="148">
        <f>Activos!$H$91</f>
        <v>56763000</v>
      </c>
      <c r="V64" s="148">
        <f>Activos!$H$53</f>
        <v>215607000</v>
      </c>
      <c r="W64" s="148">
        <f>Activos!$H$72</f>
        <v>110678377.59999999</v>
      </c>
      <c r="X64" s="148">
        <f>SUM(R64:W64)</f>
        <v>1885738377.5999999</v>
      </c>
      <c r="Y64" s="148">
        <f>Activos!$H$129</f>
        <v>269047800</v>
      </c>
      <c r="Z64" s="148">
        <f>Activos!$H$110</f>
        <v>993789999.99999988</v>
      </c>
      <c r="AA64" s="148">
        <f>Activos!$H$34</f>
        <v>239852199.99999997</v>
      </c>
      <c r="AB64" s="148">
        <f>Activos!$H$91</f>
        <v>56763000</v>
      </c>
      <c r="AC64" s="148">
        <f>Activos!$H$53</f>
        <v>215607000</v>
      </c>
      <c r="AD64" s="148">
        <f>Activos!$H$72</f>
        <v>110678377.59999999</v>
      </c>
      <c r="AE64" s="148">
        <f>SUM(Y64:AD64)</f>
        <v>1885738377.5999999</v>
      </c>
      <c r="AF64" s="148">
        <f>Activos!$H$129</f>
        <v>269047800</v>
      </c>
      <c r="AG64" s="148">
        <f>Activos!$H$110</f>
        <v>993789999.99999988</v>
      </c>
      <c r="AH64" s="148">
        <f>Activos!$H$34</f>
        <v>239852199.99999997</v>
      </c>
      <c r="AI64" s="148">
        <f>Activos!$H$91</f>
        <v>56763000</v>
      </c>
      <c r="AJ64" s="148">
        <f>Activos!$H$53</f>
        <v>215607000</v>
      </c>
      <c r="AK64" s="148">
        <f>Activos!$H$72</f>
        <v>110678377.59999999</v>
      </c>
      <c r="AL64" s="148">
        <f>SUM(AF64:AK64)</f>
        <v>1885738377.5999999</v>
      </c>
      <c r="AM64" s="148">
        <f>Activos!$H$129</f>
        <v>269047800</v>
      </c>
      <c r="AN64" s="148">
        <f>Activos!$H$110</f>
        <v>993789999.99999988</v>
      </c>
      <c r="AO64" s="148">
        <f>Activos!$H$34</f>
        <v>239852199.99999997</v>
      </c>
      <c r="AP64" s="148">
        <f>Activos!$H$91</f>
        <v>56763000</v>
      </c>
      <c r="AQ64" s="148">
        <f>Activos!$H$53</f>
        <v>215607000</v>
      </c>
      <c r="AR64" s="148">
        <f>Activos!$H$72</f>
        <v>110678377.59999999</v>
      </c>
      <c r="AS64" s="148">
        <f>SUM(AM64:AR64)</f>
        <v>1885738377.5999999</v>
      </c>
      <c r="AU64" s="146">
        <f t="shared" si="39"/>
        <v>148.1324262642394</v>
      </c>
      <c r="AV64" s="146">
        <f t="shared" si="40"/>
        <v>77.828161689760819</v>
      </c>
      <c r="AW64" s="146">
        <f t="shared" si="36"/>
        <v>47.744168209178447</v>
      </c>
      <c r="AX64" s="146">
        <f t="shared" si="37"/>
        <v>75.949833998798809</v>
      </c>
      <c r="AY64" s="146" t="e">
        <f t="shared" si="38"/>
        <v>#DIV/0!</v>
      </c>
    </row>
    <row r="65" spans="2:51" ht="16" x14ac:dyDescent="0.2">
      <c r="B65" s="141" t="s">
        <v>410</v>
      </c>
      <c r="C65" s="207"/>
      <c r="D65" s="142"/>
      <c r="E65" s="142"/>
      <c r="F65" s="142"/>
      <c r="G65" s="142"/>
      <c r="H65" s="142"/>
      <c r="I65" s="142"/>
      <c r="J65" s="142">
        <f>J64</f>
        <v>1885738377.5999999</v>
      </c>
      <c r="K65" s="142"/>
      <c r="L65" s="142"/>
      <c r="M65" s="142"/>
      <c r="N65" s="142"/>
      <c r="O65" s="142"/>
      <c r="P65" s="142"/>
      <c r="Q65" s="142">
        <f>Q64</f>
        <v>1885738377.5999999</v>
      </c>
      <c r="R65" s="142"/>
      <c r="S65" s="142"/>
      <c r="T65" s="142"/>
      <c r="U65" s="142"/>
      <c r="V65" s="142"/>
      <c r="W65" s="142"/>
      <c r="X65" s="142">
        <f>X64</f>
        <v>1885738377.5999999</v>
      </c>
      <c r="Y65" s="142"/>
      <c r="Z65" s="142"/>
      <c r="AA65" s="142"/>
      <c r="AB65" s="142"/>
      <c r="AC65" s="142"/>
      <c r="AD65" s="142"/>
      <c r="AE65" s="142">
        <f>AE64</f>
        <v>1885738377.5999999</v>
      </c>
      <c r="AF65" s="142"/>
      <c r="AG65" s="142"/>
      <c r="AH65" s="142"/>
      <c r="AI65" s="142"/>
      <c r="AJ65" s="142"/>
      <c r="AK65" s="142"/>
      <c r="AL65" s="142">
        <f>AL64</f>
        <v>1885738377.5999999</v>
      </c>
      <c r="AM65" s="142"/>
      <c r="AN65" s="142"/>
      <c r="AO65" s="142"/>
      <c r="AP65" s="142"/>
      <c r="AQ65" s="142"/>
      <c r="AR65" s="142"/>
      <c r="AS65" s="142">
        <f>AS64</f>
        <v>1885738377.5999999</v>
      </c>
      <c r="AU65" s="145">
        <f t="shared" si="39"/>
        <v>148.1324262642394</v>
      </c>
      <c r="AV65" s="145">
        <f t="shared" si="40"/>
        <v>77.828161689760819</v>
      </c>
      <c r="AW65" s="145">
        <f t="shared" si="36"/>
        <v>47.744168209178447</v>
      </c>
      <c r="AX65" s="145">
        <f t="shared" si="37"/>
        <v>75.949833998798809</v>
      </c>
      <c r="AY65" s="145" t="e">
        <f t="shared" si="38"/>
        <v>#DIV/0!</v>
      </c>
    </row>
    <row r="66" spans="2:51" ht="16" x14ac:dyDescent="0.2">
      <c r="B66" s="150" t="s">
        <v>411</v>
      </c>
      <c r="C66" s="209"/>
      <c r="D66" s="151"/>
      <c r="E66" s="151"/>
      <c r="F66" s="151"/>
      <c r="G66" s="151"/>
      <c r="H66" s="151"/>
      <c r="I66" s="151"/>
      <c r="J66" s="151">
        <f>J63+J65</f>
        <v>1905307322.2099998</v>
      </c>
      <c r="K66" s="151"/>
      <c r="L66" s="151"/>
      <c r="M66" s="151"/>
      <c r="N66" s="151"/>
      <c r="O66" s="151"/>
      <c r="P66" s="151"/>
      <c r="Q66" s="151">
        <f>Q63+Q65</f>
        <v>1937873054.3699999</v>
      </c>
      <c r="R66" s="151"/>
      <c r="S66" s="151"/>
      <c r="T66" s="151"/>
      <c r="U66" s="151"/>
      <c r="V66" s="151"/>
      <c r="W66" s="151"/>
      <c r="X66" s="151">
        <f>X63+X65</f>
        <v>1954397335.6699998</v>
      </c>
      <c r="Y66" s="151"/>
      <c r="Z66" s="151"/>
      <c r="AA66" s="151"/>
      <c r="AB66" s="151"/>
      <c r="AC66" s="151"/>
      <c r="AD66" s="151"/>
      <c r="AE66" s="151">
        <f>AE63+AE65</f>
        <v>1966428150.5999999</v>
      </c>
      <c r="AF66" s="151"/>
      <c r="AG66" s="151"/>
      <c r="AH66" s="151"/>
      <c r="AI66" s="151"/>
      <c r="AJ66" s="151"/>
      <c r="AK66" s="151"/>
      <c r="AL66" s="151">
        <f>AL63+AL65</f>
        <v>1885751277.5999999</v>
      </c>
      <c r="AM66" s="151"/>
      <c r="AN66" s="151"/>
      <c r="AO66" s="151"/>
      <c r="AP66" s="151"/>
      <c r="AQ66" s="151"/>
      <c r="AR66" s="151"/>
      <c r="AS66" s="151">
        <f>AS63+AS65</f>
        <v>1885738377.5999999</v>
      </c>
      <c r="AU66" s="139">
        <f t="shared" si="39"/>
        <v>149.66964652710487</v>
      </c>
      <c r="AV66" s="139">
        <f t="shared" si="40"/>
        <v>79.97986316728128</v>
      </c>
      <c r="AW66" s="139">
        <f t="shared" si="36"/>
        <v>49.48251371993431</v>
      </c>
      <c r="AX66" s="139">
        <f t="shared" si="37"/>
        <v>79.199688240271271</v>
      </c>
      <c r="AY66" s="139" t="e">
        <f t="shared" si="38"/>
        <v>#DIV/0!</v>
      </c>
    </row>
    <row r="67" spans="2:51" x14ac:dyDescent="0.2">
      <c r="B67" s="105" t="s">
        <v>412</v>
      </c>
      <c r="C67" s="204"/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4"/>
      <c r="S67" s="134"/>
      <c r="T67" s="134"/>
      <c r="U67" s="133"/>
      <c r="V67" s="133"/>
      <c r="W67" s="133"/>
      <c r="Y67" s="134"/>
      <c r="Z67" s="134"/>
      <c r="AA67" s="134"/>
      <c r="AB67" s="133"/>
      <c r="AC67" s="133"/>
      <c r="AD67" s="133"/>
      <c r="AF67" s="134"/>
      <c r="AG67" s="134"/>
      <c r="AH67" s="134"/>
      <c r="AI67" s="133"/>
      <c r="AJ67" s="133"/>
      <c r="AK67" s="133"/>
      <c r="AM67" s="134"/>
      <c r="AN67" s="134"/>
      <c r="AO67" s="134"/>
      <c r="AP67" s="133"/>
      <c r="AQ67" s="133"/>
      <c r="AR67" s="133"/>
      <c r="AU67" s="139">
        <f t="shared" si="39"/>
        <v>0</v>
      </c>
      <c r="AV67" s="139">
        <f t="shared" si="40"/>
        <v>0</v>
      </c>
      <c r="AW67" s="139">
        <f t="shared" si="36"/>
        <v>0</v>
      </c>
      <c r="AX67" s="139">
        <f t="shared" si="37"/>
        <v>0</v>
      </c>
      <c r="AY67" s="139" t="e">
        <f t="shared" si="38"/>
        <v>#DIV/0!</v>
      </c>
    </row>
    <row r="68" spans="2:51" x14ac:dyDescent="0.2">
      <c r="B68" s="105" t="s">
        <v>413</v>
      </c>
      <c r="C68" s="204"/>
      <c r="D68" s="134"/>
      <c r="E68" s="134"/>
      <c r="F68" s="132"/>
      <c r="G68" s="133"/>
      <c r="H68" s="133"/>
      <c r="I68" s="133"/>
      <c r="K68" s="134"/>
      <c r="L68" s="134"/>
      <c r="M68" s="134"/>
      <c r="N68" s="133"/>
      <c r="O68" s="133"/>
      <c r="P68" s="133"/>
      <c r="R68" s="134"/>
      <c r="S68" s="134"/>
      <c r="T68" s="134"/>
      <c r="U68" s="133"/>
      <c r="V68" s="133"/>
      <c r="W68" s="133"/>
      <c r="Y68" s="134"/>
      <c r="Z68" s="134"/>
      <c r="AA68" s="134"/>
      <c r="AB68" s="133"/>
      <c r="AC68" s="133"/>
      <c r="AD68" s="133"/>
      <c r="AF68" s="134"/>
      <c r="AG68" s="134"/>
      <c r="AH68" s="134"/>
      <c r="AI68" s="133"/>
      <c r="AJ68" s="133"/>
      <c r="AK68" s="133"/>
      <c r="AM68" s="134"/>
      <c r="AN68" s="134"/>
      <c r="AO68" s="134"/>
      <c r="AP68" s="133"/>
      <c r="AQ68" s="133"/>
      <c r="AR68" s="133"/>
      <c r="AU68" s="139">
        <f t="shared" si="39"/>
        <v>0</v>
      </c>
      <c r="AV68" s="139">
        <f t="shared" si="40"/>
        <v>0</v>
      </c>
      <c r="AW68" s="139">
        <f t="shared" si="36"/>
        <v>0</v>
      </c>
      <c r="AX68" s="139">
        <f t="shared" si="37"/>
        <v>0</v>
      </c>
      <c r="AY68" s="139" t="e">
        <f t="shared" si="38"/>
        <v>#DIV/0!</v>
      </c>
    </row>
    <row r="69" spans="2:51" x14ac:dyDescent="0.2">
      <c r="B69" s="105" t="s">
        <v>414</v>
      </c>
      <c r="C69" s="204"/>
      <c r="D69" s="134"/>
      <c r="E69" s="134"/>
      <c r="F69" s="132"/>
      <c r="G69" s="133"/>
      <c r="H69" s="133"/>
      <c r="I69" s="133"/>
      <c r="J69" s="137"/>
      <c r="K69" s="134"/>
      <c r="L69" s="134"/>
      <c r="M69" s="134"/>
      <c r="N69" s="133"/>
      <c r="O69" s="133"/>
      <c r="P69" s="133"/>
      <c r="R69" s="134"/>
      <c r="S69" s="134"/>
      <c r="T69" s="134"/>
      <c r="U69" s="133"/>
      <c r="V69" s="133"/>
      <c r="W69" s="133"/>
      <c r="Y69" s="134"/>
      <c r="Z69" s="134"/>
      <c r="AA69" s="134"/>
      <c r="AB69" s="133"/>
      <c r="AC69" s="133"/>
      <c r="AD69" s="133"/>
      <c r="AF69" s="134"/>
      <c r="AG69" s="134"/>
      <c r="AH69" s="134"/>
      <c r="AI69" s="133"/>
      <c r="AJ69" s="133"/>
      <c r="AK69" s="133"/>
      <c r="AM69" s="134"/>
      <c r="AN69" s="134"/>
      <c r="AO69" s="134"/>
      <c r="AP69" s="133"/>
      <c r="AQ69" s="133"/>
      <c r="AR69" s="133"/>
      <c r="AU69" s="139">
        <f t="shared" si="39"/>
        <v>0</v>
      </c>
      <c r="AV69" s="139">
        <f t="shared" si="40"/>
        <v>0</v>
      </c>
      <c r="AW69" s="139">
        <f t="shared" si="36"/>
        <v>0</v>
      </c>
      <c r="AX69" s="139">
        <f t="shared" si="37"/>
        <v>0</v>
      </c>
      <c r="AY69" s="139" t="e">
        <f t="shared" si="38"/>
        <v>#DIV/0!</v>
      </c>
    </row>
    <row r="70" spans="2:51" ht="16" x14ac:dyDescent="0.2">
      <c r="B70" s="105" t="s">
        <v>415</v>
      </c>
      <c r="C70" s="204"/>
      <c r="D70" s="134"/>
      <c r="E70" s="134"/>
      <c r="F70" s="132"/>
      <c r="G70" s="155"/>
      <c r="H70" s="156"/>
      <c r="I70" s="156"/>
      <c r="K70" s="134"/>
      <c r="L70" s="134"/>
      <c r="M70" s="134"/>
      <c r="N70" s="155"/>
      <c r="O70" s="144"/>
      <c r="P70" s="144"/>
      <c r="R70" s="134"/>
      <c r="S70" s="134"/>
      <c r="T70" s="134"/>
      <c r="U70" s="155"/>
      <c r="V70" s="144"/>
      <c r="W70" s="144"/>
      <c r="Y70" s="134"/>
      <c r="Z70" s="134"/>
      <c r="AA70" s="134"/>
      <c r="AB70" s="155"/>
      <c r="AC70" s="144"/>
      <c r="AD70" s="144"/>
      <c r="AF70" s="134"/>
      <c r="AG70" s="134"/>
      <c r="AH70" s="134"/>
      <c r="AI70" s="155"/>
      <c r="AJ70" s="144"/>
      <c r="AK70" s="144"/>
      <c r="AM70" s="134"/>
      <c r="AN70" s="134"/>
      <c r="AO70" s="134"/>
      <c r="AP70" s="155"/>
      <c r="AQ70" s="144"/>
      <c r="AR70" s="144"/>
      <c r="AU70" s="139">
        <f t="shared" si="39"/>
        <v>0</v>
      </c>
      <c r="AV70" s="139">
        <f t="shared" si="40"/>
        <v>0</v>
      </c>
      <c r="AW70" s="139">
        <f t="shared" si="36"/>
        <v>0</v>
      </c>
      <c r="AX70" s="139">
        <f t="shared" si="37"/>
        <v>0</v>
      </c>
      <c r="AY70" s="139" t="e">
        <f t="shared" si="38"/>
        <v>#DIV/0!</v>
      </c>
    </row>
    <row r="71" spans="2:51" ht="16" x14ac:dyDescent="0.2">
      <c r="B71" s="105" t="s">
        <v>416</v>
      </c>
      <c r="C71" s="204"/>
      <c r="D71" s="134"/>
      <c r="E71" s="134"/>
      <c r="F71" s="132"/>
      <c r="G71" s="133"/>
      <c r="H71" s="133"/>
      <c r="I71" s="133"/>
      <c r="K71" s="134"/>
      <c r="L71" s="134"/>
      <c r="M71" s="134"/>
      <c r="N71" s="133"/>
      <c r="O71" s="133"/>
      <c r="P71" s="133"/>
      <c r="R71" s="134"/>
      <c r="S71" s="134"/>
      <c r="T71" s="134"/>
      <c r="U71" s="133"/>
      <c r="V71" s="133"/>
      <c r="W71" s="133"/>
      <c r="Y71" s="134"/>
      <c r="Z71" s="134"/>
      <c r="AA71" s="134"/>
      <c r="AB71" s="133"/>
      <c r="AC71" s="133"/>
      <c r="AD71" s="133"/>
      <c r="AF71" s="134"/>
      <c r="AG71" s="134"/>
      <c r="AH71" s="134"/>
      <c r="AI71" s="133"/>
      <c r="AJ71" s="133"/>
      <c r="AK71" s="133"/>
      <c r="AM71" s="134"/>
      <c r="AN71" s="134"/>
      <c r="AO71" s="134"/>
      <c r="AP71" s="133"/>
      <c r="AQ71" s="133"/>
      <c r="AR71" s="133"/>
      <c r="AU71" s="145">
        <f t="shared" si="39"/>
        <v>0</v>
      </c>
      <c r="AV71" s="145">
        <f t="shared" si="40"/>
        <v>0</v>
      </c>
      <c r="AW71" s="145">
        <f t="shared" si="36"/>
        <v>0</v>
      </c>
      <c r="AX71" s="145">
        <f t="shared" si="37"/>
        <v>0</v>
      </c>
      <c r="AY71" s="145" t="e">
        <f t="shared" si="38"/>
        <v>#DIV/0!</v>
      </c>
    </row>
    <row r="72" spans="2:51" ht="16" x14ac:dyDescent="0.2">
      <c r="B72" s="141" t="s">
        <v>417</v>
      </c>
      <c r="C72" s="207"/>
      <c r="D72" s="142"/>
      <c r="E72" s="142"/>
      <c r="F72" s="142"/>
      <c r="G72" s="142"/>
      <c r="H72" s="142"/>
      <c r="I72" s="142"/>
      <c r="J72" s="142">
        <f>SUM(J67:J71)</f>
        <v>0</v>
      </c>
      <c r="K72" s="143"/>
      <c r="L72" s="143"/>
      <c r="M72" s="143"/>
      <c r="N72" s="143"/>
      <c r="O72" s="143"/>
      <c r="P72" s="143"/>
      <c r="Q72" s="142">
        <f>SUM(Q67:Q71)</f>
        <v>0</v>
      </c>
      <c r="R72" s="143"/>
      <c r="S72" s="143"/>
      <c r="T72" s="143"/>
      <c r="U72" s="143"/>
      <c r="V72" s="143"/>
      <c r="W72" s="143"/>
      <c r="X72" s="142">
        <f>SUM(X67:X71)</f>
        <v>0</v>
      </c>
      <c r="Y72" s="143"/>
      <c r="Z72" s="143"/>
      <c r="AA72" s="143"/>
      <c r="AB72" s="143"/>
      <c r="AC72" s="143"/>
      <c r="AD72" s="143"/>
      <c r="AE72" s="142">
        <f>SUM(AE67:AE71)</f>
        <v>0</v>
      </c>
      <c r="AF72" s="143"/>
      <c r="AG72" s="143"/>
      <c r="AH72" s="143"/>
      <c r="AI72" s="143"/>
      <c r="AJ72" s="143"/>
      <c r="AK72" s="143"/>
      <c r="AL72" s="142">
        <f>SUM(AL67:AL71)</f>
        <v>0</v>
      </c>
      <c r="AM72" s="143"/>
      <c r="AN72" s="143"/>
      <c r="AO72" s="143"/>
      <c r="AP72" s="143"/>
      <c r="AQ72" s="143"/>
      <c r="AR72" s="143"/>
      <c r="AS72" s="142">
        <f>SUM(AS67:AS71)</f>
        <v>0</v>
      </c>
      <c r="AU72" s="145">
        <f t="shared" si="39"/>
        <v>0</v>
      </c>
      <c r="AV72" s="145">
        <f t="shared" si="40"/>
        <v>0</v>
      </c>
      <c r="AW72" s="145">
        <f t="shared" si="36"/>
        <v>0</v>
      </c>
      <c r="AX72" s="145">
        <f t="shared" si="37"/>
        <v>0</v>
      </c>
      <c r="AY72" s="145" t="e">
        <f>AL72/AL$56</f>
        <v>#DIV/0!</v>
      </c>
    </row>
    <row r="73" spans="2:51" x14ac:dyDescent="0.2">
      <c r="B73" s="105" t="s">
        <v>418</v>
      </c>
      <c r="C73" s="210"/>
      <c r="D73" s="157"/>
      <c r="E73" s="157"/>
      <c r="F73" s="157"/>
      <c r="G73" s="133"/>
      <c r="H73" s="133"/>
      <c r="I73" s="133"/>
      <c r="J73" s="212">
        <f>'EEFF 2022'!CP71</f>
        <v>8552288.8699999992</v>
      </c>
      <c r="K73" s="116"/>
      <c r="L73" s="116"/>
      <c r="M73" s="116"/>
      <c r="N73" s="116"/>
      <c r="O73" s="116"/>
      <c r="P73" s="116"/>
      <c r="Q73" s="212">
        <f>J73+Q17</f>
        <v>53309451.949999996</v>
      </c>
      <c r="R73" s="116"/>
      <c r="S73" s="116"/>
      <c r="T73" s="116"/>
      <c r="U73" s="116"/>
      <c r="V73" s="116"/>
      <c r="W73" s="116"/>
      <c r="X73" s="212">
        <f>Q73+X17</f>
        <v>104971798.32999998</v>
      </c>
      <c r="Y73" s="116"/>
      <c r="Z73" s="116"/>
      <c r="AA73" s="116"/>
      <c r="AB73" s="116"/>
      <c r="AC73" s="116"/>
      <c r="AD73" s="116"/>
      <c r="AE73" s="212">
        <f>X73+AE17</f>
        <v>104971798.32999998</v>
      </c>
      <c r="AF73" s="116"/>
      <c r="AG73" s="116"/>
      <c r="AH73" s="116"/>
      <c r="AI73" s="116"/>
      <c r="AJ73" s="116"/>
      <c r="AK73" s="116"/>
      <c r="AL73" s="212">
        <f>AE73+AL17</f>
        <v>104971798.32999998</v>
      </c>
      <c r="AM73" s="116"/>
      <c r="AN73" s="116"/>
      <c r="AO73" s="116"/>
      <c r="AP73" s="116"/>
      <c r="AQ73" s="116"/>
      <c r="AR73" s="116"/>
      <c r="AS73" s="212">
        <f>AL73+AS17</f>
        <v>104971798.32999998</v>
      </c>
    </row>
    <row r="74" spans="2:51" ht="16" x14ac:dyDescent="0.2">
      <c r="B74" s="141" t="s">
        <v>419</v>
      </c>
      <c r="C74" s="207"/>
      <c r="D74" s="142"/>
      <c r="E74" s="142"/>
      <c r="F74" s="142"/>
      <c r="G74" s="142"/>
      <c r="H74" s="142"/>
      <c r="I74" s="142"/>
      <c r="J74" s="142">
        <f>J73</f>
        <v>8552288.8699999992</v>
      </c>
      <c r="K74" s="143"/>
      <c r="L74" s="143"/>
      <c r="M74" s="143"/>
      <c r="N74" s="143"/>
      <c r="O74" s="143"/>
      <c r="P74" s="143"/>
      <c r="Q74" s="142">
        <f>Q73</f>
        <v>53309451.949999996</v>
      </c>
      <c r="R74" s="143"/>
      <c r="S74" s="143"/>
      <c r="T74" s="143"/>
      <c r="U74" s="143"/>
      <c r="V74" s="143"/>
      <c r="W74" s="143"/>
      <c r="X74" s="142">
        <f>X73</f>
        <v>104971798.32999998</v>
      </c>
      <c r="Y74" s="143"/>
      <c r="Z74" s="143"/>
      <c r="AA74" s="143"/>
      <c r="AB74" s="143"/>
      <c r="AC74" s="143"/>
      <c r="AD74" s="143"/>
      <c r="AE74" s="142">
        <f>AE73</f>
        <v>104971798.32999998</v>
      </c>
      <c r="AF74" s="143"/>
      <c r="AG74" s="143"/>
      <c r="AH74" s="143"/>
      <c r="AI74" s="143"/>
      <c r="AJ74" s="143"/>
      <c r="AK74" s="143"/>
      <c r="AL74" s="142">
        <f>AL73</f>
        <v>104971798.32999998</v>
      </c>
      <c r="AM74" s="143"/>
      <c r="AN74" s="143"/>
      <c r="AO74" s="143"/>
      <c r="AP74" s="143"/>
      <c r="AQ74" s="143"/>
      <c r="AR74" s="143"/>
      <c r="AS74" s="142">
        <f>AS73</f>
        <v>104971798.32999998</v>
      </c>
    </row>
    <row r="75" spans="2:51" ht="16" x14ac:dyDescent="0.2">
      <c r="B75" s="141" t="s">
        <v>420</v>
      </c>
      <c r="C75" s="207"/>
      <c r="D75" s="142"/>
      <c r="E75" s="142"/>
      <c r="F75" s="142"/>
      <c r="G75" s="142"/>
      <c r="H75" s="142"/>
      <c r="I75" s="142"/>
      <c r="J75" s="142">
        <f>J72+J74</f>
        <v>8552288.8699999992</v>
      </c>
      <c r="K75" s="143"/>
      <c r="L75" s="143"/>
      <c r="M75" s="143"/>
      <c r="N75" s="143"/>
      <c r="O75" s="143"/>
      <c r="P75" s="143"/>
      <c r="Q75" s="142">
        <f>Q72+Q74</f>
        <v>53309451.949999996</v>
      </c>
      <c r="R75" s="143"/>
      <c r="S75" s="143"/>
      <c r="T75" s="143"/>
      <c r="U75" s="143"/>
      <c r="V75" s="143"/>
      <c r="W75" s="143"/>
      <c r="X75" s="142">
        <f>X72+X74</f>
        <v>104971798.32999998</v>
      </c>
      <c r="Y75" s="143"/>
      <c r="Z75" s="143"/>
      <c r="AA75" s="143"/>
      <c r="AB75" s="143"/>
      <c r="AC75" s="143"/>
      <c r="AD75" s="143"/>
      <c r="AE75" s="142">
        <f>AE72+AE74</f>
        <v>104971798.32999998</v>
      </c>
      <c r="AF75" s="143"/>
      <c r="AG75" s="143"/>
      <c r="AH75" s="143"/>
      <c r="AI75" s="143"/>
      <c r="AJ75" s="143"/>
      <c r="AK75" s="143"/>
      <c r="AL75" s="142">
        <f>AL72+AL74</f>
        <v>104971798.32999998</v>
      </c>
      <c r="AM75" s="143"/>
      <c r="AN75" s="143"/>
      <c r="AO75" s="143"/>
      <c r="AP75" s="143"/>
      <c r="AQ75" s="143"/>
      <c r="AR75" s="143"/>
      <c r="AS75" s="142">
        <f>AS72+AS74</f>
        <v>104971798.32999998</v>
      </c>
    </row>
    <row r="76" spans="2:51" ht="16" x14ac:dyDescent="0.2">
      <c r="B76" s="105" t="s">
        <v>421</v>
      </c>
      <c r="C76" s="204"/>
      <c r="D76" s="134"/>
      <c r="E76" s="134"/>
      <c r="F76" s="134"/>
      <c r="G76" s="158"/>
      <c r="H76" s="158"/>
      <c r="I76" s="158"/>
      <c r="J76" s="158">
        <f>J64</f>
        <v>1885738377.5999999</v>
      </c>
      <c r="K76" s="134"/>
      <c r="L76" s="134"/>
      <c r="M76" s="134"/>
      <c r="N76" s="158"/>
      <c r="O76" s="158"/>
      <c r="P76" s="158"/>
      <c r="Q76" s="158">
        <f>Q64</f>
        <v>1885738377.5999999</v>
      </c>
      <c r="R76" s="134"/>
      <c r="S76" s="134"/>
      <c r="T76" s="134"/>
      <c r="U76" s="158"/>
      <c r="V76" s="158"/>
      <c r="W76" s="158"/>
      <c r="X76" s="158">
        <f>X64</f>
        <v>1885738377.5999999</v>
      </c>
      <c r="Y76" s="134"/>
      <c r="Z76" s="134"/>
      <c r="AA76" s="134"/>
      <c r="AB76" s="158"/>
      <c r="AC76" s="158"/>
      <c r="AD76" s="158"/>
      <c r="AE76" s="158">
        <f>AE64</f>
        <v>1885738377.5999999</v>
      </c>
      <c r="AF76" s="134"/>
      <c r="AG76" s="134"/>
      <c r="AH76" s="134"/>
      <c r="AI76" s="158"/>
      <c r="AJ76" s="158"/>
      <c r="AK76" s="158"/>
      <c r="AL76" s="158">
        <f>AL64</f>
        <v>1885738377.5999999</v>
      </c>
      <c r="AM76" s="134"/>
      <c r="AN76" s="134"/>
      <c r="AO76" s="134"/>
      <c r="AP76" s="158"/>
      <c r="AQ76" s="158"/>
      <c r="AR76" s="158"/>
      <c r="AS76" s="158">
        <f>AS64</f>
        <v>1885738377.5999999</v>
      </c>
      <c r="AU76" s="181"/>
      <c r="AV76" s="181"/>
      <c r="AW76" s="181"/>
      <c r="AX76" s="181"/>
      <c r="AY76" s="181"/>
    </row>
    <row r="77" spans="2:51" ht="16" x14ac:dyDescent="0.2">
      <c r="B77" s="105" t="s">
        <v>422</v>
      </c>
      <c r="C77" s="204"/>
      <c r="D77" s="134"/>
      <c r="E77" s="134"/>
      <c r="F77" s="134"/>
      <c r="G77" s="158"/>
      <c r="H77" s="158"/>
      <c r="I77" s="158"/>
      <c r="K77" s="134"/>
      <c r="L77" s="134"/>
      <c r="M77" s="134"/>
      <c r="N77" s="158"/>
      <c r="O77" s="158"/>
      <c r="P77" s="158"/>
      <c r="R77" s="134"/>
      <c r="S77" s="134"/>
      <c r="T77" s="134"/>
      <c r="U77" s="158"/>
      <c r="V77" s="158"/>
      <c r="W77" s="158"/>
      <c r="Y77" s="134"/>
      <c r="Z77" s="134"/>
      <c r="AA77" s="134"/>
      <c r="AB77" s="158"/>
      <c r="AC77" s="158"/>
      <c r="AD77" s="158"/>
      <c r="AF77" s="134"/>
      <c r="AG77" s="134"/>
      <c r="AH77" s="134"/>
      <c r="AI77" s="158"/>
      <c r="AJ77" s="158"/>
      <c r="AK77" s="158"/>
      <c r="AM77" s="134"/>
      <c r="AN77" s="134"/>
      <c r="AO77" s="134"/>
      <c r="AP77" s="158"/>
      <c r="AQ77" s="158"/>
      <c r="AR77" s="158"/>
    </row>
    <row r="78" spans="2:51" ht="16" x14ac:dyDescent="0.2">
      <c r="B78" s="105" t="s">
        <v>423</v>
      </c>
      <c r="C78" s="204"/>
      <c r="D78" s="134"/>
      <c r="E78" s="134"/>
      <c r="F78" s="134"/>
      <c r="G78" s="158"/>
      <c r="H78" s="158"/>
      <c r="I78" s="158"/>
      <c r="K78" s="134"/>
      <c r="L78" s="134"/>
      <c r="M78" s="134"/>
      <c r="N78" s="158"/>
      <c r="O78" s="158"/>
      <c r="P78" s="158"/>
      <c r="R78" s="134"/>
      <c r="S78" s="134"/>
      <c r="T78" s="134"/>
      <c r="U78" s="158"/>
      <c r="V78" s="158"/>
      <c r="W78" s="158"/>
      <c r="Y78" s="134"/>
      <c r="Z78" s="134"/>
      <c r="AA78" s="134"/>
      <c r="AB78" s="158"/>
      <c r="AC78" s="158"/>
      <c r="AD78" s="158"/>
      <c r="AF78" s="134"/>
      <c r="AG78" s="134"/>
      <c r="AH78" s="134"/>
      <c r="AI78" s="158"/>
      <c r="AJ78" s="158"/>
      <c r="AK78" s="158"/>
      <c r="AM78" s="134"/>
      <c r="AN78" s="134"/>
      <c r="AO78" s="134"/>
      <c r="AP78" s="158"/>
      <c r="AQ78" s="158"/>
      <c r="AR78" s="158"/>
    </row>
    <row r="79" spans="2:51" x14ac:dyDescent="0.2">
      <c r="B79" s="105" t="s">
        <v>424</v>
      </c>
      <c r="C79" s="204"/>
      <c r="D79" s="134"/>
      <c r="E79" s="134"/>
      <c r="F79" s="134"/>
      <c r="G79" s="159"/>
      <c r="H79" s="159"/>
      <c r="I79" s="159"/>
      <c r="J79" s="137">
        <f>J48</f>
        <v>11016655.739999998</v>
      </c>
      <c r="K79" s="137"/>
      <c r="L79" s="137"/>
      <c r="M79" s="137"/>
      <c r="N79" s="137"/>
      <c r="O79" s="137"/>
      <c r="P79" s="137"/>
      <c r="Q79" s="137">
        <f>Q48</f>
        <v>-12191430.919999996</v>
      </c>
      <c r="R79" s="137"/>
      <c r="S79" s="137"/>
      <c r="T79" s="137"/>
      <c r="U79" s="137"/>
      <c r="V79" s="137"/>
      <c r="W79" s="137"/>
      <c r="X79" s="137">
        <f>X48</f>
        <v>-35138065.080000013</v>
      </c>
      <c r="Y79" s="137"/>
      <c r="Z79" s="137"/>
      <c r="AA79" s="137"/>
      <c r="AB79" s="137"/>
      <c r="AC79" s="137"/>
      <c r="AD79" s="137"/>
      <c r="AE79" s="137">
        <f>AE48</f>
        <v>12030814.929999998</v>
      </c>
      <c r="AF79" s="137"/>
      <c r="AG79" s="137"/>
      <c r="AH79" s="137"/>
      <c r="AI79" s="137"/>
      <c r="AJ79" s="137"/>
      <c r="AK79" s="137"/>
      <c r="AL79" s="137">
        <f>AL48</f>
        <v>-6864512.4699999997</v>
      </c>
      <c r="AM79" s="137"/>
      <c r="AN79" s="137"/>
      <c r="AO79" s="137"/>
      <c r="AP79" s="137"/>
      <c r="AQ79" s="137"/>
      <c r="AR79" s="137"/>
      <c r="AS79" s="137">
        <f>AS48</f>
        <v>0</v>
      </c>
    </row>
    <row r="80" spans="2:51" x14ac:dyDescent="0.2">
      <c r="B80" s="105" t="s">
        <v>425</v>
      </c>
      <c r="C80" s="204"/>
      <c r="D80" s="134"/>
      <c r="E80" s="134"/>
      <c r="F80" s="134"/>
      <c r="G80" s="133"/>
      <c r="H80" s="133"/>
      <c r="I80" s="133"/>
      <c r="J80" s="137">
        <v>0</v>
      </c>
      <c r="K80" s="137">
        <f t="shared" ref="K80:P80" si="41">D80+K79</f>
        <v>0</v>
      </c>
      <c r="L80" s="137">
        <f t="shared" si="41"/>
        <v>0</v>
      </c>
      <c r="M80" s="137">
        <f t="shared" si="41"/>
        <v>0</v>
      </c>
      <c r="N80" s="137">
        <f t="shared" si="41"/>
        <v>0</v>
      </c>
      <c r="O80" s="137">
        <f t="shared" si="41"/>
        <v>0</v>
      </c>
      <c r="P80" s="137">
        <f t="shared" si="41"/>
        <v>0</v>
      </c>
      <c r="Q80" s="137">
        <f>J80+J79</f>
        <v>11016655.739999998</v>
      </c>
      <c r="R80" s="137">
        <f t="shared" ref="R80" si="42">K80+R79</f>
        <v>0</v>
      </c>
      <c r="S80" s="137">
        <f t="shared" ref="S80" si="43">L80+S79</f>
        <v>0</v>
      </c>
      <c r="T80" s="137">
        <f t="shared" ref="T80" si="44">M80+T79</f>
        <v>0</v>
      </c>
      <c r="U80" s="137">
        <f t="shared" ref="U80" si="45">N80+U79</f>
        <v>0</v>
      </c>
      <c r="V80" s="137">
        <f t="shared" ref="V80" si="46">O80+V79</f>
        <v>0</v>
      </c>
      <c r="W80" s="137">
        <f t="shared" ref="W80" si="47">P80+W79</f>
        <v>0</v>
      </c>
      <c r="X80" s="137">
        <f>Q80+Q79</f>
        <v>-1174775.1799999978</v>
      </c>
      <c r="Y80" s="137">
        <f t="shared" ref="Y80" si="48">R80+Y79</f>
        <v>0</v>
      </c>
      <c r="Z80" s="137">
        <f t="shared" ref="Z80" si="49">S80+Z79</f>
        <v>0</v>
      </c>
      <c r="AA80" s="137">
        <f t="shared" ref="AA80" si="50">T80+AA79</f>
        <v>0</v>
      </c>
      <c r="AB80" s="137">
        <f t="shared" ref="AB80" si="51">U80+AB79</f>
        <v>0</v>
      </c>
      <c r="AC80" s="137">
        <f t="shared" ref="AC80" si="52">V80+AC79</f>
        <v>0</v>
      </c>
      <c r="AD80" s="137">
        <f t="shared" ref="AD80" si="53">W80+AD79</f>
        <v>0</v>
      </c>
      <c r="AE80" s="137">
        <f>X80+X79</f>
        <v>-36312840.260000013</v>
      </c>
      <c r="AF80" s="137">
        <f t="shared" ref="AF80" si="54">Y80+AF79</f>
        <v>0</v>
      </c>
      <c r="AG80" s="137">
        <f t="shared" ref="AG80" si="55">Z80+AG79</f>
        <v>0</v>
      </c>
      <c r="AH80" s="137">
        <f t="shared" ref="AH80" si="56">AA80+AH79</f>
        <v>0</v>
      </c>
      <c r="AI80" s="137">
        <f t="shared" ref="AI80" si="57">AB80+AI79</f>
        <v>0</v>
      </c>
      <c r="AJ80" s="137">
        <f t="shared" ref="AJ80" si="58">AC80+AJ79</f>
        <v>0</v>
      </c>
      <c r="AK80" s="137">
        <f t="shared" ref="AK80" si="59">AD80+AK79</f>
        <v>0</v>
      </c>
      <c r="AL80" s="137">
        <f>AE80+AE79</f>
        <v>-24282025.330000013</v>
      </c>
      <c r="AM80" s="137">
        <f t="shared" ref="AM80" si="60">AF80+AM79</f>
        <v>0</v>
      </c>
      <c r="AN80" s="137">
        <f t="shared" ref="AN80" si="61">AG80+AN79</f>
        <v>0</v>
      </c>
      <c r="AO80" s="137">
        <f t="shared" ref="AO80" si="62">AH80+AO79</f>
        <v>0</v>
      </c>
      <c r="AP80" s="137">
        <f t="shared" ref="AP80" si="63">AI80+AP79</f>
        <v>0</v>
      </c>
      <c r="AQ80" s="137">
        <f t="shared" ref="AQ80" si="64">AJ80+AQ79</f>
        <v>0</v>
      </c>
      <c r="AR80" s="137">
        <f t="shared" ref="AR80" si="65">AK80+AR79</f>
        <v>0</v>
      </c>
      <c r="AS80" s="137">
        <f>AL80+AL79</f>
        <v>-31146537.800000012</v>
      </c>
      <c r="AV80" s="133">
        <f>AL72-AL79</f>
        <v>6864512.4699999997</v>
      </c>
    </row>
    <row r="81" spans="2:48" ht="16" x14ac:dyDescent="0.2">
      <c r="B81" s="141" t="s">
        <v>426</v>
      </c>
      <c r="C81" s="207"/>
      <c r="D81" s="142"/>
      <c r="E81" s="142"/>
      <c r="F81" s="142"/>
      <c r="G81" s="142"/>
      <c r="H81" s="142"/>
      <c r="I81" s="142"/>
      <c r="J81" s="142">
        <f>SUM(J76:J80)</f>
        <v>1896755033.3399999</v>
      </c>
      <c r="K81" s="142"/>
      <c r="L81" s="142"/>
      <c r="M81" s="142"/>
      <c r="N81" s="142"/>
      <c r="O81" s="142"/>
      <c r="P81" s="142"/>
      <c r="Q81" s="142">
        <f>SUM(Q76:Q80)</f>
        <v>1884563602.4199998</v>
      </c>
      <c r="R81" s="142"/>
      <c r="S81" s="142"/>
      <c r="T81" s="142"/>
      <c r="U81" s="142"/>
      <c r="V81" s="142"/>
      <c r="W81" s="142"/>
      <c r="X81" s="142">
        <f>SUM(X76:X80)</f>
        <v>1849425537.3399999</v>
      </c>
      <c r="Y81" s="142"/>
      <c r="Z81" s="142"/>
      <c r="AA81" s="142"/>
      <c r="AB81" s="142"/>
      <c r="AC81" s="142"/>
      <c r="AD81" s="142"/>
      <c r="AE81" s="142">
        <f>SUM(AE76:AE80)</f>
        <v>1861456352.27</v>
      </c>
      <c r="AF81" s="142"/>
      <c r="AG81" s="142"/>
      <c r="AH81" s="142"/>
      <c r="AI81" s="142"/>
      <c r="AJ81" s="142"/>
      <c r="AK81" s="142"/>
      <c r="AL81" s="142">
        <f>SUM(AL76:AL80)</f>
        <v>1854591839.8</v>
      </c>
      <c r="AM81" s="142"/>
      <c r="AN81" s="142"/>
      <c r="AO81" s="142"/>
      <c r="AP81" s="142"/>
      <c r="AQ81" s="142"/>
      <c r="AR81" s="142"/>
      <c r="AS81" s="142">
        <f>SUM(AS76:AS80)</f>
        <v>1854591839.8</v>
      </c>
      <c r="AV81" s="133">
        <f>AV80-'EEFF 2026'!J73</f>
        <v>-77112926.193999991</v>
      </c>
    </row>
    <row r="82" spans="2:48" ht="16" x14ac:dyDescent="0.2">
      <c r="B82" s="141" t="s">
        <v>427</v>
      </c>
      <c r="C82" s="207"/>
      <c r="D82" s="142"/>
      <c r="E82" s="142"/>
      <c r="F82" s="142"/>
      <c r="G82" s="142"/>
      <c r="H82" s="142"/>
      <c r="I82" s="142"/>
      <c r="J82" s="142">
        <f>J75+J81</f>
        <v>1905307322.2099998</v>
      </c>
      <c r="K82" s="142"/>
      <c r="L82" s="142"/>
      <c r="M82" s="142"/>
      <c r="N82" s="142"/>
      <c r="O82" s="142"/>
      <c r="P82" s="142"/>
      <c r="Q82" s="142">
        <f>Q75+Q81</f>
        <v>1937873054.3699999</v>
      </c>
      <c r="R82" s="142"/>
      <c r="S82" s="142"/>
      <c r="T82" s="142"/>
      <c r="U82" s="142"/>
      <c r="V82" s="142"/>
      <c r="W82" s="142"/>
      <c r="X82" s="142">
        <f>X75+X81</f>
        <v>1954397335.6699998</v>
      </c>
      <c r="Y82" s="142"/>
      <c r="Z82" s="142"/>
      <c r="AA82" s="142"/>
      <c r="AB82" s="142"/>
      <c r="AC82" s="142"/>
      <c r="AD82" s="142"/>
      <c r="AE82" s="142">
        <f>AE75+AE81</f>
        <v>1966428150.5999999</v>
      </c>
      <c r="AF82" s="142"/>
      <c r="AG82" s="142"/>
      <c r="AH82" s="142"/>
      <c r="AI82" s="142"/>
      <c r="AJ82" s="142"/>
      <c r="AK82" s="142"/>
      <c r="AL82" s="142">
        <f>AL75+AL81</f>
        <v>1959563638.1299999</v>
      </c>
      <c r="AM82" s="142"/>
      <c r="AN82" s="142"/>
      <c r="AO82" s="142"/>
      <c r="AP82" s="142"/>
      <c r="AQ82" s="142"/>
      <c r="AR82" s="142"/>
      <c r="AS82" s="142">
        <f>AS75+AS81</f>
        <v>1959563638.1299999</v>
      </c>
    </row>
    <row r="83" spans="2:48" ht="16" x14ac:dyDescent="0.2">
      <c r="B83" s="160" t="s">
        <v>428</v>
      </c>
      <c r="C83" s="204"/>
      <c r="D83" s="161"/>
      <c r="E83" s="161"/>
      <c r="F83" s="161"/>
      <c r="G83" s="161"/>
      <c r="H83" s="161"/>
      <c r="I83" s="161"/>
      <c r="J83" s="234">
        <f>J66-J82</f>
        <v>0</v>
      </c>
      <c r="K83" s="234"/>
      <c r="L83" s="234"/>
      <c r="M83" s="234"/>
      <c r="N83" s="234"/>
      <c r="O83" s="234"/>
      <c r="P83" s="234"/>
      <c r="Q83" s="234">
        <f>Q66-Q82</f>
        <v>0</v>
      </c>
      <c r="R83" s="234"/>
      <c r="S83" s="234"/>
      <c r="T83" s="234"/>
      <c r="U83" s="234"/>
      <c r="V83" s="234"/>
      <c r="W83" s="234"/>
      <c r="X83" s="234">
        <f>X66-X82</f>
        <v>0</v>
      </c>
      <c r="Y83" s="234"/>
      <c r="Z83" s="234"/>
      <c r="AA83" s="234"/>
      <c r="AB83" s="234"/>
      <c r="AC83" s="234"/>
      <c r="AD83" s="234"/>
      <c r="AE83" s="234">
        <f>AE66-AE82</f>
        <v>0</v>
      </c>
      <c r="AF83" s="234"/>
      <c r="AG83" s="234"/>
      <c r="AH83" s="234"/>
      <c r="AI83" s="234"/>
      <c r="AJ83" s="234"/>
      <c r="AK83" s="234"/>
      <c r="AL83" s="234">
        <f>AL66-AL82</f>
        <v>-73812360.529999971</v>
      </c>
      <c r="AM83" s="234"/>
      <c r="AN83" s="234"/>
      <c r="AO83" s="234"/>
      <c r="AP83" s="234"/>
      <c r="AQ83" s="234"/>
      <c r="AR83" s="234"/>
      <c r="AS83" s="234">
        <f>AS66-AS82</f>
        <v>-73825260.529999971</v>
      </c>
    </row>
    <row r="84" spans="2:48" x14ac:dyDescent="0.2">
      <c r="C84" s="204"/>
      <c r="D84" s="106"/>
      <c r="E84" s="106"/>
      <c r="F84" s="106"/>
      <c r="G84" s="133"/>
      <c r="H84" s="133"/>
      <c r="K84" s="106"/>
      <c r="L84" s="106"/>
      <c r="M84" s="106"/>
      <c r="N84" s="133"/>
      <c r="O84" s="133"/>
      <c r="Q84" s="137"/>
      <c r="R84" s="106"/>
      <c r="S84" s="106"/>
      <c r="T84" s="106"/>
      <c r="U84" s="133"/>
      <c r="V84" s="133"/>
      <c r="X84" s="137"/>
      <c r="Y84" s="106"/>
      <c r="Z84" s="106"/>
      <c r="AA84" s="106"/>
      <c r="AB84" s="133"/>
      <c r="AC84" s="133"/>
      <c r="AE84" s="137"/>
      <c r="AF84" s="106"/>
      <c r="AG84" s="106"/>
      <c r="AH84" s="106"/>
      <c r="AI84" s="133"/>
      <c r="AJ84" s="133"/>
      <c r="AL84" s="137"/>
      <c r="AM84" s="106"/>
      <c r="AN84" s="106"/>
      <c r="AO84" s="106"/>
      <c r="AP84" s="133"/>
      <c r="AQ84" s="133"/>
      <c r="AS84" s="137"/>
      <c r="AT84" s="249"/>
    </row>
    <row r="85" spans="2:48" x14ac:dyDescent="0.2">
      <c r="C85" s="204"/>
      <c r="D85" s="106"/>
      <c r="E85" s="106"/>
      <c r="K85" s="106"/>
      <c r="L85" s="106"/>
      <c r="R85" s="106"/>
      <c r="S85" s="106"/>
      <c r="Y85" s="106"/>
      <c r="Z85" s="106"/>
      <c r="AF85" s="106"/>
      <c r="AG85" s="106"/>
      <c r="AM85" s="106"/>
      <c r="AN85" s="106"/>
    </row>
    <row r="86" spans="2:48" ht="16" x14ac:dyDescent="0.2">
      <c r="B86" s="183" t="s">
        <v>353</v>
      </c>
      <c r="C86" s="211"/>
      <c r="D86" s="181"/>
      <c r="E86" s="186"/>
      <c r="F86" s="181"/>
      <c r="G86" s="181"/>
      <c r="H86" s="181"/>
      <c r="I86" s="181"/>
      <c r="J86" s="181"/>
      <c r="K86" s="181"/>
      <c r="L86" s="186"/>
      <c r="M86" s="181"/>
      <c r="N86" s="181"/>
      <c r="O86" s="181"/>
      <c r="P86" s="181"/>
      <c r="Q86" s="181"/>
      <c r="R86" s="181"/>
      <c r="S86" s="186"/>
      <c r="T86" s="181"/>
      <c r="U86" s="181"/>
      <c r="V86" s="181"/>
      <c r="W86" s="181"/>
      <c r="X86" s="181"/>
      <c r="Y86" s="181"/>
      <c r="Z86" s="186"/>
      <c r="AA86" s="181"/>
      <c r="AB86" s="181"/>
      <c r="AC86" s="181"/>
      <c r="AD86" s="181"/>
      <c r="AE86" s="181"/>
      <c r="AF86" s="181"/>
      <c r="AG86" s="186"/>
      <c r="AH86" s="181"/>
      <c r="AI86" s="181"/>
      <c r="AJ86" s="181"/>
      <c r="AK86" s="181"/>
      <c r="AL86" s="181"/>
      <c r="AM86" s="181"/>
      <c r="AN86" s="186"/>
      <c r="AO86" s="181"/>
      <c r="AP86" s="181"/>
      <c r="AQ86" s="181"/>
      <c r="AR86" s="181"/>
      <c r="AS86" s="181"/>
    </row>
    <row r="87" spans="2:48" x14ac:dyDescent="0.2">
      <c r="B87" s="105" t="s">
        <v>352</v>
      </c>
      <c r="C87" s="204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>
        <f>Q48</f>
        <v>-12191430.919999996</v>
      </c>
      <c r="R87" s="137"/>
      <c r="S87" s="137"/>
      <c r="T87" s="137"/>
      <c r="U87" s="137"/>
      <c r="V87" s="137"/>
      <c r="W87" s="137"/>
      <c r="X87" s="137">
        <f>X48</f>
        <v>-35138065.080000013</v>
      </c>
      <c r="Y87" s="137"/>
      <c r="Z87" s="137"/>
      <c r="AA87" s="137"/>
      <c r="AB87" s="137"/>
      <c r="AC87" s="137"/>
      <c r="AD87" s="137"/>
      <c r="AE87" s="137">
        <f>AE48</f>
        <v>12030814.929999998</v>
      </c>
      <c r="AF87" s="137"/>
      <c r="AG87" s="137"/>
      <c r="AH87" s="137"/>
      <c r="AI87" s="137"/>
      <c r="AJ87" s="137"/>
      <c r="AK87" s="137"/>
      <c r="AL87" s="137">
        <f>AL48</f>
        <v>-6864512.4699999997</v>
      </c>
      <c r="AM87" s="137"/>
      <c r="AN87" s="137"/>
      <c r="AO87" s="137"/>
      <c r="AP87" s="137"/>
      <c r="AQ87" s="137"/>
      <c r="AR87" s="137"/>
      <c r="AS87" s="137">
        <f>AS48</f>
        <v>0</v>
      </c>
    </row>
    <row r="88" spans="2:48" x14ac:dyDescent="0.2">
      <c r="B88" s="105" t="s">
        <v>429</v>
      </c>
      <c r="C88" s="204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>
        <f>+Q14</f>
        <v>0</v>
      </c>
      <c r="R88" s="137"/>
      <c r="S88" s="137"/>
      <c r="T88" s="137"/>
      <c r="U88" s="137"/>
      <c r="V88" s="137"/>
      <c r="W88" s="137"/>
      <c r="X88" s="137">
        <f>+X14</f>
        <v>0</v>
      </c>
      <c r="Y88" s="137"/>
      <c r="Z88" s="137"/>
      <c r="AA88" s="137"/>
      <c r="AB88" s="137"/>
      <c r="AC88" s="137"/>
      <c r="AD88" s="137"/>
      <c r="AE88" s="137">
        <f>+AE14</f>
        <v>0</v>
      </c>
      <c r="AF88" s="137"/>
      <c r="AG88" s="137"/>
      <c r="AH88" s="137"/>
      <c r="AI88" s="137"/>
      <c r="AJ88" s="137"/>
      <c r="AK88" s="137"/>
      <c r="AL88" s="137">
        <f>+AL14</f>
        <v>0</v>
      </c>
      <c r="AM88" s="137"/>
      <c r="AN88" s="137"/>
      <c r="AO88" s="137"/>
      <c r="AP88" s="137"/>
      <c r="AQ88" s="137"/>
      <c r="AR88" s="137"/>
      <c r="AS88" s="137">
        <f>+AS14</f>
        <v>0</v>
      </c>
    </row>
    <row r="89" spans="2:48" x14ac:dyDescent="0.2">
      <c r="B89" s="105" t="s">
        <v>430</v>
      </c>
      <c r="C89" s="204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>
        <f>-(Q60-J60)</f>
        <v>0</v>
      </c>
      <c r="R89" s="137"/>
      <c r="S89" s="137"/>
      <c r="T89" s="137"/>
      <c r="U89" s="137"/>
      <c r="V89" s="137"/>
      <c r="W89" s="137"/>
      <c r="X89" s="137">
        <f>-(X60-Q60)</f>
        <v>0</v>
      </c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</row>
    <row r="90" spans="2:48" x14ac:dyDescent="0.2">
      <c r="B90" s="105" t="s">
        <v>431</v>
      </c>
      <c r="C90" s="204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>
        <f>-(Q61-J61)</f>
        <v>0</v>
      </c>
      <c r="R90" s="137"/>
      <c r="S90" s="137"/>
      <c r="T90" s="137"/>
      <c r="U90" s="137"/>
      <c r="V90" s="137"/>
      <c r="W90" s="137"/>
      <c r="X90" s="137">
        <f>-(X61-Q61)</f>
        <v>0</v>
      </c>
      <c r="Y90" s="137"/>
      <c r="Z90" s="137"/>
      <c r="AA90" s="137"/>
      <c r="AB90" s="137"/>
      <c r="AC90" s="137"/>
      <c r="AD90" s="137"/>
      <c r="AE90" s="137">
        <f>-(AE61-X61)</f>
        <v>0</v>
      </c>
      <c r="AF90" s="137"/>
      <c r="AG90" s="137"/>
      <c r="AH90" s="137"/>
      <c r="AI90" s="137"/>
      <c r="AJ90" s="137"/>
      <c r="AK90" s="137"/>
      <c r="AL90" s="137">
        <f>-(AL61-AE61)</f>
        <v>0</v>
      </c>
      <c r="AM90" s="137"/>
      <c r="AN90" s="137"/>
      <c r="AO90" s="137"/>
      <c r="AP90" s="137"/>
      <c r="AQ90" s="137"/>
      <c r="AR90" s="137"/>
      <c r="AS90" s="137">
        <f>-(AS61-AL61)</f>
        <v>0</v>
      </c>
    </row>
    <row r="91" spans="2:48" x14ac:dyDescent="0.2">
      <c r="B91" s="105" t="s">
        <v>432</v>
      </c>
      <c r="C91" s="204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>
        <f>-(Q62-J62)</f>
        <v>0</v>
      </c>
      <c r="R91" s="137"/>
      <c r="S91" s="137"/>
      <c r="T91" s="137"/>
      <c r="U91" s="137"/>
      <c r="V91" s="137"/>
      <c r="W91" s="137"/>
      <c r="X91" s="137">
        <f>-(X62-Q62)</f>
        <v>0</v>
      </c>
      <c r="Y91" s="137"/>
      <c r="Z91" s="137"/>
      <c r="AA91" s="137"/>
      <c r="AB91" s="137"/>
      <c r="AC91" s="137"/>
      <c r="AD91" s="137"/>
      <c r="AE91" s="137">
        <f>-(AE62-X62)</f>
        <v>0</v>
      </c>
      <c r="AF91" s="137"/>
      <c r="AG91" s="137"/>
      <c r="AH91" s="137"/>
      <c r="AI91" s="137"/>
      <c r="AJ91" s="137"/>
      <c r="AK91" s="137"/>
      <c r="AL91" s="137">
        <f>-(AL62-AE62)</f>
        <v>0</v>
      </c>
      <c r="AM91" s="137"/>
      <c r="AN91" s="137"/>
      <c r="AO91" s="137"/>
      <c r="AP91" s="137"/>
      <c r="AQ91" s="137"/>
      <c r="AR91" s="137"/>
      <c r="AS91" s="137">
        <f>-(AS62-AL62)</f>
        <v>0</v>
      </c>
    </row>
    <row r="92" spans="2:48" x14ac:dyDescent="0.2">
      <c r="B92" s="105" t="s">
        <v>433</v>
      </c>
      <c r="C92" s="204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>
        <f>(Q68-J68)</f>
        <v>0</v>
      </c>
      <c r="R92" s="137"/>
      <c r="S92" s="137"/>
      <c r="T92" s="137"/>
      <c r="U92" s="137"/>
      <c r="V92" s="137"/>
      <c r="W92" s="137"/>
      <c r="X92" s="137">
        <f>(X68-Q68)</f>
        <v>0</v>
      </c>
      <c r="Y92" s="137"/>
      <c r="Z92" s="137"/>
      <c r="AA92" s="137"/>
      <c r="AB92" s="137"/>
      <c r="AC92" s="137"/>
      <c r="AD92" s="137"/>
      <c r="AE92" s="137">
        <f>(AE68-X68)</f>
        <v>0</v>
      </c>
      <c r="AF92" s="137"/>
      <c r="AG92" s="137"/>
      <c r="AH92" s="137"/>
      <c r="AI92" s="137"/>
      <c r="AJ92" s="137"/>
      <c r="AK92" s="137"/>
      <c r="AL92" s="137">
        <f>(AL68-AE68)</f>
        <v>0</v>
      </c>
      <c r="AM92" s="137"/>
      <c r="AN92" s="137"/>
      <c r="AO92" s="137"/>
      <c r="AP92" s="137"/>
      <c r="AQ92" s="137"/>
      <c r="AR92" s="137"/>
      <c r="AS92" s="137">
        <f>(AS68-AL68)</f>
        <v>0</v>
      </c>
    </row>
    <row r="93" spans="2:48" x14ac:dyDescent="0.2">
      <c r="B93" s="105" t="s">
        <v>434</v>
      </c>
      <c r="C93" s="204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>
        <f>(Q67-J67)</f>
        <v>0</v>
      </c>
      <c r="R93" s="137"/>
      <c r="S93" s="137"/>
      <c r="T93" s="137"/>
      <c r="U93" s="137"/>
      <c r="V93" s="137"/>
      <c r="W93" s="137"/>
      <c r="X93" s="137">
        <f>(X67-Q67)</f>
        <v>0</v>
      </c>
      <c r="Y93" s="137"/>
      <c r="Z93" s="137"/>
      <c r="AA93" s="137"/>
      <c r="AB93" s="137"/>
      <c r="AC93" s="137"/>
      <c r="AD93" s="137"/>
      <c r="AE93" s="137">
        <f>(AE67-X67)</f>
        <v>0</v>
      </c>
      <c r="AF93" s="137"/>
      <c r="AG93" s="137"/>
      <c r="AH93" s="137"/>
      <c r="AI93" s="137"/>
      <c r="AJ93" s="137"/>
      <c r="AK93" s="137"/>
      <c r="AL93" s="137">
        <f>(AL67-AE67)</f>
        <v>0</v>
      </c>
      <c r="AM93" s="137"/>
      <c r="AN93" s="137"/>
      <c r="AO93" s="137"/>
      <c r="AP93" s="137"/>
      <c r="AQ93" s="137"/>
      <c r="AR93" s="137"/>
      <c r="AS93" s="137">
        <f>(AS67-AL67)</f>
        <v>0</v>
      </c>
    </row>
    <row r="94" spans="2:48" x14ac:dyDescent="0.2">
      <c r="B94" s="105" t="s">
        <v>435</v>
      </c>
      <c r="C94" s="204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>
        <f>(Q69-J69)</f>
        <v>0</v>
      </c>
      <c r="R94" s="137"/>
      <c r="S94" s="137"/>
      <c r="T94" s="137"/>
      <c r="U94" s="137"/>
      <c r="V94" s="137"/>
      <c r="W94" s="137"/>
      <c r="X94" s="137">
        <f>(X69-Q69)</f>
        <v>0</v>
      </c>
      <c r="Y94" s="137"/>
      <c r="Z94" s="137"/>
      <c r="AA94" s="137"/>
      <c r="AB94" s="137"/>
      <c r="AC94" s="137"/>
      <c r="AD94" s="137"/>
      <c r="AE94" s="137">
        <f>(AE69-X69)</f>
        <v>0</v>
      </c>
      <c r="AF94" s="137"/>
      <c r="AG94" s="137"/>
      <c r="AH94" s="137"/>
      <c r="AI94" s="137"/>
      <c r="AJ94" s="137"/>
      <c r="AK94" s="137"/>
      <c r="AL94" s="137">
        <f>(AL69-AE69)</f>
        <v>0</v>
      </c>
      <c r="AM94" s="137"/>
      <c r="AN94" s="137"/>
      <c r="AO94" s="137"/>
      <c r="AP94" s="137"/>
      <c r="AQ94" s="137"/>
      <c r="AR94" s="137"/>
      <c r="AS94" s="137">
        <f>(AS69-AL69)</f>
        <v>0</v>
      </c>
    </row>
    <row r="95" spans="2:48" x14ac:dyDescent="0.2">
      <c r="B95" s="105" t="s">
        <v>436</v>
      </c>
      <c r="C95" s="204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>
        <f>(Q71-J71)</f>
        <v>0</v>
      </c>
      <c r="R95" s="137"/>
      <c r="S95" s="137"/>
      <c r="T95" s="137"/>
      <c r="U95" s="137"/>
      <c r="V95" s="137"/>
      <c r="W95" s="137"/>
      <c r="X95" s="137">
        <f>(X71-Q71)</f>
        <v>0</v>
      </c>
      <c r="Y95" s="137"/>
      <c r="Z95" s="137"/>
      <c r="AA95" s="137"/>
      <c r="AB95" s="137"/>
      <c r="AC95" s="137"/>
      <c r="AD95" s="137"/>
      <c r="AE95" s="137">
        <f>(AE71-X71)</f>
        <v>0</v>
      </c>
      <c r="AF95" s="137"/>
      <c r="AG95" s="137"/>
      <c r="AH95" s="137"/>
      <c r="AI95" s="137"/>
      <c r="AJ95" s="137"/>
      <c r="AK95" s="137"/>
      <c r="AL95" s="137">
        <f>(AL71-AE71)</f>
        <v>0</v>
      </c>
      <c r="AM95" s="137"/>
      <c r="AN95" s="137"/>
      <c r="AO95" s="137"/>
      <c r="AP95" s="137"/>
      <c r="AQ95" s="137"/>
      <c r="AR95" s="137"/>
      <c r="AS95" s="137">
        <f>(AS71-AL71)</f>
        <v>0</v>
      </c>
    </row>
    <row r="96" spans="2:48" ht="16" x14ac:dyDescent="0.2">
      <c r="B96" s="141" t="s">
        <v>354</v>
      </c>
      <c r="C96" s="207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>
        <f>SUM(Q87:Q95)</f>
        <v>-12191430.919999996</v>
      </c>
      <c r="R96" s="162"/>
      <c r="S96" s="162"/>
      <c r="T96" s="162"/>
      <c r="U96" s="162"/>
      <c r="V96" s="162"/>
      <c r="W96" s="162"/>
      <c r="X96" s="162">
        <f>SUM(X87:X95)</f>
        <v>-35138065.080000013</v>
      </c>
      <c r="Y96" s="162"/>
      <c r="Z96" s="162"/>
      <c r="AA96" s="162"/>
      <c r="AB96" s="162"/>
      <c r="AC96" s="162"/>
      <c r="AD96" s="162"/>
      <c r="AE96" s="162">
        <f>SUM(AE87:AE95)</f>
        <v>12030814.929999998</v>
      </c>
      <c r="AF96" s="162"/>
      <c r="AG96" s="162"/>
      <c r="AH96" s="162"/>
      <c r="AI96" s="162"/>
      <c r="AJ96" s="162"/>
      <c r="AK96" s="162"/>
      <c r="AL96" s="162">
        <f>SUM(AL87:AL95)</f>
        <v>-6864512.4699999997</v>
      </c>
      <c r="AM96" s="162"/>
      <c r="AN96" s="162"/>
      <c r="AO96" s="162"/>
      <c r="AP96" s="162"/>
      <c r="AQ96" s="162"/>
      <c r="AR96" s="162"/>
      <c r="AS96" s="162">
        <f>SUM(AS87:AS95)</f>
        <v>0</v>
      </c>
    </row>
    <row r="97" spans="2:45" x14ac:dyDescent="0.2">
      <c r="B97" s="105" t="s">
        <v>437</v>
      </c>
      <c r="C97" s="204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>
        <f>-(Q64-J64+Q14)</f>
        <v>0</v>
      </c>
      <c r="R97" s="137"/>
      <c r="S97" s="137"/>
      <c r="T97" s="137"/>
      <c r="U97" s="137"/>
      <c r="V97" s="137"/>
      <c r="W97" s="137"/>
      <c r="X97" s="137">
        <f>-(X64-Q64+X14)</f>
        <v>0</v>
      </c>
      <c r="Y97" s="137"/>
      <c r="Z97" s="137"/>
      <c r="AA97" s="137"/>
      <c r="AB97" s="137"/>
      <c r="AC97" s="137"/>
      <c r="AD97" s="137"/>
      <c r="AE97" s="137">
        <f>-(AE64-X64+AE14)</f>
        <v>0</v>
      </c>
      <c r="AF97" s="137"/>
      <c r="AG97" s="137"/>
      <c r="AH97" s="137"/>
      <c r="AI97" s="137"/>
      <c r="AJ97" s="137"/>
      <c r="AK97" s="137"/>
      <c r="AL97" s="137">
        <f>-(AL64-AE64+AL14)</f>
        <v>0</v>
      </c>
      <c r="AM97" s="137"/>
      <c r="AN97" s="137"/>
      <c r="AO97" s="137"/>
      <c r="AP97" s="137"/>
      <c r="AQ97" s="137"/>
      <c r="AR97" s="137"/>
      <c r="AS97" s="137">
        <f>-(AS64-AL64+AS14)</f>
        <v>0</v>
      </c>
    </row>
    <row r="98" spans="2:45" ht="16" x14ac:dyDescent="0.2">
      <c r="B98" s="141" t="s">
        <v>355</v>
      </c>
      <c r="C98" s="207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>
        <f>SUM(Q97)</f>
        <v>0</v>
      </c>
      <c r="R98" s="162"/>
      <c r="S98" s="162"/>
      <c r="T98" s="162"/>
      <c r="U98" s="162"/>
      <c r="V98" s="162"/>
      <c r="W98" s="162"/>
      <c r="X98" s="162">
        <f>SUM(X97)</f>
        <v>0</v>
      </c>
      <c r="Y98" s="162"/>
      <c r="Z98" s="162"/>
      <c r="AA98" s="162"/>
      <c r="AB98" s="162"/>
      <c r="AC98" s="162"/>
      <c r="AD98" s="162"/>
      <c r="AE98" s="162">
        <f>SUM(AE97)</f>
        <v>0</v>
      </c>
      <c r="AF98" s="162"/>
      <c r="AG98" s="162"/>
      <c r="AH98" s="162"/>
      <c r="AI98" s="162"/>
      <c r="AJ98" s="162"/>
      <c r="AK98" s="162"/>
      <c r="AL98" s="162">
        <f>SUM(AL97)</f>
        <v>0</v>
      </c>
      <c r="AM98" s="162"/>
      <c r="AN98" s="162"/>
      <c r="AO98" s="162"/>
      <c r="AP98" s="162"/>
      <c r="AQ98" s="162"/>
      <c r="AR98" s="162"/>
      <c r="AS98" s="162">
        <f>SUM(AS97)</f>
        <v>0</v>
      </c>
    </row>
    <row r="99" spans="2:45" x14ac:dyDescent="0.2">
      <c r="B99" s="105" t="s">
        <v>438</v>
      </c>
      <c r="C99" s="204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>
        <f>((Q70+Q73)-(J70+J73))</f>
        <v>44757163.079999998</v>
      </c>
      <c r="R99" s="137"/>
      <c r="S99" s="137"/>
      <c r="T99" s="137"/>
      <c r="U99" s="137"/>
      <c r="V99" s="137"/>
      <c r="W99" s="137"/>
      <c r="X99" s="137">
        <f>((X70+X73)-(Q70+Q73))</f>
        <v>51662346.379999988</v>
      </c>
      <c r="Y99" s="137"/>
      <c r="Z99" s="137"/>
      <c r="AA99" s="137"/>
      <c r="AB99" s="137"/>
      <c r="AC99" s="137"/>
      <c r="AD99" s="137"/>
      <c r="AE99" s="137">
        <f>((AE70+AE73)-(X70+X73))</f>
        <v>0</v>
      </c>
      <c r="AF99" s="137"/>
      <c r="AG99" s="137"/>
      <c r="AH99" s="137"/>
      <c r="AI99" s="137"/>
      <c r="AJ99" s="137"/>
      <c r="AK99" s="137"/>
      <c r="AL99" s="137">
        <f>((AL70+AL73)-(AE70+AE73))</f>
        <v>0</v>
      </c>
      <c r="AM99" s="137"/>
      <c r="AN99" s="137"/>
      <c r="AO99" s="137"/>
      <c r="AP99" s="137"/>
      <c r="AQ99" s="137"/>
      <c r="AR99" s="137"/>
      <c r="AS99" s="137">
        <f>((AS70+AS73)-(AL70+AL73))</f>
        <v>0</v>
      </c>
    </row>
    <row r="100" spans="2:45" x14ac:dyDescent="0.2">
      <c r="B100" s="105" t="s">
        <v>356</v>
      </c>
      <c r="C100" s="204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>
        <f>(Q80-(J79+J80))</f>
        <v>0</v>
      </c>
      <c r="R100" s="137"/>
      <c r="S100" s="137"/>
      <c r="T100" s="137"/>
      <c r="U100" s="137"/>
      <c r="V100" s="137"/>
      <c r="W100" s="137"/>
      <c r="X100" s="137">
        <f>(X80-(Q79+Q80))</f>
        <v>0</v>
      </c>
      <c r="Y100" s="137"/>
      <c r="Z100" s="137"/>
      <c r="AA100" s="137"/>
      <c r="AB100" s="137"/>
      <c r="AC100" s="137"/>
      <c r="AD100" s="137"/>
      <c r="AE100" s="137">
        <f>(AE80-(X79+X80))</f>
        <v>0</v>
      </c>
      <c r="AF100" s="137"/>
      <c r="AG100" s="137"/>
      <c r="AH100" s="137"/>
      <c r="AI100" s="137"/>
      <c r="AJ100" s="137"/>
      <c r="AK100" s="137"/>
      <c r="AL100" s="137">
        <f>(AL80-(AE79+AE80))</f>
        <v>0</v>
      </c>
      <c r="AM100" s="137"/>
      <c r="AN100" s="137"/>
      <c r="AO100" s="137"/>
      <c r="AP100" s="137"/>
      <c r="AQ100" s="137"/>
      <c r="AR100" s="137"/>
      <c r="AS100" s="137">
        <f>(AS80-(AL79+AL80))</f>
        <v>0</v>
      </c>
    </row>
    <row r="101" spans="2:45" ht="16" x14ac:dyDescent="0.2">
      <c r="B101" s="141" t="s">
        <v>357</v>
      </c>
      <c r="C101" s="207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>
        <f>SUM(Q99:Q100)</f>
        <v>44757163.079999998</v>
      </c>
      <c r="R101" s="162"/>
      <c r="S101" s="162"/>
      <c r="T101" s="162"/>
      <c r="U101" s="162"/>
      <c r="V101" s="162"/>
      <c r="W101" s="162"/>
      <c r="X101" s="162">
        <f>SUM(X99:X100)</f>
        <v>51662346.379999988</v>
      </c>
      <c r="Y101" s="162"/>
      <c r="Z101" s="162"/>
      <c r="AA101" s="162"/>
      <c r="AB101" s="162"/>
      <c r="AC101" s="162"/>
      <c r="AD101" s="162"/>
      <c r="AE101" s="162">
        <f>SUM(AE99:AE100)</f>
        <v>0</v>
      </c>
      <c r="AF101" s="162"/>
      <c r="AG101" s="162"/>
      <c r="AH101" s="162"/>
      <c r="AI101" s="162"/>
      <c r="AJ101" s="162"/>
      <c r="AK101" s="162"/>
      <c r="AL101" s="162">
        <f>SUM(AL99:AL100)</f>
        <v>0</v>
      </c>
      <c r="AM101" s="162"/>
      <c r="AN101" s="162"/>
      <c r="AO101" s="162"/>
      <c r="AP101" s="162"/>
      <c r="AQ101" s="162"/>
      <c r="AR101" s="162"/>
      <c r="AS101" s="162">
        <f>SUM(AS99:AS100)</f>
        <v>0</v>
      </c>
    </row>
    <row r="102" spans="2:45" ht="16" x14ac:dyDescent="0.2">
      <c r="B102" s="141" t="s">
        <v>353</v>
      </c>
      <c r="C102" s="207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>
        <f>Q96+Q98+Q101</f>
        <v>32565732.160000004</v>
      </c>
      <c r="R102" s="162"/>
      <c r="S102" s="162"/>
      <c r="T102" s="162"/>
      <c r="U102" s="162"/>
      <c r="V102" s="162"/>
      <c r="W102" s="162"/>
      <c r="X102" s="162">
        <f>X96+X98+X101</f>
        <v>16524281.299999975</v>
      </c>
      <c r="Y102" s="162"/>
      <c r="Z102" s="162"/>
      <c r="AA102" s="162"/>
      <c r="AB102" s="162"/>
      <c r="AC102" s="162"/>
      <c r="AD102" s="162"/>
      <c r="AE102" s="162">
        <f>AE96+AE98+AE101</f>
        <v>12030814.929999998</v>
      </c>
      <c r="AF102" s="162"/>
      <c r="AG102" s="162"/>
      <c r="AH102" s="162"/>
      <c r="AI102" s="162"/>
      <c r="AJ102" s="162"/>
      <c r="AK102" s="162"/>
      <c r="AL102" s="162">
        <f>AL96+AL98+AL101</f>
        <v>-6864512.4699999997</v>
      </c>
      <c r="AM102" s="162"/>
      <c r="AN102" s="162"/>
      <c r="AO102" s="162"/>
      <c r="AP102" s="162"/>
      <c r="AQ102" s="162"/>
      <c r="AR102" s="162"/>
      <c r="AS102" s="162">
        <f>AS96+AS98+AS101</f>
        <v>0</v>
      </c>
    </row>
    <row r="103" spans="2:45" x14ac:dyDescent="0.2">
      <c r="B103" s="105" t="s">
        <v>358</v>
      </c>
      <c r="C103" s="204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>
        <f>J52</f>
        <v>19568944.609999999</v>
      </c>
      <c r="R103" s="137"/>
      <c r="S103" s="137"/>
      <c r="T103" s="137"/>
      <c r="U103" s="137"/>
      <c r="V103" s="137"/>
      <c r="W103" s="137"/>
      <c r="X103" s="137">
        <f>Q52</f>
        <v>52134676.769999996</v>
      </c>
      <c r="Y103" s="137"/>
      <c r="Z103" s="137"/>
      <c r="AA103" s="137"/>
      <c r="AB103" s="137"/>
      <c r="AC103" s="137"/>
      <c r="AD103" s="137"/>
      <c r="AE103" s="137">
        <f>X52</f>
        <v>68658958.069999993</v>
      </c>
      <c r="AF103" s="137"/>
      <c r="AG103" s="137"/>
      <c r="AH103" s="137"/>
      <c r="AI103" s="137"/>
      <c r="AJ103" s="137"/>
      <c r="AK103" s="137"/>
      <c r="AL103" s="137">
        <f>AE52</f>
        <v>80689773</v>
      </c>
      <c r="AM103" s="137"/>
      <c r="AN103" s="137"/>
      <c r="AO103" s="137"/>
      <c r="AP103" s="137"/>
      <c r="AQ103" s="137"/>
      <c r="AR103" s="137"/>
      <c r="AS103" s="137">
        <f>AL52</f>
        <v>12900</v>
      </c>
    </row>
    <row r="104" spans="2:45" ht="16" x14ac:dyDescent="0.2">
      <c r="B104" s="141" t="s">
        <v>359</v>
      </c>
      <c r="C104" s="207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>
        <f>+Q102+Q103</f>
        <v>52134676.770000003</v>
      </c>
      <c r="R104" s="162"/>
      <c r="S104" s="162"/>
      <c r="T104" s="162"/>
      <c r="U104" s="162"/>
      <c r="V104" s="162"/>
      <c r="W104" s="162"/>
      <c r="X104" s="162">
        <f>+X102+X103</f>
        <v>68658958.069999963</v>
      </c>
      <c r="Y104" s="162"/>
      <c r="Z104" s="162"/>
      <c r="AA104" s="162"/>
      <c r="AB104" s="162"/>
      <c r="AC104" s="162"/>
      <c r="AD104" s="162"/>
      <c r="AE104" s="162">
        <f>+AE102+AE103</f>
        <v>80689772.999999985</v>
      </c>
      <c r="AF104" s="162"/>
      <c r="AG104" s="162"/>
      <c r="AH104" s="162"/>
      <c r="AI104" s="162"/>
      <c r="AJ104" s="162"/>
      <c r="AK104" s="162"/>
      <c r="AL104" s="162">
        <f>+AL102+AL103</f>
        <v>73825260.530000001</v>
      </c>
      <c r="AM104" s="162"/>
      <c r="AN104" s="162"/>
      <c r="AO104" s="162"/>
      <c r="AP104" s="162"/>
      <c r="AQ104" s="162"/>
      <c r="AR104" s="162"/>
      <c r="AS104" s="162">
        <f>+AS102+AS103</f>
        <v>12900</v>
      </c>
    </row>
    <row r="105" spans="2:45" x14ac:dyDescent="0.2">
      <c r="B105" s="105" t="s">
        <v>350</v>
      </c>
      <c r="C105" s="204"/>
      <c r="D105" s="137"/>
      <c r="E105" s="137"/>
      <c r="F105" s="137"/>
      <c r="G105" s="137"/>
      <c r="H105" s="137"/>
      <c r="I105" s="137"/>
      <c r="J105" s="233"/>
      <c r="K105" s="233"/>
      <c r="L105" s="233"/>
      <c r="M105" s="233"/>
      <c r="N105" s="233"/>
      <c r="O105" s="233"/>
      <c r="P105" s="233"/>
      <c r="Q105" s="233">
        <f>Q104-Q52</f>
        <v>0</v>
      </c>
      <c r="R105" s="233"/>
      <c r="S105" s="233"/>
      <c r="T105" s="233"/>
      <c r="U105" s="233"/>
      <c r="V105" s="233"/>
      <c r="W105" s="233"/>
      <c r="X105" s="233">
        <f>X104-X52</f>
        <v>0</v>
      </c>
      <c r="Y105" s="233"/>
      <c r="Z105" s="233"/>
      <c r="AA105" s="233"/>
      <c r="AB105" s="233"/>
      <c r="AC105" s="233"/>
      <c r="AD105" s="233"/>
      <c r="AE105" s="233">
        <f>AE104-AE52</f>
        <v>0</v>
      </c>
      <c r="AF105" s="233"/>
      <c r="AG105" s="233"/>
      <c r="AH105" s="233"/>
      <c r="AI105" s="233"/>
      <c r="AJ105" s="233"/>
      <c r="AK105" s="233"/>
      <c r="AL105" s="233">
        <f>AL104-AL52</f>
        <v>73812360.530000001</v>
      </c>
      <c r="AM105" s="233"/>
      <c r="AN105" s="233"/>
      <c r="AO105" s="233"/>
      <c r="AP105" s="233"/>
      <c r="AQ105" s="233"/>
      <c r="AR105" s="233"/>
      <c r="AS105" s="233">
        <f>AS104-AS52</f>
        <v>12900</v>
      </c>
    </row>
    <row r="106" spans="2:45" x14ac:dyDescent="0.2">
      <c r="C106" s="204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</row>
    <row r="107" spans="2:45" x14ac:dyDescent="0.2">
      <c r="C107" s="204"/>
    </row>
    <row r="108" spans="2:45" ht="16" x14ac:dyDescent="0.2">
      <c r="B108" s="183" t="s">
        <v>360</v>
      </c>
      <c r="C108" s="220"/>
    </row>
    <row r="109" spans="2:45" x14ac:dyDescent="0.2">
      <c r="B109" s="105" t="s">
        <v>439</v>
      </c>
      <c r="C109" s="204"/>
      <c r="D109" s="164"/>
      <c r="E109" s="164"/>
      <c r="F109" s="164"/>
      <c r="G109" s="164"/>
      <c r="H109" s="164"/>
      <c r="I109" s="164"/>
      <c r="J109" s="164" t="e">
        <f>J63/J72</f>
        <v>#DIV/0!</v>
      </c>
      <c r="K109" s="164"/>
      <c r="L109" s="164"/>
      <c r="M109" s="164"/>
      <c r="N109" s="164"/>
      <c r="O109" s="164"/>
      <c r="P109" s="164"/>
      <c r="Q109" s="164" t="e">
        <f>Q63/Q72</f>
        <v>#DIV/0!</v>
      </c>
      <c r="R109" s="164"/>
      <c r="S109" s="164"/>
      <c r="T109" s="164"/>
      <c r="U109" s="164"/>
      <c r="V109" s="164"/>
      <c r="W109" s="164"/>
      <c r="X109" s="164" t="e">
        <f>X63/X72</f>
        <v>#DIV/0!</v>
      </c>
      <c r="Y109" s="164"/>
      <c r="Z109" s="164"/>
      <c r="AA109" s="164"/>
      <c r="AB109" s="164"/>
      <c r="AC109" s="164"/>
      <c r="AD109" s="164"/>
      <c r="AE109" s="164" t="e">
        <f>AE63/AE72</f>
        <v>#DIV/0!</v>
      </c>
      <c r="AF109" s="164"/>
      <c r="AG109" s="164"/>
      <c r="AH109" s="164"/>
      <c r="AI109" s="164"/>
      <c r="AJ109" s="164"/>
      <c r="AK109" s="164"/>
      <c r="AL109" s="164" t="e">
        <f>AL63/AL72</f>
        <v>#DIV/0!</v>
      </c>
      <c r="AM109" s="164"/>
      <c r="AN109" s="164"/>
      <c r="AO109" s="164"/>
      <c r="AP109" s="164"/>
      <c r="AQ109" s="164"/>
      <c r="AR109" s="164"/>
      <c r="AS109" s="164" t="e">
        <f>AS63/AS72</f>
        <v>#DIV/0!</v>
      </c>
    </row>
    <row r="110" spans="2:45" x14ac:dyDescent="0.2">
      <c r="B110" s="105" t="s">
        <v>361</v>
      </c>
      <c r="C110" s="204"/>
      <c r="D110" s="164"/>
      <c r="E110" s="164"/>
      <c r="F110" s="164"/>
      <c r="G110" s="164"/>
      <c r="H110" s="164"/>
      <c r="I110" s="164"/>
      <c r="J110" s="164" t="e">
        <f>(J63-J61)/J72</f>
        <v>#DIV/0!</v>
      </c>
      <c r="K110" s="164"/>
      <c r="L110" s="164"/>
      <c r="M110" s="164"/>
      <c r="N110" s="164"/>
      <c r="O110" s="164"/>
      <c r="P110" s="164"/>
      <c r="Q110" s="164" t="e">
        <f>(Q63-Q61)/Q72</f>
        <v>#DIV/0!</v>
      </c>
      <c r="R110" s="164"/>
      <c r="S110" s="164"/>
      <c r="T110" s="164"/>
      <c r="U110" s="164"/>
      <c r="V110" s="164"/>
      <c r="W110" s="164"/>
      <c r="X110" s="164" t="e">
        <f>(X63-X61)/X72</f>
        <v>#DIV/0!</v>
      </c>
      <c r="Y110" s="164"/>
      <c r="Z110" s="164"/>
      <c r="AA110" s="164"/>
      <c r="AB110" s="164"/>
      <c r="AC110" s="164"/>
      <c r="AD110" s="164"/>
      <c r="AE110" s="164" t="e">
        <f>(AE63-AE61)/AE72</f>
        <v>#DIV/0!</v>
      </c>
      <c r="AF110" s="164"/>
      <c r="AG110" s="164"/>
      <c r="AH110" s="164"/>
      <c r="AI110" s="164"/>
      <c r="AJ110" s="164"/>
      <c r="AK110" s="164"/>
      <c r="AL110" s="164" t="e">
        <f>(AL63-AL61)/AL72</f>
        <v>#DIV/0!</v>
      </c>
      <c r="AM110" s="164"/>
      <c r="AN110" s="164"/>
      <c r="AO110" s="164"/>
      <c r="AP110" s="164"/>
      <c r="AQ110" s="164"/>
      <c r="AR110" s="164"/>
      <c r="AS110" s="164" t="e">
        <f>(AS63-AS61)/AS72</f>
        <v>#DIV/0!</v>
      </c>
    </row>
    <row r="111" spans="2:45" x14ac:dyDescent="0.2">
      <c r="B111" s="105" t="s">
        <v>362</v>
      </c>
      <c r="C111" s="204"/>
      <c r="D111" s="137"/>
      <c r="E111" s="137"/>
      <c r="F111" s="137"/>
      <c r="G111" s="137"/>
      <c r="H111" s="137"/>
      <c r="I111" s="137"/>
      <c r="J111" s="137">
        <f>J63-J72</f>
        <v>19568944.609999999</v>
      </c>
      <c r="K111" s="137"/>
      <c r="L111" s="137"/>
      <c r="M111" s="137"/>
      <c r="N111" s="137"/>
      <c r="O111" s="137"/>
      <c r="P111" s="137"/>
      <c r="Q111" s="137">
        <f>Q63-Q72</f>
        <v>52134676.769999996</v>
      </c>
      <c r="R111" s="137"/>
      <c r="S111" s="137"/>
      <c r="T111" s="137"/>
      <c r="U111" s="137"/>
      <c r="V111" s="137"/>
      <c r="W111" s="137"/>
      <c r="X111" s="137">
        <f>X63-X72</f>
        <v>68658958.069999993</v>
      </c>
      <c r="Y111" s="137"/>
      <c r="Z111" s="137"/>
      <c r="AA111" s="137"/>
      <c r="AB111" s="137"/>
      <c r="AC111" s="137"/>
      <c r="AD111" s="137"/>
      <c r="AE111" s="137">
        <f>AE63-AE72</f>
        <v>80689773</v>
      </c>
      <c r="AF111" s="137"/>
      <c r="AG111" s="137"/>
      <c r="AH111" s="137"/>
      <c r="AI111" s="137"/>
      <c r="AJ111" s="137"/>
      <c r="AK111" s="137"/>
      <c r="AL111" s="137">
        <f>AL63-AL72</f>
        <v>12900</v>
      </c>
      <c r="AM111" s="137"/>
      <c r="AN111" s="137"/>
      <c r="AO111" s="137"/>
      <c r="AP111" s="137"/>
      <c r="AQ111" s="137"/>
      <c r="AR111" s="137"/>
      <c r="AS111" s="137">
        <f>AS63-AS72</f>
        <v>0</v>
      </c>
    </row>
    <row r="112" spans="2:45" x14ac:dyDescent="0.2">
      <c r="B112" s="105" t="s">
        <v>363</v>
      </c>
      <c r="C112" s="204"/>
      <c r="D112" s="137"/>
      <c r="E112" s="137"/>
      <c r="F112" s="137"/>
      <c r="G112" s="137"/>
      <c r="H112" s="137"/>
      <c r="I112" s="137"/>
      <c r="J112" s="137">
        <f>J60+J61-J68</f>
        <v>0</v>
      </c>
      <c r="K112" s="137"/>
      <c r="L112" s="137"/>
      <c r="M112" s="137"/>
      <c r="N112" s="137"/>
      <c r="O112" s="137"/>
      <c r="P112" s="137"/>
      <c r="Q112" s="137">
        <f>Q60+Q61-Q68</f>
        <v>0</v>
      </c>
      <c r="R112" s="137"/>
      <c r="S112" s="137"/>
      <c r="T112" s="137"/>
      <c r="U112" s="137"/>
      <c r="V112" s="137"/>
      <c r="W112" s="137"/>
      <c r="X112" s="137">
        <f>X60+X61-X68</f>
        <v>0</v>
      </c>
      <c r="Y112" s="137"/>
      <c r="Z112" s="137"/>
      <c r="AA112" s="137"/>
      <c r="AB112" s="137"/>
      <c r="AC112" s="137"/>
      <c r="AD112" s="137"/>
      <c r="AE112" s="137">
        <f>AE60+AE61-AE68</f>
        <v>0</v>
      </c>
      <c r="AF112" s="137"/>
      <c r="AG112" s="137"/>
      <c r="AH112" s="137"/>
      <c r="AI112" s="137"/>
      <c r="AJ112" s="137"/>
      <c r="AK112" s="137"/>
      <c r="AL112" s="137">
        <f>AL60+AL61-AL68</f>
        <v>0</v>
      </c>
      <c r="AM112" s="137"/>
      <c r="AN112" s="137"/>
      <c r="AO112" s="137"/>
      <c r="AP112" s="137"/>
      <c r="AQ112" s="137"/>
      <c r="AR112" s="137"/>
      <c r="AS112" s="137">
        <f>AS60+AS61-AS68</f>
        <v>0</v>
      </c>
    </row>
    <row r="113" spans="2:45" x14ac:dyDescent="0.2">
      <c r="C113" s="204"/>
    </row>
    <row r="114" spans="2:45" ht="16" x14ac:dyDescent="0.2">
      <c r="B114" s="183" t="s">
        <v>364</v>
      </c>
      <c r="C114" s="214"/>
    </row>
    <row r="115" spans="2:45" x14ac:dyDescent="0.2">
      <c r="B115" s="105" t="s">
        <v>440</v>
      </c>
      <c r="C115" s="204"/>
      <c r="D115" s="165"/>
      <c r="E115" s="165"/>
      <c r="F115" s="165"/>
      <c r="G115" s="165"/>
      <c r="H115" s="165"/>
      <c r="I115" s="165"/>
      <c r="J115" s="165" t="e">
        <f>J60*365/J5</f>
        <v>#DIV/0!</v>
      </c>
      <c r="K115" s="165"/>
      <c r="L115" s="165"/>
      <c r="M115" s="165"/>
      <c r="N115" s="165"/>
      <c r="O115" s="165"/>
      <c r="P115" s="165"/>
      <c r="Q115" s="165" t="e">
        <f>Q60*365/Q5</f>
        <v>#DIV/0!</v>
      </c>
      <c r="R115" s="165"/>
      <c r="S115" s="165"/>
      <c r="T115" s="165"/>
      <c r="U115" s="165"/>
      <c r="V115" s="165"/>
      <c r="W115" s="165"/>
      <c r="X115" s="165" t="e">
        <f>X60*365/X5</f>
        <v>#DIV/0!</v>
      </c>
      <c r="Y115" s="165"/>
      <c r="Z115" s="165"/>
      <c r="AA115" s="165"/>
      <c r="AB115" s="165"/>
      <c r="AC115" s="165"/>
      <c r="AD115" s="165"/>
      <c r="AE115" s="165" t="e">
        <f>AE60*365/AE5</f>
        <v>#DIV/0!</v>
      </c>
      <c r="AF115" s="165"/>
      <c r="AG115" s="165"/>
      <c r="AH115" s="165"/>
      <c r="AI115" s="165"/>
      <c r="AJ115" s="165"/>
      <c r="AK115" s="165"/>
      <c r="AL115" s="165" t="e">
        <f>AL60*365/AL5</f>
        <v>#DIV/0!</v>
      </c>
      <c r="AM115" s="165"/>
      <c r="AN115" s="165"/>
      <c r="AO115" s="165"/>
      <c r="AP115" s="165"/>
      <c r="AQ115" s="165"/>
      <c r="AR115" s="165"/>
      <c r="AS115" s="165" t="e">
        <f>AS60*365/AS5</f>
        <v>#DIV/0!</v>
      </c>
    </row>
    <row r="116" spans="2:45" x14ac:dyDescent="0.2">
      <c r="B116" s="105" t="s">
        <v>441</v>
      </c>
      <c r="C116" s="204"/>
      <c r="D116" s="165"/>
      <c r="E116" s="165"/>
      <c r="F116" s="165"/>
      <c r="G116" s="165"/>
      <c r="H116" s="165"/>
      <c r="I116" s="165"/>
      <c r="J116" s="165">
        <f>J61*365/J6</f>
        <v>0</v>
      </c>
      <c r="K116" s="165"/>
      <c r="L116" s="165"/>
      <c r="M116" s="165"/>
      <c r="N116" s="165"/>
      <c r="O116" s="165"/>
      <c r="P116" s="165"/>
      <c r="Q116" s="165">
        <f>Q61*365/Q6</f>
        <v>0</v>
      </c>
      <c r="R116" s="165"/>
      <c r="S116" s="165"/>
      <c r="T116" s="165"/>
      <c r="U116" s="165"/>
      <c r="V116" s="165"/>
      <c r="W116" s="165"/>
      <c r="X116" s="165">
        <f>X61*365/X6</f>
        <v>0</v>
      </c>
      <c r="Y116" s="165"/>
      <c r="Z116" s="165"/>
      <c r="AA116" s="165"/>
      <c r="AB116" s="165"/>
      <c r="AC116" s="165"/>
      <c r="AD116" s="165"/>
      <c r="AE116" s="165">
        <f>AE61*365/AE6</f>
        <v>0</v>
      </c>
      <c r="AF116" s="165"/>
      <c r="AG116" s="165"/>
      <c r="AH116" s="165"/>
      <c r="AI116" s="165"/>
      <c r="AJ116" s="165"/>
      <c r="AK116" s="165"/>
      <c r="AL116" s="165">
        <f>AL61*365/AL6</f>
        <v>0</v>
      </c>
      <c r="AM116" s="165"/>
      <c r="AN116" s="165"/>
      <c r="AO116" s="165"/>
      <c r="AP116" s="165"/>
      <c r="AQ116" s="165"/>
      <c r="AR116" s="165"/>
      <c r="AS116" s="165" t="e">
        <f>AS61*365/AS6</f>
        <v>#DIV/0!</v>
      </c>
    </row>
    <row r="117" spans="2:45" x14ac:dyDescent="0.2">
      <c r="B117" s="105" t="s">
        <v>442</v>
      </c>
      <c r="C117" s="204"/>
      <c r="D117" s="165"/>
      <c r="E117" s="165"/>
      <c r="F117" s="165"/>
      <c r="G117" s="165"/>
      <c r="H117" s="165"/>
      <c r="I117" s="165"/>
      <c r="J117" s="165">
        <f>J68*365/J6</f>
        <v>0</v>
      </c>
      <c r="K117" s="165"/>
      <c r="L117" s="165"/>
      <c r="M117" s="165"/>
      <c r="N117" s="165"/>
      <c r="O117" s="165"/>
      <c r="P117" s="165"/>
      <c r="Q117" s="165">
        <f>Q68*365/Q6</f>
        <v>0</v>
      </c>
      <c r="R117" s="165"/>
      <c r="S117" s="165"/>
      <c r="T117" s="165"/>
      <c r="U117" s="165"/>
      <c r="V117" s="165"/>
      <c r="W117" s="165"/>
      <c r="X117" s="165">
        <f>X68*365/X6</f>
        <v>0</v>
      </c>
      <c r="Y117" s="165"/>
      <c r="Z117" s="165"/>
      <c r="AA117" s="165"/>
      <c r="AB117" s="165"/>
      <c r="AC117" s="165"/>
      <c r="AD117" s="165"/>
      <c r="AE117" s="165">
        <f>AE68*365/AE6</f>
        <v>0</v>
      </c>
      <c r="AF117" s="165"/>
      <c r="AG117" s="165"/>
      <c r="AH117" s="165"/>
      <c r="AI117" s="165"/>
      <c r="AJ117" s="165"/>
      <c r="AK117" s="165"/>
      <c r="AL117" s="165">
        <f>AL68*365/AL6</f>
        <v>0</v>
      </c>
      <c r="AM117" s="165"/>
      <c r="AN117" s="165"/>
      <c r="AO117" s="165"/>
      <c r="AP117" s="165"/>
      <c r="AQ117" s="165"/>
      <c r="AR117" s="165"/>
      <c r="AS117" s="165" t="e">
        <f>AS68*365/AS6</f>
        <v>#DIV/0!</v>
      </c>
    </row>
    <row r="118" spans="2:45" x14ac:dyDescent="0.2">
      <c r="B118" s="105" t="s">
        <v>365</v>
      </c>
      <c r="C118" s="204"/>
      <c r="D118" s="165"/>
      <c r="E118" s="165"/>
      <c r="F118" s="165"/>
      <c r="G118" s="165"/>
      <c r="H118" s="165"/>
      <c r="I118" s="165"/>
      <c r="J118" s="165" t="e">
        <f>J115+J116-J117</f>
        <v>#DIV/0!</v>
      </c>
      <c r="K118" s="165"/>
      <c r="L118" s="165"/>
      <c r="M118" s="165"/>
      <c r="N118" s="165"/>
      <c r="O118" s="165"/>
      <c r="P118" s="165"/>
      <c r="Q118" s="165" t="e">
        <f>Q115+Q116-Q117</f>
        <v>#DIV/0!</v>
      </c>
      <c r="R118" s="165"/>
      <c r="S118" s="165"/>
      <c r="T118" s="165"/>
      <c r="U118" s="165"/>
      <c r="V118" s="165"/>
      <c r="W118" s="165"/>
      <c r="X118" s="165" t="e">
        <f>X115+X116-X117</f>
        <v>#DIV/0!</v>
      </c>
      <c r="Y118" s="165"/>
      <c r="Z118" s="165"/>
      <c r="AA118" s="165"/>
      <c r="AB118" s="165"/>
      <c r="AC118" s="165"/>
      <c r="AD118" s="165"/>
      <c r="AE118" s="165" t="e">
        <f>AE115+AE116-AE117</f>
        <v>#DIV/0!</v>
      </c>
      <c r="AF118" s="165"/>
      <c r="AG118" s="165"/>
      <c r="AH118" s="165"/>
      <c r="AI118" s="165"/>
      <c r="AJ118" s="165"/>
      <c r="AK118" s="165"/>
      <c r="AL118" s="165" t="e">
        <f>AL115+AL116-AL117</f>
        <v>#DIV/0!</v>
      </c>
      <c r="AM118" s="165"/>
      <c r="AN118" s="165"/>
      <c r="AO118" s="165"/>
      <c r="AP118" s="165"/>
      <c r="AQ118" s="165"/>
      <c r="AR118" s="165"/>
      <c r="AS118" s="165" t="e">
        <f>AS115+AS116-AS117</f>
        <v>#DIV/0!</v>
      </c>
    </row>
    <row r="119" spans="2:45" x14ac:dyDescent="0.2">
      <c r="C119" s="204"/>
    </row>
    <row r="120" spans="2:45" ht="16" x14ac:dyDescent="0.2">
      <c r="B120" s="183" t="s">
        <v>366</v>
      </c>
      <c r="C120" s="214"/>
    </row>
    <row r="121" spans="2:45" x14ac:dyDescent="0.2">
      <c r="B121" s="105" t="s">
        <v>367</v>
      </c>
      <c r="C121" s="204"/>
      <c r="D121" s="166"/>
      <c r="E121" s="166"/>
      <c r="F121" s="166"/>
      <c r="G121" s="166"/>
      <c r="H121" s="166"/>
      <c r="I121" s="166"/>
      <c r="J121" s="166" t="e">
        <f>J7/J5</f>
        <v>#DIV/0!</v>
      </c>
      <c r="K121" s="166"/>
      <c r="L121" s="166"/>
      <c r="M121" s="166"/>
      <c r="N121" s="166"/>
      <c r="O121" s="166"/>
      <c r="P121" s="166"/>
      <c r="Q121" s="166" t="e">
        <f>Q7/Q5</f>
        <v>#DIV/0!</v>
      </c>
      <c r="R121" s="166"/>
      <c r="S121" s="166"/>
      <c r="T121" s="166"/>
      <c r="U121" s="166"/>
      <c r="V121" s="166"/>
      <c r="W121" s="166"/>
      <c r="X121" s="166" t="e">
        <f>X7/X5</f>
        <v>#DIV/0!</v>
      </c>
      <c r="Y121" s="166"/>
      <c r="Z121" s="166"/>
      <c r="AA121" s="166"/>
      <c r="AB121" s="166"/>
      <c r="AC121" s="166"/>
      <c r="AD121" s="166"/>
      <c r="AE121" s="166" t="e">
        <f>AE7/AE5</f>
        <v>#DIV/0!</v>
      </c>
      <c r="AF121" s="166"/>
      <c r="AG121" s="166"/>
      <c r="AH121" s="166"/>
      <c r="AI121" s="166"/>
      <c r="AJ121" s="166"/>
      <c r="AK121" s="166"/>
      <c r="AL121" s="166" t="e">
        <f>AL7/AL5</f>
        <v>#DIV/0!</v>
      </c>
      <c r="AM121" s="166"/>
      <c r="AN121" s="166"/>
      <c r="AO121" s="166"/>
      <c r="AP121" s="166"/>
      <c r="AQ121" s="166"/>
      <c r="AR121" s="166"/>
      <c r="AS121" s="166" t="e">
        <f>AS7/AS5</f>
        <v>#DIV/0!</v>
      </c>
    </row>
    <row r="122" spans="2:45" x14ac:dyDescent="0.2">
      <c r="B122" s="105" t="s">
        <v>443</v>
      </c>
      <c r="C122" s="204"/>
      <c r="D122" s="166"/>
      <c r="E122" s="166"/>
      <c r="F122" s="166"/>
      <c r="G122" s="166"/>
      <c r="H122" s="166"/>
      <c r="I122" s="166"/>
      <c r="J122" s="166" t="e">
        <f>J15/J5</f>
        <v>#DIV/0!</v>
      </c>
      <c r="K122" s="166"/>
      <c r="L122" s="166"/>
      <c r="M122" s="166"/>
      <c r="N122" s="166"/>
      <c r="O122" s="166"/>
      <c r="P122" s="166"/>
      <c r="Q122" s="166" t="e">
        <f>Q15/Q5</f>
        <v>#DIV/0!</v>
      </c>
      <c r="R122" s="166"/>
      <c r="S122" s="166"/>
      <c r="T122" s="166"/>
      <c r="U122" s="166"/>
      <c r="V122" s="166"/>
      <c r="W122" s="166"/>
      <c r="X122" s="166" t="e">
        <f>X15/X5</f>
        <v>#DIV/0!</v>
      </c>
      <c r="Y122" s="166"/>
      <c r="Z122" s="166"/>
      <c r="AA122" s="166"/>
      <c r="AB122" s="166"/>
      <c r="AC122" s="166"/>
      <c r="AD122" s="166"/>
      <c r="AE122" s="166" t="e">
        <f>AE15/AE5</f>
        <v>#DIV/0!</v>
      </c>
      <c r="AF122" s="166"/>
      <c r="AG122" s="166"/>
      <c r="AH122" s="166"/>
      <c r="AI122" s="166"/>
      <c r="AJ122" s="166"/>
      <c r="AK122" s="166"/>
      <c r="AL122" s="166" t="e">
        <f>AL15/AL5</f>
        <v>#DIV/0!</v>
      </c>
      <c r="AM122" s="166"/>
      <c r="AN122" s="166"/>
      <c r="AO122" s="166"/>
      <c r="AP122" s="166"/>
      <c r="AQ122" s="166"/>
      <c r="AR122" s="166"/>
      <c r="AS122" s="166" t="e">
        <f>AS15/AS5</f>
        <v>#DIV/0!</v>
      </c>
    </row>
    <row r="123" spans="2:45" x14ac:dyDescent="0.2">
      <c r="B123" s="105" t="s">
        <v>368</v>
      </c>
      <c r="C123" s="204"/>
      <c r="D123" s="168"/>
      <c r="E123" s="169"/>
      <c r="F123" s="169"/>
      <c r="G123" s="168"/>
      <c r="H123" s="169"/>
      <c r="I123" s="169"/>
      <c r="J123" s="168">
        <f>J15+J14</f>
        <v>0</v>
      </c>
      <c r="K123" s="169"/>
      <c r="L123" s="169"/>
      <c r="M123" s="168"/>
      <c r="N123" s="169"/>
      <c r="O123" s="169"/>
      <c r="P123" s="168"/>
      <c r="Q123" s="168">
        <f>Q15+Q14</f>
        <v>0</v>
      </c>
      <c r="R123" s="169"/>
      <c r="S123" s="169"/>
      <c r="T123" s="168"/>
      <c r="U123" s="169"/>
      <c r="V123" s="169"/>
      <c r="W123" s="168"/>
      <c r="X123" s="168">
        <f>X15+X14</f>
        <v>0</v>
      </c>
      <c r="Y123" s="169"/>
      <c r="Z123" s="169"/>
      <c r="AA123" s="168"/>
      <c r="AB123" s="169"/>
      <c r="AC123" s="169"/>
      <c r="AD123" s="168"/>
      <c r="AE123" s="168">
        <f>AE15+AE14</f>
        <v>0</v>
      </c>
      <c r="AF123" s="169"/>
      <c r="AG123" s="169"/>
      <c r="AH123" s="168"/>
      <c r="AI123" s="169"/>
      <c r="AJ123" s="169"/>
      <c r="AK123" s="168"/>
      <c r="AL123" s="168">
        <f>AL15+AL14</f>
        <v>0</v>
      </c>
      <c r="AM123" s="169"/>
      <c r="AN123" s="169"/>
      <c r="AO123" s="168"/>
      <c r="AP123" s="169"/>
      <c r="AQ123" s="169"/>
      <c r="AR123" s="168"/>
      <c r="AS123" s="168">
        <f>AS15+AS14</f>
        <v>0</v>
      </c>
    </row>
    <row r="124" spans="2:45" x14ac:dyDescent="0.2">
      <c r="B124" s="105" t="s">
        <v>369</v>
      </c>
      <c r="C124" s="204"/>
      <c r="D124" s="166"/>
      <c r="E124" s="166"/>
      <c r="F124" s="166"/>
      <c r="G124" s="166"/>
      <c r="H124" s="166"/>
      <c r="I124" s="166"/>
      <c r="J124" s="166" t="e">
        <f>J123/J5</f>
        <v>#DIV/0!</v>
      </c>
      <c r="K124" s="166"/>
      <c r="L124" s="166"/>
      <c r="M124" s="166"/>
      <c r="N124" s="166"/>
      <c r="O124" s="166"/>
      <c r="P124" s="166"/>
      <c r="Q124" s="166" t="e">
        <f>Q123/Q5</f>
        <v>#DIV/0!</v>
      </c>
      <c r="R124" s="166"/>
      <c r="S124" s="166"/>
      <c r="T124" s="166"/>
      <c r="U124" s="166"/>
      <c r="V124" s="166"/>
      <c r="W124" s="166"/>
      <c r="X124" s="166" t="e">
        <f>X123/X5</f>
        <v>#DIV/0!</v>
      </c>
      <c r="Y124" s="166"/>
      <c r="Z124" s="166"/>
      <c r="AA124" s="166"/>
      <c r="AB124" s="166"/>
      <c r="AC124" s="166"/>
      <c r="AD124" s="166"/>
      <c r="AE124" s="166" t="e">
        <f>AE123/AE5</f>
        <v>#DIV/0!</v>
      </c>
      <c r="AF124" s="166"/>
      <c r="AG124" s="166"/>
      <c r="AH124" s="166"/>
      <c r="AI124" s="166"/>
      <c r="AJ124" s="166"/>
      <c r="AK124" s="166"/>
      <c r="AL124" s="166" t="e">
        <f>AL123/AL5</f>
        <v>#DIV/0!</v>
      </c>
      <c r="AM124" s="166"/>
      <c r="AN124" s="166"/>
      <c r="AO124" s="166"/>
      <c r="AP124" s="166"/>
      <c r="AQ124" s="166"/>
      <c r="AR124" s="166"/>
      <c r="AS124" s="166" t="e">
        <f>AS123/AS5</f>
        <v>#DIV/0!</v>
      </c>
    </row>
    <row r="125" spans="2:45" x14ac:dyDescent="0.2">
      <c r="B125" s="170" t="s">
        <v>370</v>
      </c>
      <c r="C125" s="204"/>
      <c r="D125" s="166"/>
      <c r="E125" s="166"/>
      <c r="F125" s="166"/>
      <c r="G125" s="166"/>
      <c r="H125" s="166"/>
      <c r="I125" s="166"/>
      <c r="J125" s="166" t="e">
        <f>J48/J5</f>
        <v>#DIV/0!</v>
      </c>
      <c r="K125" s="166"/>
      <c r="L125" s="166"/>
      <c r="M125" s="166"/>
      <c r="N125" s="166"/>
      <c r="O125" s="166"/>
      <c r="P125" s="166"/>
      <c r="Q125" s="166" t="e">
        <f>Q48/Q5</f>
        <v>#DIV/0!</v>
      </c>
      <c r="R125" s="166"/>
      <c r="S125" s="166"/>
      <c r="T125" s="166"/>
      <c r="U125" s="166"/>
      <c r="V125" s="166"/>
      <c r="W125" s="166"/>
      <c r="X125" s="166" t="e">
        <f>X48/X5</f>
        <v>#DIV/0!</v>
      </c>
      <c r="Y125" s="166"/>
      <c r="Z125" s="166"/>
      <c r="AA125" s="166"/>
      <c r="AB125" s="166"/>
      <c r="AC125" s="166"/>
      <c r="AD125" s="166"/>
      <c r="AE125" s="166" t="e">
        <f>AE48/AE5</f>
        <v>#DIV/0!</v>
      </c>
      <c r="AF125" s="166"/>
      <c r="AG125" s="166"/>
      <c r="AH125" s="166"/>
      <c r="AI125" s="166"/>
      <c r="AJ125" s="166"/>
      <c r="AK125" s="166"/>
      <c r="AL125" s="166" t="e">
        <f>AL48/AL5</f>
        <v>#DIV/0!</v>
      </c>
      <c r="AM125" s="166"/>
      <c r="AN125" s="166"/>
      <c r="AO125" s="166"/>
      <c r="AP125" s="166"/>
      <c r="AQ125" s="166"/>
      <c r="AR125" s="166"/>
      <c r="AS125" s="166" t="e">
        <f>AS48/AS5</f>
        <v>#DIV/0!</v>
      </c>
    </row>
    <row r="126" spans="2:45" x14ac:dyDescent="0.2">
      <c r="B126" s="105" t="s">
        <v>371</v>
      </c>
      <c r="C126" s="204"/>
      <c r="D126" s="171"/>
      <c r="E126" s="171"/>
      <c r="F126" s="171"/>
      <c r="G126" s="171"/>
      <c r="H126" s="171"/>
      <c r="I126" s="171"/>
      <c r="J126" s="244">
        <f>J48/J66</f>
        <v>5.7820885961964311E-3</v>
      </c>
      <c r="K126" s="171"/>
      <c r="L126" s="171"/>
      <c r="M126" s="171"/>
      <c r="N126" s="171"/>
      <c r="O126" s="171"/>
      <c r="P126" s="171"/>
      <c r="Q126" s="171">
        <f>Q48/Q66</f>
        <v>-6.2911401200959546E-3</v>
      </c>
      <c r="R126" s="171"/>
      <c r="S126" s="171"/>
      <c r="T126" s="171"/>
      <c r="U126" s="171"/>
      <c r="V126" s="171"/>
      <c r="W126" s="171"/>
      <c r="X126" s="171">
        <f>X48/X66</f>
        <v>-1.79789771704504E-2</v>
      </c>
      <c r="Y126" s="171"/>
      <c r="Z126" s="171"/>
      <c r="AA126" s="171"/>
      <c r="AB126" s="171"/>
      <c r="AC126" s="171"/>
      <c r="AD126" s="171"/>
      <c r="AE126" s="171">
        <f>AE48/AE66</f>
        <v>6.1181055236262435E-3</v>
      </c>
      <c r="AF126" s="171"/>
      <c r="AG126" s="171"/>
      <c r="AH126" s="171"/>
      <c r="AI126" s="171"/>
      <c r="AJ126" s="171"/>
      <c r="AK126" s="171"/>
      <c r="AL126" s="171">
        <f>AL48/AL66</f>
        <v>-3.6402003549145046E-3</v>
      </c>
      <c r="AM126" s="171"/>
      <c r="AN126" s="171"/>
      <c r="AO126" s="171"/>
      <c r="AP126" s="171"/>
      <c r="AQ126" s="171"/>
      <c r="AR126" s="171"/>
      <c r="AS126" s="171">
        <f>AS48/AS66</f>
        <v>0</v>
      </c>
    </row>
    <row r="127" spans="2:45" x14ac:dyDescent="0.2">
      <c r="B127" s="105" t="s">
        <v>372</v>
      </c>
      <c r="C127" s="204"/>
      <c r="D127" s="171"/>
      <c r="E127" s="171"/>
      <c r="F127" s="171"/>
      <c r="G127" s="171"/>
      <c r="H127" s="171"/>
      <c r="I127" s="171"/>
      <c r="J127" s="244">
        <f>J48/J81</f>
        <v>5.8081594862572986E-3</v>
      </c>
      <c r="K127" s="171"/>
      <c r="L127" s="171"/>
      <c r="M127" s="171"/>
      <c r="N127" s="171"/>
      <c r="O127" s="171"/>
      <c r="P127" s="171"/>
      <c r="Q127" s="171">
        <f>Q48/Q81</f>
        <v>-6.4691002757056191E-3</v>
      </c>
      <c r="R127" s="171"/>
      <c r="S127" s="171"/>
      <c r="T127" s="171"/>
      <c r="U127" s="171"/>
      <c r="V127" s="171"/>
      <c r="W127" s="171"/>
      <c r="X127" s="171">
        <f>X48/X81</f>
        <v>-1.8999448407389544E-2</v>
      </c>
      <c r="Y127" s="171"/>
      <c r="Z127" s="171"/>
      <c r="AA127" s="171"/>
      <c r="AB127" s="171"/>
      <c r="AC127" s="171"/>
      <c r="AD127" s="171"/>
      <c r="AE127" s="171">
        <f>AE48/AE81</f>
        <v>6.4631195436458755E-3</v>
      </c>
      <c r="AF127" s="171"/>
      <c r="AG127" s="171"/>
      <c r="AH127" s="171"/>
      <c r="AI127" s="171"/>
      <c r="AJ127" s="171"/>
      <c r="AK127" s="171"/>
      <c r="AL127" s="171">
        <f>AL48/AL81</f>
        <v>-3.7013602252990996E-3</v>
      </c>
      <c r="AM127" s="171"/>
      <c r="AN127" s="171"/>
      <c r="AO127" s="171"/>
      <c r="AP127" s="171"/>
      <c r="AQ127" s="171"/>
      <c r="AR127" s="171"/>
      <c r="AS127" s="171">
        <f>AS48/AS81</f>
        <v>0</v>
      </c>
    </row>
    <row r="128" spans="2:45" x14ac:dyDescent="0.2">
      <c r="C128" s="204"/>
    </row>
    <row r="129" spans="2:45" ht="16" x14ac:dyDescent="0.2">
      <c r="B129" s="183" t="s">
        <v>373</v>
      </c>
      <c r="C129" s="214"/>
    </row>
    <row r="130" spans="2:45" x14ac:dyDescent="0.2">
      <c r="B130" s="105" t="s">
        <v>374</v>
      </c>
      <c r="C130" s="204"/>
      <c r="D130" s="166"/>
      <c r="E130" s="166"/>
      <c r="F130" s="166"/>
      <c r="G130" s="166"/>
      <c r="H130" s="166"/>
      <c r="I130" s="166"/>
      <c r="J130" s="166">
        <f>J75/J66</f>
        <v>4.4886663533524069E-3</v>
      </c>
      <c r="K130" s="166"/>
      <c r="L130" s="166"/>
      <c r="M130" s="166"/>
      <c r="N130" s="166"/>
      <c r="O130" s="166"/>
      <c r="P130" s="166"/>
      <c r="Q130" s="166">
        <f>Q75/Q66</f>
        <v>2.7509259097124313E-2</v>
      </c>
      <c r="R130" s="166"/>
      <c r="S130" s="166"/>
      <c r="T130" s="166"/>
      <c r="U130" s="166"/>
      <c r="V130" s="166"/>
      <c r="W130" s="166"/>
      <c r="X130" s="166">
        <f>X75/X66</f>
        <v>5.3710571752296168E-2</v>
      </c>
      <c r="Y130" s="166"/>
      <c r="Z130" s="166"/>
      <c r="AA130" s="166"/>
      <c r="AB130" s="166"/>
      <c r="AC130" s="166"/>
      <c r="AD130" s="166"/>
      <c r="AE130" s="166">
        <f>AE75/AE66</f>
        <v>5.338196480658132E-2</v>
      </c>
      <c r="AF130" s="166"/>
      <c r="AG130" s="166"/>
      <c r="AH130" s="166"/>
      <c r="AI130" s="166"/>
      <c r="AJ130" s="166"/>
      <c r="AK130" s="166"/>
      <c r="AL130" s="166">
        <f>AL75/AL66</f>
        <v>5.5665770760393085E-2</v>
      </c>
      <c r="AM130" s="166"/>
      <c r="AN130" s="166"/>
      <c r="AO130" s="166"/>
      <c r="AP130" s="166"/>
      <c r="AQ130" s="166"/>
      <c r="AR130" s="166"/>
      <c r="AS130" s="166">
        <f>AS75/AS66</f>
        <v>5.5666151560005241E-2</v>
      </c>
    </row>
    <row r="131" spans="2:45" x14ac:dyDescent="0.2">
      <c r="B131" s="105" t="s">
        <v>375</v>
      </c>
      <c r="C131" s="204"/>
      <c r="D131" s="164"/>
      <c r="E131" s="164"/>
      <c r="F131" s="164"/>
      <c r="G131" s="164"/>
      <c r="H131" s="164"/>
      <c r="I131" s="164"/>
      <c r="J131" s="164">
        <f>J75/J81</f>
        <v>4.5089053249750734E-3</v>
      </c>
      <c r="K131" s="164"/>
      <c r="L131" s="164"/>
      <c r="M131" s="164"/>
      <c r="N131" s="164"/>
      <c r="O131" s="164"/>
      <c r="P131" s="164"/>
      <c r="Q131" s="164">
        <f>Q75/Q81</f>
        <v>2.8287425206315366E-2</v>
      </c>
      <c r="R131" s="164"/>
      <c r="S131" s="164"/>
      <c r="T131" s="164"/>
      <c r="U131" s="164"/>
      <c r="V131" s="164"/>
      <c r="W131" s="164"/>
      <c r="X131" s="164">
        <f>X75/X81</f>
        <v>5.6759137478429811E-2</v>
      </c>
      <c r="Y131" s="164"/>
      <c r="Z131" s="164"/>
      <c r="AA131" s="164"/>
      <c r="AB131" s="164"/>
      <c r="AC131" s="164"/>
      <c r="AD131" s="164"/>
      <c r="AE131" s="164">
        <f>AE75/AE81</f>
        <v>5.6392296387712489E-2</v>
      </c>
      <c r="AF131" s="164"/>
      <c r="AG131" s="164"/>
      <c r="AH131" s="164"/>
      <c r="AI131" s="164"/>
      <c r="AJ131" s="164"/>
      <c r="AK131" s="164"/>
      <c r="AL131" s="164">
        <f>AL75/AL81</f>
        <v>5.6601024590575248E-2</v>
      </c>
      <c r="AM131" s="164"/>
      <c r="AN131" s="164"/>
      <c r="AO131" s="164"/>
      <c r="AP131" s="164"/>
      <c r="AQ131" s="164"/>
      <c r="AR131" s="164"/>
      <c r="AS131" s="164">
        <f>AS75/AS81</f>
        <v>5.6601024590575248E-2</v>
      </c>
    </row>
    <row r="132" spans="2:45" x14ac:dyDescent="0.2">
      <c r="B132" s="105" t="s">
        <v>376</v>
      </c>
      <c r="C132" s="204"/>
      <c r="D132" s="139"/>
      <c r="E132" s="139"/>
      <c r="F132" s="139"/>
      <c r="G132" s="139"/>
      <c r="H132" s="139"/>
      <c r="I132" s="139"/>
      <c r="J132" s="217" t="e">
        <f>J45/J123</f>
        <v>#DIV/0!</v>
      </c>
      <c r="K132" s="139"/>
      <c r="L132" s="139"/>
      <c r="M132" s="139"/>
      <c r="N132" s="139"/>
      <c r="O132" s="139"/>
      <c r="P132" s="139"/>
      <c r="Q132" s="217" t="e">
        <f>Q45/Q123</f>
        <v>#DIV/0!</v>
      </c>
      <c r="R132" s="139"/>
      <c r="S132" s="139"/>
      <c r="T132" s="139"/>
      <c r="U132" s="139"/>
      <c r="V132" s="139"/>
      <c r="W132" s="139"/>
      <c r="X132" s="217" t="e">
        <f>X45/X123</f>
        <v>#DIV/0!</v>
      </c>
      <c r="Y132" s="139"/>
      <c r="Z132" s="139"/>
      <c r="AA132" s="139"/>
      <c r="AB132" s="139"/>
      <c r="AC132" s="139"/>
      <c r="AD132" s="139"/>
      <c r="AE132" s="217" t="e">
        <f>AE45/AE123</f>
        <v>#DIV/0!</v>
      </c>
      <c r="AF132" s="139"/>
      <c r="AG132" s="139"/>
      <c r="AH132" s="139"/>
      <c r="AI132" s="139"/>
      <c r="AJ132" s="139"/>
      <c r="AK132" s="139"/>
      <c r="AL132" s="217" t="e">
        <f>AL45/AL123</f>
        <v>#DIV/0!</v>
      </c>
      <c r="AM132" s="139"/>
      <c r="AN132" s="139"/>
      <c r="AO132" s="139"/>
      <c r="AP132" s="139"/>
      <c r="AQ132" s="139"/>
      <c r="AR132" s="139"/>
      <c r="AS132" s="217" t="e">
        <f>AS45/AS123</f>
        <v>#DIV/0!</v>
      </c>
    </row>
    <row r="133" spans="2:45" x14ac:dyDescent="0.2">
      <c r="B133" s="105" t="s">
        <v>377</v>
      </c>
      <c r="C133" s="204"/>
      <c r="D133" s="164"/>
      <c r="E133" s="164"/>
      <c r="F133" s="164"/>
      <c r="G133" s="164"/>
      <c r="H133" s="164"/>
      <c r="I133" s="164"/>
      <c r="J133" s="218" t="e">
        <f>J123/(J45+J70)</f>
        <v>#DIV/0!</v>
      </c>
      <c r="K133" s="164"/>
      <c r="L133" s="164"/>
      <c r="M133" s="164"/>
      <c r="N133" s="164"/>
      <c r="O133" s="164"/>
      <c r="P133" s="164"/>
      <c r="Q133" s="218" t="e">
        <f>Q123/(Q45+Q70)</f>
        <v>#DIV/0!</v>
      </c>
      <c r="R133" s="164"/>
      <c r="S133" s="164"/>
      <c r="T133" s="164"/>
      <c r="U133" s="164"/>
      <c r="V133" s="164"/>
      <c r="W133" s="164"/>
      <c r="X133" s="218" t="e">
        <f>X123/(X45+X70)</f>
        <v>#DIV/0!</v>
      </c>
      <c r="Y133" s="164"/>
      <c r="Z133" s="164"/>
      <c r="AA133" s="164"/>
      <c r="AB133" s="164"/>
      <c r="AC133" s="164"/>
      <c r="AD133" s="164"/>
      <c r="AE133" s="218">
        <f>AE123/(AE45+AE70)</f>
        <v>0</v>
      </c>
      <c r="AF133" s="164"/>
      <c r="AG133" s="164"/>
      <c r="AH133" s="164"/>
      <c r="AI133" s="164"/>
      <c r="AJ133" s="164"/>
      <c r="AK133" s="164"/>
      <c r="AL133" s="218">
        <f>AL123/(AL45+AL70)</f>
        <v>0</v>
      </c>
      <c r="AM133" s="164"/>
      <c r="AN133" s="164"/>
      <c r="AO133" s="164"/>
      <c r="AP133" s="164"/>
      <c r="AQ133" s="164"/>
      <c r="AR133" s="164"/>
      <c r="AS133" s="218" t="e">
        <f>AS123/(AS45+AS70)</f>
        <v>#DIV/0!</v>
      </c>
    </row>
    <row r="134" spans="2:45" x14ac:dyDescent="0.2">
      <c r="C134" s="204"/>
    </row>
    <row r="135" spans="2:45" ht="16" x14ac:dyDescent="0.2">
      <c r="B135" s="183" t="s">
        <v>378</v>
      </c>
      <c r="C135" s="220"/>
    </row>
    <row r="136" spans="2:45" x14ac:dyDescent="0.2">
      <c r="B136" s="105" t="s">
        <v>379</v>
      </c>
      <c r="C136" s="204"/>
      <c r="D136" s="164"/>
      <c r="E136" s="164"/>
      <c r="F136" s="164"/>
      <c r="G136" s="164"/>
      <c r="H136" s="164"/>
      <c r="I136" s="164"/>
      <c r="J136" s="164" t="e">
        <f>J112/J5</f>
        <v>#DIV/0!</v>
      </c>
      <c r="K136" s="164"/>
      <c r="L136" s="164"/>
      <c r="M136" s="164"/>
      <c r="N136" s="164"/>
      <c r="O136" s="164"/>
      <c r="P136" s="164"/>
      <c r="Q136" s="164" t="e">
        <f>Q112/Q5</f>
        <v>#DIV/0!</v>
      </c>
      <c r="R136" s="164"/>
      <c r="S136" s="164"/>
      <c r="T136" s="164"/>
      <c r="U136" s="164"/>
      <c r="V136" s="164"/>
      <c r="W136" s="164"/>
      <c r="X136" s="164" t="e">
        <f>X112/X5</f>
        <v>#DIV/0!</v>
      </c>
      <c r="Y136" s="164"/>
      <c r="Z136" s="164"/>
      <c r="AA136" s="164"/>
      <c r="AB136" s="164"/>
      <c r="AC136" s="164"/>
      <c r="AD136" s="164"/>
      <c r="AE136" s="164" t="e">
        <f>AE112/AE5</f>
        <v>#DIV/0!</v>
      </c>
      <c r="AF136" s="164"/>
      <c r="AG136" s="164"/>
      <c r="AH136" s="164"/>
      <c r="AI136" s="164"/>
      <c r="AJ136" s="164"/>
      <c r="AK136" s="164"/>
      <c r="AL136" s="164" t="e">
        <f>AL112/AL5</f>
        <v>#DIV/0!</v>
      </c>
      <c r="AM136" s="164"/>
      <c r="AN136" s="164"/>
      <c r="AO136" s="164"/>
      <c r="AP136" s="164"/>
      <c r="AQ136" s="164"/>
      <c r="AR136" s="164"/>
      <c r="AS136" s="164" t="e">
        <f>AS112/AS5</f>
        <v>#DIV/0!</v>
      </c>
    </row>
    <row r="137" spans="2:45" x14ac:dyDescent="0.2">
      <c r="B137" s="105" t="s">
        <v>444</v>
      </c>
      <c r="C137" s="204"/>
      <c r="D137" s="174"/>
      <c r="E137" s="174"/>
      <c r="F137" s="174"/>
      <c r="G137" s="174"/>
      <c r="H137" s="174"/>
      <c r="I137" s="174"/>
      <c r="J137" s="219">
        <f>J5/J64</f>
        <v>0</v>
      </c>
      <c r="K137" s="174"/>
      <c r="L137" s="174"/>
      <c r="M137" s="174"/>
      <c r="N137" s="174"/>
      <c r="O137" s="174"/>
      <c r="P137" s="174"/>
      <c r="Q137" s="219">
        <f>Q5/Q64</f>
        <v>0</v>
      </c>
      <c r="R137" s="174"/>
      <c r="S137" s="174"/>
      <c r="T137" s="174"/>
      <c r="U137" s="174"/>
      <c r="V137" s="174"/>
      <c r="W137" s="174"/>
      <c r="X137" s="219">
        <f>X5/X64</f>
        <v>0</v>
      </c>
      <c r="Y137" s="174"/>
      <c r="Z137" s="174"/>
      <c r="AA137" s="174"/>
      <c r="AB137" s="174"/>
      <c r="AC137" s="174"/>
      <c r="AD137" s="174"/>
      <c r="AE137" s="219">
        <f>AE5/AE64</f>
        <v>0</v>
      </c>
      <c r="AF137" s="174"/>
      <c r="AG137" s="174"/>
      <c r="AH137" s="174"/>
      <c r="AI137" s="174"/>
      <c r="AJ137" s="174"/>
      <c r="AK137" s="174"/>
      <c r="AL137" s="219">
        <f>AL5/AL64</f>
        <v>0</v>
      </c>
      <c r="AM137" s="174"/>
      <c r="AN137" s="174"/>
      <c r="AO137" s="174"/>
      <c r="AP137" s="174"/>
      <c r="AQ137" s="174"/>
      <c r="AR137" s="174"/>
      <c r="AS137" s="219">
        <f>AS5/AS64</f>
        <v>0</v>
      </c>
    </row>
    <row r="138" spans="2:45" x14ac:dyDescent="0.2">
      <c r="C138" s="204"/>
    </row>
    <row r="139" spans="2:45" ht="16" x14ac:dyDescent="0.2">
      <c r="B139" s="183" t="s">
        <v>380</v>
      </c>
      <c r="C139" s="220"/>
    </row>
    <row r="140" spans="2:45" x14ac:dyDescent="0.2">
      <c r="B140" s="105" t="s">
        <v>381</v>
      </c>
      <c r="C140" s="204"/>
      <c r="D140" s="171"/>
      <c r="E140" s="171"/>
      <c r="F140" s="171"/>
      <c r="G140" s="171"/>
      <c r="H140" s="171"/>
      <c r="I140" s="171"/>
      <c r="J140" s="171">
        <f>J47/J46</f>
        <v>0</v>
      </c>
      <c r="K140" s="171"/>
      <c r="L140" s="171"/>
      <c r="M140" s="171"/>
      <c r="N140" s="171"/>
      <c r="O140" s="171"/>
      <c r="P140" s="171"/>
      <c r="Q140" s="171">
        <f>Q47/Q46</f>
        <v>0</v>
      </c>
      <c r="R140" s="171"/>
      <c r="S140" s="171"/>
      <c r="T140" s="171"/>
      <c r="U140" s="171"/>
      <c r="V140" s="171"/>
      <c r="W140" s="171"/>
      <c r="X140" s="171">
        <f>X47/X46</f>
        <v>0</v>
      </c>
      <c r="Y140" s="171"/>
      <c r="Z140" s="171"/>
      <c r="AA140" s="171"/>
      <c r="AB140" s="171"/>
      <c r="AC140" s="171"/>
      <c r="AD140" s="171"/>
      <c r="AE140" s="171">
        <f>AE47/AE46</f>
        <v>7.3969649750852795E-2</v>
      </c>
      <c r="AF140" s="171"/>
      <c r="AG140" s="171"/>
      <c r="AH140" s="171"/>
      <c r="AI140" s="171"/>
      <c r="AJ140" s="171"/>
      <c r="AK140" s="171"/>
      <c r="AL140" s="171">
        <f>AL47/AL46</f>
        <v>0</v>
      </c>
      <c r="AM140" s="171"/>
      <c r="AN140" s="171"/>
      <c r="AO140" s="171"/>
      <c r="AP140" s="171"/>
      <c r="AQ140" s="171"/>
      <c r="AR140" s="171"/>
      <c r="AS140" s="171" t="e">
        <f>AS47/AS46</f>
        <v>#DIV/0!</v>
      </c>
    </row>
    <row r="141" spans="2:45" x14ac:dyDescent="0.2">
      <c r="B141" s="105" t="s">
        <v>382</v>
      </c>
      <c r="C141" s="204"/>
      <c r="D141" s="137"/>
      <c r="E141" s="137"/>
      <c r="F141" s="137"/>
      <c r="G141" s="137"/>
      <c r="H141" s="137"/>
      <c r="I141" s="137"/>
      <c r="J141" s="137">
        <f>J15*(1-J140)</f>
        <v>0</v>
      </c>
      <c r="K141" s="137"/>
      <c r="L141" s="137"/>
      <c r="M141" s="137"/>
      <c r="N141" s="137"/>
      <c r="O141" s="137"/>
      <c r="P141" s="137"/>
      <c r="Q141" s="137">
        <f>Q15*(1-Q140)</f>
        <v>0</v>
      </c>
      <c r="R141" s="137"/>
      <c r="S141" s="137"/>
      <c r="T141" s="137"/>
      <c r="U141" s="137"/>
      <c r="V141" s="137"/>
      <c r="W141" s="137"/>
      <c r="X141" s="137">
        <f>X15*(1-X140)</f>
        <v>0</v>
      </c>
      <c r="Y141" s="137"/>
      <c r="Z141" s="137"/>
      <c r="AA141" s="137"/>
      <c r="AB141" s="137"/>
      <c r="AC141" s="137"/>
      <c r="AD141" s="137"/>
      <c r="AE141" s="137">
        <f>AE15*(1-AE140)</f>
        <v>0</v>
      </c>
      <c r="AF141" s="137"/>
      <c r="AG141" s="137"/>
      <c r="AH141" s="137"/>
      <c r="AI141" s="137"/>
      <c r="AJ141" s="137"/>
      <c r="AK141" s="137"/>
      <c r="AL141" s="137">
        <f>AL15*(1-AL140)</f>
        <v>0</v>
      </c>
      <c r="AM141" s="137"/>
      <c r="AN141" s="137"/>
      <c r="AO141" s="137"/>
      <c r="AP141" s="137"/>
      <c r="AQ141" s="137"/>
      <c r="AR141" s="137"/>
      <c r="AS141" s="137" t="e">
        <f>AS15*(1-AS140)</f>
        <v>#DIV/0!</v>
      </c>
    </row>
    <row r="142" spans="2:45" x14ac:dyDescent="0.2">
      <c r="B142" s="105" t="s">
        <v>383</v>
      </c>
      <c r="C142" s="204"/>
      <c r="D142" s="137"/>
      <c r="E142" s="137"/>
      <c r="F142" s="137"/>
      <c r="G142" s="137"/>
      <c r="H142" s="137"/>
      <c r="I142" s="137"/>
      <c r="J142" s="137">
        <f>J112+J64</f>
        <v>1885738377.5999999</v>
      </c>
      <c r="K142" s="137"/>
      <c r="L142" s="137"/>
      <c r="M142" s="137"/>
      <c r="N142" s="137"/>
      <c r="O142" s="137"/>
      <c r="P142" s="137"/>
      <c r="Q142" s="137">
        <f>Q112+Q64</f>
        <v>1885738377.5999999</v>
      </c>
      <c r="R142" s="137"/>
      <c r="S142" s="137"/>
      <c r="T142" s="137"/>
      <c r="U142" s="137"/>
      <c r="V142" s="137"/>
      <c r="W142" s="137"/>
      <c r="X142" s="137">
        <f>X112+X64</f>
        <v>1885738377.5999999</v>
      </c>
      <c r="Y142" s="137"/>
      <c r="Z142" s="137"/>
      <c r="AA142" s="137"/>
      <c r="AB142" s="137"/>
      <c r="AC142" s="137"/>
      <c r="AD142" s="137"/>
      <c r="AE142" s="137">
        <f>AE112+AE64</f>
        <v>1885738377.5999999</v>
      </c>
      <c r="AF142" s="137"/>
      <c r="AG142" s="137"/>
      <c r="AH142" s="137"/>
      <c r="AI142" s="137"/>
      <c r="AJ142" s="137"/>
      <c r="AK142" s="137"/>
      <c r="AL142" s="137">
        <f>AL112+AL64</f>
        <v>1885738377.5999999</v>
      </c>
      <c r="AM142" s="137"/>
      <c r="AN142" s="137"/>
      <c r="AO142" s="137"/>
      <c r="AP142" s="137"/>
      <c r="AQ142" s="137"/>
      <c r="AR142" s="137"/>
      <c r="AS142" s="137">
        <f>AS112+AS64</f>
        <v>1885738377.5999999</v>
      </c>
    </row>
    <row r="143" spans="2:45" x14ac:dyDescent="0.2">
      <c r="B143" s="105" t="s">
        <v>384</v>
      </c>
      <c r="C143" s="204"/>
      <c r="D143" s="166"/>
      <c r="E143" s="166"/>
      <c r="F143" s="166"/>
      <c r="G143" s="166"/>
      <c r="H143" s="166"/>
      <c r="I143" s="166"/>
      <c r="J143" s="139">
        <f>J141/J142</f>
        <v>0</v>
      </c>
      <c r="K143" s="166"/>
      <c r="L143" s="166"/>
      <c r="M143" s="166"/>
      <c r="N143" s="166"/>
      <c r="O143" s="166"/>
      <c r="P143" s="166"/>
      <c r="Q143" s="139">
        <f>Q141/Q142</f>
        <v>0</v>
      </c>
      <c r="R143" s="166"/>
      <c r="S143" s="166"/>
      <c r="T143" s="166"/>
      <c r="U143" s="166"/>
      <c r="V143" s="166"/>
      <c r="W143" s="166"/>
      <c r="X143" s="139">
        <f>X141/X142</f>
        <v>0</v>
      </c>
      <c r="Y143" s="166"/>
      <c r="Z143" s="166"/>
      <c r="AA143" s="166"/>
      <c r="AB143" s="166"/>
      <c r="AC143" s="166"/>
      <c r="AD143" s="166"/>
      <c r="AE143" s="139">
        <f>AE141/AE142</f>
        <v>0</v>
      </c>
      <c r="AF143" s="166"/>
      <c r="AG143" s="166"/>
      <c r="AH143" s="166"/>
      <c r="AI143" s="166"/>
      <c r="AJ143" s="166"/>
      <c r="AK143" s="166"/>
      <c r="AL143" s="139">
        <f>AL141/AL142</f>
        <v>0</v>
      </c>
      <c r="AM143" s="166"/>
      <c r="AN143" s="166"/>
      <c r="AO143" s="166"/>
      <c r="AP143" s="166"/>
      <c r="AQ143" s="166"/>
      <c r="AR143" s="166"/>
      <c r="AS143" s="139" t="e">
        <f>AS141/AS142</f>
        <v>#DIV/0!</v>
      </c>
    </row>
    <row r="144" spans="2:45" x14ac:dyDescent="0.2">
      <c r="B144" s="105" t="s">
        <v>385</v>
      </c>
      <c r="C144" s="204"/>
      <c r="D144" s="137"/>
      <c r="E144" s="137"/>
      <c r="F144" s="137"/>
      <c r="G144" s="137"/>
      <c r="H144" s="137"/>
      <c r="I144" s="137"/>
      <c r="J144" s="137">
        <f>J73+J70</f>
        <v>8552288.8699999992</v>
      </c>
      <c r="K144" s="137"/>
      <c r="L144" s="137"/>
      <c r="M144" s="137"/>
      <c r="N144" s="137"/>
      <c r="O144" s="137"/>
      <c r="P144" s="137"/>
      <c r="Q144" s="137">
        <f>Q73+Q70</f>
        <v>53309451.949999996</v>
      </c>
      <c r="R144" s="137"/>
      <c r="S144" s="137"/>
      <c r="T144" s="137"/>
      <c r="U144" s="137"/>
      <c r="V144" s="137"/>
      <c r="W144" s="137"/>
      <c r="X144" s="137">
        <f>X73+X70</f>
        <v>104971798.32999998</v>
      </c>
      <c r="Y144" s="137"/>
      <c r="Z144" s="137"/>
      <c r="AA144" s="137"/>
      <c r="AB144" s="137"/>
      <c r="AC144" s="137"/>
      <c r="AD144" s="137"/>
      <c r="AE144" s="137">
        <f>AE73+AE70</f>
        <v>104971798.32999998</v>
      </c>
      <c r="AF144" s="137"/>
      <c r="AG144" s="137"/>
      <c r="AH144" s="137"/>
      <c r="AI144" s="137"/>
      <c r="AJ144" s="137"/>
      <c r="AK144" s="137"/>
      <c r="AL144" s="137">
        <f>AL73+AL70</f>
        <v>104971798.32999998</v>
      </c>
      <c r="AM144" s="137"/>
      <c r="AN144" s="137"/>
      <c r="AO144" s="137"/>
      <c r="AP144" s="137"/>
      <c r="AQ144" s="137"/>
      <c r="AR144" s="137"/>
      <c r="AS144" s="137">
        <f>AS73+AS70</f>
        <v>104971798.32999998</v>
      </c>
    </row>
    <row r="145" spans="2:45" x14ac:dyDescent="0.2">
      <c r="B145" s="105" t="s">
        <v>386</v>
      </c>
      <c r="C145" s="204"/>
      <c r="D145" s="137"/>
      <c r="E145" s="137"/>
      <c r="F145" s="137"/>
      <c r="G145" s="137"/>
      <c r="H145" s="137"/>
      <c r="I145" s="137"/>
      <c r="J145" s="137">
        <f>J81</f>
        <v>1896755033.3399999</v>
      </c>
      <c r="K145" s="137"/>
      <c r="L145" s="137"/>
      <c r="M145" s="137"/>
      <c r="N145" s="137"/>
      <c r="O145" s="137"/>
      <c r="P145" s="137"/>
      <c r="Q145" s="137">
        <f>Q81</f>
        <v>1884563602.4199998</v>
      </c>
      <c r="R145" s="137"/>
      <c r="S145" s="137"/>
      <c r="T145" s="137"/>
      <c r="U145" s="137"/>
      <c r="V145" s="137"/>
      <c r="W145" s="137"/>
      <c r="X145" s="137">
        <f>X81</f>
        <v>1849425537.3399999</v>
      </c>
      <c r="Y145" s="137"/>
      <c r="Z145" s="137"/>
      <c r="AA145" s="137"/>
      <c r="AB145" s="137"/>
      <c r="AC145" s="137"/>
      <c r="AD145" s="137"/>
      <c r="AE145" s="137">
        <f>AE81</f>
        <v>1861456352.27</v>
      </c>
      <c r="AF145" s="137"/>
      <c r="AG145" s="137"/>
      <c r="AH145" s="137"/>
      <c r="AI145" s="137"/>
      <c r="AJ145" s="137"/>
      <c r="AK145" s="137"/>
      <c r="AL145" s="137">
        <f>AL81</f>
        <v>1854591839.8</v>
      </c>
      <c r="AM145" s="137"/>
      <c r="AN145" s="137"/>
      <c r="AO145" s="137"/>
      <c r="AP145" s="137"/>
      <c r="AQ145" s="137"/>
      <c r="AR145" s="137"/>
      <c r="AS145" s="137">
        <f>AS81</f>
        <v>1854591839.8</v>
      </c>
    </row>
    <row r="146" spans="2:45" x14ac:dyDescent="0.2">
      <c r="B146" s="105" t="s">
        <v>387</v>
      </c>
      <c r="C146" s="204"/>
      <c r="D146" s="139"/>
      <c r="E146" s="139"/>
      <c r="F146" s="139"/>
      <c r="G146" s="139"/>
      <c r="H146" s="139"/>
      <c r="I146" s="139"/>
      <c r="J146" s="139">
        <f>J144/(J144+J145)</f>
        <v>4.4886663533524069E-3</v>
      </c>
      <c r="K146" s="139"/>
      <c r="L146" s="139"/>
      <c r="M146" s="139"/>
      <c r="N146" s="139"/>
      <c r="O146" s="139"/>
      <c r="P146" s="139"/>
      <c r="Q146" s="139">
        <f>Q144/(Q144+Q145)</f>
        <v>2.7509259097124313E-2</v>
      </c>
      <c r="R146" s="139"/>
      <c r="S146" s="139"/>
      <c r="T146" s="139"/>
      <c r="U146" s="139"/>
      <c r="V146" s="139"/>
      <c r="W146" s="139"/>
      <c r="X146" s="139">
        <f>X144/(X144+X145)</f>
        <v>5.3710571752296168E-2</v>
      </c>
      <c r="Y146" s="139"/>
      <c r="Z146" s="139"/>
      <c r="AA146" s="139"/>
      <c r="AB146" s="139"/>
      <c r="AC146" s="139"/>
      <c r="AD146" s="139"/>
      <c r="AE146" s="139">
        <f>AE144/(AE144+AE145)</f>
        <v>5.338196480658132E-2</v>
      </c>
      <c r="AF146" s="139"/>
      <c r="AG146" s="139"/>
      <c r="AH146" s="139"/>
      <c r="AI146" s="139"/>
      <c r="AJ146" s="139"/>
      <c r="AK146" s="139"/>
      <c r="AL146" s="139">
        <f>AL144/(AL144+AL145)</f>
        <v>5.3568966216465397E-2</v>
      </c>
      <c r="AM146" s="139"/>
      <c r="AN146" s="139"/>
      <c r="AO146" s="139"/>
      <c r="AP146" s="139"/>
      <c r="AQ146" s="139"/>
      <c r="AR146" s="139"/>
      <c r="AS146" s="139">
        <f>AS144/(AS144+AS145)</f>
        <v>5.3568966216465397E-2</v>
      </c>
    </row>
    <row r="147" spans="2:45" x14ac:dyDescent="0.2">
      <c r="B147" s="105" t="s">
        <v>388</v>
      </c>
      <c r="C147" s="204"/>
      <c r="D147" s="139"/>
      <c r="E147" s="139"/>
      <c r="F147" s="139"/>
      <c r="G147" s="139"/>
      <c r="H147" s="139"/>
      <c r="I147" s="139"/>
      <c r="J147" s="139">
        <f>J145/(J144+J145)</f>
        <v>0.99551133364664768</v>
      </c>
      <c r="K147" s="139"/>
      <c r="L147" s="139"/>
      <c r="M147" s="139"/>
      <c r="N147" s="139"/>
      <c r="O147" s="139"/>
      <c r="P147" s="139"/>
      <c r="Q147" s="139">
        <f>Q145/(Q144+Q145)</f>
        <v>0.97249074090287568</v>
      </c>
      <c r="R147" s="139"/>
      <c r="S147" s="139"/>
      <c r="T147" s="139"/>
      <c r="U147" s="139"/>
      <c r="V147" s="139"/>
      <c r="W147" s="139"/>
      <c r="X147" s="139">
        <f>X145/(X144+X145)</f>
        <v>0.9462894282477039</v>
      </c>
      <c r="Y147" s="139"/>
      <c r="Z147" s="139"/>
      <c r="AA147" s="139"/>
      <c r="AB147" s="139"/>
      <c r="AC147" s="139"/>
      <c r="AD147" s="139"/>
      <c r="AE147" s="139">
        <f>AE145/(AE144+AE145)</f>
        <v>0.94661803519341869</v>
      </c>
      <c r="AF147" s="139"/>
      <c r="AG147" s="139"/>
      <c r="AH147" s="139"/>
      <c r="AI147" s="139"/>
      <c r="AJ147" s="139"/>
      <c r="AK147" s="139"/>
      <c r="AL147" s="139">
        <f>AL145/(AL144+AL145)</f>
        <v>0.94643103378353466</v>
      </c>
      <c r="AM147" s="139"/>
      <c r="AN147" s="139"/>
      <c r="AO147" s="139"/>
      <c r="AP147" s="139"/>
      <c r="AQ147" s="139"/>
      <c r="AR147" s="139"/>
      <c r="AS147" s="139">
        <f>AS145/(AS144+AS145)</f>
        <v>0.94643103378353466</v>
      </c>
    </row>
    <row r="148" spans="2:45" x14ac:dyDescent="0.2">
      <c r="B148" s="105" t="s">
        <v>389</v>
      </c>
      <c r="C148" s="204"/>
      <c r="D148" s="139"/>
      <c r="E148" s="139"/>
      <c r="F148" s="139"/>
      <c r="G148" s="139"/>
      <c r="H148" s="139"/>
      <c r="I148" s="139"/>
      <c r="J148" s="139">
        <f>J45/J144</f>
        <v>0</v>
      </c>
      <c r="K148" s="139"/>
      <c r="L148" s="139"/>
      <c r="M148" s="139"/>
      <c r="N148" s="139"/>
      <c r="O148" s="139"/>
      <c r="P148" s="139"/>
      <c r="Q148" s="139">
        <f>Q45/Q144</f>
        <v>0</v>
      </c>
      <c r="R148" s="139"/>
      <c r="S148" s="139"/>
      <c r="T148" s="139"/>
      <c r="U148" s="139"/>
      <c r="V148" s="139"/>
      <c r="W148" s="139"/>
      <c r="X148" s="139">
        <f>X45/X144</f>
        <v>0</v>
      </c>
      <c r="Y148" s="139"/>
      <c r="Z148" s="139"/>
      <c r="AA148" s="139"/>
      <c r="AB148" s="139"/>
      <c r="AC148" s="139"/>
      <c r="AD148" s="139"/>
      <c r="AE148" s="139">
        <f>AE45/AE144</f>
        <v>9.3716028080930019E-5</v>
      </c>
      <c r="AF148" s="139"/>
      <c r="AG148" s="139"/>
      <c r="AH148" s="139"/>
      <c r="AI148" s="139"/>
      <c r="AJ148" s="139"/>
      <c r="AK148" s="139"/>
      <c r="AL148" s="139">
        <f>AL45/AL144</f>
        <v>8.2023173242515627E-5</v>
      </c>
      <c r="AM148" s="139"/>
      <c r="AN148" s="139"/>
      <c r="AO148" s="139"/>
      <c r="AP148" s="139"/>
      <c r="AQ148" s="139"/>
      <c r="AR148" s="139"/>
      <c r="AS148" s="139">
        <f>AS45/AS144</f>
        <v>0</v>
      </c>
    </row>
    <row r="149" spans="2:45" x14ac:dyDescent="0.2">
      <c r="B149" s="105" t="s">
        <v>390</v>
      </c>
      <c r="C149" s="204"/>
      <c r="D149" s="135"/>
      <c r="E149" s="135"/>
      <c r="F149" s="135"/>
      <c r="G149" s="135"/>
      <c r="H149" s="135"/>
      <c r="I149" s="135"/>
      <c r="J149" s="135">
        <f>J148*(1-J140)</f>
        <v>0</v>
      </c>
      <c r="K149" s="135"/>
      <c r="L149" s="135"/>
      <c r="M149" s="135"/>
      <c r="N149" s="135"/>
      <c r="O149" s="135"/>
      <c r="P149" s="135"/>
      <c r="Q149" s="135">
        <f>Q148*(1-Q140)</f>
        <v>0</v>
      </c>
      <c r="R149" s="135"/>
      <c r="S149" s="135"/>
      <c r="T149" s="135"/>
      <c r="U149" s="135"/>
      <c r="V149" s="135"/>
      <c r="W149" s="135"/>
      <c r="X149" s="135">
        <f>X148*(1-X140)</f>
        <v>0</v>
      </c>
      <c r="Y149" s="135"/>
      <c r="Z149" s="135"/>
      <c r="AA149" s="135"/>
      <c r="AB149" s="135"/>
      <c r="AC149" s="135"/>
      <c r="AD149" s="135"/>
      <c r="AE149" s="135">
        <f>AE148*(1-AE140)</f>
        <v>8.6783886307742529E-5</v>
      </c>
      <c r="AF149" s="135"/>
      <c r="AG149" s="135"/>
      <c r="AH149" s="135"/>
      <c r="AI149" s="135"/>
      <c r="AJ149" s="135"/>
      <c r="AK149" s="135"/>
      <c r="AL149" s="135">
        <f>AL148*(1-AL140)</f>
        <v>8.2023173242515627E-5</v>
      </c>
      <c r="AM149" s="135"/>
      <c r="AN149" s="135"/>
      <c r="AO149" s="135"/>
      <c r="AP149" s="135"/>
      <c r="AQ149" s="135"/>
      <c r="AR149" s="135"/>
      <c r="AS149" s="135" t="e">
        <f>AS148*(1-AS140)</f>
        <v>#DIV/0!</v>
      </c>
    </row>
    <row r="150" spans="2:45" ht="16" x14ac:dyDescent="0.2">
      <c r="B150" s="237" t="s">
        <v>445</v>
      </c>
      <c r="C150" s="238"/>
      <c r="D150" s="241"/>
      <c r="E150" s="241"/>
      <c r="F150" s="241"/>
      <c r="G150" s="241"/>
      <c r="H150" s="241"/>
      <c r="I150" s="241"/>
      <c r="J150" s="241">
        <v>0.89</v>
      </c>
      <c r="K150" s="241"/>
      <c r="L150" s="241"/>
      <c r="M150" s="241"/>
      <c r="N150" s="241"/>
      <c r="O150" s="241"/>
      <c r="P150" s="241"/>
      <c r="Q150" s="241">
        <v>0.89</v>
      </c>
      <c r="R150" s="241"/>
      <c r="S150" s="241"/>
      <c r="T150" s="241"/>
      <c r="U150" s="241"/>
      <c r="V150" s="241"/>
      <c r="W150" s="241"/>
      <c r="X150" s="241">
        <v>0.89</v>
      </c>
      <c r="Y150" s="241"/>
      <c r="Z150" s="241"/>
      <c r="AA150" s="241"/>
      <c r="AB150" s="241"/>
      <c r="AC150" s="241"/>
      <c r="AD150" s="241"/>
      <c r="AE150" s="241">
        <v>0.89</v>
      </c>
      <c r="AF150" s="241"/>
      <c r="AG150" s="241"/>
      <c r="AH150" s="241"/>
      <c r="AI150" s="241"/>
      <c r="AJ150" s="241"/>
      <c r="AK150" s="241"/>
      <c r="AL150" s="241">
        <v>0.89</v>
      </c>
      <c r="AM150" s="241"/>
      <c r="AN150" s="241"/>
      <c r="AO150" s="241"/>
      <c r="AP150" s="241"/>
      <c r="AQ150" s="241"/>
      <c r="AR150" s="241"/>
      <c r="AS150" s="241">
        <v>0.89</v>
      </c>
    </row>
    <row r="151" spans="2:45" x14ac:dyDescent="0.2">
      <c r="B151" s="105" t="s">
        <v>446</v>
      </c>
      <c r="C151" s="204"/>
      <c r="D151" s="164"/>
      <c r="E151" s="164"/>
      <c r="F151" s="164"/>
      <c r="G151" s="164"/>
      <c r="H151" s="164"/>
      <c r="I151" s="164"/>
      <c r="J151" s="164">
        <f>J150*(1+(1-J140)*(J144/J145))</f>
        <v>0.89401292573922786</v>
      </c>
      <c r="K151" s="164"/>
      <c r="L151" s="164"/>
      <c r="M151" s="164"/>
      <c r="N151" s="164"/>
      <c r="O151" s="164"/>
      <c r="P151" s="164"/>
      <c r="Q151" s="164">
        <f>Q150*(1+(1-Q140)*(Q144/Q145))</f>
        <v>0.91517580843362079</v>
      </c>
      <c r="R151" s="164"/>
      <c r="S151" s="164"/>
      <c r="T151" s="164"/>
      <c r="U151" s="164"/>
      <c r="V151" s="164"/>
      <c r="W151" s="164"/>
      <c r="X151" s="164">
        <f>X150*(1+(1-X140)*(X144/X145))</f>
        <v>0.94051563235580249</v>
      </c>
      <c r="Y151" s="164"/>
      <c r="Z151" s="164"/>
      <c r="AA151" s="164"/>
      <c r="AB151" s="164"/>
      <c r="AC151" s="164"/>
      <c r="AD151" s="164"/>
      <c r="AE151" s="164">
        <f>AE150*(1+(1-AE140)*(AE144/AE145))</f>
        <v>0.93647667039798776</v>
      </c>
      <c r="AF151" s="164"/>
      <c r="AG151" s="164"/>
      <c r="AH151" s="164"/>
      <c r="AI151" s="164"/>
      <c r="AJ151" s="164"/>
      <c r="AK151" s="164"/>
      <c r="AL151" s="164">
        <f>AL150*(1+(1-AL140)*(AL144/AL145))</f>
        <v>0.94037491188561195</v>
      </c>
      <c r="AM151" s="164"/>
      <c r="AN151" s="164"/>
      <c r="AO151" s="164"/>
      <c r="AP151" s="164"/>
      <c r="AQ151" s="164"/>
      <c r="AR151" s="164"/>
      <c r="AS151" s="164" t="e">
        <f>AS150*(1+(1-AS140)*(AS144/AS145))</f>
        <v>#DIV/0!</v>
      </c>
    </row>
    <row r="152" spans="2:45" ht="16" x14ac:dyDescent="0.2">
      <c r="B152" s="237" t="s">
        <v>447</v>
      </c>
      <c r="C152" s="238"/>
      <c r="D152" s="239"/>
      <c r="E152" s="239"/>
      <c r="F152" s="239"/>
      <c r="G152" s="239"/>
      <c r="H152" s="239"/>
      <c r="I152" s="239"/>
      <c r="J152" s="239">
        <v>4.7899999999999998E-2</v>
      </c>
      <c r="K152" s="239"/>
      <c r="L152" s="239"/>
      <c r="M152" s="239"/>
      <c r="N152" s="239"/>
      <c r="O152" s="239"/>
      <c r="P152" s="239"/>
      <c r="Q152" s="239">
        <v>4.7899999999999998E-2</v>
      </c>
      <c r="R152" s="239"/>
      <c r="S152" s="239"/>
      <c r="T152" s="239"/>
      <c r="U152" s="239"/>
      <c r="V152" s="239"/>
      <c r="W152" s="239"/>
      <c r="X152" s="239">
        <v>4.7899999999999998E-2</v>
      </c>
      <c r="Y152" s="239"/>
      <c r="Z152" s="239"/>
      <c r="AA152" s="239"/>
      <c r="AB152" s="239"/>
      <c r="AC152" s="239"/>
      <c r="AD152" s="239"/>
      <c r="AE152" s="239">
        <v>4.7899999999999998E-2</v>
      </c>
      <c r="AF152" s="239"/>
      <c r="AG152" s="239"/>
      <c r="AH152" s="239"/>
      <c r="AI152" s="239"/>
      <c r="AJ152" s="239"/>
      <c r="AK152" s="239"/>
      <c r="AL152" s="239">
        <v>4.7899999999999998E-2</v>
      </c>
      <c r="AM152" s="239"/>
      <c r="AN152" s="239"/>
      <c r="AO152" s="239"/>
      <c r="AP152" s="239"/>
      <c r="AQ152" s="239"/>
      <c r="AR152" s="239"/>
      <c r="AS152" s="239">
        <v>4.7899999999999998E-2</v>
      </c>
    </row>
    <row r="153" spans="2:45" ht="16" x14ac:dyDescent="0.2">
      <c r="B153" s="105" t="s">
        <v>448</v>
      </c>
      <c r="C153" s="204"/>
      <c r="D153" s="176"/>
      <c r="E153" s="176"/>
      <c r="F153" s="176"/>
      <c r="G153" s="176"/>
      <c r="H153" s="176"/>
      <c r="I153" s="176"/>
      <c r="J153" s="176">
        <v>0.1179</v>
      </c>
      <c r="K153" s="176"/>
      <c r="L153" s="176"/>
      <c r="M153" s="176"/>
      <c r="N153" s="176"/>
      <c r="O153" s="176"/>
      <c r="P153" s="176"/>
      <c r="Q153" s="176">
        <v>0.1179</v>
      </c>
      <c r="R153" s="176"/>
      <c r="S153" s="176"/>
      <c r="T153" s="176"/>
      <c r="U153" s="176"/>
      <c r="V153" s="176"/>
      <c r="W153" s="176"/>
      <c r="X153" s="176">
        <v>0.1179</v>
      </c>
      <c r="Y153" s="176"/>
      <c r="Z153" s="176"/>
      <c r="AA153" s="176"/>
      <c r="AB153" s="176"/>
      <c r="AC153" s="176"/>
      <c r="AD153" s="176"/>
      <c r="AE153" s="176">
        <v>0.1179</v>
      </c>
      <c r="AF153" s="176"/>
      <c r="AG153" s="176"/>
      <c r="AH153" s="176"/>
      <c r="AI153" s="176"/>
      <c r="AJ153" s="176"/>
      <c r="AK153" s="176"/>
      <c r="AL153" s="176">
        <v>0.1179</v>
      </c>
      <c r="AM153" s="176"/>
      <c r="AN153" s="176"/>
      <c r="AO153" s="176"/>
      <c r="AP153" s="176"/>
      <c r="AQ153" s="176"/>
      <c r="AR153" s="176"/>
      <c r="AS153" s="176">
        <v>0.1179</v>
      </c>
    </row>
    <row r="154" spans="2:45" ht="16" x14ac:dyDescent="0.2">
      <c r="B154" s="237" t="s">
        <v>449</v>
      </c>
      <c r="C154" s="240" t="s">
        <v>533</v>
      </c>
      <c r="D154" s="239"/>
      <c r="E154" s="239"/>
      <c r="F154" s="239"/>
      <c r="G154" s="239"/>
      <c r="H154" s="239"/>
      <c r="I154" s="239"/>
      <c r="J154" s="239">
        <v>8.6699999999999999E-2</v>
      </c>
      <c r="K154" s="239"/>
      <c r="L154" s="239"/>
      <c r="M154" s="239"/>
      <c r="N154" s="239"/>
      <c r="O154" s="239"/>
      <c r="P154" s="239"/>
      <c r="Q154" s="239">
        <v>7.2900000000000006E-2</v>
      </c>
      <c r="R154" s="239"/>
      <c r="S154" s="239"/>
      <c r="T154" s="239"/>
      <c r="U154" s="239"/>
      <c r="V154" s="239"/>
      <c r="W154" s="239"/>
      <c r="X154" s="239">
        <v>7.2900000000000006E-2</v>
      </c>
      <c r="Y154" s="239"/>
      <c r="Z154" s="239"/>
      <c r="AA154" s="239"/>
      <c r="AB154" s="239"/>
      <c r="AC154" s="239"/>
      <c r="AD154" s="239"/>
      <c r="AE154" s="239">
        <v>7.2900000000000006E-2</v>
      </c>
      <c r="AF154" s="239"/>
      <c r="AG154" s="239"/>
      <c r="AH154" s="239"/>
      <c r="AI154" s="239"/>
      <c r="AJ154" s="239"/>
      <c r="AK154" s="239"/>
      <c r="AL154" s="239">
        <v>7.2900000000000006E-2</v>
      </c>
      <c r="AM154" s="239"/>
      <c r="AN154" s="239"/>
      <c r="AO154" s="239"/>
      <c r="AP154" s="239"/>
      <c r="AQ154" s="239"/>
      <c r="AR154" s="239"/>
      <c r="AS154" s="239">
        <v>7.2900000000000006E-2</v>
      </c>
    </row>
    <row r="155" spans="2:45" ht="16" x14ac:dyDescent="0.2">
      <c r="B155" s="105" t="s">
        <v>450</v>
      </c>
      <c r="C155" s="204"/>
      <c r="D155" s="176"/>
      <c r="E155" s="176"/>
      <c r="F155" s="176"/>
      <c r="G155" s="176"/>
      <c r="H155" s="176"/>
      <c r="I155" s="176"/>
      <c r="J155" s="176">
        <v>4.7E-2</v>
      </c>
      <c r="K155" s="176"/>
      <c r="L155" s="176"/>
      <c r="M155" s="176"/>
      <c r="N155" s="176"/>
      <c r="O155" s="176"/>
      <c r="P155" s="176"/>
      <c r="Q155" s="176">
        <v>4.7E-2</v>
      </c>
      <c r="R155" s="176"/>
      <c r="S155" s="176"/>
      <c r="T155" s="176"/>
      <c r="U155" s="176"/>
      <c r="V155" s="176"/>
      <c r="W155" s="176"/>
      <c r="X155" s="176">
        <v>4.7E-2</v>
      </c>
      <c r="Y155" s="176"/>
      <c r="Z155" s="176"/>
      <c r="AA155" s="176"/>
      <c r="AB155" s="176"/>
      <c r="AC155" s="176"/>
      <c r="AD155" s="176"/>
      <c r="AE155" s="176">
        <v>4.7E-2</v>
      </c>
      <c r="AF155" s="176"/>
      <c r="AG155" s="176"/>
      <c r="AH155" s="176"/>
      <c r="AI155" s="176"/>
      <c r="AJ155" s="176"/>
      <c r="AK155" s="176"/>
      <c r="AL155" s="176">
        <v>4.7E-2</v>
      </c>
      <c r="AM155" s="176"/>
      <c r="AN155" s="176"/>
      <c r="AO155" s="176"/>
      <c r="AP155" s="176"/>
      <c r="AQ155" s="176"/>
      <c r="AR155" s="176"/>
      <c r="AS155" s="176">
        <v>4.7E-2</v>
      </c>
    </row>
    <row r="156" spans="2:45" ht="16" x14ac:dyDescent="0.2">
      <c r="B156" s="105" t="s">
        <v>451</v>
      </c>
      <c r="C156" s="204"/>
      <c r="D156" s="176"/>
      <c r="E156" s="176"/>
      <c r="F156" s="176"/>
      <c r="G156" s="176"/>
      <c r="H156" s="176"/>
      <c r="I156" s="176"/>
      <c r="J156" s="176">
        <v>0.03</v>
      </c>
      <c r="K156" s="176"/>
      <c r="L156" s="176"/>
      <c r="M156" s="176"/>
      <c r="N156" s="176"/>
      <c r="O156" s="176"/>
      <c r="P156" s="176"/>
      <c r="Q156" s="176">
        <v>0.03</v>
      </c>
      <c r="R156" s="176"/>
      <c r="S156" s="176"/>
      <c r="T156" s="176"/>
      <c r="U156" s="176"/>
      <c r="V156" s="176"/>
      <c r="W156" s="176"/>
      <c r="X156" s="176">
        <v>0.03</v>
      </c>
      <c r="Y156" s="176"/>
      <c r="Z156" s="176"/>
      <c r="AA156" s="176"/>
      <c r="AB156" s="176"/>
      <c r="AC156" s="176"/>
      <c r="AD156" s="176"/>
      <c r="AE156" s="176">
        <v>0.03</v>
      </c>
      <c r="AF156" s="176"/>
      <c r="AG156" s="176"/>
      <c r="AH156" s="176"/>
      <c r="AI156" s="176"/>
      <c r="AJ156" s="176"/>
      <c r="AK156" s="176"/>
      <c r="AL156" s="176">
        <v>0.03</v>
      </c>
      <c r="AM156" s="176"/>
      <c r="AN156" s="176"/>
      <c r="AO156" s="176"/>
      <c r="AP156" s="176"/>
      <c r="AQ156" s="176"/>
      <c r="AR156" s="176"/>
      <c r="AS156" s="176">
        <v>0.03</v>
      </c>
    </row>
    <row r="157" spans="2:45" x14ac:dyDescent="0.2">
      <c r="B157" s="105" t="s">
        <v>452</v>
      </c>
      <c r="C157" s="204"/>
      <c r="D157" s="135"/>
      <c r="E157" s="135"/>
      <c r="F157" s="135"/>
      <c r="G157" s="135"/>
      <c r="H157" s="135"/>
      <c r="I157" s="135"/>
      <c r="J157" s="135">
        <f>((1+J155)/(1+J156))-1</f>
        <v>1.6504854368931898E-2</v>
      </c>
      <c r="K157" s="135"/>
      <c r="L157" s="135"/>
      <c r="M157" s="135"/>
      <c r="N157" s="135"/>
      <c r="O157" s="135"/>
      <c r="P157" s="135"/>
      <c r="Q157" s="135">
        <f>((1+Q155)/(1+Q156))-1</f>
        <v>1.6504854368931898E-2</v>
      </c>
      <c r="R157" s="135"/>
      <c r="S157" s="135"/>
      <c r="T157" s="135"/>
      <c r="U157" s="135"/>
      <c r="V157" s="135"/>
      <c r="W157" s="135"/>
      <c r="X157" s="135">
        <f>((1+X155)/(1+X156))-1</f>
        <v>1.6504854368931898E-2</v>
      </c>
      <c r="Y157" s="135"/>
      <c r="Z157" s="135"/>
      <c r="AA157" s="135"/>
      <c r="AB157" s="135"/>
      <c r="AC157" s="135"/>
      <c r="AD157" s="135"/>
      <c r="AE157" s="135">
        <f>((1+AE155)/(1+AE156))-1</f>
        <v>1.6504854368931898E-2</v>
      </c>
      <c r="AF157" s="135"/>
      <c r="AG157" s="135"/>
      <c r="AH157" s="135"/>
      <c r="AI157" s="135"/>
      <c r="AJ157" s="135"/>
      <c r="AK157" s="135"/>
      <c r="AL157" s="135">
        <f>((1+AL155)/(1+AL156))-1</f>
        <v>1.6504854368931898E-2</v>
      </c>
      <c r="AM157" s="135"/>
      <c r="AN157" s="135"/>
      <c r="AO157" s="135"/>
      <c r="AP157" s="135"/>
      <c r="AQ157" s="135"/>
      <c r="AR157" s="135"/>
      <c r="AS157" s="135">
        <f>((1+AS155)/(1+AS156))-1</f>
        <v>1.6504854368931898E-2</v>
      </c>
    </row>
    <row r="158" spans="2:45" x14ac:dyDescent="0.2">
      <c r="B158" s="105" t="s">
        <v>453</v>
      </c>
      <c r="C158" s="204"/>
      <c r="D158" s="135"/>
      <c r="E158" s="135"/>
      <c r="F158" s="135"/>
      <c r="G158" s="135"/>
      <c r="H158" s="135"/>
      <c r="I158" s="135"/>
      <c r="J158" s="135">
        <f>J152+(J151*(J153-J152))+J154</f>
        <v>0.19718090480174594</v>
      </c>
      <c r="K158" s="135"/>
      <c r="L158" s="135"/>
      <c r="M158" s="135"/>
      <c r="N158" s="135"/>
      <c r="O158" s="135"/>
      <c r="P158" s="135"/>
      <c r="Q158" s="135">
        <f>Q152+(Q151*(Q153-Q152))+Q154</f>
        <v>0.18486230659035346</v>
      </c>
      <c r="R158" s="135"/>
      <c r="S158" s="135"/>
      <c r="T158" s="135"/>
      <c r="U158" s="135"/>
      <c r="V158" s="135"/>
      <c r="W158" s="135"/>
      <c r="X158" s="135">
        <f>X152+(X151*(X153-X152))+X154</f>
        <v>0.18663609426490618</v>
      </c>
      <c r="Y158" s="135"/>
      <c r="Z158" s="135"/>
      <c r="AA158" s="135"/>
      <c r="AB158" s="135"/>
      <c r="AC158" s="135"/>
      <c r="AD158" s="135"/>
      <c r="AE158" s="135">
        <f>AE152+(AE151*(AE153-AE152))+AE154</f>
        <v>0.18635336692785914</v>
      </c>
      <c r="AF158" s="135"/>
      <c r="AG158" s="135"/>
      <c r="AH158" s="135"/>
      <c r="AI158" s="135"/>
      <c r="AJ158" s="135"/>
      <c r="AK158" s="135"/>
      <c r="AL158" s="135">
        <f>AL152+(AL151*(AL153-AL152))+AL154</f>
        <v>0.18662624383199283</v>
      </c>
      <c r="AM158" s="135"/>
      <c r="AN158" s="135"/>
      <c r="AO158" s="135"/>
      <c r="AP158" s="135"/>
      <c r="AQ158" s="135"/>
      <c r="AR158" s="135"/>
      <c r="AS158" s="135" t="e">
        <f>AS152+(AS151*(AS153-AS152))+AS154</f>
        <v>#DIV/0!</v>
      </c>
    </row>
    <row r="159" spans="2:45" x14ac:dyDescent="0.2">
      <c r="B159" s="105" t="s">
        <v>454</v>
      </c>
      <c r="C159" s="204"/>
      <c r="D159" s="135"/>
      <c r="E159" s="135"/>
      <c r="F159" s="135"/>
      <c r="G159" s="135"/>
      <c r="H159" s="135"/>
      <c r="I159" s="135"/>
      <c r="J159" s="135">
        <f>(1+J158)*(1+J157)-1</f>
        <v>0.2169402012887649</v>
      </c>
      <c r="K159" s="135"/>
      <c r="L159" s="135"/>
      <c r="M159" s="135"/>
      <c r="N159" s="135"/>
      <c r="O159" s="135"/>
      <c r="P159" s="135"/>
      <c r="Q159" s="135">
        <f>(1+Q158)*(1+Q157)-1</f>
        <v>0.20441828640786386</v>
      </c>
      <c r="R159" s="135"/>
      <c r="S159" s="135"/>
      <c r="T159" s="135"/>
      <c r="U159" s="135"/>
      <c r="V159" s="135"/>
      <c r="W159" s="135"/>
      <c r="X159" s="135">
        <f>(1+X158)*(1+X157)-1</f>
        <v>0.20622135018966659</v>
      </c>
      <c r="Y159" s="135"/>
      <c r="Z159" s="135"/>
      <c r="AA159" s="135"/>
      <c r="AB159" s="135"/>
      <c r="AC159" s="135"/>
      <c r="AD159" s="135"/>
      <c r="AE159" s="135">
        <f>(1+AE158)*(1+AE157)-1</f>
        <v>0.20593395647909563</v>
      </c>
      <c r="AF159" s="135"/>
      <c r="AG159" s="135"/>
      <c r="AH159" s="135"/>
      <c r="AI159" s="135"/>
      <c r="AJ159" s="135"/>
      <c r="AK159" s="135"/>
      <c r="AL159" s="135">
        <f>(1+AL158)*(1+AL157)-1</f>
        <v>0.20621133717679241</v>
      </c>
      <c r="AM159" s="135"/>
      <c r="AN159" s="135"/>
      <c r="AO159" s="135"/>
      <c r="AP159" s="135"/>
      <c r="AQ159" s="135"/>
      <c r="AR159" s="135"/>
      <c r="AS159" s="135" t="e">
        <f>(1+AS158)*(1+AS157)-1</f>
        <v>#DIV/0!</v>
      </c>
    </row>
    <row r="160" spans="2:45" x14ac:dyDescent="0.2">
      <c r="B160" s="105" t="s">
        <v>391</v>
      </c>
      <c r="C160" s="204"/>
      <c r="D160" s="135"/>
      <c r="E160" s="135"/>
      <c r="F160" s="135"/>
      <c r="G160" s="135"/>
      <c r="H160" s="135"/>
      <c r="I160" s="135"/>
      <c r="J160" s="135">
        <f>J149*J146+J159*J147</f>
        <v>0.21596642910655053</v>
      </c>
      <c r="K160" s="135"/>
      <c r="L160" s="135"/>
      <c r="M160" s="135"/>
      <c r="N160" s="135"/>
      <c r="O160" s="135"/>
      <c r="P160" s="135"/>
      <c r="Q160" s="135">
        <f>Q149*Q146+Q159*Q147</f>
        <v>0.19879489080287976</v>
      </c>
      <c r="R160" s="135"/>
      <c r="S160" s="135"/>
      <c r="T160" s="135"/>
      <c r="U160" s="135"/>
      <c r="V160" s="135"/>
      <c r="W160" s="135"/>
      <c r="X160" s="135">
        <f>X149*X146+X159*X147</f>
        <v>0.19514508356344912</v>
      </c>
      <c r="Y160" s="135"/>
      <c r="Z160" s="135"/>
      <c r="AA160" s="135"/>
      <c r="AB160" s="135"/>
      <c r="AC160" s="135"/>
      <c r="AD160" s="135"/>
      <c r="AE160" s="135">
        <f>AE149*AE146+AE159*AE147</f>
        <v>0.19494542995621314</v>
      </c>
      <c r="AF160" s="135"/>
      <c r="AG160" s="135"/>
      <c r="AH160" s="135"/>
      <c r="AI160" s="135"/>
      <c r="AJ160" s="135"/>
      <c r="AK160" s="135"/>
      <c r="AL160" s="135">
        <f>AL149*AL146+AL159*AL147</f>
        <v>0.19516920291871306</v>
      </c>
      <c r="AM160" s="135"/>
      <c r="AN160" s="135"/>
      <c r="AO160" s="135"/>
      <c r="AP160" s="135"/>
      <c r="AQ160" s="135"/>
      <c r="AR160" s="135"/>
      <c r="AS160" s="135" t="e">
        <f>AS149*AS146+AS159*AS147</f>
        <v>#DIV/0!</v>
      </c>
    </row>
    <row r="161" spans="2:45" x14ac:dyDescent="0.2">
      <c r="B161" s="105" t="s">
        <v>392</v>
      </c>
      <c r="C161" s="204"/>
      <c r="D161" s="177"/>
      <c r="E161" s="177"/>
      <c r="F161" s="177"/>
      <c r="G161" s="177"/>
      <c r="H161" s="177"/>
      <c r="I161" s="177"/>
      <c r="J161" s="177">
        <f>J143-J160</f>
        <v>-0.21596642910655053</v>
      </c>
      <c r="K161" s="177"/>
      <c r="L161" s="177"/>
      <c r="M161" s="177"/>
      <c r="N161" s="177"/>
      <c r="O161" s="177"/>
      <c r="P161" s="177"/>
      <c r="Q161" s="177">
        <f>Q143-Q160</f>
        <v>-0.19879489080287976</v>
      </c>
      <c r="R161" s="177"/>
      <c r="S161" s="177"/>
      <c r="T161" s="177"/>
      <c r="U161" s="177"/>
      <c r="V161" s="177"/>
      <c r="W161" s="177"/>
      <c r="X161" s="177">
        <f>X143-X160</f>
        <v>-0.19514508356344912</v>
      </c>
      <c r="Y161" s="177"/>
      <c r="Z161" s="177"/>
      <c r="AA161" s="177"/>
      <c r="AB161" s="177"/>
      <c r="AC161" s="177"/>
      <c r="AD161" s="177"/>
      <c r="AE161" s="177">
        <f>AE143-AE160</f>
        <v>-0.19494542995621314</v>
      </c>
      <c r="AF161" s="177"/>
      <c r="AG161" s="177"/>
      <c r="AH161" s="177"/>
      <c r="AI161" s="177"/>
      <c r="AJ161" s="177"/>
      <c r="AK161" s="177"/>
      <c r="AL161" s="177">
        <f>AL143-AL160</f>
        <v>-0.19516920291871306</v>
      </c>
      <c r="AM161" s="177"/>
      <c r="AN161" s="177"/>
      <c r="AO161" s="177"/>
      <c r="AP161" s="177"/>
      <c r="AQ161" s="177"/>
      <c r="AR161" s="177"/>
      <c r="AS161" s="177" t="e">
        <f>AS143-AS160</f>
        <v>#DIV/0!</v>
      </c>
    </row>
    <row r="162" spans="2:45" x14ac:dyDescent="0.2">
      <c r="B162" s="105" t="s">
        <v>393</v>
      </c>
      <c r="C162" s="204"/>
      <c r="D162" s="178"/>
      <c r="E162" s="178"/>
      <c r="F162" s="178"/>
      <c r="G162" s="178"/>
      <c r="H162" s="178"/>
      <c r="I162" s="178"/>
      <c r="J162" s="178">
        <f>J161*J142</f>
        <v>-407256183.63945198</v>
      </c>
      <c r="K162" s="178"/>
      <c r="L162" s="178"/>
      <c r="M162" s="178"/>
      <c r="N162" s="178"/>
      <c r="O162" s="178"/>
      <c r="P162" s="178"/>
      <c r="Q162" s="178">
        <f>Q161*Q142</f>
        <v>-374875154.8577916</v>
      </c>
      <c r="R162" s="178"/>
      <c r="S162" s="178"/>
      <c r="T162" s="178"/>
      <c r="U162" s="178"/>
      <c r="V162" s="178"/>
      <c r="W162" s="178"/>
      <c r="X162" s="178">
        <f>X161*X142</f>
        <v>-367992573.27555496</v>
      </c>
      <c r="Y162" s="178"/>
      <c r="Z162" s="178"/>
      <c r="AA162" s="178"/>
      <c r="AB162" s="178"/>
      <c r="AC162" s="178"/>
      <c r="AD162" s="178"/>
      <c r="AE162" s="178">
        <f>AE161*AE142</f>
        <v>-367616078.80616379</v>
      </c>
      <c r="AF162" s="178"/>
      <c r="AG162" s="178"/>
      <c r="AH162" s="178"/>
      <c r="AI162" s="178"/>
      <c r="AJ162" s="178"/>
      <c r="AK162" s="178"/>
      <c r="AL162" s="178">
        <f>AL161*AL142</f>
        <v>-368038056.06941915</v>
      </c>
      <c r="AM162" s="178"/>
      <c r="AN162" s="178"/>
      <c r="AO162" s="178"/>
      <c r="AP162" s="178"/>
      <c r="AQ162" s="178"/>
      <c r="AR162" s="178"/>
      <c r="AS162" s="178" t="e">
        <f>AS161*AS142</f>
        <v>#DIV/0!</v>
      </c>
    </row>
    <row r="163" spans="2:45" x14ac:dyDescent="0.2">
      <c r="C163" s="204"/>
    </row>
    <row r="164" spans="2:45" x14ac:dyDescent="0.2">
      <c r="B164" s="105" t="s">
        <v>394</v>
      </c>
      <c r="C164" s="204"/>
      <c r="D164" s="166"/>
      <c r="E164" s="166"/>
      <c r="F164" s="166"/>
      <c r="G164" s="166"/>
      <c r="H164" s="166"/>
      <c r="I164" s="166"/>
      <c r="J164" s="166">
        <f>J13/J64</f>
        <v>0</v>
      </c>
      <c r="K164" s="166"/>
      <c r="L164" s="166"/>
      <c r="M164" s="166"/>
      <c r="N164" s="166"/>
      <c r="O164" s="166"/>
      <c r="P164" s="166"/>
      <c r="Q164" s="166">
        <f>Q13/Q64</f>
        <v>0</v>
      </c>
      <c r="R164" s="166"/>
      <c r="S164" s="166"/>
      <c r="T164" s="166"/>
      <c r="U164" s="166"/>
      <c r="V164" s="166"/>
      <c r="W164" s="166"/>
      <c r="X164" s="166">
        <f>X13/X64</f>
        <v>0</v>
      </c>
      <c r="Y164" s="166"/>
      <c r="Z164" s="166"/>
      <c r="AA164" s="166"/>
      <c r="AB164" s="166"/>
      <c r="AC164" s="166"/>
      <c r="AD164" s="166"/>
      <c r="AE164" s="166">
        <f>AE13/AE64</f>
        <v>2.2166913765206707E-4</v>
      </c>
      <c r="AF164" s="166"/>
      <c r="AG164" s="166"/>
      <c r="AH164" s="166"/>
      <c r="AI164" s="166"/>
      <c r="AJ164" s="166"/>
      <c r="AK164" s="166"/>
      <c r="AL164" s="166">
        <f>AL13/AL64</f>
        <v>0</v>
      </c>
      <c r="AM164" s="166"/>
      <c r="AN164" s="166"/>
      <c r="AO164" s="166"/>
      <c r="AP164" s="166"/>
      <c r="AQ164" s="166"/>
      <c r="AR164" s="166"/>
      <c r="AS164" s="166">
        <f>AS13/AS64</f>
        <v>0</v>
      </c>
    </row>
    <row r="165" spans="2:45" x14ac:dyDescent="0.2">
      <c r="B165" s="105" t="s">
        <v>395</v>
      </c>
      <c r="C165" s="204"/>
      <c r="D165" s="137"/>
      <c r="E165" s="137"/>
      <c r="F165" s="137"/>
      <c r="G165" s="137"/>
      <c r="H165" s="137"/>
      <c r="I165" s="137"/>
      <c r="J165" s="137">
        <f>-J100</f>
        <v>0</v>
      </c>
      <c r="K165" s="137"/>
      <c r="L165" s="137"/>
      <c r="M165" s="137"/>
      <c r="N165" s="137"/>
      <c r="O165" s="137"/>
      <c r="P165" s="137"/>
      <c r="Q165" s="137">
        <f>-Q100</f>
        <v>0</v>
      </c>
      <c r="R165" s="137"/>
      <c r="S165" s="137"/>
      <c r="T165" s="137"/>
      <c r="U165" s="137"/>
      <c r="V165" s="137"/>
      <c r="W165" s="137"/>
      <c r="X165" s="137">
        <f>-X100</f>
        <v>0</v>
      </c>
      <c r="Y165" s="137"/>
      <c r="Z165" s="137"/>
      <c r="AA165" s="137"/>
      <c r="AB165" s="137"/>
      <c r="AC165" s="137"/>
      <c r="AD165" s="137"/>
      <c r="AE165" s="137">
        <f>-AE100</f>
        <v>0</v>
      </c>
      <c r="AF165" s="137"/>
      <c r="AG165" s="137"/>
      <c r="AH165" s="137"/>
      <c r="AI165" s="137"/>
      <c r="AJ165" s="137"/>
      <c r="AK165" s="137"/>
      <c r="AL165" s="137">
        <f>-AL100</f>
        <v>0</v>
      </c>
      <c r="AM165" s="137"/>
      <c r="AN165" s="137"/>
      <c r="AO165" s="137"/>
      <c r="AP165" s="137"/>
      <c r="AQ165" s="137"/>
      <c r="AR165" s="137"/>
      <c r="AS165" s="137">
        <f>-AS100</f>
        <v>0</v>
      </c>
    </row>
    <row r="166" spans="2:45" x14ac:dyDescent="0.2">
      <c r="B166" s="105" t="s">
        <v>396</v>
      </c>
      <c r="C166" s="204"/>
      <c r="E166" s="171"/>
      <c r="F166" s="171"/>
      <c r="H166" s="171"/>
      <c r="I166" s="171"/>
      <c r="J166" s="171">
        <f>J165/J48</f>
        <v>0</v>
      </c>
      <c r="K166" s="171"/>
      <c r="L166" s="171"/>
      <c r="N166" s="171"/>
      <c r="O166" s="171"/>
      <c r="Q166" s="171">
        <f>Q165/Q48</f>
        <v>0</v>
      </c>
      <c r="R166" s="171"/>
      <c r="S166" s="171"/>
      <c r="U166" s="171"/>
      <c r="V166" s="171"/>
      <c r="X166" s="171">
        <f>X165/X48</f>
        <v>0</v>
      </c>
      <c r="Y166" s="171"/>
      <c r="Z166" s="171"/>
      <c r="AB166" s="171"/>
      <c r="AC166" s="171"/>
      <c r="AE166" s="171">
        <f>AE165/AE48</f>
        <v>0</v>
      </c>
      <c r="AF166" s="171"/>
      <c r="AG166" s="171"/>
      <c r="AI166" s="171"/>
      <c r="AJ166" s="171"/>
      <c r="AL166" s="171">
        <f>AL165/AL48</f>
        <v>0</v>
      </c>
      <c r="AM166" s="171"/>
      <c r="AN166" s="171"/>
      <c r="AP166" s="171"/>
      <c r="AQ166" s="171"/>
      <c r="AS166" s="171" t="e">
        <f>AS165/AS48</f>
        <v>#DIV/0!</v>
      </c>
    </row>
  </sheetData>
  <mergeCells count="1">
    <mergeCell ref="AU1:AY1"/>
  </mergeCells>
  <conditionalFormatting sqref="A6:A16 A19:A48">
    <cfRule type="cellIs" dxfId="50" priority="33" operator="lessThan">
      <formula>0</formula>
    </cfRule>
  </conditionalFormatting>
  <conditionalFormatting sqref="B19">
    <cfRule type="cellIs" dxfId="49" priority="32" operator="lessThan">
      <formula>0</formula>
    </cfRule>
  </conditionalFormatting>
  <conditionalFormatting sqref="B1:Q1 B2:C4">
    <cfRule type="cellIs" dxfId="48" priority="116" operator="lessThan">
      <formula>0</formula>
    </cfRule>
  </conditionalFormatting>
  <conditionalFormatting sqref="B51:Q79">
    <cfRule type="cellIs" dxfId="47" priority="42" operator="lessThan">
      <formula>0</formula>
    </cfRule>
  </conditionalFormatting>
  <conditionalFormatting sqref="B80:AS1048576">
    <cfRule type="cellIs" dxfId="46" priority="5" operator="lessThan">
      <formula>0</formula>
    </cfRule>
  </conditionalFormatting>
  <conditionalFormatting sqref="D2:J47 D49:J50 D48:I48">
    <cfRule type="cellIs" dxfId="45" priority="89" operator="lessThan">
      <formula>0</formula>
    </cfRule>
  </conditionalFormatting>
  <conditionalFormatting sqref="K2:P42">
    <cfRule type="cellIs" dxfId="44" priority="110" operator="lessThan">
      <formula>0</formula>
    </cfRule>
  </conditionalFormatting>
  <conditionalFormatting sqref="K46:P50">
    <cfRule type="cellIs" dxfId="43" priority="83" operator="lessThan">
      <formula>0</formula>
    </cfRule>
  </conditionalFormatting>
  <conditionalFormatting sqref="Q2:Q50">
    <cfRule type="cellIs" dxfId="42" priority="31" operator="lessThan">
      <formula>0</formula>
    </cfRule>
  </conditionalFormatting>
  <conditionalFormatting sqref="R1:W42">
    <cfRule type="cellIs" dxfId="41" priority="50" operator="lessThan">
      <formula>0</formula>
    </cfRule>
  </conditionalFormatting>
  <conditionalFormatting sqref="R46:W52">
    <cfRule type="cellIs" dxfId="40" priority="41" operator="lessThan">
      <formula>0</formula>
    </cfRule>
  </conditionalFormatting>
  <conditionalFormatting sqref="R53:AL72">
    <cfRule type="cellIs" dxfId="39" priority="21" operator="lessThan">
      <formula>0</formula>
    </cfRule>
  </conditionalFormatting>
  <conditionalFormatting sqref="R73:AS79">
    <cfRule type="cellIs" dxfId="38" priority="14" operator="lessThan">
      <formula>0</formula>
    </cfRule>
  </conditionalFormatting>
  <conditionalFormatting sqref="X1:X47 X49:X52">
    <cfRule type="cellIs" dxfId="37" priority="4" operator="lessThan">
      <formula>0</formula>
    </cfRule>
  </conditionalFormatting>
  <conditionalFormatting sqref="Y1:AD42">
    <cfRule type="cellIs" dxfId="36" priority="49" operator="lessThan">
      <formula>0</formula>
    </cfRule>
  </conditionalFormatting>
  <conditionalFormatting sqref="Y46:AD52">
    <cfRule type="cellIs" dxfId="35" priority="39" operator="lessThan">
      <formula>0</formula>
    </cfRule>
  </conditionalFormatting>
  <conditionalFormatting sqref="AE1:AE47 AE49:AE52">
    <cfRule type="cellIs" dxfId="34" priority="19" operator="lessThan">
      <formula>0</formula>
    </cfRule>
  </conditionalFormatting>
  <conditionalFormatting sqref="AF1:AK42">
    <cfRule type="cellIs" dxfId="33" priority="48" operator="lessThan">
      <formula>0</formula>
    </cfRule>
  </conditionalFormatting>
  <conditionalFormatting sqref="AF46:AK52">
    <cfRule type="cellIs" dxfId="32" priority="37" operator="lessThan">
      <formula>0</formula>
    </cfRule>
  </conditionalFormatting>
  <conditionalFormatting sqref="AL1:AL52">
    <cfRule type="cellIs" dxfId="31" priority="18" operator="lessThan">
      <formula>0</formula>
    </cfRule>
  </conditionalFormatting>
  <conditionalFormatting sqref="AM1:AR42">
    <cfRule type="cellIs" dxfId="30" priority="47" operator="lessThan">
      <formula>0</formula>
    </cfRule>
  </conditionalFormatting>
  <conditionalFormatting sqref="AM46:AR51">
    <cfRule type="cellIs" dxfId="29" priority="51" operator="lessThan">
      <formula>0</formula>
    </cfRule>
  </conditionalFormatting>
  <conditionalFormatting sqref="AM52:AS72">
    <cfRule type="cellIs" dxfId="28" priority="34" operator="lessThan">
      <formula>0</formula>
    </cfRule>
  </conditionalFormatting>
  <conditionalFormatting sqref="AS1:AS51">
    <cfRule type="cellIs" dxfId="27" priority="27" operator="lessThan">
      <formula>0</formula>
    </cfRule>
  </conditionalFormatting>
  <conditionalFormatting sqref="AU1:AY1048576">
    <cfRule type="cellIs" dxfId="26" priority="115" operator="lessThan">
      <formula>0</formula>
    </cfRule>
  </conditionalFormatting>
  <conditionalFormatting sqref="X48">
    <cfRule type="cellIs" dxfId="5" priority="3" operator="lessThan">
      <formula>0</formula>
    </cfRule>
  </conditionalFormatting>
  <conditionalFormatting sqref="AE48">
    <cfRule type="cellIs" dxfId="4" priority="2" operator="lessThan">
      <formula>0</formula>
    </cfRule>
  </conditionalFormatting>
  <conditionalFormatting sqref="J48">
    <cfRule type="cellIs" dxfId="0" priority="1" operator="lessThan">
      <formula>0</formula>
    </cfRule>
  </conditionalFormatting>
  <hyperlinks>
    <hyperlink ref="C154" r:id="rId1" xr:uid="{B618534D-A9FE-46BC-A793-BA754488EE35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0CFF-4F56-7446-9FB6-06515AE62935}">
  <dimension ref="B1:DP164"/>
  <sheetViews>
    <sheetView zoomScale="80" zoomScaleNormal="80" workbookViewId="0">
      <pane xSplit="3" ySplit="4" topLeftCell="J5" activePane="bottomRight" state="frozen"/>
      <selection activeCell="AE32" sqref="AE32"/>
      <selection pane="topRight" activeCell="AE32" sqref="AE32"/>
      <selection pane="bottomLeft" activeCell="AE32" sqref="AE32"/>
      <selection pane="bottomRight" activeCell="A122" sqref="A122:XFD122"/>
    </sheetView>
  </sheetViews>
  <sheetFormatPr baseColWidth="10" defaultColWidth="10.83203125" defaultRowHeight="15" outlineLevelCol="1" x14ac:dyDescent="0.2"/>
  <cols>
    <col min="1" max="1" width="10.83203125" style="105"/>
    <col min="2" max="2" width="32" style="105" customWidth="1"/>
    <col min="3" max="3" width="29.83203125" style="204" bestFit="1" customWidth="1"/>
    <col min="4" max="4" width="12.5" style="105" hidden="1" customWidth="1" outlineLevel="1"/>
    <col min="5" max="5" width="13.1640625" style="105" hidden="1" customWidth="1" outlineLevel="1"/>
    <col min="6" max="7" width="12.5" style="105" hidden="1" customWidth="1" outlineLevel="1"/>
    <col min="8" max="8" width="15" style="105" hidden="1" customWidth="1" outlineLevel="1"/>
    <col min="9" max="9" width="12.5" style="105" hidden="1" customWidth="1" outlineLevel="1"/>
    <col min="10" max="10" width="12.6640625" style="105" bestFit="1" customWidth="1" collapsed="1"/>
    <col min="11" max="11" width="14.1640625" style="105" hidden="1" customWidth="1" outlineLevel="1"/>
    <col min="12" max="12" width="13.1640625" style="105" hidden="1" customWidth="1" outlineLevel="1"/>
    <col min="13" max="14" width="12.5" style="105" hidden="1" customWidth="1" outlineLevel="1"/>
    <col min="15" max="15" width="13.1640625" style="105" hidden="1" customWidth="1" outlineLevel="1"/>
    <col min="16" max="16" width="12.5" style="105" hidden="1" customWidth="1" outlineLevel="1"/>
    <col min="17" max="17" width="14.6640625" style="105" bestFit="1" customWidth="1" collapsed="1"/>
    <col min="18" max="18" width="14.1640625" style="105" hidden="1" customWidth="1" outlineLevel="1"/>
    <col min="19" max="19" width="13.1640625" style="105" hidden="1" customWidth="1" outlineLevel="1"/>
    <col min="20" max="21" width="12.5" style="105" hidden="1" customWidth="1" outlineLevel="1"/>
    <col min="22" max="22" width="13.1640625" style="105" hidden="1" customWidth="1" outlineLevel="1"/>
    <col min="23" max="23" width="12.5" style="105" hidden="1" customWidth="1" outlineLevel="1"/>
    <col min="24" max="24" width="16.6640625" style="105" bestFit="1" customWidth="1" collapsed="1"/>
    <col min="25" max="25" width="14.1640625" style="105" hidden="1" customWidth="1" outlineLevel="1"/>
    <col min="26" max="26" width="13.1640625" style="105" hidden="1" customWidth="1" outlineLevel="1"/>
    <col min="27" max="28" width="12.5" style="105" hidden="1" customWidth="1" outlineLevel="1"/>
    <col min="29" max="29" width="13.1640625" style="105" hidden="1" customWidth="1" outlineLevel="1"/>
    <col min="30" max="30" width="12.5" style="105" hidden="1" customWidth="1" outlineLevel="1"/>
    <col min="31" max="31" width="16.6640625" style="105" bestFit="1" customWidth="1" collapsed="1"/>
    <col min="32" max="32" width="14.1640625" style="105" hidden="1" customWidth="1" outlineLevel="1"/>
    <col min="33" max="33" width="13.1640625" style="105" hidden="1" customWidth="1" outlineLevel="1"/>
    <col min="34" max="35" width="12.5" style="105" hidden="1" customWidth="1" outlineLevel="1"/>
    <col min="36" max="36" width="13.1640625" style="105" hidden="1" customWidth="1" outlineLevel="1"/>
    <col min="37" max="37" width="12.5" style="105" hidden="1" customWidth="1" outlineLevel="1"/>
    <col min="38" max="38" width="16.6640625" style="105" bestFit="1" customWidth="1" collapsed="1"/>
    <col min="39" max="41" width="12.5" style="105" hidden="1" customWidth="1" outlineLevel="1"/>
    <col min="42" max="42" width="11.5" style="105" hidden="1" customWidth="1" outlineLevel="1"/>
    <col min="43" max="44" width="12.5" style="105" hidden="1" customWidth="1" outlineLevel="1"/>
    <col min="45" max="45" width="16.6640625" style="105" bestFit="1" customWidth="1" collapsed="1"/>
    <col min="46" max="48" width="12.5" style="105" hidden="1" customWidth="1" outlineLevel="1"/>
    <col min="49" max="49" width="11.5" style="105" hidden="1" customWidth="1" outlineLevel="1"/>
    <col min="50" max="51" width="12.5" style="105" hidden="1" customWidth="1" outlineLevel="1"/>
    <col min="52" max="52" width="16.6640625" style="105" bestFit="1" customWidth="1" collapsed="1"/>
    <col min="53" max="55" width="12.5" style="105" hidden="1" customWidth="1" outlineLevel="1"/>
    <col min="56" max="56" width="11.5" style="105" hidden="1" customWidth="1" outlineLevel="1"/>
    <col min="57" max="58" width="12.5" style="105" hidden="1" customWidth="1" outlineLevel="1"/>
    <col min="59" max="59" width="16.6640625" style="105" bestFit="1" customWidth="1" collapsed="1"/>
    <col min="60" max="62" width="12.5" style="105" hidden="1" customWidth="1" outlineLevel="1"/>
    <col min="63" max="63" width="11.5" style="105" hidden="1" customWidth="1" outlineLevel="1"/>
    <col min="64" max="65" width="12.5" style="105" hidden="1" customWidth="1" outlineLevel="1"/>
    <col min="66" max="66" width="16.6640625" style="105" bestFit="1" customWidth="1" collapsed="1"/>
    <col min="67" max="69" width="12.5" style="105" hidden="1" customWidth="1" outlineLevel="1"/>
    <col min="70" max="70" width="11.5" style="105" hidden="1" customWidth="1" outlineLevel="1"/>
    <col min="71" max="72" width="12.5" style="105" hidden="1" customWidth="1" outlineLevel="1"/>
    <col min="73" max="73" width="16.6640625" style="105" bestFit="1" customWidth="1" collapsed="1"/>
    <col min="74" max="76" width="12.5" style="105" hidden="1" customWidth="1" outlineLevel="1"/>
    <col min="77" max="77" width="11.5" style="105" hidden="1" customWidth="1" outlineLevel="1"/>
    <col min="78" max="79" width="12.5" style="105" hidden="1" customWidth="1" outlineLevel="1"/>
    <col min="80" max="80" width="16.6640625" style="105" bestFit="1" customWidth="1" collapsed="1"/>
    <col min="81" max="83" width="12.5" style="105" hidden="1" customWidth="1" outlineLevel="1"/>
    <col min="84" max="84" width="11.5" style="105" hidden="1" customWidth="1" outlineLevel="1"/>
    <col min="85" max="86" width="12.1640625" style="105" hidden="1" customWidth="1" outlineLevel="1"/>
    <col min="87" max="87" width="16.6640625" style="105" bestFit="1" customWidth="1" collapsed="1"/>
    <col min="88" max="90" width="12.5" style="105" hidden="1" customWidth="1" outlineLevel="1"/>
    <col min="91" max="91" width="11.5" style="105" hidden="1" customWidth="1" outlineLevel="1"/>
    <col min="92" max="93" width="12.5" style="105" hidden="1" customWidth="1" outlineLevel="1"/>
    <col min="94" max="94" width="16.6640625" style="105" bestFit="1" customWidth="1" collapsed="1"/>
    <col min="95" max="95" width="17.1640625" style="105" bestFit="1" customWidth="1"/>
    <col min="96" max="97" width="9.33203125" style="105" bestFit="1" customWidth="1"/>
    <col min="98" max="107" width="9.83203125" style="105" bestFit="1" customWidth="1"/>
    <col min="108" max="16384" width="10.83203125" style="105"/>
  </cols>
  <sheetData>
    <row r="1" spans="2:120" s="181" customFormat="1" ht="16" x14ac:dyDescent="0.2">
      <c r="B1" s="179">
        <v>2022</v>
      </c>
      <c r="C1" s="201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R1" s="288" t="s">
        <v>504</v>
      </c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E1" s="288" t="s">
        <v>491</v>
      </c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</row>
    <row r="2" spans="2:120" s="190" customFormat="1" ht="31" customHeight="1" x14ac:dyDescent="0.2">
      <c r="B2" s="182"/>
      <c r="C2" s="202"/>
      <c r="D2" s="189"/>
      <c r="E2" s="182"/>
      <c r="F2" s="182"/>
      <c r="G2" s="182"/>
      <c r="H2" s="182"/>
      <c r="I2" s="182"/>
      <c r="J2" s="182"/>
      <c r="K2" s="189"/>
      <c r="L2" s="182"/>
      <c r="M2" s="182"/>
      <c r="N2" s="182"/>
      <c r="O2" s="189"/>
      <c r="P2" s="182"/>
      <c r="Q2" s="182"/>
      <c r="R2" s="189">
        <v>3</v>
      </c>
      <c r="S2" s="182">
        <v>3</v>
      </c>
      <c r="T2" s="182">
        <v>3</v>
      </c>
      <c r="U2" s="182">
        <v>3</v>
      </c>
      <c r="V2" s="182">
        <v>3</v>
      </c>
      <c r="W2" s="182">
        <v>3</v>
      </c>
      <c r="X2" s="182">
        <v>3</v>
      </c>
      <c r="Y2" s="189">
        <v>4</v>
      </c>
      <c r="Z2" s="182">
        <v>4</v>
      </c>
      <c r="AA2" s="182">
        <v>4</v>
      </c>
      <c r="AB2" s="182">
        <v>4</v>
      </c>
      <c r="AC2" s="182">
        <v>4</v>
      </c>
      <c r="AD2" s="182">
        <v>4</v>
      </c>
      <c r="AE2" s="182">
        <v>4</v>
      </c>
      <c r="AF2" s="189">
        <v>5</v>
      </c>
      <c r="AG2" s="182">
        <v>5</v>
      </c>
      <c r="AH2" s="182">
        <v>5</v>
      </c>
      <c r="AI2" s="182">
        <v>5</v>
      </c>
      <c r="AJ2" s="182">
        <v>5</v>
      </c>
      <c r="AK2" s="182">
        <v>5</v>
      </c>
      <c r="AL2" s="182">
        <v>5</v>
      </c>
      <c r="AM2" s="189">
        <v>6</v>
      </c>
      <c r="AN2" s="182">
        <v>6</v>
      </c>
      <c r="AO2" s="182">
        <v>6</v>
      </c>
      <c r="AP2" s="182">
        <v>6</v>
      </c>
      <c r="AQ2" s="182">
        <v>6</v>
      </c>
      <c r="AR2" s="182">
        <v>6</v>
      </c>
      <c r="AS2" s="182">
        <v>6</v>
      </c>
      <c r="AT2" s="189">
        <v>7</v>
      </c>
      <c r="AU2" s="182">
        <v>7</v>
      </c>
      <c r="AV2" s="182">
        <v>7</v>
      </c>
      <c r="AW2" s="182">
        <v>7</v>
      </c>
      <c r="AX2" s="182">
        <v>7</v>
      </c>
      <c r="AY2" s="182">
        <v>7</v>
      </c>
      <c r="AZ2" s="182">
        <v>7</v>
      </c>
      <c r="BA2" s="189">
        <v>8</v>
      </c>
      <c r="BB2" s="182">
        <v>8</v>
      </c>
      <c r="BC2" s="182">
        <v>8</v>
      </c>
      <c r="BD2" s="182">
        <v>8</v>
      </c>
      <c r="BE2" s="182">
        <v>8</v>
      </c>
      <c r="BF2" s="182">
        <v>8</v>
      </c>
      <c r="BG2" s="182">
        <v>8</v>
      </c>
      <c r="BH2" s="189">
        <v>9</v>
      </c>
      <c r="BI2" s="182">
        <v>9</v>
      </c>
      <c r="BJ2" s="182">
        <v>9</v>
      </c>
      <c r="BK2" s="182">
        <v>9</v>
      </c>
      <c r="BL2" s="182">
        <v>9</v>
      </c>
      <c r="BM2" s="182">
        <v>9</v>
      </c>
      <c r="BN2" s="182">
        <v>9</v>
      </c>
      <c r="BO2" s="189">
        <v>10</v>
      </c>
      <c r="BP2" s="189">
        <v>10</v>
      </c>
      <c r="BQ2" s="189">
        <v>10</v>
      </c>
      <c r="BR2" s="189">
        <v>10</v>
      </c>
      <c r="BS2" s="189">
        <v>10</v>
      </c>
      <c r="BT2" s="189">
        <v>10</v>
      </c>
      <c r="BU2" s="182">
        <v>10</v>
      </c>
      <c r="BV2" s="189">
        <v>11</v>
      </c>
      <c r="BW2" s="189">
        <v>11</v>
      </c>
      <c r="BX2" s="189">
        <v>11</v>
      </c>
      <c r="BY2" s="189">
        <v>11</v>
      </c>
      <c r="BZ2" s="189">
        <v>11</v>
      </c>
      <c r="CA2" s="189">
        <v>11</v>
      </c>
      <c r="CB2" s="182">
        <v>11</v>
      </c>
      <c r="CC2" s="189">
        <v>12</v>
      </c>
      <c r="CD2" s="189">
        <v>12</v>
      </c>
      <c r="CE2" s="189">
        <v>12</v>
      </c>
      <c r="CF2" s="189">
        <v>12</v>
      </c>
      <c r="CG2" s="189">
        <v>12</v>
      </c>
      <c r="CH2" s="189">
        <v>12</v>
      </c>
      <c r="CI2" s="189">
        <v>12</v>
      </c>
      <c r="CJ2" s="195"/>
      <c r="CK2" s="195"/>
      <c r="CL2" s="195"/>
      <c r="CM2" s="195"/>
      <c r="CN2" s="195"/>
      <c r="CO2" s="195"/>
      <c r="CP2" s="196">
        <v>2022</v>
      </c>
      <c r="CR2" s="182" t="s">
        <v>492</v>
      </c>
      <c r="CS2" s="182" t="s">
        <v>493</v>
      </c>
      <c r="CT2" s="182" t="s">
        <v>494</v>
      </c>
      <c r="CU2" s="182" t="s">
        <v>495</v>
      </c>
      <c r="CV2" s="182" t="s">
        <v>496</v>
      </c>
      <c r="CW2" s="182" t="s">
        <v>497</v>
      </c>
      <c r="CX2" s="182" t="s">
        <v>498</v>
      </c>
      <c r="CY2" s="182" t="s">
        <v>499</v>
      </c>
      <c r="CZ2" s="182" t="s">
        <v>500</v>
      </c>
      <c r="DA2" s="182" t="s">
        <v>501</v>
      </c>
      <c r="DB2" s="182" t="s">
        <v>502</v>
      </c>
      <c r="DC2" s="182" t="s">
        <v>503</v>
      </c>
      <c r="DE2" s="182" t="s">
        <v>481</v>
      </c>
      <c r="DF2" s="182" t="s">
        <v>482</v>
      </c>
      <c r="DG2" s="182" t="s">
        <v>483</v>
      </c>
      <c r="DH2" s="182" t="s">
        <v>484</v>
      </c>
      <c r="DI2" s="182" t="s">
        <v>485</v>
      </c>
      <c r="DJ2" s="182" t="s">
        <v>486</v>
      </c>
      <c r="DK2" s="182" t="s">
        <v>487</v>
      </c>
      <c r="DL2" s="182" t="s">
        <v>488</v>
      </c>
      <c r="DM2" s="182" t="s">
        <v>489</v>
      </c>
      <c r="DN2" s="182" t="s">
        <v>490</v>
      </c>
      <c r="DO2" s="182" t="s">
        <v>480</v>
      </c>
      <c r="DP2" s="182" t="s">
        <v>479</v>
      </c>
    </row>
    <row r="3" spans="2:120" s="181" customFormat="1" ht="32" x14ac:dyDescent="0.2">
      <c r="B3" s="104"/>
      <c r="C3" s="203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463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464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465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466</v>
      </c>
      <c r="AT3" s="104" t="s">
        <v>455</v>
      </c>
      <c r="AU3" s="104" t="s">
        <v>456</v>
      </c>
      <c r="AV3" s="104" t="s">
        <v>457</v>
      </c>
      <c r="AW3" s="104" t="s">
        <v>458</v>
      </c>
      <c r="AX3" s="104" t="s">
        <v>459</v>
      </c>
      <c r="AY3" s="104" t="s">
        <v>460</v>
      </c>
      <c r="AZ3" s="104" t="s">
        <v>467</v>
      </c>
      <c r="BA3" s="104" t="s">
        <v>455</v>
      </c>
      <c r="BB3" s="104" t="s">
        <v>456</v>
      </c>
      <c r="BC3" s="104" t="s">
        <v>457</v>
      </c>
      <c r="BD3" s="104" t="s">
        <v>458</v>
      </c>
      <c r="BE3" s="104" t="s">
        <v>459</v>
      </c>
      <c r="BF3" s="104" t="s">
        <v>460</v>
      </c>
      <c r="BG3" s="104" t="s">
        <v>468</v>
      </c>
      <c r="BH3" s="104" t="s">
        <v>455</v>
      </c>
      <c r="BI3" s="104" t="s">
        <v>456</v>
      </c>
      <c r="BJ3" s="104" t="s">
        <v>457</v>
      </c>
      <c r="BK3" s="104" t="s">
        <v>458</v>
      </c>
      <c r="BL3" s="104" t="s">
        <v>459</v>
      </c>
      <c r="BM3" s="104" t="s">
        <v>460</v>
      </c>
      <c r="BN3" s="104" t="s">
        <v>469</v>
      </c>
      <c r="BO3" s="104" t="s">
        <v>455</v>
      </c>
      <c r="BP3" s="104" t="s">
        <v>456</v>
      </c>
      <c r="BQ3" s="104" t="s">
        <v>457</v>
      </c>
      <c r="BR3" s="104" t="s">
        <v>458</v>
      </c>
      <c r="BS3" s="104" t="s">
        <v>459</v>
      </c>
      <c r="BT3" s="104" t="s">
        <v>460</v>
      </c>
      <c r="BU3" s="104" t="s">
        <v>470</v>
      </c>
      <c r="BV3" s="104" t="s">
        <v>455</v>
      </c>
      <c r="BW3" s="104" t="s">
        <v>456</v>
      </c>
      <c r="BX3" s="104" t="s">
        <v>457</v>
      </c>
      <c r="BY3" s="104" t="s">
        <v>458</v>
      </c>
      <c r="BZ3" s="104" t="s">
        <v>459</v>
      </c>
      <c r="CA3" s="104" t="s">
        <v>460</v>
      </c>
      <c r="CB3" s="104" t="s">
        <v>471</v>
      </c>
      <c r="CC3" s="104" t="s">
        <v>455</v>
      </c>
      <c r="CD3" s="104" t="s">
        <v>456</v>
      </c>
      <c r="CE3" s="104" t="s">
        <v>457</v>
      </c>
      <c r="CF3" s="104" t="s">
        <v>458</v>
      </c>
      <c r="CG3" s="104" t="s">
        <v>459</v>
      </c>
      <c r="CH3" s="104" t="s">
        <v>460</v>
      </c>
      <c r="CI3" s="104" t="s">
        <v>472</v>
      </c>
      <c r="CJ3" s="104" t="s">
        <v>455</v>
      </c>
      <c r="CK3" s="104" t="s">
        <v>456</v>
      </c>
      <c r="CL3" s="104" t="s">
        <v>457</v>
      </c>
      <c r="CM3" s="104" t="s">
        <v>458</v>
      </c>
      <c r="CN3" s="104" t="s">
        <v>459</v>
      </c>
      <c r="CO3" s="104" t="s">
        <v>460</v>
      </c>
      <c r="CP3" s="104" t="s">
        <v>473</v>
      </c>
    </row>
    <row r="4" spans="2:120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  <c r="AT4" s="106"/>
      <c r="AU4" s="106"/>
      <c r="BA4" s="106"/>
      <c r="BB4" s="106"/>
      <c r="BH4" s="106"/>
      <c r="BI4" s="106"/>
      <c r="BO4" s="106"/>
      <c r="BP4" s="106"/>
      <c r="BV4" s="106"/>
      <c r="BW4" s="106"/>
      <c r="CC4" s="106"/>
      <c r="CD4" s="106"/>
      <c r="CJ4" s="106"/>
      <c r="CK4" s="106"/>
    </row>
    <row r="5" spans="2:120" ht="16" x14ac:dyDescent="0.2">
      <c r="B5" s="183" t="s">
        <v>397</v>
      </c>
      <c r="C5" s="205"/>
      <c r="D5" s="108"/>
      <c r="E5" s="108"/>
      <c r="G5" s="107"/>
      <c r="H5" s="107"/>
      <c r="I5" s="107"/>
      <c r="J5" s="107"/>
      <c r="K5" s="107"/>
      <c r="L5" s="107"/>
      <c r="M5" s="107"/>
      <c r="N5" s="107"/>
      <c r="O5" s="107"/>
      <c r="R5" s="107"/>
      <c r="S5" s="107"/>
      <c r="T5" s="107"/>
      <c r="U5" s="107"/>
      <c r="V5" s="107"/>
      <c r="Y5" s="107"/>
      <c r="Z5" s="107"/>
      <c r="AA5" s="107"/>
      <c r="AB5" s="107"/>
      <c r="AC5" s="107"/>
      <c r="AF5" s="107"/>
      <c r="AG5" s="107"/>
      <c r="AH5" s="107"/>
      <c r="AI5" s="107"/>
      <c r="AJ5" s="107"/>
      <c r="AM5" s="107"/>
      <c r="AN5" s="107"/>
      <c r="AO5" s="107"/>
      <c r="AP5" s="107"/>
      <c r="AQ5" s="107"/>
      <c r="AT5" s="107"/>
      <c r="AU5" s="107"/>
      <c r="AV5" s="107"/>
      <c r="AW5" s="107"/>
      <c r="AX5" s="107"/>
      <c r="BA5" s="107"/>
      <c r="BB5" s="107"/>
      <c r="BC5" s="107"/>
      <c r="BD5" s="107"/>
      <c r="BE5" s="107"/>
      <c r="BH5" s="107"/>
      <c r="BI5" s="107"/>
      <c r="BJ5" s="107"/>
      <c r="BK5" s="107"/>
      <c r="BL5" s="107"/>
      <c r="BO5" s="107"/>
      <c r="BP5" s="107"/>
      <c r="BQ5" s="107"/>
      <c r="BR5" s="107"/>
      <c r="BS5" s="107"/>
      <c r="BV5" s="107"/>
      <c r="BW5" s="107"/>
      <c r="BX5" s="107"/>
      <c r="BY5" s="107"/>
      <c r="BZ5" s="107"/>
      <c r="CC5" s="107"/>
      <c r="CD5" s="107"/>
      <c r="CE5" s="107"/>
      <c r="CF5" s="107"/>
      <c r="CG5" s="107"/>
      <c r="CJ5" s="107"/>
      <c r="CK5" s="107"/>
      <c r="CL5" s="107"/>
      <c r="CM5" s="107"/>
      <c r="CN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</row>
    <row r="6" spans="2:120" ht="16" x14ac:dyDescent="0.2">
      <c r="B6" s="109" t="s">
        <v>398</v>
      </c>
      <c r="C6" s="193" t="s">
        <v>130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>
        <f>SUMIFS(wallet_records!$D:$D,wallet_records!$B:$B,'EEFF 2022'!$C6,wallet_records!$L:$L,'EEFF 2022'!R$3,wallet_records!$O:$O,'EEFF 2022'!$B$1,wallet_records!$N:$N,'EEFF 2022'!R$2)</f>
        <v>0</v>
      </c>
      <c r="S6" s="110">
        <f>SUMIFS(wallet_records!$D:$D,wallet_records!$B:$B,'EEFF 2022'!$C6,wallet_records!$L:$L,'EEFF 2022'!S$3,wallet_records!$O:$O,'EEFF 2022'!$B$1,wallet_records!$N:$N,'EEFF 2022'!S$2)</f>
        <v>0</v>
      </c>
      <c r="T6" s="110">
        <f>SUMIFS(wallet_records!$D:$D,wallet_records!$B:$B,'EEFF 2022'!$C6,wallet_records!$L:$L,'EEFF 2022'!T$3,wallet_records!$O:$O,'EEFF 2022'!$B$1,wallet_records!$N:$N,'EEFF 2022'!T$2)</f>
        <v>0</v>
      </c>
      <c r="U6" s="110">
        <f>SUMIFS(wallet_records!$D:$D,wallet_records!$B:$B,'EEFF 2022'!$C6,wallet_records!$L:$L,'EEFF 2022'!U$3,wallet_records!$O:$O,'EEFF 2022'!$B$1,wallet_records!$N:$N,'EEFF 2022'!U$2)</f>
        <v>0</v>
      </c>
      <c r="V6" s="110">
        <f>SUMIFS(wallet_records!$D:$D,wallet_records!$B:$B,'EEFF 2022'!$C6,wallet_records!$L:$L,'EEFF 2022'!V$3,wallet_records!$O:$O,'EEFF 2022'!$B$1,wallet_records!$N:$N,'EEFF 2022'!V$2)</f>
        <v>0</v>
      </c>
      <c r="W6" s="110">
        <f>SUMIFS(wallet_records!$D:$D,wallet_records!$B:$B,'EEFF 2022'!$C6,wallet_records!$L:$L,'EEFF 2022'!W$3,wallet_records!$O:$O,'EEFF 2022'!$B$1,wallet_records!$N:$N,'EEFF 2022'!W$2)</f>
        <v>0</v>
      </c>
      <c r="X6" s="110">
        <f>SUM(R6:W6)</f>
        <v>0</v>
      </c>
      <c r="Y6" s="110">
        <f>SUMIFS(wallet_records!$D:$D,wallet_records!$B:$B,'EEFF 2022'!$C6,wallet_records!$L:$L,'EEFF 2022'!Y$3,wallet_records!$O:$O,'EEFF 2022'!$B$1,wallet_records!$N:$N,'EEFF 2022'!Y$2)</f>
        <v>0</v>
      </c>
      <c r="Z6" s="110">
        <f>SUMIFS(wallet_records!$D:$D,wallet_records!$B:$B,'EEFF 2022'!$C6,wallet_records!$L:$L,'EEFF 2022'!Z$3,wallet_records!$O:$O,'EEFF 2022'!$B$1,wallet_records!$N:$N,'EEFF 2022'!Z$2)</f>
        <v>0</v>
      </c>
      <c r="AA6" s="110">
        <f>SUMIFS(wallet_records!$D:$D,wallet_records!$B:$B,'EEFF 2022'!$C6,wallet_records!$L:$L,'EEFF 2022'!AA$3,wallet_records!$O:$O,'EEFF 2022'!$B$1,wallet_records!$N:$N,'EEFF 2022'!AA$2)</f>
        <v>980000</v>
      </c>
      <c r="AB6" s="110">
        <f>SUMIFS(wallet_records!$D:$D,wallet_records!$B:$B,'EEFF 2022'!$C6,wallet_records!$L:$L,'EEFF 2022'!AB$3,wallet_records!$O:$O,'EEFF 2022'!$B$1,wallet_records!$N:$N,'EEFF 2022'!AB$2)</f>
        <v>0</v>
      </c>
      <c r="AC6" s="110">
        <f>SUMIFS(wallet_records!$D:$D,wallet_records!$B:$B,'EEFF 2022'!$C6,wallet_records!$L:$L,'EEFF 2022'!AC$3,wallet_records!$O:$O,'EEFF 2022'!$B$1,wallet_records!$N:$N,'EEFF 2022'!AC$2)</f>
        <v>1200000</v>
      </c>
      <c r="AD6" s="110">
        <f>SUMIFS(wallet_records!$D:$D,wallet_records!$B:$B,'EEFF 2022'!$C6,wallet_records!$L:$L,'EEFF 2022'!AD$3,wallet_records!$O:$O,'EEFF 2022'!$B$1,wallet_records!$N:$N,'EEFF 2022'!AD$2)</f>
        <v>225000</v>
      </c>
      <c r="AE6" s="110">
        <f>SUM(Y6:AD6)</f>
        <v>2405000</v>
      </c>
      <c r="AF6" s="110">
        <f>SUMIFS(wallet_records!$D:$D,wallet_records!$B:$B,'EEFF 2022'!$C6,wallet_records!$L:$L,'EEFF 2022'!AF$3,wallet_records!$O:$O,'EEFF 2022'!$B$1,wallet_records!$N:$N,'EEFF 2022'!AF$2)</f>
        <v>2200000</v>
      </c>
      <c r="AG6" s="110">
        <f>SUMIFS(wallet_records!$D:$D,wallet_records!$B:$B,'EEFF 2022'!$C6,wallet_records!$L:$L,'EEFF 2022'!AG$3,wallet_records!$O:$O,'EEFF 2022'!$B$1,wallet_records!$N:$N,'EEFF 2022'!AG$2)</f>
        <v>0</v>
      </c>
      <c r="AH6" s="110">
        <f>SUMIFS(wallet_records!$D:$D,wallet_records!$B:$B,'EEFF 2022'!$C6,wallet_records!$L:$L,'EEFF 2022'!AH$3,wallet_records!$O:$O,'EEFF 2022'!$B$1,wallet_records!$N:$N,'EEFF 2022'!AH$2)</f>
        <v>1100000</v>
      </c>
      <c r="AI6" s="110">
        <f>SUMIFS(wallet_records!$D:$D,wallet_records!$B:$B,'EEFF 2022'!$C6,wallet_records!$L:$L,'EEFF 2022'!AI$3,wallet_records!$O:$O,'EEFF 2022'!$B$1,wallet_records!$N:$N,'EEFF 2022'!AI$2)</f>
        <v>360000</v>
      </c>
      <c r="AJ6" s="110">
        <f>SUMIFS(wallet_records!$D:$D,wallet_records!$B:$B,'EEFF 2022'!$C6,wallet_records!$L:$L,'EEFF 2022'!AJ$3,wallet_records!$O:$O,'EEFF 2022'!$B$1,wallet_records!$N:$N,'EEFF 2022'!AJ$2)</f>
        <v>0</v>
      </c>
      <c r="AK6" s="110">
        <f>SUMIFS(wallet_records!$D:$D,wallet_records!$B:$B,'EEFF 2022'!$C6,wallet_records!$L:$L,'EEFF 2022'!AK$3,wallet_records!$O:$O,'EEFF 2022'!$B$1,wallet_records!$N:$N,'EEFF 2022'!AK$2)</f>
        <v>0</v>
      </c>
      <c r="AL6" s="263">
        <f>SUM(AF6:AK6)</f>
        <v>3660000</v>
      </c>
      <c r="AM6" s="110">
        <f>SUMIFS(wallet_records!$D:$D,wallet_records!$B:$B,'EEFF 2022'!$C6,wallet_records!$L:$L,'EEFF 2022'!AM$3,wallet_records!$O:$O,'EEFF 2022'!$B$1,wallet_records!$N:$N,'EEFF 2022'!AM$2)</f>
        <v>0</v>
      </c>
      <c r="AN6" s="110">
        <f>SUMIFS(wallet_records!$D:$D,wallet_records!$B:$B,'EEFF 2022'!$C6,wallet_records!$L:$L,'EEFF 2022'!AN$3,wallet_records!$O:$O,'EEFF 2022'!$B$1,wallet_records!$N:$N,'EEFF 2022'!AN$2)</f>
        <v>0</v>
      </c>
      <c r="AO6" s="110">
        <f>SUMIFS(wallet_records!$D:$D,wallet_records!$B:$B,'EEFF 2022'!$C6,wallet_records!$L:$L,'EEFF 2022'!AO$3,wallet_records!$O:$O,'EEFF 2022'!$B$1,wallet_records!$N:$N,'EEFF 2022'!AO$2)</f>
        <v>1100000</v>
      </c>
      <c r="AP6" s="110">
        <f>SUMIFS(wallet_records!$D:$D,wallet_records!$B:$B,'EEFF 2022'!$C6,wallet_records!$L:$L,'EEFF 2022'!AP$3,wallet_records!$O:$O,'EEFF 2022'!$B$1,wallet_records!$N:$N,'EEFF 2022'!AP$2)</f>
        <v>720000</v>
      </c>
      <c r="AQ6" s="110">
        <f>SUMIFS(wallet_records!$D:$D,wallet_records!$B:$B,'EEFF 2022'!$C6,wallet_records!$L:$L,'EEFF 2022'!AQ$3,wallet_records!$O:$O,'EEFF 2022'!$B$1,wallet_records!$N:$N,'EEFF 2022'!AQ$2)</f>
        <v>2400000</v>
      </c>
      <c r="AR6" s="110">
        <f>SUMIFS(wallet_records!$D:$D,wallet_records!$B:$B,'EEFF 2022'!$C6,wallet_records!$L:$L,'EEFF 2022'!AR$3,wallet_records!$O:$O,'EEFF 2022'!$B$1,wallet_records!$N:$N,'EEFF 2022'!AR$2)</f>
        <v>0</v>
      </c>
      <c r="AS6" s="110">
        <f>SUM(AM6:AR6)</f>
        <v>4220000</v>
      </c>
      <c r="AT6" s="110">
        <f>SUMIFS(wallet_records!$D:$D,wallet_records!$B:$B,'EEFF 2022'!$C6,wallet_records!$L:$L,'EEFF 2022'!AT$3,wallet_records!$O:$O,'EEFF 2022'!$B$1,wallet_records!$N:$N,'EEFF 2022'!AT$2)</f>
        <v>1100000</v>
      </c>
      <c r="AU6" s="110">
        <f>SUMIFS(wallet_records!$D:$D,wallet_records!$B:$B,'EEFF 2022'!$C6,wallet_records!$L:$L,'EEFF 2022'!AU$3,wallet_records!$O:$O,'EEFF 2022'!$B$1,wallet_records!$N:$N,'EEFF 2022'!AU$2)</f>
        <v>0</v>
      </c>
      <c r="AV6" s="110">
        <f>SUMIFS(wallet_records!$D:$D,wallet_records!$B:$B,'EEFF 2022'!$C6,wallet_records!$L:$L,'EEFF 2022'!AV$3,wallet_records!$O:$O,'EEFF 2022'!$B$1,wallet_records!$N:$N,'EEFF 2022'!AV$2)</f>
        <v>1100000</v>
      </c>
      <c r="AW6" s="110">
        <f>SUMIFS(wallet_records!$D:$D,wallet_records!$B:$B,'EEFF 2022'!$C6,wallet_records!$L:$L,'EEFF 2022'!AW$3,wallet_records!$O:$O,'EEFF 2022'!$B$1,wallet_records!$N:$N,'EEFF 2022'!AW$2)</f>
        <v>0</v>
      </c>
      <c r="AX6" s="110">
        <f>SUMIFS(wallet_records!$D:$D,wallet_records!$B:$B,'EEFF 2022'!$C6,wallet_records!$L:$L,'EEFF 2022'!AX$3,wallet_records!$O:$O,'EEFF 2022'!$B$1,wallet_records!$N:$N,'EEFF 2022'!AX$2)</f>
        <v>1200000</v>
      </c>
      <c r="AY6" s="110">
        <f>SUMIFS(wallet_records!$D:$D,wallet_records!$B:$B,'EEFF 2022'!$C6,wallet_records!$L:$L,'EEFF 2022'!AY$3,wallet_records!$O:$O,'EEFF 2022'!$B$1,wallet_records!$N:$N,'EEFF 2022'!AY$2)</f>
        <v>0</v>
      </c>
      <c r="AZ6" s="110">
        <f>SUM(AT6:AY6)</f>
        <v>3400000</v>
      </c>
      <c r="BA6" s="110">
        <f>SUMIFS(wallet_records!$D:$D,wallet_records!$B:$B,'EEFF 2022'!$C6,wallet_records!$L:$L,'EEFF 2022'!BA$3,wallet_records!$O:$O,'EEFF 2022'!$B$1,wallet_records!$N:$N,'EEFF 2022'!BA$2)</f>
        <v>1100000</v>
      </c>
      <c r="BB6" s="110">
        <f>SUMIFS(wallet_records!$D:$D,wallet_records!$B:$B,'EEFF 2022'!$C6,wallet_records!$L:$L,'EEFF 2022'!BB$3,wallet_records!$O:$O,'EEFF 2022'!$B$1,wallet_records!$N:$N,'EEFF 2022'!BB$2)</f>
        <v>0</v>
      </c>
      <c r="BC6" s="110">
        <f>SUMIFS(wallet_records!$D:$D,wallet_records!$B:$B,'EEFF 2022'!$C6,wallet_records!$L:$L,'EEFF 2022'!BC$3,wallet_records!$O:$O,'EEFF 2022'!$B$1,wallet_records!$N:$N,'EEFF 2022'!BC$2)</f>
        <v>1100000</v>
      </c>
      <c r="BD6" s="110">
        <f>SUMIFS(wallet_records!$D:$D,wallet_records!$B:$B,'EEFF 2022'!$C6,wallet_records!$L:$L,'EEFF 2022'!BD$3,wallet_records!$O:$O,'EEFF 2022'!$B$1,wallet_records!$N:$N,'EEFF 2022'!BD$2)</f>
        <v>720000</v>
      </c>
      <c r="BE6" s="110">
        <f>SUMIFS(wallet_records!$D:$D,wallet_records!$B:$B,'EEFF 2022'!$C6,wallet_records!$L:$L,'EEFF 2022'!BE$3,wallet_records!$O:$O,'EEFF 2022'!$B$1,wallet_records!$N:$N,'EEFF 2022'!BE$2)</f>
        <v>1200000</v>
      </c>
      <c r="BF6" s="110">
        <f>SUMIFS(wallet_records!$D:$D,wallet_records!$B:$B,'EEFF 2022'!$C6,wallet_records!$L:$L,'EEFF 2022'!BF$3,wallet_records!$O:$O,'EEFF 2022'!$B$1,wallet_records!$N:$N,'EEFF 2022'!BF$2)</f>
        <v>0</v>
      </c>
      <c r="BG6" s="110">
        <f>SUM(BA6:BF6)</f>
        <v>4120000</v>
      </c>
      <c r="BH6" s="110">
        <f>SUMIFS(wallet_records!$D:$D,wallet_records!$B:$B,'EEFF 2022'!$C6,wallet_records!$L:$L,'EEFF 2022'!BH$3,wallet_records!$O:$O,'EEFF 2022'!$B$1,wallet_records!$N:$N,'EEFF 2022'!BH$2)</f>
        <v>1100000</v>
      </c>
      <c r="BI6" s="110">
        <f>SUMIFS(wallet_records!$D:$D,wallet_records!$B:$B,'EEFF 2022'!$C6,wallet_records!$L:$L,'EEFF 2022'!BI$3,wallet_records!$O:$O,'EEFF 2022'!$B$1,wallet_records!$N:$N,'EEFF 2022'!BI$2)</f>
        <v>0</v>
      </c>
      <c r="BJ6" s="110">
        <f>SUMIFS(wallet_records!$D:$D,wallet_records!$B:$B,'EEFF 2022'!$C6,wallet_records!$L:$L,'EEFF 2022'!BJ$3,wallet_records!$O:$O,'EEFF 2022'!$B$1,wallet_records!$N:$N,'EEFF 2022'!BJ$2)</f>
        <v>1100000</v>
      </c>
      <c r="BK6" s="110">
        <f>SUMIFS(wallet_records!$D:$D,wallet_records!$B:$B,'EEFF 2022'!$C6,wallet_records!$L:$L,'EEFF 2022'!BK$3,wallet_records!$O:$O,'EEFF 2022'!$B$1,wallet_records!$N:$N,'EEFF 2022'!BK$2)</f>
        <v>0</v>
      </c>
      <c r="BL6" s="110">
        <f>SUMIFS(wallet_records!$D:$D,wallet_records!$B:$B,'EEFF 2022'!$C6,wallet_records!$L:$L,'EEFF 2022'!BL$3,wallet_records!$O:$O,'EEFF 2022'!$B$1,wallet_records!$N:$N,'EEFF 2022'!BL$2)</f>
        <v>0</v>
      </c>
      <c r="BM6" s="110">
        <f>SUMIFS(wallet_records!$D:$D,wallet_records!$B:$B,'EEFF 2022'!$C6,wallet_records!$L:$L,'EEFF 2022'!BM$3,wallet_records!$O:$O,'EEFF 2022'!$B$1,wallet_records!$N:$N,'EEFF 2022'!BM$2)</f>
        <v>0</v>
      </c>
      <c r="BN6" s="110">
        <f>SUM(BH6:BM6)</f>
        <v>2200000</v>
      </c>
      <c r="BO6" s="110">
        <f>SUMIFS(wallet_records!$D:$D,wallet_records!$B:$B,'EEFF 2022'!$C6,wallet_records!$L:$L,'EEFF 2022'!BO$3,wallet_records!$O:$O,'EEFF 2022'!$B$1,wallet_records!$N:$N,'EEFF 2022'!BO$2)</f>
        <v>1100000</v>
      </c>
      <c r="BP6" s="110">
        <f>SUMIFS(wallet_records!$D:$D,wallet_records!$B:$B,'EEFF 2022'!$C6,wallet_records!$L:$L,'EEFF 2022'!BP$3,wallet_records!$O:$O,'EEFF 2022'!$B$1,wallet_records!$N:$N,'EEFF 2022'!BP$2)</f>
        <v>0</v>
      </c>
      <c r="BQ6" s="110">
        <f>SUMIFS(wallet_records!$D:$D,wallet_records!$B:$B,'EEFF 2022'!$C6,wallet_records!$L:$L,'EEFF 2022'!BQ$3,wallet_records!$O:$O,'EEFF 2022'!$B$1,wallet_records!$N:$N,'EEFF 2022'!BQ$2)</f>
        <v>1100000</v>
      </c>
      <c r="BR6" s="110">
        <f>SUMIFS(wallet_records!$D:$D,wallet_records!$B:$B,'EEFF 2022'!$C6,wallet_records!$L:$L,'EEFF 2022'!BR$3,wallet_records!$O:$O,'EEFF 2022'!$B$1,wallet_records!$N:$N,'EEFF 2022'!BR$2)</f>
        <v>720000</v>
      </c>
      <c r="BS6" s="110">
        <f>SUMIFS(wallet_records!$D:$D,wallet_records!$B:$B,'EEFF 2022'!$C6,wallet_records!$L:$L,'EEFF 2022'!BS$3,wallet_records!$O:$O,'EEFF 2022'!$B$1,wallet_records!$N:$N,'EEFF 2022'!BS$2)</f>
        <v>2400000</v>
      </c>
      <c r="BT6" s="110">
        <f>SUMIFS(wallet_records!$D:$D,wallet_records!$B:$B,'EEFF 2022'!$C6,wallet_records!$L:$L,'EEFF 2022'!BT$3,wallet_records!$O:$O,'EEFF 2022'!$B$1,wallet_records!$N:$N,'EEFF 2022'!BT$2)</f>
        <v>0</v>
      </c>
      <c r="BU6" s="110">
        <f>SUM(BO6:BT6)</f>
        <v>5320000</v>
      </c>
      <c r="BV6" s="110">
        <f>SUMIFS(wallet_records!$D:$D,wallet_records!$B:$B,'EEFF 2022'!$C6,wallet_records!$L:$L,'EEFF 2022'!BV$3,wallet_records!$O:$O,'EEFF 2022'!$B$1,wallet_records!$N:$N,'EEFF 2022'!BV$2)</f>
        <v>1100000</v>
      </c>
      <c r="BW6" s="110">
        <f>SUMIFS(wallet_records!$D:$D,wallet_records!$B:$B,'EEFF 2022'!$C6,wallet_records!$L:$L,'EEFF 2022'!BW$3,wallet_records!$O:$O,'EEFF 2022'!$B$1,wallet_records!$N:$N,'EEFF 2022'!BW$2)</f>
        <v>0</v>
      </c>
      <c r="BX6" s="110">
        <f>SUMIFS(wallet_records!$D:$D,wallet_records!$B:$B,'EEFF 2022'!$C6,wallet_records!$L:$L,'EEFF 2022'!BX$3,wallet_records!$O:$O,'EEFF 2022'!$B$1,wallet_records!$N:$N,'EEFF 2022'!BX$2)</f>
        <v>1100000</v>
      </c>
      <c r="BY6" s="110">
        <f>SUMIFS(wallet_records!$D:$D,wallet_records!$B:$B,'EEFF 2022'!$C6,wallet_records!$L:$L,'EEFF 2022'!BY$3,wallet_records!$O:$O,'EEFF 2022'!$B$1,wallet_records!$N:$N,'EEFF 2022'!BY$2)</f>
        <v>360000</v>
      </c>
      <c r="BZ6" s="110">
        <f>SUMIFS(wallet_records!$D:$D,wallet_records!$B:$B,'EEFF 2022'!$C6,wallet_records!$L:$L,'EEFF 2022'!BZ$3,wallet_records!$O:$O,'EEFF 2022'!$B$1,wallet_records!$N:$N,'EEFF 2022'!BZ$2)</f>
        <v>1200000</v>
      </c>
      <c r="CA6" s="110">
        <f>SUMIFS(wallet_records!$D:$D,wallet_records!$B:$B,'EEFF 2022'!$C6,wallet_records!$L:$L,'EEFF 2022'!CA$3,wallet_records!$O:$O,'EEFF 2022'!$B$1,wallet_records!$N:$N,'EEFF 2022'!CA$2)</f>
        <v>0</v>
      </c>
      <c r="CB6" s="110">
        <f>SUM(BV6:CA6)</f>
        <v>3760000</v>
      </c>
      <c r="CC6" s="110">
        <f>SUMIFS(wallet_records!$D:$D,wallet_records!$B:$B,'EEFF 2022'!$C6,wallet_records!$L:$L,'EEFF 2022'!CC$3,wallet_records!$O:$O,'EEFF 2022'!$B$1,wallet_records!$N:$N,'EEFF 2022'!CC$2)</f>
        <v>1200000</v>
      </c>
      <c r="CD6" s="110">
        <f>SUMIFS(wallet_records!$D:$D,wallet_records!$B:$B,'EEFF 2022'!$C6,wallet_records!$L:$L,'EEFF 2022'!CD$3,wallet_records!$O:$O,'EEFF 2022'!$B$1,wallet_records!$N:$N,'EEFF 2022'!CD$2)</f>
        <v>0</v>
      </c>
      <c r="CE6" s="110">
        <f>SUMIFS(wallet_records!$D:$D,wallet_records!$B:$B,'EEFF 2022'!$C6,wallet_records!$L:$L,'EEFF 2022'!CE$3,wallet_records!$O:$O,'EEFF 2022'!$B$1,wallet_records!$N:$N,'EEFF 2022'!CE$2)</f>
        <v>1100000</v>
      </c>
      <c r="CF6" s="110">
        <f>SUMIFS(wallet_records!$D:$D,wallet_records!$B:$B,'EEFF 2022'!$C6,wallet_records!$L:$L,'EEFF 2022'!CF$3,wallet_records!$O:$O,'EEFF 2022'!$B$1,wallet_records!$N:$N,'EEFF 2022'!CF$2)</f>
        <v>360000</v>
      </c>
      <c r="CG6" s="110">
        <f>SUMIFS(wallet_records!$D:$D,wallet_records!$B:$B,'EEFF 2022'!$C6,wallet_records!$L:$L,'EEFF 2022'!CG$3,wallet_records!$O:$O,'EEFF 2022'!$B$1,wallet_records!$N:$N,'EEFF 2022'!CG$2)</f>
        <v>0</v>
      </c>
      <c r="CH6" s="110">
        <f>SUMIFS(wallet_records!$D:$D,wallet_records!$B:$B,'EEFF 2022'!$C6,wallet_records!$L:$L,'EEFF 2022'!CH$3,wallet_records!$O:$O,'EEFF 2022'!$B$1,wallet_records!$N:$N,'EEFF 2022'!CH$2)</f>
        <v>0</v>
      </c>
      <c r="CI6" s="110">
        <f>SUM(CC6:CH6)</f>
        <v>2660000</v>
      </c>
      <c r="CJ6" s="110">
        <f>SUMIFS(wallet_records!$D:$D,wallet_records!$B:$B,'EEFF 2022'!$C$6,wallet_records!$L:$L,'EEFF 2022'!CJ3,wallet_records!$O:$O,'EEFF 2022'!$B$1)</f>
        <v>8900000</v>
      </c>
      <c r="CK6" s="110">
        <f>SUMIFS(wallet_records!$D:$D,wallet_records!$B:$B,'EEFF 2022'!$C$6,wallet_records!$L:$L,'EEFF 2022'!CK3,wallet_records!$O:$O,'EEFF 2022'!$B$1)</f>
        <v>0</v>
      </c>
      <c r="CL6" s="110">
        <f>SUMIFS(wallet_records!$D:$D,wallet_records!$B:$B,'EEFF 2022'!$C$6,wallet_records!$L:$L,'EEFF 2022'!CL3,wallet_records!$O:$O,'EEFF 2022'!$B$1)</f>
        <v>9780000</v>
      </c>
      <c r="CM6" s="110">
        <f>SUMIFS(wallet_records!$D:$D,wallet_records!$B:$B,'EEFF 2022'!$C$6,wallet_records!$L:$L,'EEFF 2022'!CM3,wallet_records!$O:$O,'EEFF 2022'!$B$1)</f>
        <v>3240000</v>
      </c>
      <c r="CN6" s="110">
        <f>SUMIFS(wallet_records!$D:$D,wallet_records!$B:$B,'EEFF 2022'!$C$6,wallet_records!$L:$L,'EEFF 2022'!CN3,wallet_records!$O:$O,'EEFF 2022'!$B$1)</f>
        <v>9600000</v>
      </c>
      <c r="CO6" s="110">
        <f>SUMIFS(wallet_records!$D:$D,wallet_records!$B:$B,'EEFF 2022'!$C$6,wallet_records!$L:$L,'EEFF 2022'!CO3,wallet_records!$O:$O,'EEFF 2022'!$B$1)</f>
        <v>225000</v>
      </c>
      <c r="CP6" s="110">
        <f>SUM(CJ6:CO6)</f>
        <v>31745000</v>
      </c>
      <c r="CQ6" s="107"/>
      <c r="CR6" s="111"/>
      <c r="CS6" s="111"/>
      <c r="CT6" s="111"/>
      <c r="CU6" s="111">
        <f t="shared" ref="CU6:CU46" si="0">AE6/AE$6</f>
        <v>1</v>
      </c>
      <c r="CV6" s="111">
        <f t="shared" ref="CV6:CV46" si="1">AL6/AL$6</f>
        <v>1</v>
      </c>
      <c r="CW6" s="111">
        <f t="shared" ref="CW6:CW46" si="2">AS6/AS$6</f>
        <v>1</v>
      </c>
      <c r="CX6" s="111">
        <f t="shared" ref="CX6:CX46" si="3">AZ6/AZ$6</f>
        <v>1</v>
      </c>
      <c r="CY6" s="111">
        <f t="shared" ref="CY6:CY46" si="4">BG6/BG$6</f>
        <v>1</v>
      </c>
      <c r="CZ6" s="111">
        <f t="shared" ref="CZ6:CZ46" si="5">BN6/BN$6</f>
        <v>1</v>
      </c>
      <c r="DA6" s="111">
        <f t="shared" ref="DA6:DA46" si="6">BU6/BU$6</f>
        <v>1</v>
      </c>
      <c r="DB6" s="111">
        <f t="shared" ref="DB6:DB46" si="7">CB6/CB$6</f>
        <v>1</v>
      </c>
      <c r="DC6" s="111">
        <f t="shared" ref="DC6:DC46" si="8">CI6/CI$6</f>
        <v>1</v>
      </c>
    </row>
    <row r="7" spans="2:120" x14ac:dyDescent="0.2">
      <c r="B7" s="112" t="s">
        <v>399</v>
      </c>
      <c r="C7" s="192"/>
      <c r="D7" s="113"/>
      <c r="E7" s="113"/>
      <c r="F7" s="113"/>
      <c r="G7" s="114"/>
      <c r="H7" s="114"/>
      <c r="I7" s="114"/>
      <c r="J7" s="114"/>
      <c r="K7" s="113"/>
      <c r="L7" s="113"/>
      <c r="M7" s="113"/>
      <c r="N7" s="114"/>
      <c r="O7" s="114"/>
      <c r="P7" s="114"/>
      <c r="Q7" s="114"/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T7" s="113">
        <v>0</v>
      </c>
      <c r="AU7" s="113">
        <v>0</v>
      </c>
      <c r="AV7" s="113">
        <v>0</v>
      </c>
      <c r="AW7" s="114">
        <v>0</v>
      </c>
      <c r="AX7" s="114">
        <v>0</v>
      </c>
      <c r="AY7" s="114">
        <v>0</v>
      </c>
      <c r="AZ7" s="114">
        <f>SUM(AT7:AY7)</f>
        <v>0</v>
      </c>
      <c r="BA7" s="113">
        <v>0</v>
      </c>
      <c r="BB7" s="113">
        <v>0</v>
      </c>
      <c r="BC7" s="113">
        <v>0</v>
      </c>
      <c r="BD7" s="114">
        <v>0</v>
      </c>
      <c r="BE7" s="114">
        <v>0</v>
      </c>
      <c r="BF7" s="114">
        <v>0</v>
      </c>
      <c r="BG7" s="114">
        <f>SUM(BA7:BF7)</f>
        <v>0</v>
      </c>
      <c r="BH7" s="113">
        <v>0</v>
      </c>
      <c r="BI7" s="113">
        <v>0</v>
      </c>
      <c r="BJ7" s="113">
        <v>0</v>
      </c>
      <c r="BK7" s="114">
        <v>0</v>
      </c>
      <c r="BL7" s="114">
        <v>0</v>
      </c>
      <c r="BM7" s="114">
        <v>0</v>
      </c>
      <c r="BN7" s="114">
        <f>SUM(BH7:BM7)</f>
        <v>0</v>
      </c>
      <c r="BO7" s="113">
        <v>0</v>
      </c>
      <c r="BP7" s="113">
        <v>0</v>
      </c>
      <c r="BQ7" s="113">
        <v>0</v>
      </c>
      <c r="BR7" s="114">
        <v>0</v>
      </c>
      <c r="BS7" s="114">
        <v>0</v>
      </c>
      <c r="BT7" s="114">
        <v>0</v>
      </c>
      <c r="BU7" s="114">
        <f>SUM(BO7:BT7)</f>
        <v>0</v>
      </c>
      <c r="BV7" s="113">
        <v>0</v>
      </c>
      <c r="BW7" s="113">
        <v>0</v>
      </c>
      <c r="BX7" s="113">
        <v>0</v>
      </c>
      <c r="BY7" s="114">
        <v>0</v>
      </c>
      <c r="BZ7" s="114">
        <v>0</v>
      </c>
      <c r="CA7" s="114">
        <v>0</v>
      </c>
      <c r="CB7" s="114">
        <f>SUM(BV7:CA7)</f>
        <v>0</v>
      </c>
      <c r="CC7" s="113">
        <v>0</v>
      </c>
      <c r="CD7" s="113">
        <v>0</v>
      </c>
      <c r="CE7" s="113">
        <v>0</v>
      </c>
      <c r="CF7" s="114">
        <v>0</v>
      </c>
      <c r="CG7" s="114">
        <v>0</v>
      </c>
      <c r="CH7" s="114">
        <v>0</v>
      </c>
      <c r="CI7" s="114">
        <f>SUM(CC7:CH7)</f>
        <v>0</v>
      </c>
      <c r="CJ7" s="113">
        <v>0</v>
      </c>
      <c r="CK7" s="113">
        <v>0</v>
      </c>
      <c r="CL7" s="113">
        <v>0</v>
      </c>
      <c r="CM7" s="114">
        <v>0</v>
      </c>
      <c r="CN7" s="114">
        <v>0</v>
      </c>
      <c r="CO7" s="114">
        <v>0</v>
      </c>
      <c r="CP7" s="114">
        <f>SUM(CJ7:CO7)</f>
        <v>0</v>
      </c>
      <c r="CQ7" s="107"/>
      <c r="CR7" s="111"/>
      <c r="CS7" s="111"/>
      <c r="CT7" s="111"/>
      <c r="CU7" s="111">
        <f t="shared" si="0"/>
        <v>0</v>
      </c>
      <c r="CV7" s="111">
        <f t="shared" si="1"/>
        <v>0</v>
      </c>
      <c r="CW7" s="111">
        <f t="shared" si="2"/>
        <v>0</v>
      </c>
      <c r="CX7" s="111">
        <f t="shared" si="3"/>
        <v>0</v>
      </c>
      <c r="CY7" s="111">
        <f t="shared" si="4"/>
        <v>0</v>
      </c>
      <c r="CZ7" s="111">
        <f t="shared" si="5"/>
        <v>0</v>
      </c>
      <c r="DA7" s="111">
        <f t="shared" si="6"/>
        <v>0</v>
      </c>
      <c r="DB7" s="111">
        <f t="shared" si="7"/>
        <v>0</v>
      </c>
      <c r="DC7" s="111">
        <f t="shared" si="8"/>
        <v>0</v>
      </c>
    </row>
    <row r="8" spans="2:120" ht="16" x14ac:dyDescent="0.2">
      <c r="B8" s="109" t="s">
        <v>351</v>
      </c>
      <c r="C8" s="193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>
        <f t="shared" ref="R8" si="9">R6-R7</f>
        <v>0</v>
      </c>
      <c r="S8" s="117">
        <f t="shared" ref="S8:X8" si="10">S6-S7</f>
        <v>0</v>
      </c>
      <c r="T8" s="117">
        <f t="shared" si="10"/>
        <v>0</v>
      </c>
      <c r="U8" s="117">
        <f t="shared" si="10"/>
        <v>0</v>
      </c>
      <c r="V8" s="117">
        <f t="shared" si="10"/>
        <v>0</v>
      </c>
      <c r="W8" s="117">
        <f t="shared" si="10"/>
        <v>0</v>
      </c>
      <c r="X8" s="117">
        <f t="shared" si="10"/>
        <v>0</v>
      </c>
      <c r="Y8" s="117">
        <f t="shared" ref="Y8:AF8" si="11">Y6-Y7</f>
        <v>0</v>
      </c>
      <c r="Z8" s="117">
        <f t="shared" si="11"/>
        <v>0</v>
      </c>
      <c r="AA8" s="117">
        <f t="shared" si="11"/>
        <v>980000</v>
      </c>
      <c r="AB8" s="117">
        <f t="shared" si="11"/>
        <v>0</v>
      </c>
      <c r="AC8" s="117">
        <f t="shared" si="11"/>
        <v>1200000</v>
      </c>
      <c r="AD8" s="117">
        <f t="shared" si="11"/>
        <v>225000</v>
      </c>
      <c r="AE8" s="117">
        <f t="shared" si="11"/>
        <v>2405000</v>
      </c>
      <c r="AF8" s="117">
        <f t="shared" si="11"/>
        <v>2200000</v>
      </c>
      <c r="AG8" s="117">
        <f t="shared" ref="AG8:AL8" si="12">AG6-AG7</f>
        <v>0</v>
      </c>
      <c r="AH8" s="117">
        <f t="shared" si="12"/>
        <v>1100000</v>
      </c>
      <c r="AI8" s="117">
        <f t="shared" si="12"/>
        <v>360000</v>
      </c>
      <c r="AJ8" s="117">
        <f t="shared" si="12"/>
        <v>0</v>
      </c>
      <c r="AK8" s="117">
        <f t="shared" si="12"/>
        <v>0</v>
      </c>
      <c r="AL8" s="117">
        <f t="shared" si="12"/>
        <v>3660000</v>
      </c>
      <c r="AM8" s="117">
        <f t="shared" ref="AM8:AT8" si="13">AM6-AM7</f>
        <v>0</v>
      </c>
      <c r="AN8" s="117">
        <f t="shared" si="13"/>
        <v>0</v>
      </c>
      <c r="AO8" s="117">
        <f t="shared" si="13"/>
        <v>1100000</v>
      </c>
      <c r="AP8" s="117">
        <f t="shared" si="13"/>
        <v>720000</v>
      </c>
      <c r="AQ8" s="117">
        <f t="shared" si="13"/>
        <v>2400000</v>
      </c>
      <c r="AR8" s="117">
        <f t="shared" si="13"/>
        <v>0</v>
      </c>
      <c r="AS8" s="117">
        <f t="shared" si="13"/>
        <v>4220000</v>
      </c>
      <c r="AT8" s="117">
        <f t="shared" si="13"/>
        <v>1100000</v>
      </c>
      <c r="AU8" s="117">
        <f t="shared" ref="AU8:AZ8" si="14">AU6-AU7</f>
        <v>0</v>
      </c>
      <c r="AV8" s="117">
        <f t="shared" si="14"/>
        <v>1100000</v>
      </c>
      <c r="AW8" s="117">
        <f t="shared" si="14"/>
        <v>0</v>
      </c>
      <c r="AX8" s="117">
        <f t="shared" si="14"/>
        <v>1200000</v>
      </c>
      <c r="AY8" s="117">
        <f t="shared" si="14"/>
        <v>0</v>
      </c>
      <c r="AZ8" s="117">
        <f t="shared" si="14"/>
        <v>3400000</v>
      </c>
      <c r="BA8" s="117">
        <f t="shared" ref="BA8:BH8" si="15">BA6-BA7</f>
        <v>1100000</v>
      </c>
      <c r="BB8" s="117">
        <f t="shared" si="15"/>
        <v>0</v>
      </c>
      <c r="BC8" s="117">
        <f t="shared" si="15"/>
        <v>1100000</v>
      </c>
      <c r="BD8" s="117">
        <f t="shared" si="15"/>
        <v>720000</v>
      </c>
      <c r="BE8" s="117">
        <f t="shared" si="15"/>
        <v>1200000</v>
      </c>
      <c r="BF8" s="117">
        <f t="shared" si="15"/>
        <v>0</v>
      </c>
      <c r="BG8" s="117">
        <f t="shared" si="15"/>
        <v>4120000</v>
      </c>
      <c r="BH8" s="117">
        <f t="shared" si="15"/>
        <v>1100000</v>
      </c>
      <c r="BI8" s="117">
        <f t="shared" ref="BI8:BN8" si="16">BI6-BI7</f>
        <v>0</v>
      </c>
      <c r="BJ8" s="117">
        <f t="shared" si="16"/>
        <v>1100000</v>
      </c>
      <c r="BK8" s="117">
        <f t="shared" si="16"/>
        <v>0</v>
      </c>
      <c r="BL8" s="117">
        <f t="shared" si="16"/>
        <v>0</v>
      </c>
      <c r="BM8" s="117">
        <f t="shared" si="16"/>
        <v>0</v>
      </c>
      <c r="BN8" s="117">
        <f t="shared" si="16"/>
        <v>2200000</v>
      </c>
      <c r="BO8" s="117">
        <f t="shared" ref="BO8:BV8" si="17">BO6-BO7</f>
        <v>1100000</v>
      </c>
      <c r="BP8" s="117">
        <f t="shared" si="17"/>
        <v>0</v>
      </c>
      <c r="BQ8" s="117">
        <f t="shared" si="17"/>
        <v>1100000</v>
      </c>
      <c r="BR8" s="117">
        <f t="shared" si="17"/>
        <v>720000</v>
      </c>
      <c r="BS8" s="117">
        <f t="shared" si="17"/>
        <v>2400000</v>
      </c>
      <c r="BT8" s="117">
        <f t="shared" si="17"/>
        <v>0</v>
      </c>
      <c r="BU8" s="117">
        <f t="shared" si="17"/>
        <v>5320000</v>
      </c>
      <c r="BV8" s="117">
        <f t="shared" si="17"/>
        <v>1100000</v>
      </c>
      <c r="BW8" s="117">
        <f t="shared" ref="BW8:CB8" si="18">BW6-BW7</f>
        <v>0</v>
      </c>
      <c r="BX8" s="117">
        <f t="shared" si="18"/>
        <v>1100000</v>
      </c>
      <c r="BY8" s="117">
        <f t="shared" si="18"/>
        <v>360000</v>
      </c>
      <c r="BZ8" s="117">
        <f t="shared" si="18"/>
        <v>1200000</v>
      </c>
      <c r="CA8" s="117">
        <f t="shared" si="18"/>
        <v>0</v>
      </c>
      <c r="CB8" s="117">
        <f t="shared" si="18"/>
        <v>3760000</v>
      </c>
      <c r="CC8" s="117">
        <f t="shared" ref="CC8:CJ8" si="19">CC6-CC7</f>
        <v>1200000</v>
      </c>
      <c r="CD8" s="117">
        <f t="shared" si="19"/>
        <v>0</v>
      </c>
      <c r="CE8" s="117">
        <f t="shared" si="19"/>
        <v>1100000</v>
      </c>
      <c r="CF8" s="117">
        <f t="shared" si="19"/>
        <v>360000</v>
      </c>
      <c r="CG8" s="117">
        <f t="shared" si="19"/>
        <v>0</v>
      </c>
      <c r="CH8" s="117">
        <f t="shared" si="19"/>
        <v>0</v>
      </c>
      <c r="CI8" s="117">
        <f t="shared" si="19"/>
        <v>2660000</v>
      </c>
      <c r="CJ8" s="117">
        <f t="shared" si="19"/>
        <v>8900000</v>
      </c>
      <c r="CK8" s="117">
        <f t="shared" ref="CK8:CP8" si="20">CK6-CK7</f>
        <v>0</v>
      </c>
      <c r="CL8" s="117">
        <f t="shared" si="20"/>
        <v>9780000</v>
      </c>
      <c r="CM8" s="117">
        <f t="shared" si="20"/>
        <v>3240000</v>
      </c>
      <c r="CN8" s="117">
        <f t="shared" si="20"/>
        <v>9600000</v>
      </c>
      <c r="CO8" s="117">
        <f t="shared" si="20"/>
        <v>225000</v>
      </c>
      <c r="CP8" s="117">
        <f t="shared" si="20"/>
        <v>31745000</v>
      </c>
      <c r="CQ8" s="107"/>
      <c r="CR8" s="111"/>
      <c r="CS8" s="111"/>
      <c r="CT8" s="111"/>
      <c r="CU8" s="111">
        <f t="shared" si="0"/>
        <v>1</v>
      </c>
      <c r="CV8" s="111">
        <f t="shared" si="1"/>
        <v>1</v>
      </c>
      <c r="CW8" s="111">
        <f t="shared" si="2"/>
        <v>1</v>
      </c>
      <c r="CX8" s="111">
        <f t="shared" si="3"/>
        <v>1</v>
      </c>
      <c r="CY8" s="111">
        <f t="shared" si="4"/>
        <v>1</v>
      </c>
      <c r="CZ8" s="111">
        <f t="shared" si="5"/>
        <v>1</v>
      </c>
      <c r="DA8" s="111">
        <f t="shared" si="6"/>
        <v>1</v>
      </c>
      <c r="DB8" s="111">
        <f t="shared" si="7"/>
        <v>1</v>
      </c>
      <c r="DC8" s="111">
        <f t="shared" si="8"/>
        <v>1</v>
      </c>
    </row>
    <row r="9" spans="2:120" x14ac:dyDescent="0.2">
      <c r="B9" s="289" t="s">
        <v>478</v>
      </c>
      <c r="C9" s="259" t="s">
        <v>306</v>
      </c>
      <c r="D9" s="115"/>
      <c r="E9" s="115"/>
      <c r="F9" s="115"/>
      <c r="G9" s="115"/>
      <c r="H9" s="115"/>
      <c r="I9" s="115"/>
      <c r="J9" s="116"/>
      <c r="K9" s="115"/>
      <c r="L9" s="115"/>
      <c r="M9" s="115"/>
      <c r="N9" s="115"/>
      <c r="O9" s="115"/>
      <c r="P9" s="115"/>
      <c r="Q9" s="116"/>
      <c r="R9" s="115">
        <f>SUMIFS(wallet_records!$D:$D,wallet_records!$B:$B,'EEFF 2022'!$C9,wallet_records!$L:$L,'EEFF 2022'!R$3,wallet_records!$O:$O,'EEFF 2022'!$B$1,wallet_records!$N:$N,'EEFF 2022'!R$2,wallet_records!$H:$H,'EEFF 2022'!$B9)</f>
        <v>0</v>
      </c>
      <c r="S9" s="115">
        <f>SUMIFS(wallet_records!$D:$D,wallet_records!$B:$B,'EEFF 2022'!$C9,wallet_records!$L:$L,'EEFF 2022'!S$3,wallet_records!$O:$O,'EEFF 2022'!$B$1,wallet_records!$N:$N,'EEFF 2022'!S$2,wallet_records!$H:$H,'EEFF 2022'!$B9)</f>
        <v>0</v>
      </c>
      <c r="T9" s="115">
        <f>SUMIFS(wallet_records!$D:$D,wallet_records!$B:$B,'EEFF 2022'!$C9,wallet_records!$L:$L,'EEFF 2022'!T$3,wallet_records!$O:$O,'EEFF 2022'!$B$1,wallet_records!$N:$N,'EEFF 2022'!T$2,wallet_records!$H:$H,'EEFF 2022'!$B9)</f>
        <v>0</v>
      </c>
      <c r="U9" s="115">
        <f>SUMIFS(wallet_records!$D:$D,wallet_records!$B:$B,'EEFF 2022'!$C9,wallet_records!$L:$L,'EEFF 2022'!U$3,wallet_records!$O:$O,'EEFF 2022'!$B$1,wallet_records!$N:$N,'EEFF 2022'!U$2,wallet_records!$H:$H,'EEFF 2022'!$B9)</f>
        <v>0</v>
      </c>
      <c r="V9" s="115">
        <f>SUMIFS(wallet_records!$D:$D,wallet_records!$B:$B,'EEFF 2022'!$C9,wallet_records!$L:$L,'EEFF 2022'!V$3,wallet_records!$O:$O,'EEFF 2022'!$B$1,wallet_records!$N:$N,'EEFF 2022'!V$2,wallet_records!$H:$H,'EEFF 2022'!$B9)</f>
        <v>0</v>
      </c>
      <c r="W9" s="115">
        <f>SUMIFS(wallet_records!$D:$D,wallet_records!$B:$B,'EEFF 2022'!$C9,wallet_records!$L:$L,'EEFF 2022'!W$3,wallet_records!$O:$O,'EEFF 2022'!$B$1,wallet_records!$N:$N,'EEFF 2022'!W$2,wallet_records!$H:$H,'EEFF 2022'!$B9)</f>
        <v>0</v>
      </c>
      <c r="X9" s="116">
        <f t="shared" ref="X9:X14" si="21">SUM(R9:W9)</f>
        <v>0</v>
      </c>
      <c r="Y9" s="115">
        <f>SUMIFS(wallet_records!$D:$D,wallet_records!$B:$B,'EEFF 2022'!$C9,wallet_records!$L:$L,'EEFF 2022'!Y$3,wallet_records!$O:$O,'EEFF 2022'!$B$1,wallet_records!$N:$N,'EEFF 2022'!Y$2,wallet_records!$H:$H,'EEFF 2022'!$B9)</f>
        <v>0</v>
      </c>
      <c r="Z9" s="115">
        <f>SUMIFS(wallet_records!$D:$D,wallet_records!$B:$B,'EEFF 2022'!$C9,wallet_records!$L:$L,'EEFF 2022'!Z$3,wallet_records!$O:$O,'EEFF 2022'!$B$1,wallet_records!$N:$N,'EEFF 2022'!Z$2,wallet_records!$H:$H,'EEFF 2022'!$B9)</f>
        <v>0</v>
      </c>
      <c r="AA9" s="115">
        <f>SUMIFS(wallet_records!$D:$D,wallet_records!$B:$B,'EEFF 2022'!$C9,wallet_records!$L:$L,'EEFF 2022'!AA$3,wallet_records!$O:$O,'EEFF 2022'!$B$1,wallet_records!$N:$N,'EEFF 2022'!AA$2,wallet_records!$H:$H,'EEFF 2022'!$B9)</f>
        <v>0</v>
      </c>
      <c r="AB9" s="115">
        <f>SUMIFS(wallet_records!$D:$D,wallet_records!$B:$B,'EEFF 2022'!$C9,wallet_records!$L:$L,'EEFF 2022'!AB$3,wallet_records!$O:$O,'EEFF 2022'!$B$1,wallet_records!$N:$N,'EEFF 2022'!AB$2,wallet_records!$H:$H,'EEFF 2022'!$B9)</f>
        <v>0</v>
      </c>
      <c r="AC9" s="115">
        <f>SUMIFS(wallet_records!$D:$D,wallet_records!$B:$B,'EEFF 2022'!$C9,wallet_records!$L:$L,'EEFF 2022'!AC$3,wallet_records!$O:$O,'EEFF 2022'!$B$1,wallet_records!$N:$N,'EEFF 2022'!AC$2,wallet_records!$H:$H,'EEFF 2022'!$B9)</f>
        <v>0</v>
      </c>
      <c r="AD9" s="115">
        <f>SUMIFS(wallet_records!$D:$D,wallet_records!$B:$B,'EEFF 2022'!$C9,wallet_records!$L:$L,'EEFF 2022'!AD$3,wallet_records!$O:$O,'EEFF 2022'!$B$1,wallet_records!$N:$N,'EEFF 2022'!AD$2,wallet_records!$H:$H,'EEFF 2022'!$B9)</f>
        <v>0</v>
      </c>
      <c r="AE9" s="116">
        <f t="shared" ref="AE9:AE14" si="22">SUM(Y9:AD9)</f>
        <v>0</v>
      </c>
      <c r="AF9" s="115">
        <f>SUMIFS(wallet_records!$D:$D,wallet_records!$B:$B,'EEFF 2022'!$C9,wallet_records!$L:$L,'EEFF 2022'!AF$3,wallet_records!$O:$O,'EEFF 2022'!$B$1,wallet_records!$N:$N,'EEFF 2022'!AF$2,wallet_records!$H:$H,'EEFF 2022'!$B9)</f>
        <v>0</v>
      </c>
      <c r="AG9" s="115">
        <f>SUMIFS(wallet_records!$D:$D,wallet_records!$B:$B,'EEFF 2022'!$C9,wallet_records!$L:$L,'EEFF 2022'!AG$3,wallet_records!$O:$O,'EEFF 2022'!$B$1,wallet_records!$N:$N,'EEFF 2022'!AG$2,wallet_records!$H:$H,'EEFF 2022'!$B9)</f>
        <v>0</v>
      </c>
      <c r="AH9" s="115">
        <f>SUMIFS(wallet_records!$D:$D,wallet_records!$B:$B,'EEFF 2022'!$C9,wallet_records!$L:$L,'EEFF 2022'!AH$3,wallet_records!$O:$O,'EEFF 2022'!$B$1,wallet_records!$N:$N,'EEFF 2022'!AH$2,wallet_records!$H:$H,'EEFF 2022'!$B9)</f>
        <v>0</v>
      </c>
      <c r="AI9" s="115">
        <f>SUMIFS(wallet_records!$D:$D,wallet_records!$B:$B,'EEFF 2022'!$C9,wallet_records!$L:$L,'EEFF 2022'!AI$3,wallet_records!$O:$O,'EEFF 2022'!$B$1,wallet_records!$N:$N,'EEFF 2022'!AI$2,wallet_records!$H:$H,'EEFF 2022'!$B9)</f>
        <v>0</v>
      </c>
      <c r="AJ9" s="115">
        <f>SUMIFS(wallet_records!$D:$D,wallet_records!$B:$B,'EEFF 2022'!$C9,wallet_records!$L:$L,'EEFF 2022'!AJ$3,wallet_records!$O:$O,'EEFF 2022'!$B$1,wallet_records!$N:$N,'EEFF 2022'!AJ$2,wallet_records!$H:$H,'EEFF 2022'!$B9)</f>
        <v>119721</v>
      </c>
      <c r="AK9" s="115">
        <f>SUMIFS(wallet_records!$D:$D,wallet_records!$B:$B,'EEFF 2022'!$C9,wallet_records!$L:$L,'EEFF 2022'!AK$3,wallet_records!$O:$O,'EEFF 2022'!$B$1,wallet_records!$N:$N,'EEFF 2022'!AK$2,wallet_records!$H:$H,'EEFF 2022'!$B9)</f>
        <v>0</v>
      </c>
      <c r="AL9" s="116">
        <f t="shared" ref="AL9:AL14" si="23">SUM(AF9:AK9)</f>
        <v>119721</v>
      </c>
      <c r="AM9" s="115">
        <f>SUMIFS(wallet_records!$D:$D,wallet_records!$B:$B,'EEFF 2022'!$C9,wallet_records!$L:$L,'EEFF 2022'!AM$3,wallet_records!$O:$O,'EEFF 2022'!$B$1,wallet_records!$N:$N,'EEFF 2022'!AM$2,wallet_records!$H:$H,'EEFF 2022'!$B9)</f>
        <v>0</v>
      </c>
      <c r="AN9" s="115">
        <f>SUMIFS(wallet_records!$D:$D,wallet_records!$B:$B,'EEFF 2022'!$C9,wallet_records!$L:$L,'EEFF 2022'!AN$3,wallet_records!$O:$O,'EEFF 2022'!$B$1,wallet_records!$N:$N,'EEFF 2022'!AN$2,wallet_records!$H:$H,'EEFF 2022'!$B9)</f>
        <v>0</v>
      </c>
      <c r="AO9" s="115">
        <f>SUMIFS(wallet_records!$D:$D,wallet_records!$B:$B,'EEFF 2022'!$C9,wallet_records!$L:$L,'EEFF 2022'!AO$3,wallet_records!$O:$O,'EEFF 2022'!$B$1,wallet_records!$N:$N,'EEFF 2022'!AO$2,wallet_records!$H:$H,'EEFF 2022'!$B9)</f>
        <v>0</v>
      </c>
      <c r="AP9" s="115">
        <f>SUMIFS(wallet_records!$D:$D,wallet_records!$B:$B,'EEFF 2022'!$C9,wallet_records!$L:$L,'EEFF 2022'!AP$3,wallet_records!$O:$O,'EEFF 2022'!$B$1,wallet_records!$N:$N,'EEFF 2022'!AP$2,wallet_records!$H:$H,'EEFF 2022'!$B9)</f>
        <v>0</v>
      </c>
      <c r="AQ9" s="115">
        <f>SUMIFS(wallet_records!$D:$D,wallet_records!$B:$B,'EEFF 2022'!$C9,wallet_records!$L:$L,'EEFF 2022'!AQ$3,wallet_records!$O:$O,'EEFF 2022'!$B$1,wallet_records!$N:$N,'EEFF 2022'!AQ$2,wallet_records!$H:$H,'EEFF 2022'!$B9)</f>
        <v>0</v>
      </c>
      <c r="AR9" s="115">
        <f>SUMIFS(wallet_records!$D:$D,wallet_records!$B:$B,'EEFF 2022'!$C9,wallet_records!$L:$L,'EEFF 2022'!AR$3,wallet_records!$O:$O,'EEFF 2022'!$B$1,wallet_records!$N:$N,'EEFF 2022'!AR$2,wallet_records!$H:$H,'EEFF 2022'!$B9)</f>
        <v>0</v>
      </c>
      <c r="AS9" s="116">
        <f t="shared" ref="AS9:AS14" si="24">SUM(AM9:AR9)</f>
        <v>0</v>
      </c>
      <c r="AT9" s="115">
        <f>SUMIFS(wallet_records!$D:$D,wallet_records!$B:$B,'EEFF 2022'!$C9,wallet_records!$L:$L,'EEFF 2022'!AT$3,wallet_records!$O:$O,'EEFF 2022'!$B$1,wallet_records!$N:$N,'EEFF 2022'!AT$2,wallet_records!$H:$H,'EEFF 2022'!$B9)</f>
        <v>0</v>
      </c>
      <c r="AU9" s="115">
        <f>SUMIFS(wallet_records!$D:$D,wallet_records!$B:$B,'EEFF 2022'!$C9,wallet_records!$L:$L,'EEFF 2022'!AU$3,wallet_records!$O:$O,'EEFF 2022'!$B$1,wallet_records!$N:$N,'EEFF 2022'!AU$2,wallet_records!$H:$H,'EEFF 2022'!$B9)</f>
        <v>0</v>
      </c>
      <c r="AV9" s="115">
        <f>SUMIFS(wallet_records!$D:$D,wallet_records!$B:$B,'EEFF 2022'!$C9,wallet_records!$L:$L,'EEFF 2022'!AV$3,wallet_records!$O:$O,'EEFF 2022'!$B$1,wallet_records!$N:$N,'EEFF 2022'!AV$2,wallet_records!$H:$H,'EEFF 2022'!$B9)</f>
        <v>0</v>
      </c>
      <c r="AW9" s="115">
        <f>SUMIFS(wallet_records!$D:$D,wallet_records!$B:$B,'EEFF 2022'!$C9,wallet_records!$L:$L,'EEFF 2022'!AW$3,wallet_records!$O:$O,'EEFF 2022'!$B$1,wallet_records!$N:$N,'EEFF 2022'!AW$2,wallet_records!$H:$H,'EEFF 2022'!$B9)</f>
        <v>0</v>
      </c>
      <c r="AX9" s="115">
        <f>SUMIFS(wallet_records!$D:$D,wallet_records!$B:$B,'EEFF 2022'!$C9,wallet_records!$L:$L,'EEFF 2022'!AX$3,wallet_records!$O:$O,'EEFF 2022'!$B$1,wallet_records!$N:$N,'EEFF 2022'!AX$2,wallet_records!$H:$H,'EEFF 2022'!$B9)</f>
        <v>0</v>
      </c>
      <c r="AY9" s="115">
        <f>SUMIFS(wallet_records!$D:$D,wallet_records!$B:$B,'EEFF 2022'!$C9,wallet_records!$L:$L,'EEFF 2022'!AY$3,wallet_records!$O:$O,'EEFF 2022'!$B$1,wallet_records!$N:$N,'EEFF 2022'!AY$2,wallet_records!$H:$H,'EEFF 2022'!$B9)</f>
        <v>74107</v>
      </c>
      <c r="AZ9" s="116">
        <f t="shared" ref="AZ9:AZ14" si="25">SUM(AT9:AY9)</f>
        <v>74107</v>
      </c>
      <c r="BA9" s="115">
        <f>SUMIFS(wallet_records!$D:$D,wallet_records!$B:$B,'EEFF 2022'!$C9,wallet_records!$L:$L,'EEFF 2022'!BA$3,wallet_records!$O:$O,'EEFF 2022'!$B$1,wallet_records!$N:$N,'EEFF 2022'!BA$2,wallet_records!$H:$H,'EEFF 2022'!$B9)</f>
        <v>0</v>
      </c>
      <c r="BB9" s="115">
        <f>SUMIFS(wallet_records!$D:$D,wallet_records!$B:$B,'EEFF 2022'!$C9,wallet_records!$L:$L,'EEFF 2022'!BB$3,wallet_records!$O:$O,'EEFF 2022'!$B$1,wallet_records!$N:$N,'EEFF 2022'!BB$2,wallet_records!$H:$H,'EEFF 2022'!$B9)</f>
        <v>0</v>
      </c>
      <c r="BC9" s="115">
        <f>SUMIFS(wallet_records!$D:$D,wallet_records!$B:$B,'EEFF 2022'!$C9,wallet_records!$L:$L,'EEFF 2022'!BC$3,wallet_records!$O:$O,'EEFF 2022'!$B$1,wallet_records!$N:$N,'EEFF 2022'!BC$2,wallet_records!$H:$H,'EEFF 2022'!$B9)</f>
        <v>0</v>
      </c>
      <c r="BD9" s="115">
        <f>SUMIFS(wallet_records!$D:$D,wallet_records!$B:$B,'EEFF 2022'!$C9,wallet_records!$L:$L,'EEFF 2022'!BD$3,wallet_records!$O:$O,'EEFF 2022'!$B$1,wallet_records!$N:$N,'EEFF 2022'!BD$2,wallet_records!$H:$H,'EEFF 2022'!$B9)</f>
        <v>0</v>
      </c>
      <c r="BE9" s="115">
        <f>SUMIFS(wallet_records!$D:$D,wallet_records!$B:$B,'EEFF 2022'!$C9,wallet_records!$L:$L,'EEFF 2022'!BE$3,wallet_records!$O:$O,'EEFF 2022'!$B$1,wallet_records!$N:$N,'EEFF 2022'!BE$2,wallet_records!$H:$H,'EEFF 2022'!$B9)</f>
        <v>0</v>
      </c>
      <c r="BF9" s="115">
        <f>SUMIFS(wallet_records!$D:$D,wallet_records!$B:$B,'EEFF 2022'!$C9,wallet_records!$L:$L,'EEFF 2022'!BF$3,wallet_records!$O:$O,'EEFF 2022'!$B$1,wallet_records!$N:$N,'EEFF 2022'!BF$2,wallet_records!$H:$H,'EEFF 2022'!$B9)</f>
        <v>0</v>
      </c>
      <c r="BG9" s="116">
        <f t="shared" ref="BG9:BG14" si="26">SUM(BA9:BF9)</f>
        <v>0</v>
      </c>
      <c r="BH9" s="115">
        <f>SUMIFS(wallet_records!$D:$D,wallet_records!$B:$B,'EEFF 2022'!$C9,wallet_records!$L:$L,'EEFF 2022'!BH$3,wallet_records!$O:$O,'EEFF 2022'!$B$1,wallet_records!$N:$N,'EEFF 2022'!BH$2,wallet_records!$H:$H,'EEFF 2022'!$B9)</f>
        <v>0</v>
      </c>
      <c r="BI9" s="115">
        <f>SUMIFS(wallet_records!$D:$D,wallet_records!$B:$B,'EEFF 2022'!$C9,wallet_records!$L:$L,'EEFF 2022'!BI$3,wallet_records!$O:$O,'EEFF 2022'!$B$1,wallet_records!$N:$N,'EEFF 2022'!BI$2,wallet_records!$H:$H,'EEFF 2022'!$B9)</f>
        <v>0</v>
      </c>
      <c r="BJ9" s="115">
        <f>SUMIFS(wallet_records!$D:$D,wallet_records!$B:$B,'EEFF 2022'!$C9,wallet_records!$L:$L,'EEFF 2022'!BJ$3,wallet_records!$O:$O,'EEFF 2022'!$B$1,wallet_records!$N:$N,'EEFF 2022'!BJ$2,wallet_records!$H:$H,'EEFF 2022'!$B9)</f>
        <v>0</v>
      </c>
      <c r="BK9" s="115">
        <f>SUMIFS(wallet_records!$D:$D,wallet_records!$B:$B,'EEFF 2022'!$C9,wallet_records!$L:$L,'EEFF 2022'!BK$3,wallet_records!$O:$O,'EEFF 2022'!$B$1,wallet_records!$N:$N,'EEFF 2022'!BK$2,wallet_records!$H:$H,'EEFF 2022'!$B9)</f>
        <v>0</v>
      </c>
      <c r="BL9" s="115">
        <f>SUMIFS(wallet_records!$D:$D,wallet_records!$B:$B,'EEFF 2022'!$C9,wallet_records!$L:$L,'EEFF 2022'!BL$3,wallet_records!$O:$O,'EEFF 2022'!$B$1,wallet_records!$N:$N,'EEFF 2022'!BL$2,wallet_records!$H:$H,'EEFF 2022'!$B9)</f>
        <v>0</v>
      </c>
      <c r="BM9" s="115">
        <f>SUMIFS(wallet_records!$D:$D,wallet_records!$B:$B,'EEFF 2022'!$C9,wallet_records!$L:$L,'EEFF 2022'!BM$3,wallet_records!$O:$O,'EEFF 2022'!$B$1,wallet_records!$N:$N,'EEFF 2022'!BM$2,wallet_records!$H:$H,'EEFF 2022'!$B9)</f>
        <v>0</v>
      </c>
      <c r="BN9" s="116">
        <f t="shared" ref="BN9:BN14" si="27">SUM(BH9:BM9)</f>
        <v>0</v>
      </c>
      <c r="BO9" s="115">
        <f>SUMIFS(wallet_records!$D:$D,wallet_records!$B:$B,'EEFF 2022'!$C9,wallet_records!$L:$L,'EEFF 2022'!BO$3,wallet_records!$O:$O,'EEFF 2022'!$B$1,wallet_records!$N:$N,'EEFF 2022'!BO$2,wallet_records!$H:$H,'EEFF 2022'!$B9)</f>
        <v>0</v>
      </c>
      <c r="BP9" s="115">
        <f>SUMIFS(wallet_records!$D:$D,wallet_records!$B:$B,'EEFF 2022'!$C9,wallet_records!$L:$L,'EEFF 2022'!BP$3,wallet_records!$O:$O,'EEFF 2022'!$B$1,wallet_records!$N:$N,'EEFF 2022'!BP$2,wallet_records!$H:$H,'EEFF 2022'!$B9)</f>
        <v>0</v>
      </c>
      <c r="BQ9" s="115">
        <f>SUMIFS(wallet_records!$D:$D,wallet_records!$B:$B,'EEFF 2022'!$C9,wallet_records!$L:$L,'EEFF 2022'!BQ$3,wallet_records!$O:$O,'EEFF 2022'!$B$1,wallet_records!$N:$N,'EEFF 2022'!BQ$2,wallet_records!$H:$H,'EEFF 2022'!$B9)</f>
        <v>0</v>
      </c>
      <c r="BR9" s="115">
        <f>SUMIFS(wallet_records!$D:$D,wallet_records!$B:$B,'EEFF 2022'!$C9,wallet_records!$L:$L,'EEFF 2022'!BR$3,wallet_records!$O:$O,'EEFF 2022'!$B$1,wallet_records!$N:$N,'EEFF 2022'!BR$2,wallet_records!$H:$H,'EEFF 2022'!$B9)</f>
        <v>0</v>
      </c>
      <c r="BS9" s="115">
        <f>SUMIFS(wallet_records!$D:$D,wallet_records!$B:$B,'EEFF 2022'!$C9,wallet_records!$L:$L,'EEFF 2022'!BS$3,wallet_records!$O:$O,'EEFF 2022'!$B$1,wallet_records!$N:$N,'EEFF 2022'!BS$2,wallet_records!$H:$H,'EEFF 2022'!$B9)</f>
        <v>0</v>
      </c>
      <c r="BT9" s="115">
        <f>SUMIFS(wallet_records!$D:$D,wallet_records!$B:$B,'EEFF 2022'!$C9,wallet_records!$L:$L,'EEFF 2022'!BT$3,wallet_records!$O:$O,'EEFF 2022'!$B$1,wallet_records!$N:$N,'EEFF 2022'!BT$2,wallet_records!$H:$H,'EEFF 2022'!$B9)</f>
        <v>128023</v>
      </c>
      <c r="BU9" s="116">
        <f t="shared" ref="BU9:BU14" si="28">SUM(BO9:BT9)</f>
        <v>128023</v>
      </c>
      <c r="BV9" s="115">
        <f>SUMIFS(wallet_records!$D:$D,wallet_records!$B:$B,'EEFF 2022'!$C9,wallet_records!$L:$L,'EEFF 2022'!BV$3,wallet_records!$O:$O,'EEFF 2022'!$B$1,wallet_records!$N:$N,'EEFF 2022'!BV$2,wallet_records!$H:$H,'EEFF 2022'!$B9)</f>
        <v>0</v>
      </c>
      <c r="BW9" s="115">
        <f>SUMIFS(wallet_records!$D:$D,wallet_records!$B:$B,'EEFF 2022'!$C9,wallet_records!$L:$L,'EEFF 2022'!BW$3,wallet_records!$O:$O,'EEFF 2022'!$B$1,wallet_records!$N:$N,'EEFF 2022'!BW$2,wallet_records!$H:$H,'EEFF 2022'!$B9)</f>
        <v>0</v>
      </c>
      <c r="BX9" s="115">
        <f>SUMIFS(wallet_records!$D:$D,wallet_records!$B:$B,'EEFF 2022'!$C9,wallet_records!$L:$L,'EEFF 2022'!BX$3,wallet_records!$O:$O,'EEFF 2022'!$B$1,wallet_records!$N:$N,'EEFF 2022'!BX$2,wallet_records!$H:$H,'EEFF 2022'!$B9)</f>
        <v>0</v>
      </c>
      <c r="BY9" s="115">
        <f>SUMIFS(wallet_records!$D:$D,wallet_records!$B:$B,'EEFF 2022'!$C9,wallet_records!$L:$L,'EEFF 2022'!BY$3,wallet_records!$O:$O,'EEFF 2022'!$B$1,wallet_records!$N:$N,'EEFF 2022'!BY$2,wallet_records!$H:$H,'EEFF 2022'!$B9)</f>
        <v>0</v>
      </c>
      <c r="BZ9" s="115">
        <f>SUMIFS(wallet_records!$D:$D,wallet_records!$B:$B,'EEFF 2022'!$C9,wallet_records!$L:$L,'EEFF 2022'!BZ$3,wallet_records!$O:$O,'EEFF 2022'!$B$1,wallet_records!$N:$N,'EEFF 2022'!BZ$2,wallet_records!$H:$H,'EEFF 2022'!$B9)</f>
        <v>0</v>
      </c>
      <c r="CA9" s="115">
        <f>SUMIFS(wallet_records!$D:$D,wallet_records!$B:$B,'EEFF 2022'!$C9,wallet_records!$L:$L,'EEFF 2022'!CA$3,wallet_records!$O:$O,'EEFF 2022'!$B$1,wallet_records!$N:$N,'EEFF 2022'!CA$2,wallet_records!$H:$H,'EEFF 2022'!$B9)</f>
        <v>82217</v>
      </c>
      <c r="CB9" s="116">
        <f t="shared" ref="CB9:CB14" si="29">SUM(BV9:CA9)</f>
        <v>82217</v>
      </c>
      <c r="CC9" s="115">
        <f>SUMIFS(wallet_records!$D:$D,wallet_records!$B:$B,'EEFF 2022'!$C9,wallet_records!$L:$L,'EEFF 2022'!CC$3,wallet_records!$O:$O,'EEFF 2022'!$B$1,wallet_records!$N:$N,'EEFF 2022'!CC$2,wallet_records!$H:$H,'EEFF 2022'!$B9)</f>
        <v>0</v>
      </c>
      <c r="CD9" s="115">
        <f>SUMIFS(wallet_records!$D:$D,wallet_records!$B:$B,'EEFF 2022'!$C9,wallet_records!$L:$L,'EEFF 2022'!CD$3,wallet_records!$O:$O,'EEFF 2022'!$B$1,wallet_records!$N:$N,'EEFF 2022'!CD$2,wallet_records!$H:$H,'EEFF 2022'!$B9)</f>
        <v>0</v>
      </c>
      <c r="CE9" s="115">
        <f>SUMIFS(wallet_records!$D:$D,wallet_records!$B:$B,'EEFF 2022'!$C9,wallet_records!$L:$L,'EEFF 2022'!CE$3,wallet_records!$O:$O,'EEFF 2022'!$B$1,wallet_records!$N:$N,'EEFF 2022'!CE$2,wallet_records!$H:$H,'EEFF 2022'!$B9)</f>
        <v>0</v>
      </c>
      <c r="CF9" s="115">
        <f>SUMIFS(wallet_records!$D:$D,wallet_records!$B:$B,'EEFF 2022'!$C9,wallet_records!$L:$L,'EEFF 2022'!CF$3,wallet_records!$O:$O,'EEFF 2022'!$B$1,wallet_records!$N:$N,'EEFF 2022'!CF$2,wallet_records!$H:$H,'EEFF 2022'!$B9)</f>
        <v>0</v>
      </c>
      <c r="CG9" s="115">
        <f>SUMIFS(wallet_records!$D:$D,wallet_records!$B:$B,'EEFF 2022'!$C9,wallet_records!$L:$L,'EEFF 2022'!CG$3,wallet_records!$O:$O,'EEFF 2022'!$B$1,wallet_records!$N:$N,'EEFF 2022'!CG$2,wallet_records!$H:$H,'EEFF 2022'!$B9)</f>
        <v>0</v>
      </c>
      <c r="CH9" s="115">
        <f>SUMIFS(wallet_records!$D:$D,wallet_records!$B:$B,'EEFF 2022'!$C9,wallet_records!$L:$L,'EEFF 2022'!CH$3,wallet_records!$O:$O,'EEFF 2022'!$B$1,wallet_records!$N:$N,'EEFF 2022'!CH$2,wallet_records!$H:$H,'EEFF 2022'!$B9)</f>
        <v>48077</v>
      </c>
      <c r="CI9" s="116">
        <f t="shared" ref="CI9:CI14" si="30">SUM(CC9:CH9)</f>
        <v>48077</v>
      </c>
      <c r="CJ9" s="115">
        <f>SUMIFS(wallet_records!$D:$D,wallet_records!$B:$B,'EEFF 2022'!$C9,wallet_records!$L:$L,'EEFF 2022'!CJ$3,wallet_records!$O:$O,'EEFF 2022'!$B$1,wallet_records!$H:$H,'EEFF 2022'!$B9)</f>
        <v>0</v>
      </c>
      <c r="CK9" s="115">
        <f>SUMIFS(wallet_records!$D:$D,wallet_records!$B:$B,'EEFF 2022'!$C9,wallet_records!$L:$L,'EEFF 2022'!CK$3,wallet_records!$O:$O,'EEFF 2022'!$B$1,wallet_records!$H:$H,'EEFF 2022'!$B9)</f>
        <v>0</v>
      </c>
      <c r="CL9" s="115">
        <f>SUMIFS(wallet_records!$D:$D,wallet_records!$B:$B,'EEFF 2022'!$C9,wallet_records!$L:$L,'EEFF 2022'!CL$3,wallet_records!$O:$O,'EEFF 2022'!$B$1,wallet_records!$H:$H,'EEFF 2022'!$B9)</f>
        <v>0</v>
      </c>
      <c r="CM9" s="115">
        <f>SUMIFS(wallet_records!$D:$D,wallet_records!$B:$B,'EEFF 2022'!$C9,wallet_records!$L:$L,'EEFF 2022'!CM$3,wallet_records!$O:$O,'EEFF 2022'!$B$1,wallet_records!$H:$H,'EEFF 2022'!$B9)</f>
        <v>0</v>
      </c>
      <c r="CN9" s="115">
        <f>SUMIFS(wallet_records!$D:$D,wallet_records!$B:$B,'EEFF 2022'!$C9,wallet_records!$L:$L,'EEFF 2022'!CN$3,wallet_records!$O:$O,'EEFF 2022'!$B$1,wallet_records!$H:$H,'EEFF 2022'!$B9)</f>
        <v>119721</v>
      </c>
      <c r="CO9" s="115">
        <f>SUMIFS(wallet_records!$D:$D,wallet_records!$B:$B,'EEFF 2022'!$C9,wallet_records!$L:$L,'EEFF 2022'!CO$3,wallet_records!$O:$O,'EEFF 2022'!$B$1,wallet_records!$H:$H,'EEFF 2022'!$B9)</f>
        <v>332424</v>
      </c>
      <c r="CP9" s="116">
        <f t="shared" ref="CP9:CP14" si="31">SUM(CJ9:CO9)</f>
        <v>452145</v>
      </c>
      <c r="CQ9" s="107"/>
      <c r="CR9" s="118"/>
      <c r="CS9" s="118"/>
      <c r="CT9" s="118"/>
      <c r="CU9" s="118">
        <f t="shared" si="0"/>
        <v>0</v>
      </c>
      <c r="CV9" s="118">
        <f t="shared" si="1"/>
        <v>3.2710655737704916E-2</v>
      </c>
      <c r="CW9" s="118">
        <f t="shared" si="2"/>
        <v>0</v>
      </c>
      <c r="CX9" s="118">
        <f t="shared" si="3"/>
        <v>2.1796176470588235E-2</v>
      </c>
      <c r="CY9" s="118">
        <f t="shared" si="4"/>
        <v>0</v>
      </c>
      <c r="CZ9" s="118">
        <f t="shared" si="5"/>
        <v>0</v>
      </c>
      <c r="DA9" s="118">
        <f t="shared" si="6"/>
        <v>2.4064473684210528E-2</v>
      </c>
      <c r="DB9" s="118">
        <f t="shared" si="7"/>
        <v>2.1866223404255321E-2</v>
      </c>
      <c r="DC9" s="118">
        <f t="shared" si="8"/>
        <v>1.807406015037594E-2</v>
      </c>
    </row>
    <row r="10" spans="2:120" x14ac:dyDescent="0.2">
      <c r="B10" s="107" t="s">
        <v>118</v>
      </c>
      <c r="C10" s="191" t="s">
        <v>114</v>
      </c>
      <c r="D10" s="115"/>
      <c r="E10" s="115"/>
      <c r="F10" s="115"/>
      <c r="G10" s="115"/>
      <c r="H10" s="115"/>
      <c r="I10" s="115"/>
      <c r="J10" s="116"/>
      <c r="K10" s="115"/>
      <c r="L10" s="115"/>
      <c r="M10" s="115"/>
      <c r="N10" s="115"/>
      <c r="O10" s="115"/>
      <c r="P10" s="115"/>
      <c r="Q10" s="116"/>
      <c r="R10" s="115">
        <f>SUMIFS(wallet_records!$D:$D,wallet_records!$B:$B,'EEFF 2022'!$C10,wallet_records!$L:$L,'EEFF 2022'!R$3,wallet_records!$O:$O,'EEFF 2022'!$B$1,wallet_records!$N:$N,'EEFF 2022'!R$2,wallet_records!$H:$H,'EEFF 2022'!$B10)</f>
        <v>0</v>
      </c>
      <c r="S10" s="115">
        <f>SUMIFS(wallet_records!$D:$D,wallet_records!$B:$B,'EEFF 2022'!$C10,wallet_records!$L:$L,'EEFF 2022'!S$3,wallet_records!$O:$O,'EEFF 2022'!$B$1,wallet_records!$N:$N,'EEFF 2022'!S$2,wallet_records!$H:$H,'EEFF 2022'!$B10)</f>
        <v>0</v>
      </c>
      <c r="T10" s="115">
        <f>SUMIFS(wallet_records!$D:$D,wallet_records!$B:$B,'EEFF 2022'!$C10,wallet_records!$L:$L,'EEFF 2022'!T$3,wallet_records!$O:$O,'EEFF 2022'!$B$1,wallet_records!$N:$N,'EEFF 2022'!T$2,wallet_records!$H:$H,'EEFF 2022'!$B10)</f>
        <v>0</v>
      </c>
      <c r="U10" s="115">
        <f>SUMIFS(wallet_records!$D:$D,wallet_records!$B:$B,'EEFF 2022'!$C10,wallet_records!$L:$L,'EEFF 2022'!U$3,wallet_records!$O:$O,'EEFF 2022'!$B$1,wallet_records!$N:$N,'EEFF 2022'!U$2,wallet_records!$H:$H,'EEFF 2022'!$B10)</f>
        <v>0</v>
      </c>
      <c r="V10" s="115">
        <f>SUMIFS(wallet_records!$D:$D,wallet_records!$B:$B,'EEFF 2022'!$C10,wallet_records!$L:$L,'EEFF 2022'!V$3,wallet_records!$O:$O,'EEFF 2022'!$B$1,wallet_records!$N:$N,'EEFF 2022'!V$2,wallet_records!$H:$H,'EEFF 2022'!$B10)</f>
        <v>158200</v>
      </c>
      <c r="W10" s="115">
        <f>SUMIFS(wallet_records!$D:$D,wallet_records!$B:$B,'EEFF 2022'!$C10,wallet_records!$L:$L,'EEFF 2022'!W$3,wallet_records!$O:$O,'EEFF 2022'!$B$1,wallet_records!$N:$N,'EEFF 2022'!W$2,wallet_records!$H:$H,'EEFF 2022'!$B10)</f>
        <v>0</v>
      </c>
      <c r="X10" s="116">
        <f t="shared" si="21"/>
        <v>158200</v>
      </c>
      <c r="Y10" s="115">
        <f>SUMIFS(wallet_records!$D:$D,wallet_records!$B:$B,'EEFF 2022'!$C10,wallet_records!$L:$L,'EEFF 2022'!Y$3,wallet_records!$O:$O,'EEFF 2022'!$B$1,wallet_records!$N:$N,'EEFF 2022'!Y$2,wallet_records!$H:$H,'EEFF 2022'!$B10)</f>
        <v>0</v>
      </c>
      <c r="Z10" s="115">
        <f>SUMIFS(wallet_records!$D:$D,wallet_records!$B:$B,'EEFF 2022'!$C10,wallet_records!$L:$L,'EEFF 2022'!Z$3,wallet_records!$O:$O,'EEFF 2022'!$B$1,wallet_records!$N:$N,'EEFF 2022'!Z$2,wallet_records!$H:$H,'EEFF 2022'!$B10)</f>
        <v>0</v>
      </c>
      <c r="AA10" s="115">
        <f>SUMIFS(wallet_records!$D:$D,wallet_records!$B:$B,'EEFF 2022'!$C10,wallet_records!$L:$L,'EEFF 2022'!AA$3,wallet_records!$O:$O,'EEFF 2022'!$B$1,wallet_records!$N:$N,'EEFF 2022'!AA$2,wallet_records!$H:$H,'EEFF 2022'!$B10)</f>
        <v>0</v>
      </c>
      <c r="AB10" s="115">
        <f>SUMIFS(wallet_records!$D:$D,wallet_records!$B:$B,'EEFF 2022'!$C10,wallet_records!$L:$L,'EEFF 2022'!AB$3,wallet_records!$O:$O,'EEFF 2022'!$B$1,wallet_records!$N:$N,'EEFF 2022'!AB$2,wallet_records!$H:$H,'EEFF 2022'!$B10)</f>
        <v>0</v>
      </c>
      <c r="AC10" s="115">
        <f>SUMIFS(wallet_records!$D:$D,wallet_records!$B:$B,'EEFF 2022'!$C10,wallet_records!$L:$L,'EEFF 2022'!AC$3,wallet_records!$O:$O,'EEFF 2022'!$B$1,wallet_records!$N:$N,'EEFF 2022'!AC$2,wallet_records!$H:$H,'EEFF 2022'!$B10)</f>
        <v>140000</v>
      </c>
      <c r="AD10" s="115">
        <f>SUMIFS(wallet_records!$D:$D,wallet_records!$B:$B,'EEFF 2022'!$C10,wallet_records!$L:$L,'EEFF 2022'!AD$3,wallet_records!$O:$O,'EEFF 2022'!$B$1,wallet_records!$N:$N,'EEFF 2022'!AD$2,wallet_records!$H:$H,'EEFF 2022'!$B10)</f>
        <v>0</v>
      </c>
      <c r="AE10" s="116">
        <f t="shared" si="22"/>
        <v>140000</v>
      </c>
      <c r="AF10" s="115">
        <f>SUMIFS(wallet_records!$D:$D,wallet_records!$B:$B,'EEFF 2022'!$C10,wallet_records!$L:$L,'EEFF 2022'!AF$3,wallet_records!$O:$O,'EEFF 2022'!$B$1,wallet_records!$N:$N,'EEFF 2022'!AF$2,wallet_records!$H:$H,'EEFF 2022'!$B10)</f>
        <v>0</v>
      </c>
      <c r="AG10" s="115">
        <f>SUMIFS(wallet_records!$D:$D,wallet_records!$B:$B,'EEFF 2022'!$C10,wallet_records!$L:$L,'EEFF 2022'!AG$3,wallet_records!$O:$O,'EEFF 2022'!$B$1,wallet_records!$N:$N,'EEFF 2022'!AG$2,wallet_records!$H:$H,'EEFF 2022'!$B10)</f>
        <v>0</v>
      </c>
      <c r="AH10" s="115">
        <f>SUMIFS(wallet_records!$D:$D,wallet_records!$B:$B,'EEFF 2022'!$C10,wallet_records!$L:$L,'EEFF 2022'!AH$3,wallet_records!$O:$O,'EEFF 2022'!$B$1,wallet_records!$N:$N,'EEFF 2022'!AH$2,wallet_records!$H:$H,'EEFF 2022'!$B10)</f>
        <v>0</v>
      </c>
      <c r="AI10" s="115">
        <f>SUMIFS(wallet_records!$D:$D,wallet_records!$B:$B,'EEFF 2022'!$C10,wallet_records!$L:$L,'EEFF 2022'!AI$3,wallet_records!$O:$O,'EEFF 2022'!$B$1,wallet_records!$N:$N,'EEFF 2022'!AI$2,wallet_records!$H:$H,'EEFF 2022'!$B10)</f>
        <v>0</v>
      </c>
      <c r="AJ10" s="115">
        <f>SUMIFS(wallet_records!$D:$D,wallet_records!$B:$B,'EEFF 2022'!$C10,wallet_records!$L:$L,'EEFF 2022'!AJ$3,wallet_records!$O:$O,'EEFF 2022'!$B$1,wallet_records!$N:$N,'EEFF 2022'!AJ$2,wallet_records!$H:$H,'EEFF 2022'!$B10)</f>
        <v>0</v>
      </c>
      <c r="AK10" s="115">
        <f>SUMIFS(wallet_records!$D:$D,wallet_records!$B:$B,'EEFF 2022'!$C10,wallet_records!$L:$L,'EEFF 2022'!AK$3,wallet_records!$O:$O,'EEFF 2022'!$B$1,wallet_records!$N:$N,'EEFF 2022'!AK$2,wallet_records!$H:$H,'EEFF 2022'!$B10)</f>
        <v>0</v>
      </c>
      <c r="AL10" s="116">
        <f t="shared" si="23"/>
        <v>0</v>
      </c>
      <c r="AM10" s="115">
        <f>SUMIFS(wallet_records!$D:$D,wallet_records!$B:$B,'EEFF 2022'!$C10,wallet_records!$L:$L,'EEFF 2022'!AM$3,wallet_records!$O:$O,'EEFF 2022'!$B$1,wallet_records!$N:$N,'EEFF 2022'!AM$2,wallet_records!$H:$H,'EEFF 2022'!$B10)</f>
        <v>0</v>
      </c>
      <c r="AN10" s="115">
        <f>SUMIFS(wallet_records!$D:$D,wallet_records!$B:$B,'EEFF 2022'!$C10,wallet_records!$L:$L,'EEFF 2022'!AN$3,wallet_records!$O:$O,'EEFF 2022'!$B$1,wallet_records!$N:$N,'EEFF 2022'!AN$2,wallet_records!$H:$H,'EEFF 2022'!$B10)</f>
        <v>0</v>
      </c>
      <c r="AO10" s="115">
        <f>SUMIFS(wallet_records!$D:$D,wallet_records!$B:$B,'EEFF 2022'!$C10,wallet_records!$L:$L,'EEFF 2022'!AO$3,wallet_records!$O:$O,'EEFF 2022'!$B$1,wallet_records!$N:$N,'EEFF 2022'!AO$2,wallet_records!$H:$H,'EEFF 2022'!$B10)</f>
        <v>0</v>
      </c>
      <c r="AP10" s="115">
        <f>SUMIFS(wallet_records!$D:$D,wallet_records!$B:$B,'EEFF 2022'!$C10,wallet_records!$L:$L,'EEFF 2022'!AP$3,wallet_records!$O:$O,'EEFF 2022'!$B$1,wallet_records!$N:$N,'EEFF 2022'!AP$2,wallet_records!$H:$H,'EEFF 2022'!$B10)</f>
        <v>0</v>
      </c>
      <c r="AQ10" s="115">
        <f>SUMIFS(wallet_records!$D:$D,wallet_records!$B:$B,'EEFF 2022'!$C10,wallet_records!$L:$L,'EEFF 2022'!AQ$3,wallet_records!$O:$O,'EEFF 2022'!$B$1,wallet_records!$N:$N,'EEFF 2022'!AQ$2,wallet_records!$H:$H,'EEFF 2022'!$B10)</f>
        <v>0</v>
      </c>
      <c r="AR10" s="115">
        <f>SUMIFS(wallet_records!$D:$D,wallet_records!$B:$B,'EEFF 2022'!$C10,wallet_records!$L:$L,'EEFF 2022'!AR$3,wallet_records!$O:$O,'EEFF 2022'!$B$1,wallet_records!$N:$N,'EEFF 2022'!AR$2,wallet_records!$H:$H,'EEFF 2022'!$B10)</f>
        <v>0</v>
      </c>
      <c r="AS10" s="116">
        <f t="shared" si="24"/>
        <v>0</v>
      </c>
      <c r="AT10" s="115">
        <f>SUMIFS(wallet_records!$D:$D,wallet_records!$B:$B,'EEFF 2022'!$C10,wallet_records!$L:$L,'EEFF 2022'!AT$3,wallet_records!$O:$O,'EEFF 2022'!$B$1,wallet_records!$N:$N,'EEFF 2022'!AT$2,wallet_records!$H:$H,'EEFF 2022'!$B10)</f>
        <v>0</v>
      </c>
      <c r="AU10" s="115">
        <f>SUMIFS(wallet_records!$D:$D,wallet_records!$B:$B,'EEFF 2022'!$C10,wallet_records!$L:$L,'EEFF 2022'!AU$3,wallet_records!$O:$O,'EEFF 2022'!$B$1,wallet_records!$N:$N,'EEFF 2022'!AU$2,wallet_records!$H:$H,'EEFF 2022'!$B10)</f>
        <v>0</v>
      </c>
      <c r="AV10" s="115">
        <f>SUMIFS(wallet_records!$D:$D,wallet_records!$B:$B,'EEFF 2022'!$C10,wallet_records!$L:$L,'EEFF 2022'!AV$3,wallet_records!$O:$O,'EEFF 2022'!$B$1,wallet_records!$N:$N,'EEFF 2022'!AV$2,wallet_records!$H:$H,'EEFF 2022'!$B10)</f>
        <v>0</v>
      </c>
      <c r="AW10" s="115">
        <f>SUMIFS(wallet_records!$D:$D,wallet_records!$B:$B,'EEFF 2022'!$C10,wallet_records!$L:$L,'EEFF 2022'!AW$3,wallet_records!$O:$O,'EEFF 2022'!$B$1,wallet_records!$N:$N,'EEFF 2022'!AW$2,wallet_records!$H:$H,'EEFF 2022'!$B10)</f>
        <v>0</v>
      </c>
      <c r="AX10" s="115">
        <f>SUMIFS(wallet_records!$D:$D,wallet_records!$B:$B,'EEFF 2022'!$C10,wallet_records!$L:$L,'EEFF 2022'!AX$3,wallet_records!$O:$O,'EEFF 2022'!$B$1,wallet_records!$N:$N,'EEFF 2022'!AX$2,wallet_records!$H:$H,'EEFF 2022'!$B10)</f>
        <v>0</v>
      </c>
      <c r="AY10" s="115">
        <f>SUMIFS(wallet_records!$D:$D,wallet_records!$B:$B,'EEFF 2022'!$C10,wallet_records!$L:$L,'EEFF 2022'!AY$3,wallet_records!$O:$O,'EEFF 2022'!$B$1,wallet_records!$N:$N,'EEFF 2022'!AY$2,wallet_records!$H:$H,'EEFF 2022'!$B10)</f>
        <v>2000000</v>
      </c>
      <c r="AZ10" s="116">
        <f t="shared" si="25"/>
        <v>2000000</v>
      </c>
      <c r="BA10" s="115">
        <f>SUMIFS(wallet_records!$D:$D,wallet_records!$B:$B,'EEFF 2022'!$C10,wallet_records!$L:$L,'EEFF 2022'!BA$3,wallet_records!$O:$O,'EEFF 2022'!$B$1,wallet_records!$N:$N,'EEFF 2022'!BA$2,wallet_records!$H:$H,'EEFF 2022'!$B10)</f>
        <v>620000</v>
      </c>
      <c r="BB10" s="115">
        <f>SUMIFS(wallet_records!$D:$D,wallet_records!$B:$B,'EEFF 2022'!$C10,wallet_records!$L:$L,'EEFF 2022'!BB$3,wallet_records!$O:$O,'EEFF 2022'!$B$1,wallet_records!$N:$N,'EEFF 2022'!BB$2,wallet_records!$H:$H,'EEFF 2022'!$B10)</f>
        <v>0</v>
      </c>
      <c r="BC10" s="115">
        <f>SUMIFS(wallet_records!$D:$D,wallet_records!$B:$B,'EEFF 2022'!$C10,wallet_records!$L:$L,'EEFF 2022'!BC$3,wallet_records!$O:$O,'EEFF 2022'!$B$1,wallet_records!$N:$N,'EEFF 2022'!BC$2,wallet_records!$H:$H,'EEFF 2022'!$B10)</f>
        <v>0</v>
      </c>
      <c r="BD10" s="115">
        <f>SUMIFS(wallet_records!$D:$D,wallet_records!$B:$B,'EEFF 2022'!$C10,wallet_records!$L:$L,'EEFF 2022'!BD$3,wallet_records!$O:$O,'EEFF 2022'!$B$1,wallet_records!$N:$N,'EEFF 2022'!BD$2,wallet_records!$H:$H,'EEFF 2022'!$B10)</f>
        <v>0</v>
      </c>
      <c r="BE10" s="115">
        <f>SUMIFS(wallet_records!$D:$D,wallet_records!$B:$B,'EEFF 2022'!$C10,wallet_records!$L:$L,'EEFF 2022'!BE$3,wallet_records!$O:$O,'EEFF 2022'!$B$1,wallet_records!$N:$N,'EEFF 2022'!BE$2,wallet_records!$H:$H,'EEFF 2022'!$B10)</f>
        <v>0</v>
      </c>
      <c r="BF10" s="115">
        <f>SUMIFS(wallet_records!$D:$D,wallet_records!$B:$B,'EEFF 2022'!$C10,wallet_records!$L:$L,'EEFF 2022'!BF$3,wallet_records!$O:$O,'EEFF 2022'!$B$1,wallet_records!$N:$N,'EEFF 2022'!BF$2,wallet_records!$H:$H,'EEFF 2022'!$B10)</f>
        <v>9000000</v>
      </c>
      <c r="BG10" s="116">
        <f t="shared" si="26"/>
        <v>9620000</v>
      </c>
      <c r="BH10" s="115">
        <f>SUMIFS(wallet_records!$D:$D,wallet_records!$B:$B,'EEFF 2022'!$C10,wallet_records!$L:$L,'EEFF 2022'!BH$3,wallet_records!$O:$O,'EEFF 2022'!$B$1,wallet_records!$N:$N,'EEFF 2022'!BH$2,wallet_records!$H:$H,'EEFF 2022'!$B10)</f>
        <v>0</v>
      </c>
      <c r="BI10" s="115">
        <f>SUMIFS(wallet_records!$D:$D,wallet_records!$B:$B,'EEFF 2022'!$C10,wallet_records!$L:$L,'EEFF 2022'!BI$3,wallet_records!$O:$O,'EEFF 2022'!$B$1,wallet_records!$N:$N,'EEFF 2022'!BI$2,wallet_records!$H:$H,'EEFF 2022'!$B10)</f>
        <v>0</v>
      </c>
      <c r="BJ10" s="115">
        <f>SUMIFS(wallet_records!$D:$D,wallet_records!$B:$B,'EEFF 2022'!$C10,wallet_records!$L:$L,'EEFF 2022'!BJ$3,wallet_records!$O:$O,'EEFF 2022'!$B$1,wallet_records!$N:$N,'EEFF 2022'!BJ$2,wallet_records!$H:$H,'EEFF 2022'!$B10)</f>
        <v>0</v>
      </c>
      <c r="BK10" s="115">
        <f>SUMIFS(wallet_records!$D:$D,wallet_records!$B:$B,'EEFF 2022'!$C10,wallet_records!$L:$L,'EEFF 2022'!BK$3,wallet_records!$O:$O,'EEFF 2022'!$B$1,wallet_records!$N:$N,'EEFF 2022'!BK$2,wallet_records!$H:$H,'EEFF 2022'!$B10)</f>
        <v>0</v>
      </c>
      <c r="BL10" s="115">
        <f>SUMIFS(wallet_records!$D:$D,wallet_records!$B:$B,'EEFF 2022'!$C10,wallet_records!$L:$L,'EEFF 2022'!BL$3,wallet_records!$O:$O,'EEFF 2022'!$B$1,wallet_records!$N:$N,'EEFF 2022'!BL$2,wallet_records!$H:$H,'EEFF 2022'!$B10)</f>
        <v>0</v>
      </c>
      <c r="BM10" s="115">
        <f>SUMIFS(wallet_records!$D:$D,wallet_records!$B:$B,'EEFF 2022'!$C10,wallet_records!$L:$L,'EEFF 2022'!BM$3,wallet_records!$O:$O,'EEFF 2022'!$B$1,wallet_records!$N:$N,'EEFF 2022'!BM$2,wallet_records!$H:$H,'EEFF 2022'!$B10)</f>
        <v>5500000</v>
      </c>
      <c r="BN10" s="116">
        <f t="shared" si="27"/>
        <v>5500000</v>
      </c>
      <c r="BO10" s="115">
        <f>SUMIFS(wallet_records!$D:$D,wallet_records!$B:$B,'EEFF 2022'!$C10,wallet_records!$L:$L,'EEFF 2022'!BO$3,wallet_records!$O:$O,'EEFF 2022'!$B$1,wallet_records!$N:$N,'EEFF 2022'!BO$2,wallet_records!$H:$H,'EEFF 2022'!$B10)</f>
        <v>0</v>
      </c>
      <c r="BP10" s="115">
        <f>SUMIFS(wallet_records!$D:$D,wallet_records!$B:$B,'EEFF 2022'!$C10,wallet_records!$L:$L,'EEFF 2022'!BP$3,wallet_records!$O:$O,'EEFF 2022'!$B$1,wallet_records!$N:$N,'EEFF 2022'!BP$2,wallet_records!$H:$H,'EEFF 2022'!$B10)</f>
        <v>0</v>
      </c>
      <c r="BQ10" s="115">
        <f>SUMIFS(wallet_records!$D:$D,wallet_records!$B:$B,'EEFF 2022'!$C10,wallet_records!$L:$L,'EEFF 2022'!BQ$3,wallet_records!$O:$O,'EEFF 2022'!$B$1,wallet_records!$N:$N,'EEFF 2022'!BQ$2,wallet_records!$H:$H,'EEFF 2022'!$B10)</f>
        <v>0</v>
      </c>
      <c r="BR10" s="115">
        <f>SUMIFS(wallet_records!$D:$D,wallet_records!$B:$B,'EEFF 2022'!$C10,wallet_records!$L:$L,'EEFF 2022'!BR$3,wallet_records!$O:$O,'EEFF 2022'!$B$1,wallet_records!$N:$N,'EEFF 2022'!BR$2,wallet_records!$H:$H,'EEFF 2022'!$B10)</f>
        <v>0</v>
      </c>
      <c r="BS10" s="115">
        <f>SUMIFS(wallet_records!$D:$D,wallet_records!$B:$B,'EEFF 2022'!$C10,wallet_records!$L:$L,'EEFF 2022'!BS$3,wallet_records!$O:$O,'EEFF 2022'!$B$1,wallet_records!$N:$N,'EEFF 2022'!BS$2,wallet_records!$H:$H,'EEFF 2022'!$B10)</f>
        <v>0</v>
      </c>
      <c r="BT10" s="115">
        <f>SUMIFS(wallet_records!$D:$D,wallet_records!$B:$B,'EEFF 2022'!$C10,wallet_records!$L:$L,'EEFF 2022'!BT$3,wallet_records!$O:$O,'EEFF 2022'!$B$1,wallet_records!$N:$N,'EEFF 2022'!BT$2,wallet_records!$H:$H,'EEFF 2022'!$B10)</f>
        <v>4000000</v>
      </c>
      <c r="BU10" s="116">
        <f t="shared" si="28"/>
        <v>4000000</v>
      </c>
      <c r="BV10" s="115">
        <f>SUMIFS(wallet_records!$D:$D,wallet_records!$B:$B,'EEFF 2022'!$C10,wallet_records!$L:$L,'EEFF 2022'!BV$3,wallet_records!$O:$O,'EEFF 2022'!$B$1,wallet_records!$N:$N,'EEFF 2022'!BV$2,wallet_records!$H:$H,'EEFF 2022'!$B10)</f>
        <v>0</v>
      </c>
      <c r="BW10" s="115">
        <f>SUMIFS(wallet_records!$D:$D,wallet_records!$B:$B,'EEFF 2022'!$C10,wallet_records!$L:$L,'EEFF 2022'!BW$3,wallet_records!$O:$O,'EEFF 2022'!$B$1,wallet_records!$N:$N,'EEFF 2022'!BW$2,wallet_records!$H:$H,'EEFF 2022'!$B10)</f>
        <v>0</v>
      </c>
      <c r="BX10" s="115">
        <f>SUMIFS(wallet_records!$D:$D,wallet_records!$B:$B,'EEFF 2022'!$C10,wallet_records!$L:$L,'EEFF 2022'!BX$3,wallet_records!$O:$O,'EEFF 2022'!$B$1,wallet_records!$N:$N,'EEFF 2022'!BX$2,wallet_records!$H:$H,'EEFF 2022'!$B10)</f>
        <v>0</v>
      </c>
      <c r="BY10" s="115">
        <f>SUMIFS(wallet_records!$D:$D,wallet_records!$B:$B,'EEFF 2022'!$C10,wallet_records!$L:$L,'EEFF 2022'!BY$3,wallet_records!$O:$O,'EEFF 2022'!$B$1,wallet_records!$N:$N,'EEFF 2022'!BY$2,wallet_records!$H:$H,'EEFF 2022'!$B10)</f>
        <v>0</v>
      </c>
      <c r="BZ10" s="115">
        <f>SUMIFS(wallet_records!$D:$D,wallet_records!$B:$B,'EEFF 2022'!$C10,wallet_records!$L:$L,'EEFF 2022'!BZ$3,wallet_records!$O:$O,'EEFF 2022'!$B$1,wallet_records!$N:$N,'EEFF 2022'!BZ$2,wallet_records!$H:$H,'EEFF 2022'!$B10)</f>
        <v>0</v>
      </c>
      <c r="CA10" s="115">
        <f>SUMIFS(wallet_records!$D:$D,wallet_records!$B:$B,'EEFF 2022'!$C10,wallet_records!$L:$L,'EEFF 2022'!CA$3,wallet_records!$O:$O,'EEFF 2022'!$B$1,wallet_records!$N:$N,'EEFF 2022'!CA$2,wallet_records!$H:$H,'EEFF 2022'!$B10)</f>
        <v>0</v>
      </c>
      <c r="CB10" s="116">
        <f t="shared" si="29"/>
        <v>0</v>
      </c>
      <c r="CC10" s="115">
        <f>SUMIFS(wallet_records!$D:$D,wallet_records!$B:$B,'EEFF 2022'!$C10,wallet_records!$L:$L,'EEFF 2022'!CC$3,wallet_records!$O:$O,'EEFF 2022'!$B$1,wallet_records!$N:$N,'EEFF 2022'!CC$2,wallet_records!$H:$H,'EEFF 2022'!$B10)</f>
        <v>0</v>
      </c>
      <c r="CD10" s="115">
        <f>SUMIFS(wallet_records!$D:$D,wallet_records!$B:$B,'EEFF 2022'!$C10,wallet_records!$L:$L,'EEFF 2022'!CD$3,wallet_records!$O:$O,'EEFF 2022'!$B$1,wallet_records!$N:$N,'EEFF 2022'!CD$2,wallet_records!$H:$H,'EEFF 2022'!$B10)</f>
        <v>0</v>
      </c>
      <c r="CE10" s="115">
        <f>SUMIFS(wallet_records!$D:$D,wallet_records!$B:$B,'EEFF 2022'!$C10,wallet_records!$L:$L,'EEFF 2022'!CE$3,wallet_records!$O:$O,'EEFF 2022'!$B$1,wallet_records!$N:$N,'EEFF 2022'!CE$2,wallet_records!$H:$H,'EEFF 2022'!$B10)</f>
        <v>0</v>
      </c>
      <c r="CF10" s="115">
        <f>SUMIFS(wallet_records!$D:$D,wallet_records!$B:$B,'EEFF 2022'!$C10,wallet_records!$L:$L,'EEFF 2022'!CF$3,wallet_records!$O:$O,'EEFF 2022'!$B$1,wallet_records!$N:$N,'EEFF 2022'!CF$2,wallet_records!$H:$H,'EEFF 2022'!$B10)</f>
        <v>0</v>
      </c>
      <c r="CG10" s="115">
        <f>SUMIFS(wallet_records!$D:$D,wallet_records!$B:$B,'EEFF 2022'!$C10,wallet_records!$L:$L,'EEFF 2022'!CG$3,wallet_records!$O:$O,'EEFF 2022'!$B$1,wallet_records!$N:$N,'EEFF 2022'!CG$2,wallet_records!$H:$H,'EEFF 2022'!$B10)</f>
        <v>0</v>
      </c>
      <c r="CH10" s="115">
        <f>SUMIFS(wallet_records!$D:$D,wallet_records!$B:$B,'EEFF 2022'!$C10,wallet_records!$L:$L,'EEFF 2022'!CH$3,wallet_records!$O:$O,'EEFF 2022'!$B$1,wallet_records!$N:$N,'EEFF 2022'!CH$2,wallet_records!$H:$H,'EEFF 2022'!$B10)</f>
        <v>781709.5</v>
      </c>
      <c r="CI10" s="116">
        <f t="shared" si="30"/>
        <v>781709.5</v>
      </c>
      <c r="CJ10" s="115">
        <f>SUMIFS(wallet_records!$D:$D,wallet_records!$B:$B,'EEFF 2022'!$C10,wallet_records!$L:$L,'EEFF 2022'!CJ$3,wallet_records!$O:$O,'EEFF 2022'!$B$1,wallet_records!$H:$H,'EEFF 2022'!$B10)</f>
        <v>620000</v>
      </c>
      <c r="CK10" s="115">
        <f>SUMIFS(wallet_records!$D:$D,wallet_records!$B:$B,'EEFF 2022'!$C10,wallet_records!$L:$L,'EEFF 2022'!CK$3,wallet_records!$O:$O,'EEFF 2022'!$B$1,wallet_records!$H:$H,'EEFF 2022'!$B10)</f>
        <v>0</v>
      </c>
      <c r="CL10" s="115">
        <f>SUMIFS(wallet_records!$D:$D,wallet_records!$B:$B,'EEFF 2022'!$C10,wallet_records!$L:$L,'EEFF 2022'!CL$3,wallet_records!$O:$O,'EEFF 2022'!$B$1,wallet_records!$H:$H,'EEFF 2022'!$B10)</f>
        <v>0</v>
      </c>
      <c r="CM10" s="115">
        <f>SUMIFS(wallet_records!$D:$D,wallet_records!$B:$B,'EEFF 2022'!$C10,wallet_records!$L:$L,'EEFF 2022'!CM$3,wallet_records!$O:$O,'EEFF 2022'!$B$1,wallet_records!$H:$H,'EEFF 2022'!$B10)</f>
        <v>0</v>
      </c>
      <c r="CN10" s="115">
        <f>SUMIFS(wallet_records!$D:$D,wallet_records!$B:$B,'EEFF 2022'!$C10,wallet_records!$L:$L,'EEFF 2022'!CN$3,wallet_records!$O:$O,'EEFF 2022'!$B$1,wallet_records!$H:$H,'EEFF 2022'!$B10)</f>
        <v>298200</v>
      </c>
      <c r="CO10" s="115">
        <f>SUMIFS(wallet_records!$D:$D,wallet_records!$B:$B,'EEFF 2022'!$C10,wallet_records!$L:$L,'EEFF 2022'!CO$3,wallet_records!$O:$O,'EEFF 2022'!$B$1,wallet_records!$H:$H,'EEFF 2022'!$B10)</f>
        <v>21281709.5</v>
      </c>
      <c r="CP10" s="116">
        <f t="shared" si="31"/>
        <v>22199909.5</v>
      </c>
      <c r="CQ10" s="107"/>
      <c r="CR10" s="118"/>
      <c r="CS10" s="118"/>
      <c r="CT10" s="118"/>
      <c r="CU10" s="118">
        <f t="shared" si="0"/>
        <v>5.8212058212058215E-2</v>
      </c>
      <c r="CV10" s="118">
        <f t="shared" si="1"/>
        <v>0</v>
      </c>
      <c r="CW10" s="118">
        <f t="shared" si="2"/>
        <v>0</v>
      </c>
      <c r="CX10" s="118">
        <f t="shared" si="3"/>
        <v>0.58823529411764708</v>
      </c>
      <c r="CY10" s="118">
        <f t="shared" si="4"/>
        <v>2.3349514563106797</v>
      </c>
      <c r="CZ10" s="118">
        <f t="shared" si="5"/>
        <v>2.5</v>
      </c>
      <c r="DA10" s="118">
        <f t="shared" si="6"/>
        <v>0.75187969924812026</v>
      </c>
      <c r="DB10" s="118">
        <f t="shared" si="7"/>
        <v>0</v>
      </c>
      <c r="DC10" s="118">
        <f t="shared" si="8"/>
        <v>0.29387575187969922</v>
      </c>
    </row>
    <row r="11" spans="2:120" x14ac:dyDescent="0.2">
      <c r="B11" s="107" t="s">
        <v>140</v>
      </c>
      <c r="C11" s="191" t="s">
        <v>136</v>
      </c>
      <c r="D11" s="115"/>
      <c r="E11" s="115"/>
      <c r="F11" s="115"/>
      <c r="G11" s="115"/>
      <c r="H11" s="115"/>
      <c r="I11" s="115"/>
      <c r="J11" s="116"/>
      <c r="K11" s="115"/>
      <c r="L11" s="115"/>
      <c r="M11" s="115"/>
      <c r="N11" s="115"/>
      <c r="O11" s="115"/>
      <c r="P11" s="115"/>
      <c r="Q11" s="116"/>
      <c r="R11" s="115">
        <f>SUMIFS(wallet_records!$D:$D,wallet_records!$B:$B,'EEFF 2022'!$C11,wallet_records!$L:$L,'EEFF 2022'!R$3,wallet_records!$O:$O,'EEFF 2022'!$B$1,wallet_records!$N:$N,'EEFF 2022'!R$2,wallet_records!$H:$H,'EEFF 2022'!$B11)</f>
        <v>0</v>
      </c>
      <c r="S11" s="115">
        <f>SUMIFS(wallet_records!$D:$D,wallet_records!$B:$B,'EEFF 2022'!$C11,wallet_records!$L:$L,'EEFF 2022'!S$3,wallet_records!$O:$O,'EEFF 2022'!$B$1,wallet_records!$N:$N,'EEFF 2022'!S$2,wallet_records!$H:$H,'EEFF 2022'!$B11)</f>
        <v>0</v>
      </c>
      <c r="T11" s="115">
        <f>SUMIFS(wallet_records!$D:$D,wallet_records!$B:$B,'EEFF 2022'!$C11,wallet_records!$L:$L,'EEFF 2022'!T$3,wallet_records!$O:$O,'EEFF 2022'!$B$1,wallet_records!$N:$N,'EEFF 2022'!T$2,wallet_records!$H:$H,'EEFF 2022'!$B11)</f>
        <v>0</v>
      </c>
      <c r="U11" s="115">
        <f>SUMIFS(wallet_records!$D:$D,wallet_records!$B:$B,'EEFF 2022'!$C11,wallet_records!$L:$L,'EEFF 2022'!U$3,wallet_records!$O:$O,'EEFF 2022'!$B$1,wallet_records!$N:$N,'EEFF 2022'!U$2,wallet_records!$H:$H,'EEFF 2022'!$B11)</f>
        <v>0</v>
      </c>
      <c r="V11" s="115">
        <f>SUMIFS(wallet_records!$D:$D,wallet_records!$B:$B,'EEFF 2022'!$C11,wallet_records!$L:$L,'EEFF 2022'!V$3,wallet_records!$O:$O,'EEFF 2022'!$B$1,wallet_records!$N:$N,'EEFF 2022'!V$2,wallet_records!$H:$H,'EEFF 2022'!$B11)</f>
        <v>0</v>
      </c>
      <c r="W11" s="115">
        <f>SUMIFS(wallet_records!$D:$D,wallet_records!$B:$B,'EEFF 2022'!$C11,wallet_records!$L:$L,'EEFF 2022'!W$3,wallet_records!$O:$O,'EEFF 2022'!$B$1,wallet_records!$N:$N,'EEFF 2022'!W$2,wallet_records!$H:$H,'EEFF 2022'!$B11)</f>
        <v>0</v>
      </c>
      <c r="X11" s="116">
        <f t="shared" si="21"/>
        <v>0</v>
      </c>
      <c r="Y11" s="115">
        <f>SUMIFS(wallet_records!$D:$D,wallet_records!$B:$B,'EEFF 2022'!$C11,wallet_records!$L:$L,'EEFF 2022'!Y$3,wallet_records!$O:$O,'EEFF 2022'!$B$1,wallet_records!$N:$N,'EEFF 2022'!Y$2,wallet_records!$H:$H,'EEFF 2022'!$B11)</f>
        <v>0</v>
      </c>
      <c r="Z11" s="115">
        <f>SUMIFS(wallet_records!$D:$D,wallet_records!$B:$B,'EEFF 2022'!$C11,wallet_records!$L:$L,'EEFF 2022'!Z$3,wallet_records!$O:$O,'EEFF 2022'!$B$1,wallet_records!$N:$N,'EEFF 2022'!Z$2,wallet_records!$H:$H,'EEFF 2022'!$B11)</f>
        <v>0</v>
      </c>
      <c r="AA11" s="115">
        <f>SUMIFS(wallet_records!$D:$D,wallet_records!$B:$B,'EEFF 2022'!$C11,wallet_records!$L:$L,'EEFF 2022'!AA$3,wallet_records!$O:$O,'EEFF 2022'!$B$1,wallet_records!$N:$N,'EEFF 2022'!AA$2,wallet_records!$H:$H,'EEFF 2022'!$B11)</f>
        <v>314205</v>
      </c>
      <c r="AB11" s="115">
        <f>SUMIFS(wallet_records!$D:$D,wallet_records!$B:$B,'EEFF 2022'!$C11,wallet_records!$L:$L,'EEFF 2022'!AB$3,wallet_records!$O:$O,'EEFF 2022'!$B$1,wallet_records!$N:$N,'EEFF 2022'!AB$2,wallet_records!$H:$H,'EEFF 2022'!$B11)</f>
        <v>0</v>
      </c>
      <c r="AC11" s="115">
        <f>SUMIFS(wallet_records!$D:$D,wallet_records!$B:$B,'EEFF 2022'!$C11,wallet_records!$L:$L,'EEFF 2022'!AC$3,wallet_records!$O:$O,'EEFF 2022'!$B$1,wallet_records!$N:$N,'EEFF 2022'!AC$2,wallet_records!$H:$H,'EEFF 2022'!$B11)</f>
        <v>173200</v>
      </c>
      <c r="AD11" s="115">
        <f>SUMIFS(wallet_records!$D:$D,wallet_records!$B:$B,'EEFF 2022'!$C11,wallet_records!$L:$L,'EEFF 2022'!AD$3,wallet_records!$O:$O,'EEFF 2022'!$B$1,wallet_records!$N:$N,'EEFF 2022'!AD$2,wallet_records!$H:$H,'EEFF 2022'!$B11)</f>
        <v>0</v>
      </c>
      <c r="AE11" s="116">
        <f t="shared" si="22"/>
        <v>487405</v>
      </c>
      <c r="AF11" s="115">
        <f>SUMIFS(wallet_records!$D:$D,wallet_records!$B:$B,'EEFF 2022'!$C11,wallet_records!$L:$L,'EEFF 2022'!AF$3,wallet_records!$O:$O,'EEFF 2022'!$B$1,wallet_records!$N:$N,'EEFF 2022'!AF$2,wallet_records!$H:$H,'EEFF 2022'!$B11)</f>
        <v>228000</v>
      </c>
      <c r="AG11" s="115">
        <f>SUMIFS(wallet_records!$D:$D,wallet_records!$B:$B,'EEFF 2022'!$C11,wallet_records!$L:$L,'EEFF 2022'!AG$3,wallet_records!$O:$O,'EEFF 2022'!$B$1,wallet_records!$N:$N,'EEFF 2022'!AG$2,wallet_records!$H:$H,'EEFF 2022'!$B11)</f>
        <v>0</v>
      </c>
      <c r="AH11" s="115">
        <f>SUMIFS(wallet_records!$D:$D,wallet_records!$B:$B,'EEFF 2022'!$C11,wallet_records!$L:$L,'EEFF 2022'!AH$3,wallet_records!$O:$O,'EEFF 2022'!$B$1,wallet_records!$N:$N,'EEFF 2022'!AH$2,wallet_records!$H:$H,'EEFF 2022'!$B11)</f>
        <v>330205</v>
      </c>
      <c r="AI11" s="115">
        <f>SUMIFS(wallet_records!$D:$D,wallet_records!$B:$B,'EEFF 2022'!$C11,wallet_records!$L:$L,'EEFF 2022'!AI$3,wallet_records!$O:$O,'EEFF 2022'!$B$1,wallet_records!$N:$N,'EEFF 2022'!AI$2,wallet_records!$H:$H,'EEFF 2022'!$B11)</f>
        <v>0</v>
      </c>
      <c r="AJ11" s="115">
        <f>SUMIFS(wallet_records!$D:$D,wallet_records!$B:$B,'EEFF 2022'!$C11,wallet_records!$L:$L,'EEFF 2022'!AJ$3,wallet_records!$O:$O,'EEFF 2022'!$B$1,wallet_records!$N:$N,'EEFF 2022'!AJ$2,wallet_records!$H:$H,'EEFF 2022'!$B11)</f>
        <v>0</v>
      </c>
      <c r="AK11" s="115">
        <f>SUMIFS(wallet_records!$D:$D,wallet_records!$B:$B,'EEFF 2022'!$C11,wallet_records!$L:$L,'EEFF 2022'!AK$3,wallet_records!$O:$O,'EEFF 2022'!$B$1,wallet_records!$N:$N,'EEFF 2022'!AK$2,wallet_records!$H:$H,'EEFF 2022'!$B11)</f>
        <v>0</v>
      </c>
      <c r="AL11" s="116">
        <f t="shared" si="23"/>
        <v>558205</v>
      </c>
      <c r="AM11" s="115">
        <f>SUMIFS(wallet_records!$D:$D,wallet_records!$B:$B,'EEFF 2022'!$C11,wallet_records!$L:$L,'EEFF 2022'!AM$3,wallet_records!$O:$O,'EEFF 2022'!$B$1,wallet_records!$N:$N,'EEFF 2022'!AM$2,wallet_records!$H:$H,'EEFF 2022'!$B11)</f>
        <v>0</v>
      </c>
      <c r="AN11" s="115">
        <f>SUMIFS(wallet_records!$D:$D,wallet_records!$B:$B,'EEFF 2022'!$C11,wallet_records!$L:$L,'EEFF 2022'!AN$3,wallet_records!$O:$O,'EEFF 2022'!$B$1,wallet_records!$N:$N,'EEFF 2022'!AN$2,wallet_records!$H:$H,'EEFF 2022'!$B11)</f>
        <v>0</v>
      </c>
      <c r="AO11" s="115">
        <f>SUMIFS(wallet_records!$D:$D,wallet_records!$B:$B,'EEFF 2022'!$C11,wallet_records!$L:$L,'EEFF 2022'!AO$3,wallet_records!$O:$O,'EEFF 2022'!$B$1,wallet_records!$N:$N,'EEFF 2022'!AO$2,wallet_records!$H:$H,'EEFF 2022'!$B11)</f>
        <v>330205</v>
      </c>
      <c r="AP11" s="115">
        <f>SUMIFS(wallet_records!$D:$D,wallet_records!$B:$B,'EEFF 2022'!$C11,wallet_records!$L:$L,'EEFF 2022'!AP$3,wallet_records!$O:$O,'EEFF 2022'!$B$1,wallet_records!$N:$N,'EEFF 2022'!AP$2,wallet_records!$H:$H,'EEFF 2022'!$B11)</f>
        <v>0</v>
      </c>
      <c r="AQ11" s="115">
        <f>SUMIFS(wallet_records!$D:$D,wallet_records!$B:$B,'EEFF 2022'!$C11,wallet_records!$L:$L,'EEFF 2022'!AQ$3,wallet_records!$O:$O,'EEFF 2022'!$B$1,wallet_records!$N:$N,'EEFF 2022'!AQ$2,wallet_records!$H:$H,'EEFF 2022'!$B11)</f>
        <v>346400</v>
      </c>
      <c r="AR11" s="115">
        <f>SUMIFS(wallet_records!$D:$D,wallet_records!$B:$B,'EEFF 2022'!$C11,wallet_records!$L:$L,'EEFF 2022'!AR$3,wallet_records!$O:$O,'EEFF 2022'!$B$1,wallet_records!$N:$N,'EEFF 2022'!AR$2,wallet_records!$H:$H,'EEFF 2022'!$B11)</f>
        <v>0</v>
      </c>
      <c r="AS11" s="116">
        <f t="shared" si="24"/>
        <v>676605</v>
      </c>
      <c r="AT11" s="115">
        <f>SUMIFS(wallet_records!$D:$D,wallet_records!$B:$B,'EEFF 2022'!$C11,wallet_records!$L:$L,'EEFF 2022'!AT$3,wallet_records!$O:$O,'EEFF 2022'!$B$1,wallet_records!$N:$N,'EEFF 2022'!AT$2,wallet_records!$H:$H,'EEFF 2022'!$B11)</f>
        <v>114000</v>
      </c>
      <c r="AU11" s="115">
        <f>SUMIFS(wallet_records!$D:$D,wallet_records!$B:$B,'EEFF 2022'!$C11,wallet_records!$L:$L,'EEFF 2022'!AU$3,wallet_records!$O:$O,'EEFF 2022'!$B$1,wallet_records!$N:$N,'EEFF 2022'!AU$2,wallet_records!$H:$H,'EEFF 2022'!$B11)</f>
        <v>0</v>
      </c>
      <c r="AV11" s="115">
        <f>SUMIFS(wallet_records!$D:$D,wallet_records!$B:$B,'EEFF 2022'!$C11,wallet_records!$L:$L,'EEFF 2022'!AV$3,wallet_records!$O:$O,'EEFF 2022'!$B$1,wallet_records!$N:$N,'EEFF 2022'!AV$2,wallet_records!$H:$H,'EEFF 2022'!$B11)</f>
        <v>330205</v>
      </c>
      <c r="AW11" s="115">
        <f>SUMIFS(wallet_records!$D:$D,wallet_records!$B:$B,'EEFF 2022'!$C11,wallet_records!$L:$L,'EEFF 2022'!AW$3,wallet_records!$O:$O,'EEFF 2022'!$B$1,wallet_records!$N:$N,'EEFF 2022'!AW$2,wallet_records!$H:$H,'EEFF 2022'!$B11)</f>
        <v>0</v>
      </c>
      <c r="AX11" s="115">
        <f>SUMIFS(wallet_records!$D:$D,wallet_records!$B:$B,'EEFF 2022'!$C11,wallet_records!$L:$L,'EEFF 2022'!AX$3,wallet_records!$O:$O,'EEFF 2022'!$B$1,wallet_records!$N:$N,'EEFF 2022'!AX$2,wallet_records!$H:$H,'EEFF 2022'!$B11)</f>
        <v>173200</v>
      </c>
      <c r="AY11" s="115">
        <f>SUMIFS(wallet_records!$D:$D,wallet_records!$B:$B,'EEFF 2022'!$C11,wallet_records!$L:$L,'EEFF 2022'!AY$3,wallet_records!$O:$O,'EEFF 2022'!$B$1,wallet_records!$N:$N,'EEFF 2022'!AY$2,wallet_records!$H:$H,'EEFF 2022'!$B11)</f>
        <v>0</v>
      </c>
      <c r="AZ11" s="116">
        <f t="shared" si="25"/>
        <v>617405</v>
      </c>
      <c r="BA11" s="115">
        <f>SUMIFS(wallet_records!$D:$D,wallet_records!$B:$B,'EEFF 2022'!$C11,wallet_records!$L:$L,'EEFF 2022'!BA$3,wallet_records!$O:$O,'EEFF 2022'!$B$1,wallet_records!$N:$N,'EEFF 2022'!BA$2,wallet_records!$H:$H,'EEFF 2022'!$B11)</f>
        <v>114000</v>
      </c>
      <c r="BB11" s="115">
        <f>SUMIFS(wallet_records!$D:$D,wallet_records!$B:$B,'EEFF 2022'!$C11,wallet_records!$L:$L,'EEFF 2022'!BB$3,wallet_records!$O:$O,'EEFF 2022'!$B$1,wallet_records!$N:$N,'EEFF 2022'!BB$2,wallet_records!$H:$H,'EEFF 2022'!$B11)</f>
        <v>0</v>
      </c>
      <c r="BC11" s="115">
        <f>SUMIFS(wallet_records!$D:$D,wallet_records!$B:$B,'EEFF 2022'!$C11,wallet_records!$L:$L,'EEFF 2022'!BC$3,wallet_records!$O:$O,'EEFF 2022'!$B$1,wallet_records!$N:$N,'EEFF 2022'!BC$2,wallet_records!$H:$H,'EEFF 2022'!$B11)</f>
        <v>1373269</v>
      </c>
      <c r="BD11" s="115">
        <f>SUMIFS(wallet_records!$D:$D,wallet_records!$B:$B,'EEFF 2022'!$C11,wallet_records!$L:$L,'EEFF 2022'!BD$3,wallet_records!$O:$O,'EEFF 2022'!$B$1,wallet_records!$N:$N,'EEFF 2022'!BD$2,wallet_records!$H:$H,'EEFF 2022'!$B11)</f>
        <v>0</v>
      </c>
      <c r="BE11" s="115">
        <f>SUMIFS(wallet_records!$D:$D,wallet_records!$B:$B,'EEFF 2022'!$C11,wallet_records!$L:$L,'EEFF 2022'!BE$3,wallet_records!$O:$O,'EEFF 2022'!$B$1,wallet_records!$N:$N,'EEFF 2022'!BE$2,wallet_records!$H:$H,'EEFF 2022'!$B11)</f>
        <v>173200</v>
      </c>
      <c r="BF11" s="115">
        <f>SUMIFS(wallet_records!$D:$D,wallet_records!$B:$B,'EEFF 2022'!$C11,wallet_records!$L:$L,'EEFF 2022'!BF$3,wallet_records!$O:$O,'EEFF 2022'!$B$1,wallet_records!$N:$N,'EEFF 2022'!BF$2,wallet_records!$H:$H,'EEFF 2022'!$B11)</f>
        <v>0</v>
      </c>
      <c r="BG11" s="116">
        <f t="shared" si="26"/>
        <v>1660469</v>
      </c>
      <c r="BH11" s="115">
        <f>SUMIFS(wallet_records!$D:$D,wallet_records!$B:$B,'EEFF 2022'!$C11,wallet_records!$L:$L,'EEFF 2022'!BH$3,wallet_records!$O:$O,'EEFF 2022'!$B$1,wallet_records!$N:$N,'EEFF 2022'!BH$2,wallet_records!$H:$H,'EEFF 2022'!$B11)</f>
        <v>114000</v>
      </c>
      <c r="BI11" s="115">
        <f>SUMIFS(wallet_records!$D:$D,wallet_records!$B:$B,'EEFF 2022'!$C11,wallet_records!$L:$L,'EEFF 2022'!BI$3,wallet_records!$O:$O,'EEFF 2022'!$B$1,wallet_records!$N:$N,'EEFF 2022'!BI$2,wallet_records!$H:$H,'EEFF 2022'!$B11)</f>
        <v>0</v>
      </c>
      <c r="BJ11" s="115">
        <f>SUMIFS(wallet_records!$D:$D,wallet_records!$B:$B,'EEFF 2022'!$C11,wallet_records!$L:$L,'EEFF 2022'!BJ$3,wallet_records!$O:$O,'EEFF 2022'!$B$1,wallet_records!$N:$N,'EEFF 2022'!BJ$2,wallet_records!$H:$H,'EEFF 2022'!$B11)</f>
        <v>330202</v>
      </c>
      <c r="BK11" s="115">
        <f>SUMIFS(wallet_records!$D:$D,wallet_records!$B:$B,'EEFF 2022'!$C11,wallet_records!$L:$L,'EEFF 2022'!BK$3,wallet_records!$O:$O,'EEFF 2022'!$B$1,wallet_records!$N:$N,'EEFF 2022'!BK$2,wallet_records!$H:$H,'EEFF 2022'!$B11)</f>
        <v>0</v>
      </c>
      <c r="BL11" s="115">
        <f>SUMIFS(wallet_records!$D:$D,wallet_records!$B:$B,'EEFF 2022'!$C11,wallet_records!$L:$L,'EEFF 2022'!BL$3,wallet_records!$O:$O,'EEFF 2022'!$B$1,wallet_records!$N:$N,'EEFF 2022'!BL$2,wallet_records!$H:$H,'EEFF 2022'!$B11)</f>
        <v>0</v>
      </c>
      <c r="BM11" s="115">
        <f>SUMIFS(wallet_records!$D:$D,wallet_records!$B:$B,'EEFF 2022'!$C11,wallet_records!$L:$L,'EEFF 2022'!BM$3,wallet_records!$O:$O,'EEFF 2022'!$B$1,wallet_records!$N:$N,'EEFF 2022'!BM$2,wallet_records!$H:$H,'EEFF 2022'!$B11)</f>
        <v>0</v>
      </c>
      <c r="BN11" s="116">
        <f t="shared" si="27"/>
        <v>444202</v>
      </c>
      <c r="BO11" s="115">
        <f>SUMIFS(wallet_records!$D:$D,wallet_records!$B:$B,'EEFF 2022'!$C11,wallet_records!$L:$L,'EEFF 2022'!BO$3,wallet_records!$O:$O,'EEFF 2022'!$B$1,wallet_records!$N:$N,'EEFF 2022'!BO$2,wallet_records!$H:$H,'EEFF 2022'!$B11)</f>
        <v>114000</v>
      </c>
      <c r="BP11" s="115">
        <f>SUMIFS(wallet_records!$D:$D,wallet_records!$B:$B,'EEFF 2022'!$C11,wallet_records!$L:$L,'EEFF 2022'!BP$3,wallet_records!$O:$O,'EEFF 2022'!$B$1,wallet_records!$N:$N,'EEFF 2022'!BP$2,wallet_records!$H:$H,'EEFF 2022'!$B11)</f>
        <v>0</v>
      </c>
      <c r="BQ11" s="115">
        <f>SUMIFS(wallet_records!$D:$D,wallet_records!$B:$B,'EEFF 2022'!$C11,wallet_records!$L:$L,'EEFF 2022'!BQ$3,wallet_records!$O:$O,'EEFF 2022'!$B$1,wallet_records!$N:$N,'EEFF 2022'!BQ$2,wallet_records!$H:$H,'EEFF 2022'!$B11)</f>
        <v>330205</v>
      </c>
      <c r="BR11" s="115">
        <f>SUMIFS(wallet_records!$D:$D,wallet_records!$B:$B,'EEFF 2022'!$C11,wallet_records!$L:$L,'EEFF 2022'!BR$3,wallet_records!$O:$O,'EEFF 2022'!$B$1,wallet_records!$N:$N,'EEFF 2022'!BR$2,wallet_records!$H:$H,'EEFF 2022'!$B11)</f>
        <v>0</v>
      </c>
      <c r="BS11" s="115">
        <f>SUMIFS(wallet_records!$D:$D,wallet_records!$B:$B,'EEFF 2022'!$C11,wallet_records!$L:$L,'EEFF 2022'!BS$3,wallet_records!$O:$O,'EEFF 2022'!$B$1,wallet_records!$N:$N,'EEFF 2022'!BS$2,wallet_records!$H:$H,'EEFF 2022'!$B11)</f>
        <v>346400</v>
      </c>
      <c r="BT11" s="115">
        <f>SUMIFS(wallet_records!$D:$D,wallet_records!$B:$B,'EEFF 2022'!$C11,wallet_records!$L:$L,'EEFF 2022'!BT$3,wallet_records!$O:$O,'EEFF 2022'!$B$1,wallet_records!$N:$N,'EEFF 2022'!BT$2,wallet_records!$H:$H,'EEFF 2022'!$B11)</f>
        <v>0</v>
      </c>
      <c r="BU11" s="116">
        <f t="shared" si="28"/>
        <v>790605</v>
      </c>
      <c r="BV11" s="115">
        <f>SUMIFS(wallet_records!$D:$D,wallet_records!$B:$B,'EEFF 2022'!$C11,wallet_records!$L:$L,'EEFF 2022'!BV$3,wallet_records!$O:$O,'EEFF 2022'!$B$1,wallet_records!$N:$N,'EEFF 2022'!BV$2,wallet_records!$H:$H,'EEFF 2022'!$B11)</f>
        <v>114000</v>
      </c>
      <c r="BW11" s="115">
        <f>SUMIFS(wallet_records!$D:$D,wallet_records!$B:$B,'EEFF 2022'!$C11,wallet_records!$L:$L,'EEFF 2022'!BW$3,wallet_records!$O:$O,'EEFF 2022'!$B$1,wallet_records!$N:$N,'EEFF 2022'!BW$2,wallet_records!$H:$H,'EEFF 2022'!$B11)</f>
        <v>0</v>
      </c>
      <c r="BX11" s="115">
        <f>SUMIFS(wallet_records!$D:$D,wallet_records!$B:$B,'EEFF 2022'!$C11,wallet_records!$L:$L,'EEFF 2022'!BX$3,wallet_records!$O:$O,'EEFF 2022'!$B$1,wallet_records!$N:$N,'EEFF 2022'!BX$2,wallet_records!$H:$H,'EEFF 2022'!$B11)</f>
        <v>330205</v>
      </c>
      <c r="BY11" s="115">
        <f>SUMIFS(wallet_records!$D:$D,wallet_records!$B:$B,'EEFF 2022'!$C11,wallet_records!$L:$L,'EEFF 2022'!BY$3,wallet_records!$O:$O,'EEFF 2022'!$B$1,wallet_records!$N:$N,'EEFF 2022'!BY$2,wallet_records!$H:$H,'EEFF 2022'!$B11)</f>
        <v>0</v>
      </c>
      <c r="BZ11" s="115">
        <f>SUMIFS(wallet_records!$D:$D,wallet_records!$B:$B,'EEFF 2022'!$C11,wallet_records!$L:$L,'EEFF 2022'!BZ$3,wallet_records!$O:$O,'EEFF 2022'!$B$1,wallet_records!$N:$N,'EEFF 2022'!BZ$2,wallet_records!$H:$H,'EEFF 2022'!$B11)</f>
        <v>173200</v>
      </c>
      <c r="CA11" s="115">
        <f>SUMIFS(wallet_records!$D:$D,wallet_records!$B:$B,'EEFF 2022'!$C11,wallet_records!$L:$L,'EEFF 2022'!CA$3,wallet_records!$O:$O,'EEFF 2022'!$B$1,wallet_records!$N:$N,'EEFF 2022'!CA$2,wallet_records!$H:$H,'EEFF 2022'!$B11)</f>
        <v>0</v>
      </c>
      <c r="CB11" s="116">
        <f t="shared" si="29"/>
        <v>617405</v>
      </c>
      <c r="CC11" s="115">
        <f>SUMIFS(wallet_records!$D:$D,wallet_records!$B:$B,'EEFF 2022'!$C11,wallet_records!$L:$L,'EEFF 2022'!CC$3,wallet_records!$O:$O,'EEFF 2022'!$B$1,wallet_records!$N:$N,'EEFF 2022'!CC$2,wallet_records!$H:$H,'EEFF 2022'!$B11)</f>
        <v>114000</v>
      </c>
      <c r="CD11" s="115">
        <f>SUMIFS(wallet_records!$D:$D,wallet_records!$B:$B,'EEFF 2022'!$C11,wallet_records!$L:$L,'EEFF 2022'!CD$3,wallet_records!$O:$O,'EEFF 2022'!$B$1,wallet_records!$N:$N,'EEFF 2022'!CD$2,wallet_records!$H:$H,'EEFF 2022'!$B11)</f>
        <v>0</v>
      </c>
      <c r="CE11" s="115">
        <f>SUMIFS(wallet_records!$D:$D,wallet_records!$B:$B,'EEFF 2022'!$C11,wallet_records!$L:$L,'EEFF 2022'!CE$3,wallet_records!$O:$O,'EEFF 2022'!$B$1,wallet_records!$N:$N,'EEFF 2022'!CE$2,wallet_records!$H:$H,'EEFF 2022'!$B11)</f>
        <v>330205</v>
      </c>
      <c r="CF11" s="115">
        <f>SUMIFS(wallet_records!$D:$D,wallet_records!$B:$B,'EEFF 2022'!$C11,wallet_records!$L:$L,'EEFF 2022'!CF$3,wallet_records!$O:$O,'EEFF 2022'!$B$1,wallet_records!$N:$N,'EEFF 2022'!CF$2,wallet_records!$H:$H,'EEFF 2022'!$B11)</f>
        <v>0</v>
      </c>
      <c r="CG11" s="115">
        <f>SUMIFS(wallet_records!$D:$D,wallet_records!$B:$B,'EEFF 2022'!$C11,wallet_records!$L:$L,'EEFF 2022'!CG$3,wallet_records!$O:$O,'EEFF 2022'!$B$1,wallet_records!$N:$N,'EEFF 2022'!CG$2,wallet_records!$H:$H,'EEFF 2022'!$B11)</f>
        <v>0</v>
      </c>
      <c r="CH11" s="115">
        <f>SUMIFS(wallet_records!$D:$D,wallet_records!$B:$B,'EEFF 2022'!$C11,wallet_records!$L:$L,'EEFF 2022'!CH$3,wallet_records!$O:$O,'EEFF 2022'!$B$1,wallet_records!$N:$N,'EEFF 2022'!CH$2,wallet_records!$H:$H,'EEFF 2022'!$B11)</f>
        <v>0</v>
      </c>
      <c r="CI11" s="116">
        <f t="shared" si="30"/>
        <v>444205</v>
      </c>
      <c r="CJ11" s="115">
        <f>SUMIFS(wallet_records!$D:$D,wallet_records!$B:$B,'EEFF 2022'!$C11,wallet_records!$L:$L,'EEFF 2022'!CJ$3,wallet_records!$O:$O,'EEFF 2022'!$B$1,wallet_records!$H:$H,'EEFF 2022'!$B11)</f>
        <v>912000</v>
      </c>
      <c r="CK11" s="115">
        <f>SUMIFS(wallet_records!$D:$D,wallet_records!$B:$B,'EEFF 2022'!$C11,wallet_records!$L:$L,'EEFF 2022'!CK$3,wallet_records!$O:$O,'EEFF 2022'!$B$1,wallet_records!$H:$H,'EEFF 2022'!$B11)</f>
        <v>0</v>
      </c>
      <c r="CL11" s="115">
        <f>SUMIFS(wallet_records!$D:$D,wallet_records!$B:$B,'EEFF 2022'!$C11,wallet_records!$L:$L,'EEFF 2022'!CL$3,wallet_records!$O:$O,'EEFF 2022'!$B$1,wallet_records!$H:$H,'EEFF 2022'!$B11)</f>
        <v>3998906</v>
      </c>
      <c r="CM11" s="115">
        <f>SUMIFS(wallet_records!$D:$D,wallet_records!$B:$B,'EEFF 2022'!$C11,wallet_records!$L:$L,'EEFF 2022'!CM$3,wallet_records!$O:$O,'EEFF 2022'!$B$1,wallet_records!$H:$H,'EEFF 2022'!$B11)</f>
        <v>0</v>
      </c>
      <c r="CN11" s="115">
        <f>SUMIFS(wallet_records!$D:$D,wallet_records!$B:$B,'EEFF 2022'!$C11,wallet_records!$L:$L,'EEFF 2022'!CN$3,wallet_records!$O:$O,'EEFF 2022'!$B$1,wallet_records!$H:$H,'EEFF 2022'!$B11)</f>
        <v>1385600</v>
      </c>
      <c r="CO11" s="115">
        <f>SUMIFS(wallet_records!$D:$D,wallet_records!$B:$B,'EEFF 2022'!$C11,wallet_records!$L:$L,'EEFF 2022'!CO$3,wallet_records!$O:$O,'EEFF 2022'!$B$1,wallet_records!$H:$H,'EEFF 2022'!$B11)</f>
        <v>0</v>
      </c>
      <c r="CP11" s="116">
        <f t="shared" si="31"/>
        <v>6296506</v>
      </c>
      <c r="CQ11" s="107"/>
      <c r="CR11" s="118"/>
      <c r="CS11" s="118"/>
      <c r="CT11" s="118"/>
      <c r="CU11" s="118">
        <f t="shared" si="0"/>
        <v>0.20266320166320168</v>
      </c>
      <c r="CV11" s="118">
        <f t="shared" si="1"/>
        <v>0.15251502732240438</v>
      </c>
      <c r="CW11" s="118">
        <f t="shared" si="2"/>
        <v>0.16033293838862558</v>
      </c>
      <c r="CX11" s="118">
        <f t="shared" si="3"/>
        <v>0.18158970588235293</v>
      </c>
      <c r="CY11" s="118">
        <f t="shared" si="4"/>
        <v>0.40302645631067963</v>
      </c>
      <c r="CZ11" s="118">
        <f t="shared" si="5"/>
        <v>0.20191000000000001</v>
      </c>
      <c r="DA11" s="118">
        <f t="shared" si="6"/>
        <v>0.14860996240601504</v>
      </c>
      <c r="DB11" s="118">
        <f t="shared" si="7"/>
        <v>0.1642034574468085</v>
      </c>
      <c r="DC11" s="118">
        <f t="shared" si="8"/>
        <v>0.16699436090225564</v>
      </c>
    </row>
    <row r="12" spans="2:120" x14ac:dyDescent="0.2">
      <c r="B12" s="107" t="s">
        <v>508</v>
      </c>
      <c r="C12" s="191" t="s">
        <v>154</v>
      </c>
      <c r="D12" s="115"/>
      <c r="E12" s="115"/>
      <c r="F12" s="115"/>
      <c r="G12" s="115"/>
      <c r="H12" s="115"/>
      <c r="I12" s="115"/>
      <c r="J12" s="116"/>
      <c r="K12" s="115"/>
      <c r="L12" s="115"/>
      <c r="M12" s="115"/>
      <c r="N12" s="115"/>
      <c r="O12" s="115"/>
      <c r="P12" s="115"/>
      <c r="Q12" s="116"/>
      <c r="R12" s="115">
        <f>SUMIFS(wallet_records!$D:$D,wallet_records!$B:$B,'EEFF 2022'!$C12,wallet_records!$L:$L,'EEFF 2022'!R$3,wallet_records!$O:$O,'EEFF 2022'!$B$1,wallet_records!$N:$N,'EEFF 2022'!R$2,wallet_records!$H:$H,'EEFF 2022'!$B12)</f>
        <v>0</v>
      </c>
      <c r="S12" s="115">
        <f>SUMIFS(wallet_records!$D:$D,wallet_records!$B:$B,'EEFF 2022'!$C12,wallet_records!$L:$L,'EEFF 2022'!S$3,wallet_records!$O:$O,'EEFF 2022'!$B$1,wallet_records!$N:$N,'EEFF 2022'!S$2,wallet_records!$H:$H,'EEFF 2022'!$B12)</f>
        <v>0</v>
      </c>
      <c r="T12" s="115">
        <f>SUMIFS(wallet_records!$D:$D,wallet_records!$B:$B,'EEFF 2022'!$C12,wallet_records!$L:$L,'EEFF 2022'!T$3,wallet_records!$O:$O,'EEFF 2022'!$B$1,wallet_records!$N:$N,'EEFF 2022'!T$2,wallet_records!$H:$H,'EEFF 2022'!$B12)</f>
        <v>0</v>
      </c>
      <c r="U12" s="115">
        <f>SUMIFS(wallet_records!$D:$D,wallet_records!$B:$B,'EEFF 2022'!$C12,wallet_records!$L:$L,'EEFF 2022'!U$3,wallet_records!$O:$O,'EEFF 2022'!$B$1,wallet_records!$N:$N,'EEFF 2022'!U$2,wallet_records!$H:$H,'EEFF 2022'!$B12)</f>
        <v>0</v>
      </c>
      <c r="V12" s="115">
        <f>SUMIFS(wallet_records!$D:$D,wallet_records!$B:$B,'EEFF 2022'!$C12,wallet_records!$L:$L,'EEFF 2022'!V$3,wallet_records!$O:$O,'EEFF 2022'!$B$1,wallet_records!$N:$N,'EEFF 2022'!V$2,wallet_records!$H:$H,'EEFF 2022'!$B12)</f>
        <v>0</v>
      </c>
      <c r="W12" s="115">
        <f>SUMIFS(wallet_records!$D:$D,wallet_records!$B:$B,'EEFF 2022'!$C12,wallet_records!$L:$L,'EEFF 2022'!W$3,wallet_records!$O:$O,'EEFF 2022'!$B$1,wallet_records!$N:$N,'EEFF 2022'!W$2,wallet_records!$H:$H,'EEFF 2022'!$B12)</f>
        <v>0</v>
      </c>
      <c r="X12" s="116">
        <f t="shared" si="21"/>
        <v>0</v>
      </c>
      <c r="Y12" s="115">
        <f>SUMIFS(wallet_records!$D:$D,wallet_records!$B:$B,'EEFF 2022'!$C12,wallet_records!$L:$L,'EEFF 2022'!Y$3,wallet_records!$O:$O,'EEFF 2022'!$B$1,wallet_records!$N:$N,'EEFF 2022'!Y$2,wallet_records!$H:$H,'EEFF 2022'!$B12)</f>
        <v>0</v>
      </c>
      <c r="Z12" s="115">
        <f>SUMIFS(wallet_records!$D:$D,wallet_records!$B:$B,'EEFF 2022'!$C12,wallet_records!$L:$L,'EEFF 2022'!Z$3,wallet_records!$O:$O,'EEFF 2022'!$B$1,wallet_records!$N:$N,'EEFF 2022'!Z$2,wallet_records!$H:$H,'EEFF 2022'!$B12)</f>
        <v>0</v>
      </c>
      <c r="AA12" s="115">
        <f>SUMIFS(wallet_records!$D:$D,wallet_records!$B:$B,'EEFF 2022'!$C12,wallet_records!$L:$L,'EEFF 2022'!AA$3,wallet_records!$O:$O,'EEFF 2022'!$B$1,wallet_records!$N:$N,'EEFF 2022'!AA$2,wallet_records!$H:$H,'EEFF 2022'!$B12)</f>
        <v>0</v>
      </c>
      <c r="AB12" s="115">
        <f>SUMIFS(wallet_records!$D:$D,wallet_records!$B:$B,'EEFF 2022'!$C12,wallet_records!$L:$L,'EEFF 2022'!AB$3,wallet_records!$O:$O,'EEFF 2022'!$B$1,wallet_records!$N:$N,'EEFF 2022'!AB$2,wallet_records!$H:$H,'EEFF 2022'!$B12)</f>
        <v>0</v>
      </c>
      <c r="AC12" s="115">
        <f>SUMIFS(wallet_records!$D:$D,wallet_records!$B:$B,'EEFF 2022'!$C12,wallet_records!$L:$L,'EEFF 2022'!AC$3,wallet_records!$O:$O,'EEFF 2022'!$B$1,wallet_records!$N:$N,'EEFF 2022'!AC$2,wallet_records!$H:$H,'EEFF 2022'!$B12)</f>
        <v>0</v>
      </c>
      <c r="AD12" s="115">
        <f>SUMIFS(wallet_records!$D:$D,wallet_records!$B:$B,'EEFF 2022'!$C12,wallet_records!$L:$L,'EEFF 2022'!AD$3,wallet_records!$O:$O,'EEFF 2022'!$B$1,wallet_records!$N:$N,'EEFF 2022'!AD$2,wallet_records!$H:$H,'EEFF 2022'!$B12)</f>
        <v>0</v>
      </c>
      <c r="AE12" s="116">
        <f t="shared" si="22"/>
        <v>0</v>
      </c>
      <c r="AF12" s="115">
        <f>SUMIFS(wallet_records!$D:$D,wallet_records!$B:$B,'EEFF 2022'!$C12,wallet_records!$L:$L,'EEFF 2022'!AF$3,wallet_records!$O:$O,'EEFF 2022'!$B$1,wallet_records!$N:$N,'EEFF 2022'!AF$2,wallet_records!$H:$H,'EEFF 2022'!$B12)</f>
        <v>0</v>
      </c>
      <c r="AG12" s="115">
        <f>SUMIFS(wallet_records!$D:$D,wallet_records!$B:$B,'EEFF 2022'!$C12,wallet_records!$L:$L,'EEFF 2022'!AG$3,wallet_records!$O:$O,'EEFF 2022'!$B$1,wallet_records!$N:$N,'EEFF 2022'!AG$2,wallet_records!$H:$H,'EEFF 2022'!$B12)</f>
        <v>0</v>
      </c>
      <c r="AH12" s="115">
        <f>SUMIFS(wallet_records!$D:$D,wallet_records!$B:$B,'EEFF 2022'!$C12,wallet_records!$L:$L,'EEFF 2022'!AH$3,wallet_records!$O:$O,'EEFF 2022'!$B$1,wallet_records!$N:$N,'EEFF 2022'!AH$2,wallet_records!$H:$H,'EEFF 2022'!$B12)</f>
        <v>0</v>
      </c>
      <c r="AI12" s="115">
        <f>SUMIFS(wallet_records!$D:$D,wallet_records!$B:$B,'EEFF 2022'!$C12,wallet_records!$L:$L,'EEFF 2022'!AI$3,wallet_records!$O:$O,'EEFF 2022'!$B$1,wallet_records!$N:$N,'EEFF 2022'!AI$2,wallet_records!$H:$H,'EEFF 2022'!$B12)</f>
        <v>0</v>
      </c>
      <c r="AJ12" s="115">
        <f>SUMIFS(wallet_records!$D:$D,wallet_records!$B:$B,'EEFF 2022'!$C12,wallet_records!$L:$L,'EEFF 2022'!AJ$3,wallet_records!$O:$O,'EEFF 2022'!$B$1,wallet_records!$N:$N,'EEFF 2022'!AJ$2,wallet_records!$H:$H,'EEFF 2022'!$B12)</f>
        <v>0</v>
      </c>
      <c r="AK12" s="115">
        <f>SUMIFS(wallet_records!$D:$D,wallet_records!$B:$B,'EEFF 2022'!$C12,wallet_records!$L:$L,'EEFF 2022'!AK$3,wallet_records!$O:$O,'EEFF 2022'!$B$1,wallet_records!$N:$N,'EEFF 2022'!AK$2,wallet_records!$H:$H,'EEFF 2022'!$B12)</f>
        <v>183486</v>
      </c>
      <c r="AL12" s="116">
        <f t="shared" si="23"/>
        <v>183486</v>
      </c>
      <c r="AM12" s="115">
        <f>SUMIFS(wallet_records!$D:$D,wallet_records!$B:$B,'EEFF 2022'!$C12,wallet_records!$L:$L,'EEFF 2022'!AM$3,wallet_records!$O:$O,'EEFF 2022'!$B$1,wallet_records!$N:$N,'EEFF 2022'!AM$2,wallet_records!$H:$H,'EEFF 2022'!$B12)</f>
        <v>0</v>
      </c>
      <c r="AN12" s="115">
        <f>SUMIFS(wallet_records!$D:$D,wallet_records!$B:$B,'EEFF 2022'!$C12,wallet_records!$L:$L,'EEFF 2022'!AN$3,wallet_records!$O:$O,'EEFF 2022'!$B$1,wallet_records!$N:$N,'EEFF 2022'!AN$2,wallet_records!$H:$H,'EEFF 2022'!$B12)</f>
        <v>0</v>
      </c>
      <c r="AO12" s="115">
        <f>SUMIFS(wallet_records!$D:$D,wallet_records!$B:$B,'EEFF 2022'!$C12,wallet_records!$L:$L,'EEFF 2022'!AO$3,wallet_records!$O:$O,'EEFF 2022'!$B$1,wallet_records!$N:$N,'EEFF 2022'!AO$2,wallet_records!$H:$H,'EEFF 2022'!$B12)</f>
        <v>0</v>
      </c>
      <c r="AP12" s="115">
        <f>SUMIFS(wallet_records!$D:$D,wallet_records!$B:$B,'EEFF 2022'!$C12,wallet_records!$L:$L,'EEFF 2022'!AP$3,wallet_records!$O:$O,'EEFF 2022'!$B$1,wallet_records!$N:$N,'EEFF 2022'!AP$2,wallet_records!$H:$H,'EEFF 2022'!$B12)</f>
        <v>0</v>
      </c>
      <c r="AQ12" s="115">
        <f>SUMIFS(wallet_records!$D:$D,wallet_records!$B:$B,'EEFF 2022'!$C12,wallet_records!$L:$L,'EEFF 2022'!AQ$3,wallet_records!$O:$O,'EEFF 2022'!$B$1,wallet_records!$N:$N,'EEFF 2022'!AQ$2,wallet_records!$H:$H,'EEFF 2022'!$B12)</f>
        <v>0</v>
      </c>
      <c r="AR12" s="115">
        <f>SUMIFS(wallet_records!$D:$D,wallet_records!$B:$B,'EEFF 2022'!$C12,wallet_records!$L:$L,'EEFF 2022'!AR$3,wallet_records!$O:$O,'EEFF 2022'!$B$1,wallet_records!$N:$N,'EEFF 2022'!AR$2,wallet_records!$H:$H,'EEFF 2022'!$B12)</f>
        <v>0</v>
      </c>
      <c r="AS12" s="116">
        <f t="shared" si="24"/>
        <v>0</v>
      </c>
      <c r="AT12" s="115">
        <f>SUMIFS(wallet_records!$D:$D,wallet_records!$B:$B,'EEFF 2022'!$C12,wallet_records!$L:$L,'EEFF 2022'!AT$3,wallet_records!$O:$O,'EEFF 2022'!$B$1,wallet_records!$N:$N,'EEFF 2022'!AT$2,wallet_records!$H:$H,'EEFF 2022'!$B12)</f>
        <v>0</v>
      </c>
      <c r="AU12" s="115">
        <f>SUMIFS(wallet_records!$D:$D,wallet_records!$B:$B,'EEFF 2022'!$C12,wallet_records!$L:$L,'EEFF 2022'!AU$3,wallet_records!$O:$O,'EEFF 2022'!$B$1,wallet_records!$N:$N,'EEFF 2022'!AU$2,wallet_records!$H:$H,'EEFF 2022'!$B12)</f>
        <v>0</v>
      </c>
      <c r="AV12" s="115">
        <f>SUMIFS(wallet_records!$D:$D,wallet_records!$B:$B,'EEFF 2022'!$C12,wallet_records!$L:$L,'EEFF 2022'!AV$3,wallet_records!$O:$O,'EEFF 2022'!$B$1,wallet_records!$N:$N,'EEFF 2022'!AV$2,wallet_records!$H:$H,'EEFF 2022'!$B12)</f>
        <v>0</v>
      </c>
      <c r="AW12" s="115">
        <f>SUMIFS(wallet_records!$D:$D,wallet_records!$B:$B,'EEFF 2022'!$C12,wallet_records!$L:$L,'EEFF 2022'!AW$3,wallet_records!$O:$O,'EEFF 2022'!$B$1,wallet_records!$N:$N,'EEFF 2022'!AW$2,wallet_records!$H:$H,'EEFF 2022'!$B12)</f>
        <v>0</v>
      </c>
      <c r="AX12" s="115">
        <f>SUMIFS(wallet_records!$D:$D,wallet_records!$B:$B,'EEFF 2022'!$C12,wallet_records!$L:$L,'EEFF 2022'!AX$3,wallet_records!$O:$O,'EEFF 2022'!$B$1,wallet_records!$N:$N,'EEFF 2022'!AX$2,wallet_records!$H:$H,'EEFF 2022'!$B12)</f>
        <v>0</v>
      </c>
      <c r="AY12" s="115">
        <f>SUMIFS(wallet_records!$D:$D,wallet_records!$B:$B,'EEFF 2022'!$C12,wallet_records!$L:$L,'EEFF 2022'!AY$3,wallet_records!$O:$O,'EEFF 2022'!$B$1,wallet_records!$N:$N,'EEFF 2022'!AY$2,wallet_records!$H:$H,'EEFF 2022'!$B12)</f>
        <v>0</v>
      </c>
      <c r="AZ12" s="116">
        <f t="shared" si="25"/>
        <v>0</v>
      </c>
      <c r="BA12" s="115">
        <f>SUMIFS(wallet_records!$D:$D,wallet_records!$B:$B,'EEFF 2022'!$C12,wallet_records!$L:$L,'EEFF 2022'!BA$3,wallet_records!$O:$O,'EEFF 2022'!$B$1,wallet_records!$N:$N,'EEFF 2022'!BA$2,wallet_records!$H:$H,'EEFF 2022'!$B12)</f>
        <v>0</v>
      </c>
      <c r="BB12" s="115">
        <f>SUMIFS(wallet_records!$D:$D,wallet_records!$B:$B,'EEFF 2022'!$C12,wallet_records!$L:$L,'EEFF 2022'!BB$3,wallet_records!$O:$O,'EEFF 2022'!$B$1,wallet_records!$N:$N,'EEFF 2022'!BB$2,wallet_records!$H:$H,'EEFF 2022'!$B12)</f>
        <v>0</v>
      </c>
      <c r="BC12" s="115">
        <f>SUMIFS(wallet_records!$D:$D,wallet_records!$B:$B,'EEFF 2022'!$C12,wallet_records!$L:$L,'EEFF 2022'!BC$3,wallet_records!$O:$O,'EEFF 2022'!$B$1,wallet_records!$N:$N,'EEFF 2022'!BC$2,wallet_records!$H:$H,'EEFF 2022'!$B12)</f>
        <v>0</v>
      </c>
      <c r="BD12" s="115">
        <f>SUMIFS(wallet_records!$D:$D,wallet_records!$B:$B,'EEFF 2022'!$C12,wallet_records!$L:$L,'EEFF 2022'!BD$3,wallet_records!$O:$O,'EEFF 2022'!$B$1,wallet_records!$N:$N,'EEFF 2022'!BD$2,wallet_records!$H:$H,'EEFF 2022'!$B12)</f>
        <v>0</v>
      </c>
      <c r="BE12" s="115">
        <f>SUMIFS(wallet_records!$D:$D,wallet_records!$B:$B,'EEFF 2022'!$C12,wallet_records!$L:$L,'EEFF 2022'!BE$3,wallet_records!$O:$O,'EEFF 2022'!$B$1,wallet_records!$N:$N,'EEFF 2022'!BE$2,wallet_records!$H:$H,'EEFF 2022'!$B12)</f>
        <v>0</v>
      </c>
      <c r="BF12" s="115">
        <f>SUMIFS(wallet_records!$D:$D,wallet_records!$B:$B,'EEFF 2022'!$C12,wallet_records!$L:$L,'EEFF 2022'!BF$3,wallet_records!$O:$O,'EEFF 2022'!$B$1,wallet_records!$N:$N,'EEFF 2022'!BF$2,wallet_records!$H:$H,'EEFF 2022'!$B12)</f>
        <v>183486</v>
      </c>
      <c r="BG12" s="116">
        <f t="shared" si="26"/>
        <v>183486</v>
      </c>
      <c r="BH12" s="115">
        <f>SUMIFS(wallet_records!$D:$D,wallet_records!$B:$B,'EEFF 2022'!$C12,wallet_records!$L:$L,'EEFF 2022'!BH$3,wallet_records!$O:$O,'EEFF 2022'!$B$1,wallet_records!$N:$N,'EEFF 2022'!BH$2,wallet_records!$H:$H,'EEFF 2022'!$B12)</f>
        <v>0</v>
      </c>
      <c r="BI12" s="115">
        <f>SUMIFS(wallet_records!$D:$D,wallet_records!$B:$B,'EEFF 2022'!$C12,wallet_records!$L:$L,'EEFF 2022'!BI$3,wallet_records!$O:$O,'EEFF 2022'!$B$1,wallet_records!$N:$N,'EEFF 2022'!BI$2,wallet_records!$H:$H,'EEFF 2022'!$B12)</f>
        <v>0</v>
      </c>
      <c r="BJ12" s="115">
        <f>SUMIFS(wallet_records!$D:$D,wallet_records!$B:$B,'EEFF 2022'!$C12,wallet_records!$L:$L,'EEFF 2022'!BJ$3,wallet_records!$O:$O,'EEFF 2022'!$B$1,wallet_records!$N:$N,'EEFF 2022'!BJ$2,wallet_records!$H:$H,'EEFF 2022'!$B12)</f>
        <v>0</v>
      </c>
      <c r="BK12" s="115">
        <f>SUMIFS(wallet_records!$D:$D,wallet_records!$B:$B,'EEFF 2022'!$C12,wallet_records!$L:$L,'EEFF 2022'!BK$3,wallet_records!$O:$O,'EEFF 2022'!$B$1,wallet_records!$N:$N,'EEFF 2022'!BK$2,wallet_records!$H:$H,'EEFF 2022'!$B12)</f>
        <v>0</v>
      </c>
      <c r="BL12" s="115">
        <f>SUMIFS(wallet_records!$D:$D,wallet_records!$B:$B,'EEFF 2022'!$C12,wallet_records!$L:$L,'EEFF 2022'!BL$3,wallet_records!$O:$O,'EEFF 2022'!$B$1,wallet_records!$N:$N,'EEFF 2022'!BL$2,wallet_records!$H:$H,'EEFF 2022'!$B12)</f>
        <v>0</v>
      </c>
      <c r="BM12" s="115">
        <f>SUMIFS(wallet_records!$D:$D,wallet_records!$B:$B,'EEFF 2022'!$C12,wallet_records!$L:$L,'EEFF 2022'!BM$3,wallet_records!$O:$O,'EEFF 2022'!$B$1,wallet_records!$N:$N,'EEFF 2022'!BM$2,wallet_records!$H:$H,'EEFF 2022'!$B12)</f>
        <v>0</v>
      </c>
      <c r="BN12" s="116">
        <f t="shared" si="27"/>
        <v>0</v>
      </c>
      <c r="BO12" s="115">
        <f>SUMIFS(wallet_records!$D:$D,wallet_records!$B:$B,'EEFF 2022'!$C12,wallet_records!$L:$L,'EEFF 2022'!BO$3,wallet_records!$O:$O,'EEFF 2022'!$B$1,wallet_records!$N:$N,'EEFF 2022'!BO$2,wallet_records!$H:$H,'EEFF 2022'!$B12)</f>
        <v>0</v>
      </c>
      <c r="BP12" s="115">
        <f>SUMIFS(wallet_records!$D:$D,wallet_records!$B:$B,'EEFF 2022'!$C12,wallet_records!$L:$L,'EEFF 2022'!BP$3,wallet_records!$O:$O,'EEFF 2022'!$B$1,wallet_records!$N:$N,'EEFF 2022'!BP$2,wallet_records!$H:$H,'EEFF 2022'!$B12)</f>
        <v>0</v>
      </c>
      <c r="BQ12" s="115">
        <f>SUMIFS(wallet_records!$D:$D,wallet_records!$B:$B,'EEFF 2022'!$C12,wallet_records!$L:$L,'EEFF 2022'!BQ$3,wallet_records!$O:$O,'EEFF 2022'!$B$1,wallet_records!$N:$N,'EEFF 2022'!BQ$2,wallet_records!$H:$H,'EEFF 2022'!$B12)</f>
        <v>0</v>
      </c>
      <c r="BR12" s="115">
        <f>SUMIFS(wallet_records!$D:$D,wallet_records!$B:$B,'EEFF 2022'!$C12,wallet_records!$L:$L,'EEFF 2022'!BR$3,wallet_records!$O:$O,'EEFF 2022'!$B$1,wallet_records!$N:$N,'EEFF 2022'!BR$2,wallet_records!$H:$H,'EEFF 2022'!$B12)</f>
        <v>0</v>
      </c>
      <c r="BS12" s="115">
        <f>SUMIFS(wallet_records!$D:$D,wallet_records!$B:$B,'EEFF 2022'!$C12,wallet_records!$L:$L,'EEFF 2022'!BS$3,wallet_records!$O:$O,'EEFF 2022'!$B$1,wallet_records!$N:$N,'EEFF 2022'!BS$2,wallet_records!$H:$H,'EEFF 2022'!$B12)</f>
        <v>0</v>
      </c>
      <c r="BT12" s="115">
        <f>SUMIFS(wallet_records!$D:$D,wallet_records!$B:$B,'EEFF 2022'!$C12,wallet_records!$L:$L,'EEFF 2022'!BT$3,wallet_records!$O:$O,'EEFF 2022'!$B$1,wallet_records!$N:$N,'EEFF 2022'!BT$2,wallet_records!$H:$H,'EEFF 2022'!$B12)</f>
        <v>183486</v>
      </c>
      <c r="BU12" s="116">
        <f t="shared" si="28"/>
        <v>183486</v>
      </c>
      <c r="BV12" s="115">
        <f>SUMIFS(wallet_records!$D:$D,wallet_records!$B:$B,'EEFF 2022'!$C12,wallet_records!$L:$L,'EEFF 2022'!BV$3,wallet_records!$O:$O,'EEFF 2022'!$B$1,wallet_records!$N:$N,'EEFF 2022'!BV$2,wallet_records!$H:$H,'EEFF 2022'!$B12)</f>
        <v>0</v>
      </c>
      <c r="BW12" s="115">
        <f>SUMIFS(wallet_records!$D:$D,wallet_records!$B:$B,'EEFF 2022'!$C12,wallet_records!$L:$L,'EEFF 2022'!BW$3,wallet_records!$O:$O,'EEFF 2022'!$B$1,wallet_records!$N:$N,'EEFF 2022'!BW$2,wallet_records!$H:$H,'EEFF 2022'!$B12)</f>
        <v>0</v>
      </c>
      <c r="BX12" s="115">
        <f>SUMIFS(wallet_records!$D:$D,wallet_records!$B:$B,'EEFF 2022'!$C12,wallet_records!$L:$L,'EEFF 2022'!BX$3,wallet_records!$O:$O,'EEFF 2022'!$B$1,wallet_records!$N:$N,'EEFF 2022'!BX$2,wallet_records!$H:$H,'EEFF 2022'!$B12)</f>
        <v>0</v>
      </c>
      <c r="BY12" s="115">
        <f>SUMIFS(wallet_records!$D:$D,wallet_records!$B:$B,'EEFF 2022'!$C12,wallet_records!$L:$L,'EEFF 2022'!BY$3,wallet_records!$O:$O,'EEFF 2022'!$B$1,wallet_records!$N:$N,'EEFF 2022'!BY$2,wallet_records!$H:$H,'EEFF 2022'!$B12)</f>
        <v>0</v>
      </c>
      <c r="BZ12" s="115">
        <f>SUMIFS(wallet_records!$D:$D,wallet_records!$B:$B,'EEFF 2022'!$C12,wallet_records!$L:$L,'EEFF 2022'!BZ$3,wallet_records!$O:$O,'EEFF 2022'!$B$1,wallet_records!$N:$N,'EEFF 2022'!BZ$2,wallet_records!$H:$H,'EEFF 2022'!$B12)</f>
        <v>0</v>
      </c>
      <c r="CA12" s="115">
        <f>SUMIFS(wallet_records!$D:$D,wallet_records!$B:$B,'EEFF 2022'!$C12,wallet_records!$L:$L,'EEFF 2022'!CA$3,wallet_records!$O:$O,'EEFF 2022'!$B$1,wallet_records!$N:$N,'EEFF 2022'!CA$2,wallet_records!$H:$H,'EEFF 2022'!$B12)</f>
        <v>0</v>
      </c>
      <c r="CB12" s="116">
        <f t="shared" si="29"/>
        <v>0</v>
      </c>
      <c r="CC12" s="115">
        <f>SUMIFS(wallet_records!$D:$D,wallet_records!$B:$B,'EEFF 2022'!$C12,wallet_records!$L:$L,'EEFF 2022'!CC$3,wallet_records!$O:$O,'EEFF 2022'!$B$1,wallet_records!$N:$N,'EEFF 2022'!CC$2,wallet_records!$H:$H,'EEFF 2022'!$B12)</f>
        <v>0</v>
      </c>
      <c r="CD12" s="115">
        <f>SUMIFS(wallet_records!$D:$D,wallet_records!$B:$B,'EEFF 2022'!$C12,wallet_records!$L:$L,'EEFF 2022'!CD$3,wallet_records!$O:$O,'EEFF 2022'!$B$1,wallet_records!$N:$N,'EEFF 2022'!CD$2,wallet_records!$H:$H,'EEFF 2022'!$B12)</f>
        <v>0</v>
      </c>
      <c r="CE12" s="115">
        <f>SUMIFS(wallet_records!$D:$D,wallet_records!$B:$B,'EEFF 2022'!$C12,wallet_records!$L:$L,'EEFF 2022'!CE$3,wallet_records!$O:$O,'EEFF 2022'!$B$1,wallet_records!$N:$N,'EEFF 2022'!CE$2,wallet_records!$H:$H,'EEFF 2022'!$B12)</f>
        <v>0</v>
      </c>
      <c r="CF12" s="115">
        <f>SUMIFS(wallet_records!$D:$D,wallet_records!$B:$B,'EEFF 2022'!$C12,wallet_records!$L:$L,'EEFF 2022'!CF$3,wallet_records!$O:$O,'EEFF 2022'!$B$1,wallet_records!$N:$N,'EEFF 2022'!CF$2,wallet_records!$H:$H,'EEFF 2022'!$B12)</f>
        <v>0</v>
      </c>
      <c r="CG12" s="115">
        <f>SUMIFS(wallet_records!$D:$D,wallet_records!$B:$B,'EEFF 2022'!$C12,wallet_records!$L:$L,'EEFF 2022'!CG$3,wallet_records!$O:$O,'EEFF 2022'!$B$1,wallet_records!$N:$N,'EEFF 2022'!CG$2,wallet_records!$H:$H,'EEFF 2022'!$B12)</f>
        <v>0</v>
      </c>
      <c r="CH12" s="115">
        <f>SUMIFS(wallet_records!$D:$D,wallet_records!$B:$B,'EEFF 2022'!$C12,wallet_records!$L:$L,'EEFF 2022'!CH$3,wallet_records!$O:$O,'EEFF 2022'!$B$1,wallet_records!$N:$N,'EEFF 2022'!CH$2,wallet_records!$H:$H,'EEFF 2022'!$B12)</f>
        <v>0</v>
      </c>
      <c r="CI12" s="116">
        <f t="shared" si="30"/>
        <v>0</v>
      </c>
      <c r="CJ12" s="115">
        <f>SUMIFS(wallet_records!$D:$D,wallet_records!$B:$B,'EEFF 2022'!$C12,wallet_records!$L:$L,'EEFF 2022'!CJ$3,wallet_records!$O:$O,'EEFF 2022'!$B$1,wallet_records!$H:$H,'EEFF 2022'!$B12)</f>
        <v>0</v>
      </c>
      <c r="CK12" s="115">
        <f>SUMIFS(wallet_records!$D:$D,wallet_records!$B:$B,'EEFF 2022'!$C12,wallet_records!$L:$L,'EEFF 2022'!CK$3,wallet_records!$O:$O,'EEFF 2022'!$B$1,wallet_records!$H:$H,'EEFF 2022'!$B12)</f>
        <v>0</v>
      </c>
      <c r="CL12" s="115">
        <f>SUMIFS(wallet_records!$D:$D,wallet_records!$B:$B,'EEFF 2022'!$C12,wallet_records!$L:$L,'EEFF 2022'!CL$3,wallet_records!$O:$O,'EEFF 2022'!$B$1,wallet_records!$H:$H,'EEFF 2022'!$B12)</f>
        <v>0</v>
      </c>
      <c r="CM12" s="115">
        <f>SUMIFS(wallet_records!$D:$D,wallet_records!$B:$B,'EEFF 2022'!$C12,wallet_records!$L:$L,'EEFF 2022'!CM$3,wallet_records!$O:$O,'EEFF 2022'!$B$1,wallet_records!$H:$H,'EEFF 2022'!$B12)</f>
        <v>0</v>
      </c>
      <c r="CN12" s="115">
        <f>SUMIFS(wallet_records!$D:$D,wallet_records!$B:$B,'EEFF 2022'!$C12,wallet_records!$L:$L,'EEFF 2022'!CN$3,wallet_records!$O:$O,'EEFF 2022'!$B$1,wallet_records!$H:$H,'EEFF 2022'!$B12)</f>
        <v>0</v>
      </c>
      <c r="CO12" s="115">
        <f>SUMIFS(wallet_records!$D:$D,wallet_records!$B:$B,'EEFF 2022'!$C12,wallet_records!$L:$L,'EEFF 2022'!CO$3,wallet_records!$O:$O,'EEFF 2022'!$B$1,wallet_records!$H:$H,'EEFF 2022'!$B12)</f>
        <v>550458</v>
      </c>
      <c r="CP12" s="116">
        <f t="shared" si="31"/>
        <v>550458</v>
      </c>
      <c r="CQ12" s="107"/>
      <c r="CR12" s="118"/>
      <c r="CS12" s="118"/>
      <c r="CT12" s="118"/>
      <c r="CU12" s="118">
        <f t="shared" si="0"/>
        <v>0</v>
      </c>
      <c r="CV12" s="118">
        <f t="shared" si="1"/>
        <v>5.0132786885245903E-2</v>
      </c>
      <c r="CW12" s="118">
        <f t="shared" si="2"/>
        <v>0</v>
      </c>
      <c r="CX12" s="118">
        <f t="shared" si="3"/>
        <v>0</v>
      </c>
      <c r="CY12" s="118">
        <f t="shared" si="4"/>
        <v>4.4535436893203884E-2</v>
      </c>
      <c r="CZ12" s="118">
        <f t="shared" si="5"/>
        <v>0</v>
      </c>
      <c r="DA12" s="118">
        <f t="shared" si="6"/>
        <v>3.4489849624060154E-2</v>
      </c>
      <c r="DB12" s="118">
        <f t="shared" si="7"/>
        <v>0</v>
      </c>
      <c r="DC12" s="118">
        <f t="shared" si="8"/>
        <v>0</v>
      </c>
    </row>
    <row r="13" spans="2:120" x14ac:dyDescent="0.2">
      <c r="B13" s="10" t="s">
        <v>510</v>
      </c>
      <c r="C13" s="191" t="s">
        <v>154</v>
      </c>
      <c r="D13" s="115"/>
      <c r="E13" s="115"/>
      <c r="F13" s="115"/>
      <c r="G13" s="115"/>
      <c r="H13" s="115"/>
      <c r="I13" s="115"/>
      <c r="J13" s="116"/>
      <c r="K13" s="115"/>
      <c r="L13" s="115"/>
      <c r="M13" s="115"/>
      <c r="N13" s="115"/>
      <c r="O13" s="115"/>
      <c r="P13" s="115"/>
      <c r="Q13" s="116"/>
      <c r="R13" s="115">
        <f>SUMIFS(wallet_records!$D:$D,wallet_records!$B:$B,'EEFF 2022'!$C13,wallet_records!$L:$L,'EEFF 2022'!R$3,wallet_records!$O:$O,'EEFF 2022'!$B$1,wallet_records!$N:$N,'EEFF 2022'!R$2,wallet_records!$H:$H,'EEFF 2022'!$B13)</f>
        <v>0</v>
      </c>
      <c r="S13" s="115">
        <f>SUMIFS(wallet_records!$D:$D,wallet_records!$B:$B,'EEFF 2022'!$C13,wallet_records!$L:$L,'EEFF 2022'!S$3,wallet_records!$O:$O,'EEFF 2022'!$B$1,wallet_records!$N:$N,'EEFF 2022'!S$2,wallet_records!$H:$H,'EEFF 2022'!$B13)</f>
        <v>0</v>
      </c>
      <c r="T13" s="115">
        <f>SUMIFS(wallet_records!$D:$D,wallet_records!$B:$B,'EEFF 2022'!$C13,wallet_records!$L:$L,'EEFF 2022'!T$3,wallet_records!$O:$O,'EEFF 2022'!$B$1,wallet_records!$N:$N,'EEFF 2022'!T$2,wallet_records!$H:$H,'EEFF 2022'!$B13)</f>
        <v>0</v>
      </c>
      <c r="U13" s="115">
        <f>SUMIFS(wallet_records!$D:$D,wallet_records!$B:$B,'EEFF 2022'!$C13,wallet_records!$L:$L,'EEFF 2022'!U$3,wallet_records!$O:$O,'EEFF 2022'!$B$1,wallet_records!$N:$N,'EEFF 2022'!U$2,wallet_records!$H:$H,'EEFF 2022'!$B13)</f>
        <v>0</v>
      </c>
      <c r="V13" s="115">
        <f>SUMIFS(wallet_records!$D:$D,wallet_records!$B:$B,'EEFF 2022'!$C13,wallet_records!$L:$L,'EEFF 2022'!V$3,wallet_records!$O:$O,'EEFF 2022'!$B$1,wallet_records!$N:$N,'EEFF 2022'!V$2,wallet_records!$H:$H,'EEFF 2022'!$B13)</f>
        <v>0</v>
      </c>
      <c r="W13" s="115">
        <f>SUMIFS(wallet_records!$D:$D,wallet_records!$B:$B,'EEFF 2022'!$C13,wallet_records!$L:$L,'EEFF 2022'!W$3,wallet_records!$O:$O,'EEFF 2022'!$B$1,wallet_records!$N:$N,'EEFF 2022'!W$2,wallet_records!$H:$H,'EEFF 2022'!$B13)</f>
        <v>0</v>
      </c>
      <c r="X13" s="116">
        <f t="shared" si="21"/>
        <v>0</v>
      </c>
      <c r="Y13" s="115">
        <f>SUMIFS(wallet_records!$D:$D,wallet_records!$B:$B,'EEFF 2022'!$C13,wallet_records!$L:$L,'EEFF 2022'!Y$3,wallet_records!$O:$O,'EEFF 2022'!$B$1,wallet_records!$N:$N,'EEFF 2022'!Y$2,wallet_records!$H:$H,'EEFF 2022'!$B13)</f>
        <v>0</v>
      </c>
      <c r="Z13" s="115">
        <f>SUMIFS(wallet_records!$D:$D,wallet_records!$B:$B,'EEFF 2022'!$C13,wallet_records!$L:$L,'EEFF 2022'!Z$3,wallet_records!$O:$O,'EEFF 2022'!$B$1,wallet_records!$N:$N,'EEFF 2022'!Z$2,wallet_records!$H:$H,'EEFF 2022'!$B13)</f>
        <v>0</v>
      </c>
      <c r="AA13" s="115">
        <f>SUMIFS(wallet_records!$D:$D,wallet_records!$B:$B,'EEFF 2022'!$C13,wallet_records!$L:$L,'EEFF 2022'!AA$3,wallet_records!$O:$O,'EEFF 2022'!$B$1,wallet_records!$N:$N,'EEFF 2022'!AA$2,wallet_records!$H:$H,'EEFF 2022'!$B13)</f>
        <v>0</v>
      </c>
      <c r="AB13" s="115">
        <f>SUMIFS(wallet_records!$D:$D,wallet_records!$B:$B,'EEFF 2022'!$C13,wallet_records!$L:$L,'EEFF 2022'!AB$3,wallet_records!$O:$O,'EEFF 2022'!$B$1,wallet_records!$N:$N,'EEFF 2022'!AB$2,wallet_records!$H:$H,'EEFF 2022'!$B13)</f>
        <v>0</v>
      </c>
      <c r="AC13" s="115">
        <f>SUMIFS(wallet_records!$D:$D,wallet_records!$B:$B,'EEFF 2022'!$C13,wallet_records!$L:$L,'EEFF 2022'!AC$3,wallet_records!$O:$O,'EEFF 2022'!$B$1,wallet_records!$N:$N,'EEFF 2022'!AC$2,wallet_records!$H:$H,'EEFF 2022'!$B13)</f>
        <v>0</v>
      </c>
      <c r="AD13" s="115">
        <f>SUMIFS(wallet_records!$D:$D,wallet_records!$B:$B,'EEFF 2022'!$C13,wallet_records!$L:$L,'EEFF 2022'!AD$3,wallet_records!$O:$O,'EEFF 2022'!$B$1,wallet_records!$N:$N,'EEFF 2022'!AD$2,wallet_records!$H:$H,'EEFF 2022'!$B13)</f>
        <v>0</v>
      </c>
      <c r="AE13" s="116">
        <f t="shared" si="22"/>
        <v>0</v>
      </c>
      <c r="AF13" s="115">
        <f>SUMIFS(wallet_records!$D:$D,wallet_records!$B:$B,'EEFF 2022'!$C13,wallet_records!$L:$L,'EEFF 2022'!AF$3,wallet_records!$O:$O,'EEFF 2022'!$B$1,wallet_records!$N:$N,'EEFF 2022'!AF$2,wallet_records!$H:$H,'EEFF 2022'!$B13)</f>
        <v>0</v>
      </c>
      <c r="AG13" s="115">
        <f>SUMIFS(wallet_records!$D:$D,wallet_records!$B:$B,'EEFF 2022'!$C13,wallet_records!$L:$L,'EEFF 2022'!AG$3,wallet_records!$O:$O,'EEFF 2022'!$B$1,wallet_records!$N:$N,'EEFF 2022'!AG$2,wallet_records!$H:$H,'EEFF 2022'!$B13)</f>
        <v>0</v>
      </c>
      <c r="AH13" s="115">
        <f>SUMIFS(wallet_records!$D:$D,wallet_records!$B:$B,'EEFF 2022'!$C13,wallet_records!$L:$L,'EEFF 2022'!AH$3,wallet_records!$O:$O,'EEFF 2022'!$B$1,wallet_records!$N:$N,'EEFF 2022'!AH$2,wallet_records!$H:$H,'EEFF 2022'!$B13)</f>
        <v>0</v>
      </c>
      <c r="AI13" s="115">
        <f>SUMIFS(wallet_records!$D:$D,wallet_records!$B:$B,'EEFF 2022'!$C13,wallet_records!$L:$L,'EEFF 2022'!AI$3,wallet_records!$O:$O,'EEFF 2022'!$B$1,wallet_records!$N:$N,'EEFF 2022'!AI$2,wallet_records!$H:$H,'EEFF 2022'!$B13)</f>
        <v>0</v>
      </c>
      <c r="AJ13" s="115">
        <f>SUMIFS(wallet_records!$D:$D,wallet_records!$B:$B,'EEFF 2022'!$C13,wallet_records!$L:$L,'EEFF 2022'!AJ$3,wallet_records!$O:$O,'EEFF 2022'!$B$1,wallet_records!$N:$N,'EEFF 2022'!AJ$2,wallet_records!$H:$H,'EEFF 2022'!$B13)</f>
        <v>0</v>
      </c>
      <c r="AK13" s="115">
        <f>SUMIFS(wallet_records!$D:$D,wallet_records!$B:$B,'EEFF 2022'!$C13,wallet_records!$L:$L,'EEFF 2022'!AK$3,wallet_records!$O:$O,'EEFF 2022'!$B$1,wallet_records!$N:$N,'EEFF 2022'!AK$2,wallet_records!$H:$H,'EEFF 2022'!$B13)</f>
        <v>0</v>
      </c>
      <c r="AL13" s="116">
        <f t="shared" si="23"/>
        <v>0</v>
      </c>
      <c r="AM13" s="115">
        <f>SUMIFS(wallet_records!$D:$D,wallet_records!$B:$B,'EEFF 2022'!$C13,wallet_records!$L:$L,'EEFF 2022'!AM$3,wallet_records!$O:$O,'EEFF 2022'!$B$1,wallet_records!$N:$N,'EEFF 2022'!AM$2,wallet_records!$H:$H,'EEFF 2022'!$B13)</f>
        <v>0</v>
      </c>
      <c r="AN13" s="115">
        <f>SUMIFS(wallet_records!$D:$D,wallet_records!$B:$B,'EEFF 2022'!$C13,wallet_records!$L:$L,'EEFF 2022'!AN$3,wallet_records!$O:$O,'EEFF 2022'!$B$1,wallet_records!$N:$N,'EEFF 2022'!AN$2,wallet_records!$H:$H,'EEFF 2022'!$B13)</f>
        <v>0</v>
      </c>
      <c r="AO13" s="115">
        <f>SUMIFS(wallet_records!$D:$D,wallet_records!$B:$B,'EEFF 2022'!$C13,wallet_records!$L:$L,'EEFF 2022'!AO$3,wallet_records!$O:$O,'EEFF 2022'!$B$1,wallet_records!$N:$N,'EEFF 2022'!AO$2,wallet_records!$H:$H,'EEFF 2022'!$B13)</f>
        <v>0</v>
      </c>
      <c r="AP13" s="115">
        <f>SUMIFS(wallet_records!$D:$D,wallet_records!$B:$B,'EEFF 2022'!$C13,wallet_records!$L:$L,'EEFF 2022'!AP$3,wallet_records!$O:$O,'EEFF 2022'!$B$1,wallet_records!$N:$N,'EEFF 2022'!AP$2,wallet_records!$H:$H,'EEFF 2022'!$B13)</f>
        <v>0</v>
      </c>
      <c r="AQ13" s="115">
        <f>SUMIFS(wallet_records!$D:$D,wallet_records!$B:$B,'EEFF 2022'!$C13,wallet_records!$L:$L,'EEFF 2022'!AQ$3,wallet_records!$O:$O,'EEFF 2022'!$B$1,wallet_records!$N:$N,'EEFF 2022'!AQ$2,wallet_records!$H:$H,'EEFF 2022'!$B13)</f>
        <v>0</v>
      </c>
      <c r="AR13" s="115">
        <f>SUMIFS(wallet_records!$D:$D,wallet_records!$B:$B,'EEFF 2022'!$C13,wallet_records!$L:$L,'EEFF 2022'!AR$3,wallet_records!$O:$O,'EEFF 2022'!$B$1,wallet_records!$N:$N,'EEFF 2022'!AR$2,wallet_records!$H:$H,'EEFF 2022'!$B13)</f>
        <v>0</v>
      </c>
      <c r="AS13" s="116">
        <f t="shared" si="24"/>
        <v>0</v>
      </c>
      <c r="AT13" s="115">
        <f>SUMIFS(wallet_records!$D:$D,wallet_records!$B:$B,'EEFF 2022'!$C13,wallet_records!$L:$L,'EEFF 2022'!AT$3,wallet_records!$O:$O,'EEFF 2022'!$B$1,wallet_records!$N:$N,'EEFF 2022'!AT$2,wallet_records!$H:$H,'EEFF 2022'!$B13)</f>
        <v>0</v>
      </c>
      <c r="AU13" s="115">
        <f>SUMIFS(wallet_records!$D:$D,wallet_records!$B:$B,'EEFF 2022'!$C13,wallet_records!$L:$L,'EEFF 2022'!AU$3,wallet_records!$O:$O,'EEFF 2022'!$B$1,wallet_records!$N:$N,'EEFF 2022'!AU$2,wallet_records!$H:$H,'EEFF 2022'!$B13)</f>
        <v>0</v>
      </c>
      <c r="AV13" s="115">
        <f>SUMIFS(wallet_records!$D:$D,wallet_records!$B:$B,'EEFF 2022'!$C13,wallet_records!$L:$L,'EEFF 2022'!AV$3,wallet_records!$O:$O,'EEFF 2022'!$B$1,wallet_records!$N:$N,'EEFF 2022'!AV$2,wallet_records!$H:$H,'EEFF 2022'!$B13)</f>
        <v>0</v>
      </c>
      <c r="AW13" s="115">
        <f>SUMIFS(wallet_records!$D:$D,wallet_records!$B:$B,'EEFF 2022'!$C13,wallet_records!$L:$L,'EEFF 2022'!AW$3,wallet_records!$O:$O,'EEFF 2022'!$B$1,wallet_records!$N:$N,'EEFF 2022'!AW$2,wallet_records!$H:$H,'EEFF 2022'!$B13)</f>
        <v>0</v>
      </c>
      <c r="AX13" s="115">
        <f>SUMIFS(wallet_records!$D:$D,wallet_records!$B:$B,'EEFF 2022'!$C13,wallet_records!$L:$L,'EEFF 2022'!AX$3,wallet_records!$O:$O,'EEFF 2022'!$B$1,wallet_records!$N:$N,'EEFF 2022'!AX$2,wallet_records!$H:$H,'EEFF 2022'!$B13)</f>
        <v>0</v>
      </c>
      <c r="AY13" s="115">
        <f>SUMIFS(wallet_records!$D:$D,wallet_records!$B:$B,'EEFF 2022'!$C13,wallet_records!$L:$L,'EEFF 2022'!AY$3,wallet_records!$O:$O,'EEFF 2022'!$B$1,wallet_records!$N:$N,'EEFF 2022'!AY$2,wallet_records!$H:$H,'EEFF 2022'!$B13)</f>
        <v>0</v>
      </c>
      <c r="AZ13" s="116">
        <f t="shared" si="25"/>
        <v>0</v>
      </c>
      <c r="BA13" s="115">
        <f>SUMIFS(wallet_records!$D:$D,wallet_records!$B:$B,'EEFF 2022'!$C13,wallet_records!$L:$L,'EEFF 2022'!BA$3,wallet_records!$O:$O,'EEFF 2022'!$B$1,wallet_records!$N:$N,'EEFF 2022'!BA$2,wallet_records!$H:$H,'EEFF 2022'!$B13)</f>
        <v>0</v>
      </c>
      <c r="BB13" s="115">
        <f>SUMIFS(wallet_records!$D:$D,wallet_records!$B:$B,'EEFF 2022'!$C13,wallet_records!$L:$L,'EEFF 2022'!BB$3,wallet_records!$O:$O,'EEFF 2022'!$B$1,wallet_records!$N:$N,'EEFF 2022'!BB$2,wallet_records!$H:$H,'EEFF 2022'!$B13)</f>
        <v>0</v>
      </c>
      <c r="BC13" s="115">
        <f>SUMIFS(wallet_records!$D:$D,wallet_records!$B:$B,'EEFF 2022'!$C13,wallet_records!$L:$L,'EEFF 2022'!BC$3,wallet_records!$O:$O,'EEFF 2022'!$B$1,wallet_records!$N:$N,'EEFF 2022'!BC$2,wallet_records!$H:$H,'EEFF 2022'!$B13)</f>
        <v>0</v>
      </c>
      <c r="BD13" s="115">
        <f>SUMIFS(wallet_records!$D:$D,wallet_records!$B:$B,'EEFF 2022'!$C13,wallet_records!$L:$L,'EEFF 2022'!BD$3,wallet_records!$O:$O,'EEFF 2022'!$B$1,wallet_records!$N:$N,'EEFF 2022'!BD$2,wallet_records!$H:$H,'EEFF 2022'!$B13)</f>
        <v>0</v>
      </c>
      <c r="BE13" s="115">
        <f>SUMIFS(wallet_records!$D:$D,wallet_records!$B:$B,'EEFF 2022'!$C13,wallet_records!$L:$L,'EEFF 2022'!BE$3,wallet_records!$O:$O,'EEFF 2022'!$B$1,wallet_records!$N:$N,'EEFF 2022'!BE$2,wallet_records!$H:$H,'EEFF 2022'!$B13)</f>
        <v>0</v>
      </c>
      <c r="BF13" s="115">
        <f>SUMIFS(wallet_records!$D:$D,wallet_records!$B:$B,'EEFF 2022'!$C13,wallet_records!$L:$L,'EEFF 2022'!BF$3,wallet_records!$O:$O,'EEFF 2022'!$B$1,wallet_records!$N:$N,'EEFF 2022'!BF$2,wallet_records!$H:$H,'EEFF 2022'!$B13)</f>
        <v>0</v>
      </c>
      <c r="BG13" s="116">
        <f t="shared" si="26"/>
        <v>0</v>
      </c>
      <c r="BH13" s="115">
        <f>SUMIFS(wallet_records!$D:$D,wallet_records!$B:$B,'EEFF 2022'!$C13,wallet_records!$L:$L,'EEFF 2022'!BH$3,wallet_records!$O:$O,'EEFF 2022'!$B$1,wallet_records!$N:$N,'EEFF 2022'!BH$2,wallet_records!$H:$H,'EEFF 2022'!$B13)</f>
        <v>0</v>
      </c>
      <c r="BI13" s="115">
        <f>SUMIFS(wallet_records!$D:$D,wallet_records!$B:$B,'EEFF 2022'!$C13,wallet_records!$L:$L,'EEFF 2022'!BI$3,wallet_records!$O:$O,'EEFF 2022'!$B$1,wallet_records!$N:$N,'EEFF 2022'!BI$2,wallet_records!$H:$H,'EEFF 2022'!$B13)</f>
        <v>0</v>
      </c>
      <c r="BJ13" s="115">
        <f>SUMIFS(wallet_records!$D:$D,wallet_records!$B:$B,'EEFF 2022'!$C13,wallet_records!$L:$L,'EEFF 2022'!BJ$3,wallet_records!$O:$O,'EEFF 2022'!$B$1,wallet_records!$N:$N,'EEFF 2022'!BJ$2,wallet_records!$H:$H,'EEFF 2022'!$B13)</f>
        <v>0</v>
      </c>
      <c r="BK13" s="115">
        <f>SUMIFS(wallet_records!$D:$D,wallet_records!$B:$B,'EEFF 2022'!$C13,wallet_records!$L:$L,'EEFF 2022'!BK$3,wallet_records!$O:$O,'EEFF 2022'!$B$1,wallet_records!$N:$N,'EEFF 2022'!BK$2,wallet_records!$H:$H,'EEFF 2022'!$B13)</f>
        <v>0</v>
      </c>
      <c r="BL13" s="115">
        <f>SUMIFS(wallet_records!$D:$D,wallet_records!$B:$B,'EEFF 2022'!$C13,wallet_records!$L:$L,'EEFF 2022'!BL$3,wallet_records!$O:$O,'EEFF 2022'!$B$1,wallet_records!$N:$N,'EEFF 2022'!BL$2,wallet_records!$H:$H,'EEFF 2022'!$B13)</f>
        <v>0</v>
      </c>
      <c r="BM13" s="115">
        <f>SUMIFS(wallet_records!$D:$D,wallet_records!$B:$B,'EEFF 2022'!$C13,wallet_records!$L:$L,'EEFF 2022'!BM$3,wallet_records!$O:$O,'EEFF 2022'!$B$1,wallet_records!$N:$N,'EEFF 2022'!BM$2,wallet_records!$H:$H,'EEFF 2022'!$B13)</f>
        <v>0</v>
      </c>
      <c r="BN13" s="116">
        <f t="shared" si="27"/>
        <v>0</v>
      </c>
      <c r="BO13" s="115">
        <f>SUMIFS(wallet_records!$D:$D,wallet_records!$B:$B,'EEFF 2022'!$C13,wallet_records!$L:$L,'EEFF 2022'!BO$3,wallet_records!$O:$O,'EEFF 2022'!$B$1,wallet_records!$N:$N,'EEFF 2022'!BO$2,wallet_records!$H:$H,'EEFF 2022'!$B13)</f>
        <v>0</v>
      </c>
      <c r="BP13" s="115">
        <f>SUMIFS(wallet_records!$D:$D,wallet_records!$B:$B,'EEFF 2022'!$C13,wallet_records!$L:$L,'EEFF 2022'!BP$3,wallet_records!$O:$O,'EEFF 2022'!$B$1,wallet_records!$N:$N,'EEFF 2022'!BP$2,wallet_records!$H:$H,'EEFF 2022'!$B13)</f>
        <v>0</v>
      </c>
      <c r="BQ13" s="115">
        <f>SUMIFS(wallet_records!$D:$D,wallet_records!$B:$B,'EEFF 2022'!$C13,wallet_records!$L:$L,'EEFF 2022'!BQ$3,wallet_records!$O:$O,'EEFF 2022'!$B$1,wallet_records!$N:$N,'EEFF 2022'!BQ$2,wallet_records!$H:$H,'EEFF 2022'!$B13)</f>
        <v>0</v>
      </c>
      <c r="BR13" s="115">
        <f>SUMIFS(wallet_records!$D:$D,wallet_records!$B:$B,'EEFF 2022'!$C13,wallet_records!$L:$L,'EEFF 2022'!BR$3,wallet_records!$O:$O,'EEFF 2022'!$B$1,wallet_records!$N:$N,'EEFF 2022'!BR$2,wallet_records!$H:$H,'EEFF 2022'!$B13)</f>
        <v>0</v>
      </c>
      <c r="BS13" s="115">
        <f>SUMIFS(wallet_records!$D:$D,wallet_records!$B:$B,'EEFF 2022'!$C13,wallet_records!$L:$L,'EEFF 2022'!BS$3,wallet_records!$O:$O,'EEFF 2022'!$B$1,wallet_records!$N:$N,'EEFF 2022'!BS$2,wallet_records!$H:$H,'EEFF 2022'!$B13)</f>
        <v>0</v>
      </c>
      <c r="BT13" s="115">
        <f>SUMIFS(wallet_records!$D:$D,wallet_records!$B:$B,'EEFF 2022'!$C13,wallet_records!$L:$L,'EEFF 2022'!BT$3,wallet_records!$O:$O,'EEFF 2022'!$B$1,wallet_records!$N:$N,'EEFF 2022'!BT$2,wallet_records!$H:$H,'EEFF 2022'!$B13)</f>
        <v>0</v>
      </c>
      <c r="BU13" s="116">
        <f t="shared" si="28"/>
        <v>0</v>
      </c>
      <c r="BV13" s="115">
        <f>SUMIFS(wallet_records!$D:$D,wallet_records!$B:$B,'EEFF 2022'!$C13,wallet_records!$L:$L,'EEFF 2022'!BV$3,wallet_records!$O:$O,'EEFF 2022'!$B$1,wallet_records!$N:$N,'EEFF 2022'!BV$2,wallet_records!$H:$H,'EEFF 2022'!$B13)</f>
        <v>0</v>
      </c>
      <c r="BW13" s="115">
        <f>SUMIFS(wallet_records!$D:$D,wallet_records!$B:$B,'EEFF 2022'!$C13,wallet_records!$L:$L,'EEFF 2022'!BW$3,wallet_records!$O:$O,'EEFF 2022'!$B$1,wallet_records!$N:$N,'EEFF 2022'!BW$2,wallet_records!$H:$H,'EEFF 2022'!$B13)</f>
        <v>0</v>
      </c>
      <c r="BX13" s="115">
        <f>SUMIFS(wallet_records!$D:$D,wallet_records!$B:$B,'EEFF 2022'!$C13,wallet_records!$L:$L,'EEFF 2022'!BX$3,wallet_records!$O:$O,'EEFF 2022'!$B$1,wallet_records!$N:$N,'EEFF 2022'!BX$2,wallet_records!$H:$H,'EEFF 2022'!$B13)</f>
        <v>0</v>
      </c>
      <c r="BY13" s="115">
        <f>SUMIFS(wallet_records!$D:$D,wallet_records!$B:$B,'EEFF 2022'!$C13,wallet_records!$L:$L,'EEFF 2022'!BY$3,wallet_records!$O:$O,'EEFF 2022'!$B$1,wallet_records!$N:$N,'EEFF 2022'!BY$2,wallet_records!$H:$H,'EEFF 2022'!$B13)</f>
        <v>0</v>
      </c>
      <c r="BZ13" s="115">
        <f>SUMIFS(wallet_records!$D:$D,wallet_records!$B:$B,'EEFF 2022'!$C13,wallet_records!$L:$L,'EEFF 2022'!BZ$3,wallet_records!$O:$O,'EEFF 2022'!$B$1,wallet_records!$N:$N,'EEFF 2022'!BZ$2,wallet_records!$H:$H,'EEFF 2022'!$B13)</f>
        <v>0</v>
      </c>
      <c r="CA13" s="115">
        <f>SUMIFS(wallet_records!$D:$D,wallet_records!$B:$B,'EEFF 2022'!$C13,wallet_records!$L:$L,'EEFF 2022'!CA$3,wallet_records!$O:$O,'EEFF 2022'!$B$1,wallet_records!$N:$N,'EEFF 2022'!CA$2,wallet_records!$H:$H,'EEFF 2022'!$B13)</f>
        <v>0</v>
      </c>
      <c r="CB13" s="116">
        <f t="shared" si="29"/>
        <v>0</v>
      </c>
      <c r="CC13" s="115">
        <f>SUMIFS(wallet_records!$D:$D,wallet_records!$B:$B,'EEFF 2022'!$C13,wallet_records!$L:$L,'EEFF 2022'!CC$3,wallet_records!$O:$O,'EEFF 2022'!$B$1,wallet_records!$N:$N,'EEFF 2022'!CC$2,wallet_records!$H:$H,'EEFF 2022'!$B13)</f>
        <v>0</v>
      </c>
      <c r="CD13" s="115">
        <f>SUMIFS(wallet_records!$D:$D,wallet_records!$B:$B,'EEFF 2022'!$C13,wallet_records!$L:$L,'EEFF 2022'!CD$3,wallet_records!$O:$O,'EEFF 2022'!$B$1,wallet_records!$N:$N,'EEFF 2022'!CD$2,wallet_records!$H:$H,'EEFF 2022'!$B13)</f>
        <v>0</v>
      </c>
      <c r="CE13" s="115">
        <f>SUMIFS(wallet_records!$D:$D,wallet_records!$B:$B,'EEFF 2022'!$C13,wallet_records!$L:$L,'EEFF 2022'!CE$3,wallet_records!$O:$O,'EEFF 2022'!$B$1,wallet_records!$N:$N,'EEFF 2022'!CE$2,wallet_records!$H:$H,'EEFF 2022'!$B13)</f>
        <v>0</v>
      </c>
      <c r="CF13" s="115">
        <f>SUMIFS(wallet_records!$D:$D,wallet_records!$B:$B,'EEFF 2022'!$C13,wallet_records!$L:$L,'EEFF 2022'!CF$3,wallet_records!$O:$O,'EEFF 2022'!$B$1,wallet_records!$N:$N,'EEFF 2022'!CF$2,wallet_records!$H:$H,'EEFF 2022'!$B13)</f>
        <v>0</v>
      </c>
      <c r="CG13" s="115">
        <f>SUMIFS(wallet_records!$D:$D,wallet_records!$B:$B,'EEFF 2022'!$C13,wallet_records!$L:$L,'EEFF 2022'!CG$3,wallet_records!$O:$O,'EEFF 2022'!$B$1,wallet_records!$N:$N,'EEFF 2022'!CG$2,wallet_records!$H:$H,'EEFF 2022'!$B13)</f>
        <v>0</v>
      </c>
      <c r="CH13" s="115">
        <f>SUMIFS(wallet_records!$D:$D,wallet_records!$B:$B,'EEFF 2022'!$C13,wallet_records!$L:$L,'EEFF 2022'!CH$3,wallet_records!$O:$O,'EEFF 2022'!$B$1,wallet_records!$N:$N,'EEFF 2022'!CH$2,wallet_records!$H:$H,'EEFF 2022'!$B13)</f>
        <v>0</v>
      </c>
      <c r="CI13" s="116">
        <f t="shared" si="30"/>
        <v>0</v>
      </c>
      <c r="CJ13" s="115">
        <f>SUMIFS(wallet_records!$D:$D,wallet_records!$B:$B,'EEFF 2022'!$C13,wallet_records!$L:$L,'EEFF 2022'!CJ$3,wallet_records!$O:$O,'EEFF 2022'!$B$1,wallet_records!$H:$H,'EEFF 2022'!$B13)</f>
        <v>0</v>
      </c>
      <c r="CK13" s="115">
        <f>SUMIFS(wallet_records!$D:$D,wallet_records!$B:$B,'EEFF 2022'!$C13,wallet_records!$L:$L,'EEFF 2022'!CK$3,wallet_records!$O:$O,'EEFF 2022'!$B$1,wallet_records!$H:$H,'EEFF 2022'!$B13)</f>
        <v>0</v>
      </c>
      <c r="CL13" s="115">
        <f>SUMIFS(wallet_records!$D:$D,wallet_records!$B:$B,'EEFF 2022'!$C13,wallet_records!$L:$L,'EEFF 2022'!CL$3,wallet_records!$O:$O,'EEFF 2022'!$B$1,wallet_records!$H:$H,'EEFF 2022'!$B13)</f>
        <v>0</v>
      </c>
      <c r="CM13" s="115">
        <f>SUMIFS(wallet_records!$D:$D,wallet_records!$B:$B,'EEFF 2022'!$C13,wallet_records!$L:$L,'EEFF 2022'!CM$3,wallet_records!$O:$O,'EEFF 2022'!$B$1,wallet_records!$H:$H,'EEFF 2022'!$B13)</f>
        <v>0</v>
      </c>
      <c r="CN13" s="115">
        <f>SUMIFS(wallet_records!$D:$D,wallet_records!$B:$B,'EEFF 2022'!$C13,wallet_records!$L:$L,'EEFF 2022'!CN$3,wallet_records!$O:$O,'EEFF 2022'!$B$1,wallet_records!$H:$H,'EEFF 2022'!$B13)</f>
        <v>0</v>
      </c>
      <c r="CO13" s="115">
        <f>SUMIFS(wallet_records!$D:$D,wallet_records!$B:$B,'EEFF 2022'!$C13,wallet_records!$L:$L,'EEFF 2022'!CO$3,wallet_records!$O:$O,'EEFF 2022'!$B$1,wallet_records!$H:$H,'EEFF 2022'!$B13)</f>
        <v>0</v>
      </c>
      <c r="CP13" s="116">
        <f t="shared" si="31"/>
        <v>0</v>
      </c>
      <c r="CQ13" s="107"/>
      <c r="CR13" s="118"/>
      <c r="CS13" s="118"/>
      <c r="CT13" s="118"/>
      <c r="CU13" s="118">
        <f t="shared" si="0"/>
        <v>0</v>
      </c>
      <c r="CV13" s="118">
        <f t="shared" si="1"/>
        <v>0</v>
      </c>
      <c r="CW13" s="118">
        <f t="shared" si="2"/>
        <v>0</v>
      </c>
      <c r="CX13" s="118">
        <f t="shared" si="3"/>
        <v>0</v>
      </c>
      <c r="CY13" s="118">
        <f t="shared" si="4"/>
        <v>0</v>
      </c>
      <c r="CZ13" s="118">
        <f t="shared" si="5"/>
        <v>0</v>
      </c>
      <c r="DA13" s="118">
        <f t="shared" si="6"/>
        <v>0</v>
      </c>
      <c r="DB13" s="118">
        <f t="shared" si="7"/>
        <v>0</v>
      </c>
      <c r="DC13" s="118">
        <f t="shared" si="8"/>
        <v>0</v>
      </c>
    </row>
    <row r="14" spans="2:120" ht="16" x14ac:dyDescent="0.2">
      <c r="B14" s="107" t="s">
        <v>400</v>
      </c>
      <c r="C14" s="191"/>
      <c r="D14" s="116"/>
      <c r="E14" s="116"/>
      <c r="F14" s="116"/>
      <c r="G14" s="119"/>
      <c r="H14" s="119"/>
      <c r="I14" s="119"/>
      <c r="J14" s="119"/>
      <c r="K14" s="116"/>
      <c r="L14" s="116"/>
      <c r="M14" s="116"/>
      <c r="N14" s="119"/>
      <c r="O14" s="119"/>
      <c r="P14" s="119"/>
      <c r="Q14" s="119"/>
      <c r="R14" s="116">
        <v>0</v>
      </c>
      <c r="S14" s="116">
        <v>0</v>
      </c>
      <c r="T14" s="116">
        <v>0</v>
      </c>
      <c r="U14" s="119">
        <v>0</v>
      </c>
      <c r="V14" s="119">
        <v>0</v>
      </c>
      <c r="W14" s="119">
        <v>0</v>
      </c>
      <c r="X14" s="119">
        <f t="shared" si="21"/>
        <v>0</v>
      </c>
      <c r="Y14" s="116">
        <v>0</v>
      </c>
      <c r="Z14" s="116">
        <v>0</v>
      </c>
      <c r="AA14" s="116">
        <v>0</v>
      </c>
      <c r="AB14" s="119">
        <v>0</v>
      </c>
      <c r="AC14" s="119">
        <v>0</v>
      </c>
      <c r="AD14" s="119">
        <v>0</v>
      </c>
      <c r="AE14" s="119">
        <f t="shared" si="22"/>
        <v>0</v>
      </c>
      <c r="AF14" s="116">
        <v>0</v>
      </c>
      <c r="AG14" s="116">
        <v>0</v>
      </c>
      <c r="AH14" s="116">
        <v>0</v>
      </c>
      <c r="AI14" s="119">
        <v>0</v>
      </c>
      <c r="AJ14" s="119">
        <v>0</v>
      </c>
      <c r="AK14" s="119">
        <v>0</v>
      </c>
      <c r="AL14" s="119">
        <f t="shared" si="23"/>
        <v>0</v>
      </c>
      <c r="AM14" s="116">
        <v>0</v>
      </c>
      <c r="AN14" s="116">
        <v>0</v>
      </c>
      <c r="AO14" s="116">
        <v>0</v>
      </c>
      <c r="AP14" s="119">
        <v>0</v>
      </c>
      <c r="AQ14" s="119">
        <v>0</v>
      </c>
      <c r="AR14" s="119">
        <v>0</v>
      </c>
      <c r="AS14" s="119">
        <f t="shared" si="24"/>
        <v>0</v>
      </c>
      <c r="AT14" s="116">
        <v>0</v>
      </c>
      <c r="AU14" s="116">
        <v>0</v>
      </c>
      <c r="AV14" s="116">
        <v>0</v>
      </c>
      <c r="AW14" s="119">
        <v>0</v>
      </c>
      <c r="AX14" s="119">
        <v>0</v>
      </c>
      <c r="AY14" s="119">
        <v>0</v>
      </c>
      <c r="AZ14" s="119">
        <f t="shared" si="25"/>
        <v>0</v>
      </c>
      <c r="BA14" s="116">
        <v>0</v>
      </c>
      <c r="BB14" s="116">
        <v>0</v>
      </c>
      <c r="BC14" s="116">
        <v>0</v>
      </c>
      <c r="BD14" s="119">
        <v>0</v>
      </c>
      <c r="BE14" s="119">
        <v>0</v>
      </c>
      <c r="BF14" s="119">
        <v>0</v>
      </c>
      <c r="BG14" s="119">
        <f t="shared" si="26"/>
        <v>0</v>
      </c>
      <c r="BH14" s="116">
        <v>0</v>
      </c>
      <c r="BI14" s="116">
        <v>0</v>
      </c>
      <c r="BJ14" s="116">
        <v>0</v>
      </c>
      <c r="BK14" s="119">
        <v>0</v>
      </c>
      <c r="BL14" s="119">
        <v>0</v>
      </c>
      <c r="BM14" s="119">
        <v>0</v>
      </c>
      <c r="BN14" s="119">
        <f t="shared" si="27"/>
        <v>0</v>
      </c>
      <c r="BO14" s="116">
        <v>0</v>
      </c>
      <c r="BP14" s="116">
        <v>0</v>
      </c>
      <c r="BQ14" s="116">
        <v>0</v>
      </c>
      <c r="BR14" s="119">
        <v>0</v>
      </c>
      <c r="BS14" s="119">
        <v>0</v>
      </c>
      <c r="BT14" s="119">
        <v>0</v>
      </c>
      <c r="BU14" s="119">
        <f t="shared" si="28"/>
        <v>0</v>
      </c>
      <c r="BV14" s="116">
        <v>0</v>
      </c>
      <c r="BW14" s="116">
        <v>0</v>
      </c>
      <c r="BX14" s="116">
        <v>0</v>
      </c>
      <c r="BY14" s="119">
        <v>0</v>
      </c>
      <c r="BZ14" s="119">
        <v>0</v>
      </c>
      <c r="CA14" s="119">
        <v>0</v>
      </c>
      <c r="CB14" s="119">
        <f t="shared" si="29"/>
        <v>0</v>
      </c>
      <c r="CC14" s="116">
        <v>0</v>
      </c>
      <c r="CD14" s="116">
        <v>0</v>
      </c>
      <c r="CE14" s="116">
        <v>0</v>
      </c>
      <c r="CF14" s="119">
        <v>0</v>
      </c>
      <c r="CG14" s="119">
        <v>0</v>
      </c>
      <c r="CH14" s="119">
        <v>0</v>
      </c>
      <c r="CI14" s="119">
        <f t="shared" si="30"/>
        <v>0</v>
      </c>
      <c r="CJ14" s="115">
        <f>SUMIFS(wallet_records!$D:$D,wallet_records!$B:$B,'EEFF 2022'!$C14,wallet_records!$L:$L,'EEFF 2022'!CJ$3,wallet_records!$O:$O,'EEFF 2022'!$B$1,wallet_records!$H:$H,'EEFF 2022'!$B14)</f>
        <v>0</v>
      </c>
      <c r="CK14" s="115">
        <f>SUMIFS(wallet_records!$D:$D,wallet_records!$B:$B,'EEFF 2022'!$C14,wallet_records!$L:$L,'EEFF 2022'!CK$3,wallet_records!$O:$O,'EEFF 2022'!$B$1,wallet_records!$H:$H,'EEFF 2022'!$B14)</f>
        <v>0</v>
      </c>
      <c r="CL14" s="115">
        <f>SUMIFS(wallet_records!$D:$D,wallet_records!$B:$B,'EEFF 2022'!$C14,wallet_records!$L:$L,'EEFF 2022'!CL$3,wallet_records!$O:$O,'EEFF 2022'!$B$1,wallet_records!$H:$H,'EEFF 2022'!$B14)</f>
        <v>0</v>
      </c>
      <c r="CM14" s="115">
        <f>SUMIFS(wallet_records!$D:$D,wallet_records!$B:$B,'EEFF 2022'!$C14,wallet_records!$L:$L,'EEFF 2022'!CM$3,wallet_records!$O:$O,'EEFF 2022'!$B$1,wallet_records!$H:$H,'EEFF 2022'!$B14)</f>
        <v>0</v>
      </c>
      <c r="CN14" s="115">
        <f>SUMIFS(wallet_records!$D:$D,wallet_records!$B:$B,'EEFF 2022'!$C14,wallet_records!$L:$L,'EEFF 2022'!CN$3,wallet_records!$O:$O,'EEFF 2022'!$B$1,wallet_records!$H:$H,'EEFF 2022'!$B14)</f>
        <v>0</v>
      </c>
      <c r="CO14" s="115">
        <f>SUMIFS(wallet_records!$D:$D,wallet_records!$B:$B,'EEFF 2022'!$C14,wallet_records!$L:$L,'EEFF 2022'!CO$3,wallet_records!$O:$O,'EEFF 2022'!$B$1,wallet_records!$H:$H,'EEFF 2022'!$B14)</f>
        <v>0</v>
      </c>
      <c r="CP14" s="119">
        <f t="shared" si="31"/>
        <v>0</v>
      </c>
      <c r="CQ14" s="107"/>
      <c r="CR14" s="118"/>
      <c r="CS14" s="118"/>
      <c r="CT14" s="118"/>
      <c r="CU14" s="118">
        <f t="shared" si="0"/>
        <v>0</v>
      </c>
      <c r="CV14" s="118">
        <f t="shared" si="1"/>
        <v>0</v>
      </c>
      <c r="CW14" s="118">
        <f t="shared" si="2"/>
        <v>0</v>
      </c>
      <c r="CX14" s="118">
        <f t="shared" si="3"/>
        <v>0</v>
      </c>
      <c r="CY14" s="118">
        <f t="shared" si="4"/>
        <v>0</v>
      </c>
      <c r="CZ14" s="118">
        <f t="shared" si="5"/>
        <v>0</v>
      </c>
      <c r="DA14" s="118">
        <f t="shared" si="6"/>
        <v>0</v>
      </c>
      <c r="DB14" s="118">
        <f t="shared" si="7"/>
        <v>0</v>
      </c>
      <c r="DC14" s="118">
        <f t="shared" si="8"/>
        <v>0</v>
      </c>
    </row>
    <row r="15" spans="2:120" ht="16" x14ac:dyDescent="0.2">
      <c r="B15" s="107" t="s">
        <v>530</v>
      </c>
      <c r="C15" s="191"/>
      <c r="D15" s="116"/>
      <c r="E15" s="116"/>
      <c r="F15" s="116"/>
      <c r="G15" s="119"/>
      <c r="H15" s="119"/>
      <c r="I15" s="119"/>
      <c r="J15" s="119"/>
      <c r="K15" s="116"/>
      <c r="L15" s="116"/>
      <c r="M15" s="116"/>
      <c r="N15" s="119"/>
      <c r="O15" s="119"/>
      <c r="P15" s="119"/>
      <c r="Q15" s="119"/>
      <c r="R15" s="116"/>
      <c r="S15" s="116"/>
      <c r="T15" s="116"/>
      <c r="U15" s="119"/>
      <c r="V15" s="119"/>
      <c r="W15" s="119"/>
      <c r="X15" s="119"/>
      <c r="Y15" s="116"/>
      <c r="Z15" s="116"/>
      <c r="AA15" s="116"/>
      <c r="AB15" s="119"/>
      <c r="AC15" s="119"/>
      <c r="AD15" s="119"/>
      <c r="AE15" s="119"/>
      <c r="AF15" s="116"/>
      <c r="AG15" s="116"/>
      <c r="AH15" s="116"/>
      <c r="AI15" s="119"/>
      <c r="AJ15" s="119"/>
      <c r="AK15" s="119"/>
      <c r="AL15" s="119"/>
      <c r="AM15" s="116"/>
      <c r="AN15" s="116"/>
      <c r="AO15" s="116"/>
      <c r="AP15" s="119"/>
      <c r="AQ15" s="119"/>
      <c r="AR15" s="119"/>
      <c r="AS15" s="119"/>
      <c r="AT15" s="116"/>
      <c r="AU15" s="116"/>
      <c r="AV15" s="116"/>
      <c r="AW15" s="119"/>
      <c r="AX15" s="119"/>
      <c r="AY15" s="119"/>
      <c r="AZ15" s="119"/>
      <c r="BA15" s="116"/>
      <c r="BB15" s="116"/>
      <c r="BC15" s="116"/>
      <c r="BD15" s="119"/>
      <c r="BE15" s="119"/>
      <c r="BF15" s="119"/>
      <c r="BG15" s="119"/>
      <c r="BH15" s="116"/>
      <c r="BI15" s="116"/>
      <c r="BJ15" s="116"/>
      <c r="BK15" s="119"/>
      <c r="BL15" s="119"/>
      <c r="BM15" s="119"/>
      <c r="BN15" s="119"/>
      <c r="BO15" s="116"/>
      <c r="BP15" s="116"/>
      <c r="BQ15" s="116"/>
      <c r="BR15" s="119"/>
      <c r="BS15" s="119"/>
      <c r="BT15" s="119"/>
      <c r="BU15" s="119"/>
      <c r="BV15" s="116"/>
      <c r="BW15" s="116"/>
      <c r="BX15" s="116"/>
      <c r="BY15" s="119"/>
      <c r="BZ15" s="119"/>
      <c r="CA15" s="119"/>
      <c r="CB15" s="119"/>
      <c r="CC15" s="116"/>
      <c r="CD15" s="116"/>
      <c r="CE15" s="116"/>
      <c r="CF15" s="119"/>
      <c r="CG15" s="119"/>
      <c r="CH15" s="119"/>
      <c r="CI15" s="119"/>
      <c r="CJ15" s="115"/>
      <c r="CK15" s="115"/>
      <c r="CL15" s="115"/>
      <c r="CM15" s="115"/>
      <c r="CN15" s="115"/>
      <c r="CO15" s="115"/>
      <c r="CP15" s="119"/>
      <c r="CQ15" s="107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</row>
    <row r="16" spans="2:120" ht="16" x14ac:dyDescent="0.2">
      <c r="B16" s="109" t="s">
        <v>401</v>
      </c>
      <c r="C16" s="193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>
        <f t="shared" ref="R16:BP16" si="32">R8-R9-R10-R11-R12-R13-R14</f>
        <v>0</v>
      </c>
      <c r="S16" s="110">
        <f t="shared" si="32"/>
        <v>0</v>
      </c>
      <c r="T16" s="110">
        <f t="shared" si="32"/>
        <v>0</v>
      </c>
      <c r="U16" s="110">
        <f t="shared" si="32"/>
        <v>0</v>
      </c>
      <c r="V16" s="110">
        <f t="shared" si="32"/>
        <v>-158200</v>
      </c>
      <c r="W16" s="110">
        <f t="shared" si="32"/>
        <v>0</v>
      </c>
      <c r="X16" s="110">
        <f t="shared" si="32"/>
        <v>-158200</v>
      </c>
      <c r="Y16" s="110">
        <f t="shared" si="32"/>
        <v>0</v>
      </c>
      <c r="Z16" s="110">
        <f t="shared" si="32"/>
        <v>0</v>
      </c>
      <c r="AA16" s="110">
        <f t="shared" si="32"/>
        <v>665795</v>
      </c>
      <c r="AB16" s="110">
        <f t="shared" si="32"/>
        <v>0</v>
      </c>
      <c r="AC16" s="110">
        <f t="shared" si="32"/>
        <v>886800</v>
      </c>
      <c r="AD16" s="110">
        <f t="shared" si="32"/>
        <v>225000</v>
      </c>
      <c r="AE16" s="110">
        <f t="shared" si="32"/>
        <v>1777595</v>
      </c>
      <c r="AF16" s="110">
        <f t="shared" si="32"/>
        <v>1972000</v>
      </c>
      <c r="AG16" s="110">
        <f t="shared" si="32"/>
        <v>0</v>
      </c>
      <c r="AH16" s="110">
        <f t="shared" si="32"/>
        <v>769795</v>
      </c>
      <c r="AI16" s="110">
        <f t="shared" si="32"/>
        <v>360000</v>
      </c>
      <c r="AJ16" s="110">
        <f t="shared" si="32"/>
        <v>-119721</v>
      </c>
      <c r="AK16" s="110">
        <f t="shared" si="32"/>
        <v>-183486</v>
      </c>
      <c r="AL16" s="263">
        <f t="shared" si="32"/>
        <v>2798588</v>
      </c>
      <c r="AM16" s="110">
        <f t="shared" si="32"/>
        <v>0</v>
      </c>
      <c r="AN16" s="110">
        <f t="shared" si="32"/>
        <v>0</v>
      </c>
      <c r="AO16" s="110">
        <f t="shared" si="32"/>
        <v>769795</v>
      </c>
      <c r="AP16" s="110">
        <f t="shared" si="32"/>
        <v>720000</v>
      </c>
      <c r="AQ16" s="110">
        <f t="shared" si="32"/>
        <v>2053600</v>
      </c>
      <c r="AR16" s="110">
        <f t="shared" si="32"/>
        <v>0</v>
      </c>
      <c r="AS16" s="110">
        <f t="shared" si="32"/>
        <v>3543395</v>
      </c>
      <c r="AT16" s="110">
        <f t="shared" si="32"/>
        <v>986000</v>
      </c>
      <c r="AU16" s="110">
        <f t="shared" si="32"/>
        <v>0</v>
      </c>
      <c r="AV16" s="110">
        <f t="shared" si="32"/>
        <v>769795</v>
      </c>
      <c r="AW16" s="110">
        <f t="shared" si="32"/>
        <v>0</v>
      </c>
      <c r="AX16" s="110">
        <f t="shared" si="32"/>
        <v>1026800</v>
      </c>
      <c r="AY16" s="110">
        <f t="shared" si="32"/>
        <v>-2074107</v>
      </c>
      <c r="AZ16" s="110">
        <f t="shared" si="32"/>
        <v>708488</v>
      </c>
      <c r="BA16" s="110">
        <f t="shared" si="32"/>
        <v>366000</v>
      </c>
      <c r="BB16" s="110">
        <f t="shared" si="32"/>
        <v>0</v>
      </c>
      <c r="BC16" s="110">
        <f t="shared" si="32"/>
        <v>-273269</v>
      </c>
      <c r="BD16" s="110">
        <f t="shared" si="32"/>
        <v>720000</v>
      </c>
      <c r="BE16" s="110">
        <f t="shared" si="32"/>
        <v>1026800</v>
      </c>
      <c r="BF16" s="110">
        <f t="shared" si="32"/>
        <v>-9183486</v>
      </c>
      <c r="BG16" s="110">
        <f t="shared" si="32"/>
        <v>-7343955</v>
      </c>
      <c r="BH16" s="110">
        <f t="shared" si="32"/>
        <v>986000</v>
      </c>
      <c r="BI16" s="110">
        <f t="shared" si="32"/>
        <v>0</v>
      </c>
      <c r="BJ16" s="110">
        <f t="shared" si="32"/>
        <v>769798</v>
      </c>
      <c r="BK16" s="110">
        <f t="shared" si="32"/>
        <v>0</v>
      </c>
      <c r="BL16" s="110">
        <f t="shared" si="32"/>
        <v>0</v>
      </c>
      <c r="BM16" s="110">
        <f t="shared" si="32"/>
        <v>-5500000</v>
      </c>
      <c r="BN16" s="110">
        <f t="shared" si="32"/>
        <v>-3744202</v>
      </c>
      <c r="BO16" s="110">
        <f t="shared" si="32"/>
        <v>986000</v>
      </c>
      <c r="BP16" s="110">
        <f t="shared" si="32"/>
        <v>0</v>
      </c>
      <c r="BQ16" s="110">
        <f t="shared" ref="BQ16:CO16" si="33">BQ8-BQ9-BQ10-BQ11-BQ12-BQ13-BQ14</f>
        <v>769795</v>
      </c>
      <c r="BR16" s="110">
        <f t="shared" si="33"/>
        <v>720000</v>
      </c>
      <c r="BS16" s="110">
        <f t="shared" si="33"/>
        <v>2053600</v>
      </c>
      <c r="BT16" s="110">
        <f t="shared" si="33"/>
        <v>-4311509</v>
      </c>
      <c r="BU16" s="110">
        <f t="shared" si="33"/>
        <v>217886</v>
      </c>
      <c r="BV16" s="110">
        <f t="shared" si="33"/>
        <v>986000</v>
      </c>
      <c r="BW16" s="110">
        <f t="shared" si="33"/>
        <v>0</v>
      </c>
      <c r="BX16" s="110">
        <f t="shared" si="33"/>
        <v>769795</v>
      </c>
      <c r="BY16" s="110">
        <f t="shared" si="33"/>
        <v>360000</v>
      </c>
      <c r="BZ16" s="110">
        <f t="shared" si="33"/>
        <v>1026800</v>
      </c>
      <c r="CA16" s="110">
        <f t="shared" si="33"/>
        <v>-82217</v>
      </c>
      <c r="CB16" s="110">
        <f t="shared" si="33"/>
        <v>3060378</v>
      </c>
      <c r="CC16" s="110">
        <f t="shared" si="33"/>
        <v>1086000</v>
      </c>
      <c r="CD16" s="110">
        <f t="shared" si="33"/>
        <v>0</v>
      </c>
      <c r="CE16" s="110">
        <f t="shared" si="33"/>
        <v>769795</v>
      </c>
      <c r="CF16" s="110">
        <f t="shared" si="33"/>
        <v>360000</v>
      </c>
      <c r="CG16" s="110">
        <f t="shared" si="33"/>
        <v>0</v>
      </c>
      <c r="CH16" s="110">
        <f t="shared" si="33"/>
        <v>-829786.5</v>
      </c>
      <c r="CI16" s="110">
        <f t="shared" si="33"/>
        <v>1386008.5</v>
      </c>
      <c r="CJ16" s="110">
        <f t="shared" si="33"/>
        <v>7368000</v>
      </c>
      <c r="CK16" s="110">
        <f t="shared" si="33"/>
        <v>0</v>
      </c>
      <c r="CL16" s="110">
        <f t="shared" si="33"/>
        <v>5781094</v>
      </c>
      <c r="CM16" s="110">
        <f t="shared" si="33"/>
        <v>3240000</v>
      </c>
      <c r="CN16" s="110">
        <f t="shared" si="33"/>
        <v>7796479</v>
      </c>
      <c r="CO16" s="110">
        <f t="shared" si="33"/>
        <v>-21939591.5</v>
      </c>
      <c r="CP16" s="110">
        <f>CP8-CP9-CP10-CP11-CP12-CP13-CP14</f>
        <v>2245981.5</v>
      </c>
      <c r="CQ16" s="107"/>
      <c r="CR16" s="111"/>
      <c r="CS16" s="111"/>
      <c r="CT16" s="111"/>
      <c r="CU16" s="111">
        <f t="shared" si="0"/>
        <v>0.73912474012474016</v>
      </c>
      <c r="CV16" s="111">
        <f t="shared" si="1"/>
        <v>0.76464153005464486</v>
      </c>
      <c r="CW16" s="111">
        <f t="shared" si="2"/>
        <v>0.83966706161137439</v>
      </c>
      <c r="CX16" s="111">
        <f t="shared" si="3"/>
        <v>0.20837882352941176</v>
      </c>
      <c r="CY16" s="111">
        <f t="shared" si="4"/>
        <v>-1.7825133495145631</v>
      </c>
      <c r="CZ16" s="111">
        <f t="shared" si="5"/>
        <v>-1.70191</v>
      </c>
      <c r="DA16" s="111">
        <f t="shared" si="6"/>
        <v>4.0956015037593982E-2</v>
      </c>
      <c r="DB16" s="111">
        <f t="shared" si="7"/>
        <v>0.81393031914893621</v>
      </c>
      <c r="DC16" s="111">
        <f t="shared" si="8"/>
        <v>0.52105582706766918</v>
      </c>
    </row>
    <row r="17" spans="2:107" ht="16" x14ac:dyDescent="0.2"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5"/>
      <c r="K17" s="120"/>
      <c r="L17" s="120"/>
      <c r="M17" s="120"/>
      <c r="N17" s="120"/>
      <c r="O17" s="120"/>
      <c r="P17" s="120"/>
      <c r="Q17" s="115"/>
      <c r="R17" s="120"/>
      <c r="S17" s="120"/>
      <c r="T17" s="120"/>
      <c r="U17" s="120"/>
      <c r="V17" s="120"/>
      <c r="W17" s="120"/>
      <c r="X17" s="115">
        <f>SUMIFS(wallet_records!$D:$D,wallet_records!$B:$B,'EEFF 2022'!$C17,wallet_records!$O:$O,'EEFF 2022'!$B$1,wallet_records!$N:$N,'EEFF 2022'!X$2,wallet_records!$H:$H,'EEFF 2022'!$B17,wallet_records!$F:$F,"Ingreso")</f>
        <v>0</v>
      </c>
      <c r="Y17" s="120"/>
      <c r="Z17" s="120"/>
      <c r="AA17" s="120"/>
      <c r="AB17" s="120"/>
      <c r="AC17" s="120"/>
      <c r="AD17" s="120"/>
      <c r="AE17" s="115">
        <f>SUMIFS(wallet_records!$D:$D,wallet_records!$B:$B,'EEFF 2022'!$C17,wallet_records!$O:$O,'EEFF 2022'!$B$1,wallet_records!$N:$N,'EEFF 2022'!AE$2,wallet_records!$H:$H,'EEFF 2022'!$B17,wallet_records!$F:$F,"Ingreso")</f>
        <v>0</v>
      </c>
      <c r="AF17" s="120"/>
      <c r="AG17" s="120"/>
      <c r="AH17" s="120"/>
      <c r="AI17" s="120"/>
      <c r="AJ17" s="120"/>
      <c r="AK17" s="120"/>
      <c r="AL17" s="116">
        <f>SUMIFS(wallet_records!$D:$D,wallet_records!$B:$B,'EEFF 2022'!$C17,wallet_records!$O:$O,'EEFF 2022'!$B$1,wallet_records!$N:$N,'EEFF 2022'!AL$2,wallet_records!$H:$H,'EEFF 2022'!$B17,wallet_records!$F:$F,"Ingreso")</f>
        <v>0</v>
      </c>
      <c r="AM17" s="120"/>
      <c r="AN17" s="120"/>
      <c r="AO17" s="120"/>
      <c r="AP17" s="120"/>
      <c r="AQ17" s="120"/>
      <c r="AR17" s="120"/>
      <c r="AS17" s="115">
        <f>SUMIFS(wallet_records!$D:$D,wallet_records!$B:$B,'EEFF 2022'!$C17,wallet_records!$O:$O,'EEFF 2022'!$B$1,wallet_records!$N:$N,'EEFF 2022'!AS$2,wallet_records!$H:$H,'EEFF 2022'!$B17,wallet_records!$F:$F,"Ingreso")</f>
        <v>0</v>
      </c>
      <c r="AT17" s="120"/>
      <c r="AU17" s="120"/>
      <c r="AV17" s="120"/>
      <c r="AW17" s="120"/>
      <c r="AX17" s="120"/>
      <c r="AY17" s="120"/>
      <c r="AZ17" s="115">
        <f>SUMIFS(wallet_records!$D:$D,wallet_records!$B:$B,'EEFF 2022'!$C17,wallet_records!$O:$O,'EEFF 2022'!$B$1,wallet_records!$N:$N,'EEFF 2022'!AZ$2,wallet_records!$H:$H,'EEFF 2022'!$B17,wallet_records!$F:$F,"Ingreso")</f>
        <v>0</v>
      </c>
      <c r="BA17" s="120"/>
      <c r="BB17" s="120"/>
      <c r="BC17" s="120"/>
      <c r="BD17" s="120"/>
      <c r="BE17" s="120"/>
      <c r="BF17" s="120"/>
      <c r="BG17" s="115">
        <f>SUMIFS(wallet_records!$D:$D,wallet_records!$B:$B,'EEFF 2022'!$C17,wallet_records!$O:$O,'EEFF 2022'!$B$1,wallet_records!$N:$N,'EEFF 2022'!BG$2,wallet_records!$H:$H,'EEFF 2022'!$B17,wallet_records!$F:$F,"Ingreso")</f>
        <v>0</v>
      </c>
      <c r="BH17" s="120"/>
      <c r="BI17" s="120"/>
      <c r="BJ17" s="120"/>
      <c r="BK17" s="120"/>
      <c r="BL17" s="120"/>
      <c r="BM17" s="120"/>
      <c r="BN17" s="115">
        <f>SUMIFS(wallet_records!$D:$D,wallet_records!$B:$B,'EEFF 2022'!$C17,wallet_records!$O:$O,'EEFF 2022'!$B$1,wallet_records!$N:$N,'EEFF 2022'!BN$2,wallet_records!$H:$H,'EEFF 2022'!$B17,wallet_records!$F:$F,"Ingreso")</f>
        <v>0</v>
      </c>
      <c r="BO17" s="120"/>
      <c r="BP17" s="120"/>
      <c r="BQ17" s="120"/>
      <c r="BR17" s="120"/>
      <c r="BS17" s="120"/>
      <c r="BT17" s="120"/>
      <c r="BU17" s="115">
        <f>SUMIFS(wallet_records!$D:$D,wallet_records!$B:$B,'EEFF 2022'!$C17,wallet_records!$O:$O,'EEFF 2022'!$B$1,wallet_records!$N:$N,'EEFF 2022'!BU$2,wallet_records!$H:$H,'EEFF 2022'!$B17,wallet_records!$F:$F,"Ingreso")</f>
        <v>0</v>
      </c>
      <c r="BV17" s="120"/>
      <c r="BW17" s="120"/>
      <c r="BX17" s="120"/>
      <c r="BY17" s="120"/>
      <c r="BZ17" s="120"/>
      <c r="CA17" s="120"/>
      <c r="CB17" s="115">
        <f>SUMIFS(wallet_records!$D:$D,wallet_records!$B:$B,'EEFF 2022'!$C17,wallet_records!$O:$O,'EEFF 2022'!$B$1,wallet_records!$N:$N,'EEFF 2022'!CB$2,wallet_records!$H:$H,'EEFF 2022'!$B17,wallet_records!$F:$F,"Ingreso")</f>
        <v>0</v>
      </c>
      <c r="CC17" s="120"/>
      <c r="CD17" s="120"/>
      <c r="CE17" s="120"/>
      <c r="CF17" s="120"/>
      <c r="CG17" s="120"/>
      <c r="CH17" s="120"/>
      <c r="CI17" s="115">
        <f>SUMIFS(wallet_records!$D:$D,wallet_records!$B:$B,'EEFF 2022'!$C17,wallet_records!$O:$O,'EEFF 2022'!$B$1,wallet_records!$N:$N,'EEFF 2022'!CI$2,wallet_records!$H:$H,'EEFF 2022'!$B17,wallet_records!$F:$F,"Ingreso")</f>
        <v>0</v>
      </c>
      <c r="CJ17" s="120"/>
      <c r="CK17" s="120"/>
      <c r="CL17" s="120"/>
      <c r="CM17" s="120"/>
      <c r="CN17" s="120"/>
      <c r="CO17" s="120"/>
      <c r="CP17" s="115">
        <f>SUMIFS(wallet_records!$D:$D,wallet_records!$B:$B,'EEFF 2022'!$C17,wallet_records!$O:$O,'EEFF 2022'!$B$1,wallet_records!$H:$H,'EEFF 2022'!$B17,wallet_records!$F:$F,"Ingreso")</f>
        <v>0</v>
      </c>
      <c r="CQ17" s="107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</row>
    <row r="18" spans="2:107" ht="16" x14ac:dyDescent="0.2">
      <c r="B18" s="235" t="s">
        <v>522</v>
      </c>
      <c r="C18" s="191" t="s">
        <v>136</v>
      </c>
      <c r="D18" s="115"/>
      <c r="E18" s="115"/>
      <c r="F18" s="115"/>
      <c r="G18" s="121"/>
      <c r="H18" s="121"/>
      <c r="I18" s="121"/>
      <c r="J18" s="115"/>
      <c r="K18" s="115"/>
      <c r="L18" s="115"/>
      <c r="M18" s="115"/>
      <c r="N18" s="121"/>
      <c r="O18" s="121"/>
      <c r="P18" s="121"/>
      <c r="Q18" s="115"/>
      <c r="R18" s="121"/>
      <c r="S18" s="121"/>
      <c r="T18" s="121"/>
      <c r="U18" s="121"/>
      <c r="V18" s="121"/>
      <c r="X18" s="115">
        <f>SUMIFS(wallet_records!$D:$D,wallet_records!$B:$B,'EEFF 2022'!$C18,wallet_records!$O:$O,'EEFF 2022'!$B$1,wallet_records!$N:$N,'EEFF 2022'!X$2,wallet_records!$H:$H,'EEFF 2022'!$B18,wallet_records!$F:$F,"Ingreso")</f>
        <v>158200</v>
      </c>
      <c r="Y18" s="121"/>
      <c r="Z18" s="121"/>
      <c r="AA18" s="121"/>
      <c r="AB18" s="121"/>
      <c r="AC18" s="121"/>
      <c r="AE18" s="115">
        <f>SUMIFS(wallet_records!$D:$D,wallet_records!$B:$B,'EEFF 2022'!$C18,wallet_records!$O:$O,'EEFF 2022'!$B$1,wallet_records!$N:$N,'EEFF 2022'!AE$2,wallet_records!$H:$H,'EEFF 2022'!$B18,wallet_records!$F:$F,"Ingreso")</f>
        <v>140000</v>
      </c>
      <c r="AF18" s="121"/>
      <c r="AG18" s="121"/>
      <c r="AH18" s="121"/>
      <c r="AI18" s="121"/>
      <c r="AJ18" s="121"/>
      <c r="AL18" s="116">
        <f>SUMIFS(wallet_records!$D:$D,wallet_records!$B:$B,'EEFF 2022'!$C18,wallet_records!$O:$O,'EEFF 2022'!$B$1,wallet_records!$N:$N,'EEFF 2022'!AL$2,wallet_records!$H:$H,'EEFF 2022'!$B18,wallet_records!$F:$F,"Ingreso")</f>
        <v>373610.06</v>
      </c>
      <c r="AM18" s="121"/>
      <c r="AN18" s="121"/>
      <c r="AO18" s="121"/>
      <c r="AP18" s="121"/>
      <c r="AQ18" s="121"/>
      <c r="AS18" s="115">
        <f>SUMIFS(wallet_records!$D:$D,wallet_records!$B:$B,'EEFF 2022'!$C18,wallet_records!$O:$O,'EEFF 2022'!$B$1,wallet_records!$N:$N,'EEFF 2022'!AS$2,wallet_records!$H:$H,'EEFF 2022'!$B18,wallet_records!$F:$F,"Ingreso")</f>
        <v>0</v>
      </c>
      <c r="AT18" s="121"/>
      <c r="AU18" s="121"/>
      <c r="AV18" s="121"/>
      <c r="AW18" s="121"/>
      <c r="AX18" s="121"/>
      <c r="AZ18" s="115">
        <f>SUMIFS(wallet_records!$D:$D,wallet_records!$B:$B,'EEFF 2022'!$C18,wallet_records!$O:$O,'EEFF 2022'!$B$1,wallet_records!$N:$N,'EEFF 2022'!AZ$2,wallet_records!$H:$H,'EEFF 2022'!$B18,wallet_records!$F:$F,"Ingreso")</f>
        <v>2071815.75</v>
      </c>
      <c r="BA18" s="121"/>
      <c r="BB18" s="121"/>
      <c r="BC18" s="121"/>
      <c r="BD18" s="121"/>
      <c r="BE18" s="121"/>
      <c r="BG18" s="115">
        <f>SUMIFS(wallet_records!$D:$D,wallet_records!$B:$B,'EEFF 2022'!$C18,wallet_records!$O:$O,'EEFF 2022'!$B$1,wallet_records!$N:$N,'EEFF 2022'!BG$2,wallet_records!$H:$H,'EEFF 2022'!$B18,wallet_records!$F:$F,"Ingreso")</f>
        <v>9789819.9700000007</v>
      </c>
      <c r="BH18" s="121"/>
      <c r="BI18" s="121"/>
      <c r="BJ18" s="121"/>
      <c r="BK18" s="121"/>
      <c r="BL18" s="121"/>
      <c r="BN18" s="115">
        <f>SUMIFS(wallet_records!$D:$D,wallet_records!$B:$B,'EEFF 2022'!$C18,wallet_records!$O:$O,'EEFF 2022'!$B$1,wallet_records!$N:$N,'EEFF 2022'!BN$2,wallet_records!$H:$H,'EEFF 2022'!$B18,wallet_records!$F:$F,"Ingreso")</f>
        <v>5496722.8300000001</v>
      </c>
      <c r="BO18" s="121"/>
      <c r="BP18" s="121"/>
      <c r="BQ18" s="121"/>
      <c r="BR18" s="121"/>
      <c r="BS18" s="121"/>
      <c r="BU18" s="115">
        <f>SUMIFS(wallet_records!$D:$D,wallet_records!$B:$B,'EEFF 2022'!$C18,wallet_records!$O:$O,'EEFF 2022'!$B$1,wallet_records!$N:$N,'EEFF 2022'!BU$2,wallet_records!$H:$H,'EEFF 2022'!$B18,wallet_records!$F:$F,"Ingreso")</f>
        <v>4300444.75</v>
      </c>
      <c r="BV18" s="121"/>
      <c r="BW18" s="121"/>
      <c r="BX18" s="121"/>
      <c r="BY18" s="121"/>
      <c r="BZ18" s="121"/>
      <c r="CB18" s="115">
        <f>SUMIFS(wallet_records!$D:$D,wallet_records!$B:$B,'EEFF 2022'!$C18,wallet_records!$O:$O,'EEFF 2022'!$B$1,wallet_records!$N:$N,'EEFF 2022'!CB$2,wallet_records!$H:$H,'EEFF 2022'!$B18,wallet_records!$F:$F,"Ingreso")</f>
        <v>577332.87</v>
      </c>
      <c r="CC18" s="121"/>
      <c r="CD18" s="121"/>
      <c r="CE18" s="121"/>
      <c r="CF18" s="121"/>
      <c r="CG18" s="121"/>
      <c r="CI18" s="115">
        <f>SUMIFS(wallet_records!$D:$D,wallet_records!$B:$B,'EEFF 2022'!$C18,wallet_records!$O:$O,'EEFF 2022'!$B$1,wallet_records!$N:$N,'EEFF 2022'!CI$2,wallet_records!$H:$H,'EEFF 2022'!$B18,wallet_records!$F:$F,"Ingreso")</f>
        <v>1325626.1200000001</v>
      </c>
      <c r="CJ18" s="121"/>
      <c r="CK18" s="121"/>
      <c r="CL18" s="121"/>
      <c r="CM18" s="121"/>
      <c r="CN18" s="121"/>
      <c r="CP18" s="115">
        <f>SUMIFS(wallet_records!$D:$D,wallet_records!$B:$B,'EEFF 2022'!$C18,wallet_records!$O:$O,'EEFF 2022'!$B$1,wallet_records!$H:$H,'EEFF 2022'!$B18,wallet_records!$F:$F,"Ingreso")</f>
        <v>24233572.349999998</v>
      </c>
      <c r="CQ18" s="107"/>
      <c r="CR18" s="118"/>
      <c r="CS18" s="118"/>
      <c r="CT18" s="118"/>
      <c r="CU18" s="118">
        <f t="shared" si="0"/>
        <v>5.8212058212058215E-2</v>
      </c>
      <c r="CV18" s="118">
        <f t="shared" si="1"/>
        <v>0.10207925136612021</v>
      </c>
      <c r="CW18" s="118">
        <f t="shared" si="2"/>
        <v>0</v>
      </c>
      <c r="CX18" s="118">
        <f t="shared" si="3"/>
        <v>0.60935757352941178</v>
      </c>
      <c r="CY18" s="118">
        <f t="shared" si="4"/>
        <v>2.376169895631068</v>
      </c>
      <c r="CZ18" s="118">
        <f t="shared" si="5"/>
        <v>2.4985103772727273</v>
      </c>
      <c r="DA18" s="118">
        <f t="shared" si="6"/>
        <v>0.80835427631578949</v>
      </c>
      <c r="DB18" s="118">
        <f t="shared" si="7"/>
        <v>0.15354597606382978</v>
      </c>
      <c r="DC18" s="118">
        <f t="shared" si="8"/>
        <v>0.49835568421052634</v>
      </c>
    </row>
    <row r="19" spans="2:107" ht="16" x14ac:dyDescent="0.2">
      <c r="B19" s="107" t="s">
        <v>477</v>
      </c>
      <c r="C19" s="191" t="s">
        <v>144</v>
      </c>
      <c r="D19" s="115"/>
      <c r="E19" s="115"/>
      <c r="F19" s="115"/>
      <c r="G19" s="121"/>
      <c r="H19" s="121"/>
      <c r="I19" s="121"/>
      <c r="J19" s="115"/>
      <c r="K19" s="115"/>
      <c r="L19" s="115"/>
      <c r="M19" s="115"/>
      <c r="N19" s="121"/>
      <c r="O19" s="121"/>
      <c r="P19" s="121"/>
      <c r="Q19" s="115"/>
      <c r="R19" s="121"/>
      <c r="S19" s="121"/>
      <c r="T19" s="121"/>
      <c r="U19" s="121"/>
      <c r="V19" s="121"/>
      <c r="X19" s="115">
        <f>SUMIFS(wallet_records!$D:$D,wallet_records!$B:$B,'EEFF 2022'!$C19,wallet_records!$O:$O,'EEFF 2022'!$B$1,wallet_records!$N:$N,'EEFF 2022'!X$2,wallet_records!$H:$H,'EEFF 2022'!$B19)</f>
        <v>0</v>
      </c>
      <c r="Y19" s="121"/>
      <c r="Z19" s="121"/>
      <c r="AA19" s="121"/>
      <c r="AB19" s="121"/>
      <c r="AC19" s="121"/>
      <c r="AE19" s="115">
        <f>SUMIFS(wallet_records!$D:$D,wallet_records!$B:$B,'EEFF 2022'!$C19,wallet_records!$O:$O,'EEFF 2022'!$B$1,wallet_records!$N:$N,'EEFF 2022'!AE$2,wallet_records!$H:$H,'EEFF 2022'!$B19)</f>
        <v>0</v>
      </c>
      <c r="AF19" s="121"/>
      <c r="AG19" s="121"/>
      <c r="AH19" s="121"/>
      <c r="AI19" s="121"/>
      <c r="AJ19" s="121"/>
      <c r="AL19" s="116">
        <f>SUMIFS(wallet_records!$D:$D,wallet_records!$B:$B,'EEFF 2022'!$C19,wallet_records!$O:$O,'EEFF 2022'!$B$1,wallet_records!$N:$N,'EEFF 2022'!AL$2,wallet_records!$H:$H,'EEFF 2022'!$B19)</f>
        <v>0</v>
      </c>
      <c r="AM19" s="121"/>
      <c r="AN19" s="121"/>
      <c r="AO19" s="121"/>
      <c r="AP19" s="121"/>
      <c r="AQ19" s="121"/>
      <c r="AS19" s="115">
        <f>SUMIFS(wallet_records!$D:$D,wallet_records!$B:$B,'EEFF 2022'!$C19,wallet_records!$O:$O,'EEFF 2022'!$B$1,wallet_records!$N:$N,'EEFF 2022'!AS$2,wallet_records!$H:$H,'EEFF 2022'!$B19)</f>
        <v>0</v>
      </c>
      <c r="AT19" s="121"/>
      <c r="AU19" s="121"/>
      <c r="AV19" s="121"/>
      <c r="AW19" s="121"/>
      <c r="AX19" s="121"/>
      <c r="AZ19" s="115">
        <f>SUMIFS(wallet_records!$D:$D,wallet_records!$B:$B,'EEFF 2022'!$C19,wallet_records!$O:$O,'EEFF 2022'!$B$1,wallet_records!$N:$N,'EEFF 2022'!AZ$2,wallet_records!$H:$H,'EEFF 2022'!$B19)</f>
        <v>0</v>
      </c>
      <c r="BA19" s="121"/>
      <c r="BB19" s="121"/>
      <c r="BC19" s="121"/>
      <c r="BD19" s="121"/>
      <c r="BE19" s="121"/>
      <c r="BG19" s="115">
        <f>SUMIFS(wallet_records!$D:$D,wallet_records!$B:$B,'EEFF 2022'!$C19,wallet_records!$O:$O,'EEFF 2022'!$B$1,wallet_records!$N:$N,'EEFF 2022'!BG$2,wallet_records!$H:$H,'EEFF 2022'!$B19)</f>
        <v>0</v>
      </c>
      <c r="BH19" s="121"/>
      <c r="BI19" s="121"/>
      <c r="BJ19" s="121"/>
      <c r="BK19" s="121"/>
      <c r="BL19" s="121"/>
      <c r="BN19" s="115">
        <f>SUMIFS(wallet_records!$D:$D,wallet_records!$B:$B,'EEFF 2022'!$C19,wallet_records!$O:$O,'EEFF 2022'!$B$1,wallet_records!$N:$N,'EEFF 2022'!BN$2,wallet_records!$H:$H,'EEFF 2022'!$B19)</f>
        <v>0</v>
      </c>
      <c r="BO19" s="121"/>
      <c r="BP19" s="121"/>
      <c r="BQ19" s="121"/>
      <c r="BR19" s="121"/>
      <c r="BS19" s="121"/>
      <c r="BU19" s="115">
        <f>SUMIFS(wallet_records!$D:$D,wallet_records!$B:$B,'EEFF 2022'!$C19,wallet_records!$O:$O,'EEFF 2022'!$B$1,wallet_records!$N:$N,'EEFF 2022'!BU$2,wallet_records!$H:$H,'EEFF 2022'!$B19)</f>
        <v>0</v>
      </c>
      <c r="BV19" s="121"/>
      <c r="BW19" s="121"/>
      <c r="BX19" s="121"/>
      <c r="BY19" s="121"/>
      <c r="BZ19" s="121"/>
      <c r="CB19" s="115">
        <f>SUMIFS(wallet_records!$D:$D,wallet_records!$B:$B,'EEFF 2022'!$C19,wallet_records!$O:$O,'EEFF 2022'!$B$1,wallet_records!$N:$N,'EEFF 2022'!CB$2,wallet_records!$H:$H,'EEFF 2022'!$B19)</f>
        <v>0</v>
      </c>
      <c r="CC19" s="121"/>
      <c r="CD19" s="121"/>
      <c r="CE19" s="121"/>
      <c r="CF19" s="121"/>
      <c r="CG19" s="121"/>
      <c r="CI19" s="115">
        <f>SUMIFS(wallet_records!$D:$D,wallet_records!$B:$B,'EEFF 2022'!$C19,wallet_records!$O:$O,'EEFF 2022'!$B$1,wallet_records!$N:$N,'EEFF 2022'!CI$2,wallet_records!$H:$H,'EEFF 2022'!$B19)</f>
        <v>0</v>
      </c>
      <c r="CJ19" s="121"/>
      <c r="CK19" s="121"/>
      <c r="CL19" s="121"/>
      <c r="CM19" s="121"/>
      <c r="CN19" s="121"/>
      <c r="CP19" s="115">
        <f>SUMIFS(wallet_records!$D:$D,wallet_records!$B:$B,'EEFF 2022'!$C19,wallet_records!$O:$O,'EEFF 2022'!$B$1,wallet_records!$H:$H,'EEFF 2022'!$B19)</f>
        <v>0</v>
      </c>
      <c r="CQ19" s="107"/>
      <c r="CR19" s="118"/>
      <c r="CS19" s="118"/>
      <c r="CT19" s="118"/>
      <c r="CU19" s="118">
        <f t="shared" si="0"/>
        <v>0</v>
      </c>
      <c r="CV19" s="118">
        <f t="shared" si="1"/>
        <v>0</v>
      </c>
      <c r="CW19" s="118">
        <f t="shared" si="2"/>
        <v>0</v>
      </c>
      <c r="CX19" s="118">
        <f t="shared" si="3"/>
        <v>0</v>
      </c>
      <c r="CY19" s="118">
        <f t="shared" si="4"/>
        <v>0</v>
      </c>
      <c r="CZ19" s="118">
        <f t="shared" si="5"/>
        <v>0</v>
      </c>
      <c r="DA19" s="118">
        <f t="shared" si="6"/>
        <v>0</v>
      </c>
      <c r="DB19" s="118">
        <f t="shared" si="7"/>
        <v>0</v>
      </c>
      <c r="DC19" s="118">
        <f t="shared" si="8"/>
        <v>0</v>
      </c>
    </row>
    <row r="20" spans="2:107" x14ac:dyDescent="0.2">
      <c r="B20" s="107" t="s">
        <v>145</v>
      </c>
      <c r="C20" s="191" t="s">
        <v>144</v>
      </c>
      <c r="D20" s="187"/>
      <c r="E20" s="187"/>
      <c r="F20" s="187"/>
      <c r="G20" s="188"/>
      <c r="H20" s="188"/>
      <c r="I20" s="188"/>
      <c r="J20" s="115"/>
      <c r="K20" s="187"/>
      <c r="L20" s="187"/>
      <c r="M20" s="187"/>
      <c r="N20" s="187"/>
      <c r="O20" s="187"/>
      <c r="P20" s="187"/>
      <c r="Q20" s="115"/>
      <c r="R20" s="187"/>
      <c r="S20" s="187"/>
      <c r="T20" s="187"/>
      <c r="U20" s="188"/>
      <c r="V20" s="188"/>
      <c r="W20" s="188"/>
      <c r="X20" s="115">
        <f>SUMIFS(wallet_records!$D:$D,wallet_records!$B:$B,'EEFF 2022'!$C20,wallet_records!$O:$O,'EEFF 2022'!$B$1,wallet_records!$N:$N,'EEFF 2022'!X$2,wallet_records!$H:$H,'EEFF 2022'!$B20)</f>
        <v>0</v>
      </c>
      <c r="Y20" s="187"/>
      <c r="Z20" s="187"/>
      <c r="AA20" s="187"/>
      <c r="AB20" s="188"/>
      <c r="AC20" s="188"/>
      <c r="AD20" s="188"/>
      <c r="AE20" s="115">
        <f>SUMIFS(wallet_records!$D:$D,wallet_records!$B:$B,'EEFF 2022'!$C20,wallet_records!$O:$O,'EEFF 2022'!$B$1,wallet_records!$N:$N,'EEFF 2022'!AE$2,wallet_records!$H:$H,'EEFF 2022'!$B20)</f>
        <v>285000</v>
      </c>
      <c r="AF20" s="187"/>
      <c r="AG20" s="187"/>
      <c r="AH20" s="187"/>
      <c r="AI20" s="188"/>
      <c r="AJ20" s="188"/>
      <c r="AK20" s="188"/>
      <c r="AL20" s="116">
        <f>SUMIFS(wallet_records!$D:$D,wallet_records!$B:$B,'EEFF 2022'!$C20,wallet_records!$O:$O,'EEFF 2022'!$B$1,wallet_records!$N:$N,'EEFF 2022'!AL$2,wallet_records!$H:$H,'EEFF 2022'!$B20)</f>
        <v>285000</v>
      </c>
      <c r="AM20" s="187"/>
      <c r="AN20" s="187"/>
      <c r="AO20" s="187"/>
      <c r="AP20" s="188"/>
      <c r="AQ20" s="188"/>
      <c r="AR20" s="188"/>
      <c r="AS20" s="115">
        <f>SUMIFS(wallet_records!$D:$D,wallet_records!$B:$B,'EEFF 2022'!$C20,wallet_records!$O:$O,'EEFF 2022'!$B$1,wallet_records!$N:$N,'EEFF 2022'!AS$2,wallet_records!$H:$H,'EEFF 2022'!$B20)</f>
        <v>285000</v>
      </c>
      <c r="AT20" s="187"/>
      <c r="AU20" s="187"/>
      <c r="AV20" s="187"/>
      <c r="AW20" s="188"/>
      <c r="AX20" s="188"/>
      <c r="AY20" s="188"/>
      <c r="AZ20" s="115">
        <f>SUMIFS(wallet_records!$D:$D,wallet_records!$B:$B,'EEFF 2022'!$C20,wallet_records!$O:$O,'EEFF 2022'!$B$1,wallet_records!$N:$N,'EEFF 2022'!AZ$2,wallet_records!$H:$H,'EEFF 2022'!$B20)</f>
        <v>285000</v>
      </c>
      <c r="BA20" s="187"/>
      <c r="BB20" s="187"/>
      <c r="BC20" s="187"/>
      <c r="BD20" s="188"/>
      <c r="BE20" s="188"/>
      <c r="BF20" s="188"/>
      <c r="BG20" s="115">
        <f>SUMIFS(wallet_records!$D:$D,wallet_records!$B:$B,'EEFF 2022'!$C20,wallet_records!$O:$O,'EEFF 2022'!$B$1,wallet_records!$N:$N,'EEFF 2022'!BG$2,wallet_records!$H:$H,'EEFF 2022'!$B20)</f>
        <v>285000</v>
      </c>
      <c r="BH20" s="187"/>
      <c r="BI20" s="187"/>
      <c r="BJ20" s="187"/>
      <c r="BK20" s="188"/>
      <c r="BL20" s="188"/>
      <c r="BM20" s="188"/>
      <c r="BN20" s="115">
        <f>SUMIFS(wallet_records!$D:$D,wallet_records!$B:$B,'EEFF 2022'!$C20,wallet_records!$O:$O,'EEFF 2022'!$B$1,wallet_records!$N:$N,'EEFF 2022'!BN$2,wallet_records!$H:$H,'EEFF 2022'!$B20)</f>
        <v>285000</v>
      </c>
      <c r="BO20" s="187"/>
      <c r="BP20" s="187"/>
      <c r="BQ20" s="187"/>
      <c r="BR20" s="188"/>
      <c r="BS20" s="188"/>
      <c r="BT20" s="188"/>
      <c r="BU20" s="115">
        <f>SUMIFS(wallet_records!$D:$D,wallet_records!$B:$B,'EEFF 2022'!$C20,wallet_records!$O:$O,'EEFF 2022'!$B$1,wallet_records!$N:$N,'EEFF 2022'!BU$2,wallet_records!$H:$H,'EEFF 2022'!$B20)</f>
        <v>285000</v>
      </c>
      <c r="BV20" s="187"/>
      <c r="BW20" s="187"/>
      <c r="BX20" s="187"/>
      <c r="BY20" s="188"/>
      <c r="BZ20" s="188"/>
      <c r="CA20" s="188"/>
      <c r="CB20" s="115">
        <f>SUMIFS(wallet_records!$D:$D,wallet_records!$B:$B,'EEFF 2022'!$C20,wallet_records!$O:$O,'EEFF 2022'!$B$1,wallet_records!$N:$N,'EEFF 2022'!CB$2,wallet_records!$H:$H,'EEFF 2022'!$B20)</f>
        <v>285000</v>
      </c>
      <c r="CC20" s="187"/>
      <c r="CD20" s="187"/>
      <c r="CE20" s="187"/>
      <c r="CF20" s="188"/>
      <c r="CG20" s="188"/>
      <c r="CH20" s="188"/>
      <c r="CI20" s="115">
        <f>SUMIFS(wallet_records!$D:$D,wallet_records!$B:$B,'EEFF 2022'!$C20,wallet_records!$O:$O,'EEFF 2022'!$B$1,wallet_records!$N:$N,'EEFF 2022'!CI$2,wallet_records!$H:$H,'EEFF 2022'!$B20)</f>
        <v>285000</v>
      </c>
      <c r="CJ20" s="116"/>
      <c r="CK20" s="116"/>
      <c r="CL20" s="116"/>
      <c r="CM20" s="116"/>
      <c r="CN20" s="116"/>
      <c r="CP20" s="115">
        <f>SUMIFS(wallet_records!$D:$D,wallet_records!$B:$B,'EEFF 2022'!$C20,wallet_records!$O:$O,'EEFF 2022'!$B$1,wallet_records!$H:$H,'EEFF 2022'!$B20)</f>
        <v>2565000</v>
      </c>
      <c r="CQ20" s="107"/>
      <c r="CR20" s="118"/>
      <c r="CS20" s="118"/>
      <c r="CT20" s="118"/>
      <c r="CU20" s="118">
        <f t="shared" si="0"/>
        <v>0.11850311850311851</v>
      </c>
      <c r="CV20" s="118">
        <f t="shared" si="1"/>
        <v>7.7868852459016397E-2</v>
      </c>
      <c r="CW20" s="118">
        <f t="shared" si="2"/>
        <v>6.7535545023696686E-2</v>
      </c>
      <c r="CX20" s="118">
        <f t="shared" si="3"/>
        <v>8.38235294117647E-2</v>
      </c>
      <c r="CY20" s="118">
        <f t="shared" si="4"/>
        <v>6.9174757281553395E-2</v>
      </c>
      <c r="CZ20" s="118">
        <f t="shared" si="5"/>
        <v>0.12954545454545455</v>
      </c>
      <c r="DA20" s="118">
        <f t="shared" si="6"/>
        <v>5.3571428571428568E-2</v>
      </c>
      <c r="DB20" s="118">
        <f t="shared" si="7"/>
        <v>7.5797872340425537E-2</v>
      </c>
      <c r="DC20" s="118">
        <f t="shared" si="8"/>
        <v>0.10714285714285714</v>
      </c>
    </row>
    <row r="21" spans="2:107" x14ac:dyDescent="0.2">
      <c r="B21" s="10" t="s">
        <v>132</v>
      </c>
      <c r="C21" s="191" t="s">
        <v>131</v>
      </c>
      <c r="D21" s="115"/>
      <c r="E21" s="115"/>
      <c r="F21" s="115"/>
      <c r="G21" s="116"/>
      <c r="H21" s="116"/>
      <c r="I21" s="116"/>
      <c r="J21" s="115"/>
      <c r="K21" s="115"/>
      <c r="L21" s="115"/>
      <c r="M21" s="115"/>
      <c r="N21" s="116"/>
      <c r="O21" s="116"/>
      <c r="P21" s="116"/>
      <c r="Q21" s="115"/>
      <c r="R21" s="116"/>
      <c r="S21" s="116"/>
      <c r="T21" s="116"/>
      <c r="U21" s="116"/>
      <c r="V21" s="116"/>
      <c r="X21" s="115">
        <f>SUMIFS(wallet_records!$D:$D,wallet_records!$B:$B,'EEFF 2022'!$C21,wallet_records!$O:$O,'EEFF 2022'!$B$1,wallet_records!$N:$N,'EEFF 2022'!X$2,wallet_records!$H:$H,'EEFF 2022'!$B21)</f>
        <v>0</v>
      </c>
      <c r="Y21" s="116"/>
      <c r="Z21" s="116"/>
      <c r="AA21" s="116"/>
      <c r="AB21" s="116"/>
      <c r="AC21" s="116"/>
      <c r="AE21" s="115">
        <f>SUMIFS(wallet_records!$D:$D,wallet_records!$B:$B,'EEFF 2022'!$C21,wallet_records!$O:$O,'EEFF 2022'!$B$1,wallet_records!$N:$N,'EEFF 2022'!AE$2,wallet_records!$H:$H,'EEFF 2022'!$B21)</f>
        <v>0</v>
      </c>
      <c r="AF21" s="116"/>
      <c r="AG21" s="116"/>
      <c r="AH21" s="116"/>
      <c r="AI21" s="116"/>
      <c r="AJ21" s="116"/>
      <c r="AL21" s="116">
        <f>SUMIFS(wallet_records!$D:$D,wallet_records!$B:$B,'EEFF 2022'!$C21,wallet_records!$O:$O,'EEFF 2022'!$B$1,wallet_records!$N:$N,'EEFF 2022'!AL$2,wallet_records!$H:$H,'EEFF 2022'!$B21)</f>
        <v>0</v>
      </c>
      <c r="AM21" s="116"/>
      <c r="AN21" s="116"/>
      <c r="AO21" s="116"/>
      <c r="AP21" s="116"/>
      <c r="AQ21" s="116"/>
      <c r="AS21" s="115">
        <f>SUMIFS(wallet_records!$D:$D,wallet_records!$B:$B,'EEFF 2022'!$C21,wallet_records!$O:$O,'EEFF 2022'!$B$1,wallet_records!$N:$N,'EEFF 2022'!AS$2,wallet_records!$H:$H,'EEFF 2022'!$B21)</f>
        <v>0</v>
      </c>
      <c r="AT21" s="116"/>
      <c r="AU21" s="116"/>
      <c r="AV21" s="116"/>
      <c r="AW21" s="116"/>
      <c r="AX21" s="116"/>
      <c r="AZ21" s="115">
        <f>SUMIFS(wallet_records!$D:$D,wallet_records!$B:$B,'EEFF 2022'!$C21,wallet_records!$O:$O,'EEFF 2022'!$B$1,wallet_records!$N:$N,'EEFF 2022'!AZ$2,wallet_records!$H:$H,'EEFF 2022'!$B21)</f>
        <v>0</v>
      </c>
      <c r="BA21" s="116"/>
      <c r="BB21" s="116"/>
      <c r="BC21" s="116"/>
      <c r="BD21" s="116"/>
      <c r="BE21" s="116"/>
      <c r="BG21" s="115">
        <f>SUMIFS(wallet_records!$D:$D,wallet_records!$B:$B,'EEFF 2022'!$C21,wallet_records!$O:$O,'EEFF 2022'!$B$1,wallet_records!$N:$N,'EEFF 2022'!BG$2,wallet_records!$H:$H,'EEFF 2022'!$B21)</f>
        <v>0</v>
      </c>
      <c r="BH21" s="116"/>
      <c r="BI21" s="116"/>
      <c r="BJ21" s="116"/>
      <c r="BK21" s="116"/>
      <c r="BL21" s="116"/>
      <c r="BN21" s="115">
        <f>SUMIFS(wallet_records!$D:$D,wallet_records!$B:$B,'EEFF 2022'!$C21,wallet_records!$O:$O,'EEFF 2022'!$B$1,wallet_records!$N:$N,'EEFF 2022'!BN$2,wallet_records!$H:$H,'EEFF 2022'!$B21)</f>
        <v>0</v>
      </c>
      <c r="BO21" s="116"/>
      <c r="BP21" s="116"/>
      <c r="BQ21" s="116"/>
      <c r="BR21" s="116"/>
      <c r="BS21" s="116"/>
      <c r="BU21" s="115">
        <f>SUMIFS(wallet_records!$D:$D,wallet_records!$B:$B,'EEFF 2022'!$C21,wallet_records!$O:$O,'EEFF 2022'!$B$1,wallet_records!$N:$N,'EEFF 2022'!BU$2,wallet_records!$H:$H,'EEFF 2022'!$B21)</f>
        <v>0</v>
      </c>
      <c r="BV21" s="116"/>
      <c r="BW21" s="116"/>
      <c r="BX21" s="116"/>
      <c r="BY21" s="116"/>
      <c r="BZ21" s="116"/>
      <c r="CB21" s="115">
        <f>SUMIFS(wallet_records!$D:$D,wallet_records!$B:$B,'EEFF 2022'!$C21,wallet_records!$O:$O,'EEFF 2022'!$B$1,wallet_records!$N:$N,'EEFF 2022'!CB$2,wallet_records!$H:$H,'EEFF 2022'!$B21)</f>
        <v>0</v>
      </c>
      <c r="CC21" s="116"/>
      <c r="CD21" s="116"/>
      <c r="CE21" s="116"/>
      <c r="CF21" s="116"/>
      <c r="CG21" s="116"/>
      <c r="CI21" s="115">
        <f>SUMIFS(wallet_records!$D:$D,wallet_records!$B:$B,'EEFF 2022'!$C21,wallet_records!$O:$O,'EEFF 2022'!$B$1,wallet_records!$N:$N,'EEFF 2022'!CI$2,wallet_records!$H:$H,'EEFF 2022'!$B21)</f>
        <v>0</v>
      </c>
      <c r="CJ21" s="116"/>
      <c r="CK21" s="116"/>
      <c r="CL21" s="116"/>
      <c r="CM21" s="116"/>
      <c r="CN21" s="116"/>
      <c r="CP21" s="115">
        <f>SUMIFS(wallet_records!$D:$D,wallet_records!$B:$B,'EEFF 2022'!$C21,wallet_records!$O:$O,'EEFF 2022'!$B$1,wallet_records!$H:$H,'EEFF 2022'!$B21)</f>
        <v>0</v>
      </c>
      <c r="CQ21" s="107"/>
      <c r="CR21" s="118"/>
      <c r="CS21" s="118"/>
      <c r="CT21" s="118"/>
      <c r="CU21" s="118">
        <f t="shared" si="0"/>
        <v>0</v>
      </c>
      <c r="CV21" s="118">
        <f t="shared" si="1"/>
        <v>0</v>
      </c>
      <c r="CW21" s="118">
        <f t="shared" si="2"/>
        <v>0</v>
      </c>
      <c r="CX21" s="118">
        <f t="shared" si="3"/>
        <v>0</v>
      </c>
      <c r="CY21" s="118">
        <f t="shared" si="4"/>
        <v>0</v>
      </c>
      <c r="CZ21" s="118">
        <f t="shared" si="5"/>
        <v>0</v>
      </c>
      <c r="DA21" s="118">
        <f t="shared" si="6"/>
        <v>0</v>
      </c>
      <c r="DB21" s="118">
        <f t="shared" si="7"/>
        <v>0</v>
      </c>
      <c r="DC21" s="118">
        <f t="shared" si="8"/>
        <v>0</v>
      </c>
    </row>
    <row r="22" spans="2:107" x14ac:dyDescent="0.2">
      <c r="B22" s="10" t="s">
        <v>222</v>
      </c>
      <c r="C22" s="191" t="s">
        <v>131</v>
      </c>
      <c r="D22" s="115"/>
      <c r="E22" s="115"/>
      <c r="F22" s="115"/>
      <c r="G22" s="116"/>
      <c r="H22" s="116"/>
      <c r="I22" s="116"/>
      <c r="J22" s="115"/>
      <c r="K22" s="115"/>
      <c r="L22" s="115"/>
      <c r="M22" s="115"/>
      <c r="N22" s="116"/>
      <c r="O22" s="116"/>
      <c r="P22" s="116"/>
      <c r="Q22" s="115"/>
      <c r="R22" s="116"/>
      <c r="S22" s="116"/>
      <c r="T22" s="116"/>
      <c r="U22" s="116"/>
      <c r="V22" s="116"/>
      <c r="X22" s="115">
        <f>SUMIFS(wallet_records!$D:$D,wallet_records!$B:$B,'EEFF 2022'!$C22,wallet_records!$O:$O,'EEFF 2022'!$B$1,wallet_records!$N:$N,'EEFF 2022'!X$2,wallet_records!$H:$H,'EEFF 2022'!$B22)</f>
        <v>0</v>
      </c>
      <c r="Y22" s="116"/>
      <c r="Z22" s="116"/>
      <c r="AA22" s="116"/>
      <c r="AB22" s="116"/>
      <c r="AC22" s="116"/>
      <c r="AE22" s="115">
        <f>SUMIFS(wallet_records!$D:$D,wallet_records!$B:$B,'EEFF 2022'!$C22,wallet_records!$O:$O,'EEFF 2022'!$B$1,wallet_records!$N:$N,'EEFF 2022'!AE$2,wallet_records!$H:$H,'EEFF 2022'!$B22)</f>
        <v>0</v>
      </c>
      <c r="AF22" s="116"/>
      <c r="AG22" s="116"/>
      <c r="AH22" s="116"/>
      <c r="AI22" s="116"/>
      <c r="AJ22" s="116"/>
      <c r="AL22" s="116">
        <f>SUMIFS(wallet_records!$D:$D,wallet_records!$B:$B,'EEFF 2022'!$C22,wallet_records!$O:$O,'EEFF 2022'!$B$1,wallet_records!$N:$N,'EEFF 2022'!AL$2,wallet_records!$H:$H,'EEFF 2022'!$B22)</f>
        <v>0</v>
      </c>
      <c r="AM22" s="116"/>
      <c r="AN22" s="116"/>
      <c r="AO22" s="116"/>
      <c r="AP22" s="116"/>
      <c r="AQ22" s="116"/>
      <c r="AS22" s="115">
        <f>SUMIFS(wallet_records!$D:$D,wallet_records!$B:$B,'EEFF 2022'!$C22,wallet_records!$O:$O,'EEFF 2022'!$B$1,wallet_records!$N:$N,'EEFF 2022'!AS$2,wallet_records!$H:$H,'EEFF 2022'!$B22)</f>
        <v>0</v>
      </c>
      <c r="AT22" s="116"/>
      <c r="AU22" s="116"/>
      <c r="AV22" s="116"/>
      <c r="AW22" s="116"/>
      <c r="AX22" s="116"/>
      <c r="AZ22" s="115">
        <f>SUMIFS(wallet_records!$D:$D,wallet_records!$B:$B,'EEFF 2022'!$C22,wallet_records!$O:$O,'EEFF 2022'!$B$1,wallet_records!$N:$N,'EEFF 2022'!AZ$2,wallet_records!$H:$H,'EEFF 2022'!$B22)</f>
        <v>0</v>
      </c>
      <c r="BA22" s="116"/>
      <c r="BB22" s="116"/>
      <c r="BC22" s="116"/>
      <c r="BD22" s="116"/>
      <c r="BE22" s="116"/>
      <c r="BG22" s="115">
        <f>SUMIFS(wallet_records!$D:$D,wallet_records!$B:$B,'EEFF 2022'!$C22,wallet_records!$O:$O,'EEFF 2022'!$B$1,wallet_records!$N:$N,'EEFF 2022'!BG$2,wallet_records!$H:$H,'EEFF 2022'!$B22)</f>
        <v>0</v>
      </c>
      <c r="BH22" s="116"/>
      <c r="BI22" s="116"/>
      <c r="BJ22" s="116"/>
      <c r="BK22" s="116"/>
      <c r="BL22" s="116"/>
      <c r="BN22" s="115">
        <f>SUMIFS(wallet_records!$D:$D,wallet_records!$B:$B,'EEFF 2022'!$C22,wallet_records!$O:$O,'EEFF 2022'!$B$1,wallet_records!$N:$N,'EEFF 2022'!BN$2,wallet_records!$H:$H,'EEFF 2022'!$B22)</f>
        <v>0</v>
      </c>
      <c r="BO22" s="116"/>
      <c r="BP22" s="116"/>
      <c r="BQ22" s="116"/>
      <c r="BR22" s="116"/>
      <c r="BS22" s="116"/>
      <c r="BU22" s="115">
        <f>SUMIFS(wallet_records!$D:$D,wallet_records!$B:$B,'EEFF 2022'!$C22,wallet_records!$O:$O,'EEFF 2022'!$B$1,wallet_records!$N:$N,'EEFF 2022'!BU$2,wallet_records!$H:$H,'EEFF 2022'!$B22)</f>
        <v>0</v>
      </c>
      <c r="BV22" s="116"/>
      <c r="BW22" s="116"/>
      <c r="BX22" s="116"/>
      <c r="BY22" s="116"/>
      <c r="BZ22" s="116"/>
      <c r="CB22" s="115">
        <f>SUMIFS(wallet_records!$D:$D,wallet_records!$B:$B,'EEFF 2022'!$C22,wallet_records!$O:$O,'EEFF 2022'!$B$1,wallet_records!$N:$N,'EEFF 2022'!CB$2,wallet_records!$H:$H,'EEFF 2022'!$B22)</f>
        <v>0</v>
      </c>
      <c r="CC22" s="116"/>
      <c r="CD22" s="116"/>
      <c r="CE22" s="116"/>
      <c r="CF22" s="116"/>
      <c r="CG22" s="116"/>
      <c r="CI22" s="115">
        <f>SUMIFS(wallet_records!$D:$D,wallet_records!$B:$B,'EEFF 2022'!$C22,wallet_records!$O:$O,'EEFF 2022'!$B$1,wallet_records!$N:$N,'EEFF 2022'!CI$2,wallet_records!$H:$H,'EEFF 2022'!$B22)</f>
        <v>0</v>
      </c>
      <c r="CJ22" s="116"/>
      <c r="CK22" s="116"/>
      <c r="CL22" s="116"/>
      <c r="CM22" s="116"/>
      <c r="CN22" s="116"/>
      <c r="CP22" s="115">
        <f>SUMIFS(wallet_records!$D:$D,wallet_records!$B:$B,'EEFF 2022'!$C22,wallet_records!$O:$O,'EEFF 2022'!$B$1,wallet_records!$H:$H,'EEFF 2022'!$B22)</f>
        <v>0</v>
      </c>
      <c r="CQ22" s="107"/>
      <c r="CR22" s="118"/>
      <c r="CS22" s="118"/>
      <c r="CT22" s="118"/>
      <c r="CU22" s="118">
        <f t="shared" si="0"/>
        <v>0</v>
      </c>
      <c r="CV22" s="118">
        <f t="shared" si="1"/>
        <v>0</v>
      </c>
      <c r="CW22" s="118">
        <f t="shared" si="2"/>
        <v>0</v>
      </c>
      <c r="CX22" s="118">
        <f t="shared" si="3"/>
        <v>0</v>
      </c>
      <c r="CY22" s="118">
        <f t="shared" si="4"/>
        <v>0</v>
      </c>
      <c r="CZ22" s="118">
        <f t="shared" si="5"/>
        <v>0</v>
      </c>
      <c r="DA22" s="118">
        <f t="shared" si="6"/>
        <v>0</v>
      </c>
      <c r="DB22" s="118">
        <f t="shared" si="7"/>
        <v>0</v>
      </c>
      <c r="DC22" s="118">
        <f t="shared" si="8"/>
        <v>0</v>
      </c>
    </row>
    <row r="23" spans="2:107" x14ac:dyDescent="0.2">
      <c r="B23" s="10" t="s">
        <v>87</v>
      </c>
      <c r="C23" s="191" t="s">
        <v>114</v>
      </c>
      <c r="D23" s="115"/>
      <c r="E23" s="115"/>
      <c r="F23" s="115"/>
      <c r="G23" s="116"/>
      <c r="H23" s="116"/>
      <c r="I23" s="116"/>
      <c r="J23" s="115"/>
      <c r="K23" s="115"/>
      <c r="L23" s="115"/>
      <c r="M23" s="115"/>
      <c r="N23" s="116"/>
      <c r="O23" s="116"/>
      <c r="P23" s="116"/>
      <c r="Q23" s="115"/>
      <c r="R23" s="116"/>
      <c r="S23" s="116"/>
      <c r="T23" s="116"/>
      <c r="U23" s="116"/>
      <c r="V23" s="116"/>
      <c r="X23" s="115">
        <f>SUMIFS(wallet_records!$D:$D,wallet_records!$B:$B,'EEFF 2022'!$C23,wallet_records!$O:$O,'EEFF 2022'!$B$1,wallet_records!$N:$N,'EEFF 2022'!X$2,wallet_records!$H:$H,'EEFF 2022'!$B23)</f>
        <v>0</v>
      </c>
      <c r="Y23" s="116"/>
      <c r="Z23" s="116"/>
      <c r="AA23" s="116"/>
      <c r="AB23" s="116"/>
      <c r="AC23" s="116"/>
      <c r="AE23" s="115">
        <f>SUMIFS(wallet_records!$D:$D,wallet_records!$B:$B,'EEFF 2022'!$C23,wallet_records!$O:$O,'EEFF 2022'!$B$1,wallet_records!$N:$N,'EEFF 2022'!AE$2,wallet_records!$H:$H,'EEFF 2022'!$B23)</f>
        <v>0</v>
      </c>
      <c r="AF23" s="116"/>
      <c r="AG23" s="116"/>
      <c r="AH23" s="116"/>
      <c r="AI23" s="116"/>
      <c r="AJ23" s="116"/>
      <c r="AL23" s="116">
        <f>SUMIFS(wallet_records!$D:$D,wallet_records!$B:$B,'EEFF 2022'!$C23,wallet_records!$O:$O,'EEFF 2022'!$B$1,wallet_records!$N:$N,'EEFF 2022'!AL$2,wallet_records!$H:$H,'EEFF 2022'!$B23)</f>
        <v>0</v>
      </c>
      <c r="AM23" s="116"/>
      <c r="AN23" s="116"/>
      <c r="AO23" s="116"/>
      <c r="AP23" s="116"/>
      <c r="AQ23" s="116"/>
      <c r="AS23" s="115">
        <f>SUMIFS(wallet_records!$D:$D,wallet_records!$B:$B,'EEFF 2022'!$C23,wallet_records!$O:$O,'EEFF 2022'!$B$1,wallet_records!$N:$N,'EEFF 2022'!AS$2,wallet_records!$H:$H,'EEFF 2022'!$B23)</f>
        <v>0</v>
      </c>
      <c r="AT23" s="116"/>
      <c r="AU23" s="116"/>
      <c r="AV23" s="116"/>
      <c r="AW23" s="116"/>
      <c r="AX23" s="116"/>
      <c r="AZ23" s="115">
        <f>SUMIFS(wallet_records!$D:$D,wallet_records!$B:$B,'EEFF 2022'!$C23,wallet_records!$O:$O,'EEFF 2022'!$B$1,wallet_records!$N:$N,'EEFF 2022'!AZ$2,wallet_records!$H:$H,'EEFF 2022'!$B23)</f>
        <v>0</v>
      </c>
      <c r="BA23" s="116"/>
      <c r="BB23" s="116"/>
      <c r="BC23" s="116"/>
      <c r="BD23" s="116"/>
      <c r="BE23" s="116"/>
      <c r="BG23" s="115">
        <f>SUMIFS(wallet_records!$D:$D,wallet_records!$B:$B,'EEFF 2022'!$C23,wallet_records!$O:$O,'EEFF 2022'!$B$1,wallet_records!$N:$N,'EEFF 2022'!BG$2,wallet_records!$H:$H,'EEFF 2022'!$B23)</f>
        <v>0</v>
      </c>
      <c r="BH23" s="116"/>
      <c r="BI23" s="116"/>
      <c r="BJ23" s="116"/>
      <c r="BK23" s="116"/>
      <c r="BL23" s="116"/>
      <c r="BN23" s="115">
        <f>SUMIFS(wallet_records!$D:$D,wallet_records!$B:$B,'EEFF 2022'!$C23,wallet_records!$O:$O,'EEFF 2022'!$B$1,wallet_records!$N:$N,'EEFF 2022'!BN$2,wallet_records!$H:$H,'EEFF 2022'!$B23)</f>
        <v>0</v>
      </c>
      <c r="BO23" s="116"/>
      <c r="BP23" s="116"/>
      <c r="BQ23" s="116"/>
      <c r="BR23" s="116"/>
      <c r="BS23" s="116"/>
      <c r="BU23" s="115">
        <f>SUMIFS(wallet_records!$D:$D,wallet_records!$B:$B,'EEFF 2022'!$C23,wallet_records!$O:$O,'EEFF 2022'!$B$1,wallet_records!$N:$N,'EEFF 2022'!BU$2,wallet_records!$H:$H,'EEFF 2022'!$B23)</f>
        <v>0</v>
      </c>
      <c r="BV23" s="116"/>
      <c r="BW23" s="116"/>
      <c r="BX23" s="116"/>
      <c r="BY23" s="116"/>
      <c r="BZ23" s="116"/>
      <c r="CB23" s="115">
        <f>SUMIFS(wallet_records!$D:$D,wallet_records!$B:$B,'EEFF 2022'!$C23,wallet_records!$O:$O,'EEFF 2022'!$B$1,wallet_records!$N:$N,'EEFF 2022'!CB$2,wallet_records!$H:$H,'EEFF 2022'!$B23)</f>
        <v>0</v>
      </c>
      <c r="CC23" s="116"/>
      <c r="CD23" s="116"/>
      <c r="CE23" s="116"/>
      <c r="CF23" s="116"/>
      <c r="CG23" s="116"/>
      <c r="CI23" s="115">
        <f>SUMIFS(wallet_records!$D:$D,wallet_records!$B:$B,'EEFF 2022'!$C23,wallet_records!$O:$O,'EEFF 2022'!$B$1,wallet_records!$N:$N,'EEFF 2022'!CI$2,wallet_records!$H:$H,'EEFF 2022'!$B23)</f>
        <v>0</v>
      </c>
      <c r="CJ23" s="116"/>
      <c r="CK23" s="116"/>
      <c r="CL23" s="116"/>
      <c r="CM23" s="116"/>
      <c r="CN23" s="116"/>
      <c r="CP23" s="115">
        <f>SUMIFS(wallet_records!$D:$D,wallet_records!$B:$B,'EEFF 2022'!$C23,wallet_records!$O:$O,'EEFF 2022'!$B$1,wallet_records!$H:$H,'EEFF 2022'!$B23)</f>
        <v>0</v>
      </c>
      <c r="CQ23" s="107"/>
      <c r="CR23" s="118"/>
      <c r="CS23" s="118"/>
      <c r="CT23" s="118"/>
      <c r="CU23" s="118">
        <f t="shared" si="0"/>
        <v>0</v>
      </c>
      <c r="CV23" s="118">
        <f t="shared" si="1"/>
        <v>0</v>
      </c>
      <c r="CW23" s="118">
        <f t="shared" si="2"/>
        <v>0</v>
      </c>
      <c r="CX23" s="118">
        <f t="shared" si="3"/>
        <v>0</v>
      </c>
      <c r="CY23" s="118">
        <f t="shared" si="4"/>
        <v>0</v>
      </c>
      <c r="CZ23" s="118">
        <f t="shared" si="5"/>
        <v>0</v>
      </c>
      <c r="DA23" s="118">
        <f t="shared" si="6"/>
        <v>0</v>
      </c>
      <c r="DB23" s="118">
        <f t="shared" si="7"/>
        <v>0</v>
      </c>
      <c r="DC23" s="118">
        <f t="shared" si="8"/>
        <v>0</v>
      </c>
    </row>
    <row r="24" spans="2:107" x14ac:dyDescent="0.2">
      <c r="B24" s="10" t="s">
        <v>88</v>
      </c>
      <c r="C24" s="191" t="s">
        <v>131</v>
      </c>
      <c r="D24" s="115"/>
      <c r="E24" s="115"/>
      <c r="F24" s="115"/>
      <c r="G24" s="116"/>
      <c r="H24" s="116"/>
      <c r="I24" s="116"/>
      <c r="J24" s="115"/>
      <c r="K24" s="115"/>
      <c r="L24" s="115"/>
      <c r="M24" s="115"/>
      <c r="N24" s="116"/>
      <c r="O24" s="116"/>
      <c r="P24" s="116"/>
      <c r="Q24" s="115"/>
      <c r="R24" s="116"/>
      <c r="S24" s="116"/>
      <c r="T24" s="116"/>
      <c r="U24" s="116"/>
      <c r="V24" s="116"/>
      <c r="X24" s="115">
        <f>SUMIFS(wallet_records!$D:$D,wallet_records!$B:$B,'EEFF 2022'!$C24,wallet_records!$O:$O,'EEFF 2022'!$B$1,wallet_records!$N:$N,'EEFF 2022'!X$2,wallet_records!$H:$H,'EEFF 2022'!$B24)</f>
        <v>0</v>
      </c>
      <c r="Y24" s="116"/>
      <c r="Z24" s="116"/>
      <c r="AA24" s="116"/>
      <c r="AB24" s="116"/>
      <c r="AC24" s="116"/>
      <c r="AE24" s="115">
        <f>SUMIFS(wallet_records!$D:$D,wallet_records!$B:$B,'EEFF 2022'!$C24,wallet_records!$O:$O,'EEFF 2022'!$B$1,wallet_records!$N:$N,'EEFF 2022'!AE$2,wallet_records!$H:$H,'EEFF 2022'!$B24)</f>
        <v>0</v>
      </c>
      <c r="AF24" s="116"/>
      <c r="AG24" s="116"/>
      <c r="AH24" s="116"/>
      <c r="AI24" s="116"/>
      <c r="AJ24" s="116"/>
      <c r="AL24" s="116">
        <f>SUMIFS(wallet_records!$D:$D,wallet_records!$B:$B,'EEFF 2022'!$C24,wallet_records!$O:$O,'EEFF 2022'!$B$1,wallet_records!$N:$N,'EEFF 2022'!AL$2,wallet_records!$H:$H,'EEFF 2022'!$B24)</f>
        <v>0</v>
      </c>
      <c r="AM24" s="116"/>
      <c r="AN24" s="116"/>
      <c r="AO24" s="116"/>
      <c r="AP24" s="116"/>
      <c r="AQ24" s="116"/>
      <c r="AS24" s="115">
        <f>SUMIFS(wallet_records!$D:$D,wallet_records!$B:$B,'EEFF 2022'!$C24,wallet_records!$O:$O,'EEFF 2022'!$B$1,wallet_records!$N:$N,'EEFF 2022'!AS$2,wallet_records!$H:$H,'EEFF 2022'!$B24)</f>
        <v>0</v>
      </c>
      <c r="AT24" s="116"/>
      <c r="AU24" s="116"/>
      <c r="AV24" s="116"/>
      <c r="AW24" s="116"/>
      <c r="AX24" s="116"/>
      <c r="AZ24" s="115">
        <f>SUMIFS(wallet_records!$D:$D,wallet_records!$B:$B,'EEFF 2022'!$C24,wallet_records!$O:$O,'EEFF 2022'!$B$1,wallet_records!$N:$N,'EEFF 2022'!AZ$2,wallet_records!$H:$H,'EEFF 2022'!$B24)</f>
        <v>0</v>
      </c>
      <c r="BA24" s="116"/>
      <c r="BB24" s="116"/>
      <c r="BC24" s="116"/>
      <c r="BD24" s="116"/>
      <c r="BE24" s="116"/>
      <c r="BG24" s="115">
        <f>SUMIFS(wallet_records!$D:$D,wallet_records!$B:$B,'EEFF 2022'!$C24,wallet_records!$O:$O,'EEFF 2022'!$B$1,wallet_records!$N:$N,'EEFF 2022'!BG$2,wallet_records!$H:$H,'EEFF 2022'!$B24)</f>
        <v>0</v>
      </c>
      <c r="BH24" s="116"/>
      <c r="BI24" s="116"/>
      <c r="BJ24" s="116"/>
      <c r="BK24" s="116"/>
      <c r="BL24" s="116"/>
      <c r="BN24" s="115">
        <f>SUMIFS(wallet_records!$D:$D,wallet_records!$B:$B,'EEFF 2022'!$C24,wallet_records!$O:$O,'EEFF 2022'!$B$1,wallet_records!$N:$N,'EEFF 2022'!BN$2,wallet_records!$H:$H,'EEFF 2022'!$B24)</f>
        <v>0</v>
      </c>
      <c r="BO24" s="116"/>
      <c r="BP24" s="116"/>
      <c r="BQ24" s="116"/>
      <c r="BR24" s="116"/>
      <c r="BS24" s="116"/>
      <c r="BU24" s="115">
        <f>SUMIFS(wallet_records!$D:$D,wallet_records!$B:$B,'EEFF 2022'!$C24,wallet_records!$O:$O,'EEFF 2022'!$B$1,wallet_records!$N:$N,'EEFF 2022'!BU$2,wallet_records!$H:$H,'EEFF 2022'!$B24)</f>
        <v>0</v>
      </c>
      <c r="BV24" s="116"/>
      <c r="BW24" s="116"/>
      <c r="BX24" s="116"/>
      <c r="BY24" s="116"/>
      <c r="BZ24" s="116"/>
      <c r="CB24" s="115">
        <f>SUMIFS(wallet_records!$D:$D,wallet_records!$B:$B,'EEFF 2022'!$C24,wallet_records!$O:$O,'EEFF 2022'!$B$1,wallet_records!$N:$N,'EEFF 2022'!CB$2,wallet_records!$H:$H,'EEFF 2022'!$B24)</f>
        <v>0</v>
      </c>
      <c r="CC24" s="116"/>
      <c r="CD24" s="116"/>
      <c r="CE24" s="116"/>
      <c r="CF24" s="116"/>
      <c r="CG24" s="116"/>
      <c r="CI24" s="115">
        <f>SUMIFS(wallet_records!$D:$D,wallet_records!$B:$B,'EEFF 2022'!$C24,wallet_records!$O:$O,'EEFF 2022'!$B$1,wallet_records!$N:$N,'EEFF 2022'!CI$2,wallet_records!$H:$H,'EEFF 2022'!$B24)</f>
        <v>0</v>
      </c>
      <c r="CJ24" s="116"/>
      <c r="CK24" s="116"/>
      <c r="CL24" s="116"/>
      <c r="CM24" s="116"/>
      <c r="CN24" s="116"/>
      <c r="CP24" s="115">
        <f>SUMIFS(wallet_records!$D:$D,wallet_records!$B:$B,'EEFF 2022'!$C24,wallet_records!$O:$O,'EEFF 2022'!$B$1,wallet_records!$H:$H,'EEFF 2022'!$B24)</f>
        <v>0</v>
      </c>
      <c r="CQ24" s="107"/>
      <c r="CR24" s="118"/>
      <c r="CS24" s="118"/>
      <c r="CT24" s="118"/>
      <c r="CU24" s="118">
        <f t="shared" si="0"/>
        <v>0</v>
      </c>
      <c r="CV24" s="118">
        <f t="shared" si="1"/>
        <v>0</v>
      </c>
      <c r="CW24" s="118">
        <f t="shared" si="2"/>
        <v>0</v>
      </c>
      <c r="CX24" s="118">
        <f t="shared" si="3"/>
        <v>0</v>
      </c>
      <c r="CY24" s="118">
        <f t="shared" si="4"/>
        <v>0</v>
      </c>
      <c r="CZ24" s="118">
        <f t="shared" si="5"/>
        <v>0</v>
      </c>
      <c r="DA24" s="118">
        <f t="shared" si="6"/>
        <v>0</v>
      </c>
      <c r="DB24" s="118">
        <f t="shared" si="7"/>
        <v>0</v>
      </c>
      <c r="DC24" s="118">
        <f t="shared" si="8"/>
        <v>0</v>
      </c>
    </row>
    <row r="25" spans="2:107" x14ac:dyDescent="0.2">
      <c r="B25" s="10" t="s">
        <v>99</v>
      </c>
      <c r="C25" s="191" t="s">
        <v>154</v>
      </c>
      <c r="D25" s="115"/>
      <c r="E25" s="115"/>
      <c r="F25" s="115"/>
      <c r="G25" s="116"/>
      <c r="H25" s="116"/>
      <c r="I25" s="116"/>
      <c r="J25" s="115"/>
      <c r="K25" s="115"/>
      <c r="L25" s="115"/>
      <c r="M25" s="115"/>
      <c r="N25" s="116"/>
      <c r="O25" s="116"/>
      <c r="P25" s="116"/>
      <c r="Q25" s="115"/>
      <c r="R25" s="116"/>
      <c r="S25" s="116"/>
      <c r="T25" s="116"/>
      <c r="U25" s="116"/>
      <c r="V25" s="116"/>
      <c r="X25" s="115">
        <f>SUMIFS(wallet_records!$D:$D,wallet_records!$B:$B,'EEFF 2022'!$C25,wallet_records!$O:$O,'EEFF 2022'!$B$1,wallet_records!$N:$N,'EEFF 2022'!X$2,wallet_records!$H:$H,'EEFF 2022'!$B25)</f>
        <v>0</v>
      </c>
      <c r="Y25" s="116"/>
      <c r="Z25" s="116"/>
      <c r="AA25" s="116"/>
      <c r="AB25" s="116"/>
      <c r="AC25" s="116"/>
      <c r="AE25" s="115">
        <f>SUMIFS(wallet_records!$D:$D,wallet_records!$B:$B,'EEFF 2022'!$C25,wallet_records!$O:$O,'EEFF 2022'!$B$1,wallet_records!$N:$N,'EEFF 2022'!AE$2,wallet_records!$H:$H,'EEFF 2022'!$B25)</f>
        <v>0</v>
      </c>
      <c r="AF25" s="116"/>
      <c r="AG25" s="116"/>
      <c r="AH25" s="116"/>
      <c r="AI25" s="116"/>
      <c r="AJ25" s="116"/>
      <c r="AL25" s="116">
        <f>SUMIFS(wallet_records!$D:$D,wallet_records!$B:$B,'EEFF 2022'!$C25,wallet_records!$O:$O,'EEFF 2022'!$B$1,wallet_records!$N:$N,'EEFF 2022'!AL$2,wallet_records!$H:$H,'EEFF 2022'!$B25)</f>
        <v>0</v>
      </c>
      <c r="AM25" s="116"/>
      <c r="AN25" s="116"/>
      <c r="AO25" s="116"/>
      <c r="AP25" s="116"/>
      <c r="AQ25" s="116"/>
      <c r="AS25" s="115">
        <f>SUMIFS(wallet_records!$D:$D,wallet_records!$B:$B,'EEFF 2022'!$C25,wallet_records!$O:$O,'EEFF 2022'!$B$1,wallet_records!$N:$N,'EEFF 2022'!AS$2,wallet_records!$H:$H,'EEFF 2022'!$B25)</f>
        <v>0</v>
      </c>
      <c r="AT25" s="116"/>
      <c r="AU25" s="116"/>
      <c r="AV25" s="116"/>
      <c r="AW25" s="116"/>
      <c r="AX25" s="116"/>
      <c r="AZ25" s="115">
        <f>SUMIFS(wallet_records!$D:$D,wallet_records!$B:$B,'EEFF 2022'!$C25,wallet_records!$O:$O,'EEFF 2022'!$B$1,wallet_records!$N:$N,'EEFF 2022'!AZ$2,wallet_records!$H:$H,'EEFF 2022'!$B25)</f>
        <v>0</v>
      </c>
      <c r="BA25" s="116"/>
      <c r="BB25" s="116"/>
      <c r="BC25" s="116"/>
      <c r="BD25" s="116"/>
      <c r="BE25" s="116"/>
      <c r="BG25" s="115">
        <f>SUMIFS(wallet_records!$D:$D,wallet_records!$B:$B,'EEFF 2022'!$C25,wallet_records!$O:$O,'EEFF 2022'!$B$1,wallet_records!$N:$N,'EEFF 2022'!BG$2,wallet_records!$H:$H,'EEFF 2022'!$B25)</f>
        <v>0</v>
      </c>
      <c r="BH25" s="116"/>
      <c r="BI25" s="116"/>
      <c r="BJ25" s="116"/>
      <c r="BK25" s="116"/>
      <c r="BL25" s="116"/>
      <c r="BN25" s="115">
        <f>SUMIFS(wallet_records!$D:$D,wallet_records!$B:$B,'EEFF 2022'!$C25,wallet_records!$O:$O,'EEFF 2022'!$B$1,wallet_records!$N:$N,'EEFF 2022'!BN$2,wallet_records!$H:$H,'EEFF 2022'!$B25)</f>
        <v>0</v>
      </c>
      <c r="BO25" s="116"/>
      <c r="BP25" s="116"/>
      <c r="BQ25" s="116"/>
      <c r="BR25" s="116"/>
      <c r="BS25" s="116"/>
      <c r="BU25" s="115">
        <f>SUMIFS(wallet_records!$D:$D,wallet_records!$B:$B,'EEFF 2022'!$C25,wallet_records!$O:$O,'EEFF 2022'!$B$1,wallet_records!$N:$N,'EEFF 2022'!BU$2,wallet_records!$H:$H,'EEFF 2022'!$B25)</f>
        <v>0</v>
      </c>
      <c r="BV25" s="116"/>
      <c r="BW25" s="116"/>
      <c r="BX25" s="116"/>
      <c r="BY25" s="116"/>
      <c r="BZ25" s="116"/>
      <c r="CB25" s="115">
        <f>SUMIFS(wallet_records!$D:$D,wallet_records!$B:$B,'EEFF 2022'!$C25,wallet_records!$O:$O,'EEFF 2022'!$B$1,wallet_records!$N:$N,'EEFF 2022'!CB$2,wallet_records!$H:$H,'EEFF 2022'!$B25)</f>
        <v>0</v>
      </c>
      <c r="CC25" s="116"/>
      <c r="CD25" s="116"/>
      <c r="CE25" s="116"/>
      <c r="CF25" s="116"/>
      <c r="CG25" s="116"/>
      <c r="CI25" s="115">
        <f>SUMIFS(wallet_records!$D:$D,wallet_records!$B:$B,'EEFF 2022'!$C25,wallet_records!$O:$O,'EEFF 2022'!$B$1,wallet_records!$N:$N,'EEFF 2022'!CI$2,wallet_records!$H:$H,'EEFF 2022'!$B25)</f>
        <v>0</v>
      </c>
      <c r="CJ25" s="116"/>
      <c r="CK25" s="116"/>
      <c r="CL25" s="116"/>
      <c r="CM25" s="116"/>
      <c r="CN25" s="116"/>
      <c r="CP25" s="115">
        <f>SUMIFS(wallet_records!$D:$D,wallet_records!$B:$B,'EEFF 2022'!$C25,wallet_records!$O:$O,'EEFF 2022'!$B$1,wallet_records!$H:$H,'EEFF 2022'!$B25)</f>
        <v>0</v>
      </c>
      <c r="CQ25" s="107"/>
      <c r="CR25" s="118"/>
      <c r="CS25" s="118"/>
      <c r="CT25" s="118"/>
      <c r="CU25" s="118">
        <f t="shared" si="0"/>
        <v>0</v>
      </c>
      <c r="CV25" s="118">
        <f t="shared" si="1"/>
        <v>0</v>
      </c>
      <c r="CW25" s="118">
        <f t="shared" si="2"/>
        <v>0</v>
      </c>
      <c r="CX25" s="118">
        <f t="shared" si="3"/>
        <v>0</v>
      </c>
      <c r="CY25" s="118">
        <f t="shared" si="4"/>
        <v>0</v>
      </c>
      <c r="CZ25" s="118">
        <f t="shared" si="5"/>
        <v>0</v>
      </c>
      <c r="DA25" s="118">
        <f t="shared" si="6"/>
        <v>0</v>
      </c>
      <c r="DB25" s="118">
        <f t="shared" si="7"/>
        <v>0</v>
      </c>
      <c r="DC25" s="118">
        <f t="shared" si="8"/>
        <v>0</v>
      </c>
    </row>
    <row r="26" spans="2:107" x14ac:dyDescent="0.2">
      <c r="B26" s="10" t="s">
        <v>509</v>
      </c>
      <c r="C26" s="191" t="s">
        <v>114</v>
      </c>
      <c r="D26" s="115"/>
      <c r="E26" s="115"/>
      <c r="F26" s="115"/>
      <c r="G26" s="116"/>
      <c r="H26" s="116"/>
      <c r="I26" s="116"/>
      <c r="J26" s="115"/>
      <c r="K26" s="115"/>
      <c r="L26" s="115"/>
      <c r="M26" s="115"/>
      <c r="N26" s="116"/>
      <c r="O26" s="116"/>
      <c r="P26" s="116"/>
      <c r="Q26" s="115"/>
      <c r="R26" s="116"/>
      <c r="S26" s="116"/>
      <c r="T26" s="116"/>
      <c r="U26" s="116"/>
      <c r="V26" s="116"/>
      <c r="X26" s="115">
        <f>SUMIFS(wallet_records!$D:$D,wallet_records!$B:$B,'EEFF 2022'!$C26,wallet_records!$O:$O,'EEFF 2022'!$B$1,wallet_records!$N:$N,'EEFF 2022'!X$2,wallet_records!$H:$H,'EEFF 2022'!$B26)</f>
        <v>0</v>
      </c>
      <c r="Y26" s="116"/>
      <c r="Z26" s="116"/>
      <c r="AA26" s="116"/>
      <c r="AB26" s="116"/>
      <c r="AC26" s="116"/>
      <c r="AE26" s="115">
        <f>SUMIFS(wallet_records!$D:$D,wallet_records!$B:$B,'EEFF 2022'!$C26,wallet_records!$O:$O,'EEFF 2022'!$B$1,wallet_records!$N:$N,'EEFF 2022'!AE$2,wallet_records!$H:$H,'EEFF 2022'!$B26)</f>
        <v>0</v>
      </c>
      <c r="AF26" s="116"/>
      <c r="AG26" s="116"/>
      <c r="AH26" s="116"/>
      <c r="AI26" s="116"/>
      <c r="AJ26" s="116"/>
      <c r="AL26" s="116">
        <f>SUMIFS(wallet_records!$D:$D,wallet_records!$B:$B,'EEFF 2022'!$C26,wallet_records!$O:$O,'EEFF 2022'!$B$1,wallet_records!$N:$N,'EEFF 2022'!AL$2,wallet_records!$H:$H,'EEFF 2022'!$B26)</f>
        <v>0</v>
      </c>
      <c r="AM26" s="116"/>
      <c r="AN26" s="116"/>
      <c r="AO26" s="116"/>
      <c r="AP26" s="116"/>
      <c r="AQ26" s="116"/>
      <c r="AS26" s="115">
        <f>SUMIFS(wallet_records!$D:$D,wallet_records!$B:$B,'EEFF 2022'!$C26,wallet_records!$O:$O,'EEFF 2022'!$B$1,wallet_records!$N:$N,'EEFF 2022'!AS$2,wallet_records!$H:$H,'EEFF 2022'!$B26)</f>
        <v>0</v>
      </c>
      <c r="AT26" s="116"/>
      <c r="AU26" s="116"/>
      <c r="AV26" s="116"/>
      <c r="AW26" s="116"/>
      <c r="AX26" s="116"/>
      <c r="AZ26" s="115">
        <f>SUMIFS(wallet_records!$D:$D,wallet_records!$B:$B,'EEFF 2022'!$C26,wallet_records!$O:$O,'EEFF 2022'!$B$1,wallet_records!$N:$N,'EEFF 2022'!AZ$2,wallet_records!$H:$H,'EEFF 2022'!$B26)</f>
        <v>0</v>
      </c>
      <c r="BA26" s="116"/>
      <c r="BB26" s="116"/>
      <c r="BC26" s="116"/>
      <c r="BD26" s="116"/>
      <c r="BE26" s="116"/>
      <c r="BG26" s="115">
        <f>SUMIFS(wallet_records!$D:$D,wallet_records!$B:$B,'EEFF 2022'!$C26,wallet_records!$O:$O,'EEFF 2022'!$B$1,wallet_records!$N:$N,'EEFF 2022'!BG$2,wallet_records!$H:$H,'EEFF 2022'!$B26)</f>
        <v>0</v>
      </c>
      <c r="BH26" s="116"/>
      <c r="BI26" s="116"/>
      <c r="BJ26" s="116"/>
      <c r="BK26" s="116"/>
      <c r="BL26" s="116"/>
      <c r="BN26" s="115">
        <f>SUMIFS(wallet_records!$D:$D,wallet_records!$B:$B,'EEFF 2022'!$C26,wallet_records!$O:$O,'EEFF 2022'!$B$1,wallet_records!$N:$N,'EEFF 2022'!BN$2,wallet_records!$H:$H,'EEFF 2022'!$B26)</f>
        <v>0</v>
      </c>
      <c r="BO26" s="116"/>
      <c r="BP26" s="116"/>
      <c r="BQ26" s="116"/>
      <c r="BR26" s="116"/>
      <c r="BS26" s="116"/>
      <c r="BU26" s="115">
        <f>SUMIFS(wallet_records!$D:$D,wallet_records!$B:$B,'EEFF 2022'!$C26,wallet_records!$O:$O,'EEFF 2022'!$B$1,wallet_records!$N:$N,'EEFF 2022'!BU$2,wallet_records!$H:$H,'EEFF 2022'!$B26)</f>
        <v>0</v>
      </c>
      <c r="BV26" s="116"/>
      <c r="BW26" s="116"/>
      <c r="BX26" s="116"/>
      <c r="BY26" s="116"/>
      <c r="BZ26" s="116"/>
      <c r="CB26" s="115">
        <f>SUMIFS(wallet_records!$D:$D,wallet_records!$B:$B,'EEFF 2022'!$C26,wallet_records!$O:$O,'EEFF 2022'!$B$1,wallet_records!$N:$N,'EEFF 2022'!CB$2,wallet_records!$H:$H,'EEFF 2022'!$B26)</f>
        <v>0</v>
      </c>
      <c r="CC26" s="116"/>
      <c r="CD26" s="116"/>
      <c r="CE26" s="116"/>
      <c r="CF26" s="116"/>
      <c r="CG26" s="116"/>
      <c r="CI26" s="115">
        <f>SUMIFS(wallet_records!$D:$D,wallet_records!$B:$B,'EEFF 2022'!$C26,wallet_records!$O:$O,'EEFF 2022'!$B$1,wallet_records!$N:$N,'EEFF 2022'!CI$2,wallet_records!$H:$H,'EEFF 2022'!$B26)</f>
        <v>0</v>
      </c>
      <c r="CJ26" s="116"/>
      <c r="CK26" s="116"/>
      <c r="CL26" s="116"/>
      <c r="CM26" s="116"/>
      <c r="CN26" s="116"/>
      <c r="CP26" s="115">
        <f>SUMIFS(wallet_records!$D:$D,wallet_records!$B:$B,'EEFF 2022'!$C26,wallet_records!$O:$O,'EEFF 2022'!$B$1,wallet_records!$H:$H,'EEFF 2022'!$B26)</f>
        <v>0</v>
      </c>
      <c r="CQ26" s="107"/>
      <c r="CR26" s="118"/>
      <c r="CS26" s="118"/>
      <c r="CT26" s="118"/>
      <c r="CU26" s="118">
        <f t="shared" si="0"/>
        <v>0</v>
      </c>
      <c r="CV26" s="118">
        <f t="shared" si="1"/>
        <v>0</v>
      </c>
      <c r="CW26" s="118">
        <f t="shared" si="2"/>
        <v>0</v>
      </c>
      <c r="CX26" s="118">
        <f t="shared" si="3"/>
        <v>0</v>
      </c>
      <c r="CY26" s="118">
        <f t="shared" si="4"/>
        <v>0</v>
      </c>
      <c r="CZ26" s="118">
        <f t="shared" si="5"/>
        <v>0</v>
      </c>
      <c r="DA26" s="118">
        <f t="shared" si="6"/>
        <v>0</v>
      </c>
      <c r="DB26" s="118">
        <f t="shared" si="7"/>
        <v>0</v>
      </c>
      <c r="DC26" s="118">
        <f t="shared" si="8"/>
        <v>0</v>
      </c>
    </row>
    <row r="27" spans="2:107" x14ac:dyDescent="0.2">
      <c r="B27" s="10" t="s">
        <v>93</v>
      </c>
      <c r="C27" s="191" t="s">
        <v>131</v>
      </c>
      <c r="D27" s="115"/>
      <c r="E27" s="115"/>
      <c r="F27" s="115"/>
      <c r="G27" s="116"/>
      <c r="H27" s="116"/>
      <c r="I27" s="116"/>
      <c r="J27" s="115"/>
      <c r="K27" s="115"/>
      <c r="L27" s="115"/>
      <c r="M27" s="115"/>
      <c r="N27" s="116"/>
      <c r="O27" s="116"/>
      <c r="P27" s="116"/>
      <c r="Q27" s="115"/>
      <c r="R27" s="116"/>
      <c r="S27" s="116"/>
      <c r="T27" s="116"/>
      <c r="U27" s="116"/>
      <c r="V27" s="116"/>
      <c r="X27" s="115">
        <f>SUMIFS(wallet_records!$D:$D,wallet_records!$B:$B,'EEFF 2022'!$C27,wallet_records!$O:$O,'EEFF 2022'!$B$1,wallet_records!$N:$N,'EEFF 2022'!X$2,wallet_records!$H:$H,'EEFF 2022'!$B27)</f>
        <v>0</v>
      </c>
      <c r="Y27" s="116"/>
      <c r="Z27" s="116"/>
      <c r="AA27" s="116"/>
      <c r="AB27" s="116"/>
      <c r="AC27" s="116"/>
      <c r="AE27" s="115">
        <f>SUMIFS(wallet_records!$D:$D,wallet_records!$B:$B,'EEFF 2022'!$C27,wallet_records!$O:$O,'EEFF 2022'!$B$1,wallet_records!$N:$N,'EEFF 2022'!AE$2,wallet_records!$H:$H,'EEFF 2022'!$B27)</f>
        <v>0</v>
      </c>
      <c r="AF27" s="116"/>
      <c r="AG27" s="116"/>
      <c r="AH27" s="116"/>
      <c r="AI27" s="116"/>
      <c r="AJ27" s="116"/>
      <c r="AL27" s="116">
        <f>SUMIFS(wallet_records!$D:$D,wallet_records!$B:$B,'EEFF 2022'!$C27,wallet_records!$O:$O,'EEFF 2022'!$B$1,wallet_records!$N:$N,'EEFF 2022'!AL$2,wallet_records!$H:$H,'EEFF 2022'!$B27)</f>
        <v>0</v>
      </c>
      <c r="AM27" s="116"/>
      <c r="AN27" s="116"/>
      <c r="AO27" s="116"/>
      <c r="AP27" s="116"/>
      <c r="AQ27" s="116"/>
      <c r="AS27" s="115">
        <f>SUMIFS(wallet_records!$D:$D,wallet_records!$B:$B,'EEFF 2022'!$C27,wallet_records!$O:$O,'EEFF 2022'!$B$1,wallet_records!$N:$N,'EEFF 2022'!AS$2,wallet_records!$H:$H,'EEFF 2022'!$B27)</f>
        <v>0</v>
      </c>
      <c r="AT27" s="116"/>
      <c r="AU27" s="116"/>
      <c r="AV27" s="116"/>
      <c r="AW27" s="116"/>
      <c r="AX27" s="116"/>
      <c r="AZ27" s="115">
        <f>SUMIFS(wallet_records!$D:$D,wallet_records!$B:$B,'EEFF 2022'!$C27,wallet_records!$O:$O,'EEFF 2022'!$B$1,wallet_records!$N:$N,'EEFF 2022'!AZ$2,wallet_records!$H:$H,'EEFF 2022'!$B27)</f>
        <v>0</v>
      </c>
      <c r="BA27" s="116"/>
      <c r="BB27" s="116"/>
      <c r="BC27" s="116"/>
      <c r="BD27" s="116"/>
      <c r="BE27" s="116"/>
      <c r="BG27" s="115">
        <f>SUMIFS(wallet_records!$D:$D,wallet_records!$B:$B,'EEFF 2022'!$C27,wallet_records!$O:$O,'EEFF 2022'!$B$1,wallet_records!$N:$N,'EEFF 2022'!BG$2,wallet_records!$H:$H,'EEFF 2022'!$B27)</f>
        <v>0</v>
      </c>
      <c r="BH27" s="116"/>
      <c r="BI27" s="116"/>
      <c r="BJ27" s="116"/>
      <c r="BK27" s="116"/>
      <c r="BL27" s="116"/>
      <c r="BN27" s="115">
        <f>SUMIFS(wallet_records!$D:$D,wallet_records!$B:$B,'EEFF 2022'!$C27,wallet_records!$O:$O,'EEFF 2022'!$B$1,wallet_records!$N:$N,'EEFF 2022'!BN$2,wallet_records!$H:$H,'EEFF 2022'!$B27)</f>
        <v>0</v>
      </c>
      <c r="BO27" s="116"/>
      <c r="BP27" s="116"/>
      <c r="BQ27" s="116"/>
      <c r="BR27" s="116"/>
      <c r="BS27" s="116"/>
      <c r="BU27" s="115">
        <f>SUMIFS(wallet_records!$D:$D,wallet_records!$B:$B,'EEFF 2022'!$C27,wallet_records!$O:$O,'EEFF 2022'!$B$1,wallet_records!$N:$N,'EEFF 2022'!BU$2,wallet_records!$H:$H,'EEFF 2022'!$B27)</f>
        <v>0</v>
      </c>
      <c r="BV27" s="116"/>
      <c r="BW27" s="116"/>
      <c r="BX27" s="116"/>
      <c r="BY27" s="116"/>
      <c r="BZ27" s="116"/>
      <c r="CB27" s="115">
        <f>SUMIFS(wallet_records!$D:$D,wallet_records!$B:$B,'EEFF 2022'!$C27,wallet_records!$O:$O,'EEFF 2022'!$B$1,wallet_records!$N:$N,'EEFF 2022'!CB$2,wallet_records!$H:$H,'EEFF 2022'!$B27)</f>
        <v>0</v>
      </c>
      <c r="CC27" s="116"/>
      <c r="CD27" s="116"/>
      <c r="CE27" s="116"/>
      <c r="CF27" s="116"/>
      <c r="CG27" s="116"/>
      <c r="CI27" s="115">
        <f>SUMIFS(wallet_records!$D:$D,wallet_records!$B:$B,'EEFF 2022'!$C27,wallet_records!$O:$O,'EEFF 2022'!$B$1,wallet_records!$N:$N,'EEFF 2022'!CI$2,wallet_records!$H:$H,'EEFF 2022'!$B27)</f>
        <v>0</v>
      </c>
      <c r="CJ27" s="116"/>
      <c r="CK27" s="116"/>
      <c r="CL27" s="116"/>
      <c r="CM27" s="116"/>
      <c r="CN27" s="116"/>
      <c r="CP27" s="115">
        <f>SUMIFS(wallet_records!$D:$D,wallet_records!$B:$B,'EEFF 2022'!$C27,wallet_records!$O:$O,'EEFF 2022'!$B$1,wallet_records!$H:$H,'EEFF 2022'!$B27)</f>
        <v>0</v>
      </c>
      <c r="CQ27" s="107"/>
      <c r="CR27" s="118"/>
      <c r="CS27" s="118"/>
      <c r="CT27" s="118"/>
      <c r="CU27" s="118">
        <f t="shared" si="0"/>
        <v>0</v>
      </c>
      <c r="CV27" s="118">
        <f t="shared" si="1"/>
        <v>0</v>
      </c>
      <c r="CW27" s="118">
        <f t="shared" si="2"/>
        <v>0</v>
      </c>
      <c r="CX27" s="118">
        <f t="shared" si="3"/>
        <v>0</v>
      </c>
      <c r="CY27" s="118">
        <f t="shared" si="4"/>
        <v>0</v>
      </c>
      <c r="CZ27" s="118">
        <f t="shared" si="5"/>
        <v>0</v>
      </c>
      <c r="DA27" s="118">
        <f t="shared" si="6"/>
        <v>0</v>
      </c>
      <c r="DB27" s="118">
        <f t="shared" si="7"/>
        <v>0</v>
      </c>
      <c r="DC27" s="118">
        <f t="shared" si="8"/>
        <v>0</v>
      </c>
    </row>
    <row r="28" spans="2:107" x14ac:dyDescent="0.2">
      <c r="B28" s="10" t="s">
        <v>225</v>
      </c>
      <c r="C28" s="191" t="s">
        <v>131</v>
      </c>
      <c r="D28" s="115"/>
      <c r="E28" s="115"/>
      <c r="F28" s="115"/>
      <c r="G28" s="116"/>
      <c r="H28" s="116"/>
      <c r="I28" s="116"/>
      <c r="J28" s="115"/>
      <c r="K28" s="115"/>
      <c r="L28" s="115"/>
      <c r="M28" s="115"/>
      <c r="N28" s="116"/>
      <c r="O28" s="116"/>
      <c r="P28" s="116"/>
      <c r="Q28" s="115"/>
      <c r="R28" s="116"/>
      <c r="S28" s="116"/>
      <c r="T28" s="116"/>
      <c r="U28" s="116"/>
      <c r="V28" s="116"/>
      <c r="X28" s="115">
        <f>SUMIFS(wallet_records!$D:$D,wallet_records!$B:$B,'EEFF 2022'!$C28,wallet_records!$O:$O,'EEFF 2022'!$B$1,wallet_records!$N:$N,'EEFF 2022'!X$2,wallet_records!$H:$H,'EEFF 2022'!$B28)</f>
        <v>0</v>
      </c>
      <c r="Y28" s="116"/>
      <c r="Z28" s="116"/>
      <c r="AA28" s="116"/>
      <c r="AB28" s="116"/>
      <c r="AC28" s="116"/>
      <c r="AE28" s="115">
        <f>SUMIFS(wallet_records!$D:$D,wallet_records!$B:$B,'EEFF 2022'!$C28,wallet_records!$O:$O,'EEFF 2022'!$B$1,wallet_records!$N:$N,'EEFF 2022'!AE$2,wallet_records!$H:$H,'EEFF 2022'!$B28)</f>
        <v>0</v>
      </c>
      <c r="AF28" s="116"/>
      <c r="AG28" s="116"/>
      <c r="AH28" s="116"/>
      <c r="AI28" s="116"/>
      <c r="AJ28" s="116"/>
      <c r="AL28" s="116">
        <f>SUMIFS(wallet_records!$D:$D,wallet_records!$B:$B,'EEFF 2022'!$C28,wallet_records!$O:$O,'EEFF 2022'!$B$1,wallet_records!$N:$N,'EEFF 2022'!AL$2,wallet_records!$H:$H,'EEFF 2022'!$B28)</f>
        <v>0</v>
      </c>
      <c r="AM28" s="116"/>
      <c r="AN28" s="116"/>
      <c r="AO28" s="116"/>
      <c r="AP28" s="116"/>
      <c r="AQ28" s="116"/>
      <c r="AS28" s="115">
        <f>SUMIFS(wallet_records!$D:$D,wallet_records!$B:$B,'EEFF 2022'!$C28,wallet_records!$O:$O,'EEFF 2022'!$B$1,wallet_records!$N:$N,'EEFF 2022'!AS$2,wallet_records!$H:$H,'EEFF 2022'!$B28)</f>
        <v>0</v>
      </c>
      <c r="AT28" s="116"/>
      <c r="AU28" s="116"/>
      <c r="AV28" s="116"/>
      <c r="AW28" s="116"/>
      <c r="AX28" s="116"/>
      <c r="AZ28" s="115">
        <f>SUMIFS(wallet_records!$D:$D,wallet_records!$B:$B,'EEFF 2022'!$C28,wallet_records!$O:$O,'EEFF 2022'!$B$1,wallet_records!$N:$N,'EEFF 2022'!AZ$2,wallet_records!$H:$H,'EEFF 2022'!$B28)</f>
        <v>0</v>
      </c>
      <c r="BA28" s="116"/>
      <c r="BB28" s="116"/>
      <c r="BC28" s="116"/>
      <c r="BD28" s="116"/>
      <c r="BE28" s="116"/>
      <c r="BG28" s="115">
        <f>SUMIFS(wallet_records!$D:$D,wallet_records!$B:$B,'EEFF 2022'!$C28,wallet_records!$O:$O,'EEFF 2022'!$B$1,wallet_records!$N:$N,'EEFF 2022'!BG$2,wallet_records!$H:$H,'EEFF 2022'!$B28)</f>
        <v>0</v>
      </c>
      <c r="BH28" s="116"/>
      <c r="BI28" s="116"/>
      <c r="BJ28" s="116"/>
      <c r="BK28" s="116"/>
      <c r="BL28" s="116"/>
      <c r="BN28" s="115">
        <f>SUMIFS(wallet_records!$D:$D,wallet_records!$B:$B,'EEFF 2022'!$C28,wallet_records!$O:$O,'EEFF 2022'!$B$1,wallet_records!$N:$N,'EEFF 2022'!BN$2,wallet_records!$H:$H,'EEFF 2022'!$B28)</f>
        <v>0</v>
      </c>
      <c r="BO28" s="116"/>
      <c r="BP28" s="116"/>
      <c r="BQ28" s="116"/>
      <c r="BR28" s="116"/>
      <c r="BS28" s="116"/>
      <c r="BU28" s="115">
        <f>SUMIFS(wallet_records!$D:$D,wallet_records!$B:$B,'EEFF 2022'!$C28,wallet_records!$O:$O,'EEFF 2022'!$B$1,wallet_records!$N:$N,'EEFF 2022'!BU$2,wallet_records!$H:$H,'EEFF 2022'!$B28)</f>
        <v>0</v>
      </c>
      <c r="BV28" s="116"/>
      <c r="BW28" s="116"/>
      <c r="BX28" s="116"/>
      <c r="BY28" s="116"/>
      <c r="BZ28" s="116"/>
      <c r="CB28" s="115">
        <f>SUMIFS(wallet_records!$D:$D,wallet_records!$B:$B,'EEFF 2022'!$C28,wallet_records!$O:$O,'EEFF 2022'!$B$1,wallet_records!$N:$N,'EEFF 2022'!CB$2,wallet_records!$H:$H,'EEFF 2022'!$B28)</f>
        <v>0</v>
      </c>
      <c r="CC28" s="116"/>
      <c r="CD28" s="116"/>
      <c r="CE28" s="116"/>
      <c r="CF28" s="116"/>
      <c r="CG28" s="116"/>
      <c r="CI28" s="115">
        <f>SUMIFS(wallet_records!$D:$D,wallet_records!$B:$B,'EEFF 2022'!$C28,wallet_records!$O:$O,'EEFF 2022'!$B$1,wallet_records!$N:$N,'EEFF 2022'!CI$2,wallet_records!$H:$H,'EEFF 2022'!$B28)</f>
        <v>0</v>
      </c>
      <c r="CJ28" s="116"/>
      <c r="CK28" s="116"/>
      <c r="CL28" s="116"/>
      <c r="CM28" s="116"/>
      <c r="CN28" s="116"/>
      <c r="CP28" s="115">
        <f>SUMIFS(wallet_records!$D:$D,wallet_records!$B:$B,'EEFF 2022'!$C28,wallet_records!$O:$O,'EEFF 2022'!$B$1,wallet_records!$H:$H,'EEFF 2022'!$B28)</f>
        <v>0</v>
      </c>
      <c r="CQ28" s="107"/>
      <c r="CR28" s="118"/>
      <c r="CS28" s="118"/>
      <c r="CT28" s="118"/>
      <c r="CU28" s="118">
        <f t="shared" si="0"/>
        <v>0</v>
      </c>
      <c r="CV28" s="118">
        <f t="shared" si="1"/>
        <v>0</v>
      </c>
      <c r="CW28" s="118">
        <f t="shared" si="2"/>
        <v>0</v>
      </c>
      <c r="CX28" s="118">
        <f t="shared" si="3"/>
        <v>0</v>
      </c>
      <c r="CY28" s="118">
        <f t="shared" si="4"/>
        <v>0</v>
      </c>
      <c r="CZ28" s="118">
        <f t="shared" si="5"/>
        <v>0</v>
      </c>
      <c r="DA28" s="118">
        <f t="shared" si="6"/>
        <v>0</v>
      </c>
      <c r="DB28" s="118">
        <f t="shared" si="7"/>
        <v>0</v>
      </c>
      <c r="DC28" s="118">
        <f t="shared" si="8"/>
        <v>0</v>
      </c>
    </row>
    <row r="29" spans="2:107" x14ac:dyDescent="0.2">
      <c r="B29" s="10" t="s">
        <v>92</v>
      </c>
      <c r="C29" s="191" t="s">
        <v>114</v>
      </c>
      <c r="D29" s="115"/>
      <c r="E29" s="115"/>
      <c r="F29" s="115"/>
      <c r="G29" s="116"/>
      <c r="H29" s="116"/>
      <c r="I29" s="116"/>
      <c r="J29" s="115"/>
      <c r="K29" s="115"/>
      <c r="L29" s="115"/>
      <c r="M29" s="115"/>
      <c r="N29" s="116"/>
      <c r="O29" s="116"/>
      <c r="P29" s="116"/>
      <c r="Q29" s="115"/>
      <c r="R29" s="116"/>
      <c r="S29" s="116"/>
      <c r="T29" s="116"/>
      <c r="U29" s="116"/>
      <c r="V29" s="116"/>
      <c r="X29" s="115">
        <f>SUMIFS(wallet_records!$D:$D,wallet_records!$B:$B,'EEFF 2022'!$C29,wallet_records!$O:$O,'EEFF 2022'!$B$1,wallet_records!$N:$N,'EEFF 2022'!X$2,wallet_records!$H:$H,'EEFF 2022'!$B29)</f>
        <v>0</v>
      </c>
      <c r="Y29" s="116"/>
      <c r="Z29" s="116"/>
      <c r="AA29" s="116"/>
      <c r="AB29" s="116"/>
      <c r="AC29" s="116"/>
      <c r="AE29" s="115">
        <f>SUMIFS(wallet_records!$D:$D,wallet_records!$B:$B,'EEFF 2022'!$C29,wallet_records!$O:$O,'EEFF 2022'!$B$1,wallet_records!$N:$N,'EEFF 2022'!AE$2,wallet_records!$H:$H,'EEFF 2022'!$B29)</f>
        <v>0</v>
      </c>
      <c r="AF29" s="116"/>
      <c r="AG29" s="116"/>
      <c r="AH29" s="116"/>
      <c r="AI29" s="116"/>
      <c r="AJ29" s="116"/>
      <c r="AL29" s="116">
        <f>SUMIFS(wallet_records!$D:$D,wallet_records!$B:$B,'EEFF 2022'!$C29,wallet_records!$O:$O,'EEFF 2022'!$B$1,wallet_records!$N:$N,'EEFF 2022'!AL$2,wallet_records!$H:$H,'EEFF 2022'!$B29)</f>
        <v>0</v>
      </c>
      <c r="AM29" s="116"/>
      <c r="AN29" s="116"/>
      <c r="AO29" s="116"/>
      <c r="AP29" s="116"/>
      <c r="AQ29" s="116"/>
      <c r="AS29" s="115">
        <f>SUMIFS(wallet_records!$D:$D,wallet_records!$B:$B,'EEFF 2022'!$C29,wallet_records!$O:$O,'EEFF 2022'!$B$1,wallet_records!$N:$N,'EEFF 2022'!AS$2,wallet_records!$H:$H,'EEFF 2022'!$B29)</f>
        <v>0</v>
      </c>
      <c r="AT29" s="116"/>
      <c r="AU29" s="116"/>
      <c r="AV29" s="116"/>
      <c r="AW29" s="116"/>
      <c r="AX29" s="116"/>
      <c r="AZ29" s="115">
        <f>SUMIFS(wallet_records!$D:$D,wallet_records!$B:$B,'EEFF 2022'!$C29,wallet_records!$O:$O,'EEFF 2022'!$B$1,wallet_records!$N:$N,'EEFF 2022'!AZ$2,wallet_records!$H:$H,'EEFF 2022'!$B29)</f>
        <v>0</v>
      </c>
      <c r="BA29" s="116"/>
      <c r="BB29" s="116"/>
      <c r="BC29" s="116"/>
      <c r="BD29" s="116"/>
      <c r="BE29" s="116"/>
      <c r="BG29" s="115">
        <f>SUMIFS(wallet_records!$D:$D,wallet_records!$B:$B,'EEFF 2022'!$C29,wallet_records!$O:$O,'EEFF 2022'!$B$1,wallet_records!$N:$N,'EEFF 2022'!BG$2,wallet_records!$H:$H,'EEFF 2022'!$B29)</f>
        <v>0</v>
      </c>
      <c r="BH29" s="116"/>
      <c r="BI29" s="116"/>
      <c r="BJ29" s="116"/>
      <c r="BK29" s="116"/>
      <c r="BL29" s="116"/>
      <c r="BN29" s="115">
        <f>SUMIFS(wallet_records!$D:$D,wallet_records!$B:$B,'EEFF 2022'!$C29,wallet_records!$O:$O,'EEFF 2022'!$B$1,wallet_records!$N:$N,'EEFF 2022'!BN$2,wallet_records!$H:$H,'EEFF 2022'!$B29)</f>
        <v>0</v>
      </c>
      <c r="BO29" s="116"/>
      <c r="BP29" s="116"/>
      <c r="BQ29" s="116"/>
      <c r="BR29" s="116"/>
      <c r="BS29" s="116"/>
      <c r="BU29" s="115">
        <f>SUMIFS(wallet_records!$D:$D,wallet_records!$B:$B,'EEFF 2022'!$C29,wallet_records!$O:$O,'EEFF 2022'!$B$1,wallet_records!$N:$N,'EEFF 2022'!BU$2,wallet_records!$H:$H,'EEFF 2022'!$B29)</f>
        <v>0</v>
      </c>
      <c r="BV29" s="116"/>
      <c r="BW29" s="116"/>
      <c r="BX29" s="116"/>
      <c r="BY29" s="116"/>
      <c r="BZ29" s="116"/>
      <c r="CB29" s="115">
        <f>SUMIFS(wallet_records!$D:$D,wallet_records!$B:$B,'EEFF 2022'!$C29,wallet_records!$O:$O,'EEFF 2022'!$B$1,wallet_records!$N:$N,'EEFF 2022'!CB$2,wallet_records!$H:$H,'EEFF 2022'!$B29)</f>
        <v>0</v>
      </c>
      <c r="CC29" s="116"/>
      <c r="CD29" s="116"/>
      <c r="CE29" s="116"/>
      <c r="CF29" s="116"/>
      <c r="CG29" s="116"/>
      <c r="CI29" s="115">
        <f>SUMIFS(wallet_records!$D:$D,wallet_records!$B:$B,'EEFF 2022'!$C29,wallet_records!$O:$O,'EEFF 2022'!$B$1,wallet_records!$N:$N,'EEFF 2022'!CI$2,wallet_records!$H:$H,'EEFF 2022'!$B29)</f>
        <v>0</v>
      </c>
      <c r="CJ29" s="116"/>
      <c r="CK29" s="116"/>
      <c r="CL29" s="116"/>
      <c r="CM29" s="116"/>
      <c r="CN29" s="116"/>
      <c r="CP29" s="115">
        <f>SUMIFS(wallet_records!$D:$D,wallet_records!$B:$B,'EEFF 2022'!$C29,wallet_records!$O:$O,'EEFF 2022'!$B$1,wallet_records!$H:$H,'EEFF 2022'!$B29)</f>
        <v>0</v>
      </c>
      <c r="CQ29" s="107"/>
      <c r="CR29" s="118"/>
      <c r="CS29" s="118"/>
      <c r="CT29" s="118"/>
      <c r="CU29" s="118">
        <f t="shared" si="0"/>
        <v>0</v>
      </c>
      <c r="CV29" s="118">
        <f t="shared" si="1"/>
        <v>0</v>
      </c>
      <c r="CW29" s="118">
        <f t="shared" si="2"/>
        <v>0</v>
      </c>
      <c r="CX29" s="118">
        <f t="shared" si="3"/>
        <v>0</v>
      </c>
      <c r="CY29" s="118">
        <f t="shared" si="4"/>
        <v>0</v>
      </c>
      <c r="CZ29" s="118">
        <f t="shared" si="5"/>
        <v>0</v>
      </c>
      <c r="DA29" s="118">
        <f t="shared" si="6"/>
        <v>0</v>
      </c>
      <c r="DB29" s="118">
        <f t="shared" si="7"/>
        <v>0</v>
      </c>
      <c r="DC29" s="118">
        <f t="shared" si="8"/>
        <v>0</v>
      </c>
    </row>
    <row r="30" spans="2:107" x14ac:dyDescent="0.2">
      <c r="B30" s="10" t="s">
        <v>97</v>
      </c>
      <c r="C30" s="191" t="s">
        <v>154</v>
      </c>
      <c r="D30" s="115"/>
      <c r="E30" s="115"/>
      <c r="F30" s="115"/>
      <c r="G30" s="116"/>
      <c r="H30" s="116"/>
      <c r="I30" s="116"/>
      <c r="J30" s="115"/>
      <c r="K30" s="115"/>
      <c r="L30" s="115"/>
      <c r="M30" s="115"/>
      <c r="N30" s="116"/>
      <c r="O30" s="116"/>
      <c r="P30" s="116"/>
      <c r="Q30" s="115"/>
      <c r="R30" s="116"/>
      <c r="S30" s="116"/>
      <c r="T30" s="116"/>
      <c r="U30" s="116"/>
      <c r="V30" s="116"/>
      <c r="X30" s="115">
        <f>SUMIFS(wallet_records!$D:$D,wallet_records!$B:$B,'EEFF 2022'!$C30,wallet_records!$O:$O,'EEFF 2022'!$B$1,wallet_records!$N:$N,'EEFF 2022'!X$2,wallet_records!$H:$H,'EEFF 2022'!$B30)</f>
        <v>0</v>
      </c>
      <c r="Y30" s="116"/>
      <c r="Z30" s="116"/>
      <c r="AA30" s="116"/>
      <c r="AB30" s="116"/>
      <c r="AC30" s="116"/>
      <c r="AE30" s="115">
        <f>SUMIFS(wallet_records!$D:$D,wallet_records!$B:$B,'EEFF 2022'!$C30,wallet_records!$O:$O,'EEFF 2022'!$B$1,wallet_records!$N:$N,'EEFF 2022'!AE$2,wallet_records!$H:$H,'EEFF 2022'!$B30)</f>
        <v>0</v>
      </c>
      <c r="AF30" s="116"/>
      <c r="AG30" s="116"/>
      <c r="AH30" s="116"/>
      <c r="AI30" s="116"/>
      <c r="AJ30" s="116"/>
      <c r="AL30" s="116">
        <f>SUMIFS(wallet_records!$D:$D,wallet_records!$B:$B,'EEFF 2022'!$C30,wallet_records!$O:$O,'EEFF 2022'!$B$1,wallet_records!$N:$N,'EEFF 2022'!AL$2,wallet_records!$H:$H,'EEFF 2022'!$B30)</f>
        <v>0</v>
      </c>
      <c r="AM30" s="116"/>
      <c r="AN30" s="116"/>
      <c r="AO30" s="116"/>
      <c r="AP30" s="116"/>
      <c r="AQ30" s="116"/>
      <c r="AS30" s="115">
        <f>SUMIFS(wallet_records!$D:$D,wallet_records!$B:$B,'EEFF 2022'!$C30,wallet_records!$O:$O,'EEFF 2022'!$B$1,wallet_records!$N:$N,'EEFF 2022'!AS$2,wallet_records!$H:$H,'EEFF 2022'!$B30)</f>
        <v>0</v>
      </c>
      <c r="AT30" s="116"/>
      <c r="AU30" s="116"/>
      <c r="AV30" s="116"/>
      <c r="AW30" s="116"/>
      <c r="AX30" s="116"/>
      <c r="AZ30" s="115">
        <f>SUMIFS(wallet_records!$D:$D,wallet_records!$B:$B,'EEFF 2022'!$C30,wallet_records!$O:$O,'EEFF 2022'!$B$1,wallet_records!$N:$N,'EEFF 2022'!AZ$2,wallet_records!$H:$H,'EEFF 2022'!$B30)</f>
        <v>0</v>
      </c>
      <c r="BA30" s="116"/>
      <c r="BB30" s="116"/>
      <c r="BC30" s="116"/>
      <c r="BD30" s="116"/>
      <c r="BE30" s="116"/>
      <c r="BG30" s="115">
        <f>SUMIFS(wallet_records!$D:$D,wallet_records!$B:$B,'EEFF 2022'!$C30,wallet_records!$O:$O,'EEFF 2022'!$B$1,wallet_records!$N:$N,'EEFF 2022'!BG$2,wallet_records!$H:$H,'EEFF 2022'!$B30)</f>
        <v>0</v>
      </c>
      <c r="BH30" s="116"/>
      <c r="BI30" s="116"/>
      <c r="BJ30" s="116"/>
      <c r="BK30" s="116"/>
      <c r="BL30" s="116"/>
      <c r="BN30" s="115">
        <f>SUMIFS(wallet_records!$D:$D,wallet_records!$B:$B,'EEFF 2022'!$C30,wallet_records!$O:$O,'EEFF 2022'!$B$1,wallet_records!$N:$N,'EEFF 2022'!BN$2,wallet_records!$H:$H,'EEFF 2022'!$B30)</f>
        <v>0</v>
      </c>
      <c r="BO30" s="116"/>
      <c r="BP30" s="116"/>
      <c r="BQ30" s="116"/>
      <c r="BR30" s="116"/>
      <c r="BS30" s="116"/>
      <c r="BU30" s="115">
        <f>SUMIFS(wallet_records!$D:$D,wallet_records!$B:$B,'EEFF 2022'!$C30,wallet_records!$O:$O,'EEFF 2022'!$B$1,wallet_records!$N:$N,'EEFF 2022'!BU$2,wallet_records!$H:$H,'EEFF 2022'!$B30)</f>
        <v>0</v>
      </c>
      <c r="BV30" s="116"/>
      <c r="BW30" s="116"/>
      <c r="BX30" s="116"/>
      <c r="BY30" s="116"/>
      <c r="BZ30" s="116"/>
      <c r="CB30" s="115">
        <f>SUMIFS(wallet_records!$D:$D,wallet_records!$B:$B,'EEFF 2022'!$C30,wallet_records!$O:$O,'EEFF 2022'!$B$1,wallet_records!$N:$N,'EEFF 2022'!CB$2,wallet_records!$H:$H,'EEFF 2022'!$B30)</f>
        <v>0</v>
      </c>
      <c r="CC30" s="116"/>
      <c r="CD30" s="116"/>
      <c r="CE30" s="116"/>
      <c r="CF30" s="116"/>
      <c r="CG30" s="116"/>
      <c r="CI30" s="115">
        <f>SUMIFS(wallet_records!$D:$D,wallet_records!$B:$B,'EEFF 2022'!$C30,wallet_records!$O:$O,'EEFF 2022'!$B$1,wallet_records!$N:$N,'EEFF 2022'!CI$2,wallet_records!$H:$H,'EEFF 2022'!$B30)</f>
        <v>0</v>
      </c>
      <c r="CJ30" s="116"/>
      <c r="CK30" s="116"/>
      <c r="CL30" s="116"/>
      <c r="CM30" s="116"/>
      <c r="CN30" s="116"/>
      <c r="CP30" s="115">
        <f>SUMIFS(wallet_records!$D:$D,wallet_records!$B:$B,'EEFF 2022'!$C30,wallet_records!$O:$O,'EEFF 2022'!$B$1,wallet_records!$H:$H,'EEFF 2022'!$B30)</f>
        <v>0</v>
      </c>
      <c r="CQ30" s="107"/>
      <c r="CR30" s="118"/>
      <c r="CS30" s="118"/>
      <c r="CT30" s="118"/>
      <c r="CU30" s="118">
        <f t="shared" si="0"/>
        <v>0</v>
      </c>
      <c r="CV30" s="118">
        <f t="shared" si="1"/>
        <v>0</v>
      </c>
      <c r="CW30" s="118">
        <f t="shared" si="2"/>
        <v>0</v>
      </c>
      <c r="CX30" s="118">
        <f t="shared" si="3"/>
        <v>0</v>
      </c>
      <c r="CY30" s="118">
        <f t="shared" si="4"/>
        <v>0</v>
      </c>
      <c r="CZ30" s="118">
        <f t="shared" si="5"/>
        <v>0</v>
      </c>
      <c r="DA30" s="118">
        <f t="shared" si="6"/>
        <v>0</v>
      </c>
      <c r="DB30" s="118">
        <f t="shared" si="7"/>
        <v>0</v>
      </c>
      <c r="DC30" s="118">
        <f t="shared" si="8"/>
        <v>0</v>
      </c>
    </row>
    <row r="31" spans="2:107" x14ac:dyDescent="0.2">
      <c r="B31" s="10" t="s">
        <v>98</v>
      </c>
      <c r="C31" s="191" t="s">
        <v>154</v>
      </c>
      <c r="D31" s="115"/>
      <c r="E31" s="115"/>
      <c r="F31" s="115"/>
      <c r="G31" s="116"/>
      <c r="H31" s="116"/>
      <c r="I31" s="116"/>
      <c r="J31" s="115"/>
      <c r="K31" s="115"/>
      <c r="L31" s="115"/>
      <c r="M31" s="115"/>
      <c r="N31" s="116"/>
      <c r="O31" s="116"/>
      <c r="P31" s="116"/>
      <c r="Q31" s="115"/>
      <c r="R31" s="116"/>
      <c r="S31" s="116"/>
      <c r="T31" s="116"/>
      <c r="U31" s="116"/>
      <c r="V31" s="116"/>
      <c r="X31" s="115">
        <f>SUMIFS(wallet_records!$D:$D,wallet_records!$B:$B,'EEFF 2022'!$C31,wallet_records!$O:$O,'EEFF 2022'!$B$1,wallet_records!$N:$N,'EEFF 2022'!X$2,wallet_records!$H:$H,'EEFF 2022'!$B31)</f>
        <v>0</v>
      </c>
      <c r="Y31" s="116"/>
      <c r="Z31" s="116"/>
      <c r="AA31" s="116"/>
      <c r="AB31" s="116"/>
      <c r="AC31" s="116"/>
      <c r="AE31" s="115">
        <f>SUMIFS(wallet_records!$D:$D,wallet_records!$B:$B,'EEFF 2022'!$C31,wallet_records!$O:$O,'EEFF 2022'!$B$1,wallet_records!$N:$N,'EEFF 2022'!AE$2,wallet_records!$H:$H,'EEFF 2022'!$B31)</f>
        <v>0</v>
      </c>
      <c r="AF31" s="116"/>
      <c r="AG31" s="116"/>
      <c r="AH31" s="116"/>
      <c r="AI31" s="116"/>
      <c r="AJ31" s="116"/>
      <c r="AL31" s="116">
        <f>SUMIFS(wallet_records!$D:$D,wallet_records!$B:$B,'EEFF 2022'!$C31,wallet_records!$O:$O,'EEFF 2022'!$B$1,wallet_records!$N:$N,'EEFF 2022'!AL$2,wallet_records!$H:$H,'EEFF 2022'!$B31)</f>
        <v>0</v>
      </c>
      <c r="AM31" s="116"/>
      <c r="AN31" s="116"/>
      <c r="AO31" s="116"/>
      <c r="AP31" s="116"/>
      <c r="AQ31" s="116"/>
      <c r="AS31" s="115">
        <f>SUMIFS(wallet_records!$D:$D,wallet_records!$B:$B,'EEFF 2022'!$C31,wallet_records!$O:$O,'EEFF 2022'!$B$1,wallet_records!$N:$N,'EEFF 2022'!AS$2,wallet_records!$H:$H,'EEFF 2022'!$B31)</f>
        <v>0</v>
      </c>
      <c r="AT31" s="116"/>
      <c r="AU31" s="116"/>
      <c r="AV31" s="116"/>
      <c r="AW31" s="116"/>
      <c r="AX31" s="116"/>
      <c r="AZ31" s="115">
        <f>SUMIFS(wallet_records!$D:$D,wallet_records!$B:$B,'EEFF 2022'!$C31,wallet_records!$O:$O,'EEFF 2022'!$B$1,wallet_records!$N:$N,'EEFF 2022'!AZ$2,wallet_records!$H:$H,'EEFF 2022'!$B31)</f>
        <v>0</v>
      </c>
      <c r="BA31" s="116"/>
      <c r="BB31" s="116"/>
      <c r="BC31" s="116"/>
      <c r="BD31" s="116"/>
      <c r="BE31" s="116"/>
      <c r="BG31" s="115">
        <f>SUMIFS(wallet_records!$D:$D,wallet_records!$B:$B,'EEFF 2022'!$C31,wallet_records!$O:$O,'EEFF 2022'!$B$1,wallet_records!$N:$N,'EEFF 2022'!BG$2,wallet_records!$H:$H,'EEFF 2022'!$B31)</f>
        <v>0</v>
      </c>
      <c r="BH31" s="116"/>
      <c r="BI31" s="116"/>
      <c r="BJ31" s="116"/>
      <c r="BK31" s="116"/>
      <c r="BL31" s="116"/>
      <c r="BN31" s="115">
        <f>SUMIFS(wallet_records!$D:$D,wallet_records!$B:$B,'EEFF 2022'!$C31,wallet_records!$O:$O,'EEFF 2022'!$B$1,wallet_records!$N:$N,'EEFF 2022'!BN$2,wallet_records!$H:$H,'EEFF 2022'!$B31)</f>
        <v>0</v>
      </c>
      <c r="BO31" s="116"/>
      <c r="BP31" s="116"/>
      <c r="BQ31" s="116"/>
      <c r="BR31" s="116"/>
      <c r="BS31" s="116"/>
      <c r="BU31" s="115">
        <f>SUMIFS(wallet_records!$D:$D,wallet_records!$B:$B,'EEFF 2022'!$C31,wallet_records!$O:$O,'EEFF 2022'!$B$1,wallet_records!$N:$N,'EEFF 2022'!BU$2,wallet_records!$H:$H,'EEFF 2022'!$B31)</f>
        <v>0</v>
      </c>
      <c r="BV31" s="116"/>
      <c r="BW31" s="116"/>
      <c r="BX31" s="116"/>
      <c r="BY31" s="116"/>
      <c r="BZ31" s="116"/>
      <c r="CB31" s="115">
        <f>SUMIFS(wallet_records!$D:$D,wallet_records!$B:$B,'EEFF 2022'!$C31,wallet_records!$O:$O,'EEFF 2022'!$B$1,wallet_records!$N:$N,'EEFF 2022'!CB$2,wallet_records!$H:$H,'EEFF 2022'!$B31)</f>
        <v>0</v>
      </c>
      <c r="CC31" s="116"/>
      <c r="CD31" s="116"/>
      <c r="CE31" s="116"/>
      <c r="CF31" s="116"/>
      <c r="CG31" s="116"/>
      <c r="CI31" s="115">
        <f>SUMIFS(wallet_records!$D:$D,wallet_records!$B:$B,'EEFF 2022'!$C31,wallet_records!$O:$O,'EEFF 2022'!$B$1,wallet_records!$N:$N,'EEFF 2022'!CI$2,wallet_records!$H:$H,'EEFF 2022'!$B31)</f>
        <v>0</v>
      </c>
      <c r="CJ31" s="116"/>
      <c r="CK31" s="116"/>
      <c r="CL31" s="116"/>
      <c r="CM31" s="116"/>
      <c r="CN31" s="116"/>
      <c r="CP31" s="115">
        <f>SUMIFS(wallet_records!$D:$D,wallet_records!$B:$B,'EEFF 2022'!$C31,wallet_records!$O:$O,'EEFF 2022'!$B$1,wallet_records!$H:$H,'EEFF 2022'!$B31)</f>
        <v>0</v>
      </c>
      <c r="CQ31" s="107"/>
      <c r="CR31" s="118"/>
      <c r="CS31" s="118"/>
      <c r="CT31" s="118"/>
      <c r="CU31" s="118">
        <f t="shared" si="0"/>
        <v>0</v>
      </c>
      <c r="CV31" s="118">
        <f t="shared" si="1"/>
        <v>0</v>
      </c>
      <c r="CW31" s="118">
        <f t="shared" si="2"/>
        <v>0</v>
      </c>
      <c r="CX31" s="118">
        <f t="shared" si="3"/>
        <v>0</v>
      </c>
      <c r="CY31" s="118">
        <f t="shared" si="4"/>
        <v>0</v>
      </c>
      <c r="CZ31" s="118">
        <f t="shared" si="5"/>
        <v>0</v>
      </c>
      <c r="DA31" s="118">
        <f t="shared" si="6"/>
        <v>0</v>
      </c>
      <c r="DB31" s="118">
        <f t="shared" si="7"/>
        <v>0</v>
      </c>
      <c r="DC31" s="118">
        <f t="shared" si="8"/>
        <v>0</v>
      </c>
    </row>
    <row r="32" spans="2:107" x14ac:dyDescent="0.2">
      <c r="B32" s="10" t="s">
        <v>287</v>
      </c>
      <c r="C32" s="191" t="s">
        <v>114</v>
      </c>
      <c r="D32" s="115"/>
      <c r="E32" s="115"/>
      <c r="F32" s="115"/>
      <c r="G32" s="116"/>
      <c r="H32" s="116"/>
      <c r="I32" s="116"/>
      <c r="J32" s="115"/>
      <c r="K32" s="115"/>
      <c r="L32" s="115"/>
      <c r="M32" s="115"/>
      <c r="N32" s="116"/>
      <c r="O32" s="116"/>
      <c r="P32" s="116"/>
      <c r="Q32" s="115"/>
      <c r="R32" s="116"/>
      <c r="S32" s="116"/>
      <c r="T32" s="116"/>
      <c r="U32" s="116"/>
      <c r="V32" s="116"/>
      <c r="X32" s="115">
        <f>SUMIFS(wallet_records!$D:$D,wallet_records!$B:$B,'EEFF 2022'!$C32,wallet_records!$O:$O,'EEFF 2022'!$B$1,wallet_records!$N:$N,'EEFF 2022'!X$2,wallet_records!$H:$H,'EEFF 2022'!$B32)</f>
        <v>0</v>
      </c>
      <c r="Y32" s="116"/>
      <c r="Z32" s="116"/>
      <c r="AA32" s="116"/>
      <c r="AB32" s="116"/>
      <c r="AC32" s="116"/>
      <c r="AE32" s="115">
        <f>SUMIFS(wallet_records!$D:$D,wallet_records!$B:$B,'EEFF 2022'!$C32,wallet_records!$O:$O,'EEFF 2022'!$B$1,wallet_records!$N:$N,'EEFF 2022'!AE$2,wallet_records!$H:$H,'EEFF 2022'!$B32)</f>
        <v>0</v>
      </c>
      <c r="AF32" s="116"/>
      <c r="AG32" s="116"/>
      <c r="AH32" s="116"/>
      <c r="AI32" s="116"/>
      <c r="AJ32" s="116"/>
      <c r="AL32" s="116">
        <f>SUMIFS(wallet_records!$D:$D,wallet_records!$B:$B,'EEFF 2022'!$C32,wallet_records!$O:$O,'EEFF 2022'!$B$1,wallet_records!$N:$N,'EEFF 2022'!AL$2,wallet_records!$H:$H,'EEFF 2022'!$B32)</f>
        <v>0</v>
      </c>
      <c r="AM32" s="116"/>
      <c r="AN32" s="116"/>
      <c r="AO32" s="116"/>
      <c r="AP32" s="116"/>
      <c r="AQ32" s="116"/>
      <c r="AS32" s="115">
        <f>SUMIFS(wallet_records!$D:$D,wallet_records!$B:$B,'EEFF 2022'!$C32,wallet_records!$O:$O,'EEFF 2022'!$B$1,wallet_records!$N:$N,'EEFF 2022'!AS$2,wallet_records!$H:$H,'EEFF 2022'!$B32)</f>
        <v>0</v>
      </c>
      <c r="AT32" s="116"/>
      <c r="AU32" s="116"/>
      <c r="AV32" s="116"/>
      <c r="AW32" s="116"/>
      <c r="AX32" s="116"/>
      <c r="AZ32" s="115">
        <f>SUMIFS(wallet_records!$D:$D,wallet_records!$B:$B,'EEFF 2022'!$C32,wallet_records!$O:$O,'EEFF 2022'!$B$1,wallet_records!$N:$N,'EEFF 2022'!AZ$2,wallet_records!$H:$H,'EEFF 2022'!$B32)</f>
        <v>0</v>
      </c>
      <c r="BA32" s="116"/>
      <c r="BB32" s="116"/>
      <c r="BC32" s="116"/>
      <c r="BD32" s="116"/>
      <c r="BE32" s="116"/>
      <c r="BG32" s="115">
        <f>SUMIFS(wallet_records!$D:$D,wallet_records!$B:$B,'EEFF 2022'!$C32,wallet_records!$O:$O,'EEFF 2022'!$B$1,wallet_records!$N:$N,'EEFF 2022'!BG$2,wallet_records!$H:$H,'EEFF 2022'!$B32)</f>
        <v>0</v>
      </c>
      <c r="BH32" s="116"/>
      <c r="BI32" s="116"/>
      <c r="BJ32" s="116"/>
      <c r="BK32" s="116"/>
      <c r="BL32" s="116"/>
      <c r="BN32" s="115">
        <f>SUMIFS(wallet_records!$D:$D,wallet_records!$B:$B,'EEFF 2022'!$C32,wallet_records!$O:$O,'EEFF 2022'!$B$1,wallet_records!$N:$N,'EEFF 2022'!BN$2,wallet_records!$H:$H,'EEFF 2022'!$B32)</f>
        <v>0</v>
      </c>
      <c r="BO32" s="116"/>
      <c r="BP32" s="116"/>
      <c r="BQ32" s="116"/>
      <c r="BR32" s="116"/>
      <c r="BS32" s="116"/>
      <c r="BU32" s="115">
        <f>SUMIFS(wallet_records!$D:$D,wallet_records!$B:$B,'EEFF 2022'!$C32,wallet_records!$O:$O,'EEFF 2022'!$B$1,wallet_records!$N:$N,'EEFF 2022'!BU$2,wallet_records!$H:$H,'EEFF 2022'!$B32)</f>
        <v>0</v>
      </c>
      <c r="BV32" s="116"/>
      <c r="BW32" s="116"/>
      <c r="BX32" s="116"/>
      <c r="BY32" s="116"/>
      <c r="BZ32" s="116"/>
      <c r="CB32" s="115">
        <f>SUMIFS(wallet_records!$D:$D,wallet_records!$B:$B,'EEFF 2022'!$C32,wallet_records!$O:$O,'EEFF 2022'!$B$1,wallet_records!$N:$N,'EEFF 2022'!CB$2,wallet_records!$H:$H,'EEFF 2022'!$B32)</f>
        <v>0</v>
      </c>
      <c r="CC32" s="116"/>
      <c r="CD32" s="116"/>
      <c r="CE32" s="116"/>
      <c r="CF32" s="116"/>
      <c r="CG32" s="116"/>
      <c r="CI32" s="115">
        <f>SUMIFS(wallet_records!$D:$D,wallet_records!$B:$B,'EEFF 2022'!$C32,wallet_records!$O:$O,'EEFF 2022'!$B$1,wallet_records!$N:$N,'EEFF 2022'!CI$2,wallet_records!$H:$H,'EEFF 2022'!$B32)</f>
        <v>0</v>
      </c>
      <c r="CJ32" s="116"/>
      <c r="CK32" s="116"/>
      <c r="CL32" s="116"/>
      <c r="CM32" s="116"/>
      <c r="CN32" s="116"/>
      <c r="CP32" s="115">
        <f>SUMIFS(wallet_records!$D:$D,wallet_records!$B:$B,'EEFF 2022'!$C32,wallet_records!$O:$O,'EEFF 2022'!$B$1,wallet_records!$H:$H,'EEFF 2022'!$B32)</f>
        <v>0</v>
      </c>
      <c r="CQ32" s="107"/>
      <c r="CR32" s="118"/>
      <c r="CS32" s="118"/>
      <c r="CT32" s="118"/>
      <c r="CU32" s="118">
        <f t="shared" si="0"/>
        <v>0</v>
      </c>
      <c r="CV32" s="118">
        <f t="shared" si="1"/>
        <v>0</v>
      </c>
      <c r="CW32" s="118">
        <f t="shared" si="2"/>
        <v>0</v>
      </c>
      <c r="CX32" s="118">
        <f t="shared" si="3"/>
        <v>0</v>
      </c>
      <c r="CY32" s="118">
        <f t="shared" si="4"/>
        <v>0</v>
      </c>
      <c r="CZ32" s="118">
        <f t="shared" si="5"/>
        <v>0</v>
      </c>
      <c r="DA32" s="118">
        <f t="shared" si="6"/>
        <v>0</v>
      </c>
      <c r="DB32" s="118">
        <f t="shared" si="7"/>
        <v>0</v>
      </c>
      <c r="DC32" s="118">
        <f t="shared" si="8"/>
        <v>0</v>
      </c>
    </row>
    <row r="33" spans="2:107" x14ac:dyDescent="0.2">
      <c r="B33" s="10" t="s">
        <v>173</v>
      </c>
      <c r="C33" s="191" t="s">
        <v>172</v>
      </c>
      <c r="D33" s="115"/>
      <c r="E33" s="115"/>
      <c r="F33" s="115"/>
      <c r="G33" s="116"/>
      <c r="H33" s="116"/>
      <c r="I33" s="116"/>
      <c r="J33" s="115"/>
      <c r="K33" s="115"/>
      <c r="L33" s="115"/>
      <c r="M33" s="115"/>
      <c r="N33" s="116"/>
      <c r="O33" s="116"/>
      <c r="P33" s="116"/>
      <c r="Q33" s="115"/>
      <c r="R33" s="116"/>
      <c r="S33" s="116"/>
      <c r="T33" s="116"/>
      <c r="U33" s="116"/>
      <c r="V33" s="116"/>
      <c r="X33" s="115">
        <f>SUMIFS(wallet_records!$D:$D,wallet_records!$B:$B,'EEFF 2022'!$C33,wallet_records!$O:$O,'EEFF 2022'!$B$1,wallet_records!$N:$N,'EEFF 2022'!X$2,wallet_records!$H:$H,'EEFF 2022'!$B33)</f>
        <v>0</v>
      </c>
      <c r="Y33" s="116"/>
      <c r="Z33" s="116"/>
      <c r="AA33" s="116"/>
      <c r="AB33" s="116"/>
      <c r="AC33" s="116"/>
      <c r="AE33" s="115">
        <f>SUMIFS(wallet_records!$D:$D,wallet_records!$B:$B,'EEFF 2022'!$C33,wallet_records!$O:$O,'EEFF 2022'!$B$1,wallet_records!$N:$N,'EEFF 2022'!AE$2,wallet_records!$H:$H,'EEFF 2022'!$B33)</f>
        <v>0</v>
      </c>
      <c r="AF33" s="116"/>
      <c r="AG33" s="116"/>
      <c r="AH33" s="116"/>
      <c r="AI33" s="116"/>
      <c r="AJ33" s="116"/>
      <c r="AL33" s="116">
        <f>SUMIFS(wallet_records!$D:$D,wallet_records!$B:$B,'EEFF 2022'!$C33,wallet_records!$O:$O,'EEFF 2022'!$B$1,wallet_records!$N:$N,'EEFF 2022'!AL$2,wallet_records!$H:$H,'EEFF 2022'!$B33)</f>
        <v>0</v>
      </c>
      <c r="AM33" s="116"/>
      <c r="AN33" s="116"/>
      <c r="AO33" s="116"/>
      <c r="AP33" s="116"/>
      <c r="AQ33" s="116"/>
      <c r="AS33" s="115">
        <f>SUMIFS(wallet_records!$D:$D,wallet_records!$B:$B,'EEFF 2022'!$C33,wallet_records!$O:$O,'EEFF 2022'!$B$1,wallet_records!$N:$N,'EEFF 2022'!AS$2,wallet_records!$H:$H,'EEFF 2022'!$B33)</f>
        <v>0</v>
      </c>
      <c r="AT33" s="116"/>
      <c r="AU33" s="116"/>
      <c r="AV33" s="116"/>
      <c r="AW33" s="116"/>
      <c r="AX33" s="116"/>
      <c r="AZ33" s="115">
        <f>SUMIFS(wallet_records!$D:$D,wallet_records!$B:$B,'EEFF 2022'!$C33,wallet_records!$O:$O,'EEFF 2022'!$B$1,wallet_records!$N:$N,'EEFF 2022'!AZ$2,wallet_records!$H:$H,'EEFF 2022'!$B33)</f>
        <v>0</v>
      </c>
      <c r="BA33" s="116"/>
      <c r="BB33" s="116"/>
      <c r="BC33" s="116"/>
      <c r="BD33" s="116"/>
      <c r="BE33" s="116"/>
      <c r="BG33" s="115">
        <f>SUMIFS(wallet_records!$D:$D,wallet_records!$B:$B,'EEFF 2022'!$C33,wallet_records!$O:$O,'EEFF 2022'!$B$1,wallet_records!$N:$N,'EEFF 2022'!BG$2,wallet_records!$H:$H,'EEFF 2022'!$B33)</f>
        <v>0</v>
      </c>
      <c r="BH33" s="116"/>
      <c r="BI33" s="116"/>
      <c r="BJ33" s="116"/>
      <c r="BK33" s="116"/>
      <c r="BL33" s="116"/>
      <c r="BN33" s="115">
        <f>SUMIFS(wallet_records!$D:$D,wallet_records!$B:$B,'EEFF 2022'!$C33,wallet_records!$O:$O,'EEFF 2022'!$B$1,wallet_records!$N:$N,'EEFF 2022'!BN$2,wallet_records!$H:$H,'EEFF 2022'!$B33)</f>
        <v>0</v>
      </c>
      <c r="BO33" s="116"/>
      <c r="BP33" s="116"/>
      <c r="BQ33" s="116"/>
      <c r="BR33" s="116"/>
      <c r="BS33" s="116"/>
      <c r="BU33" s="115">
        <f>SUMIFS(wallet_records!$D:$D,wallet_records!$B:$B,'EEFF 2022'!$C33,wallet_records!$O:$O,'EEFF 2022'!$B$1,wallet_records!$N:$N,'EEFF 2022'!BU$2,wallet_records!$H:$H,'EEFF 2022'!$B33)</f>
        <v>0</v>
      </c>
      <c r="BV33" s="116"/>
      <c r="BW33" s="116"/>
      <c r="BX33" s="116"/>
      <c r="BY33" s="116"/>
      <c r="BZ33" s="116"/>
      <c r="CB33" s="115">
        <f>SUMIFS(wallet_records!$D:$D,wallet_records!$B:$B,'EEFF 2022'!$C33,wallet_records!$O:$O,'EEFF 2022'!$B$1,wallet_records!$N:$N,'EEFF 2022'!CB$2,wallet_records!$H:$H,'EEFF 2022'!$B33)</f>
        <v>0</v>
      </c>
      <c r="CC33" s="116"/>
      <c r="CD33" s="116"/>
      <c r="CE33" s="116"/>
      <c r="CF33" s="116"/>
      <c r="CG33" s="116"/>
      <c r="CI33" s="115">
        <f>SUMIFS(wallet_records!$D:$D,wallet_records!$B:$B,'EEFF 2022'!$C33,wallet_records!$O:$O,'EEFF 2022'!$B$1,wallet_records!$N:$N,'EEFF 2022'!CI$2,wallet_records!$H:$H,'EEFF 2022'!$B33)</f>
        <v>0</v>
      </c>
      <c r="CJ33" s="116"/>
      <c r="CK33" s="116"/>
      <c r="CL33" s="116"/>
      <c r="CM33" s="116"/>
      <c r="CN33" s="116"/>
      <c r="CP33" s="115">
        <f>SUMIFS(wallet_records!$D:$D,wallet_records!$B:$B,'EEFF 2022'!$C33,wallet_records!$O:$O,'EEFF 2022'!$B$1,wallet_records!$H:$H,'EEFF 2022'!$B33)</f>
        <v>0</v>
      </c>
      <c r="CQ33" s="107"/>
      <c r="CR33" s="118"/>
      <c r="CS33" s="118"/>
      <c r="CT33" s="118"/>
      <c r="CU33" s="118">
        <f t="shared" si="0"/>
        <v>0</v>
      </c>
      <c r="CV33" s="118">
        <f t="shared" si="1"/>
        <v>0</v>
      </c>
      <c r="CW33" s="118">
        <f t="shared" si="2"/>
        <v>0</v>
      </c>
      <c r="CX33" s="118">
        <f t="shared" si="3"/>
        <v>0</v>
      </c>
      <c r="CY33" s="118">
        <f t="shared" si="4"/>
        <v>0</v>
      </c>
      <c r="CZ33" s="118">
        <f t="shared" si="5"/>
        <v>0</v>
      </c>
      <c r="DA33" s="118">
        <f t="shared" si="6"/>
        <v>0</v>
      </c>
      <c r="DB33" s="118">
        <f t="shared" si="7"/>
        <v>0</v>
      </c>
      <c r="DC33" s="118">
        <f t="shared" si="8"/>
        <v>0</v>
      </c>
    </row>
    <row r="34" spans="2:107" x14ac:dyDescent="0.2">
      <c r="B34" s="10" t="s">
        <v>174</v>
      </c>
      <c r="C34" s="191" t="s">
        <v>172</v>
      </c>
      <c r="D34" s="115"/>
      <c r="E34" s="115"/>
      <c r="F34" s="115"/>
      <c r="G34" s="116"/>
      <c r="H34" s="116"/>
      <c r="I34" s="116"/>
      <c r="J34" s="115"/>
      <c r="K34" s="115"/>
      <c r="L34" s="115"/>
      <c r="M34" s="115"/>
      <c r="N34" s="116"/>
      <c r="O34" s="116"/>
      <c r="P34" s="116"/>
      <c r="Q34" s="115"/>
      <c r="R34" s="116"/>
      <c r="S34" s="116"/>
      <c r="T34" s="116"/>
      <c r="U34" s="116"/>
      <c r="V34" s="116"/>
      <c r="X34" s="115">
        <f>SUMIFS(wallet_records!$D:$D,wallet_records!$B:$B,'EEFF 2022'!$C34,wallet_records!$O:$O,'EEFF 2022'!$B$1,wallet_records!$N:$N,'EEFF 2022'!X$2,wallet_records!$H:$H,'EEFF 2022'!$B34)</f>
        <v>0</v>
      </c>
      <c r="Y34" s="116"/>
      <c r="Z34" s="116"/>
      <c r="AA34" s="116"/>
      <c r="AB34" s="116"/>
      <c r="AC34" s="116"/>
      <c r="AE34" s="115">
        <f>SUMIFS(wallet_records!$D:$D,wallet_records!$B:$B,'EEFF 2022'!$C34,wallet_records!$O:$O,'EEFF 2022'!$B$1,wallet_records!$N:$N,'EEFF 2022'!AE$2,wallet_records!$H:$H,'EEFF 2022'!$B34)</f>
        <v>0</v>
      </c>
      <c r="AF34" s="116"/>
      <c r="AG34" s="116"/>
      <c r="AH34" s="116"/>
      <c r="AI34" s="116"/>
      <c r="AJ34" s="116"/>
      <c r="AL34" s="116">
        <f>SUMIFS(wallet_records!$D:$D,wallet_records!$B:$B,'EEFF 2022'!$C34,wallet_records!$O:$O,'EEFF 2022'!$B$1,wallet_records!$N:$N,'EEFF 2022'!AL$2,wallet_records!$H:$H,'EEFF 2022'!$B34)</f>
        <v>0</v>
      </c>
      <c r="AM34" s="116"/>
      <c r="AN34" s="116"/>
      <c r="AO34" s="116"/>
      <c r="AP34" s="116"/>
      <c r="AQ34" s="116"/>
      <c r="AS34" s="115">
        <f>SUMIFS(wallet_records!$D:$D,wallet_records!$B:$B,'EEFF 2022'!$C34,wallet_records!$O:$O,'EEFF 2022'!$B$1,wallet_records!$N:$N,'EEFF 2022'!AS$2,wallet_records!$H:$H,'EEFF 2022'!$B34)</f>
        <v>0</v>
      </c>
      <c r="AT34" s="116"/>
      <c r="AU34" s="116"/>
      <c r="AV34" s="116"/>
      <c r="AW34" s="116"/>
      <c r="AX34" s="116"/>
      <c r="AZ34" s="115">
        <f>SUMIFS(wallet_records!$D:$D,wallet_records!$B:$B,'EEFF 2022'!$C34,wallet_records!$O:$O,'EEFF 2022'!$B$1,wallet_records!$N:$N,'EEFF 2022'!AZ$2,wallet_records!$H:$H,'EEFF 2022'!$B34)</f>
        <v>0</v>
      </c>
      <c r="BA34" s="116"/>
      <c r="BB34" s="116"/>
      <c r="BC34" s="116"/>
      <c r="BD34" s="116"/>
      <c r="BE34" s="116"/>
      <c r="BG34" s="115">
        <f>SUMIFS(wallet_records!$D:$D,wallet_records!$B:$B,'EEFF 2022'!$C34,wallet_records!$O:$O,'EEFF 2022'!$B$1,wallet_records!$N:$N,'EEFF 2022'!BG$2,wallet_records!$H:$H,'EEFF 2022'!$B34)</f>
        <v>0</v>
      </c>
      <c r="BH34" s="116"/>
      <c r="BI34" s="116"/>
      <c r="BJ34" s="116"/>
      <c r="BK34" s="116"/>
      <c r="BL34" s="116"/>
      <c r="BN34" s="115">
        <f>SUMIFS(wallet_records!$D:$D,wallet_records!$B:$B,'EEFF 2022'!$C34,wallet_records!$O:$O,'EEFF 2022'!$B$1,wallet_records!$N:$N,'EEFF 2022'!BN$2,wallet_records!$H:$H,'EEFF 2022'!$B34)</f>
        <v>0</v>
      </c>
      <c r="BO34" s="116"/>
      <c r="BP34" s="116"/>
      <c r="BQ34" s="116"/>
      <c r="BR34" s="116"/>
      <c r="BS34" s="116"/>
      <c r="BU34" s="115">
        <f>SUMIFS(wallet_records!$D:$D,wallet_records!$B:$B,'EEFF 2022'!$C34,wallet_records!$O:$O,'EEFF 2022'!$B$1,wallet_records!$N:$N,'EEFF 2022'!BU$2,wallet_records!$H:$H,'EEFF 2022'!$B34)</f>
        <v>0</v>
      </c>
      <c r="BV34" s="116"/>
      <c r="BW34" s="116"/>
      <c r="BX34" s="116"/>
      <c r="BY34" s="116"/>
      <c r="BZ34" s="116"/>
      <c r="CB34" s="115">
        <f>SUMIFS(wallet_records!$D:$D,wallet_records!$B:$B,'EEFF 2022'!$C34,wallet_records!$O:$O,'EEFF 2022'!$B$1,wallet_records!$N:$N,'EEFF 2022'!CB$2,wallet_records!$H:$H,'EEFF 2022'!$B34)</f>
        <v>0</v>
      </c>
      <c r="CC34" s="116"/>
      <c r="CD34" s="116"/>
      <c r="CE34" s="116"/>
      <c r="CF34" s="116"/>
      <c r="CG34" s="116"/>
      <c r="CI34" s="115">
        <f>SUMIFS(wallet_records!$D:$D,wallet_records!$B:$B,'EEFF 2022'!$C34,wallet_records!$O:$O,'EEFF 2022'!$B$1,wallet_records!$N:$N,'EEFF 2022'!CI$2,wallet_records!$H:$H,'EEFF 2022'!$B34)</f>
        <v>0</v>
      </c>
      <c r="CJ34" s="116"/>
      <c r="CK34" s="116"/>
      <c r="CL34" s="116"/>
      <c r="CM34" s="116"/>
      <c r="CN34" s="116"/>
      <c r="CP34" s="115">
        <f>SUMIFS(wallet_records!$D:$D,wallet_records!$B:$B,'EEFF 2022'!$C34,wallet_records!$O:$O,'EEFF 2022'!$B$1,wallet_records!$H:$H,'EEFF 2022'!$B34)</f>
        <v>0</v>
      </c>
      <c r="CQ34" s="107"/>
      <c r="CR34" s="118"/>
      <c r="CS34" s="118"/>
      <c r="CT34" s="118"/>
      <c r="CU34" s="118">
        <f t="shared" si="0"/>
        <v>0</v>
      </c>
      <c r="CV34" s="118">
        <f t="shared" si="1"/>
        <v>0</v>
      </c>
      <c r="CW34" s="118">
        <f t="shared" si="2"/>
        <v>0</v>
      </c>
      <c r="CX34" s="118">
        <f t="shared" si="3"/>
        <v>0</v>
      </c>
      <c r="CY34" s="118">
        <f t="shared" si="4"/>
        <v>0</v>
      </c>
      <c r="CZ34" s="118">
        <f t="shared" si="5"/>
        <v>0</v>
      </c>
      <c r="DA34" s="118">
        <f t="shared" si="6"/>
        <v>0</v>
      </c>
      <c r="DB34" s="118">
        <f t="shared" si="7"/>
        <v>0</v>
      </c>
      <c r="DC34" s="118">
        <f t="shared" si="8"/>
        <v>0</v>
      </c>
    </row>
    <row r="35" spans="2:107" x14ac:dyDescent="0.2">
      <c r="B35" s="10" t="s">
        <v>94</v>
      </c>
      <c r="C35" s="191" t="s">
        <v>136</v>
      </c>
      <c r="D35" s="115"/>
      <c r="E35" s="115"/>
      <c r="F35" s="115"/>
      <c r="G35" s="116"/>
      <c r="H35" s="116"/>
      <c r="I35" s="116"/>
      <c r="J35" s="115"/>
      <c r="K35" s="115"/>
      <c r="L35" s="115"/>
      <c r="M35" s="115"/>
      <c r="N35" s="116"/>
      <c r="O35" s="116"/>
      <c r="P35" s="116"/>
      <c r="Q35" s="115"/>
      <c r="R35" s="116"/>
      <c r="S35" s="116"/>
      <c r="T35" s="116"/>
      <c r="U35" s="116"/>
      <c r="V35" s="116"/>
      <c r="X35" s="115">
        <f>SUMIFS(wallet_records!$D:$D,wallet_records!$B:$B,'EEFF 2022'!$C35,wallet_records!$O:$O,'EEFF 2022'!$B$1,wallet_records!$N:$N,'EEFF 2022'!X$2,wallet_records!$H:$H,'EEFF 2022'!$B35)</f>
        <v>0</v>
      </c>
      <c r="Y35" s="116"/>
      <c r="Z35" s="116"/>
      <c r="AA35" s="116"/>
      <c r="AB35" s="116"/>
      <c r="AC35" s="116"/>
      <c r="AE35" s="115">
        <f>SUMIFS(wallet_records!$D:$D,wallet_records!$B:$B,'EEFF 2022'!$C35,wallet_records!$O:$O,'EEFF 2022'!$B$1,wallet_records!$N:$N,'EEFF 2022'!AE$2,wallet_records!$H:$H,'EEFF 2022'!$B35)</f>
        <v>0</v>
      </c>
      <c r="AF35" s="116"/>
      <c r="AG35" s="116"/>
      <c r="AH35" s="116"/>
      <c r="AI35" s="116"/>
      <c r="AJ35" s="116"/>
      <c r="AL35" s="116">
        <f>SUMIFS(wallet_records!$D:$D,wallet_records!$B:$B,'EEFF 2022'!$C35,wallet_records!$O:$O,'EEFF 2022'!$B$1,wallet_records!$N:$N,'EEFF 2022'!AL$2,wallet_records!$H:$H,'EEFF 2022'!$B35)</f>
        <v>0</v>
      </c>
      <c r="AM35" s="116"/>
      <c r="AN35" s="116"/>
      <c r="AO35" s="116"/>
      <c r="AP35" s="116"/>
      <c r="AQ35" s="116"/>
      <c r="AS35" s="115">
        <f>SUMIFS(wallet_records!$D:$D,wallet_records!$B:$B,'EEFF 2022'!$C35,wallet_records!$O:$O,'EEFF 2022'!$B$1,wallet_records!$N:$N,'EEFF 2022'!AS$2,wallet_records!$H:$H,'EEFF 2022'!$B35)</f>
        <v>0</v>
      </c>
      <c r="AT35" s="116"/>
      <c r="AU35" s="116"/>
      <c r="AV35" s="116"/>
      <c r="AW35" s="116"/>
      <c r="AX35" s="116"/>
      <c r="AZ35" s="115">
        <f>SUMIFS(wallet_records!$D:$D,wallet_records!$B:$B,'EEFF 2022'!$C35,wallet_records!$O:$O,'EEFF 2022'!$B$1,wallet_records!$N:$N,'EEFF 2022'!AZ$2,wallet_records!$H:$H,'EEFF 2022'!$B35)</f>
        <v>0</v>
      </c>
      <c r="BA35" s="116"/>
      <c r="BB35" s="116"/>
      <c r="BC35" s="116"/>
      <c r="BD35" s="116"/>
      <c r="BE35" s="116"/>
      <c r="BG35" s="115">
        <f>SUMIFS(wallet_records!$D:$D,wallet_records!$B:$B,'EEFF 2022'!$C35,wallet_records!$O:$O,'EEFF 2022'!$B$1,wallet_records!$N:$N,'EEFF 2022'!BG$2,wallet_records!$H:$H,'EEFF 2022'!$B35)</f>
        <v>0</v>
      </c>
      <c r="BH35" s="116"/>
      <c r="BI35" s="116"/>
      <c r="BJ35" s="116"/>
      <c r="BK35" s="116"/>
      <c r="BL35" s="116"/>
      <c r="BN35" s="115">
        <f>SUMIFS(wallet_records!$D:$D,wallet_records!$B:$B,'EEFF 2022'!$C35,wallet_records!$O:$O,'EEFF 2022'!$B$1,wallet_records!$N:$N,'EEFF 2022'!BN$2,wallet_records!$H:$H,'EEFF 2022'!$B35)</f>
        <v>0</v>
      </c>
      <c r="BO35" s="116"/>
      <c r="BP35" s="116"/>
      <c r="BQ35" s="116"/>
      <c r="BR35" s="116"/>
      <c r="BS35" s="116"/>
      <c r="BU35" s="115">
        <f>SUMIFS(wallet_records!$D:$D,wallet_records!$B:$B,'EEFF 2022'!$C35,wallet_records!$O:$O,'EEFF 2022'!$B$1,wallet_records!$N:$N,'EEFF 2022'!BU$2,wallet_records!$H:$H,'EEFF 2022'!$B35)</f>
        <v>0</v>
      </c>
      <c r="BV35" s="116"/>
      <c r="BW35" s="116"/>
      <c r="BX35" s="116"/>
      <c r="BY35" s="116"/>
      <c r="BZ35" s="116"/>
      <c r="CB35" s="115">
        <f>SUMIFS(wallet_records!$D:$D,wallet_records!$B:$B,'EEFF 2022'!$C35,wallet_records!$O:$O,'EEFF 2022'!$B$1,wallet_records!$N:$N,'EEFF 2022'!CB$2,wallet_records!$H:$H,'EEFF 2022'!$B35)</f>
        <v>0</v>
      </c>
      <c r="CC35" s="116"/>
      <c r="CD35" s="116"/>
      <c r="CE35" s="116"/>
      <c r="CF35" s="116"/>
      <c r="CG35" s="116"/>
      <c r="CI35" s="115">
        <f>SUMIFS(wallet_records!$D:$D,wallet_records!$B:$B,'EEFF 2022'!$C35,wallet_records!$O:$O,'EEFF 2022'!$B$1,wallet_records!$N:$N,'EEFF 2022'!CI$2,wallet_records!$H:$H,'EEFF 2022'!$B35)</f>
        <v>0</v>
      </c>
      <c r="CJ35" s="116"/>
      <c r="CK35" s="116"/>
      <c r="CL35" s="116"/>
      <c r="CM35" s="116"/>
      <c r="CN35" s="116"/>
      <c r="CP35" s="115">
        <f>SUMIFS(wallet_records!$D:$D,wallet_records!$B:$B,'EEFF 2022'!$C35,wallet_records!$O:$O,'EEFF 2022'!$B$1,wallet_records!$H:$H,'EEFF 2022'!$B35)</f>
        <v>0</v>
      </c>
      <c r="CQ35" s="107"/>
      <c r="CR35" s="118"/>
      <c r="CS35" s="118"/>
      <c r="CT35" s="118"/>
      <c r="CU35" s="118">
        <f t="shared" si="0"/>
        <v>0</v>
      </c>
      <c r="CV35" s="118">
        <f t="shared" si="1"/>
        <v>0</v>
      </c>
      <c r="CW35" s="118">
        <f t="shared" si="2"/>
        <v>0</v>
      </c>
      <c r="CX35" s="118">
        <f t="shared" si="3"/>
        <v>0</v>
      </c>
      <c r="CY35" s="118">
        <f t="shared" si="4"/>
        <v>0</v>
      </c>
      <c r="CZ35" s="118">
        <f t="shared" si="5"/>
        <v>0</v>
      </c>
      <c r="DA35" s="118">
        <f t="shared" si="6"/>
        <v>0</v>
      </c>
      <c r="DB35" s="118">
        <f t="shared" si="7"/>
        <v>0</v>
      </c>
      <c r="DC35" s="118">
        <f t="shared" si="8"/>
        <v>0</v>
      </c>
    </row>
    <row r="36" spans="2:107" x14ac:dyDescent="0.2">
      <c r="B36" s="10" t="s">
        <v>95</v>
      </c>
      <c r="C36" s="191" t="s">
        <v>136</v>
      </c>
      <c r="D36" s="115"/>
      <c r="E36" s="115"/>
      <c r="F36" s="115"/>
      <c r="G36" s="116"/>
      <c r="H36" s="116"/>
      <c r="I36" s="116"/>
      <c r="J36" s="115"/>
      <c r="K36" s="115"/>
      <c r="L36" s="115"/>
      <c r="M36" s="115"/>
      <c r="N36" s="116"/>
      <c r="O36" s="116"/>
      <c r="P36" s="116"/>
      <c r="Q36" s="115"/>
      <c r="R36" s="116"/>
      <c r="S36" s="116"/>
      <c r="T36" s="116"/>
      <c r="U36" s="116"/>
      <c r="V36" s="116"/>
      <c r="X36" s="115">
        <f>SUMIFS(wallet_records!$D:$D,wallet_records!$B:$B,'EEFF 2022'!$C36,wallet_records!$O:$O,'EEFF 2022'!$B$1,wallet_records!$N:$N,'EEFF 2022'!X$2,wallet_records!$H:$H,'EEFF 2022'!$B36)</f>
        <v>0</v>
      </c>
      <c r="Y36" s="116"/>
      <c r="Z36" s="116"/>
      <c r="AA36" s="116"/>
      <c r="AB36" s="116"/>
      <c r="AC36" s="116"/>
      <c r="AE36" s="115">
        <f>SUMIFS(wallet_records!$D:$D,wallet_records!$B:$B,'EEFF 2022'!$C36,wallet_records!$O:$O,'EEFF 2022'!$B$1,wallet_records!$N:$N,'EEFF 2022'!AE$2,wallet_records!$H:$H,'EEFF 2022'!$B36)</f>
        <v>0</v>
      </c>
      <c r="AF36" s="116"/>
      <c r="AG36" s="116"/>
      <c r="AH36" s="116"/>
      <c r="AI36" s="116"/>
      <c r="AJ36" s="116"/>
      <c r="AL36" s="116">
        <f>SUMIFS(wallet_records!$D:$D,wallet_records!$B:$B,'EEFF 2022'!$C36,wallet_records!$O:$O,'EEFF 2022'!$B$1,wallet_records!$N:$N,'EEFF 2022'!AL$2,wallet_records!$H:$H,'EEFF 2022'!$B36)</f>
        <v>0</v>
      </c>
      <c r="AM36" s="116"/>
      <c r="AN36" s="116"/>
      <c r="AO36" s="116"/>
      <c r="AP36" s="116"/>
      <c r="AQ36" s="116"/>
      <c r="AS36" s="115">
        <f>SUMIFS(wallet_records!$D:$D,wallet_records!$B:$B,'EEFF 2022'!$C36,wallet_records!$O:$O,'EEFF 2022'!$B$1,wallet_records!$N:$N,'EEFF 2022'!AS$2,wallet_records!$H:$H,'EEFF 2022'!$B36)</f>
        <v>0</v>
      </c>
      <c r="AT36" s="116"/>
      <c r="AU36" s="116"/>
      <c r="AV36" s="116"/>
      <c r="AW36" s="116"/>
      <c r="AX36" s="116"/>
      <c r="AZ36" s="115">
        <f>SUMIFS(wallet_records!$D:$D,wallet_records!$B:$B,'EEFF 2022'!$C36,wallet_records!$O:$O,'EEFF 2022'!$B$1,wallet_records!$N:$N,'EEFF 2022'!AZ$2,wallet_records!$H:$H,'EEFF 2022'!$B36)</f>
        <v>0</v>
      </c>
      <c r="BA36" s="116"/>
      <c r="BB36" s="116"/>
      <c r="BC36" s="116"/>
      <c r="BD36" s="116"/>
      <c r="BE36" s="116"/>
      <c r="BG36" s="115">
        <f>SUMIFS(wallet_records!$D:$D,wallet_records!$B:$B,'EEFF 2022'!$C36,wallet_records!$O:$O,'EEFF 2022'!$B$1,wallet_records!$N:$N,'EEFF 2022'!BG$2,wallet_records!$H:$H,'EEFF 2022'!$B36)</f>
        <v>0</v>
      </c>
      <c r="BH36" s="116"/>
      <c r="BI36" s="116"/>
      <c r="BJ36" s="116"/>
      <c r="BK36" s="116"/>
      <c r="BL36" s="116"/>
      <c r="BN36" s="115">
        <f>SUMIFS(wallet_records!$D:$D,wallet_records!$B:$B,'EEFF 2022'!$C36,wallet_records!$O:$O,'EEFF 2022'!$B$1,wallet_records!$N:$N,'EEFF 2022'!BN$2,wallet_records!$H:$H,'EEFF 2022'!$B36)</f>
        <v>0</v>
      </c>
      <c r="BO36" s="116"/>
      <c r="BP36" s="116"/>
      <c r="BQ36" s="116"/>
      <c r="BR36" s="116"/>
      <c r="BS36" s="116"/>
      <c r="BU36" s="115">
        <f>SUMIFS(wallet_records!$D:$D,wallet_records!$B:$B,'EEFF 2022'!$C36,wallet_records!$O:$O,'EEFF 2022'!$B$1,wallet_records!$N:$N,'EEFF 2022'!BU$2,wallet_records!$H:$H,'EEFF 2022'!$B36)</f>
        <v>0</v>
      </c>
      <c r="BV36" s="116"/>
      <c r="BW36" s="116"/>
      <c r="BX36" s="116"/>
      <c r="BY36" s="116"/>
      <c r="BZ36" s="116"/>
      <c r="CB36" s="115">
        <f>SUMIFS(wallet_records!$D:$D,wallet_records!$B:$B,'EEFF 2022'!$C36,wallet_records!$O:$O,'EEFF 2022'!$B$1,wallet_records!$N:$N,'EEFF 2022'!CB$2,wallet_records!$H:$H,'EEFF 2022'!$B36)</f>
        <v>0</v>
      </c>
      <c r="CC36" s="116"/>
      <c r="CD36" s="116"/>
      <c r="CE36" s="116"/>
      <c r="CF36" s="116"/>
      <c r="CG36" s="116"/>
      <c r="CI36" s="115">
        <f>SUMIFS(wallet_records!$D:$D,wallet_records!$B:$B,'EEFF 2022'!$C36,wallet_records!$O:$O,'EEFF 2022'!$B$1,wallet_records!$N:$N,'EEFF 2022'!CI$2,wallet_records!$H:$H,'EEFF 2022'!$B36)</f>
        <v>0</v>
      </c>
      <c r="CJ36" s="116"/>
      <c r="CK36" s="116"/>
      <c r="CL36" s="116"/>
      <c r="CM36" s="116"/>
      <c r="CN36" s="116"/>
      <c r="CP36" s="115">
        <f>SUMIFS(wallet_records!$D:$D,wallet_records!$B:$B,'EEFF 2022'!$C36,wallet_records!$O:$O,'EEFF 2022'!$B$1,wallet_records!$H:$H,'EEFF 2022'!$B36)</f>
        <v>0</v>
      </c>
      <c r="CQ36" s="107"/>
      <c r="CR36" s="118"/>
      <c r="CS36" s="118"/>
      <c r="CT36" s="118"/>
      <c r="CU36" s="118">
        <f t="shared" si="0"/>
        <v>0</v>
      </c>
      <c r="CV36" s="118">
        <f t="shared" si="1"/>
        <v>0</v>
      </c>
      <c r="CW36" s="118">
        <f t="shared" si="2"/>
        <v>0</v>
      </c>
      <c r="CX36" s="118">
        <f t="shared" si="3"/>
        <v>0</v>
      </c>
      <c r="CY36" s="118">
        <f t="shared" si="4"/>
        <v>0</v>
      </c>
      <c r="CZ36" s="118">
        <f t="shared" si="5"/>
        <v>0</v>
      </c>
      <c r="DA36" s="118">
        <f t="shared" si="6"/>
        <v>0</v>
      </c>
      <c r="DB36" s="118">
        <f t="shared" si="7"/>
        <v>0</v>
      </c>
      <c r="DC36" s="118">
        <f t="shared" si="8"/>
        <v>0</v>
      </c>
    </row>
    <row r="37" spans="2:107" x14ac:dyDescent="0.2">
      <c r="B37" s="10" t="s">
        <v>137</v>
      </c>
      <c r="C37" s="191" t="s">
        <v>136</v>
      </c>
      <c r="D37" s="115"/>
      <c r="E37" s="115"/>
      <c r="F37" s="115"/>
      <c r="G37" s="116"/>
      <c r="H37" s="116"/>
      <c r="I37" s="116"/>
      <c r="J37" s="115"/>
      <c r="K37" s="115"/>
      <c r="L37" s="115"/>
      <c r="M37" s="115"/>
      <c r="N37" s="116"/>
      <c r="O37" s="116"/>
      <c r="P37" s="116"/>
      <c r="Q37" s="115"/>
      <c r="R37" s="116"/>
      <c r="S37" s="116"/>
      <c r="T37" s="116"/>
      <c r="U37" s="116"/>
      <c r="V37" s="116"/>
      <c r="X37" s="115">
        <f>SUMIFS(wallet_records!$D:$D,wallet_records!$B:$B,'EEFF 2022'!$C37,wallet_records!$O:$O,'EEFF 2022'!$B$1,wallet_records!$N:$N,'EEFF 2022'!X$2,wallet_records!$H:$H,'EEFF 2022'!$B37)</f>
        <v>0</v>
      </c>
      <c r="Y37" s="116"/>
      <c r="Z37" s="116"/>
      <c r="AA37" s="116"/>
      <c r="AB37" s="116"/>
      <c r="AC37" s="116"/>
      <c r="AE37" s="115">
        <f>SUMIFS(wallet_records!$D:$D,wallet_records!$B:$B,'EEFF 2022'!$C37,wallet_records!$O:$O,'EEFF 2022'!$B$1,wallet_records!$N:$N,'EEFF 2022'!AE$2,wallet_records!$H:$H,'EEFF 2022'!$B37)</f>
        <v>0</v>
      </c>
      <c r="AF37" s="116"/>
      <c r="AG37" s="116"/>
      <c r="AH37" s="116"/>
      <c r="AI37" s="116"/>
      <c r="AJ37" s="116"/>
      <c r="AL37" s="116">
        <f>SUMIFS(wallet_records!$D:$D,wallet_records!$B:$B,'EEFF 2022'!$C37,wallet_records!$O:$O,'EEFF 2022'!$B$1,wallet_records!$N:$N,'EEFF 2022'!AL$2,wallet_records!$H:$H,'EEFF 2022'!$B37)</f>
        <v>0</v>
      </c>
      <c r="AM37" s="116"/>
      <c r="AN37" s="116"/>
      <c r="AO37" s="116"/>
      <c r="AP37" s="116"/>
      <c r="AQ37" s="116"/>
      <c r="AS37" s="115">
        <f>SUMIFS(wallet_records!$D:$D,wallet_records!$B:$B,'EEFF 2022'!$C37,wallet_records!$O:$O,'EEFF 2022'!$B$1,wallet_records!$N:$N,'EEFF 2022'!AS$2,wallet_records!$H:$H,'EEFF 2022'!$B37)</f>
        <v>0</v>
      </c>
      <c r="AT37" s="116"/>
      <c r="AU37" s="116"/>
      <c r="AV37" s="116"/>
      <c r="AW37" s="116"/>
      <c r="AX37" s="116"/>
      <c r="AZ37" s="115">
        <f>SUMIFS(wallet_records!$D:$D,wallet_records!$B:$B,'EEFF 2022'!$C37,wallet_records!$O:$O,'EEFF 2022'!$B$1,wallet_records!$N:$N,'EEFF 2022'!AZ$2,wallet_records!$H:$H,'EEFF 2022'!$B37)</f>
        <v>0</v>
      </c>
      <c r="BA37" s="116"/>
      <c r="BB37" s="116"/>
      <c r="BC37" s="116"/>
      <c r="BD37" s="116"/>
      <c r="BE37" s="116"/>
      <c r="BG37" s="115">
        <f>SUMIFS(wallet_records!$D:$D,wallet_records!$B:$B,'EEFF 2022'!$C37,wallet_records!$O:$O,'EEFF 2022'!$B$1,wallet_records!$N:$N,'EEFF 2022'!BG$2,wallet_records!$H:$H,'EEFF 2022'!$B37)</f>
        <v>0</v>
      </c>
      <c r="BH37" s="116"/>
      <c r="BI37" s="116"/>
      <c r="BJ37" s="116"/>
      <c r="BK37" s="116"/>
      <c r="BL37" s="116"/>
      <c r="BN37" s="115">
        <f>SUMIFS(wallet_records!$D:$D,wallet_records!$B:$B,'EEFF 2022'!$C37,wallet_records!$O:$O,'EEFF 2022'!$B$1,wallet_records!$N:$N,'EEFF 2022'!BN$2,wallet_records!$H:$H,'EEFF 2022'!$B37)</f>
        <v>0</v>
      </c>
      <c r="BO37" s="116"/>
      <c r="BP37" s="116"/>
      <c r="BQ37" s="116"/>
      <c r="BR37" s="116"/>
      <c r="BS37" s="116"/>
      <c r="BU37" s="115">
        <f>SUMIFS(wallet_records!$D:$D,wallet_records!$B:$B,'EEFF 2022'!$C37,wallet_records!$O:$O,'EEFF 2022'!$B$1,wallet_records!$N:$N,'EEFF 2022'!BU$2,wallet_records!$H:$H,'EEFF 2022'!$B37)</f>
        <v>0</v>
      </c>
      <c r="BV37" s="116"/>
      <c r="BW37" s="116"/>
      <c r="BX37" s="116"/>
      <c r="BY37" s="116"/>
      <c r="BZ37" s="116"/>
      <c r="CB37" s="115">
        <f>SUMIFS(wallet_records!$D:$D,wallet_records!$B:$B,'EEFF 2022'!$C37,wallet_records!$O:$O,'EEFF 2022'!$B$1,wallet_records!$N:$N,'EEFF 2022'!CB$2,wallet_records!$H:$H,'EEFF 2022'!$B37)</f>
        <v>0</v>
      </c>
      <c r="CC37" s="116"/>
      <c r="CD37" s="116"/>
      <c r="CE37" s="116"/>
      <c r="CF37" s="116"/>
      <c r="CG37" s="116"/>
      <c r="CI37" s="115">
        <f>SUMIFS(wallet_records!$D:$D,wallet_records!$B:$B,'EEFF 2022'!$C37,wallet_records!$O:$O,'EEFF 2022'!$B$1,wallet_records!$N:$N,'EEFF 2022'!CI$2,wallet_records!$H:$H,'EEFF 2022'!$B37)</f>
        <v>0</v>
      </c>
      <c r="CJ37" s="116"/>
      <c r="CK37" s="116"/>
      <c r="CL37" s="116"/>
      <c r="CM37" s="116"/>
      <c r="CN37" s="116"/>
      <c r="CP37" s="115">
        <f>SUMIFS(wallet_records!$D:$D,wallet_records!$B:$B,'EEFF 2022'!$C37,wallet_records!$O:$O,'EEFF 2022'!$B$1,wallet_records!$H:$H,'EEFF 2022'!$B37)</f>
        <v>0</v>
      </c>
      <c r="CQ37" s="107"/>
      <c r="CR37" s="118"/>
      <c r="CS37" s="118"/>
      <c r="CT37" s="118"/>
      <c r="CU37" s="118">
        <f t="shared" si="0"/>
        <v>0</v>
      </c>
      <c r="CV37" s="118">
        <f t="shared" si="1"/>
        <v>0</v>
      </c>
      <c r="CW37" s="118">
        <f t="shared" si="2"/>
        <v>0</v>
      </c>
      <c r="CX37" s="118">
        <f t="shared" si="3"/>
        <v>0</v>
      </c>
      <c r="CY37" s="118">
        <f t="shared" si="4"/>
        <v>0</v>
      </c>
      <c r="CZ37" s="118">
        <f t="shared" si="5"/>
        <v>0</v>
      </c>
      <c r="DA37" s="118">
        <f t="shared" si="6"/>
        <v>0</v>
      </c>
      <c r="DB37" s="118">
        <f t="shared" si="7"/>
        <v>0</v>
      </c>
      <c r="DC37" s="118">
        <f t="shared" si="8"/>
        <v>0</v>
      </c>
    </row>
    <row r="38" spans="2:107" x14ac:dyDescent="0.2">
      <c r="B38" s="10" t="s">
        <v>156</v>
      </c>
      <c r="C38" s="191" t="s">
        <v>136</v>
      </c>
      <c r="D38" s="115"/>
      <c r="E38" s="115"/>
      <c r="F38" s="115"/>
      <c r="G38" s="116"/>
      <c r="H38" s="116"/>
      <c r="I38" s="116"/>
      <c r="J38" s="115"/>
      <c r="K38" s="115"/>
      <c r="L38" s="115"/>
      <c r="M38" s="115"/>
      <c r="N38" s="116"/>
      <c r="O38" s="116"/>
      <c r="P38" s="116"/>
      <c r="Q38" s="115"/>
      <c r="R38" s="116"/>
      <c r="S38" s="116"/>
      <c r="T38" s="116"/>
      <c r="U38" s="116"/>
      <c r="V38" s="116"/>
      <c r="X38" s="115">
        <f>SUMIFS(wallet_records!$D:$D,wallet_records!$B:$B,'EEFF 2022'!$C38,wallet_records!$O:$O,'EEFF 2022'!$B$1,wallet_records!$N:$N,'EEFF 2022'!X$2,wallet_records!$H:$H,'EEFF 2022'!$B38)</f>
        <v>0</v>
      </c>
      <c r="Y38" s="116"/>
      <c r="Z38" s="116"/>
      <c r="AA38" s="116"/>
      <c r="AB38" s="116"/>
      <c r="AC38" s="116"/>
      <c r="AE38" s="115">
        <f>SUMIFS(wallet_records!$D:$D,wallet_records!$B:$B,'EEFF 2022'!$C38,wallet_records!$O:$O,'EEFF 2022'!$B$1,wallet_records!$N:$N,'EEFF 2022'!AE$2,wallet_records!$H:$H,'EEFF 2022'!$B38)</f>
        <v>0</v>
      </c>
      <c r="AF38" s="116"/>
      <c r="AG38" s="116"/>
      <c r="AH38" s="116"/>
      <c r="AI38" s="116"/>
      <c r="AJ38" s="116"/>
      <c r="AL38" s="116">
        <f>SUMIFS(wallet_records!$D:$D,wallet_records!$B:$B,'EEFF 2022'!$C38,wallet_records!$O:$O,'EEFF 2022'!$B$1,wallet_records!$N:$N,'EEFF 2022'!AL$2,wallet_records!$H:$H,'EEFF 2022'!$B38)</f>
        <v>0</v>
      </c>
      <c r="AM38" s="116"/>
      <c r="AN38" s="116"/>
      <c r="AO38" s="116"/>
      <c r="AP38" s="116"/>
      <c r="AQ38" s="116"/>
      <c r="AS38" s="115">
        <f>SUMIFS(wallet_records!$D:$D,wallet_records!$B:$B,'EEFF 2022'!$C38,wallet_records!$O:$O,'EEFF 2022'!$B$1,wallet_records!$N:$N,'EEFF 2022'!AS$2,wallet_records!$H:$H,'EEFF 2022'!$B38)</f>
        <v>0</v>
      </c>
      <c r="AT38" s="116"/>
      <c r="AU38" s="116"/>
      <c r="AV38" s="116"/>
      <c r="AW38" s="116"/>
      <c r="AX38" s="116"/>
      <c r="AZ38" s="115">
        <f>SUMIFS(wallet_records!$D:$D,wallet_records!$B:$B,'EEFF 2022'!$C38,wallet_records!$O:$O,'EEFF 2022'!$B$1,wallet_records!$N:$N,'EEFF 2022'!AZ$2,wallet_records!$H:$H,'EEFF 2022'!$B38)</f>
        <v>0</v>
      </c>
      <c r="BA38" s="116"/>
      <c r="BB38" s="116"/>
      <c r="BC38" s="116"/>
      <c r="BD38" s="116"/>
      <c r="BE38" s="116"/>
      <c r="BG38" s="115">
        <f>SUMIFS(wallet_records!$D:$D,wallet_records!$B:$B,'EEFF 2022'!$C38,wallet_records!$O:$O,'EEFF 2022'!$B$1,wallet_records!$N:$N,'EEFF 2022'!BG$2,wallet_records!$H:$H,'EEFF 2022'!$B38)</f>
        <v>0</v>
      </c>
      <c r="BH38" s="116"/>
      <c r="BI38" s="116"/>
      <c r="BJ38" s="116"/>
      <c r="BK38" s="116"/>
      <c r="BL38" s="116"/>
      <c r="BN38" s="115">
        <f>SUMIFS(wallet_records!$D:$D,wallet_records!$B:$B,'EEFF 2022'!$C38,wallet_records!$O:$O,'EEFF 2022'!$B$1,wallet_records!$N:$N,'EEFF 2022'!BN$2,wallet_records!$H:$H,'EEFF 2022'!$B38)</f>
        <v>0</v>
      </c>
      <c r="BO38" s="116"/>
      <c r="BP38" s="116"/>
      <c r="BQ38" s="116"/>
      <c r="BR38" s="116"/>
      <c r="BS38" s="116"/>
      <c r="BU38" s="115">
        <f>SUMIFS(wallet_records!$D:$D,wallet_records!$B:$B,'EEFF 2022'!$C38,wallet_records!$O:$O,'EEFF 2022'!$B$1,wallet_records!$N:$N,'EEFF 2022'!BU$2,wallet_records!$H:$H,'EEFF 2022'!$B38)</f>
        <v>0</v>
      </c>
      <c r="BV38" s="116"/>
      <c r="BW38" s="116"/>
      <c r="BX38" s="116"/>
      <c r="BY38" s="116"/>
      <c r="BZ38" s="116"/>
      <c r="CB38" s="115">
        <f>SUMIFS(wallet_records!$D:$D,wallet_records!$B:$B,'EEFF 2022'!$C38,wallet_records!$O:$O,'EEFF 2022'!$B$1,wallet_records!$N:$N,'EEFF 2022'!CB$2,wallet_records!$H:$H,'EEFF 2022'!$B38)</f>
        <v>0</v>
      </c>
      <c r="CC38" s="116"/>
      <c r="CD38" s="116"/>
      <c r="CE38" s="116"/>
      <c r="CF38" s="116"/>
      <c r="CG38" s="116"/>
      <c r="CI38" s="115">
        <f>SUMIFS(wallet_records!$D:$D,wallet_records!$B:$B,'EEFF 2022'!$C38,wallet_records!$O:$O,'EEFF 2022'!$B$1,wallet_records!$N:$N,'EEFF 2022'!CI$2,wallet_records!$H:$H,'EEFF 2022'!$B38)</f>
        <v>0</v>
      </c>
      <c r="CJ38" s="116"/>
      <c r="CK38" s="116"/>
      <c r="CL38" s="116"/>
      <c r="CM38" s="116"/>
      <c r="CN38" s="116"/>
      <c r="CP38" s="115">
        <f>SUMIFS(wallet_records!$D:$D,wallet_records!$B:$B,'EEFF 2022'!$C38,wallet_records!$O:$O,'EEFF 2022'!$B$1,wallet_records!$H:$H,'EEFF 2022'!$B38)</f>
        <v>0</v>
      </c>
      <c r="CQ38" s="107"/>
      <c r="CR38" s="118"/>
      <c r="CS38" s="118"/>
      <c r="CT38" s="118"/>
      <c r="CU38" s="118">
        <f t="shared" si="0"/>
        <v>0</v>
      </c>
      <c r="CV38" s="118">
        <f t="shared" si="1"/>
        <v>0</v>
      </c>
      <c r="CW38" s="118">
        <f t="shared" si="2"/>
        <v>0</v>
      </c>
      <c r="CX38" s="118">
        <f t="shared" si="3"/>
        <v>0</v>
      </c>
      <c r="CY38" s="118">
        <f t="shared" si="4"/>
        <v>0</v>
      </c>
      <c r="CZ38" s="118">
        <f t="shared" si="5"/>
        <v>0</v>
      </c>
      <c r="DA38" s="118">
        <f t="shared" si="6"/>
        <v>0</v>
      </c>
      <c r="DB38" s="118">
        <f t="shared" si="7"/>
        <v>0</v>
      </c>
      <c r="DC38" s="118">
        <f t="shared" si="8"/>
        <v>0</v>
      </c>
    </row>
    <row r="39" spans="2:107" x14ac:dyDescent="0.2">
      <c r="B39" s="10" t="s">
        <v>510</v>
      </c>
      <c r="C39" s="191" t="s">
        <v>131</v>
      </c>
      <c r="D39" s="115"/>
      <c r="E39" s="115"/>
      <c r="F39" s="115"/>
      <c r="G39" s="116"/>
      <c r="H39" s="116"/>
      <c r="I39" s="116"/>
      <c r="J39" s="115"/>
      <c r="K39" s="115"/>
      <c r="L39" s="115"/>
      <c r="M39" s="115"/>
      <c r="N39" s="116"/>
      <c r="O39" s="116"/>
      <c r="P39" s="116"/>
      <c r="Q39" s="115"/>
      <c r="R39" s="116"/>
      <c r="S39" s="116"/>
      <c r="T39" s="116"/>
      <c r="U39" s="116"/>
      <c r="V39" s="116"/>
      <c r="X39" s="115">
        <f>SUMIFS(wallet_records!$D:$D,wallet_records!$B:$B,'EEFF 2022'!$C39,wallet_records!$O:$O,'EEFF 2022'!$B$1,wallet_records!$N:$N,'EEFF 2022'!X$2,wallet_records!$H:$H,'EEFF 2022'!$B39)</f>
        <v>0</v>
      </c>
      <c r="Y39" s="116"/>
      <c r="Z39" s="116"/>
      <c r="AA39" s="116"/>
      <c r="AB39" s="116"/>
      <c r="AC39" s="116"/>
      <c r="AE39" s="115">
        <f>SUMIFS(wallet_records!$D:$D,wallet_records!$B:$B,'EEFF 2022'!$C39,wallet_records!$O:$O,'EEFF 2022'!$B$1,wallet_records!$N:$N,'EEFF 2022'!AE$2,wallet_records!$H:$H,'EEFF 2022'!$B39)</f>
        <v>0</v>
      </c>
      <c r="AF39" s="116"/>
      <c r="AG39" s="116"/>
      <c r="AH39" s="116"/>
      <c r="AI39" s="116"/>
      <c r="AJ39" s="116"/>
      <c r="AL39" s="116">
        <f>SUMIFS(wallet_records!$D:$D,wallet_records!$B:$B,'EEFF 2022'!$C39,wallet_records!$O:$O,'EEFF 2022'!$B$1,wallet_records!$N:$N,'EEFF 2022'!AL$2,wallet_records!$H:$H,'EEFF 2022'!$B39)</f>
        <v>0</v>
      </c>
      <c r="AM39" s="116"/>
      <c r="AN39" s="116"/>
      <c r="AO39" s="116"/>
      <c r="AP39" s="116"/>
      <c r="AQ39" s="116"/>
      <c r="AS39" s="115">
        <f>SUMIFS(wallet_records!$D:$D,wallet_records!$B:$B,'EEFF 2022'!$C39,wallet_records!$O:$O,'EEFF 2022'!$B$1,wallet_records!$N:$N,'EEFF 2022'!AS$2,wallet_records!$H:$H,'EEFF 2022'!$B39)</f>
        <v>0</v>
      </c>
      <c r="AT39" s="116"/>
      <c r="AU39" s="116"/>
      <c r="AV39" s="116"/>
      <c r="AW39" s="116"/>
      <c r="AX39" s="116"/>
      <c r="AZ39" s="115">
        <f>SUMIFS(wallet_records!$D:$D,wallet_records!$B:$B,'EEFF 2022'!$C39,wallet_records!$O:$O,'EEFF 2022'!$B$1,wallet_records!$N:$N,'EEFF 2022'!AZ$2,wallet_records!$H:$H,'EEFF 2022'!$B39)</f>
        <v>0</v>
      </c>
      <c r="BA39" s="116"/>
      <c r="BB39" s="116"/>
      <c r="BC39" s="116"/>
      <c r="BD39" s="116"/>
      <c r="BE39" s="116"/>
      <c r="BG39" s="115">
        <f>SUMIFS(wallet_records!$D:$D,wallet_records!$B:$B,'EEFF 2022'!$C39,wallet_records!$O:$O,'EEFF 2022'!$B$1,wallet_records!$N:$N,'EEFF 2022'!BG$2,wallet_records!$H:$H,'EEFF 2022'!$B39)</f>
        <v>0</v>
      </c>
      <c r="BH39" s="116"/>
      <c r="BI39" s="116"/>
      <c r="BJ39" s="116"/>
      <c r="BK39" s="116"/>
      <c r="BL39" s="116"/>
      <c r="BN39" s="115">
        <f>SUMIFS(wallet_records!$D:$D,wallet_records!$B:$B,'EEFF 2022'!$C39,wallet_records!$O:$O,'EEFF 2022'!$B$1,wallet_records!$N:$N,'EEFF 2022'!BN$2,wallet_records!$H:$H,'EEFF 2022'!$B39)</f>
        <v>0</v>
      </c>
      <c r="BO39" s="116"/>
      <c r="BP39" s="116"/>
      <c r="BQ39" s="116"/>
      <c r="BR39" s="116"/>
      <c r="BS39" s="116"/>
      <c r="BU39" s="115">
        <f>SUMIFS(wallet_records!$D:$D,wallet_records!$B:$B,'EEFF 2022'!$C39,wallet_records!$O:$O,'EEFF 2022'!$B$1,wallet_records!$N:$N,'EEFF 2022'!BU$2,wallet_records!$H:$H,'EEFF 2022'!$B39)</f>
        <v>0</v>
      </c>
      <c r="BV39" s="116"/>
      <c r="BW39" s="116"/>
      <c r="BX39" s="116"/>
      <c r="BY39" s="116"/>
      <c r="BZ39" s="116"/>
      <c r="CB39" s="115">
        <f>SUMIFS(wallet_records!$D:$D,wallet_records!$B:$B,'EEFF 2022'!$C39,wallet_records!$O:$O,'EEFF 2022'!$B$1,wallet_records!$N:$N,'EEFF 2022'!CB$2,wallet_records!$H:$H,'EEFF 2022'!$B39)</f>
        <v>0</v>
      </c>
      <c r="CC39" s="116"/>
      <c r="CD39" s="116"/>
      <c r="CE39" s="116"/>
      <c r="CF39" s="116"/>
      <c r="CG39" s="116"/>
      <c r="CI39" s="115">
        <f>SUMIFS(wallet_records!$D:$D,wallet_records!$B:$B,'EEFF 2022'!$C39,wallet_records!$O:$O,'EEFF 2022'!$B$1,wallet_records!$N:$N,'EEFF 2022'!CI$2,wallet_records!$H:$H,'EEFF 2022'!$B39)</f>
        <v>0</v>
      </c>
      <c r="CJ39" s="116"/>
      <c r="CK39" s="116"/>
      <c r="CL39" s="116"/>
      <c r="CM39" s="116"/>
      <c r="CN39" s="116"/>
      <c r="CP39" s="115">
        <f>SUMIFS(wallet_records!$D:$D,wallet_records!$B:$B,'EEFF 2022'!$C39,wallet_records!$O:$O,'EEFF 2022'!$B$1,wallet_records!$H:$H,'EEFF 2022'!$B39)</f>
        <v>0</v>
      </c>
      <c r="CQ39" s="107"/>
      <c r="CR39" s="118"/>
      <c r="CS39" s="118"/>
      <c r="CT39" s="118"/>
      <c r="CU39" s="118">
        <f t="shared" si="0"/>
        <v>0</v>
      </c>
      <c r="CV39" s="118">
        <f t="shared" si="1"/>
        <v>0</v>
      </c>
      <c r="CW39" s="118">
        <f t="shared" si="2"/>
        <v>0</v>
      </c>
      <c r="CX39" s="118">
        <f t="shared" si="3"/>
        <v>0</v>
      </c>
      <c r="CY39" s="118">
        <f t="shared" si="4"/>
        <v>0</v>
      </c>
      <c r="CZ39" s="118">
        <f t="shared" si="5"/>
        <v>0</v>
      </c>
      <c r="DA39" s="118">
        <f t="shared" si="6"/>
        <v>0</v>
      </c>
      <c r="DB39" s="118">
        <f t="shared" si="7"/>
        <v>0</v>
      </c>
      <c r="DC39" s="118">
        <f t="shared" si="8"/>
        <v>0</v>
      </c>
    </row>
    <row r="40" spans="2:107" x14ac:dyDescent="0.2">
      <c r="B40" s="10" t="s">
        <v>522</v>
      </c>
      <c r="C40" s="191" t="s">
        <v>136</v>
      </c>
      <c r="D40" s="115"/>
      <c r="E40" s="115"/>
      <c r="F40" s="115"/>
      <c r="G40" s="116"/>
      <c r="H40" s="116"/>
      <c r="I40" s="116"/>
      <c r="J40" s="115"/>
      <c r="K40" s="115"/>
      <c r="L40" s="115"/>
      <c r="M40" s="115"/>
      <c r="N40" s="116"/>
      <c r="O40" s="116"/>
      <c r="P40" s="116"/>
      <c r="Q40" s="115"/>
      <c r="R40" s="116"/>
      <c r="S40" s="116"/>
      <c r="T40" s="116"/>
      <c r="U40" s="116"/>
      <c r="V40" s="116"/>
      <c r="X40" s="115">
        <f>SUMIFS(wallet_records!$D:$D,wallet_records!$B:$B,'EEFF 2022'!$C40,wallet_records!$O:$O,'EEFF 2022'!$B$1,wallet_records!$N:$N,'EEFF 2022'!X$2,wallet_records!$H:$H,'EEFF 2022'!$B40,wallet_records!$F:$F,"Gasto")</f>
        <v>917620.3</v>
      </c>
      <c r="Y40" s="116"/>
      <c r="Z40" s="116"/>
      <c r="AA40" s="116"/>
      <c r="AB40" s="116"/>
      <c r="AC40" s="116"/>
      <c r="AE40" s="115">
        <f>SUMIFS(wallet_records!$D:$D,wallet_records!$B:$B,'EEFF 2022'!$C40,wallet_records!$O:$O,'EEFF 2022'!$B$1,wallet_records!$N:$N,'EEFF 2022'!AE$2,wallet_records!$H:$H,'EEFF 2022'!$B40,wallet_records!$F:$F,"Gasto")</f>
        <v>1934993.05</v>
      </c>
      <c r="AF40" s="116"/>
      <c r="AG40" s="116"/>
      <c r="AH40" s="116"/>
      <c r="AI40" s="116"/>
      <c r="AJ40" s="116"/>
      <c r="AL40" s="116">
        <f>SUMIFS(wallet_records!$D:$D,wallet_records!$B:$B,'EEFF 2022'!$C40,wallet_records!$O:$O,'EEFF 2022'!$B$1,wallet_records!$N:$N,'EEFF 2022'!AL$2,wallet_records!$H:$H,'EEFF 2022'!$B40,wallet_records!$F:$F,"Gasto")</f>
        <v>0</v>
      </c>
      <c r="AM40" s="116"/>
      <c r="AN40" s="116"/>
      <c r="AO40" s="116"/>
      <c r="AP40" s="116"/>
      <c r="AQ40" s="116"/>
      <c r="AS40" s="115">
        <f>SUMIFS(wallet_records!$D:$D,wallet_records!$B:$B,'EEFF 2022'!$C40,wallet_records!$O:$O,'EEFF 2022'!$B$1,wallet_records!$N:$N,'EEFF 2022'!AS$2,wallet_records!$H:$H,'EEFF 2022'!$B40,wallet_records!$F:$F,"Gasto")</f>
        <v>2440656.4000000004</v>
      </c>
      <c r="AT40" s="116"/>
      <c r="AU40" s="116"/>
      <c r="AV40" s="116"/>
      <c r="AW40" s="116"/>
      <c r="AX40" s="116"/>
      <c r="AZ40" s="115">
        <f>SUMIFS(wallet_records!$D:$D,wallet_records!$B:$B,'EEFF 2022'!$C40,wallet_records!$O:$O,'EEFF 2022'!$B$1,wallet_records!$N:$N,'EEFF 2022'!AZ$2,wallet_records!$H:$H,'EEFF 2022'!$B40,wallet_records!$F:$F,"Gasto")</f>
        <v>199765.24</v>
      </c>
      <c r="BA40" s="116"/>
      <c r="BB40" s="116"/>
      <c r="BC40" s="116"/>
      <c r="BD40" s="116"/>
      <c r="BE40" s="116"/>
      <c r="BG40" s="115">
        <f>SUMIFS(wallet_records!$D:$D,wallet_records!$B:$B,'EEFF 2022'!$C40,wallet_records!$O:$O,'EEFF 2022'!$B$1,wallet_records!$N:$N,'EEFF 2022'!BG$2,wallet_records!$H:$H,'EEFF 2022'!$B40,wallet_records!$F:$F,"Gasto")</f>
        <v>1703286.01</v>
      </c>
      <c r="BH40" s="116"/>
      <c r="BI40" s="116"/>
      <c r="BJ40" s="116"/>
      <c r="BK40" s="116"/>
      <c r="BL40" s="116"/>
      <c r="BN40" s="115">
        <f>SUMIFS(wallet_records!$D:$D,wallet_records!$B:$B,'EEFF 2022'!$C40,wallet_records!$O:$O,'EEFF 2022'!$B$1,wallet_records!$N:$N,'EEFF 2022'!BN$2,wallet_records!$H:$H,'EEFF 2022'!$B40,wallet_records!$F:$F,"Gasto")</f>
        <v>2758939.3400000003</v>
      </c>
      <c r="BO40" s="116"/>
      <c r="BP40" s="116"/>
      <c r="BQ40" s="116"/>
      <c r="BR40" s="116"/>
      <c r="BS40" s="116"/>
      <c r="BU40" s="115">
        <f>SUMIFS(wallet_records!$D:$D,wallet_records!$B:$B,'EEFF 2022'!$C40,wallet_records!$O:$O,'EEFF 2022'!$B$1,wallet_records!$N:$N,'EEFF 2022'!BU$2,wallet_records!$H:$H,'EEFF 2022'!$B40,wallet_records!$F:$F,"Gasto")</f>
        <v>1374002.95</v>
      </c>
      <c r="BV40" s="116"/>
      <c r="BW40" s="116"/>
      <c r="BX40" s="116"/>
      <c r="BY40" s="116"/>
      <c r="BZ40" s="116"/>
      <c r="CB40" s="115">
        <f>SUMIFS(wallet_records!$D:$D,wallet_records!$B:$B,'EEFF 2022'!$C40,wallet_records!$O:$O,'EEFF 2022'!$B$1,wallet_records!$N:$N,'EEFF 2022'!CB$2,wallet_records!$H:$H,'EEFF 2022'!$B40,wallet_records!$F:$F,"Gasto")</f>
        <v>963025.12</v>
      </c>
      <c r="CC40" s="116"/>
      <c r="CD40" s="116"/>
      <c r="CE40" s="116"/>
      <c r="CF40" s="116"/>
      <c r="CG40" s="116"/>
      <c r="CI40" s="115">
        <f>SUMIFS(wallet_records!$D:$D,wallet_records!$B:$B,'EEFF 2022'!$C40,wallet_records!$O:$O,'EEFF 2022'!$B$1,wallet_records!$N:$N,'EEFF 2022'!CI$2,wallet_records!$H:$H,'EEFF 2022'!$B40,wallet_records!$F:$F,"Gasto")</f>
        <v>1021663.27</v>
      </c>
      <c r="CJ40" s="116"/>
      <c r="CK40" s="116"/>
      <c r="CL40" s="116"/>
      <c r="CM40" s="116"/>
      <c r="CN40" s="116"/>
      <c r="CP40" s="115">
        <f>SUMIFS(wallet_records!$D:$D,wallet_records!$B:$B,'EEFF 2022'!$C40,wallet_records!$O:$O,'EEFF 2022'!$B$1,wallet_records!$H:$H,'EEFF 2022'!$B40,wallet_records!$F:$F,"Gasto")</f>
        <v>13313951.68</v>
      </c>
      <c r="CQ40" s="107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</row>
    <row r="41" spans="2:107" x14ac:dyDescent="0.2">
      <c r="B41" s="10" t="s">
        <v>216</v>
      </c>
      <c r="C41" s="191" t="s">
        <v>215</v>
      </c>
      <c r="D41" s="115"/>
      <c r="E41" s="115"/>
      <c r="F41" s="115"/>
      <c r="G41" s="116"/>
      <c r="H41" s="116"/>
      <c r="I41" s="116"/>
      <c r="J41" s="115"/>
      <c r="K41" s="115"/>
      <c r="L41" s="115"/>
      <c r="M41" s="115"/>
      <c r="N41" s="116"/>
      <c r="O41" s="116"/>
      <c r="P41" s="116"/>
      <c r="Q41" s="115"/>
      <c r="R41" s="116"/>
      <c r="S41" s="116"/>
      <c r="T41" s="116"/>
      <c r="U41" s="116"/>
      <c r="V41" s="116"/>
      <c r="X41" s="115">
        <f>SUMIFS(wallet_records!$D:$D,wallet_records!$B:$B,'EEFF 2022'!$C41,wallet_records!$O:$O,'EEFF 2022'!$B$1,wallet_records!$N:$N,'EEFF 2022'!X$2,wallet_records!$H:$H,'EEFF 2022'!$B41)</f>
        <v>0</v>
      </c>
      <c r="Y41" s="116"/>
      <c r="Z41" s="116"/>
      <c r="AA41" s="116"/>
      <c r="AB41" s="116"/>
      <c r="AC41" s="116"/>
      <c r="AE41" s="115">
        <f>SUMIFS(wallet_records!$D:$D,wallet_records!$B:$B,'EEFF 2022'!$C41,wallet_records!$O:$O,'EEFF 2022'!$B$1,wallet_records!$N:$N,'EEFF 2022'!AE$2,wallet_records!$H:$H,'EEFF 2022'!$B41)</f>
        <v>0</v>
      </c>
      <c r="AF41" s="116"/>
      <c r="AG41" s="116"/>
      <c r="AH41" s="116"/>
      <c r="AI41" s="116"/>
      <c r="AJ41" s="116"/>
      <c r="AL41" s="116">
        <f>SUMIFS(wallet_records!$D:$D,wallet_records!$B:$B,'EEFF 2022'!$C41,wallet_records!$O:$O,'EEFF 2022'!$B$1,wallet_records!$N:$N,'EEFF 2022'!AL$2,wallet_records!$H:$H,'EEFF 2022'!$B41)</f>
        <v>0</v>
      </c>
      <c r="AM41" s="116"/>
      <c r="AN41" s="116"/>
      <c r="AO41" s="116"/>
      <c r="AP41" s="116"/>
      <c r="AQ41" s="116"/>
      <c r="AS41" s="115">
        <f>SUMIFS(wallet_records!$D:$D,wallet_records!$B:$B,'EEFF 2022'!$C41,wallet_records!$O:$O,'EEFF 2022'!$B$1,wallet_records!$N:$N,'EEFF 2022'!AS$2,wallet_records!$H:$H,'EEFF 2022'!$B41)</f>
        <v>0</v>
      </c>
      <c r="AT41" s="116"/>
      <c r="AU41" s="116"/>
      <c r="AV41" s="116"/>
      <c r="AW41" s="116"/>
      <c r="AX41" s="116"/>
      <c r="AZ41" s="115">
        <f>SUMIFS(wallet_records!$D:$D,wallet_records!$B:$B,'EEFF 2022'!$C41,wallet_records!$O:$O,'EEFF 2022'!$B$1,wallet_records!$N:$N,'EEFF 2022'!AZ$2,wallet_records!$H:$H,'EEFF 2022'!$B41)</f>
        <v>0</v>
      </c>
      <c r="BA41" s="116"/>
      <c r="BB41" s="116"/>
      <c r="BC41" s="116"/>
      <c r="BD41" s="116"/>
      <c r="BE41" s="116"/>
      <c r="BG41" s="115">
        <f>SUMIFS(wallet_records!$D:$D,wallet_records!$B:$B,'EEFF 2022'!$C41,wallet_records!$O:$O,'EEFF 2022'!$B$1,wallet_records!$N:$N,'EEFF 2022'!BG$2,wallet_records!$H:$H,'EEFF 2022'!$B41)</f>
        <v>0</v>
      </c>
      <c r="BH41" s="116"/>
      <c r="BI41" s="116"/>
      <c r="BJ41" s="116"/>
      <c r="BK41" s="116"/>
      <c r="BL41" s="116"/>
      <c r="BN41" s="115">
        <f>SUMIFS(wallet_records!$D:$D,wallet_records!$B:$B,'EEFF 2022'!$C41,wallet_records!$O:$O,'EEFF 2022'!$B$1,wallet_records!$N:$N,'EEFF 2022'!BN$2,wallet_records!$H:$H,'EEFF 2022'!$B41)</f>
        <v>0</v>
      </c>
      <c r="BO41" s="116"/>
      <c r="BP41" s="116"/>
      <c r="BQ41" s="116"/>
      <c r="BR41" s="116"/>
      <c r="BS41" s="116"/>
      <c r="BU41" s="115">
        <f>SUMIFS(wallet_records!$D:$D,wallet_records!$B:$B,'EEFF 2022'!$C41,wallet_records!$O:$O,'EEFF 2022'!$B$1,wallet_records!$N:$N,'EEFF 2022'!BU$2,wallet_records!$H:$H,'EEFF 2022'!$B41)</f>
        <v>0</v>
      </c>
      <c r="BV41" s="116"/>
      <c r="BW41" s="116"/>
      <c r="BX41" s="116"/>
      <c r="BY41" s="116"/>
      <c r="BZ41" s="116"/>
      <c r="CB41" s="115">
        <f>SUMIFS(wallet_records!$D:$D,wallet_records!$B:$B,'EEFF 2022'!$C41,wallet_records!$O:$O,'EEFF 2022'!$B$1,wallet_records!$N:$N,'EEFF 2022'!CB$2,wallet_records!$H:$H,'EEFF 2022'!$B41)</f>
        <v>0</v>
      </c>
      <c r="CC41" s="116"/>
      <c r="CD41" s="116"/>
      <c r="CE41" s="116"/>
      <c r="CF41" s="116"/>
      <c r="CG41" s="116"/>
      <c r="CI41" s="115">
        <f>SUMIFS(wallet_records!$D:$D,wallet_records!$B:$B,'EEFF 2022'!$C41,wallet_records!$O:$O,'EEFF 2022'!$B$1,wallet_records!$N:$N,'EEFF 2022'!CI$2,wallet_records!$H:$H,'EEFF 2022'!$B41)</f>
        <v>0</v>
      </c>
      <c r="CJ41" s="116"/>
      <c r="CK41" s="116"/>
      <c r="CL41" s="116"/>
      <c r="CM41" s="116"/>
      <c r="CN41" s="116"/>
      <c r="CP41" s="115">
        <f>SUMIFS(wallet_records!$D:$D,wallet_records!$B:$B,'EEFF 2022'!$C41,wallet_records!$O:$O,'EEFF 2022'!$B$1,wallet_records!$H:$H,'EEFF 2022'!$B41)</f>
        <v>0</v>
      </c>
      <c r="CQ41" s="107"/>
      <c r="CR41" s="118"/>
      <c r="CS41" s="118"/>
      <c r="CT41" s="118"/>
      <c r="CU41" s="118">
        <f t="shared" si="0"/>
        <v>0</v>
      </c>
      <c r="CV41" s="118">
        <f t="shared" si="1"/>
        <v>0</v>
      </c>
      <c r="CW41" s="118">
        <f t="shared" si="2"/>
        <v>0</v>
      </c>
      <c r="CX41" s="118">
        <f t="shared" si="3"/>
        <v>0</v>
      </c>
      <c r="CY41" s="118">
        <f t="shared" si="4"/>
        <v>0</v>
      </c>
      <c r="CZ41" s="118">
        <f t="shared" si="5"/>
        <v>0</v>
      </c>
      <c r="DA41" s="118">
        <f t="shared" si="6"/>
        <v>0</v>
      </c>
      <c r="DB41" s="118">
        <f t="shared" si="7"/>
        <v>0</v>
      </c>
      <c r="DC41" s="118">
        <f t="shared" si="8"/>
        <v>0</v>
      </c>
    </row>
    <row r="42" spans="2:107" x14ac:dyDescent="0.2">
      <c r="B42" s="107" t="s">
        <v>125</v>
      </c>
      <c r="C42" s="191" t="s">
        <v>124</v>
      </c>
      <c r="D42" s="115"/>
      <c r="E42" s="115"/>
      <c r="F42" s="122"/>
      <c r="G42" s="116"/>
      <c r="H42" s="116"/>
      <c r="I42" s="116"/>
      <c r="J42" s="115"/>
      <c r="K42" s="115"/>
      <c r="L42" s="115"/>
      <c r="M42" s="115"/>
      <c r="N42" s="116"/>
      <c r="O42" s="116"/>
      <c r="P42" s="115"/>
      <c r="Q42" s="115"/>
      <c r="R42" s="116"/>
      <c r="S42" s="116"/>
      <c r="T42" s="116"/>
      <c r="U42" s="116"/>
      <c r="V42" s="116"/>
      <c r="X42" s="115">
        <f>SUMIFS(wallet_records!$D:$D,wallet_records!$B:$B,'EEFF 2022'!$C42,wallet_records!$O:$O,'EEFF 2022'!$B$1,wallet_records!$N:$N,'EEFF 2022'!X$2,wallet_records!$H:$H,'EEFF 2022'!$B42)</f>
        <v>0</v>
      </c>
      <c r="Y42" s="116"/>
      <c r="Z42" s="116"/>
      <c r="AA42" s="116"/>
      <c r="AB42" s="116"/>
      <c r="AC42" s="116"/>
      <c r="AE42" s="115">
        <f>SUMIFS(wallet_records!$D:$D,wallet_records!$B:$B,'EEFF 2022'!$C42,wallet_records!$O:$O,'EEFF 2022'!$B$1,wallet_records!$N:$N,'EEFF 2022'!AE$2,wallet_records!$H:$H,'EEFF 2022'!$B42)</f>
        <v>0</v>
      </c>
      <c r="AF42" s="116"/>
      <c r="AG42" s="116"/>
      <c r="AH42" s="116"/>
      <c r="AI42" s="116"/>
      <c r="AJ42" s="116"/>
      <c r="AL42" s="116">
        <f>SUMIFS(wallet_records!$D:$D,wallet_records!$B:$B,'EEFF 2022'!$C42,wallet_records!$O:$O,'EEFF 2022'!$B$1,wallet_records!$N:$N,'EEFF 2022'!AL$2,wallet_records!$H:$H,'EEFF 2022'!$B42)</f>
        <v>8066.52</v>
      </c>
      <c r="AM42" s="116"/>
      <c r="AN42" s="116"/>
      <c r="AO42" s="116"/>
      <c r="AP42" s="116"/>
      <c r="AQ42" s="116"/>
      <c r="AS42" s="115">
        <f>SUMIFS(wallet_records!$D:$D,wallet_records!$B:$B,'EEFF 2022'!$C42,wallet_records!$O:$O,'EEFF 2022'!$B$1,wallet_records!$N:$N,'EEFF 2022'!AS$2,wallet_records!$H:$H,'EEFF 2022'!$B42)</f>
        <v>15773.49</v>
      </c>
      <c r="AT42" s="116"/>
      <c r="AU42" s="116"/>
      <c r="AV42" s="116"/>
      <c r="AW42" s="116"/>
      <c r="AX42" s="116"/>
      <c r="AZ42" s="115">
        <f>SUMIFS(wallet_records!$D:$D,wallet_records!$B:$B,'EEFF 2022'!$C42,wallet_records!$O:$O,'EEFF 2022'!$B$1,wallet_records!$N:$N,'EEFF 2022'!AZ$2,wallet_records!$H:$H,'EEFF 2022'!$B42)</f>
        <v>26022.06</v>
      </c>
      <c r="BA42" s="116"/>
      <c r="BB42" s="116"/>
      <c r="BC42" s="116"/>
      <c r="BD42" s="116"/>
      <c r="BE42" s="116"/>
      <c r="BG42" s="115">
        <f>SUMIFS(wallet_records!$D:$D,wallet_records!$B:$B,'EEFF 2022'!$C42,wallet_records!$O:$O,'EEFF 2022'!$B$1,wallet_records!$N:$N,'EEFF 2022'!BG$2,wallet_records!$H:$H,'EEFF 2022'!$B42)</f>
        <v>39688.03</v>
      </c>
      <c r="BH42" s="116"/>
      <c r="BI42" s="116"/>
      <c r="BJ42" s="116"/>
      <c r="BK42" s="116"/>
      <c r="BL42" s="116"/>
      <c r="BN42" s="115">
        <f>SUMIFS(wallet_records!$D:$D,wallet_records!$B:$B,'EEFF 2022'!$C42,wallet_records!$O:$O,'EEFF 2022'!$B$1,wallet_records!$N:$N,'EEFF 2022'!BN$2,wallet_records!$H:$H,'EEFF 2022'!$B42)</f>
        <v>54343.519999999997</v>
      </c>
      <c r="BO42" s="116"/>
      <c r="BP42" s="116"/>
      <c r="BQ42" s="116"/>
      <c r="BR42" s="116"/>
      <c r="BS42" s="116"/>
      <c r="BU42" s="115">
        <f>SUMIFS(wallet_records!$D:$D,wallet_records!$B:$B,'EEFF 2022'!$C42,wallet_records!$O:$O,'EEFF 2022'!$B$1,wallet_records!$N:$N,'EEFF 2022'!BU$2,wallet_records!$H:$H,'EEFF 2022'!$B42)</f>
        <v>65407.25</v>
      </c>
      <c r="BV42" s="116"/>
      <c r="BW42" s="116"/>
      <c r="BX42" s="116"/>
      <c r="BY42" s="116"/>
      <c r="BZ42" s="116"/>
      <c r="CB42" s="115">
        <f>SUMIFS(wallet_records!$D:$D,wallet_records!$B:$B,'EEFF 2022'!$C42,wallet_records!$O:$O,'EEFF 2022'!$B$1,wallet_records!$N:$N,'EEFF 2022'!CB$2,wallet_records!$H:$H,'EEFF 2022'!$B42)</f>
        <v>87249.38</v>
      </c>
      <c r="CC42" s="116"/>
      <c r="CD42" s="116"/>
      <c r="CE42" s="116"/>
      <c r="CF42" s="116"/>
      <c r="CG42" s="116"/>
      <c r="CI42" s="115">
        <f>SUMIFS(wallet_records!$D:$D,wallet_records!$B:$B,'EEFF 2022'!$C42,wallet_records!$O:$O,'EEFF 2022'!$B$1,wallet_records!$N:$N,'EEFF 2022'!CI$2,wallet_records!$H:$H,'EEFF 2022'!$B42)</f>
        <v>119503.32</v>
      </c>
      <c r="CJ42" s="116"/>
      <c r="CK42" s="116"/>
      <c r="CL42" s="116"/>
      <c r="CM42" s="116"/>
      <c r="CN42" s="116"/>
      <c r="CP42" s="115">
        <f>SUMIFS(wallet_records!$D:$D,wallet_records!$B:$B,'EEFF 2022'!$C42,wallet_records!$O:$O,'EEFF 2022'!$B$1,wallet_records!$H:$H,'EEFF 2022'!$B42)</f>
        <v>416053.57000000007</v>
      </c>
      <c r="CQ42" s="107"/>
      <c r="CR42" s="118"/>
      <c r="CS42" s="118"/>
      <c r="CT42" s="118"/>
      <c r="CU42" s="118">
        <f t="shared" si="0"/>
        <v>0</v>
      </c>
      <c r="CV42" s="118">
        <f t="shared" si="1"/>
        <v>2.2039672131147544E-3</v>
      </c>
      <c r="CW42" s="118">
        <f t="shared" si="2"/>
        <v>3.7377938388625594E-3</v>
      </c>
      <c r="CX42" s="118">
        <f t="shared" si="3"/>
        <v>7.6535470588235295E-3</v>
      </c>
      <c r="CY42" s="118">
        <f t="shared" si="4"/>
        <v>9.6330169902912616E-3</v>
      </c>
      <c r="CZ42" s="118">
        <f t="shared" si="5"/>
        <v>2.4701599999999997E-2</v>
      </c>
      <c r="DA42" s="118">
        <f t="shared" si="6"/>
        <v>1.2294595864661655E-2</v>
      </c>
      <c r="DB42" s="118">
        <f t="shared" si="7"/>
        <v>2.3204622340425533E-2</v>
      </c>
      <c r="DC42" s="118">
        <f t="shared" si="8"/>
        <v>4.4926060150375945E-2</v>
      </c>
    </row>
    <row r="43" spans="2:107" x14ac:dyDescent="0.2">
      <c r="B43" s="107" t="s">
        <v>155</v>
      </c>
      <c r="C43" s="191" t="s">
        <v>154</v>
      </c>
      <c r="D43" s="115"/>
      <c r="E43" s="115"/>
      <c r="F43" s="122"/>
      <c r="G43" s="116"/>
      <c r="H43" s="116"/>
      <c r="I43" s="116"/>
      <c r="J43" s="115"/>
      <c r="K43" s="115"/>
      <c r="L43" s="115"/>
      <c r="M43" s="115"/>
      <c r="N43" s="116"/>
      <c r="O43" s="116"/>
      <c r="P43" s="115"/>
      <c r="Q43" s="115"/>
      <c r="R43" s="116"/>
      <c r="S43" s="116"/>
      <c r="T43" s="116"/>
      <c r="U43" s="116"/>
      <c r="V43" s="116"/>
      <c r="X43" s="115">
        <f>SUMIFS(wallet_records!$D:$D,wallet_records!$B:$B,'EEFF 2022'!$C43,wallet_records!$O:$O,'EEFF 2022'!$B$1,wallet_records!$N:$N,'EEFF 2022'!X$2,wallet_records!$H:$H,'EEFF 2022'!$B43)</f>
        <v>0</v>
      </c>
      <c r="Y43" s="116"/>
      <c r="Z43" s="116"/>
      <c r="AA43" s="116"/>
      <c r="AB43" s="116"/>
      <c r="AC43" s="116"/>
      <c r="AE43" s="115">
        <f>SUMIFS(wallet_records!$D:$D,wallet_records!$B:$B,'EEFF 2022'!$C43,wallet_records!$O:$O,'EEFF 2022'!$B$1,wallet_records!$N:$N,'EEFF 2022'!AE$2,wallet_records!$H:$H,'EEFF 2022'!$B43)</f>
        <v>0</v>
      </c>
      <c r="AF43" s="116"/>
      <c r="AG43" s="116"/>
      <c r="AH43" s="116"/>
      <c r="AI43" s="116"/>
      <c r="AJ43" s="116"/>
      <c r="AL43" s="115">
        <f>SUMIFS(wallet_records!$D:$D,wallet_records!$B:$B,'EEFF 2022'!$C43,wallet_records!$O:$O,'EEFF 2022'!$B$1,wallet_records!$N:$N,'EEFF 2022'!AL$2,wallet_records!$H:$H,'EEFF 2022'!$B43)</f>
        <v>0</v>
      </c>
      <c r="AM43" s="116"/>
      <c r="AN43" s="116"/>
      <c r="AO43" s="116"/>
      <c r="AP43" s="116"/>
      <c r="AQ43" s="116"/>
      <c r="AS43" s="115">
        <f>SUMIFS(wallet_records!$D:$D,wallet_records!$B:$B,'EEFF 2022'!$C43,wallet_records!$O:$O,'EEFF 2022'!$B$1,wallet_records!$N:$N,'EEFF 2022'!AS$2,wallet_records!$H:$H,'EEFF 2022'!$B43)</f>
        <v>0</v>
      </c>
      <c r="AT43" s="116"/>
      <c r="AU43" s="116"/>
      <c r="AV43" s="116"/>
      <c r="AW43" s="116"/>
      <c r="AX43" s="116"/>
      <c r="AZ43" s="115">
        <f>SUMIFS(wallet_records!$D:$D,wallet_records!$B:$B,'EEFF 2022'!$C43,wallet_records!$O:$O,'EEFF 2022'!$B$1,wallet_records!$N:$N,'EEFF 2022'!AZ$2,wallet_records!$H:$H,'EEFF 2022'!$B43)</f>
        <v>0</v>
      </c>
      <c r="BA43" s="116"/>
      <c r="BB43" s="116"/>
      <c r="BC43" s="116"/>
      <c r="BD43" s="116"/>
      <c r="BE43" s="116"/>
      <c r="BG43" s="115">
        <f>SUMIFS(wallet_records!$D:$D,wallet_records!$B:$B,'EEFF 2022'!$C43,wallet_records!$O:$O,'EEFF 2022'!$B$1,wallet_records!$N:$N,'EEFF 2022'!BG$2,wallet_records!$H:$H,'EEFF 2022'!$B43)</f>
        <v>0</v>
      </c>
      <c r="BH43" s="116"/>
      <c r="BI43" s="116"/>
      <c r="BJ43" s="116"/>
      <c r="BK43" s="116"/>
      <c r="BL43" s="116"/>
      <c r="BN43" s="115">
        <f>SUMIFS(wallet_records!$D:$D,wallet_records!$B:$B,'EEFF 2022'!$C43,wallet_records!$O:$O,'EEFF 2022'!$B$1,wallet_records!$N:$N,'EEFF 2022'!BN$2,wallet_records!$H:$H,'EEFF 2022'!$B43)</f>
        <v>0</v>
      </c>
      <c r="BO43" s="116"/>
      <c r="BP43" s="116"/>
      <c r="BQ43" s="116"/>
      <c r="BR43" s="116"/>
      <c r="BS43" s="116"/>
      <c r="BU43" s="115">
        <f>SUMIFS(wallet_records!$D:$D,wallet_records!$B:$B,'EEFF 2022'!$C43,wallet_records!$O:$O,'EEFF 2022'!$B$1,wallet_records!$N:$N,'EEFF 2022'!BU$2,wallet_records!$H:$H,'EEFF 2022'!$B43)</f>
        <v>0</v>
      </c>
      <c r="BV43" s="116"/>
      <c r="BW43" s="116"/>
      <c r="BX43" s="116"/>
      <c r="BY43" s="116"/>
      <c r="BZ43" s="116"/>
      <c r="CB43" s="115">
        <f>SUMIFS(wallet_records!$D:$D,wallet_records!$B:$B,'EEFF 2022'!$C43,wallet_records!$O:$O,'EEFF 2022'!$B$1,wallet_records!$N:$N,'EEFF 2022'!CB$2,wallet_records!$H:$H,'EEFF 2022'!$B43)</f>
        <v>0</v>
      </c>
      <c r="CC43" s="116"/>
      <c r="CD43" s="116"/>
      <c r="CE43" s="116"/>
      <c r="CF43" s="116"/>
      <c r="CG43" s="116"/>
      <c r="CI43" s="115">
        <f>SUMIFS(wallet_records!$D:$D,wallet_records!$B:$B,'EEFF 2022'!$C43,wallet_records!$O:$O,'EEFF 2022'!$B$1,wallet_records!$N:$N,'EEFF 2022'!CI$2,wallet_records!$H:$H,'EEFF 2022'!$B43)</f>
        <v>0</v>
      </c>
      <c r="CJ43" s="116"/>
      <c r="CK43" s="116"/>
      <c r="CL43" s="116"/>
      <c r="CM43" s="116"/>
      <c r="CN43" s="116"/>
      <c r="CP43" s="115">
        <f>SUMIFS(wallet_records!$D:$D,wallet_records!$B:$B,'EEFF 2022'!$C43,wallet_records!$O:$O,'EEFF 2022'!$B$1,wallet_records!$H:$H,'EEFF 2022'!$B43)</f>
        <v>0</v>
      </c>
      <c r="CQ43" s="107"/>
      <c r="CR43" s="118"/>
      <c r="CS43" s="118"/>
      <c r="CT43" s="118"/>
      <c r="CU43" s="118">
        <f t="shared" si="0"/>
        <v>0</v>
      </c>
      <c r="CV43" s="118">
        <f t="shared" si="1"/>
        <v>0</v>
      </c>
      <c r="CW43" s="118">
        <f t="shared" si="2"/>
        <v>0</v>
      </c>
      <c r="CX43" s="118">
        <f t="shared" si="3"/>
        <v>0</v>
      </c>
      <c r="CY43" s="118">
        <f t="shared" si="4"/>
        <v>0</v>
      </c>
      <c r="CZ43" s="118">
        <f t="shared" si="5"/>
        <v>0</v>
      </c>
      <c r="DA43" s="118">
        <f t="shared" si="6"/>
        <v>0</v>
      </c>
      <c r="DB43" s="118">
        <f t="shared" si="7"/>
        <v>0</v>
      </c>
      <c r="DC43" s="118">
        <f t="shared" si="8"/>
        <v>0</v>
      </c>
    </row>
    <row r="44" spans="2:107" x14ac:dyDescent="0.2">
      <c r="B44" s="107" t="s">
        <v>205</v>
      </c>
      <c r="C44" s="191" t="s">
        <v>154</v>
      </c>
      <c r="D44" s="115"/>
      <c r="E44" s="115"/>
      <c r="F44" s="122"/>
      <c r="G44" s="123"/>
      <c r="H44" s="123"/>
      <c r="I44" s="123"/>
      <c r="J44" s="115"/>
      <c r="K44" s="115"/>
      <c r="L44" s="115"/>
      <c r="M44" s="115"/>
      <c r="N44" s="116"/>
      <c r="O44" s="116"/>
      <c r="P44" s="115"/>
      <c r="Q44" s="115"/>
      <c r="R44" s="116"/>
      <c r="S44" s="116"/>
      <c r="T44" s="116"/>
      <c r="U44" s="116"/>
      <c r="V44" s="116"/>
      <c r="X44" s="115">
        <f>SUMIFS(wallet_records!$D:$D,wallet_records!$B:$B,'EEFF 2022'!$C44,wallet_records!$O:$O,'EEFF 2022'!$B$1,wallet_records!$N:$N,'EEFF 2022'!X$2,wallet_records!$H:$H,'EEFF 2022'!$B44)</f>
        <v>0</v>
      </c>
      <c r="Y44" s="116"/>
      <c r="Z44" s="116"/>
      <c r="AA44" s="116"/>
      <c r="AB44" s="116"/>
      <c r="AC44" s="116"/>
      <c r="AE44" s="115">
        <f>SUMIFS(wallet_records!$D:$D,wallet_records!$B:$B,'EEFF 2022'!$C44,wallet_records!$O:$O,'EEFF 2022'!$B$1,wallet_records!$N:$N,'EEFF 2022'!AE$2,wallet_records!$H:$H,'EEFF 2022'!$B44)</f>
        <v>0</v>
      </c>
      <c r="AF44" s="116"/>
      <c r="AG44" s="116"/>
      <c r="AH44" s="116"/>
      <c r="AI44" s="116"/>
      <c r="AJ44" s="116"/>
      <c r="AL44" s="115">
        <f>SUMIFS(wallet_records!$D:$D,wallet_records!$B:$B,'EEFF 2022'!$C44,wallet_records!$O:$O,'EEFF 2022'!$B$1,wallet_records!$N:$N,'EEFF 2022'!AL$2,wallet_records!$H:$H,'EEFF 2022'!$B44)</f>
        <v>0</v>
      </c>
      <c r="AM44" s="116"/>
      <c r="AN44" s="116"/>
      <c r="AO44" s="116"/>
      <c r="AP44" s="116"/>
      <c r="AQ44" s="116"/>
      <c r="AS44" s="115">
        <f>SUMIFS(wallet_records!$D:$D,wallet_records!$B:$B,'EEFF 2022'!$C44,wallet_records!$O:$O,'EEFF 2022'!$B$1,wallet_records!$N:$N,'EEFF 2022'!AS$2,wallet_records!$H:$H,'EEFF 2022'!$B44)</f>
        <v>0</v>
      </c>
      <c r="AT44" s="116"/>
      <c r="AU44" s="116"/>
      <c r="AV44" s="116"/>
      <c r="AW44" s="116"/>
      <c r="AX44" s="116"/>
      <c r="AZ44" s="115">
        <f>SUMIFS(wallet_records!$D:$D,wallet_records!$B:$B,'EEFF 2022'!$C44,wallet_records!$O:$O,'EEFF 2022'!$B$1,wallet_records!$N:$N,'EEFF 2022'!AZ$2,wallet_records!$H:$H,'EEFF 2022'!$B44)</f>
        <v>0</v>
      </c>
      <c r="BA44" s="116"/>
      <c r="BB44" s="116"/>
      <c r="BC44" s="116"/>
      <c r="BD44" s="116"/>
      <c r="BE44" s="116"/>
      <c r="BG44" s="115">
        <f>SUMIFS(wallet_records!$D:$D,wallet_records!$B:$B,'EEFF 2022'!$C44,wallet_records!$O:$O,'EEFF 2022'!$B$1,wallet_records!$N:$N,'EEFF 2022'!BG$2,wallet_records!$H:$H,'EEFF 2022'!$B44)</f>
        <v>0</v>
      </c>
      <c r="BH44" s="116"/>
      <c r="BI44" s="116"/>
      <c r="BJ44" s="116"/>
      <c r="BK44" s="116"/>
      <c r="BL44" s="116"/>
      <c r="BN44" s="115">
        <f>SUMIFS(wallet_records!$D:$D,wallet_records!$B:$B,'EEFF 2022'!$C44,wallet_records!$O:$O,'EEFF 2022'!$B$1,wallet_records!$N:$N,'EEFF 2022'!BN$2,wallet_records!$H:$H,'EEFF 2022'!$B44)</f>
        <v>0</v>
      </c>
      <c r="BO44" s="116"/>
      <c r="BP44" s="116"/>
      <c r="BQ44" s="116"/>
      <c r="BR44" s="116"/>
      <c r="BS44" s="116"/>
      <c r="BU44" s="115">
        <f>SUMIFS(wallet_records!$D:$D,wallet_records!$B:$B,'EEFF 2022'!$C44,wallet_records!$O:$O,'EEFF 2022'!$B$1,wallet_records!$N:$N,'EEFF 2022'!BU$2,wallet_records!$H:$H,'EEFF 2022'!$B44)</f>
        <v>0</v>
      </c>
      <c r="BV44" s="116"/>
      <c r="BW44" s="116"/>
      <c r="BX44" s="116"/>
      <c r="BY44" s="116"/>
      <c r="BZ44" s="116"/>
      <c r="CB44" s="115">
        <f>SUMIFS(wallet_records!$D:$D,wallet_records!$B:$B,'EEFF 2022'!$C44,wallet_records!$O:$O,'EEFF 2022'!$B$1,wallet_records!$N:$N,'EEFF 2022'!CB$2,wallet_records!$H:$H,'EEFF 2022'!$B44)</f>
        <v>0</v>
      </c>
      <c r="CC44" s="116"/>
      <c r="CD44" s="116"/>
      <c r="CE44" s="116"/>
      <c r="CF44" s="116"/>
      <c r="CG44" s="116"/>
      <c r="CI44" s="115">
        <f>SUMIFS(wallet_records!$D:$D,wallet_records!$B:$B,'EEFF 2022'!$C44,wallet_records!$O:$O,'EEFF 2022'!$B$1,wallet_records!$N:$N,'EEFF 2022'!CI$2,wallet_records!$H:$H,'EEFF 2022'!$B44)</f>
        <v>0</v>
      </c>
      <c r="CJ44" s="116"/>
      <c r="CK44" s="123"/>
      <c r="CL44" s="123"/>
      <c r="CM44" s="123"/>
      <c r="CN44" s="123"/>
      <c r="CP44" s="115">
        <f>SUMIFS(wallet_records!$D:$D,wallet_records!$B:$B,'EEFF 2022'!$C44,wallet_records!$O:$O,'EEFF 2022'!$B$1,wallet_records!$H:$H,'EEFF 2022'!$B44)</f>
        <v>0</v>
      </c>
      <c r="CQ44" s="107"/>
      <c r="CR44" s="118"/>
      <c r="CS44" s="118"/>
      <c r="CT44" s="118"/>
      <c r="CU44" s="118">
        <f t="shared" si="0"/>
        <v>0</v>
      </c>
      <c r="CV44" s="118">
        <f t="shared" si="1"/>
        <v>0</v>
      </c>
      <c r="CW44" s="118">
        <f t="shared" si="2"/>
        <v>0</v>
      </c>
      <c r="CX44" s="118">
        <f t="shared" si="3"/>
        <v>0</v>
      </c>
      <c r="CY44" s="118">
        <f t="shared" si="4"/>
        <v>0</v>
      </c>
      <c r="CZ44" s="118">
        <f t="shared" si="5"/>
        <v>0</v>
      </c>
      <c r="DA44" s="118">
        <f t="shared" si="6"/>
        <v>0</v>
      </c>
      <c r="DB44" s="118">
        <f t="shared" si="7"/>
        <v>0</v>
      </c>
      <c r="DC44" s="118">
        <f t="shared" si="8"/>
        <v>0</v>
      </c>
    </row>
    <row r="45" spans="2:107" ht="16" x14ac:dyDescent="0.2">
      <c r="B45" s="199" t="s">
        <v>402</v>
      </c>
      <c r="C45" s="194"/>
      <c r="D45" s="124"/>
      <c r="E45" s="124"/>
      <c r="F45" s="124"/>
      <c r="G45" s="124"/>
      <c r="H45" s="124"/>
      <c r="I45" s="124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>
        <f>X16+X18-X19-X20-X21-X22-X23-X24-X25-X26-X27-X28-X29-X30-X31-X32-X33-X34-X35-X36-X37-X38-X39-X40-X41+X42-X43-X44</f>
        <v>-917620.3</v>
      </c>
      <c r="Y45" s="110"/>
      <c r="Z45" s="110"/>
      <c r="AA45" s="110"/>
      <c r="AB45" s="110"/>
      <c r="AC45" s="110"/>
      <c r="AD45" s="110"/>
      <c r="AE45" s="110">
        <f>AE16+AE18-AE19-AE20-AE21-AE22-AE23-AE24-AE25-AE26-AE27-AE28-AE29-AE30-AE31-AE32-AE33-AE34-AE35-AE36-AE37-AE38-AE39-AE40-AE41+AE42-AE43-AE44</f>
        <v>-302398.05000000005</v>
      </c>
      <c r="AF45" s="110"/>
      <c r="AG45" s="110"/>
      <c r="AH45" s="110"/>
      <c r="AI45" s="110"/>
      <c r="AJ45" s="110"/>
      <c r="AK45" s="110"/>
      <c r="AL45" s="110">
        <f>AL16+AL18-AL19-AL20-AL21-AL22-AL23-AL24-AL25-AL26-AL27-AL28-AL29-AL30-AL31-AL32-AL33-AL34-AL35-AL36-AL37-AL38-AL39-AL40-AL41+AL42-AL43-AL44</f>
        <v>2895264.58</v>
      </c>
      <c r="AM45" s="110"/>
      <c r="AN45" s="110"/>
      <c r="AO45" s="110"/>
      <c r="AP45" s="110"/>
      <c r="AQ45" s="110"/>
      <c r="AR45" s="110"/>
      <c r="AS45" s="110">
        <f>AS16+AS18-AS19-AS20-AS21-AS22-AS23-AS24-AS25-AS26-AS27-AS28-AS29-AS30-AS31-AS32-AS33-AS34-AS35-AS36-AS37-AS38-AS39-AS40-AS41+AS42-AS43-AS44</f>
        <v>833512.08999999962</v>
      </c>
      <c r="AT45" s="110"/>
      <c r="AU45" s="110"/>
      <c r="AV45" s="110"/>
      <c r="AW45" s="110"/>
      <c r="AX45" s="110"/>
      <c r="AY45" s="110"/>
      <c r="AZ45" s="110">
        <f>AZ16+AZ18-AZ19-AZ20-AZ21-AZ22-AZ23-AZ24-AZ25-AZ26-AZ27-AZ28-AZ29-AZ30-AZ31-AZ32-AZ33-AZ34-AZ35-AZ36-AZ37-AZ38-AZ39-AZ40-AZ41+AZ42-AZ43-AZ44</f>
        <v>2321560.5699999998</v>
      </c>
      <c r="BA45" s="110"/>
      <c r="BB45" s="110"/>
      <c r="BC45" s="110"/>
      <c r="BD45" s="110"/>
      <c r="BE45" s="110"/>
      <c r="BF45" s="110"/>
      <c r="BG45" s="110">
        <f>BG16+BG18-BG19-BG20-BG21-BG22-BG23-BG24-BG25-BG26-BG27-BG28-BG29-BG30-BG31-BG32-BG33-BG34-BG35-BG36-BG37-BG38-BG39-BG40-BG41+BG42-BG43-BG44</f>
        <v>497266.99000000069</v>
      </c>
      <c r="BH45" s="110"/>
      <c r="BI45" s="110"/>
      <c r="BJ45" s="110"/>
      <c r="BK45" s="110"/>
      <c r="BL45" s="110"/>
      <c r="BM45" s="110"/>
      <c r="BN45" s="110">
        <f>BN16+BN18-BN19-BN20-BN21-BN22-BN23-BN24-BN25-BN26-BN27-BN28-BN29-BN30-BN31-BN32-BN33-BN34-BN35-BN36-BN37-BN38-BN39-BN40-BN41+BN42-BN43-BN44</f>
        <v>-1237074.9900000002</v>
      </c>
      <c r="BO45" s="110"/>
      <c r="BP45" s="110"/>
      <c r="BQ45" s="110"/>
      <c r="BR45" s="110"/>
      <c r="BS45" s="110"/>
      <c r="BT45" s="110"/>
      <c r="BU45" s="110">
        <f>BU16+BU18-BU19-BU20-BU21-BU22-BU23-BU24-BU25-BU26-BU27-BU28-BU29-BU30-BU31-BU32-BU33-BU34-BU35-BU36-BU37-BU38-BU39-BU40-BU41+BU42-BU43-BU44</f>
        <v>2924735.05</v>
      </c>
      <c r="BV45" s="110"/>
      <c r="BW45" s="110"/>
      <c r="BX45" s="110"/>
      <c r="BY45" s="110"/>
      <c r="BZ45" s="110"/>
      <c r="CA45" s="110"/>
      <c r="CB45" s="110">
        <f>CB16+CB18-CB19-CB20-CB21-CB22-CB23-CB24-CB25-CB26-CB27-CB28-CB29-CB30-CB31-CB32-CB33-CB34-CB35-CB36-CB37-CB38-CB39-CB40-CB41+CB42-CB43-CB44</f>
        <v>2476935.13</v>
      </c>
      <c r="CC45" s="110"/>
      <c r="CD45" s="110"/>
      <c r="CE45" s="110"/>
      <c r="CF45" s="110"/>
      <c r="CG45" s="110"/>
      <c r="CH45" s="110"/>
      <c r="CI45" s="110">
        <f>CI16+CI18-CI19-CI20-CI21-CI22-CI23-CI24-CI25-CI26-CI27-CI28-CI29-CI30-CI31-CI32-CI33-CI34-CI35-CI36-CI37-CI38-CI39-CI40-CI41+CI42-CI43-CI44</f>
        <v>1524474.6700000002</v>
      </c>
      <c r="CJ45" s="110"/>
      <c r="CK45" s="110"/>
      <c r="CL45" s="110"/>
      <c r="CM45" s="110"/>
      <c r="CN45" s="110"/>
      <c r="CO45" s="110"/>
      <c r="CP45" s="110">
        <f>CP16+CP18-CP19-CP20-CP21-CP22-CP23-CP24-CP25-CP26-CP27-CP28-CP29-CP30-CP31-CP32-CP33-CP34-CP35-CP36-CP37-CP38-CP39-CP40-CP41+CP42-CP43-CP44</f>
        <v>11016655.739999998</v>
      </c>
      <c r="CQ45" s="107"/>
      <c r="CR45" s="125"/>
      <c r="CS45" s="125"/>
      <c r="CT45" s="125"/>
      <c r="CU45" s="125">
        <f t="shared" si="0"/>
        <v>-0.12573723492723496</v>
      </c>
      <c r="CV45" s="125">
        <f t="shared" si="1"/>
        <v>0.79105589617486338</v>
      </c>
      <c r="CW45" s="125">
        <f t="shared" si="2"/>
        <v>0.19751471327014208</v>
      </c>
      <c r="CX45" s="125">
        <f t="shared" si="3"/>
        <v>0.68281193235294113</v>
      </c>
      <c r="CY45" s="125">
        <f t="shared" si="4"/>
        <v>0.12069587135922347</v>
      </c>
      <c r="CZ45" s="125">
        <f t="shared" si="5"/>
        <v>-0.5623068136363637</v>
      </c>
      <c r="DA45" s="125">
        <f t="shared" si="6"/>
        <v>0.54976222744360903</v>
      </c>
      <c r="DB45" s="125">
        <f t="shared" si="7"/>
        <v>0.65875934308510631</v>
      </c>
      <c r="DC45" s="125">
        <f t="shared" si="8"/>
        <v>0.57311077819548883</v>
      </c>
    </row>
    <row r="46" spans="2:107" ht="16" x14ac:dyDescent="0.2">
      <c r="B46" s="112" t="s">
        <v>90</v>
      </c>
      <c r="C46" s="192" t="s">
        <v>154</v>
      </c>
      <c r="D46" s="126"/>
      <c r="E46" s="126"/>
      <c r="F46" s="126"/>
      <c r="G46" s="127"/>
      <c r="H46" s="127"/>
      <c r="I46" s="127"/>
      <c r="J46" s="115"/>
      <c r="K46" s="115"/>
      <c r="L46" s="115"/>
      <c r="M46" s="115"/>
      <c r="N46" s="116"/>
      <c r="O46" s="116"/>
      <c r="P46" s="116"/>
      <c r="Q46" s="115"/>
      <c r="R46" s="119"/>
      <c r="S46" s="119"/>
      <c r="T46" s="119"/>
      <c r="U46" s="128"/>
      <c r="V46" s="128"/>
      <c r="X46" s="115">
        <f>SUMIFS(wallet_records!$D:$D,wallet_records!$B:$B,'EEFF 2022'!$C46,wallet_records!$O:$O,'EEFF 2022'!$B$1,wallet_records!$N:$N,'EEFF 2022'!X$2,wallet_records!$H:$H,'EEFF 2022'!$B46)</f>
        <v>0</v>
      </c>
      <c r="Y46" s="128"/>
      <c r="Z46" s="128"/>
      <c r="AA46" s="128"/>
      <c r="AB46" s="128"/>
      <c r="AC46" s="128"/>
      <c r="AE46" s="115">
        <f>SUMIFS(wallet_records!$D:$D,wallet_records!$B:$B,'EEFF 2022'!$C46,wallet_records!$O:$O,'EEFF 2022'!$B$1,wallet_records!$N:$N,'EEFF 2022'!AE$2,wallet_records!$H:$H,'EEFF 2022'!$B46)</f>
        <v>0</v>
      </c>
      <c r="AF46" s="128"/>
      <c r="AG46" s="128"/>
      <c r="AH46" s="128"/>
      <c r="AI46" s="128"/>
      <c r="AJ46" s="128"/>
      <c r="AL46" s="115">
        <f>SUMIFS(wallet_records!$D:$D,wallet_records!$B:$B,'EEFF 2022'!$C46,wallet_records!$O:$O,'EEFF 2022'!$B$1,wallet_records!$N:$N,'EEFF 2022'!AL$2,wallet_records!$H:$H,'EEFF 2022'!$B46)</f>
        <v>0</v>
      </c>
      <c r="AM46" s="128"/>
      <c r="AN46" s="128"/>
      <c r="AO46" s="128"/>
      <c r="AP46" s="128"/>
      <c r="AQ46" s="128"/>
      <c r="AS46" s="115">
        <f>SUMIFS(wallet_records!$D:$D,wallet_records!$B:$B,'EEFF 2022'!$C46,wallet_records!$O:$O,'EEFF 2022'!$B$1,wallet_records!$N:$N,'EEFF 2022'!AS$2,wallet_records!$H:$H,'EEFF 2022'!$B46)</f>
        <v>0</v>
      </c>
      <c r="AT46" s="128"/>
      <c r="AU46" s="128"/>
      <c r="AV46" s="128"/>
      <c r="AW46" s="128"/>
      <c r="AX46" s="128"/>
      <c r="AZ46" s="115">
        <f>SUMIFS(wallet_records!$D:$D,wallet_records!$B:$B,'EEFF 2022'!$C46,wallet_records!$O:$O,'EEFF 2022'!$B$1,wallet_records!$N:$N,'EEFF 2022'!AZ$2,wallet_records!$H:$H,'EEFF 2022'!$B46)</f>
        <v>0</v>
      </c>
      <c r="BA46" s="128"/>
      <c r="BB46" s="128"/>
      <c r="BC46" s="128"/>
      <c r="BD46" s="128"/>
      <c r="BE46" s="128"/>
      <c r="BG46" s="115">
        <f>SUMIFS(wallet_records!$D:$D,wallet_records!$B:$B,'EEFF 2022'!$C46,wallet_records!$O:$O,'EEFF 2022'!$B$1,wallet_records!$N:$N,'EEFF 2022'!BG$2,wallet_records!$H:$H,'EEFF 2022'!$B46)</f>
        <v>0</v>
      </c>
      <c r="BH46" s="128"/>
      <c r="BI46" s="128"/>
      <c r="BJ46" s="128"/>
      <c r="BK46" s="128"/>
      <c r="BL46" s="128"/>
      <c r="BN46" s="115">
        <f>SUMIFS(wallet_records!$D:$D,wallet_records!$B:$B,'EEFF 2022'!$C46,wallet_records!$O:$O,'EEFF 2022'!$B$1,wallet_records!$N:$N,'EEFF 2022'!BN$2,wallet_records!$H:$H,'EEFF 2022'!$B46)</f>
        <v>0</v>
      </c>
      <c r="BO46" s="128"/>
      <c r="BP46" s="128"/>
      <c r="BQ46" s="128"/>
      <c r="BR46" s="128"/>
      <c r="BS46" s="128"/>
      <c r="BU46" s="115">
        <f>SUMIFS(wallet_records!$D:$D,wallet_records!$B:$B,'EEFF 2022'!$C46,wallet_records!$O:$O,'EEFF 2022'!$B$1,wallet_records!$N:$N,'EEFF 2022'!BU$2,wallet_records!$H:$H,'EEFF 2022'!$B46)</f>
        <v>0</v>
      </c>
      <c r="BV46" s="128"/>
      <c r="BW46" s="128"/>
      <c r="BX46" s="128"/>
      <c r="BY46" s="128"/>
      <c r="BZ46" s="128"/>
      <c r="CB46" s="115">
        <f>SUMIFS(wallet_records!$D:$D,wallet_records!$B:$B,'EEFF 2022'!$C46,wallet_records!$O:$O,'EEFF 2022'!$B$1,wallet_records!$N:$N,'EEFF 2022'!CB$2,wallet_records!$H:$H,'EEFF 2022'!$B46)</f>
        <v>0</v>
      </c>
      <c r="CC46" s="128"/>
      <c r="CD46" s="128"/>
      <c r="CE46" s="128"/>
      <c r="CF46" s="128"/>
      <c r="CG46" s="128"/>
      <c r="CI46" s="115">
        <f>SUMIFS(wallet_records!$D:$D,wallet_records!$B:$B,'EEFF 2022'!$C46,wallet_records!$O:$O,'EEFF 2022'!$B$1,wallet_records!$N:$N,'EEFF 2022'!CI$2,wallet_records!$H:$H,'EEFF 2022'!$B46)</f>
        <v>0</v>
      </c>
      <c r="CJ46" s="128"/>
      <c r="CK46" s="128"/>
      <c r="CL46" s="128"/>
      <c r="CM46" s="128"/>
      <c r="CN46" s="128"/>
      <c r="CP46" s="115">
        <f>SUMIFS(wallet_records!$D:$D,wallet_records!$B:$B,'EEFF 2022'!$C46,wallet_records!$O:$O,'EEFF 2022'!$B$1,wallet_records!$H:$H,'EEFF 2022'!$B46)</f>
        <v>0</v>
      </c>
      <c r="CQ46" s="107"/>
      <c r="CR46" s="111"/>
      <c r="CS46" s="111"/>
      <c r="CT46" s="111"/>
      <c r="CU46" s="111">
        <f t="shared" si="0"/>
        <v>0</v>
      </c>
      <c r="CV46" s="111">
        <f t="shared" si="1"/>
        <v>0</v>
      </c>
      <c r="CW46" s="111">
        <f t="shared" si="2"/>
        <v>0</v>
      </c>
      <c r="CX46" s="111">
        <f t="shared" si="3"/>
        <v>0</v>
      </c>
      <c r="CY46" s="111">
        <f t="shared" si="4"/>
        <v>0</v>
      </c>
      <c r="CZ46" s="111">
        <f t="shared" si="5"/>
        <v>0</v>
      </c>
      <c r="DA46" s="111">
        <f t="shared" si="6"/>
        <v>0</v>
      </c>
      <c r="DB46" s="111">
        <f t="shared" si="7"/>
        <v>0</v>
      </c>
      <c r="DC46" s="111">
        <f t="shared" si="8"/>
        <v>0</v>
      </c>
    </row>
    <row r="47" spans="2:107" ht="16" x14ac:dyDescent="0.2">
      <c r="B47" s="129" t="s">
        <v>352</v>
      </c>
      <c r="C47" s="206"/>
      <c r="D47" s="130"/>
      <c r="E47" s="130"/>
      <c r="F47" s="130"/>
      <c r="G47" s="130"/>
      <c r="H47" s="130"/>
      <c r="I47" s="13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>
        <f>X45-X46</f>
        <v>-917620.3</v>
      </c>
      <c r="Y47" s="110"/>
      <c r="Z47" s="110"/>
      <c r="AA47" s="110"/>
      <c r="AB47" s="110"/>
      <c r="AC47" s="110"/>
      <c r="AD47" s="110"/>
      <c r="AE47" s="110">
        <f>AE45-AE46</f>
        <v>-302398.05000000005</v>
      </c>
      <c r="AF47" s="110"/>
      <c r="AG47" s="110"/>
      <c r="AH47" s="110"/>
      <c r="AI47" s="110"/>
      <c r="AJ47" s="110"/>
      <c r="AK47" s="110"/>
      <c r="AL47" s="110">
        <f>AL45-AL46</f>
        <v>2895264.58</v>
      </c>
      <c r="AM47" s="110"/>
      <c r="AN47" s="110"/>
      <c r="AO47" s="110"/>
      <c r="AP47" s="110"/>
      <c r="AQ47" s="110"/>
      <c r="AR47" s="110"/>
      <c r="AS47" s="110">
        <f>AS45-AS46</f>
        <v>833512.08999999962</v>
      </c>
      <c r="AT47" s="110"/>
      <c r="AU47" s="110"/>
      <c r="AV47" s="110"/>
      <c r="AW47" s="110"/>
      <c r="AX47" s="110"/>
      <c r="AY47" s="110"/>
      <c r="AZ47" s="110">
        <f>AZ45-AZ46</f>
        <v>2321560.5699999998</v>
      </c>
      <c r="BA47" s="110"/>
      <c r="BB47" s="110"/>
      <c r="BC47" s="110"/>
      <c r="BD47" s="110"/>
      <c r="BE47" s="110"/>
      <c r="BF47" s="110"/>
      <c r="BG47" s="110">
        <f>BG45-BG46</f>
        <v>497266.99000000069</v>
      </c>
      <c r="BH47" s="110"/>
      <c r="BI47" s="110"/>
      <c r="BJ47" s="110"/>
      <c r="BK47" s="110"/>
      <c r="BL47" s="110"/>
      <c r="BM47" s="110"/>
      <c r="BN47" s="110">
        <f>BN45-BN46</f>
        <v>-1237074.9900000002</v>
      </c>
      <c r="BO47" s="110"/>
      <c r="BP47" s="110"/>
      <c r="BQ47" s="110"/>
      <c r="BR47" s="110"/>
      <c r="BS47" s="110"/>
      <c r="BT47" s="110"/>
      <c r="BU47" s="110">
        <f>BU45-BU46</f>
        <v>2924735.05</v>
      </c>
      <c r="BV47" s="110"/>
      <c r="BW47" s="110"/>
      <c r="BX47" s="110"/>
      <c r="BY47" s="110"/>
      <c r="BZ47" s="110"/>
      <c r="CA47" s="110"/>
      <c r="CB47" s="110">
        <f>CB45-CB46</f>
        <v>2476935.13</v>
      </c>
      <c r="CC47" s="110"/>
      <c r="CD47" s="110"/>
      <c r="CE47" s="110"/>
      <c r="CF47" s="110"/>
      <c r="CG47" s="110"/>
      <c r="CH47" s="110"/>
      <c r="CI47" s="110">
        <f>CI45-CI46</f>
        <v>1524474.6700000002</v>
      </c>
      <c r="CJ47" s="110"/>
      <c r="CK47" s="110"/>
      <c r="CL47" s="110"/>
      <c r="CM47" s="110"/>
      <c r="CN47" s="110"/>
      <c r="CO47" s="110"/>
      <c r="CP47" s="263">
        <f>CI47+CB47+BU47+BN47+BG47+AS47+AZ47+AL47+AE47+X47</f>
        <v>11016655.739999998</v>
      </c>
      <c r="CQ47" s="107"/>
      <c r="CR47" s="131"/>
      <c r="CS47" s="131"/>
      <c r="CT47" s="131"/>
      <c r="CU47" s="131">
        <f>AE47/AE$6</f>
        <v>-0.12573723492723496</v>
      </c>
      <c r="CV47" s="131">
        <f>AL47/AL$6</f>
        <v>0.79105589617486338</v>
      </c>
      <c r="CW47" s="131">
        <f>AS47/AS$6</f>
        <v>0.19751471327014208</v>
      </c>
      <c r="CX47" s="131">
        <f>AZ47/AZ$6</f>
        <v>0.68281193235294113</v>
      </c>
      <c r="CY47" s="131">
        <f>BG47/BG$6</f>
        <v>0.12069587135922347</v>
      </c>
      <c r="CZ47" s="131">
        <f>BN47/BN$6</f>
        <v>-0.5623068136363637</v>
      </c>
      <c r="DA47" s="131">
        <f>BU47/BU$6</f>
        <v>0.54976222744360903</v>
      </c>
      <c r="DB47" s="131">
        <f>CB47/CB$6</f>
        <v>0.65875934308510631</v>
      </c>
      <c r="DC47" s="131">
        <f>CI47/CI$6</f>
        <v>0.57311077819548883</v>
      </c>
    </row>
    <row r="48" spans="2:107" x14ac:dyDescent="0.2">
      <c r="D48" s="106"/>
      <c r="E48" s="106"/>
      <c r="F48" s="132"/>
      <c r="I48" s="133"/>
      <c r="J48" s="133"/>
      <c r="K48" s="106"/>
      <c r="L48" s="106"/>
      <c r="M48" s="134"/>
      <c r="P48" s="116"/>
      <c r="Q48" s="133"/>
      <c r="R48" s="133"/>
      <c r="S48" s="133"/>
      <c r="T48" s="133"/>
      <c r="U48" s="133"/>
      <c r="V48" s="133"/>
      <c r="Y48" s="133"/>
      <c r="Z48" s="133"/>
      <c r="AA48" s="133"/>
      <c r="AB48" s="133"/>
      <c r="AC48" s="133"/>
      <c r="AF48" s="133"/>
      <c r="AG48" s="133"/>
      <c r="AH48" s="133"/>
      <c r="AI48" s="133"/>
      <c r="AJ48" s="133"/>
      <c r="AM48" s="133"/>
      <c r="AN48" s="133"/>
      <c r="AO48" s="133"/>
      <c r="AP48" s="133"/>
      <c r="AQ48" s="133"/>
      <c r="AT48" s="133"/>
      <c r="AU48" s="133"/>
      <c r="AV48" s="133"/>
      <c r="AW48" s="133"/>
      <c r="AX48" s="133"/>
      <c r="BA48" s="133"/>
      <c r="BB48" s="133"/>
      <c r="BC48" s="133"/>
      <c r="BD48" s="133"/>
      <c r="BE48" s="133"/>
      <c r="BH48" s="133"/>
      <c r="BI48" s="133"/>
      <c r="BJ48" s="133"/>
      <c r="BK48" s="133"/>
      <c r="BL48" s="133"/>
      <c r="BO48" s="133"/>
      <c r="BP48" s="133"/>
      <c r="BQ48" s="133"/>
      <c r="BR48" s="133"/>
      <c r="BS48" s="133"/>
      <c r="BV48" s="133"/>
      <c r="BW48" s="133"/>
      <c r="BX48" s="133"/>
      <c r="BY48" s="133"/>
      <c r="BZ48" s="133"/>
      <c r="CC48" s="133"/>
      <c r="CD48" s="133"/>
      <c r="CE48" s="133"/>
      <c r="CF48" s="133"/>
      <c r="CG48" s="133"/>
      <c r="CJ48" s="133"/>
      <c r="CK48" s="133"/>
      <c r="CL48" s="133"/>
      <c r="CM48" s="133"/>
      <c r="CN48" s="133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</row>
    <row r="49" spans="2:107" ht="16" x14ac:dyDescent="0.2">
      <c r="D49" s="106"/>
      <c r="E49" s="106"/>
      <c r="F49" s="106"/>
      <c r="K49" s="106"/>
      <c r="L49" s="106"/>
      <c r="M49" s="106"/>
      <c r="P49" s="120"/>
    </row>
    <row r="50" spans="2:107" s="181" customFormat="1" ht="16" x14ac:dyDescent="0.2">
      <c r="B50" s="183" t="s">
        <v>403</v>
      </c>
      <c r="C50" s="214"/>
      <c r="D50" s="184"/>
      <c r="E50" s="185"/>
      <c r="F50" s="185"/>
      <c r="G50" s="185"/>
      <c r="I50" s="186"/>
      <c r="J50" s="186"/>
      <c r="K50" s="184"/>
      <c r="L50" s="185"/>
      <c r="M50" s="185"/>
      <c r="N50" s="185"/>
      <c r="P50" s="115"/>
      <c r="Q50" s="186"/>
      <c r="R50" s="186"/>
      <c r="S50" s="186"/>
      <c r="T50" s="186"/>
      <c r="U50" s="186"/>
      <c r="V50" s="186"/>
      <c r="Y50" s="186"/>
      <c r="Z50" s="186"/>
      <c r="AA50" s="186"/>
      <c r="AB50" s="186"/>
      <c r="AC50" s="186"/>
      <c r="AF50" s="186"/>
      <c r="AG50" s="186"/>
      <c r="AH50" s="186"/>
      <c r="AI50" s="186"/>
      <c r="AJ50" s="186"/>
      <c r="AM50" s="186"/>
      <c r="AN50" s="186"/>
      <c r="AO50" s="186"/>
      <c r="AP50" s="186"/>
      <c r="AQ50" s="186"/>
      <c r="AT50" s="186"/>
      <c r="AU50" s="186"/>
      <c r="AV50" s="186"/>
      <c r="AW50" s="186"/>
      <c r="AX50" s="186"/>
      <c r="BA50" s="186"/>
      <c r="BB50" s="186"/>
      <c r="BC50" s="186"/>
      <c r="BD50" s="186"/>
      <c r="BE50" s="186"/>
      <c r="BH50" s="186"/>
      <c r="BI50" s="186"/>
      <c r="BJ50" s="186"/>
      <c r="BK50" s="186"/>
      <c r="BL50" s="186"/>
      <c r="BO50" s="186"/>
      <c r="BP50" s="186"/>
      <c r="BQ50" s="186"/>
      <c r="BR50" s="186"/>
      <c r="BS50" s="186"/>
      <c r="BV50" s="186"/>
      <c r="BW50" s="186"/>
      <c r="BX50" s="186"/>
      <c r="BY50" s="186"/>
      <c r="BZ50" s="186"/>
      <c r="CC50" s="186"/>
      <c r="CD50" s="186"/>
      <c r="CE50" s="186"/>
      <c r="CF50" s="186"/>
      <c r="CG50" s="186"/>
      <c r="CJ50" s="186"/>
      <c r="CK50" s="186"/>
      <c r="CL50" s="186"/>
      <c r="CM50" s="186"/>
      <c r="CN50" s="186"/>
    </row>
    <row r="51" spans="2:107" x14ac:dyDescent="0.2">
      <c r="B51" s="105" t="s">
        <v>404</v>
      </c>
      <c r="D51" s="136"/>
      <c r="E51" s="136"/>
      <c r="F51" s="136"/>
      <c r="G51" s="137"/>
      <c r="H51" s="137"/>
      <c r="I51" s="137"/>
      <c r="J51" s="137"/>
      <c r="K51" s="138"/>
      <c r="L51" s="138"/>
      <c r="M51" s="138"/>
      <c r="N51" s="137"/>
      <c r="O51" s="137"/>
      <c r="P51" s="115"/>
      <c r="Q51" s="137"/>
      <c r="R51" s="137"/>
      <c r="S51" s="137"/>
      <c r="T51" s="137"/>
      <c r="U51" s="137"/>
      <c r="V51" s="137"/>
      <c r="X51" s="137">
        <f>SUM(X52:AD57)</f>
        <v>7634668.5700000003</v>
      </c>
      <c r="Y51" s="137"/>
      <c r="Z51" s="137"/>
      <c r="AA51" s="137"/>
      <c r="AB51" s="137"/>
      <c r="AC51" s="137"/>
      <c r="AE51" s="137">
        <f>SUM(AE52:AK57)</f>
        <v>7332270.5199999996</v>
      </c>
      <c r="AF51" s="137"/>
      <c r="AG51" s="137"/>
      <c r="AH51" s="137"/>
      <c r="AI51" s="137"/>
      <c r="AJ51" s="137"/>
      <c r="AL51" s="137">
        <f>SUM(AL52:AR57)</f>
        <v>10227535.1</v>
      </c>
      <c r="AM51" s="137"/>
      <c r="AN51" s="137"/>
      <c r="AO51" s="137"/>
      <c r="AP51" s="137"/>
      <c r="AQ51" s="137"/>
      <c r="AS51" s="137">
        <f>SUM(AS52:AY57)</f>
        <v>11061047.190000001</v>
      </c>
      <c r="AT51" s="137"/>
      <c r="AU51" s="137"/>
      <c r="AV51" s="137"/>
      <c r="AW51" s="137"/>
      <c r="AX51" s="137"/>
      <c r="AZ51" s="137">
        <f>SUM(AZ52:BF57)</f>
        <v>13382607.76</v>
      </c>
      <c r="BA51" s="137"/>
      <c r="BB51" s="137"/>
      <c r="BC51" s="137"/>
      <c r="BD51" s="137"/>
      <c r="BE51" s="137"/>
      <c r="BG51" s="137">
        <f>SUM(BG52:BM57)</f>
        <v>13879874.75</v>
      </c>
      <c r="BH51" s="137"/>
      <c r="BI51" s="137"/>
      <c r="BJ51" s="137"/>
      <c r="BK51" s="137"/>
      <c r="BL51" s="137"/>
      <c r="BN51" s="137">
        <f>SUM(BN52:BT57)</f>
        <v>12642799.76</v>
      </c>
      <c r="BO51" s="137"/>
      <c r="BP51" s="137"/>
      <c r="BQ51" s="137"/>
      <c r="BR51" s="137"/>
      <c r="BS51" s="137"/>
      <c r="BU51" s="137">
        <f>SUM(BU52:CA57)</f>
        <v>15567534.810000001</v>
      </c>
      <c r="BV51" s="137"/>
      <c r="BW51" s="137"/>
      <c r="BX51" s="137"/>
      <c r="BY51" s="137"/>
      <c r="BZ51" s="137"/>
      <c r="CB51" s="137">
        <f>SUM(CB52:CH57)</f>
        <v>18044469.939999998</v>
      </c>
      <c r="CC51" s="137"/>
      <c r="CD51" s="137"/>
      <c r="CE51" s="137"/>
      <c r="CF51" s="137"/>
      <c r="CG51" s="137"/>
      <c r="CI51" s="137">
        <f>SUM(CI52:CO57)</f>
        <v>19568944.609999999</v>
      </c>
      <c r="CJ51" s="137"/>
      <c r="CK51" s="137"/>
      <c r="CL51" s="137"/>
      <c r="CM51" s="137"/>
      <c r="CN51" s="137"/>
      <c r="CP51" s="137">
        <f>CI51</f>
        <v>19568944.609999999</v>
      </c>
      <c r="CR51" s="139"/>
      <c r="CS51" s="139"/>
      <c r="CT51" s="139"/>
      <c r="CU51" s="139">
        <f>AE51/AE$64</f>
        <v>3.8732154699464834E-3</v>
      </c>
      <c r="CV51" s="139">
        <f>AL51/AL$64</f>
        <v>5.394366550311662E-3</v>
      </c>
      <c r="CW51" s="139">
        <f>AS51/AS$64</f>
        <v>5.8314269001977373E-3</v>
      </c>
      <c r="CX51" s="139">
        <f>AZ51/AZ$64</f>
        <v>7.0467378661834834E-3</v>
      </c>
      <c r="CY51" s="139">
        <f>BG51/BG$64</f>
        <v>7.306665290686346E-3</v>
      </c>
      <c r="CZ51" s="139">
        <f>BN51/BN$64</f>
        <v>6.6597793482033032E-3</v>
      </c>
      <c r="DA51" s="139">
        <f>BU51/BU$64</f>
        <v>8.1878117079367697E-3</v>
      </c>
      <c r="DB51" s="139">
        <f>CB51/CB$64</f>
        <v>9.4782185706297414E-3</v>
      </c>
      <c r="DC51" s="139">
        <f>CI51/CI$64</f>
        <v>1.0270754949548839E-2</v>
      </c>
    </row>
    <row r="52" spans="2:107" x14ac:dyDescent="0.2">
      <c r="C52" s="204" t="s">
        <v>505</v>
      </c>
      <c r="D52" s="136"/>
      <c r="E52" s="136"/>
      <c r="F52" s="136"/>
      <c r="G52" s="137"/>
      <c r="H52" s="137"/>
      <c r="I52" s="137"/>
      <c r="J52" s="137"/>
      <c r="K52" s="138"/>
      <c r="L52" s="138"/>
      <c r="M52" s="138"/>
      <c r="N52" s="137"/>
      <c r="O52" s="137"/>
      <c r="P52" s="115"/>
      <c r="Q52" s="137"/>
      <c r="R52" s="137"/>
      <c r="S52" s="137"/>
      <c r="T52" s="137"/>
      <c r="U52" s="137"/>
      <c r="V52" s="137"/>
      <c r="X52" s="137">
        <v>0</v>
      </c>
      <c r="Y52" s="137"/>
      <c r="Z52" s="137"/>
      <c r="AA52" s="137"/>
      <c r="AB52" s="137"/>
      <c r="AC52" s="137"/>
      <c r="AE52" s="137">
        <v>0</v>
      </c>
      <c r="AF52" s="137"/>
      <c r="AG52" s="137"/>
      <c r="AH52" s="137"/>
      <c r="AI52" s="137"/>
      <c r="AJ52" s="137"/>
      <c r="AL52" s="137">
        <v>0</v>
      </c>
      <c r="AM52" s="137"/>
      <c r="AN52" s="137"/>
      <c r="AO52" s="137"/>
      <c r="AP52" s="137"/>
      <c r="AQ52" s="137"/>
      <c r="AS52" s="137">
        <v>0</v>
      </c>
      <c r="AT52" s="137"/>
      <c r="AU52" s="137"/>
      <c r="AV52" s="137"/>
      <c r="AW52" s="137"/>
      <c r="AX52" s="137"/>
      <c r="AZ52" s="137">
        <v>0</v>
      </c>
      <c r="BA52" s="137"/>
      <c r="BB52" s="137"/>
      <c r="BC52" s="137"/>
      <c r="BD52" s="137"/>
      <c r="BE52" s="137"/>
      <c r="BG52" s="137">
        <v>0</v>
      </c>
      <c r="BH52" s="137"/>
      <c r="BI52" s="137"/>
      <c r="BJ52" s="137"/>
      <c r="BK52" s="137"/>
      <c r="BL52" s="137"/>
      <c r="BN52" s="137">
        <v>0</v>
      </c>
      <c r="BO52" s="137"/>
      <c r="BP52" s="137"/>
      <c r="BQ52" s="137"/>
      <c r="BR52" s="137"/>
      <c r="BS52" s="137"/>
      <c r="BU52" s="137">
        <v>0</v>
      </c>
      <c r="BV52" s="137"/>
      <c r="BW52" s="137"/>
      <c r="BX52" s="137"/>
      <c r="BY52" s="137"/>
      <c r="BZ52" s="137"/>
      <c r="CB52" s="137">
        <v>0</v>
      </c>
      <c r="CC52" s="137"/>
      <c r="CD52" s="137"/>
      <c r="CE52" s="137"/>
      <c r="CF52" s="137"/>
      <c r="CG52" s="137"/>
      <c r="CI52" s="137">
        <v>0</v>
      </c>
      <c r="CJ52" s="137"/>
      <c r="CK52" s="137"/>
      <c r="CL52" s="137"/>
      <c r="CM52" s="137"/>
      <c r="CN52" s="137"/>
      <c r="CP52" s="137">
        <f t="shared" ref="CP52:CP57" si="34">CI52</f>
        <v>0</v>
      </c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</row>
    <row r="53" spans="2:107" x14ac:dyDescent="0.2">
      <c r="C53" s="204" t="s">
        <v>127</v>
      </c>
      <c r="D53" s="136"/>
      <c r="E53" s="136"/>
      <c r="F53" s="136"/>
      <c r="G53" s="137"/>
      <c r="H53" s="137"/>
      <c r="I53" s="137"/>
      <c r="J53" s="115"/>
      <c r="K53" s="138"/>
      <c r="L53" s="138"/>
      <c r="M53" s="138"/>
      <c r="N53" s="137"/>
      <c r="O53" s="137"/>
      <c r="P53" s="115"/>
      <c r="Q53" s="115"/>
      <c r="R53" s="137"/>
      <c r="S53" s="137"/>
      <c r="T53" s="137"/>
      <c r="U53" s="137"/>
      <c r="V53" s="137"/>
      <c r="X53" s="115">
        <f>SUMIFS(Saldos!$D:$D,Saldos!$B:$B,'EEFF 2022'!X$2,Saldos!$C:$C,'EEFF 2022'!$B$1)</f>
        <v>7634668.5700000003</v>
      </c>
      <c r="Y53" s="137"/>
      <c r="Z53" s="137"/>
      <c r="AA53" s="137"/>
      <c r="AB53" s="137"/>
      <c r="AC53" s="137"/>
      <c r="AE53" s="115">
        <f>SUMIFS(Saldos!$D:$D,Saldos!$B:$B,'EEFF 2022'!AE$2,Saldos!$C:$C,'EEFF 2022'!$B$1)</f>
        <v>7332270.5199999996</v>
      </c>
      <c r="AF53" s="137"/>
      <c r="AG53" s="137"/>
      <c r="AH53" s="137"/>
      <c r="AI53" s="137"/>
      <c r="AJ53" s="137"/>
      <c r="AL53" s="115">
        <f>SUMIFS(Saldos!$D:$D,Saldos!$B:$B,'EEFF 2022'!AL$2,Saldos!$C:$C,'EEFF 2022'!$B$1)</f>
        <v>8165035.0999999996</v>
      </c>
      <c r="AM53" s="137"/>
      <c r="AN53" s="137"/>
      <c r="AO53" s="137"/>
      <c r="AP53" s="137"/>
      <c r="AQ53" s="137"/>
      <c r="AS53" s="115">
        <f>SUMIFS(Saldos!$D:$D,Saldos!$B:$B,'EEFF 2022'!AS$2,Saldos!$C:$C,'EEFF 2022'!$B$1)</f>
        <v>7027980.1900000004</v>
      </c>
      <c r="AT53" s="137"/>
      <c r="AU53" s="137"/>
      <c r="AV53" s="137"/>
      <c r="AW53" s="137"/>
      <c r="AX53" s="137"/>
      <c r="AZ53" s="115">
        <f>SUMIFS(Saldos!$D:$D,Saldos!$B:$B,'EEFF 2022'!AZ$2,Saldos!$C:$C,'EEFF 2022'!$B$1)</f>
        <v>7321266.7599999998</v>
      </c>
      <c r="BA53" s="137"/>
      <c r="BB53" s="137"/>
      <c r="BC53" s="137"/>
      <c r="BD53" s="137"/>
      <c r="BE53" s="137"/>
      <c r="BG53" s="115">
        <f>SUMIFS(Saldos!$D:$D,Saldos!$B:$B,'EEFF 2022'!BG$2,Saldos!$C:$C,'EEFF 2022'!$B$1)</f>
        <v>5780011.75</v>
      </c>
      <c r="BH53" s="137"/>
      <c r="BI53" s="137"/>
      <c r="BJ53" s="137"/>
      <c r="BK53" s="137"/>
      <c r="BL53" s="137"/>
      <c r="BN53" s="115">
        <f>SUMIFS(Saldos!$D:$D,Saldos!$B:$B,'EEFF 2022'!BN$2,Saldos!$C:$C,'EEFF 2022'!$B$1)</f>
        <v>2490748.7599999998</v>
      </c>
      <c r="BO53" s="137"/>
      <c r="BP53" s="137"/>
      <c r="BQ53" s="137"/>
      <c r="BR53" s="137"/>
      <c r="BS53" s="137"/>
      <c r="BU53" s="115">
        <f>SUMIFS(Saldos!$D:$D,Saldos!$B:$B,'EEFF 2022'!BU$2,Saldos!$C:$C,'EEFF 2022'!$B$1)</f>
        <v>3348640.81</v>
      </c>
      <c r="BV53" s="137"/>
      <c r="BW53" s="137"/>
      <c r="BX53" s="137"/>
      <c r="BY53" s="137"/>
      <c r="BZ53" s="137"/>
      <c r="CB53" s="115">
        <f>SUMIFS(Saldos!$D:$D,Saldos!$B:$B,'EEFF 2022'!CB$2,Saldos!$C:$C,'EEFF 2022'!$B$1)</f>
        <v>3247667.94</v>
      </c>
      <c r="CC53" s="137"/>
      <c r="CD53" s="137"/>
      <c r="CE53" s="137"/>
      <c r="CF53" s="137"/>
      <c r="CG53" s="137"/>
      <c r="CI53" s="115">
        <f>SUMIFS(Saldos!$D:$D,Saldos!$B:$B,'EEFF 2022'!CI$2,Saldos!$C:$C,'EEFF 2022'!$B$1)</f>
        <v>2169341.61</v>
      </c>
      <c r="CJ53" s="137"/>
      <c r="CK53" s="137"/>
      <c r="CL53" s="137"/>
      <c r="CM53" s="137"/>
      <c r="CN53" s="137"/>
      <c r="CP53" s="137">
        <f t="shared" si="34"/>
        <v>2169341.61</v>
      </c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</row>
    <row r="54" spans="2:107" x14ac:dyDescent="0.2">
      <c r="C54" s="204" t="s">
        <v>118</v>
      </c>
      <c r="D54" s="136"/>
      <c r="E54" s="136"/>
      <c r="F54" s="136"/>
      <c r="G54" s="137"/>
      <c r="H54" s="137"/>
      <c r="I54" s="137"/>
      <c r="J54" s="115"/>
      <c r="K54" s="138"/>
      <c r="L54" s="138"/>
      <c r="M54" s="138"/>
      <c r="N54" s="137"/>
      <c r="O54" s="137"/>
      <c r="P54" s="115"/>
      <c r="Q54" s="115"/>
      <c r="R54" s="137"/>
      <c r="S54" s="137"/>
      <c r="T54" s="137"/>
      <c r="U54" s="137"/>
      <c r="V54" s="137"/>
      <c r="X54" s="115">
        <f>SUMIFS(Saldos!$E:$E,Saldos!$B:$B,'EEFF 2022'!X$2,Saldos!$C:$C,'EEFF 2022'!$B$1)</f>
        <v>0</v>
      </c>
      <c r="Y54" s="137"/>
      <c r="Z54" s="137"/>
      <c r="AA54" s="137"/>
      <c r="AB54" s="137"/>
      <c r="AC54" s="137"/>
      <c r="AE54" s="115">
        <f>SUMIFS(Saldos!$E:$E,Saldos!$B:$B,'EEFF 2022'!AE$2,Saldos!$C:$C,'EEFF 2022'!$B$1)</f>
        <v>0</v>
      </c>
      <c r="AF54" s="137"/>
      <c r="AG54" s="137"/>
      <c r="AH54" s="137"/>
      <c r="AI54" s="137"/>
      <c r="AJ54" s="137"/>
      <c r="AL54" s="115">
        <f>SUMIFS(Saldos!$E:$E,Saldos!$B:$B,'EEFF 2022'!AL$2,Saldos!$C:$C,'EEFF 2022'!$B$1)</f>
        <v>500000</v>
      </c>
      <c r="AM54" s="137"/>
      <c r="AN54" s="137"/>
      <c r="AO54" s="137"/>
      <c r="AP54" s="137"/>
      <c r="AQ54" s="137"/>
      <c r="AS54" s="115">
        <f>SUMIFS(Saldos!$E:$E,Saldos!$B:$B,'EEFF 2022'!AS$2,Saldos!$C:$C,'EEFF 2022'!$B$1)</f>
        <v>901956</v>
      </c>
      <c r="AT54" s="137"/>
      <c r="AU54" s="137"/>
      <c r="AV54" s="137"/>
      <c r="AW54" s="137"/>
      <c r="AX54" s="137"/>
      <c r="AZ54" s="115">
        <f>SUMIFS(Saldos!$E:$E,Saldos!$B:$B,'EEFF 2022'!AZ$2,Saldos!$C:$C,'EEFF 2022'!$B$1)</f>
        <v>1355484</v>
      </c>
      <c r="BA54" s="137"/>
      <c r="BB54" s="137"/>
      <c r="BC54" s="137"/>
      <c r="BD54" s="137"/>
      <c r="BE54" s="137"/>
      <c r="BG54" s="115">
        <f>SUMIFS(Saldos!$E:$E,Saldos!$B:$B,'EEFF 2022'!BG$2,Saldos!$C:$C,'EEFF 2022'!$B$1)</f>
        <v>1811303</v>
      </c>
      <c r="BH54" s="137"/>
      <c r="BI54" s="137"/>
      <c r="BJ54" s="137"/>
      <c r="BK54" s="137"/>
      <c r="BL54" s="137"/>
      <c r="BN54" s="115">
        <f>SUMIFS(Saldos!$E:$E,Saldos!$B:$B,'EEFF 2022'!BN$2,Saldos!$C:$C,'EEFF 2022'!$B$1)</f>
        <v>2270178</v>
      </c>
      <c r="BO54" s="137"/>
      <c r="BP54" s="137"/>
      <c r="BQ54" s="137"/>
      <c r="BR54" s="137"/>
      <c r="BS54" s="137"/>
      <c r="BU54" s="115">
        <f>SUMIFS(Saldos!$E:$E,Saldos!$B:$B,'EEFF 2022'!BU$2,Saldos!$C:$C,'EEFF 2022'!$B$1)</f>
        <v>2732330</v>
      </c>
      <c r="BV54" s="137"/>
      <c r="BW54" s="137"/>
      <c r="BX54" s="137"/>
      <c r="BY54" s="137"/>
      <c r="BZ54" s="137"/>
      <c r="CB54" s="115">
        <f>SUMIFS(Saldos!$E:$E,Saldos!$B:$B,'EEFF 2022'!CB$2,Saldos!$C:$C,'EEFF 2022'!$B$1)</f>
        <v>3196956</v>
      </c>
      <c r="CC54" s="137"/>
      <c r="CD54" s="137"/>
      <c r="CE54" s="137"/>
      <c r="CF54" s="137"/>
      <c r="CG54" s="137"/>
      <c r="CI54" s="115">
        <f>SUMIFS(Saldos!$E:$E,Saldos!$B:$B,'EEFF 2022'!CI$2,Saldos!$C:$C,'EEFF 2022'!$B$1)</f>
        <v>3666466</v>
      </c>
      <c r="CJ54" s="137"/>
      <c r="CK54" s="137"/>
      <c r="CL54" s="137"/>
      <c r="CM54" s="137"/>
      <c r="CN54" s="137"/>
      <c r="CP54" s="137">
        <f t="shared" si="34"/>
        <v>3666466</v>
      </c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</row>
    <row r="55" spans="2:107" x14ac:dyDescent="0.2">
      <c r="C55" s="204" t="s">
        <v>515</v>
      </c>
      <c r="D55" s="136"/>
      <c r="E55" s="136"/>
      <c r="F55" s="136"/>
      <c r="G55" s="137"/>
      <c r="H55" s="137"/>
      <c r="I55" s="137"/>
      <c r="J55" s="115"/>
      <c r="K55" s="138"/>
      <c r="L55" s="138"/>
      <c r="M55" s="138"/>
      <c r="N55" s="137"/>
      <c r="O55" s="137"/>
      <c r="P55" s="115"/>
      <c r="Q55" s="115"/>
      <c r="R55" s="137"/>
      <c r="S55" s="137"/>
      <c r="T55" s="137"/>
      <c r="U55" s="137"/>
      <c r="V55" s="137"/>
      <c r="X55" s="115">
        <f>SUMIFS(Saldos!$F:$F,Saldos!$B:$B,'EEFF 2022'!X$2,Saldos!$C:$C,'EEFF 2022'!$B$1)</f>
        <v>0</v>
      </c>
      <c r="Y55" s="137"/>
      <c r="Z55" s="137"/>
      <c r="AA55" s="137"/>
      <c r="AB55" s="137"/>
      <c r="AC55" s="137"/>
      <c r="AE55" s="115">
        <f>SUMIFS(Saldos!$F:$F,Saldos!$B:$B,'EEFF 2022'!AE$2,Saldos!$C:$C,'EEFF 2022'!$B$1)</f>
        <v>0</v>
      </c>
      <c r="AF55" s="137"/>
      <c r="AG55" s="137"/>
      <c r="AH55" s="137"/>
      <c r="AI55" s="137"/>
      <c r="AJ55" s="137"/>
      <c r="AL55" s="115">
        <f>SUMIFS(Saldos!$F:$F,Saldos!$B:$B,'EEFF 2022'!AL$2,Saldos!$C:$C,'EEFF 2022'!$B$1)</f>
        <v>1562500</v>
      </c>
      <c r="AM55" s="137"/>
      <c r="AN55" s="137"/>
      <c r="AO55" s="137"/>
      <c r="AP55" s="137"/>
      <c r="AQ55" s="137"/>
      <c r="AS55" s="115">
        <f>SUMIFS(Saldos!$F:$F,Saldos!$B:$B,'EEFF 2022'!AS$2,Saldos!$C:$C,'EEFF 2022'!$B$1)</f>
        <v>3131111</v>
      </c>
      <c r="AT55" s="137"/>
      <c r="AU55" s="137"/>
      <c r="AV55" s="137"/>
      <c r="AW55" s="137"/>
      <c r="AX55" s="137"/>
      <c r="AZ55" s="115">
        <f>SUMIFS(Saldos!$F:$F,Saldos!$B:$B,'EEFF 2022'!AZ$2,Saldos!$C:$C,'EEFF 2022'!$B$1)</f>
        <v>4705857</v>
      </c>
      <c r="BA55" s="137"/>
      <c r="BB55" s="137"/>
      <c r="BC55" s="137"/>
      <c r="BD55" s="137"/>
      <c r="BE55" s="137"/>
      <c r="BG55" s="115">
        <f>SUMIFS(Saldos!$F:$F,Saldos!$B:$B,'EEFF 2022'!BG$2,Saldos!$C:$C,'EEFF 2022'!$B$1)</f>
        <v>6288560</v>
      </c>
      <c r="BH55" s="137"/>
      <c r="BI55" s="137"/>
      <c r="BJ55" s="137"/>
      <c r="BK55" s="137"/>
      <c r="BL55" s="137"/>
      <c r="BN55" s="115">
        <f>SUMIFS(Saldos!$F:$F,Saldos!$B:$B,'EEFF 2022'!BN$2,Saldos!$C:$C,'EEFF 2022'!$B$1)</f>
        <v>7881873</v>
      </c>
      <c r="BO55" s="137"/>
      <c r="BP55" s="137"/>
      <c r="BQ55" s="137"/>
      <c r="BR55" s="137"/>
      <c r="BS55" s="137"/>
      <c r="BU55" s="115">
        <f>SUMIFS(Saldos!$F:$F,Saldos!$B:$B,'EEFF 2022'!BU$2,Saldos!$C:$C,'EEFF 2022'!$B$1)</f>
        <v>9486564</v>
      </c>
      <c r="BV55" s="137"/>
      <c r="BW55" s="137"/>
      <c r="BX55" s="137"/>
      <c r="BY55" s="137"/>
      <c r="BZ55" s="137"/>
      <c r="CB55" s="115">
        <f>SUMIFS(Saldos!$F:$F,Saldos!$B:$B,'EEFF 2022'!CB$2,Saldos!$C:$C,'EEFF 2022'!$B$1)</f>
        <v>11099846</v>
      </c>
      <c r="CC55" s="137"/>
      <c r="CD55" s="137"/>
      <c r="CE55" s="137"/>
      <c r="CF55" s="137"/>
      <c r="CG55" s="137"/>
      <c r="CI55" s="115">
        <f>SUMIFS(Saldos!$F:$F,Saldos!$B:$B,'EEFF 2022'!CI$2,Saldos!$C:$C,'EEFF 2022'!$B$1)</f>
        <v>12730085</v>
      </c>
      <c r="CJ55" s="137"/>
      <c r="CK55" s="137"/>
      <c r="CL55" s="137"/>
      <c r="CM55" s="137"/>
      <c r="CN55" s="137"/>
      <c r="CP55" s="137">
        <f t="shared" si="34"/>
        <v>12730085</v>
      </c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</row>
    <row r="56" spans="2:107" x14ac:dyDescent="0.2">
      <c r="C56" s="204" t="s">
        <v>516</v>
      </c>
      <c r="D56" s="136"/>
      <c r="E56" s="136"/>
      <c r="F56" s="136"/>
      <c r="G56" s="137"/>
      <c r="H56" s="137"/>
      <c r="I56" s="137"/>
      <c r="J56" s="115"/>
      <c r="K56" s="138"/>
      <c r="L56" s="138"/>
      <c r="M56" s="138"/>
      <c r="N56" s="137"/>
      <c r="O56" s="137"/>
      <c r="P56" s="115"/>
      <c r="Q56" s="115"/>
      <c r="R56" s="137"/>
      <c r="S56" s="137"/>
      <c r="T56" s="137"/>
      <c r="U56" s="137"/>
      <c r="V56" s="137"/>
      <c r="X56" s="115">
        <f>SUMIFS(Saldos!$H:$H,Saldos!$B:$B,'EEFF 2022'!X$2,Saldos!$C:$C,'EEFF 2022'!$B$1)</f>
        <v>0</v>
      </c>
      <c r="Y56" s="137"/>
      <c r="Z56" s="137"/>
      <c r="AA56" s="137"/>
      <c r="AB56" s="137"/>
      <c r="AC56" s="137"/>
      <c r="AE56" s="115">
        <f>SUMIFS(Saldos!$H:$H,Saldos!$B:$B,'EEFF 2022'!AE$2,Saldos!$C:$C,'EEFF 2022'!$B$1)</f>
        <v>0</v>
      </c>
      <c r="AF56" s="137"/>
      <c r="AG56" s="137"/>
      <c r="AH56" s="137"/>
      <c r="AI56" s="137"/>
      <c r="AJ56" s="137"/>
      <c r="AL56" s="115">
        <f>SUMIFS(Saldos!$H:$H,Saldos!$B:$B,'EEFF 2022'!AL$2,Saldos!$C:$C,'EEFF 2022'!$B$1)</f>
        <v>0</v>
      </c>
      <c r="AM56" s="137"/>
      <c r="AN56" s="137"/>
      <c r="AO56" s="137"/>
      <c r="AP56" s="137"/>
      <c r="AQ56" s="137"/>
      <c r="AS56" s="115">
        <f>SUMIFS(Saldos!$H:$H,Saldos!$B:$B,'EEFF 2022'!AS$2,Saldos!$C:$C,'EEFF 2022'!$B$1)</f>
        <v>0</v>
      </c>
      <c r="AT56" s="137"/>
      <c r="AU56" s="137"/>
      <c r="AV56" s="137"/>
      <c r="AW56" s="137"/>
      <c r="AX56" s="137"/>
      <c r="AZ56" s="115">
        <f>SUMIFS(Saldos!$H:$H,Saldos!$B:$B,'EEFF 2022'!AZ$2,Saldos!$C:$C,'EEFF 2022'!$B$1)</f>
        <v>0</v>
      </c>
      <c r="BA56" s="137"/>
      <c r="BB56" s="137"/>
      <c r="BC56" s="137"/>
      <c r="BD56" s="137"/>
      <c r="BE56" s="137"/>
      <c r="BG56" s="115">
        <f>SUMIFS(Saldos!$H:$H,Saldos!$B:$B,'EEFF 2022'!BG$2,Saldos!$C:$C,'EEFF 2022'!$B$1)</f>
        <v>0</v>
      </c>
      <c r="BH56" s="137"/>
      <c r="BI56" s="137"/>
      <c r="BJ56" s="137"/>
      <c r="BK56" s="137"/>
      <c r="BL56" s="137"/>
      <c r="BN56" s="115">
        <f>SUMIFS(Saldos!$H:$H,Saldos!$B:$B,'EEFF 2022'!BN$2,Saldos!$C:$C,'EEFF 2022'!$B$1)</f>
        <v>0</v>
      </c>
      <c r="BO56" s="137"/>
      <c r="BP56" s="137"/>
      <c r="BQ56" s="137"/>
      <c r="BR56" s="137"/>
      <c r="BS56" s="137"/>
      <c r="BU56" s="115">
        <f>SUMIFS(Saldos!$H:$H,Saldos!$B:$B,'EEFF 2022'!BU$2,Saldos!$C:$C,'EEFF 2022'!$B$1)</f>
        <v>0</v>
      </c>
      <c r="BV56" s="137"/>
      <c r="BW56" s="137"/>
      <c r="BX56" s="137"/>
      <c r="BY56" s="137"/>
      <c r="BZ56" s="137"/>
      <c r="CB56" s="115">
        <f>SUMIFS(Saldos!$H:$H,Saldos!$B:$B,'EEFF 2022'!CB$2,Saldos!$C:$C,'EEFF 2022'!$B$1)</f>
        <v>0</v>
      </c>
      <c r="CC56" s="137"/>
      <c r="CD56" s="137"/>
      <c r="CE56" s="137"/>
      <c r="CF56" s="137"/>
      <c r="CG56" s="137"/>
      <c r="CI56" s="115">
        <f>SUMIFS(Saldos!$H:$H,Saldos!$B:$B,'EEFF 2022'!CI$2,Saldos!$C:$C,'EEFF 2022'!$B$1)</f>
        <v>0</v>
      </c>
      <c r="CJ56" s="137"/>
      <c r="CK56" s="137"/>
      <c r="CL56" s="137"/>
      <c r="CM56" s="137"/>
      <c r="CN56" s="137"/>
      <c r="CP56" s="137">
        <f t="shared" si="34"/>
        <v>0</v>
      </c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</row>
    <row r="57" spans="2:107" x14ac:dyDescent="0.2">
      <c r="C57" s="204" t="s">
        <v>126</v>
      </c>
      <c r="D57" s="136"/>
      <c r="E57" s="136"/>
      <c r="F57" s="136"/>
      <c r="G57" s="137"/>
      <c r="H57" s="137"/>
      <c r="I57" s="137"/>
      <c r="J57" s="115"/>
      <c r="K57" s="138"/>
      <c r="L57" s="138"/>
      <c r="M57" s="138"/>
      <c r="N57" s="137"/>
      <c r="O57" s="137"/>
      <c r="P57" s="115"/>
      <c r="Q57" s="115"/>
      <c r="R57" s="137"/>
      <c r="S57" s="137"/>
      <c r="T57" s="137"/>
      <c r="U57" s="137"/>
      <c r="V57" s="137"/>
      <c r="X57" s="115">
        <f>SUMIFS(Saldos!$I:$I,Saldos!$B:$B,'EEFF 2022'!X$2,Saldos!$C:$C,'EEFF 2022'!$B$1)</f>
        <v>0</v>
      </c>
      <c r="Y57" s="137"/>
      <c r="Z57" s="137"/>
      <c r="AA57" s="137"/>
      <c r="AB57" s="137"/>
      <c r="AC57" s="137"/>
      <c r="AE57" s="115">
        <f>SUMIFS(Saldos!$I:$I,Saldos!$B:$B,'EEFF 2022'!AE$2,Saldos!$C:$C,'EEFF 2022'!$B$1)</f>
        <v>0</v>
      </c>
      <c r="AF57" s="137"/>
      <c r="AG57" s="137"/>
      <c r="AH57" s="137"/>
      <c r="AI57" s="137"/>
      <c r="AJ57" s="137"/>
      <c r="AL57" s="115">
        <f>SUMIFS(Saldos!$I:$I,Saldos!$B:$B,'EEFF 2022'!AL$2,Saldos!$C:$C,'EEFF 2022'!$B$1)</f>
        <v>0</v>
      </c>
      <c r="AM57" s="137"/>
      <c r="AN57" s="137"/>
      <c r="AO57" s="137"/>
      <c r="AP57" s="137"/>
      <c r="AQ57" s="137"/>
      <c r="AS57" s="115">
        <f>SUMIFS(Saldos!$I:$I,Saldos!$B:$B,'EEFF 2022'!AS$2,Saldos!$C:$C,'EEFF 2022'!$B$1)</f>
        <v>0</v>
      </c>
      <c r="AT57" s="137"/>
      <c r="AU57" s="137"/>
      <c r="AV57" s="137"/>
      <c r="AW57" s="137"/>
      <c r="AX57" s="137"/>
      <c r="AZ57" s="115">
        <f>SUMIFS(Saldos!$I:$I,Saldos!$B:$B,'EEFF 2022'!AZ$2,Saldos!$C:$C,'EEFF 2022'!$B$1)</f>
        <v>0</v>
      </c>
      <c r="BA57" s="137"/>
      <c r="BB57" s="137"/>
      <c r="BC57" s="137"/>
      <c r="BD57" s="137"/>
      <c r="BE57" s="137"/>
      <c r="BG57" s="115">
        <f>SUMIFS(Saldos!$I:$I,Saldos!$B:$B,'EEFF 2022'!BG$2,Saldos!$C:$C,'EEFF 2022'!$B$1)</f>
        <v>0</v>
      </c>
      <c r="BH57" s="137"/>
      <c r="BI57" s="137"/>
      <c r="BJ57" s="137"/>
      <c r="BK57" s="137"/>
      <c r="BL57" s="137"/>
      <c r="BN57" s="115">
        <f>SUMIFS(Saldos!$I:$I,Saldos!$B:$B,'EEFF 2022'!BN$2,Saldos!$C:$C,'EEFF 2022'!$B$1)</f>
        <v>0</v>
      </c>
      <c r="BO57" s="137"/>
      <c r="BP57" s="137"/>
      <c r="BQ57" s="137"/>
      <c r="BR57" s="137"/>
      <c r="BS57" s="137"/>
      <c r="BU57" s="115">
        <f>SUMIFS(Saldos!$I:$I,Saldos!$B:$B,'EEFF 2022'!BU$2,Saldos!$C:$C,'EEFF 2022'!$B$1)</f>
        <v>0</v>
      </c>
      <c r="BV57" s="137"/>
      <c r="BW57" s="137"/>
      <c r="BX57" s="137"/>
      <c r="BY57" s="137"/>
      <c r="BZ57" s="137"/>
      <c r="CB57" s="115">
        <f>SUMIFS(Saldos!$I:$I,Saldos!$B:$B,'EEFF 2022'!CB$2,Saldos!$C:$C,'EEFF 2022'!$B$1)</f>
        <v>500000</v>
      </c>
      <c r="CC57" s="137"/>
      <c r="CD57" s="137"/>
      <c r="CE57" s="137"/>
      <c r="CF57" s="137"/>
      <c r="CG57" s="137"/>
      <c r="CI57" s="115">
        <f>SUMIFS(Saldos!$I:$I,Saldos!$B:$B,'EEFF 2022'!CI$2,Saldos!$C:$C,'EEFF 2022'!$B$1)</f>
        <v>1003052</v>
      </c>
      <c r="CJ57" s="137"/>
      <c r="CK57" s="137"/>
      <c r="CL57" s="137"/>
      <c r="CM57" s="137"/>
      <c r="CN57" s="137"/>
      <c r="CP57" s="137">
        <f t="shared" si="34"/>
        <v>1003052</v>
      </c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</row>
    <row r="58" spans="2:107" x14ac:dyDescent="0.2">
      <c r="B58" s="105" t="s">
        <v>405</v>
      </c>
      <c r="D58" s="136"/>
      <c r="E58" s="136"/>
      <c r="F58" s="136"/>
      <c r="G58" s="133"/>
      <c r="H58" s="133"/>
      <c r="I58" s="133"/>
      <c r="K58" s="138"/>
      <c r="L58" s="138"/>
      <c r="M58" s="138"/>
      <c r="N58" s="133"/>
      <c r="O58" s="133"/>
      <c r="P58" s="115"/>
      <c r="R58" s="133"/>
      <c r="S58" s="133"/>
      <c r="T58" s="133"/>
      <c r="U58" s="133"/>
      <c r="V58" s="133"/>
      <c r="Y58" s="133"/>
      <c r="Z58" s="133"/>
      <c r="AA58" s="133"/>
      <c r="AB58" s="133"/>
      <c r="AC58" s="133"/>
      <c r="AF58" s="133"/>
      <c r="AG58" s="133"/>
      <c r="AH58" s="133"/>
      <c r="AI58" s="133"/>
      <c r="AJ58" s="133"/>
      <c r="AM58" s="133"/>
      <c r="AN58" s="133"/>
      <c r="AO58" s="133"/>
      <c r="AP58" s="133"/>
      <c r="AQ58" s="133"/>
      <c r="AT58" s="133"/>
      <c r="AU58" s="133"/>
      <c r="AV58" s="133"/>
      <c r="AW58" s="133"/>
      <c r="AX58" s="133"/>
      <c r="BA58" s="133"/>
      <c r="BB58" s="133"/>
      <c r="BC58" s="133"/>
      <c r="BD58" s="133"/>
      <c r="BE58" s="133"/>
      <c r="BH58" s="133"/>
      <c r="BI58" s="133"/>
      <c r="BJ58" s="133"/>
      <c r="BK58" s="133"/>
      <c r="BL58" s="133"/>
      <c r="BO58" s="133"/>
      <c r="BP58" s="133"/>
      <c r="BQ58" s="133"/>
      <c r="BR58" s="133"/>
      <c r="BS58" s="133"/>
      <c r="BV58" s="133"/>
      <c r="BW58" s="133"/>
      <c r="BX58" s="133"/>
      <c r="BY58" s="133"/>
      <c r="BZ58" s="133"/>
      <c r="CC58" s="133"/>
      <c r="CD58" s="133"/>
      <c r="CE58" s="133"/>
      <c r="CF58" s="133"/>
      <c r="CG58" s="133"/>
      <c r="CJ58" s="133"/>
      <c r="CK58" s="133"/>
      <c r="CL58" s="133"/>
      <c r="CM58" s="133"/>
      <c r="CN58" s="133"/>
      <c r="CR58" s="139"/>
      <c r="CS58" s="139"/>
      <c r="CT58" s="139"/>
      <c r="CU58" s="139">
        <f>AE58/AE$64</f>
        <v>0</v>
      </c>
      <c r="CV58" s="139">
        <f>AL58/AL$64</f>
        <v>0</v>
      </c>
      <c r="CW58" s="139">
        <f>AS58/AS$64</f>
        <v>0</v>
      </c>
      <c r="CX58" s="139">
        <f>AZ58/AZ$64</f>
        <v>0</v>
      </c>
      <c r="CY58" s="139">
        <f>BG58/BG$64</f>
        <v>0</v>
      </c>
      <c r="CZ58" s="139">
        <f>BN58/BN$64</f>
        <v>0</v>
      </c>
      <c r="DA58" s="139">
        <f>BU58/BU$64</f>
        <v>0</v>
      </c>
      <c r="DB58" s="139">
        <f>CB58/CB$64</f>
        <v>0</v>
      </c>
      <c r="DC58" s="139">
        <f>CI58/CI$64</f>
        <v>0</v>
      </c>
    </row>
    <row r="59" spans="2:107" x14ac:dyDescent="0.2">
      <c r="B59" s="105" t="s">
        <v>406</v>
      </c>
      <c r="D59" s="136"/>
      <c r="E59" s="136"/>
      <c r="F59" s="136"/>
      <c r="G59" s="133"/>
      <c r="H59" s="133"/>
      <c r="I59" s="133"/>
      <c r="K59" s="138"/>
      <c r="L59" s="138"/>
      <c r="M59" s="138"/>
      <c r="N59" s="133"/>
      <c r="O59" s="133"/>
      <c r="P59" s="115"/>
      <c r="R59" s="133"/>
      <c r="S59" s="133"/>
      <c r="T59" s="133"/>
      <c r="U59" s="133"/>
      <c r="V59" s="133"/>
      <c r="Y59" s="133"/>
      <c r="Z59" s="133"/>
      <c r="AA59" s="133"/>
      <c r="AB59" s="133"/>
      <c r="AC59" s="133"/>
      <c r="AF59" s="133"/>
      <c r="AG59" s="133"/>
      <c r="AH59" s="133"/>
      <c r="AI59" s="133"/>
      <c r="AJ59" s="133"/>
      <c r="AM59" s="133"/>
      <c r="AN59" s="133"/>
      <c r="AO59" s="133"/>
      <c r="AP59" s="133"/>
      <c r="AQ59" s="133"/>
      <c r="AT59" s="133"/>
      <c r="AU59" s="133"/>
      <c r="AV59" s="133"/>
      <c r="AW59" s="133"/>
      <c r="AX59" s="133"/>
      <c r="BA59" s="133"/>
      <c r="BB59" s="133"/>
      <c r="BC59" s="133"/>
      <c r="BD59" s="133"/>
      <c r="BE59" s="133"/>
      <c r="BH59" s="133"/>
      <c r="BI59" s="133"/>
      <c r="BJ59" s="133"/>
      <c r="BK59" s="133"/>
      <c r="BL59" s="133"/>
      <c r="BO59" s="133"/>
      <c r="BP59" s="133"/>
      <c r="BQ59" s="133"/>
      <c r="BR59" s="133"/>
      <c r="BS59" s="133"/>
      <c r="BV59" s="133"/>
      <c r="BW59" s="133"/>
      <c r="BX59" s="133"/>
      <c r="BY59" s="133"/>
      <c r="BZ59" s="133"/>
      <c r="CC59" s="133"/>
      <c r="CD59" s="133"/>
      <c r="CE59" s="133"/>
      <c r="CF59" s="133"/>
      <c r="CG59" s="133"/>
      <c r="CJ59" s="133"/>
      <c r="CK59" s="133"/>
      <c r="CL59" s="133"/>
      <c r="CM59" s="133"/>
      <c r="CN59" s="133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</row>
    <row r="60" spans="2:107" ht="16" x14ac:dyDescent="0.2">
      <c r="B60" s="105" t="s">
        <v>407</v>
      </c>
      <c r="D60" s="136"/>
      <c r="E60" s="136"/>
      <c r="F60" s="136"/>
      <c r="G60" s="140"/>
      <c r="H60" s="140"/>
      <c r="I60" s="140"/>
      <c r="K60" s="138"/>
      <c r="L60" s="138"/>
      <c r="M60" s="138"/>
      <c r="N60" s="140"/>
      <c r="O60" s="140"/>
      <c r="P60" s="120"/>
      <c r="R60" s="140"/>
      <c r="S60" s="140"/>
      <c r="T60" s="140"/>
      <c r="U60" s="140"/>
      <c r="V60" s="140"/>
      <c r="Y60" s="140"/>
      <c r="Z60" s="140"/>
      <c r="AA60" s="140"/>
      <c r="AB60" s="140"/>
      <c r="AC60" s="140"/>
      <c r="AF60" s="140"/>
      <c r="AG60" s="140"/>
      <c r="AH60" s="140"/>
      <c r="AI60" s="140"/>
      <c r="AJ60" s="140"/>
      <c r="AM60" s="140"/>
      <c r="AN60" s="140"/>
      <c r="AO60" s="140"/>
      <c r="AP60" s="140"/>
      <c r="AQ60" s="140"/>
      <c r="AT60" s="140"/>
      <c r="AU60" s="140"/>
      <c r="AV60" s="140"/>
      <c r="AW60" s="140"/>
      <c r="AX60" s="140"/>
      <c r="BA60" s="140"/>
      <c r="BB60" s="140"/>
      <c r="BC60" s="140"/>
      <c r="BD60" s="140"/>
      <c r="BE60" s="140"/>
      <c r="BH60" s="140"/>
      <c r="BI60" s="140"/>
      <c r="BJ60" s="140"/>
      <c r="BK60" s="140"/>
      <c r="BL60" s="140"/>
      <c r="BO60" s="140"/>
      <c r="BP60" s="140"/>
      <c r="BQ60" s="140"/>
      <c r="BR60" s="140"/>
      <c r="BS60" s="140"/>
      <c r="BV60" s="140"/>
      <c r="BW60" s="140"/>
      <c r="BX60" s="140"/>
      <c r="BY60" s="140"/>
      <c r="BZ60" s="140"/>
      <c r="CC60" s="140"/>
      <c r="CD60" s="140"/>
      <c r="CE60" s="140"/>
      <c r="CF60" s="140"/>
      <c r="CG60" s="140"/>
      <c r="CJ60" s="140"/>
      <c r="CK60" s="140"/>
      <c r="CL60" s="140"/>
      <c r="CM60" s="140"/>
      <c r="CN60" s="140"/>
      <c r="CR60" s="139"/>
      <c r="CS60" s="139"/>
      <c r="CT60" s="139"/>
      <c r="CU60" s="139">
        <f>AE60/AE$64</f>
        <v>0</v>
      </c>
      <c r="CV60" s="139">
        <f>AL60/AL$64</f>
        <v>0</v>
      </c>
      <c r="CW60" s="139">
        <f>AS60/AS$64</f>
        <v>0</v>
      </c>
      <c r="CX60" s="139">
        <f>AZ60/AZ$64</f>
        <v>0</v>
      </c>
      <c r="CY60" s="139">
        <f>BG60/BG$64</f>
        <v>0</v>
      </c>
      <c r="CZ60" s="139">
        <f>BN60/BN$64</f>
        <v>0</v>
      </c>
      <c r="DA60" s="139">
        <f t="shared" ref="DA60:DA80" si="35">BU60/BU$64</f>
        <v>0</v>
      </c>
      <c r="DB60" s="139">
        <f t="shared" ref="DB60:DB80" si="36">CB60/CB$64</f>
        <v>0</v>
      </c>
      <c r="DC60" s="139">
        <f t="shared" ref="DC60:DC80" si="37">CI60/CI$64</f>
        <v>0</v>
      </c>
    </row>
    <row r="61" spans="2:107" ht="16" x14ac:dyDescent="0.2">
      <c r="B61" s="141" t="s">
        <v>408</v>
      </c>
      <c r="C61" s="207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>
        <f>SUM(X58:X60)+X51</f>
        <v>7634668.5700000003</v>
      </c>
      <c r="Y61" s="142"/>
      <c r="Z61" s="142"/>
      <c r="AA61" s="142"/>
      <c r="AB61" s="142"/>
      <c r="AC61" s="142"/>
      <c r="AD61" s="142"/>
      <c r="AE61" s="142">
        <f>SUM(AE58:AE60)+AE51</f>
        <v>7332270.5199999996</v>
      </c>
      <c r="AF61" s="142"/>
      <c r="AG61" s="142"/>
      <c r="AH61" s="142"/>
      <c r="AI61" s="142"/>
      <c r="AJ61" s="142"/>
      <c r="AK61" s="142"/>
      <c r="AL61" s="142">
        <f>SUM(AL58:AL60)+AL51</f>
        <v>10227535.1</v>
      </c>
      <c r="AM61" s="142"/>
      <c r="AN61" s="142"/>
      <c r="AO61" s="142"/>
      <c r="AP61" s="142"/>
      <c r="AQ61" s="142"/>
      <c r="AR61" s="142"/>
      <c r="AS61" s="142">
        <f>SUM(AS58:AS60)+AS51</f>
        <v>11061047.190000001</v>
      </c>
      <c r="AT61" s="142"/>
      <c r="AU61" s="142"/>
      <c r="AV61" s="142"/>
      <c r="AW61" s="142"/>
      <c r="AX61" s="142"/>
      <c r="AY61" s="142"/>
      <c r="AZ61" s="142">
        <f>SUM(AZ58:AZ60)+AZ51</f>
        <v>13382607.76</v>
      </c>
      <c r="BA61" s="142"/>
      <c r="BB61" s="142"/>
      <c r="BC61" s="142"/>
      <c r="BD61" s="142"/>
      <c r="BE61" s="142"/>
      <c r="BF61" s="142"/>
      <c r="BG61" s="142">
        <f>SUM(BG58:BG60)+BG51</f>
        <v>13879874.75</v>
      </c>
      <c r="BH61" s="142"/>
      <c r="BI61" s="142"/>
      <c r="BJ61" s="142"/>
      <c r="BK61" s="142"/>
      <c r="BL61" s="142"/>
      <c r="BM61" s="142"/>
      <c r="BN61" s="142">
        <f>SUM(BN58:BN60)+BN51</f>
        <v>12642799.76</v>
      </c>
      <c r="BO61" s="142"/>
      <c r="BP61" s="142"/>
      <c r="BQ61" s="142"/>
      <c r="BR61" s="142"/>
      <c r="BS61" s="142"/>
      <c r="BT61" s="142"/>
      <c r="BU61" s="142">
        <f>SUM(BU58:BU60)+BU51</f>
        <v>15567534.810000001</v>
      </c>
      <c r="BV61" s="142"/>
      <c r="BW61" s="142"/>
      <c r="BX61" s="142"/>
      <c r="BY61" s="142"/>
      <c r="BZ61" s="142"/>
      <c r="CA61" s="142"/>
      <c r="CB61" s="142">
        <f>SUM(CB58:CB60)+CB51</f>
        <v>18044469.939999998</v>
      </c>
      <c r="CC61" s="142"/>
      <c r="CD61" s="142"/>
      <c r="CE61" s="142"/>
      <c r="CF61" s="142"/>
      <c r="CG61" s="142"/>
      <c r="CH61" s="142"/>
      <c r="CI61" s="142">
        <f>SUM(CI58:CI60)+CI51</f>
        <v>19568944.609999999</v>
      </c>
      <c r="CJ61" s="142"/>
      <c r="CK61" s="142"/>
      <c r="CL61" s="142"/>
      <c r="CM61" s="142"/>
      <c r="CN61" s="142"/>
      <c r="CO61" s="142"/>
      <c r="CP61" s="142">
        <f>SUM(CP58:CP60)+CP51</f>
        <v>19568944.609999999</v>
      </c>
      <c r="CR61" s="145"/>
      <c r="CS61" s="145"/>
      <c r="CT61" s="145"/>
      <c r="CU61" s="145">
        <f t="shared" ref="CU61:CU80" si="38">AE61/AE$64</f>
        <v>3.8732154699464834E-3</v>
      </c>
      <c r="CV61" s="145">
        <f t="shared" ref="CV61:CV80" si="39">AL61/AL$64</f>
        <v>5.394366550311662E-3</v>
      </c>
      <c r="CW61" s="145">
        <f t="shared" ref="CW61:CW80" si="40">AS61/AS$64</f>
        <v>5.8314269001977373E-3</v>
      </c>
      <c r="CX61" s="145">
        <f t="shared" ref="CX61:CX80" si="41">AZ61/AZ$64</f>
        <v>7.0467378661834834E-3</v>
      </c>
      <c r="CY61" s="145">
        <f t="shared" ref="CY61:CY80" si="42">BG61/BG$64</f>
        <v>7.306665290686346E-3</v>
      </c>
      <c r="CZ61" s="145">
        <f t="shared" ref="CZ61:CZ80" si="43">BN61/BN$64</f>
        <v>6.6597793482033032E-3</v>
      </c>
      <c r="DA61" s="145">
        <f t="shared" si="35"/>
        <v>8.1878117079367697E-3</v>
      </c>
      <c r="DB61" s="145">
        <f t="shared" si="36"/>
        <v>9.4782185706297414E-3</v>
      </c>
      <c r="DC61" s="145">
        <f t="shared" si="37"/>
        <v>1.0270754949548839E-2</v>
      </c>
    </row>
    <row r="62" spans="2:107" x14ac:dyDescent="0.2">
      <c r="B62" s="147" t="s">
        <v>409</v>
      </c>
      <c r="C62" s="20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>
        <f>Activos!$H$129</f>
        <v>269047800</v>
      </c>
      <c r="S62" s="148">
        <f>Activos!$H$110</f>
        <v>993789999.99999988</v>
      </c>
      <c r="T62" s="148">
        <f>Activos!$H$34</f>
        <v>239852199.99999997</v>
      </c>
      <c r="U62" s="148">
        <f>Activos!$H$91</f>
        <v>56763000</v>
      </c>
      <c r="V62" s="148">
        <f>Activos!$H$53</f>
        <v>215607000</v>
      </c>
      <c r="W62" s="148">
        <f>Activos!$H$72</f>
        <v>110678377.59999999</v>
      </c>
      <c r="X62" s="148">
        <f>SUM(R62:W62)</f>
        <v>1885738377.5999999</v>
      </c>
      <c r="Y62" s="148">
        <f>Activos!$H$129</f>
        <v>269047800</v>
      </c>
      <c r="Z62" s="148">
        <f>Activos!$H$110</f>
        <v>993789999.99999988</v>
      </c>
      <c r="AA62" s="148">
        <f>Activos!$H$34</f>
        <v>239852199.99999997</v>
      </c>
      <c r="AB62" s="148">
        <f>Activos!$H$91</f>
        <v>56763000</v>
      </c>
      <c r="AC62" s="148">
        <f>Activos!$H$53</f>
        <v>215607000</v>
      </c>
      <c r="AD62" s="148">
        <f>Activos!$H$72</f>
        <v>110678377.59999999</v>
      </c>
      <c r="AE62" s="148">
        <f>SUM(Y62:AD62)</f>
        <v>1885738377.5999999</v>
      </c>
      <c r="AF62" s="148">
        <f>Activos!$H$129</f>
        <v>269047800</v>
      </c>
      <c r="AG62" s="148">
        <f>Activos!$H$110</f>
        <v>993789999.99999988</v>
      </c>
      <c r="AH62" s="148">
        <f>Activos!$H$34</f>
        <v>239852199.99999997</v>
      </c>
      <c r="AI62" s="148">
        <f>Activos!$H$91</f>
        <v>56763000</v>
      </c>
      <c r="AJ62" s="148">
        <f>Activos!$H$53</f>
        <v>215607000</v>
      </c>
      <c r="AK62" s="148">
        <f>Activos!$H$72</f>
        <v>110678377.59999999</v>
      </c>
      <c r="AL62" s="148">
        <f>SUM(AF62:AK62)</f>
        <v>1885738377.5999999</v>
      </c>
      <c r="AM62" s="148">
        <f>Activos!$H$129</f>
        <v>269047800</v>
      </c>
      <c r="AN62" s="148">
        <f>Activos!$H$110</f>
        <v>993789999.99999988</v>
      </c>
      <c r="AO62" s="148">
        <f>Activos!$H$34</f>
        <v>239852199.99999997</v>
      </c>
      <c r="AP62" s="148">
        <f>Activos!$H$91</f>
        <v>56763000</v>
      </c>
      <c r="AQ62" s="148">
        <f>Activos!$H$53</f>
        <v>215607000</v>
      </c>
      <c r="AR62" s="148">
        <f>Activos!$H$72</f>
        <v>110678377.59999999</v>
      </c>
      <c r="AS62" s="148">
        <f>SUM(AM62:AR62)</f>
        <v>1885738377.5999999</v>
      </c>
      <c r="AT62" s="148">
        <f>Activos!$H$129</f>
        <v>269047800</v>
      </c>
      <c r="AU62" s="148">
        <f>Activos!$H$110</f>
        <v>993789999.99999988</v>
      </c>
      <c r="AV62" s="148">
        <f>Activos!$H$34</f>
        <v>239852199.99999997</v>
      </c>
      <c r="AW62" s="148">
        <f>Activos!$H$91</f>
        <v>56763000</v>
      </c>
      <c r="AX62" s="148">
        <f>Activos!$H$53</f>
        <v>215607000</v>
      </c>
      <c r="AY62" s="148">
        <f>Activos!$H$72</f>
        <v>110678377.59999999</v>
      </c>
      <c r="AZ62" s="148">
        <f>SUM(AT62:AY62)</f>
        <v>1885738377.5999999</v>
      </c>
      <c r="BA62" s="148">
        <f>Activos!$H$129</f>
        <v>269047800</v>
      </c>
      <c r="BB62" s="148">
        <f>Activos!$H$110</f>
        <v>993789999.99999988</v>
      </c>
      <c r="BC62" s="148">
        <f>Activos!$H$34</f>
        <v>239852199.99999997</v>
      </c>
      <c r="BD62" s="148">
        <f>Activos!$H$91</f>
        <v>56763000</v>
      </c>
      <c r="BE62" s="148">
        <f>Activos!$H$53</f>
        <v>215607000</v>
      </c>
      <c r="BF62" s="148">
        <f>Activos!$H$72</f>
        <v>110678377.59999999</v>
      </c>
      <c r="BG62" s="148">
        <f>SUM(BA62:BF62)</f>
        <v>1885738377.5999999</v>
      </c>
      <c r="BH62" s="148">
        <f>Activos!$H$129</f>
        <v>269047800</v>
      </c>
      <c r="BI62" s="148">
        <f>Activos!$H$110</f>
        <v>993789999.99999988</v>
      </c>
      <c r="BJ62" s="148">
        <f>Activos!$H$34</f>
        <v>239852199.99999997</v>
      </c>
      <c r="BK62" s="148">
        <f>Activos!$H$91</f>
        <v>56763000</v>
      </c>
      <c r="BL62" s="148">
        <f>Activos!$H$53</f>
        <v>215607000</v>
      </c>
      <c r="BM62" s="148">
        <f>Activos!$H$72</f>
        <v>110678377.59999999</v>
      </c>
      <c r="BN62" s="148">
        <f>SUM(BH62:BM62)</f>
        <v>1885738377.5999999</v>
      </c>
      <c r="BO62" s="148">
        <f>Activos!$H$129</f>
        <v>269047800</v>
      </c>
      <c r="BP62" s="148">
        <f>Activos!$H$110</f>
        <v>993789999.99999988</v>
      </c>
      <c r="BQ62" s="148">
        <f>Activos!$H$34</f>
        <v>239852199.99999997</v>
      </c>
      <c r="BR62" s="148">
        <f>Activos!$H$91</f>
        <v>56763000</v>
      </c>
      <c r="BS62" s="148">
        <f>Activos!$H$53</f>
        <v>215607000</v>
      </c>
      <c r="BT62" s="148">
        <f>Activos!$H$72</f>
        <v>110678377.59999999</v>
      </c>
      <c r="BU62" s="148">
        <f>SUM(BO62:BT62)</f>
        <v>1885738377.5999999</v>
      </c>
      <c r="BV62" s="148">
        <f>Activos!$H$129</f>
        <v>269047800</v>
      </c>
      <c r="BW62" s="148">
        <f>Activos!$H$110</f>
        <v>993789999.99999988</v>
      </c>
      <c r="BX62" s="148">
        <f>Activos!$H$34</f>
        <v>239852199.99999997</v>
      </c>
      <c r="BY62" s="148">
        <f>Activos!$H$91</f>
        <v>56763000</v>
      </c>
      <c r="BZ62" s="148">
        <f>Activos!$H$53</f>
        <v>215607000</v>
      </c>
      <c r="CA62" s="148">
        <f>Activos!$H$72</f>
        <v>110678377.59999999</v>
      </c>
      <c r="CB62" s="148">
        <f>SUM(BV62:CA62)</f>
        <v>1885738377.5999999</v>
      </c>
      <c r="CC62" s="148">
        <f>Activos!$H$129</f>
        <v>269047800</v>
      </c>
      <c r="CD62" s="148">
        <f>Activos!$H$110</f>
        <v>993789999.99999988</v>
      </c>
      <c r="CE62" s="148">
        <f>Activos!$H$34</f>
        <v>239852199.99999997</v>
      </c>
      <c r="CF62" s="148">
        <f>Activos!$H$91</f>
        <v>56763000</v>
      </c>
      <c r="CG62" s="148">
        <f>Activos!$H$53</f>
        <v>215607000</v>
      </c>
      <c r="CH62" s="148">
        <f>Activos!$H$72</f>
        <v>110678377.59999999</v>
      </c>
      <c r="CI62" s="148">
        <f>SUM(CC62:CH62)</f>
        <v>1885738377.5999999</v>
      </c>
      <c r="CJ62" s="148">
        <f>Activos!$H$129</f>
        <v>269047800</v>
      </c>
      <c r="CK62" s="148">
        <f>Activos!$H$110</f>
        <v>993789999.99999988</v>
      </c>
      <c r="CL62" s="148">
        <f>Activos!$H$34</f>
        <v>239852199.99999997</v>
      </c>
      <c r="CM62" s="148">
        <f>Activos!$H$91</f>
        <v>56763000</v>
      </c>
      <c r="CN62" s="148">
        <f>Activos!$H$53</f>
        <v>215607000</v>
      </c>
      <c r="CO62" s="148">
        <f>Activos!$H$72</f>
        <v>110678377.59999999</v>
      </c>
      <c r="CP62" s="148">
        <f>CI62</f>
        <v>1885738377.5999999</v>
      </c>
      <c r="CR62" s="149"/>
      <c r="CS62" s="149"/>
      <c r="CT62" s="149"/>
      <c r="CU62" s="149">
        <f t="shared" si="38"/>
        <v>0.99612678453005354</v>
      </c>
      <c r="CV62" s="149">
        <f t="shared" si="39"/>
        <v>0.99460563344968844</v>
      </c>
      <c r="CW62" s="149">
        <f t="shared" si="40"/>
        <v>0.99416857309980222</v>
      </c>
      <c r="CX62" s="149">
        <f t="shared" si="41"/>
        <v>0.99295326213381652</v>
      </c>
      <c r="CY62" s="149">
        <f t="shared" si="42"/>
        <v>0.99269333470931365</v>
      </c>
      <c r="CZ62" s="149">
        <f t="shared" si="43"/>
        <v>0.99334022065179672</v>
      </c>
      <c r="DA62" s="149">
        <f t="shared" si="35"/>
        <v>0.9918121882920633</v>
      </c>
      <c r="DB62" s="149">
        <f t="shared" si="36"/>
        <v>0.9905217814293702</v>
      </c>
      <c r="DC62" s="149">
        <f t="shared" si="37"/>
        <v>0.98972924505045123</v>
      </c>
    </row>
    <row r="63" spans="2:107" ht="16" x14ac:dyDescent="0.2">
      <c r="B63" s="141" t="s">
        <v>410</v>
      </c>
      <c r="C63" s="207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>
        <f>X62</f>
        <v>1885738377.5999999</v>
      </c>
      <c r="Y63" s="142"/>
      <c r="Z63" s="142"/>
      <c r="AA63" s="142"/>
      <c r="AB63" s="142"/>
      <c r="AC63" s="142"/>
      <c r="AD63" s="142"/>
      <c r="AE63" s="142">
        <f>AE62</f>
        <v>1885738377.5999999</v>
      </c>
      <c r="AF63" s="143"/>
      <c r="AG63" s="143"/>
      <c r="AH63" s="143"/>
      <c r="AI63" s="143"/>
      <c r="AJ63" s="143"/>
      <c r="AK63" s="143"/>
      <c r="AL63" s="142">
        <f>AL62</f>
        <v>1885738377.5999999</v>
      </c>
      <c r="AM63" s="142"/>
      <c r="AN63" s="142"/>
      <c r="AO63" s="142"/>
      <c r="AP63" s="142"/>
      <c r="AQ63" s="142"/>
      <c r="AR63" s="142"/>
      <c r="AS63" s="142">
        <f>AS62</f>
        <v>1885738377.5999999</v>
      </c>
      <c r="AT63" s="143"/>
      <c r="AU63" s="143"/>
      <c r="AV63" s="143"/>
      <c r="AW63" s="143"/>
      <c r="AX63" s="143"/>
      <c r="AY63" s="143"/>
      <c r="AZ63" s="142">
        <f>AZ62</f>
        <v>1885738377.5999999</v>
      </c>
      <c r="BA63" s="143"/>
      <c r="BB63" s="143"/>
      <c r="BC63" s="143"/>
      <c r="BD63" s="143"/>
      <c r="BE63" s="143"/>
      <c r="BF63" s="143"/>
      <c r="BG63" s="142">
        <f>BG62</f>
        <v>1885738377.5999999</v>
      </c>
      <c r="BH63" s="143"/>
      <c r="BI63" s="143"/>
      <c r="BJ63" s="143"/>
      <c r="BK63" s="143"/>
      <c r="BL63" s="143"/>
      <c r="BM63" s="143"/>
      <c r="BN63" s="142">
        <f>BN62</f>
        <v>1885738377.5999999</v>
      </c>
      <c r="BO63" s="143"/>
      <c r="BP63" s="143"/>
      <c r="BQ63" s="143"/>
      <c r="BR63" s="143"/>
      <c r="BS63" s="143"/>
      <c r="BT63" s="143"/>
      <c r="BU63" s="142">
        <f>BU62</f>
        <v>1885738377.5999999</v>
      </c>
      <c r="BV63" s="143"/>
      <c r="BW63" s="143"/>
      <c r="BX63" s="143"/>
      <c r="BY63" s="143"/>
      <c r="BZ63" s="143"/>
      <c r="CA63" s="143"/>
      <c r="CB63" s="142">
        <f>CB62</f>
        <v>1885738377.5999999</v>
      </c>
      <c r="CC63" s="142"/>
      <c r="CD63" s="142"/>
      <c r="CE63" s="142"/>
      <c r="CF63" s="142"/>
      <c r="CG63" s="142"/>
      <c r="CH63" s="143"/>
      <c r="CI63" s="142">
        <f>CI62</f>
        <v>1885738377.5999999</v>
      </c>
      <c r="CJ63" s="142"/>
      <c r="CK63" s="142"/>
      <c r="CL63" s="142"/>
      <c r="CM63" s="142"/>
      <c r="CN63" s="142"/>
      <c r="CO63" s="142"/>
      <c r="CP63" s="142">
        <f>CP62</f>
        <v>1885738377.5999999</v>
      </c>
      <c r="CR63" s="145"/>
      <c r="CS63" s="145"/>
      <c r="CT63" s="145"/>
      <c r="CU63" s="145">
        <f t="shared" si="38"/>
        <v>0.99612678453005354</v>
      </c>
      <c r="CV63" s="145">
        <f t="shared" si="39"/>
        <v>0.99460563344968844</v>
      </c>
      <c r="CW63" s="145">
        <f t="shared" si="40"/>
        <v>0.99416857309980222</v>
      </c>
      <c r="CX63" s="145">
        <f t="shared" si="41"/>
        <v>0.99295326213381652</v>
      </c>
      <c r="CY63" s="145">
        <f t="shared" si="42"/>
        <v>0.99269333470931365</v>
      </c>
      <c r="CZ63" s="145">
        <f t="shared" si="43"/>
        <v>0.99334022065179672</v>
      </c>
      <c r="DA63" s="145">
        <f t="shared" si="35"/>
        <v>0.9918121882920633</v>
      </c>
      <c r="DB63" s="145">
        <f t="shared" si="36"/>
        <v>0.9905217814293702</v>
      </c>
      <c r="DC63" s="145">
        <f t="shared" si="37"/>
        <v>0.98972924505045123</v>
      </c>
    </row>
    <row r="64" spans="2:107" ht="16" x14ac:dyDescent="0.2">
      <c r="B64" s="150" t="s">
        <v>411</v>
      </c>
      <c r="C64" s="209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>
        <f>X61+X63</f>
        <v>1893373046.1699998</v>
      </c>
      <c r="Y64" s="151"/>
      <c r="Z64" s="151"/>
      <c r="AA64" s="151"/>
      <c r="AB64" s="151"/>
      <c r="AC64" s="151"/>
      <c r="AD64" s="151"/>
      <c r="AE64" s="151">
        <f>AE61+AE63</f>
        <v>1893070648.1199999</v>
      </c>
      <c r="AF64" s="152"/>
      <c r="AG64" s="152"/>
      <c r="AH64" s="152"/>
      <c r="AI64" s="152"/>
      <c r="AJ64" s="152"/>
      <c r="AK64" s="152"/>
      <c r="AL64" s="151">
        <f>AL61+AL63</f>
        <v>1895965912.6999998</v>
      </c>
      <c r="AM64" s="151"/>
      <c r="AN64" s="151"/>
      <c r="AO64" s="151"/>
      <c r="AP64" s="151"/>
      <c r="AQ64" s="151"/>
      <c r="AR64" s="151"/>
      <c r="AS64" s="151">
        <f>AS61+AS63</f>
        <v>1896799424.79</v>
      </c>
      <c r="AT64" s="152"/>
      <c r="AU64" s="152"/>
      <c r="AV64" s="152"/>
      <c r="AW64" s="152"/>
      <c r="AX64" s="152"/>
      <c r="AY64" s="152"/>
      <c r="AZ64" s="151">
        <f>AZ61+AZ63</f>
        <v>1899120985.3599999</v>
      </c>
      <c r="BA64" s="152"/>
      <c r="BB64" s="152"/>
      <c r="BC64" s="152"/>
      <c r="BD64" s="152"/>
      <c r="BE64" s="152"/>
      <c r="BF64" s="152"/>
      <c r="BG64" s="151">
        <f>BG61+BG63</f>
        <v>1899618252.3499999</v>
      </c>
      <c r="BH64" s="152"/>
      <c r="BI64" s="152"/>
      <c r="BJ64" s="152"/>
      <c r="BK64" s="152"/>
      <c r="BL64" s="152"/>
      <c r="BM64" s="152"/>
      <c r="BN64" s="151">
        <f>BN61+BN63</f>
        <v>1898381177.3599999</v>
      </c>
      <c r="BO64" s="152"/>
      <c r="BP64" s="152"/>
      <c r="BQ64" s="152"/>
      <c r="BR64" s="152"/>
      <c r="BS64" s="152"/>
      <c r="BT64" s="152"/>
      <c r="BU64" s="151">
        <f>BU61+BU63</f>
        <v>1901305912.4099998</v>
      </c>
      <c r="BV64" s="152"/>
      <c r="BW64" s="152"/>
      <c r="BX64" s="152"/>
      <c r="BY64" s="152"/>
      <c r="BZ64" s="152"/>
      <c r="CA64" s="152"/>
      <c r="CB64" s="151">
        <f>CB61+CB63</f>
        <v>1903782847.54</v>
      </c>
      <c r="CC64" s="151"/>
      <c r="CD64" s="151"/>
      <c r="CE64" s="151"/>
      <c r="CF64" s="151"/>
      <c r="CG64" s="151"/>
      <c r="CH64" s="152"/>
      <c r="CI64" s="151">
        <f>CI61+CI63</f>
        <v>1905307322.2099998</v>
      </c>
      <c r="CJ64" s="151"/>
      <c r="CK64" s="151"/>
      <c r="CL64" s="151"/>
      <c r="CM64" s="151"/>
      <c r="CN64" s="151"/>
      <c r="CO64" s="151"/>
      <c r="CP64" s="151">
        <f>CP61+CP63</f>
        <v>1905307322.2099998</v>
      </c>
      <c r="CR64" s="153"/>
      <c r="CS64" s="153"/>
      <c r="CT64" s="153"/>
      <c r="CU64" s="153">
        <f t="shared" si="38"/>
        <v>1</v>
      </c>
      <c r="CV64" s="153">
        <f t="shared" si="39"/>
        <v>1</v>
      </c>
      <c r="CW64" s="153">
        <f t="shared" si="40"/>
        <v>1</v>
      </c>
      <c r="CX64" s="153">
        <f t="shared" si="41"/>
        <v>1</v>
      </c>
      <c r="CY64" s="153">
        <f t="shared" si="42"/>
        <v>1</v>
      </c>
      <c r="CZ64" s="153">
        <f t="shared" si="43"/>
        <v>1</v>
      </c>
      <c r="DA64" s="153">
        <f t="shared" si="35"/>
        <v>1</v>
      </c>
      <c r="DB64" s="153">
        <f t="shared" si="36"/>
        <v>1</v>
      </c>
      <c r="DC64" s="153">
        <f t="shared" si="37"/>
        <v>1</v>
      </c>
    </row>
    <row r="65" spans="2:107" x14ac:dyDescent="0.2">
      <c r="B65" s="105" t="s">
        <v>412</v>
      </c>
      <c r="D65" s="134"/>
      <c r="E65" s="134"/>
      <c r="F65" s="132"/>
      <c r="G65" s="133"/>
      <c r="H65" s="133"/>
      <c r="I65" s="133"/>
      <c r="K65" s="134"/>
      <c r="L65" s="134"/>
      <c r="M65" s="134"/>
      <c r="N65" s="133"/>
      <c r="O65" s="133"/>
      <c r="P65" s="133"/>
      <c r="R65" s="133"/>
      <c r="S65" s="133"/>
      <c r="T65" s="133"/>
      <c r="U65" s="133"/>
      <c r="V65" s="133"/>
      <c r="Y65" s="133"/>
      <c r="Z65" s="133"/>
      <c r="AA65" s="133"/>
      <c r="AB65" s="133"/>
      <c r="AC65" s="133"/>
      <c r="AF65" s="133"/>
      <c r="AG65" s="133"/>
      <c r="AH65" s="133"/>
      <c r="AI65" s="133"/>
      <c r="AJ65" s="133"/>
      <c r="AM65" s="133"/>
      <c r="AN65" s="133"/>
      <c r="AO65" s="133"/>
      <c r="AP65" s="133"/>
      <c r="AQ65" s="133"/>
      <c r="AT65" s="133"/>
      <c r="AU65" s="133"/>
      <c r="AV65" s="133"/>
      <c r="AW65" s="133"/>
      <c r="AX65" s="133"/>
      <c r="BA65" s="133"/>
      <c r="BB65" s="133"/>
      <c r="BC65" s="133"/>
      <c r="BD65" s="133"/>
      <c r="BE65" s="133"/>
      <c r="BH65" s="133"/>
      <c r="BI65" s="133"/>
      <c r="BJ65" s="133"/>
      <c r="BK65" s="133"/>
      <c r="BL65" s="133"/>
      <c r="BO65" s="133"/>
      <c r="BP65" s="133"/>
      <c r="BQ65" s="133"/>
      <c r="BR65" s="133"/>
      <c r="BS65" s="133"/>
      <c r="BV65" s="133"/>
      <c r="BW65" s="133"/>
      <c r="BX65" s="133"/>
      <c r="BY65" s="133"/>
      <c r="BZ65" s="133"/>
      <c r="CC65" s="133"/>
      <c r="CD65" s="133"/>
      <c r="CE65" s="133"/>
      <c r="CF65" s="133"/>
      <c r="CG65" s="133"/>
      <c r="CJ65" s="133"/>
      <c r="CK65" s="133"/>
      <c r="CL65" s="133"/>
      <c r="CM65" s="133"/>
      <c r="CN65" s="133"/>
      <c r="CR65" s="139"/>
      <c r="CS65" s="139"/>
      <c r="CT65" s="139"/>
      <c r="CU65" s="139">
        <f t="shared" si="38"/>
        <v>0</v>
      </c>
      <c r="CV65" s="139">
        <f t="shared" si="39"/>
        <v>0</v>
      </c>
      <c r="CW65" s="139">
        <f t="shared" si="40"/>
        <v>0</v>
      </c>
      <c r="CX65" s="139">
        <f t="shared" si="41"/>
        <v>0</v>
      </c>
      <c r="CY65" s="139">
        <f t="shared" si="42"/>
        <v>0</v>
      </c>
      <c r="CZ65" s="139">
        <f t="shared" si="43"/>
        <v>0</v>
      </c>
      <c r="DA65" s="139">
        <f t="shared" si="35"/>
        <v>0</v>
      </c>
      <c r="DB65" s="139">
        <f t="shared" si="36"/>
        <v>0</v>
      </c>
      <c r="DC65" s="139">
        <f t="shared" si="37"/>
        <v>0</v>
      </c>
    </row>
    <row r="66" spans="2:107" x14ac:dyDescent="0.2">
      <c r="B66" s="105" t="s">
        <v>413</v>
      </c>
      <c r="D66" s="134"/>
      <c r="E66" s="134"/>
      <c r="F66" s="132"/>
      <c r="G66" s="133"/>
      <c r="H66" s="133"/>
      <c r="I66" s="133"/>
      <c r="K66" s="134"/>
      <c r="L66" s="134"/>
      <c r="M66" s="134"/>
      <c r="N66" s="133"/>
      <c r="O66" s="133"/>
      <c r="P66" s="133"/>
      <c r="R66" s="133"/>
      <c r="S66" s="133"/>
      <c r="T66" s="133"/>
      <c r="U66" s="133"/>
      <c r="V66" s="133"/>
      <c r="Y66" s="133"/>
      <c r="Z66" s="133"/>
      <c r="AA66" s="133"/>
      <c r="AB66" s="133"/>
      <c r="AC66" s="133"/>
      <c r="AF66" s="133"/>
      <c r="AG66" s="133"/>
      <c r="AH66" s="133"/>
      <c r="AI66" s="133"/>
      <c r="AJ66" s="133"/>
      <c r="AM66" s="133"/>
      <c r="AN66" s="133"/>
      <c r="AO66" s="133"/>
      <c r="AP66" s="133"/>
      <c r="AQ66" s="133"/>
      <c r="AT66" s="133"/>
      <c r="AU66" s="133"/>
      <c r="AV66" s="133"/>
      <c r="AW66" s="133"/>
      <c r="AX66" s="133"/>
      <c r="BA66" s="133"/>
      <c r="BB66" s="133"/>
      <c r="BC66" s="133"/>
      <c r="BD66" s="133"/>
      <c r="BE66" s="133"/>
      <c r="BH66" s="133"/>
      <c r="BI66" s="133"/>
      <c r="BJ66" s="133"/>
      <c r="BK66" s="133"/>
      <c r="BL66" s="133"/>
      <c r="BO66" s="133"/>
      <c r="BP66" s="133"/>
      <c r="BQ66" s="133"/>
      <c r="BR66" s="133"/>
      <c r="BS66" s="133"/>
      <c r="BV66" s="133"/>
      <c r="BW66" s="133"/>
      <c r="BX66" s="133"/>
      <c r="BY66" s="133"/>
      <c r="BZ66" s="133"/>
      <c r="CC66" s="133"/>
      <c r="CD66" s="133"/>
      <c r="CE66" s="133"/>
      <c r="CF66" s="133"/>
      <c r="CG66" s="133"/>
      <c r="CJ66" s="133"/>
      <c r="CK66" s="133"/>
      <c r="CL66" s="133"/>
      <c r="CM66" s="133"/>
      <c r="CN66" s="133"/>
      <c r="CR66" s="139"/>
      <c r="CS66" s="139"/>
      <c r="CT66" s="139"/>
      <c r="CU66" s="139">
        <f t="shared" si="38"/>
        <v>0</v>
      </c>
      <c r="CV66" s="139">
        <f t="shared" si="39"/>
        <v>0</v>
      </c>
      <c r="CW66" s="139">
        <f t="shared" si="40"/>
        <v>0</v>
      </c>
      <c r="CX66" s="139">
        <f t="shared" si="41"/>
        <v>0</v>
      </c>
      <c r="CY66" s="139">
        <f t="shared" si="42"/>
        <v>0</v>
      </c>
      <c r="CZ66" s="139">
        <f t="shared" si="43"/>
        <v>0</v>
      </c>
      <c r="DA66" s="139">
        <f t="shared" si="35"/>
        <v>0</v>
      </c>
      <c r="DB66" s="139">
        <f t="shared" si="36"/>
        <v>0</v>
      </c>
      <c r="DC66" s="139">
        <f t="shared" si="37"/>
        <v>0</v>
      </c>
    </row>
    <row r="67" spans="2:107" x14ac:dyDescent="0.2">
      <c r="B67" s="105" t="s">
        <v>414</v>
      </c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3"/>
      <c r="S67" s="133"/>
      <c r="T67" s="133"/>
      <c r="U67" s="133"/>
      <c r="V67" s="133"/>
      <c r="Y67" s="133"/>
      <c r="Z67" s="133"/>
      <c r="AA67" s="133"/>
      <c r="AB67" s="133"/>
      <c r="AC67" s="133"/>
      <c r="AF67" s="133"/>
      <c r="AG67" s="133"/>
      <c r="AH67" s="133"/>
      <c r="AI67" s="133"/>
      <c r="AJ67" s="133"/>
      <c r="AM67" s="133"/>
      <c r="AN67" s="133"/>
      <c r="AO67" s="133"/>
      <c r="AP67" s="133"/>
      <c r="AQ67" s="133"/>
      <c r="AT67" s="133"/>
      <c r="AU67" s="133"/>
      <c r="AV67" s="133"/>
      <c r="AW67" s="133"/>
      <c r="AX67" s="133"/>
      <c r="BA67" s="133"/>
      <c r="BB67" s="133"/>
      <c r="BC67" s="133"/>
      <c r="BD67" s="133"/>
      <c r="BE67" s="133"/>
      <c r="BH67" s="133"/>
      <c r="BI67" s="133"/>
      <c r="BJ67" s="133"/>
      <c r="BK67" s="133"/>
      <c r="BL67" s="133"/>
      <c r="BO67" s="133"/>
      <c r="BP67" s="133"/>
      <c r="BQ67" s="133"/>
      <c r="BR67" s="133"/>
      <c r="BS67" s="133"/>
      <c r="BV67" s="133"/>
      <c r="BW67" s="133"/>
      <c r="BX67" s="133"/>
      <c r="BY67" s="133"/>
      <c r="BZ67" s="133"/>
      <c r="CC67" s="133"/>
      <c r="CD67" s="133"/>
      <c r="CE67" s="133"/>
      <c r="CF67" s="133"/>
      <c r="CG67" s="133"/>
      <c r="CJ67" s="133"/>
      <c r="CK67" s="133"/>
      <c r="CL67" s="133"/>
      <c r="CM67" s="133"/>
      <c r="CN67" s="133"/>
      <c r="CQ67" s="154"/>
      <c r="CR67" s="139"/>
      <c r="CS67" s="139"/>
      <c r="CT67" s="139"/>
      <c r="CU67" s="139">
        <f t="shared" si="38"/>
        <v>0</v>
      </c>
      <c r="CV67" s="139">
        <f t="shared" si="39"/>
        <v>0</v>
      </c>
      <c r="CW67" s="139">
        <f t="shared" si="40"/>
        <v>0</v>
      </c>
      <c r="CX67" s="139">
        <f t="shared" si="41"/>
        <v>0</v>
      </c>
      <c r="CY67" s="139">
        <f t="shared" si="42"/>
        <v>0</v>
      </c>
      <c r="CZ67" s="139">
        <f t="shared" si="43"/>
        <v>0</v>
      </c>
      <c r="DA67" s="139">
        <f t="shared" si="35"/>
        <v>0</v>
      </c>
      <c r="DB67" s="139">
        <f t="shared" si="36"/>
        <v>0</v>
      </c>
      <c r="DC67" s="139">
        <f t="shared" si="37"/>
        <v>0</v>
      </c>
    </row>
    <row r="68" spans="2:107" ht="16" x14ac:dyDescent="0.2">
      <c r="B68" s="105" t="s">
        <v>415</v>
      </c>
      <c r="D68" s="134"/>
      <c r="E68" s="134"/>
      <c r="F68" s="132"/>
      <c r="G68" s="155"/>
      <c r="H68" s="156"/>
      <c r="I68" s="156"/>
      <c r="K68" s="134"/>
      <c r="L68" s="134"/>
      <c r="M68" s="134"/>
      <c r="N68" s="155"/>
      <c r="O68" s="144"/>
      <c r="P68" s="144"/>
      <c r="R68" s="144"/>
      <c r="S68" s="144"/>
      <c r="T68" s="144"/>
      <c r="U68" s="144"/>
      <c r="V68" s="144"/>
      <c r="Y68" s="144"/>
      <c r="Z68" s="144"/>
      <c r="AA68" s="144"/>
      <c r="AB68" s="144"/>
      <c r="AC68" s="144"/>
      <c r="AF68" s="144"/>
      <c r="AG68" s="144"/>
      <c r="AH68" s="144"/>
      <c r="AI68" s="144"/>
      <c r="AJ68" s="144"/>
      <c r="AM68" s="144"/>
      <c r="AN68" s="144"/>
      <c r="AO68" s="144"/>
      <c r="AP68" s="144"/>
      <c r="AQ68" s="144"/>
      <c r="AT68" s="144"/>
      <c r="AU68" s="144"/>
      <c r="AV68" s="144"/>
      <c r="AW68" s="144"/>
      <c r="AX68" s="144"/>
      <c r="BA68" s="144"/>
      <c r="BB68" s="144"/>
      <c r="BC68" s="144"/>
      <c r="BD68" s="144"/>
      <c r="BE68" s="144"/>
      <c r="BH68" s="144"/>
      <c r="BI68" s="144"/>
      <c r="BJ68" s="144"/>
      <c r="BK68" s="144"/>
      <c r="BL68" s="144"/>
      <c r="BO68" s="144"/>
      <c r="BP68" s="144"/>
      <c r="BQ68" s="144"/>
      <c r="BR68" s="144"/>
      <c r="BS68" s="144"/>
      <c r="BV68" s="144"/>
      <c r="BW68" s="144"/>
      <c r="BX68" s="144"/>
      <c r="BY68" s="144"/>
      <c r="BZ68" s="144"/>
      <c r="CC68" s="144"/>
      <c r="CD68" s="144"/>
      <c r="CE68" s="144"/>
      <c r="CF68" s="144"/>
      <c r="CG68" s="144"/>
      <c r="CJ68" s="144"/>
      <c r="CK68" s="156"/>
      <c r="CL68" s="156"/>
      <c r="CM68" s="156"/>
      <c r="CN68" s="156"/>
      <c r="CQ68" s="154"/>
      <c r="CR68" s="139"/>
      <c r="CS68" s="139"/>
      <c r="CT68" s="139"/>
      <c r="CU68" s="139">
        <f t="shared" si="38"/>
        <v>0</v>
      </c>
      <c r="CV68" s="139">
        <f t="shared" si="39"/>
        <v>0</v>
      </c>
      <c r="CW68" s="139">
        <f t="shared" si="40"/>
        <v>0</v>
      </c>
      <c r="CX68" s="139">
        <f t="shared" si="41"/>
        <v>0</v>
      </c>
      <c r="CY68" s="139">
        <f t="shared" si="42"/>
        <v>0</v>
      </c>
      <c r="CZ68" s="139">
        <f t="shared" si="43"/>
        <v>0</v>
      </c>
      <c r="DA68" s="139">
        <f t="shared" si="35"/>
        <v>0</v>
      </c>
      <c r="DB68" s="139">
        <f t="shared" si="36"/>
        <v>0</v>
      </c>
      <c r="DC68" s="139">
        <f t="shared" si="37"/>
        <v>0</v>
      </c>
    </row>
    <row r="69" spans="2:107" x14ac:dyDescent="0.2">
      <c r="B69" s="105" t="s">
        <v>416</v>
      </c>
      <c r="D69" s="134"/>
      <c r="E69" s="134"/>
      <c r="F69" s="132"/>
      <c r="G69" s="133"/>
      <c r="H69" s="133"/>
      <c r="I69" s="133"/>
      <c r="K69" s="134"/>
      <c r="L69" s="134"/>
      <c r="M69" s="134"/>
      <c r="N69" s="133"/>
      <c r="O69" s="133"/>
      <c r="P69" s="133"/>
      <c r="R69" s="133"/>
      <c r="S69" s="133"/>
      <c r="T69" s="133"/>
      <c r="U69" s="133"/>
      <c r="V69" s="133"/>
      <c r="Y69" s="133"/>
      <c r="Z69" s="133"/>
      <c r="AA69" s="133"/>
      <c r="AB69" s="133"/>
      <c r="AC69" s="133"/>
      <c r="AF69" s="133"/>
      <c r="AG69" s="133"/>
      <c r="AH69" s="133"/>
      <c r="AI69" s="133"/>
      <c r="AJ69" s="133"/>
      <c r="AM69" s="133"/>
      <c r="AN69" s="133"/>
      <c r="AO69" s="133"/>
      <c r="AP69" s="133"/>
      <c r="AQ69" s="133"/>
      <c r="AT69" s="133"/>
      <c r="AU69" s="133"/>
      <c r="AV69" s="133"/>
      <c r="AW69" s="133"/>
      <c r="AX69" s="133"/>
      <c r="BA69" s="133"/>
      <c r="BB69" s="133"/>
      <c r="BC69" s="133"/>
      <c r="BD69" s="133"/>
      <c r="BE69" s="133"/>
      <c r="BH69" s="133"/>
      <c r="BI69" s="133"/>
      <c r="BJ69" s="133"/>
      <c r="BK69" s="133"/>
      <c r="BL69" s="133"/>
      <c r="BO69" s="133"/>
      <c r="BP69" s="133"/>
      <c r="BQ69" s="133"/>
      <c r="BR69" s="133"/>
      <c r="BS69" s="133"/>
      <c r="BV69" s="133"/>
      <c r="BW69" s="133"/>
      <c r="BX69" s="133"/>
      <c r="BY69" s="133"/>
      <c r="BZ69" s="133"/>
      <c r="CC69" s="133"/>
      <c r="CD69" s="133"/>
      <c r="CE69" s="133"/>
      <c r="CF69" s="133"/>
      <c r="CG69" s="133"/>
      <c r="CJ69" s="133"/>
      <c r="CK69" s="133"/>
      <c r="CL69" s="133"/>
      <c r="CM69" s="133"/>
      <c r="CN69" s="133"/>
      <c r="CQ69" s="154"/>
      <c r="CR69" s="139"/>
      <c r="CS69" s="139"/>
      <c r="CT69" s="139"/>
      <c r="CU69" s="139">
        <f t="shared" si="38"/>
        <v>0</v>
      </c>
      <c r="CV69" s="139">
        <f t="shared" si="39"/>
        <v>0</v>
      </c>
      <c r="CW69" s="139">
        <f t="shared" si="40"/>
        <v>0</v>
      </c>
      <c r="CX69" s="139">
        <f t="shared" si="41"/>
        <v>0</v>
      </c>
      <c r="CY69" s="139">
        <f t="shared" si="42"/>
        <v>0</v>
      </c>
      <c r="CZ69" s="139">
        <f t="shared" si="43"/>
        <v>0</v>
      </c>
      <c r="DA69" s="139">
        <f t="shared" si="35"/>
        <v>0</v>
      </c>
      <c r="DB69" s="139">
        <f t="shared" si="36"/>
        <v>0</v>
      </c>
      <c r="DC69" s="139">
        <f t="shared" si="37"/>
        <v>0</v>
      </c>
    </row>
    <row r="70" spans="2:107" ht="16" x14ac:dyDescent="0.2">
      <c r="B70" s="141" t="s">
        <v>417</v>
      </c>
      <c r="C70" s="207"/>
      <c r="D70" s="142"/>
      <c r="E70" s="142"/>
      <c r="F70" s="142"/>
      <c r="G70" s="142"/>
      <c r="H70" s="142"/>
      <c r="I70" s="142"/>
      <c r="J70" s="142"/>
      <c r="K70" s="143"/>
      <c r="L70" s="143"/>
      <c r="M70" s="143"/>
      <c r="N70" s="143"/>
      <c r="O70" s="143"/>
      <c r="P70" s="143"/>
      <c r="Q70" s="142"/>
      <c r="R70" s="143"/>
      <c r="S70" s="143"/>
      <c r="T70" s="143"/>
      <c r="U70" s="143"/>
      <c r="V70" s="143"/>
      <c r="W70" s="143"/>
      <c r="X70" s="142">
        <f>SUM(X65:X69)</f>
        <v>0</v>
      </c>
      <c r="Y70" s="143"/>
      <c r="Z70" s="143"/>
      <c r="AA70" s="143"/>
      <c r="AB70" s="143"/>
      <c r="AC70" s="143"/>
      <c r="AD70" s="143"/>
      <c r="AE70" s="142">
        <f>SUM(AE65:AE69)</f>
        <v>0</v>
      </c>
      <c r="AF70" s="143"/>
      <c r="AG70" s="143"/>
      <c r="AH70" s="143"/>
      <c r="AI70" s="143"/>
      <c r="AJ70" s="143"/>
      <c r="AK70" s="143"/>
      <c r="AL70" s="142">
        <f>SUM(AL65:AL69)</f>
        <v>0</v>
      </c>
      <c r="AM70" s="143"/>
      <c r="AN70" s="143"/>
      <c r="AO70" s="143"/>
      <c r="AP70" s="143"/>
      <c r="AQ70" s="143"/>
      <c r="AR70" s="143"/>
      <c r="AS70" s="142">
        <f>SUM(AS65:AS69)</f>
        <v>0</v>
      </c>
      <c r="AT70" s="143"/>
      <c r="AU70" s="143"/>
      <c r="AV70" s="143"/>
      <c r="AW70" s="143"/>
      <c r="AX70" s="143"/>
      <c r="AY70" s="143"/>
      <c r="AZ70" s="142">
        <f>SUM(AZ65:AZ69)</f>
        <v>0</v>
      </c>
      <c r="BA70" s="143"/>
      <c r="BB70" s="143"/>
      <c r="BC70" s="143"/>
      <c r="BD70" s="143"/>
      <c r="BE70" s="143"/>
      <c r="BF70" s="143"/>
      <c r="BG70" s="142">
        <f>SUM(BG65:BG69)</f>
        <v>0</v>
      </c>
      <c r="BH70" s="143"/>
      <c r="BI70" s="143"/>
      <c r="BJ70" s="143"/>
      <c r="BK70" s="143"/>
      <c r="BL70" s="143"/>
      <c r="BM70" s="143"/>
      <c r="BN70" s="142">
        <f>SUM(BN65:BN69)</f>
        <v>0</v>
      </c>
      <c r="BO70" s="143"/>
      <c r="BP70" s="143"/>
      <c r="BQ70" s="143"/>
      <c r="BR70" s="143"/>
      <c r="BS70" s="143"/>
      <c r="BT70" s="143"/>
      <c r="BU70" s="142">
        <f>SUM(BU65:BU69)</f>
        <v>0</v>
      </c>
      <c r="BV70" s="143"/>
      <c r="BW70" s="143"/>
      <c r="BX70" s="143"/>
      <c r="BY70" s="143"/>
      <c r="BZ70" s="143"/>
      <c r="CA70" s="143"/>
      <c r="CB70" s="142">
        <f>SUM(CB65:CB69)</f>
        <v>0</v>
      </c>
      <c r="CC70" s="143"/>
      <c r="CD70" s="143"/>
      <c r="CE70" s="143"/>
      <c r="CF70" s="143"/>
      <c r="CG70" s="143"/>
      <c r="CH70" s="143"/>
      <c r="CI70" s="142">
        <f>SUM(CI65:CI69)</f>
        <v>0</v>
      </c>
      <c r="CJ70" s="143"/>
      <c r="CK70" s="143"/>
      <c r="CL70" s="143"/>
      <c r="CM70" s="143"/>
      <c r="CN70" s="143"/>
      <c r="CO70" s="143"/>
      <c r="CP70" s="142"/>
      <c r="CQ70" s="154"/>
      <c r="CR70" s="145"/>
      <c r="CS70" s="145"/>
      <c r="CT70" s="145"/>
      <c r="CU70" s="145">
        <f t="shared" si="38"/>
        <v>0</v>
      </c>
      <c r="CV70" s="145">
        <f t="shared" si="39"/>
        <v>0</v>
      </c>
      <c r="CW70" s="145">
        <f t="shared" si="40"/>
        <v>0</v>
      </c>
      <c r="CX70" s="145">
        <f t="shared" si="41"/>
        <v>0</v>
      </c>
      <c r="CY70" s="145">
        <f t="shared" si="42"/>
        <v>0</v>
      </c>
      <c r="CZ70" s="145">
        <f t="shared" si="43"/>
        <v>0</v>
      </c>
      <c r="DA70" s="145">
        <f t="shared" si="35"/>
        <v>0</v>
      </c>
      <c r="DB70" s="145">
        <f t="shared" si="36"/>
        <v>0</v>
      </c>
      <c r="DC70" s="145">
        <f t="shared" si="37"/>
        <v>0</v>
      </c>
    </row>
    <row r="71" spans="2:107" x14ac:dyDescent="0.2">
      <c r="B71" s="105" t="s">
        <v>418</v>
      </c>
      <c r="C71" s="210"/>
      <c r="D71" s="157"/>
      <c r="E71" s="157"/>
      <c r="F71" s="157"/>
      <c r="G71" s="133"/>
      <c r="H71" s="133"/>
      <c r="I71" s="133"/>
      <c r="J71" s="212"/>
      <c r="K71" s="116"/>
      <c r="L71" s="116"/>
      <c r="M71" s="116"/>
      <c r="N71" s="116"/>
      <c r="O71" s="116"/>
      <c r="P71" s="116"/>
      <c r="Q71" s="212"/>
      <c r="R71" s="116"/>
      <c r="S71" s="116"/>
      <c r="T71" s="116"/>
      <c r="U71" s="116"/>
      <c r="V71" s="116"/>
      <c r="W71" s="116"/>
      <c r="X71" s="260">
        <v>8552288.8699999992</v>
      </c>
      <c r="Y71" s="116"/>
      <c r="Z71" s="116"/>
      <c r="AA71" s="116"/>
      <c r="AB71" s="116"/>
      <c r="AC71" s="116"/>
      <c r="AD71" s="116"/>
      <c r="AE71" s="212">
        <f>X71+AE17</f>
        <v>8552288.8699999992</v>
      </c>
      <c r="AF71" s="116"/>
      <c r="AG71" s="116"/>
      <c r="AH71" s="116"/>
      <c r="AI71" s="116"/>
      <c r="AJ71" s="116"/>
      <c r="AK71" s="116"/>
      <c r="AL71" s="212">
        <f>AE71+AL17</f>
        <v>8552288.8699999992</v>
      </c>
      <c r="AM71" s="116"/>
      <c r="AN71" s="116"/>
      <c r="AO71" s="116"/>
      <c r="AP71" s="116"/>
      <c r="AQ71" s="116"/>
      <c r="AR71" s="116"/>
      <c r="AS71" s="212">
        <f>AL71+AS17</f>
        <v>8552288.8699999992</v>
      </c>
      <c r="AT71" s="116"/>
      <c r="AU71" s="116"/>
      <c r="AV71" s="116"/>
      <c r="AW71" s="116"/>
      <c r="AX71" s="116"/>
      <c r="AY71" s="116"/>
      <c r="AZ71" s="212">
        <f>AS71+AZ17</f>
        <v>8552288.8699999992</v>
      </c>
      <c r="BA71" s="116"/>
      <c r="BB71" s="116"/>
      <c r="BC71" s="116"/>
      <c r="BD71" s="116"/>
      <c r="BE71" s="116"/>
      <c r="BF71" s="116"/>
      <c r="BG71" s="212">
        <f>AZ71+BG17</f>
        <v>8552288.8699999992</v>
      </c>
      <c r="BH71" s="116"/>
      <c r="BI71" s="116"/>
      <c r="BJ71" s="116"/>
      <c r="BK71" s="116"/>
      <c r="BL71" s="116"/>
      <c r="BM71" s="116"/>
      <c r="BN71" s="212">
        <f>BG71+BN17</f>
        <v>8552288.8699999992</v>
      </c>
      <c r="BO71" s="116"/>
      <c r="BP71" s="116"/>
      <c r="BQ71" s="116"/>
      <c r="BR71" s="116"/>
      <c r="BS71" s="116"/>
      <c r="BT71" s="116"/>
      <c r="BU71" s="212">
        <f>BN71+BU17</f>
        <v>8552288.8699999992</v>
      </c>
      <c r="BV71" s="116"/>
      <c r="BW71" s="116"/>
      <c r="BX71" s="116"/>
      <c r="BY71" s="116"/>
      <c r="BZ71" s="116"/>
      <c r="CA71" s="116"/>
      <c r="CB71" s="212">
        <f>BU71+CB17</f>
        <v>8552288.8699999992</v>
      </c>
      <c r="CC71" s="116"/>
      <c r="CD71" s="116"/>
      <c r="CE71" s="116"/>
      <c r="CF71" s="116"/>
      <c r="CG71" s="116"/>
      <c r="CH71" s="116"/>
      <c r="CI71" s="212">
        <f>CB71+CI17</f>
        <v>8552288.8699999992</v>
      </c>
      <c r="CJ71" s="116"/>
      <c r="CK71" s="116"/>
      <c r="CL71" s="116"/>
      <c r="CM71" s="116"/>
      <c r="CN71" s="116"/>
      <c r="CO71" s="116"/>
      <c r="CP71" s="212">
        <f>CI71</f>
        <v>8552288.8699999992</v>
      </c>
      <c r="CQ71" s="154"/>
      <c r="CR71" s="146"/>
      <c r="CS71" s="146"/>
      <c r="CT71" s="146"/>
      <c r="CU71" s="146">
        <f t="shared" si="38"/>
        <v>4.5176807735586837E-3</v>
      </c>
      <c r="CV71" s="146">
        <f t="shared" si="39"/>
        <v>4.5107819780477428E-3</v>
      </c>
      <c r="CW71" s="146">
        <f t="shared" si="40"/>
        <v>4.508799801511352E-3</v>
      </c>
      <c r="CX71" s="146">
        <f t="shared" si="41"/>
        <v>4.5032880663886804E-3</v>
      </c>
      <c r="CY71" s="146">
        <f t="shared" si="42"/>
        <v>4.5021092313784847E-3</v>
      </c>
      <c r="CZ71" s="146">
        <f t="shared" si="43"/>
        <v>4.5050430187541755E-3</v>
      </c>
      <c r="DA71" s="146">
        <f t="shared" si="35"/>
        <v>4.4981130149432651E-3</v>
      </c>
      <c r="DB71" s="146">
        <f t="shared" si="36"/>
        <v>4.4922607013982508E-3</v>
      </c>
      <c r="DC71" s="146">
        <f t="shared" si="37"/>
        <v>4.4886663533524069E-3</v>
      </c>
    </row>
    <row r="72" spans="2:107" ht="16" x14ac:dyDescent="0.2">
      <c r="B72" s="141" t="s">
        <v>419</v>
      </c>
      <c r="C72" s="207"/>
      <c r="D72" s="142"/>
      <c r="E72" s="142"/>
      <c r="F72" s="142"/>
      <c r="G72" s="142"/>
      <c r="H72" s="142"/>
      <c r="I72" s="142"/>
      <c r="J72" s="142"/>
      <c r="K72" s="143"/>
      <c r="L72" s="143"/>
      <c r="M72" s="143"/>
      <c r="N72" s="143"/>
      <c r="O72" s="143"/>
      <c r="P72" s="143"/>
      <c r="Q72" s="142"/>
      <c r="R72" s="143"/>
      <c r="S72" s="143"/>
      <c r="T72" s="143"/>
      <c r="U72" s="143"/>
      <c r="V72" s="143"/>
      <c r="W72" s="143"/>
      <c r="X72" s="142">
        <f>X71</f>
        <v>8552288.8699999992</v>
      </c>
      <c r="Y72" s="143"/>
      <c r="Z72" s="143"/>
      <c r="AA72" s="143"/>
      <c r="AB72" s="143"/>
      <c r="AC72" s="143"/>
      <c r="AD72" s="143"/>
      <c r="AE72" s="142">
        <f>AE71</f>
        <v>8552288.8699999992</v>
      </c>
      <c r="AF72" s="143"/>
      <c r="AG72" s="143"/>
      <c r="AH72" s="143"/>
      <c r="AI72" s="143"/>
      <c r="AJ72" s="143"/>
      <c r="AK72" s="143"/>
      <c r="AL72" s="142">
        <f>AL71</f>
        <v>8552288.8699999992</v>
      </c>
      <c r="AM72" s="143"/>
      <c r="AN72" s="143"/>
      <c r="AO72" s="143"/>
      <c r="AP72" s="143"/>
      <c r="AQ72" s="143"/>
      <c r="AR72" s="143"/>
      <c r="AS72" s="142">
        <f>AS71</f>
        <v>8552288.8699999992</v>
      </c>
      <c r="AT72" s="143"/>
      <c r="AU72" s="143"/>
      <c r="AV72" s="143"/>
      <c r="AW72" s="143"/>
      <c r="AX72" s="143"/>
      <c r="AY72" s="143"/>
      <c r="AZ72" s="142">
        <f>AZ71</f>
        <v>8552288.8699999992</v>
      </c>
      <c r="BA72" s="143"/>
      <c r="BB72" s="143"/>
      <c r="BC72" s="143"/>
      <c r="BD72" s="143"/>
      <c r="BE72" s="143"/>
      <c r="BF72" s="143"/>
      <c r="BG72" s="142">
        <f>BG71</f>
        <v>8552288.8699999992</v>
      </c>
      <c r="BH72" s="143"/>
      <c r="BI72" s="143"/>
      <c r="BJ72" s="143"/>
      <c r="BK72" s="143"/>
      <c r="BL72" s="143"/>
      <c r="BM72" s="143"/>
      <c r="BN72" s="142">
        <f>BN71</f>
        <v>8552288.8699999992</v>
      </c>
      <c r="BO72" s="143"/>
      <c r="BP72" s="143"/>
      <c r="BQ72" s="143"/>
      <c r="BR72" s="143"/>
      <c r="BS72" s="143"/>
      <c r="BT72" s="143"/>
      <c r="BU72" s="142">
        <f>BU71</f>
        <v>8552288.8699999992</v>
      </c>
      <c r="BV72" s="143"/>
      <c r="BW72" s="143"/>
      <c r="BX72" s="143"/>
      <c r="BY72" s="143"/>
      <c r="BZ72" s="143"/>
      <c r="CA72" s="143"/>
      <c r="CB72" s="142">
        <f>CB71</f>
        <v>8552288.8699999992</v>
      </c>
      <c r="CC72" s="143"/>
      <c r="CD72" s="143"/>
      <c r="CE72" s="143"/>
      <c r="CF72" s="143"/>
      <c r="CG72" s="143"/>
      <c r="CH72" s="143"/>
      <c r="CI72" s="142">
        <f>CI71</f>
        <v>8552288.8699999992</v>
      </c>
      <c r="CJ72" s="143"/>
      <c r="CK72" s="143"/>
      <c r="CL72" s="143"/>
      <c r="CM72" s="143"/>
      <c r="CN72" s="143"/>
      <c r="CO72" s="143"/>
      <c r="CP72" s="142">
        <f>CP71</f>
        <v>8552288.8699999992</v>
      </c>
      <c r="CQ72" s="154"/>
      <c r="CR72" s="146"/>
      <c r="CS72" s="146"/>
      <c r="CT72" s="146"/>
      <c r="CU72" s="146">
        <f t="shared" si="38"/>
        <v>4.5176807735586837E-3</v>
      </c>
      <c r="CV72" s="146">
        <f t="shared" si="39"/>
        <v>4.5107819780477428E-3</v>
      </c>
      <c r="CW72" s="146">
        <f t="shared" si="40"/>
        <v>4.508799801511352E-3</v>
      </c>
      <c r="CX72" s="146">
        <f t="shared" si="41"/>
        <v>4.5032880663886804E-3</v>
      </c>
      <c r="CY72" s="146">
        <f t="shared" si="42"/>
        <v>4.5021092313784847E-3</v>
      </c>
      <c r="CZ72" s="146">
        <f t="shared" si="43"/>
        <v>4.5050430187541755E-3</v>
      </c>
      <c r="DA72" s="146">
        <f t="shared" si="35"/>
        <v>4.4981130149432651E-3</v>
      </c>
      <c r="DB72" s="146">
        <f t="shared" si="36"/>
        <v>4.4922607013982508E-3</v>
      </c>
      <c r="DC72" s="146">
        <f t="shared" si="37"/>
        <v>4.4886663533524069E-3</v>
      </c>
    </row>
    <row r="73" spans="2:107" ht="16" x14ac:dyDescent="0.2">
      <c r="B73" s="141" t="s">
        <v>420</v>
      </c>
      <c r="C73" s="207"/>
      <c r="D73" s="142"/>
      <c r="E73" s="142"/>
      <c r="F73" s="142"/>
      <c r="G73" s="142"/>
      <c r="H73" s="142"/>
      <c r="I73" s="142"/>
      <c r="J73" s="142"/>
      <c r="K73" s="143"/>
      <c r="L73" s="143"/>
      <c r="M73" s="143"/>
      <c r="N73" s="143"/>
      <c r="O73" s="143"/>
      <c r="P73" s="143"/>
      <c r="Q73" s="142"/>
      <c r="R73" s="143"/>
      <c r="S73" s="143"/>
      <c r="T73" s="143"/>
      <c r="U73" s="143"/>
      <c r="V73" s="143"/>
      <c r="W73" s="143"/>
      <c r="X73" s="142">
        <f>X70+X72</f>
        <v>8552288.8699999992</v>
      </c>
      <c r="Y73" s="143"/>
      <c r="Z73" s="143"/>
      <c r="AA73" s="143"/>
      <c r="AB73" s="143"/>
      <c r="AC73" s="143"/>
      <c r="AD73" s="143"/>
      <c r="AE73" s="142">
        <f>AE70+AE72</f>
        <v>8552288.8699999992</v>
      </c>
      <c r="AF73" s="143"/>
      <c r="AG73" s="143"/>
      <c r="AH73" s="143"/>
      <c r="AI73" s="143"/>
      <c r="AJ73" s="143"/>
      <c r="AK73" s="143"/>
      <c r="AL73" s="142">
        <f>AL70+AL72</f>
        <v>8552288.8699999992</v>
      </c>
      <c r="AM73" s="143"/>
      <c r="AN73" s="143"/>
      <c r="AO73" s="143"/>
      <c r="AP73" s="143"/>
      <c r="AQ73" s="143"/>
      <c r="AR73" s="143"/>
      <c r="AS73" s="142">
        <f>AS70+AS72</f>
        <v>8552288.8699999992</v>
      </c>
      <c r="AT73" s="143"/>
      <c r="AU73" s="143"/>
      <c r="AV73" s="143"/>
      <c r="AW73" s="143"/>
      <c r="AX73" s="143"/>
      <c r="AY73" s="143"/>
      <c r="AZ73" s="142">
        <f>AZ70+AZ72</f>
        <v>8552288.8699999992</v>
      </c>
      <c r="BA73" s="143"/>
      <c r="BB73" s="143"/>
      <c r="BC73" s="143"/>
      <c r="BD73" s="143"/>
      <c r="BE73" s="143"/>
      <c r="BF73" s="143"/>
      <c r="BG73" s="142">
        <f>BG70+BG72</f>
        <v>8552288.8699999992</v>
      </c>
      <c r="BH73" s="143"/>
      <c r="BI73" s="143"/>
      <c r="BJ73" s="143"/>
      <c r="BK73" s="143"/>
      <c r="BL73" s="143"/>
      <c r="BM73" s="143"/>
      <c r="BN73" s="142">
        <f>BN70+BN72</f>
        <v>8552288.8699999992</v>
      </c>
      <c r="BO73" s="143"/>
      <c r="BP73" s="143"/>
      <c r="BQ73" s="143"/>
      <c r="BR73" s="143"/>
      <c r="BS73" s="143"/>
      <c r="BT73" s="143"/>
      <c r="BU73" s="142">
        <f>BU70+BU72</f>
        <v>8552288.8699999992</v>
      </c>
      <c r="BV73" s="143"/>
      <c r="BW73" s="143"/>
      <c r="BX73" s="143"/>
      <c r="BY73" s="143"/>
      <c r="BZ73" s="143"/>
      <c r="CA73" s="143"/>
      <c r="CB73" s="142">
        <f>CB70+CB72</f>
        <v>8552288.8699999992</v>
      </c>
      <c r="CC73" s="143"/>
      <c r="CD73" s="143"/>
      <c r="CE73" s="143"/>
      <c r="CF73" s="143"/>
      <c r="CG73" s="143"/>
      <c r="CH73" s="143"/>
      <c r="CI73" s="142">
        <f>CI70+CI72</f>
        <v>8552288.8699999992</v>
      </c>
      <c r="CJ73" s="143"/>
      <c r="CK73" s="143"/>
      <c r="CL73" s="143"/>
      <c r="CM73" s="143"/>
      <c r="CN73" s="143"/>
      <c r="CO73" s="143"/>
      <c r="CP73" s="142">
        <f>CP70+CP72</f>
        <v>8552288.8699999992</v>
      </c>
      <c r="CQ73" s="154"/>
      <c r="CR73" s="145"/>
      <c r="CS73" s="145"/>
      <c r="CT73" s="145"/>
      <c r="CU73" s="145">
        <f t="shared" si="38"/>
        <v>4.5176807735586837E-3</v>
      </c>
      <c r="CV73" s="145">
        <f t="shared" si="39"/>
        <v>4.5107819780477428E-3</v>
      </c>
      <c r="CW73" s="145">
        <f t="shared" si="40"/>
        <v>4.508799801511352E-3</v>
      </c>
      <c r="CX73" s="145">
        <f t="shared" si="41"/>
        <v>4.5032880663886804E-3</v>
      </c>
      <c r="CY73" s="145">
        <f t="shared" si="42"/>
        <v>4.5021092313784847E-3</v>
      </c>
      <c r="CZ73" s="145">
        <f t="shared" si="43"/>
        <v>4.5050430187541755E-3</v>
      </c>
      <c r="DA73" s="145">
        <f t="shared" si="35"/>
        <v>4.4981130149432651E-3</v>
      </c>
      <c r="DB73" s="145">
        <f t="shared" si="36"/>
        <v>4.4922607013982508E-3</v>
      </c>
      <c r="DC73" s="145">
        <f t="shared" si="37"/>
        <v>4.4886663533524069E-3</v>
      </c>
    </row>
    <row r="74" spans="2:107" ht="16" x14ac:dyDescent="0.2">
      <c r="B74" s="105" t="s">
        <v>421</v>
      </c>
      <c r="D74" s="134"/>
      <c r="E74" s="134"/>
      <c r="F74" s="134"/>
      <c r="G74" s="158"/>
      <c r="H74" s="158"/>
      <c r="I74" s="158"/>
      <c r="J74" s="158"/>
      <c r="K74" s="134"/>
      <c r="L74" s="134"/>
      <c r="M74" s="134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>
        <f>X62</f>
        <v>1885738377.5999999</v>
      </c>
      <c r="Y74" s="158"/>
      <c r="Z74" s="158"/>
      <c r="AA74" s="158"/>
      <c r="AB74" s="158"/>
      <c r="AC74" s="158"/>
      <c r="AD74" s="158"/>
      <c r="AE74" s="158">
        <f>AE62</f>
        <v>1885738377.5999999</v>
      </c>
      <c r="AF74" s="158"/>
      <c r="AG74" s="158"/>
      <c r="AH74" s="158"/>
      <c r="AI74" s="158"/>
      <c r="AJ74" s="158"/>
      <c r="AK74" s="158"/>
      <c r="AL74" s="158">
        <f>AL62</f>
        <v>1885738377.5999999</v>
      </c>
      <c r="AM74" s="158"/>
      <c r="AN74" s="158"/>
      <c r="AO74" s="158"/>
      <c r="AP74" s="158"/>
      <c r="AQ74" s="158"/>
      <c r="AR74" s="158"/>
      <c r="AS74" s="158">
        <f>AS62</f>
        <v>1885738377.5999999</v>
      </c>
      <c r="AT74" s="158"/>
      <c r="AU74" s="158"/>
      <c r="AV74" s="158"/>
      <c r="AW74" s="158"/>
      <c r="AX74" s="158"/>
      <c r="AY74" s="158"/>
      <c r="AZ74" s="158">
        <f>AZ62</f>
        <v>1885738377.5999999</v>
      </c>
      <c r="BA74" s="158"/>
      <c r="BB74" s="158"/>
      <c r="BC74" s="158"/>
      <c r="BD74" s="158"/>
      <c r="BE74" s="158"/>
      <c r="BF74" s="158"/>
      <c r="BG74" s="158">
        <f>BG62</f>
        <v>1885738377.5999999</v>
      </c>
      <c r="BH74" s="158"/>
      <c r="BI74" s="158"/>
      <c r="BJ74" s="158"/>
      <c r="BK74" s="158"/>
      <c r="BL74" s="158"/>
      <c r="BM74" s="158"/>
      <c r="BN74" s="158">
        <f>BN62</f>
        <v>1885738377.5999999</v>
      </c>
      <c r="BO74" s="158"/>
      <c r="BP74" s="158"/>
      <c r="BQ74" s="158"/>
      <c r="BR74" s="158"/>
      <c r="BS74" s="158"/>
      <c r="BT74" s="158"/>
      <c r="BU74" s="158">
        <f>BU62</f>
        <v>1885738377.5999999</v>
      </c>
      <c r="BV74" s="158"/>
      <c r="BW74" s="158"/>
      <c r="BX74" s="158"/>
      <c r="BY74" s="158"/>
      <c r="BZ74" s="158"/>
      <c r="CA74" s="158"/>
      <c r="CB74" s="158">
        <f>CB62</f>
        <v>1885738377.5999999</v>
      </c>
      <c r="CC74" s="158"/>
      <c r="CD74" s="158"/>
      <c r="CE74" s="158"/>
      <c r="CF74" s="158"/>
      <c r="CG74" s="158"/>
      <c r="CH74" s="158"/>
      <c r="CI74" s="158">
        <f>CI62</f>
        <v>1885738377.5999999</v>
      </c>
      <c r="CJ74" s="158"/>
      <c r="CK74" s="158"/>
      <c r="CL74" s="158"/>
      <c r="CM74" s="158"/>
      <c r="CN74" s="158"/>
      <c r="CO74" s="158"/>
      <c r="CP74" s="158">
        <f>CP62</f>
        <v>1885738377.5999999</v>
      </c>
      <c r="CQ74" s="154"/>
      <c r="CR74" s="139"/>
      <c r="CS74" s="139"/>
      <c r="CT74" s="139"/>
      <c r="CU74" s="139">
        <f t="shared" si="38"/>
        <v>0.99612678453005354</v>
      </c>
      <c r="CV74" s="139">
        <f t="shared" si="39"/>
        <v>0.99460563344968844</v>
      </c>
      <c r="CW74" s="139">
        <f t="shared" si="40"/>
        <v>0.99416857309980222</v>
      </c>
      <c r="CX74" s="139">
        <f t="shared" si="41"/>
        <v>0.99295326213381652</v>
      </c>
      <c r="CY74" s="139">
        <f t="shared" si="42"/>
        <v>0.99269333470931365</v>
      </c>
      <c r="CZ74" s="139">
        <f t="shared" si="43"/>
        <v>0.99334022065179672</v>
      </c>
      <c r="DA74" s="139">
        <f t="shared" si="35"/>
        <v>0.9918121882920633</v>
      </c>
      <c r="DB74" s="139">
        <f t="shared" si="36"/>
        <v>0.9905217814293702</v>
      </c>
      <c r="DC74" s="139">
        <f t="shared" si="37"/>
        <v>0.98972924505045123</v>
      </c>
    </row>
    <row r="75" spans="2:107" ht="16" x14ac:dyDescent="0.2">
      <c r="B75" s="105" t="s">
        <v>422</v>
      </c>
      <c r="D75" s="134"/>
      <c r="E75" s="134"/>
      <c r="F75" s="134"/>
      <c r="G75" s="158"/>
      <c r="H75" s="158"/>
      <c r="I75" s="158"/>
      <c r="K75" s="134"/>
      <c r="L75" s="134"/>
      <c r="M75" s="134"/>
      <c r="N75" s="158"/>
      <c r="O75" s="158"/>
      <c r="P75" s="158"/>
      <c r="R75" s="158"/>
      <c r="S75" s="158"/>
      <c r="T75" s="158"/>
      <c r="U75" s="158"/>
      <c r="V75" s="158"/>
      <c r="Y75" s="158"/>
      <c r="Z75" s="158"/>
      <c r="AA75" s="158"/>
      <c r="AB75" s="158"/>
      <c r="AC75" s="158"/>
      <c r="AF75" s="158"/>
      <c r="AG75" s="158"/>
      <c r="AH75" s="158"/>
      <c r="AI75" s="158"/>
      <c r="AJ75" s="158"/>
      <c r="AM75" s="158"/>
      <c r="AN75" s="158"/>
      <c r="AO75" s="158"/>
      <c r="AP75" s="158"/>
      <c r="AQ75" s="158"/>
      <c r="AT75" s="158"/>
      <c r="AU75" s="158"/>
      <c r="AV75" s="158"/>
      <c r="AW75" s="158"/>
      <c r="AX75" s="158"/>
      <c r="BA75" s="158"/>
      <c r="BB75" s="158"/>
      <c r="BC75" s="158"/>
      <c r="BD75" s="158"/>
      <c r="BE75" s="158"/>
      <c r="BH75" s="158"/>
      <c r="BI75" s="158"/>
      <c r="BJ75" s="158"/>
      <c r="BK75" s="158"/>
      <c r="BL75" s="158"/>
      <c r="BO75" s="158"/>
      <c r="BP75" s="158"/>
      <c r="BQ75" s="158"/>
      <c r="BR75" s="158"/>
      <c r="BS75" s="158"/>
      <c r="BV75" s="158"/>
      <c r="BW75" s="158"/>
      <c r="BX75" s="158"/>
      <c r="BY75" s="158"/>
      <c r="BZ75" s="158"/>
      <c r="CC75" s="158"/>
      <c r="CD75" s="158"/>
      <c r="CE75" s="158"/>
      <c r="CF75" s="158"/>
      <c r="CG75" s="158"/>
      <c r="CJ75" s="158"/>
      <c r="CK75" s="158"/>
      <c r="CL75" s="158"/>
      <c r="CM75" s="158"/>
      <c r="CN75" s="158"/>
      <c r="CQ75" s="154"/>
      <c r="CR75" s="139"/>
      <c r="CS75" s="139"/>
      <c r="CT75" s="139"/>
      <c r="CU75" s="139">
        <f t="shared" si="38"/>
        <v>0</v>
      </c>
      <c r="CV75" s="139">
        <f t="shared" si="39"/>
        <v>0</v>
      </c>
      <c r="CW75" s="139">
        <f t="shared" si="40"/>
        <v>0</v>
      </c>
      <c r="CX75" s="139">
        <f t="shared" si="41"/>
        <v>0</v>
      </c>
      <c r="CY75" s="139">
        <f t="shared" si="42"/>
        <v>0</v>
      </c>
      <c r="CZ75" s="139">
        <f t="shared" si="43"/>
        <v>0</v>
      </c>
      <c r="DA75" s="139">
        <f t="shared" si="35"/>
        <v>0</v>
      </c>
      <c r="DB75" s="139">
        <f t="shared" si="36"/>
        <v>0</v>
      </c>
      <c r="DC75" s="139">
        <f t="shared" si="37"/>
        <v>0</v>
      </c>
    </row>
    <row r="76" spans="2:107" ht="16" x14ac:dyDescent="0.2">
      <c r="B76" s="105" t="s">
        <v>423</v>
      </c>
      <c r="D76" s="134"/>
      <c r="E76" s="134"/>
      <c r="F76" s="134"/>
      <c r="G76" s="158"/>
      <c r="H76" s="158"/>
      <c r="I76" s="158"/>
      <c r="K76" s="134"/>
      <c r="L76" s="134"/>
      <c r="M76" s="134"/>
      <c r="N76" s="158"/>
      <c r="O76" s="158"/>
      <c r="P76" s="158"/>
      <c r="R76" s="158"/>
      <c r="S76" s="158"/>
      <c r="T76" s="158"/>
      <c r="U76" s="158"/>
      <c r="V76" s="158"/>
      <c r="Y76" s="158"/>
      <c r="Z76" s="158"/>
      <c r="AA76" s="158"/>
      <c r="AB76" s="158"/>
      <c r="AC76" s="158"/>
      <c r="AF76" s="158"/>
      <c r="AG76" s="158"/>
      <c r="AH76" s="158"/>
      <c r="AI76" s="158"/>
      <c r="AJ76" s="158"/>
      <c r="AM76" s="158"/>
      <c r="AN76" s="158"/>
      <c r="AO76" s="158"/>
      <c r="AP76" s="158"/>
      <c r="AQ76" s="158"/>
      <c r="AT76" s="158"/>
      <c r="AU76" s="158"/>
      <c r="AV76" s="158"/>
      <c r="AW76" s="158"/>
      <c r="AX76" s="158"/>
      <c r="BA76" s="158"/>
      <c r="BB76" s="158"/>
      <c r="BC76" s="158"/>
      <c r="BD76" s="158"/>
      <c r="BE76" s="158"/>
      <c r="BH76" s="158"/>
      <c r="BI76" s="158"/>
      <c r="BJ76" s="158"/>
      <c r="BK76" s="158"/>
      <c r="BL76" s="158"/>
      <c r="BO76" s="158"/>
      <c r="BP76" s="158"/>
      <c r="BQ76" s="158"/>
      <c r="BR76" s="158"/>
      <c r="BS76" s="158"/>
      <c r="BV76" s="158"/>
      <c r="BW76" s="158"/>
      <c r="BX76" s="158"/>
      <c r="BY76" s="158"/>
      <c r="BZ76" s="158"/>
      <c r="CC76" s="158"/>
      <c r="CD76" s="158"/>
      <c r="CE76" s="158"/>
      <c r="CF76" s="158"/>
      <c r="CG76" s="158"/>
      <c r="CJ76" s="158"/>
      <c r="CK76" s="158"/>
      <c r="CL76" s="158"/>
      <c r="CM76" s="158"/>
      <c r="CN76" s="158"/>
      <c r="CQ76" s="154"/>
      <c r="CR76" s="139"/>
      <c r="CS76" s="139"/>
      <c r="CT76" s="139"/>
      <c r="CU76" s="139">
        <f t="shared" si="38"/>
        <v>0</v>
      </c>
      <c r="CV76" s="139">
        <f t="shared" si="39"/>
        <v>0</v>
      </c>
      <c r="CW76" s="139">
        <f t="shared" si="40"/>
        <v>0</v>
      </c>
      <c r="CX76" s="139">
        <f t="shared" si="41"/>
        <v>0</v>
      </c>
      <c r="CY76" s="139">
        <f t="shared" si="42"/>
        <v>0</v>
      </c>
      <c r="CZ76" s="139">
        <f t="shared" si="43"/>
        <v>0</v>
      </c>
      <c r="DA76" s="139">
        <f t="shared" si="35"/>
        <v>0</v>
      </c>
      <c r="DB76" s="139">
        <f t="shared" si="36"/>
        <v>0</v>
      </c>
      <c r="DC76" s="139">
        <f t="shared" si="37"/>
        <v>0</v>
      </c>
    </row>
    <row r="77" spans="2:107" x14ac:dyDescent="0.2">
      <c r="B77" s="105" t="s">
        <v>424</v>
      </c>
      <c r="D77" s="134"/>
      <c r="E77" s="134"/>
      <c r="F77" s="134"/>
      <c r="G77" s="159"/>
      <c r="H77" s="159"/>
      <c r="I77" s="159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>
        <f>X47</f>
        <v>-917620.3</v>
      </c>
      <c r="Y77" s="137"/>
      <c r="Z77" s="137"/>
      <c r="AA77" s="137"/>
      <c r="AB77" s="137"/>
      <c r="AC77" s="137"/>
      <c r="AD77" s="137"/>
      <c r="AE77" s="137">
        <f>AE47</f>
        <v>-302398.05000000005</v>
      </c>
      <c r="AF77" s="137"/>
      <c r="AG77" s="137"/>
      <c r="AH77" s="137"/>
      <c r="AI77" s="137"/>
      <c r="AJ77" s="137"/>
      <c r="AK77" s="137"/>
      <c r="AL77" s="137">
        <f>AL47</f>
        <v>2895264.58</v>
      </c>
      <c r="AM77" s="137"/>
      <c r="AN77" s="137"/>
      <c r="AO77" s="137"/>
      <c r="AP77" s="137"/>
      <c r="AQ77" s="137"/>
      <c r="AR77" s="137"/>
      <c r="AS77" s="137">
        <f>AS47</f>
        <v>833512.08999999962</v>
      </c>
      <c r="AT77" s="137"/>
      <c r="AU77" s="137"/>
      <c r="AV77" s="137"/>
      <c r="AW77" s="137"/>
      <c r="AX77" s="137"/>
      <c r="AY77" s="137"/>
      <c r="AZ77" s="137">
        <f>AZ47</f>
        <v>2321560.5699999998</v>
      </c>
      <c r="BA77" s="137"/>
      <c r="BB77" s="137"/>
      <c r="BC77" s="137"/>
      <c r="BD77" s="137"/>
      <c r="BE77" s="137"/>
      <c r="BF77" s="137"/>
      <c r="BG77" s="137">
        <f>BG47</f>
        <v>497266.99000000069</v>
      </c>
      <c r="BH77" s="137"/>
      <c r="BI77" s="137"/>
      <c r="BJ77" s="137"/>
      <c r="BK77" s="137"/>
      <c r="BL77" s="137"/>
      <c r="BM77" s="137"/>
      <c r="BN77" s="137">
        <f>BN47</f>
        <v>-1237074.9900000002</v>
      </c>
      <c r="BO77" s="137"/>
      <c r="BP77" s="137"/>
      <c r="BQ77" s="137"/>
      <c r="BR77" s="137"/>
      <c r="BS77" s="137"/>
      <c r="BT77" s="137"/>
      <c r="BU77" s="137">
        <f>BU47</f>
        <v>2924735.05</v>
      </c>
      <c r="BV77" s="137"/>
      <c r="BW77" s="137"/>
      <c r="BX77" s="137"/>
      <c r="BY77" s="137"/>
      <c r="BZ77" s="137"/>
      <c r="CA77" s="137"/>
      <c r="CB77" s="137">
        <f>CB47</f>
        <v>2476935.13</v>
      </c>
      <c r="CC77" s="137"/>
      <c r="CD77" s="137"/>
      <c r="CE77" s="137"/>
      <c r="CF77" s="137"/>
      <c r="CG77" s="137"/>
      <c r="CH77" s="137"/>
      <c r="CI77" s="137">
        <f>CI47</f>
        <v>1524474.6700000002</v>
      </c>
      <c r="CJ77" s="137"/>
      <c r="CK77" s="137"/>
      <c r="CL77" s="137"/>
      <c r="CM77" s="137"/>
      <c r="CN77" s="137"/>
      <c r="CO77" s="137"/>
      <c r="CP77" s="137">
        <f>CP47</f>
        <v>11016655.739999998</v>
      </c>
      <c r="CQ77" s="154"/>
      <c r="CR77" s="139"/>
      <c r="CS77" s="139"/>
      <c r="CT77" s="139"/>
      <c r="CU77" s="139">
        <f t="shared" si="38"/>
        <v>-1.5973944252968593E-4</v>
      </c>
      <c r="CV77" s="139">
        <f t="shared" si="39"/>
        <v>1.5270657349935805E-3</v>
      </c>
      <c r="CW77" s="139">
        <f t="shared" si="40"/>
        <v>4.394308006985399E-4</v>
      </c>
      <c r="CX77" s="139">
        <f t="shared" si="41"/>
        <v>1.2224395327609535E-3</v>
      </c>
      <c r="CY77" s="139">
        <f t="shared" si="42"/>
        <v>2.6177206361585354E-4</v>
      </c>
      <c r="CZ77" s="139">
        <f t="shared" si="43"/>
        <v>-6.5164731127409785E-4</v>
      </c>
      <c r="DA77" s="139">
        <f t="shared" si="35"/>
        <v>1.5382769447620096E-3</v>
      </c>
      <c r="DB77" s="139">
        <f t="shared" si="36"/>
        <v>1.3010596944922615E-3</v>
      </c>
      <c r="DC77" s="139">
        <f t="shared" si="37"/>
        <v>8.0012009203414753E-4</v>
      </c>
    </row>
    <row r="78" spans="2:107" x14ac:dyDescent="0.2">
      <c r="B78" s="105" t="s">
        <v>425</v>
      </c>
      <c r="D78" s="134"/>
      <c r="E78" s="134"/>
      <c r="F78" s="134"/>
      <c r="G78" s="133"/>
      <c r="H78" s="133"/>
      <c r="I78" s="133"/>
      <c r="J78" s="137"/>
      <c r="K78" s="134"/>
      <c r="L78" s="134"/>
      <c r="M78" s="134"/>
      <c r="N78" s="133"/>
      <c r="O78" s="133"/>
      <c r="P78" s="133"/>
      <c r="Q78" s="137"/>
      <c r="R78" s="133"/>
      <c r="S78" s="133"/>
      <c r="T78" s="133"/>
      <c r="U78" s="133"/>
      <c r="V78" s="133"/>
      <c r="X78" s="137">
        <v>0</v>
      </c>
      <c r="Y78" s="137">
        <f t="shared" ref="Y78:CA78" si="44">AF78-Y77</f>
        <v>0</v>
      </c>
      <c r="Z78" s="137">
        <f t="shared" si="44"/>
        <v>0</v>
      </c>
      <c r="AA78" s="137">
        <f t="shared" si="44"/>
        <v>0</v>
      </c>
      <c r="AB78" s="137">
        <f t="shared" si="44"/>
        <v>0</v>
      </c>
      <c r="AC78" s="137">
        <f t="shared" si="44"/>
        <v>0</v>
      </c>
      <c r="AD78" s="137">
        <f t="shared" si="44"/>
        <v>0</v>
      </c>
      <c r="AE78" s="137">
        <f>X78+X77</f>
        <v>-917620.3</v>
      </c>
      <c r="AF78" s="137">
        <f t="shared" si="44"/>
        <v>0</v>
      </c>
      <c r="AG78" s="137">
        <f t="shared" si="44"/>
        <v>0</v>
      </c>
      <c r="AH78" s="137">
        <f t="shared" si="44"/>
        <v>0</v>
      </c>
      <c r="AI78" s="137">
        <f t="shared" si="44"/>
        <v>0</v>
      </c>
      <c r="AJ78" s="137">
        <f t="shared" si="44"/>
        <v>0</v>
      </c>
      <c r="AK78" s="137">
        <f t="shared" si="44"/>
        <v>0</v>
      </c>
      <c r="AL78" s="137">
        <f>AE78+AE77</f>
        <v>-1220018.3500000001</v>
      </c>
      <c r="AM78" s="137">
        <f t="shared" si="44"/>
        <v>0</v>
      </c>
      <c r="AN78" s="137">
        <f t="shared" si="44"/>
        <v>0</v>
      </c>
      <c r="AO78" s="137">
        <f t="shared" si="44"/>
        <v>0</v>
      </c>
      <c r="AP78" s="137">
        <f t="shared" si="44"/>
        <v>0</v>
      </c>
      <c r="AQ78" s="137">
        <f t="shared" si="44"/>
        <v>0</v>
      </c>
      <c r="AR78" s="137">
        <f t="shared" si="44"/>
        <v>0</v>
      </c>
      <c r="AS78" s="137">
        <f>AL78+AL77</f>
        <v>1675246.23</v>
      </c>
      <c r="AT78" s="137">
        <f t="shared" si="44"/>
        <v>0</v>
      </c>
      <c r="AU78" s="137">
        <f t="shared" si="44"/>
        <v>0</v>
      </c>
      <c r="AV78" s="137">
        <f t="shared" si="44"/>
        <v>0</v>
      </c>
      <c r="AW78" s="137">
        <f t="shared" si="44"/>
        <v>0</v>
      </c>
      <c r="AX78" s="137">
        <f t="shared" si="44"/>
        <v>0</v>
      </c>
      <c r="AY78" s="137">
        <f t="shared" si="44"/>
        <v>0</v>
      </c>
      <c r="AZ78" s="137">
        <f>AS78+AS77</f>
        <v>2508758.3199999994</v>
      </c>
      <c r="BA78" s="137">
        <f t="shared" si="44"/>
        <v>0</v>
      </c>
      <c r="BB78" s="137">
        <f t="shared" si="44"/>
        <v>0</v>
      </c>
      <c r="BC78" s="137">
        <f t="shared" si="44"/>
        <v>0</v>
      </c>
      <c r="BD78" s="137">
        <f t="shared" si="44"/>
        <v>0</v>
      </c>
      <c r="BE78" s="137">
        <f t="shared" si="44"/>
        <v>0</v>
      </c>
      <c r="BF78" s="137">
        <f t="shared" si="44"/>
        <v>0</v>
      </c>
      <c r="BG78" s="137">
        <f>AZ78+AZ77</f>
        <v>4830318.8899999987</v>
      </c>
      <c r="BH78" s="137">
        <f t="shared" si="44"/>
        <v>0</v>
      </c>
      <c r="BI78" s="137">
        <f t="shared" si="44"/>
        <v>0</v>
      </c>
      <c r="BJ78" s="137">
        <f t="shared" si="44"/>
        <v>0</v>
      </c>
      <c r="BK78" s="137">
        <f t="shared" si="44"/>
        <v>0</v>
      </c>
      <c r="BL78" s="137">
        <f t="shared" si="44"/>
        <v>0</v>
      </c>
      <c r="BM78" s="137">
        <f t="shared" si="44"/>
        <v>0</v>
      </c>
      <c r="BN78" s="137">
        <f>BG78+BG77</f>
        <v>5327585.879999999</v>
      </c>
      <c r="BO78" s="137">
        <f t="shared" si="44"/>
        <v>0</v>
      </c>
      <c r="BP78" s="137">
        <f t="shared" si="44"/>
        <v>0</v>
      </c>
      <c r="BQ78" s="137">
        <f t="shared" si="44"/>
        <v>0</v>
      </c>
      <c r="BR78" s="137">
        <f t="shared" si="44"/>
        <v>0</v>
      </c>
      <c r="BS78" s="137">
        <f t="shared" si="44"/>
        <v>0</v>
      </c>
      <c r="BT78" s="137">
        <f t="shared" si="44"/>
        <v>0</v>
      </c>
      <c r="BU78" s="137">
        <f>BN78+BN77</f>
        <v>4090510.8899999987</v>
      </c>
      <c r="BV78" s="137">
        <f t="shared" si="44"/>
        <v>0</v>
      </c>
      <c r="BW78" s="137">
        <f t="shared" si="44"/>
        <v>0</v>
      </c>
      <c r="BX78" s="137">
        <f t="shared" si="44"/>
        <v>0</v>
      </c>
      <c r="BY78" s="137">
        <f t="shared" si="44"/>
        <v>0</v>
      </c>
      <c r="BZ78" s="137">
        <f t="shared" si="44"/>
        <v>0</v>
      </c>
      <c r="CA78" s="137">
        <f t="shared" si="44"/>
        <v>0</v>
      </c>
      <c r="CB78" s="137">
        <f>BU78+BU77</f>
        <v>7015245.9399999985</v>
      </c>
      <c r="CC78" s="133"/>
      <c r="CD78" s="133"/>
      <c r="CE78" s="133"/>
      <c r="CF78" s="133"/>
      <c r="CG78" s="133"/>
      <c r="CI78" s="137">
        <f>CB78+CB77</f>
        <v>9492181.0699999984</v>
      </c>
      <c r="CJ78" s="133"/>
      <c r="CK78" s="133"/>
      <c r="CL78" s="133"/>
      <c r="CM78" s="133"/>
      <c r="CN78" s="133"/>
      <c r="CP78" s="137">
        <v>0</v>
      </c>
      <c r="CR78" s="139"/>
      <c r="CS78" s="139"/>
      <c r="CT78" s="139"/>
      <c r="CU78" s="139">
        <f t="shared" si="38"/>
        <v>-4.8472586108251413E-4</v>
      </c>
      <c r="CV78" s="139">
        <f t="shared" si="39"/>
        <v>-6.4348116272966167E-4</v>
      </c>
      <c r="CW78" s="139">
        <f t="shared" si="40"/>
        <v>8.8319629798784408E-4</v>
      </c>
      <c r="CX78" s="139">
        <f t="shared" si="41"/>
        <v>1.3210102670338487E-3</v>
      </c>
      <c r="CY78" s="139">
        <f t="shared" si="42"/>
        <v>2.5427839956920061E-3</v>
      </c>
      <c r="CZ78" s="139">
        <f t="shared" si="43"/>
        <v>2.8063836407232249E-3</v>
      </c>
      <c r="DA78" s="139">
        <f t="shared" si="35"/>
        <v>2.1514217482314947E-3</v>
      </c>
      <c r="DB78" s="139">
        <f t="shared" si="36"/>
        <v>3.6848981747392294E-3</v>
      </c>
      <c r="DC78" s="139">
        <f t="shared" si="37"/>
        <v>4.9819685041622838E-3</v>
      </c>
    </row>
    <row r="79" spans="2:107" ht="16" x14ac:dyDescent="0.2">
      <c r="B79" s="141" t="s">
        <v>426</v>
      </c>
      <c r="C79" s="207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>
        <f>SUM(X74:X78)</f>
        <v>1884820757.3</v>
      </c>
      <c r="Y79" s="143"/>
      <c r="Z79" s="143"/>
      <c r="AA79" s="143"/>
      <c r="AB79" s="143"/>
      <c r="AC79" s="143"/>
      <c r="AD79" s="143"/>
      <c r="AE79" s="142">
        <f>SUM(AE74:AE78)</f>
        <v>1884518359.25</v>
      </c>
      <c r="AF79" s="143"/>
      <c r="AG79" s="143"/>
      <c r="AH79" s="143"/>
      <c r="AI79" s="143"/>
      <c r="AJ79" s="143"/>
      <c r="AK79" s="143"/>
      <c r="AL79" s="142">
        <f>SUM(AL74:AL78)</f>
        <v>1887413623.8299999</v>
      </c>
      <c r="AM79" s="143"/>
      <c r="AN79" s="143"/>
      <c r="AO79" s="143"/>
      <c r="AP79" s="143"/>
      <c r="AQ79" s="143"/>
      <c r="AR79" s="143"/>
      <c r="AS79" s="142">
        <f>SUM(AS74:AS78)</f>
        <v>1888247135.9199998</v>
      </c>
      <c r="AT79" s="143"/>
      <c r="AU79" s="143"/>
      <c r="AV79" s="143"/>
      <c r="AW79" s="143"/>
      <c r="AX79" s="143"/>
      <c r="AY79" s="143"/>
      <c r="AZ79" s="142">
        <f>SUM(AZ74:AZ78)</f>
        <v>1890568696.4899998</v>
      </c>
      <c r="BA79" s="143"/>
      <c r="BB79" s="143"/>
      <c r="BC79" s="143"/>
      <c r="BD79" s="143"/>
      <c r="BE79" s="143"/>
      <c r="BF79" s="143"/>
      <c r="BG79" s="142">
        <f>SUM(BG74:BG78)</f>
        <v>1891065963.48</v>
      </c>
      <c r="BH79" s="143"/>
      <c r="BI79" s="143"/>
      <c r="BJ79" s="143"/>
      <c r="BK79" s="143"/>
      <c r="BL79" s="143"/>
      <c r="BM79" s="143"/>
      <c r="BN79" s="142">
        <f>SUM(BN74:BN78)</f>
        <v>1889828888.49</v>
      </c>
      <c r="BO79" s="143"/>
      <c r="BP79" s="143"/>
      <c r="BQ79" s="143"/>
      <c r="BR79" s="143"/>
      <c r="BS79" s="143"/>
      <c r="BT79" s="143"/>
      <c r="BU79" s="142">
        <f>SUM(BU74:BU78)</f>
        <v>1892753623.54</v>
      </c>
      <c r="BV79" s="143"/>
      <c r="BW79" s="143"/>
      <c r="BX79" s="143"/>
      <c r="BY79" s="143"/>
      <c r="BZ79" s="143"/>
      <c r="CA79" s="143"/>
      <c r="CB79" s="142">
        <f>SUM(CB74:CB78)</f>
        <v>1895230558.6700001</v>
      </c>
      <c r="CC79" s="143"/>
      <c r="CD79" s="143"/>
      <c r="CE79" s="143"/>
      <c r="CF79" s="143"/>
      <c r="CG79" s="143"/>
      <c r="CH79" s="143"/>
      <c r="CI79" s="142">
        <f>SUM(CI74:CI78)</f>
        <v>1896755033.3399999</v>
      </c>
      <c r="CJ79" s="143"/>
      <c r="CK79" s="143"/>
      <c r="CL79" s="143"/>
      <c r="CM79" s="143"/>
      <c r="CN79" s="143"/>
      <c r="CO79" s="143"/>
      <c r="CP79" s="142">
        <f>SUM(CP74:CP78)</f>
        <v>1896755033.3399999</v>
      </c>
      <c r="CR79" s="145"/>
      <c r="CS79" s="145"/>
      <c r="CT79" s="145"/>
      <c r="CU79" s="145">
        <f t="shared" si="38"/>
        <v>0.99548231922644137</v>
      </c>
      <c r="CV79" s="145">
        <f t="shared" si="39"/>
        <v>0.99548921802195234</v>
      </c>
      <c r="CW79" s="145">
        <f t="shared" si="40"/>
        <v>0.99549120019848858</v>
      </c>
      <c r="CX79" s="145">
        <f t="shared" si="41"/>
        <v>0.99549671193361122</v>
      </c>
      <c r="CY79" s="145">
        <f t="shared" si="42"/>
        <v>0.99549789076862161</v>
      </c>
      <c r="CZ79" s="145">
        <f t="shared" si="43"/>
        <v>0.9954949569812459</v>
      </c>
      <c r="DA79" s="145">
        <f t="shared" si="35"/>
        <v>0.99550188698505682</v>
      </c>
      <c r="DB79" s="145">
        <f t="shared" si="36"/>
        <v>0.99550773929860181</v>
      </c>
      <c r="DC79" s="145">
        <f t="shared" si="37"/>
        <v>0.99551133364664768</v>
      </c>
    </row>
    <row r="80" spans="2:107" ht="16" x14ac:dyDescent="0.2">
      <c r="B80" s="141" t="s">
        <v>427</v>
      </c>
      <c r="C80" s="207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>
        <f>X73+X79</f>
        <v>1893373046.1699998</v>
      </c>
      <c r="Y80" s="143"/>
      <c r="Z80" s="143"/>
      <c r="AA80" s="143"/>
      <c r="AB80" s="143"/>
      <c r="AC80" s="143"/>
      <c r="AD80" s="143"/>
      <c r="AE80" s="142">
        <f>AE73+AE79</f>
        <v>1893070648.1199999</v>
      </c>
      <c r="AF80" s="143"/>
      <c r="AG80" s="143"/>
      <c r="AH80" s="143"/>
      <c r="AI80" s="143"/>
      <c r="AJ80" s="143"/>
      <c r="AK80" s="143"/>
      <c r="AL80" s="142">
        <f>AL73+AL79</f>
        <v>1895965912.6999998</v>
      </c>
      <c r="AM80" s="143"/>
      <c r="AN80" s="143"/>
      <c r="AO80" s="143"/>
      <c r="AP80" s="143"/>
      <c r="AQ80" s="143"/>
      <c r="AR80" s="143"/>
      <c r="AS80" s="142">
        <f>AS73+AS79</f>
        <v>1896799424.7899997</v>
      </c>
      <c r="AT80" s="143"/>
      <c r="AU80" s="143"/>
      <c r="AV80" s="143"/>
      <c r="AW80" s="143"/>
      <c r="AX80" s="143"/>
      <c r="AY80" s="143"/>
      <c r="AZ80" s="142">
        <f>AZ73+AZ79</f>
        <v>1899120985.3599997</v>
      </c>
      <c r="BA80" s="143"/>
      <c r="BB80" s="143"/>
      <c r="BC80" s="143"/>
      <c r="BD80" s="143"/>
      <c r="BE80" s="143"/>
      <c r="BF80" s="143"/>
      <c r="BG80" s="142">
        <f>BG73+BG79</f>
        <v>1899618252.3499999</v>
      </c>
      <c r="BH80" s="143"/>
      <c r="BI80" s="143"/>
      <c r="BJ80" s="143"/>
      <c r="BK80" s="143"/>
      <c r="BL80" s="143"/>
      <c r="BM80" s="143"/>
      <c r="BN80" s="142">
        <f>BN73+BN79</f>
        <v>1898381177.3599999</v>
      </c>
      <c r="BO80" s="143"/>
      <c r="BP80" s="143"/>
      <c r="BQ80" s="143"/>
      <c r="BR80" s="143"/>
      <c r="BS80" s="143"/>
      <c r="BT80" s="143"/>
      <c r="BU80" s="142">
        <f>BU73+BU79</f>
        <v>1901305912.4099998</v>
      </c>
      <c r="BV80" s="143"/>
      <c r="BW80" s="143"/>
      <c r="BX80" s="143"/>
      <c r="BY80" s="143"/>
      <c r="BZ80" s="143"/>
      <c r="CA80" s="143"/>
      <c r="CB80" s="142">
        <f>CB73+CB79</f>
        <v>1903782847.54</v>
      </c>
      <c r="CC80" s="143"/>
      <c r="CD80" s="143"/>
      <c r="CE80" s="143"/>
      <c r="CF80" s="143"/>
      <c r="CG80" s="143"/>
      <c r="CH80" s="143"/>
      <c r="CI80" s="142">
        <f>CI73+CI79</f>
        <v>1905307322.2099998</v>
      </c>
      <c r="CJ80" s="143"/>
      <c r="CK80" s="143"/>
      <c r="CL80" s="143"/>
      <c r="CM80" s="143"/>
      <c r="CN80" s="143"/>
      <c r="CO80" s="143"/>
      <c r="CP80" s="142">
        <f>CP73+CP79</f>
        <v>1905307322.2099998</v>
      </c>
      <c r="CR80" s="145"/>
      <c r="CS80" s="145"/>
      <c r="CT80" s="145"/>
      <c r="CU80" s="145">
        <f t="shared" si="38"/>
        <v>1</v>
      </c>
      <c r="CV80" s="145">
        <f t="shared" si="39"/>
        <v>1</v>
      </c>
      <c r="CW80" s="145">
        <f t="shared" si="40"/>
        <v>0.99999999999999989</v>
      </c>
      <c r="CX80" s="145">
        <f t="shared" si="41"/>
        <v>0.99999999999999989</v>
      </c>
      <c r="CY80" s="145">
        <f t="shared" si="42"/>
        <v>1</v>
      </c>
      <c r="CZ80" s="145">
        <f t="shared" si="43"/>
        <v>1</v>
      </c>
      <c r="DA80" s="145">
        <f t="shared" si="35"/>
        <v>1</v>
      </c>
      <c r="DB80" s="145">
        <f t="shared" si="36"/>
        <v>1</v>
      </c>
      <c r="DC80" s="145">
        <f t="shared" si="37"/>
        <v>1</v>
      </c>
    </row>
    <row r="81" spans="2:95" ht="16" x14ac:dyDescent="0.2">
      <c r="B81" s="160" t="s">
        <v>428</v>
      </c>
      <c r="D81" s="161"/>
      <c r="E81" s="161"/>
      <c r="F81" s="161"/>
      <c r="G81" s="161"/>
      <c r="H81" s="161"/>
      <c r="I81" s="161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>
        <f>X64-X80</f>
        <v>0</v>
      </c>
      <c r="Y81" s="234"/>
      <c r="Z81" s="234"/>
      <c r="AA81" s="234"/>
      <c r="AB81" s="234"/>
      <c r="AC81" s="234"/>
      <c r="AD81" s="234"/>
      <c r="AE81" s="234">
        <f>AE64-AE80</f>
        <v>0</v>
      </c>
      <c r="AF81" s="234"/>
      <c r="AG81" s="234"/>
      <c r="AH81" s="234"/>
      <c r="AI81" s="234"/>
      <c r="AJ81" s="234"/>
      <c r="AK81" s="234"/>
      <c r="AL81" s="234">
        <f>AL64-AL80</f>
        <v>0</v>
      </c>
      <c r="AM81" s="234"/>
      <c r="AN81" s="234"/>
      <c r="AO81" s="234"/>
      <c r="AP81" s="234"/>
      <c r="AQ81" s="234"/>
      <c r="AR81" s="234"/>
      <c r="AS81" s="234">
        <f>AS64-AS80</f>
        <v>0</v>
      </c>
      <c r="AT81" s="234"/>
      <c r="AU81" s="234"/>
      <c r="AV81" s="234"/>
      <c r="AW81" s="234"/>
      <c r="AX81" s="234"/>
      <c r="AY81" s="234"/>
      <c r="AZ81" s="234">
        <f>AZ64-AZ80</f>
        <v>0</v>
      </c>
      <c r="BA81" s="234"/>
      <c r="BB81" s="234"/>
      <c r="BC81" s="234"/>
      <c r="BD81" s="234"/>
      <c r="BE81" s="234"/>
      <c r="BF81" s="234"/>
      <c r="BG81" s="234">
        <f>BG64-BG80</f>
        <v>0</v>
      </c>
      <c r="BH81" s="234"/>
      <c r="BI81" s="234"/>
      <c r="BJ81" s="234"/>
      <c r="BK81" s="234"/>
      <c r="BL81" s="234"/>
      <c r="BM81" s="234"/>
      <c r="BN81" s="234">
        <f>BN64-BN80</f>
        <v>0</v>
      </c>
      <c r="BO81" s="234"/>
      <c r="BP81" s="234"/>
      <c r="BQ81" s="234"/>
      <c r="BR81" s="234"/>
      <c r="BS81" s="234"/>
      <c r="BT81" s="234"/>
      <c r="BU81" s="234">
        <f>BU64-BU80</f>
        <v>0</v>
      </c>
      <c r="BV81" s="234"/>
      <c r="BW81" s="234"/>
      <c r="BX81" s="234"/>
      <c r="BY81" s="234"/>
      <c r="BZ81" s="234"/>
      <c r="CA81" s="234"/>
      <c r="CB81" s="234">
        <f>CB64-CB80</f>
        <v>0</v>
      </c>
      <c r="CC81" s="234"/>
      <c r="CD81" s="234"/>
      <c r="CE81" s="234"/>
      <c r="CF81" s="234"/>
      <c r="CG81" s="234"/>
      <c r="CH81" s="234"/>
      <c r="CI81" s="234">
        <f>CI64-CI80</f>
        <v>0</v>
      </c>
      <c r="CJ81" s="213"/>
      <c r="CK81" s="213"/>
      <c r="CL81" s="213"/>
      <c r="CM81" s="213"/>
      <c r="CN81" s="213"/>
      <c r="CO81" s="213"/>
      <c r="CP81" s="234">
        <f>CP64-CP80</f>
        <v>0</v>
      </c>
    </row>
    <row r="82" spans="2:95" x14ac:dyDescent="0.2">
      <c r="D82" s="106"/>
      <c r="E82" s="106"/>
      <c r="F82" s="106"/>
      <c r="G82" s="133"/>
      <c r="H82" s="133"/>
      <c r="K82" s="106"/>
      <c r="L82" s="106"/>
      <c r="M82" s="106"/>
      <c r="N82" s="133"/>
      <c r="O82" s="133"/>
      <c r="X82" s="137"/>
    </row>
    <row r="83" spans="2:95" x14ac:dyDescent="0.2">
      <c r="D83" s="106"/>
      <c r="E83" s="106"/>
      <c r="K83" s="106"/>
      <c r="L83" s="106"/>
      <c r="X83" s="137"/>
      <c r="CQ83" s="266">
        <v>11016655.74</v>
      </c>
    </row>
    <row r="84" spans="2:95" s="181" customFormat="1" ht="16" x14ac:dyDescent="0.2">
      <c r="B84" s="183" t="s">
        <v>353</v>
      </c>
      <c r="C84" s="211"/>
      <c r="E84" s="186"/>
      <c r="L84" s="186"/>
      <c r="X84" s="261"/>
      <c r="CQ84" s="262"/>
    </row>
    <row r="85" spans="2:95" x14ac:dyDescent="0.2">
      <c r="B85" s="105" t="s">
        <v>352</v>
      </c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>
        <f>AE47</f>
        <v>-302398.05000000005</v>
      </c>
      <c r="AF85" s="137"/>
      <c r="AG85" s="137"/>
      <c r="AH85" s="137"/>
      <c r="AI85" s="137"/>
      <c r="AJ85" s="137"/>
      <c r="AK85" s="137"/>
      <c r="AL85" s="137">
        <f>AL47</f>
        <v>2895264.58</v>
      </c>
      <c r="AM85" s="137"/>
      <c r="AN85" s="137"/>
      <c r="AO85" s="137"/>
      <c r="AP85" s="137"/>
      <c r="AQ85" s="137"/>
      <c r="AR85" s="137"/>
      <c r="AS85" s="137">
        <f>AS47</f>
        <v>833512.08999999962</v>
      </c>
      <c r="AT85" s="137"/>
      <c r="AU85" s="137"/>
      <c r="AV85" s="137"/>
      <c r="AW85" s="137"/>
      <c r="AX85" s="137"/>
      <c r="AY85" s="137"/>
      <c r="AZ85" s="137">
        <f>AZ47</f>
        <v>2321560.5699999998</v>
      </c>
      <c r="BA85" s="137"/>
      <c r="BB85" s="137"/>
      <c r="BC85" s="137"/>
      <c r="BD85" s="137"/>
      <c r="BE85" s="137"/>
      <c r="BF85" s="137"/>
      <c r="BG85" s="137">
        <f>BG47</f>
        <v>497266.99000000069</v>
      </c>
      <c r="BH85" s="137"/>
      <c r="BI85" s="137"/>
      <c r="BJ85" s="137"/>
      <c r="BK85" s="137"/>
      <c r="BL85" s="137"/>
      <c r="BM85" s="137"/>
      <c r="BN85" s="137">
        <f>BN47</f>
        <v>-1237074.9900000002</v>
      </c>
      <c r="BO85" s="137"/>
      <c r="BP85" s="137"/>
      <c r="BQ85" s="137"/>
      <c r="BR85" s="137"/>
      <c r="BS85" s="137"/>
      <c r="BT85" s="137"/>
      <c r="BU85" s="137">
        <f>BU47</f>
        <v>2924735.05</v>
      </c>
      <c r="BV85" s="137"/>
      <c r="BW85" s="137"/>
      <c r="BX85" s="137"/>
      <c r="BY85" s="137"/>
      <c r="BZ85" s="137"/>
      <c r="CA85" s="137"/>
      <c r="CB85" s="137">
        <f>CB47</f>
        <v>2476935.13</v>
      </c>
      <c r="CC85" s="137"/>
      <c r="CD85" s="137"/>
      <c r="CE85" s="137"/>
      <c r="CF85" s="137"/>
      <c r="CG85" s="137"/>
      <c r="CH85" s="137"/>
      <c r="CI85" s="137">
        <f>CI47</f>
        <v>1524474.6700000002</v>
      </c>
      <c r="CJ85" s="137"/>
      <c r="CK85" s="137"/>
      <c r="CL85" s="137"/>
      <c r="CM85" s="137"/>
      <c r="CN85" s="137"/>
    </row>
    <row r="86" spans="2:95" x14ac:dyDescent="0.2">
      <c r="B86" s="105" t="s">
        <v>429</v>
      </c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>
        <f>+AE15</f>
        <v>0</v>
      </c>
      <c r="AF86" s="137"/>
      <c r="AG86" s="137"/>
      <c r="AH86" s="137"/>
      <c r="AI86" s="137"/>
      <c r="AJ86" s="137"/>
      <c r="AK86" s="137"/>
      <c r="AL86" s="137">
        <f>+AL15</f>
        <v>0</v>
      </c>
      <c r="AM86" s="137"/>
      <c r="AN86" s="137"/>
      <c r="AO86" s="137"/>
      <c r="AP86" s="137"/>
      <c r="AQ86" s="137"/>
      <c r="AR86" s="137"/>
      <c r="AS86" s="137">
        <f>+AS15</f>
        <v>0</v>
      </c>
      <c r="AT86" s="137"/>
      <c r="AU86" s="137"/>
      <c r="AV86" s="137"/>
      <c r="AW86" s="137"/>
      <c r="AX86" s="137"/>
      <c r="AY86" s="137"/>
      <c r="AZ86" s="137">
        <f>+AZ15</f>
        <v>0</v>
      </c>
      <c r="BA86" s="137"/>
      <c r="BB86" s="137"/>
      <c r="BC86" s="137"/>
      <c r="BD86" s="137"/>
      <c r="BE86" s="137"/>
      <c r="BF86" s="137"/>
      <c r="BG86" s="137">
        <f>+BG15</f>
        <v>0</v>
      </c>
      <c r="BH86" s="137"/>
      <c r="BI86" s="137"/>
      <c r="BJ86" s="137"/>
      <c r="BK86" s="137"/>
      <c r="BL86" s="137"/>
      <c r="BM86" s="137"/>
      <c r="BN86" s="137">
        <f>+BN15</f>
        <v>0</v>
      </c>
      <c r="BO86" s="137"/>
      <c r="BP86" s="137"/>
      <c r="BQ86" s="137"/>
      <c r="BR86" s="137"/>
      <c r="BS86" s="137"/>
      <c r="BT86" s="137"/>
      <c r="BU86" s="137">
        <f>+BU15</f>
        <v>0</v>
      </c>
      <c r="BV86" s="137"/>
      <c r="BW86" s="137"/>
      <c r="BX86" s="137"/>
      <c r="BY86" s="137"/>
      <c r="BZ86" s="137"/>
      <c r="CA86" s="137"/>
      <c r="CB86" s="137">
        <f>+CB15</f>
        <v>0</v>
      </c>
      <c r="CC86" s="137"/>
      <c r="CD86" s="137"/>
      <c r="CE86" s="137"/>
      <c r="CF86" s="137"/>
      <c r="CG86" s="137"/>
      <c r="CH86" s="137"/>
      <c r="CI86" s="137">
        <f>+CI15</f>
        <v>0</v>
      </c>
      <c r="CJ86" s="137"/>
      <c r="CK86" s="137"/>
      <c r="CL86" s="137"/>
      <c r="CM86" s="137"/>
      <c r="CN86" s="137"/>
    </row>
    <row r="87" spans="2:95" x14ac:dyDescent="0.2">
      <c r="B87" s="105" t="s">
        <v>430</v>
      </c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>
        <f>-(AE58-X58)</f>
        <v>0</v>
      </c>
      <c r="AF87" s="137"/>
      <c r="AG87" s="137"/>
      <c r="AH87" s="137"/>
      <c r="AI87" s="137"/>
      <c r="AJ87" s="137"/>
      <c r="AK87" s="137"/>
      <c r="AL87" s="137">
        <f>-(AL58-AE58)</f>
        <v>0</v>
      </c>
      <c r="AM87" s="137"/>
      <c r="AN87" s="137"/>
      <c r="AO87" s="137"/>
      <c r="AP87" s="137"/>
      <c r="AQ87" s="137"/>
      <c r="AR87" s="137"/>
      <c r="AS87" s="137">
        <f>-(AS58-AL58)</f>
        <v>0</v>
      </c>
      <c r="AT87" s="137"/>
      <c r="AU87" s="137"/>
      <c r="AV87" s="137"/>
      <c r="AW87" s="137"/>
      <c r="AX87" s="137"/>
      <c r="AY87" s="137"/>
      <c r="AZ87" s="137">
        <f>-(AZ58-AS58)</f>
        <v>0</v>
      </c>
      <c r="BA87" s="137"/>
      <c r="BB87" s="137"/>
      <c r="BC87" s="137"/>
      <c r="BD87" s="137"/>
      <c r="BE87" s="137"/>
      <c r="BF87" s="137"/>
      <c r="BG87" s="137">
        <f>-(BG58-AZ58)</f>
        <v>0</v>
      </c>
      <c r="BH87" s="137"/>
      <c r="BI87" s="137"/>
      <c r="BJ87" s="137"/>
      <c r="BK87" s="137"/>
      <c r="BL87" s="137"/>
      <c r="BM87" s="137"/>
      <c r="BN87" s="137">
        <f>-(BN58-BG58)</f>
        <v>0</v>
      </c>
      <c r="BO87" s="137"/>
      <c r="BP87" s="137"/>
      <c r="BQ87" s="137"/>
      <c r="BR87" s="137"/>
      <c r="BS87" s="137"/>
      <c r="BT87" s="137"/>
      <c r="BU87" s="137">
        <f>-(BU58-BN58)</f>
        <v>0</v>
      </c>
      <c r="BV87" s="137"/>
      <c r="BW87" s="137"/>
      <c r="BX87" s="137"/>
      <c r="BY87" s="137"/>
      <c r="BZ87" s="137"/>
      <c r="CA87" s="137"/>
      <c r="CB87" s="137">
        <f>-(CB58-BU58)</f>
        <v>0</v>
      </c>
      <c r="CC87" s="137"/>
      <c r="CD87" s="137"/>
      <c r="CE87" s="137"/>
      <c r="CF87" s="137"/>
      <c r="CG87" s="137"/>
      <c r="CH87" s="137"/>
      <c r="CI87" s="137">
        <f>-(CI58-CB58)</f>
        <v>0</v>
      </c>
      <c r="CJ87" s="137"/>
      <c r="CK87" s="137"/>
      <c r="CL87" s="137"/>
      <c r="CM87" s="137"/>
      <c r="CN87" s="137"/>
    </row>
    <row r="88" spans="2:95" x14ac:dyDescent="0.2">
      <c r="B88" s="105" t="s">
        <v>431</v>
      </c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>
        <f>-(AE59-X59)</f>
        <v>0</v>
      </c>
      <c r="AF88" s="137"/>
      <c r="AG88" s="137"/>
      <c r="AH88" s="137"/>
      <c r="AI88" s="137"/>
      <c r="AJ88" s="137"/>
      <c r="AK88" s="137"/>
      <c r="AL88" s="137">
        <f>-(AL59-AE59)</f>
        <v>0</v>
      </c>
      <c r="AM88" s="137"/>
      <c r="AN88" s="137"/>
      <c r="AO88" s="137"/>
      <c r="AP88" s="137"/>
      <c r="AQ88" s="137"/>
      <c r="AR88" s="137"/>
      <c r="AS88" s="137">
        <f>-(AS59-AL59)</f>
        <v>0</v>
      </c>
      <c r="AT88" s="137"/>
      <c r="AU88" s="137"/>
      <c r="AV88" s="137"/>
      <c r="AW88" s="137"/>
      <c r="AX88" s="137"/>
      <c r="AY88" s="137"/>
      <c r="AZ88" s="137">
        <f>-(AZ59-AS59)</f>
        <v>0</v>
      </c>
      <c r="BA88" s="137"/>
      <c r="BB88" s="137"/>
      <c r="BC88" s="137"/>
      <c r="BD88" s="137"/>
      <c r="BE88" s="137"/>
      <c r="BF88" s="137"/>
      <c r="BG88" s="137">
        <f>-(BG59-AZ59)</f>
        <v>0</v>
      </c>
      <c r="BH88" s="137"/>
      <c r="BI88" s="137"/>
      <c r="BJ88" s="137"/>
      <c r="BK88" s="137"/>
      <c r="BL88" s="137"/>
      <c r="BM88" s="137"/>
      <c r="BN88" s="137">
        <f>-(BN59-BG59)</f>
        <v>0</v>
      </c>
      <c r="BO88" s="137"/>
      <c r="BP88" s="137"/>
      <c r="BQ88" s="137"/>
      <c r="BR88" s="137"/>
      <c r="BS88" s="137"/>
      <c r="BT88" s="137"/>
      <c r="BU88" s="137">
        <f>-(BU59-BN59)</f>
        <v>0</v>
      </c>
      <c r="BV88" s="137"/>
      <c r="BW88" s="137"/>
      <c r="BX88" s="137"/>
      <c r="BY88" s="137"/>
      <c r="BZ88" s="137"/>
      <c r="CA88" s="137"/>
      <c r="CB88" s="137">
        <f>-(CB59-BU59)</f>
        <v>0</v>
      </c>
      <c r="CC88" s="137"/>
      <c r="CD88" s="137"/>
      <c r="CE88" s="137"/>
      <c r="CF88" s="137"/>
      <c r="CG88" s="137"/>
      <c r="CH88" s="137"/>
      <c r="CI88" s="137">
        <f>-(CI59-CB59)</f>
        <v>0</v>
      </c>
      <c r="CJ88" s="137"/>
      <c r="CK88" s="137"/>
      <c r="CL88" s="137"/>
      <c r="CM88" s="137"/>
      <c r="CN88" s="137"/>
    </row>
    <row r="89" spans="2:95" x14ac:dyDescent="0.2">
      <c r="B89" s="105" t="s">
        <v>432</v>
      </c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  <c r="AT89" s="137"/>
      <c r="AU89" s="137"/>
      <c r="AV89" s="137"/>
      <c r="AW89" s="137"/>
      <c r="AX89" s="137"/>
      <c r="AY89" s="137"/>
      <c r="AZ89" s="137">
        <f>-(AZ60-AS60)</f>
        <v>0</v>
      </c>
      <c r="BA89" s="137"/>
      <c r="BB89" s="137"/>
      <c r="BC89" s="137"/>
      <c r="BD89" s="137"/>
      <c r="BE89" s="137"/>
      <c r="BF89" s="137"/>
      <c r="BG89" s="137">
        <f>-(BG60-AZ60)</f>
        <v>0</v>
      </c>
      <c r="BH89" s="137"/>
      <c r="BI89" s="137"/>
      <c r="BJ89" s="137"/>
      <c r="BK89" s="137"/>
      <c r="BL89" s="137"/>
      <c r="BM89" s="137"/>
      <c r="BN89" s="137">
        <f>-(BN60-BG60)</f>
        <v>0</v>
      </c>
      <c r="BO89" s="137"/>
      <c r="BP89" s="137"/>
      <c r="BQ89" s="137"/>
      <c r="BR89" s="137"/>
      <c r="BS89" s="137"/>
      <c r="BT89" s="137"/>
      <c r="BU89" s="137">
        <f>-(BU60-BN60)</f>
        <v>0</v>
      </c>
      <c r="BV89" s="137"/>
      <c r="BW89" s="137"/>
      <c r="BX89" s="137"/>
      <c r="BY89" s="137"/>
      <c r="BZ89" s="137"/>
      <c r="CA89" s="137"/>
      <c r="CB89" s="137">
        <f>-(CB60-BU60)</f>
        <v>0</v>
      </c>
      <c r="CC89" s="137"/>
      <c r="CD89" s="137"/>
      <c r="CE89" s="137"/>
      <c r="CF89" s="137"/>
      <c r="CG89" s="137"/>
      <c r="CH89" s="137"/>
      <c r="CI89" s="137">
        <f>-(CI60-CB60)</f>
        <v>0</v>
      </c>
      <c r="CJ89" s="137"/>
      <c r="CK89" s="137"/>
      <c r="CL89" s="137"/>
      <c r="CM89" s="137"/>
      <c r="CN89" s="137"/>
    </row>
    <row r="90" spans="2:95" x14ac:dyDescent="0.2">
      <c r="B90" s="105" t="s">
        <v>433</v>
      </c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>
        <f>(AE66-X66)</f>
        <v>0</v>
      </c>
      <c r="AF90" s="137"/>
      <c r="AG90" s="137"/>
      <c r="AH90" s="137"/>
      <c r="AI90" s="137"/>
      <c r="AJ90" s="137"/>
      <c r="AK90" s="137"/>
      <c r="AL90" s="137">
        <f>(AL66-AE66)</f>
        <v>0</v>
      </c>
      <c r="AM90" s="137"/>
      <c r="AN90" s="137"/>
      <c r="AO90" s="137"/>
      <c r="AP90" s="137"/>
      <c r="AQ90" s="137"/>
      <c r="AR90" s="137"/>
      <c r="AS90" s="137">
        <f>(AS66-AL66)</f>
        <v>0</v>
      </c>
      <c r="AT90" s="137"/>
      <c r="AU90" s="137"/>
      <c r="AV90" s="137"/>
      <c r="AW90" s="137"/>
      <c r="AX90" s="137"/>
      <c r="AY90" s="137"/>
      <c r="AZ90" s="137">
        <f>(AZ66-AS66)</f>
        <v>0</v>
      </c>
      <c r="BA90" s="137"/>
      <c r="BB90" s="137"/>
      <c r="BC90" s="137"/>
      <c r="BD90" s="137"/>
      <c r="BE90" s="137"/>
      <c r="BF90" s="137"/>
      <c r="BG90" s="137">
        <f>(BG66-AZ66)</f>
        <v>0</v>
      </c>
      <c r="BH90" s="137"/>
      <c r="BI90" s="137"/>
      <c r="BJ90" s="137"/>
      <c r="BK90" s="137"/>
      <c r="BL90" s="137"/>
      <c r="BM90" s="137"/>
      <c r="BN90" s="137">
        <f>(BN66-BG66)</f>
        <v>0</v>
      </c>
      <c r="BO90" s="137"/>
      <c r="BP90" s="137"/>
      <c r="BQ90" s="137"/>
      <c r="BR90" s="137"/>
      <c r="BS90" s="137"/>
      <c r="BT90" s="137"/>
      <c r="BU90" s="137">
        <f>(BU66-BN66)</f>
        <v>0</v>
      </c>
      <c r="BV90" s="137"/>
      <c r="BW90" s="137"/>
      <c r="BX90" s="137"/>
      <c r="BY90" s="137"/>
      <c r="BZ90" s="137"/>
      <c r="CA90" s="137"/>
      <c r="CB90" s="137">
        <f>(CB66-BU66)</f>
        <v>0</v>
      </c>
      <c r="CC90" s="137"/>
      <c r="CD90" s="137"/>
      <c r="CE90" s="137"/>
      <c r="CF90" s="137"/>
      <c r="CG90" s="137"/>
      <c r="CH90" s="137"/>
      <c r="CI90" s="137">
        <f>(CI66-CB66)</f>
        <v>0</v>
      </c>
      <c r="CJ90" s="137"/>
      <c r="CK90" s="137"/>
      <c r="CL90" s="137"/>
      <c r="CM90" s="137"/>
      <c r="CN90" s="137"/>
    </row>
    <row r="91" spans="2:95" x14ac:dyDescent="0.2">
      <c r="B91" s="105" t="s">
        <v>434</v>
      </c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>
        <f>(AE65-X65)</f>
        <v>0</v>
      </c>
      <c r="AF91" s="137"/>
      <c r="AG91" s="137"/>
      <c r="AH91" s="137"/>
      <c r="AI91" s="137"/>
      <c r="AJ91" s="137"/>
      <c r="AK91" s="137"/>
      <c r="AL91" s="137">
        <f>(AL65-AE65)</f>
        <v>0</v>
      </c>
      <c r="AM91" s="137"/>
      <c r="AN91" s="137"/>
      <c r="AO91" s="137"/>
      <c r="AP91" s="137"/>
      <c r="AQ91" s="137"/>
      <c r="AR91" s="137"/>
      <c r="AS91" s="137">
        <f>(AS65-AL65)</f>
        <v>0</v>
      </c>
      <c r="AT91" s="137"/>
      <c r="AU91" s="137"/>
      <c r="AV91" s="137"/>
      <c r="AW91" s="137"/>
      <c r="AX91" s="137"/>
      <c r="AY91" s="137"/>
      <c r="AZ91" s="137">
        <f>(AZ65-AS65)</f>
        <v>0</v>
      </c>
      <c r="BA91" s="137"/>
      <c r="BB91" s="137"/>
      <c r="BC91" s="137"/>
      <c r="BD91" s="137"/>
      <c r="BE91" s="137"/>
      <c r="BF91" s="137"/>
      <c r="BG91" s="137">
        <f>(BG65-AZ65)</f>
        <v>0</v>
      </c>
      <c r="BH91" s="137"/>
      <c r="BI91" s="137"/>
      <c r="BJ91" s="137"/>
      <c r="BK91" s="137"/>
      <c r="BL91" s="137"/>
      <c r="BM91" s="137"/>
      <c r="BN91" s="137">
        <f>(BN65-BG65)</f>
        <v>0</v>
      </c>
      <c r="BO91" s="137"/>
      <c r="BP91" s="137"/>
      <c r="BQ91" s="137"/>
      <c r="BR91" s="137"/>
      <c r="BS91" s="137"/>
      <c r="BT91" s="137"/>
      <c r="BU91" s="137">
        <f>(BU65-BN65)</f>
        <v>0</v>
      </c>
      <c r="BV91" s="137"/>
      <c r="BW91" s="137"/>
      <c r="BX91" s="137"/>
      <c r="BY91" s="137"/>
      <c r="BZ91" s="137"/>
      <c r="CA91" s="137"/>
      <c r="CB91" s="137">
        <f>(CB65-BU65)</f>
        <v>0</v>
      </c>
      <c r="CC91" s="137"/>
      <c r="CD91" s="137"/>
      <c r="CE91" s="137"/>
      <c r="CF91" s="137"/>
      <c r="CG91" s="137"/>
      <c r="CH91" s="137"/>
      <c r="CI91" s="137">
        <f>(CI65-CB65)</f>
        <v>0</v>
      </c>
      <c r="CJ91" s="137"/>
      <c r="CK91" s="137"/>
      <c r="CL91" s="137"/>
      <c r="CM91" s="137"/>
      <c r="CN91" s="137"/>
    </row>
    <row r="92" spans="2:95" x14ac:dyDescent="0.2">
      <c r="B92" s="105" t="s">
        <v>435</v>
      </c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>
        <f>(AE67-X67)</f>
        <v>0</v>
      </c>
      <c r="AF92" s="137"/>
      <c r="AG92" s="137"/>
      <c r="AH92" s="137"/>
      <c r="AI92" s="137"/>
      <c r="AJ92" s="137"/>
      <c r="AK92" s="137"/>
      <c r="AL92" s="137">
        <f>(AL67-AE67)</f>
        <v>0</v>
      </c>
      <c r="AM92" s="137"/>
      <c r="AN92" s="137"/>
      <c r="AO92" s="137"/>
      <c r="AP92" s="137"/>
      <c r="AQ92" s="137"/>
      <c r="AR92" s="137"/>
      <c r="AS92" s="137">
        <f>(AS67-AL67)</f>
        <v>0</v>
      </c>
      <c r="AT92" s="137"/>
      <c r="AU92" s="137"/>
      <c r="AV92" s="137"/>
      <c r="AW92" s="137"/>
      <c r="AX92" s="137"/>
      <c r="AY92" s="137"/>
      <c r="AZ92" s="137">
        <f>(AZ67-AS67)</f>
        <v>0</v>
      </c>
      <c r="BA92" s="137"/>
      <c r="BB92" s="137"/>
      <c r="BC92" s="137"/>
      <c r="BD92" s="137"/>
      <c r="BE92" s="137"/>
      <c r="BF92" s="137"/>
      <c r="BG92" s="137">
        <f>(BG67-AZ67)</f>
        <v>0</v>
      </c>
      <c r="BH92" s="137"/>
      <c r="BI92" s="137"/>
      <c r="BJ92" s="137"/>
      <c r="BK92" s="137"/>
      <c r="BL92" s="137"/>
      <c r="BM92" s="137"/>
      <c r="BN92" s="137">
        <f>(BN67-BG67)</f>
        <v>0</v>
      </c>
      <c r="BO92" s="137"/>
      <c r="BP92" s="137"/>
      <c r="BQ92" s="137"/>
      <c r="BR92" s="137"/>
      <c r="BS92" s="137"/>
      <c r="BT92" s="137"/>
      <c r="BU92" s="137">
        <f>(BU67-BN67)</f>
        <v>0</v>
      </c>
      <c r="BV92" s="137"/>
      <c r="BW92" s="137"/>
      <c r="BX92" s="137"/>
      <c r="BY92" s="137"/>
      <c r="BZ92" s="137"/>
      <c r="CA92" s="137"/>
      <c r="CB92" s="137">
        <f>(CB67-BU67)</f>
        <v>0</v>
      </c>
      <c r="CC92" s="137"/>
      <c r="CD92" s="137"/>
      <c r="CE92" s="137"/>
      <c r="CF92" s="137"/>
      <c r="CG92" s="137"/>
      <c r="CH92" s="137"/>
      <c r="CI92" s="137">
        <f>(CI67-CB67)</f>
        <v>0</v>
      </c>
      <c r="CJ92" s="137"/>
      <c r="CK92" s="137"/>
      <c r="CL92" s="137"/>
      <c r="CM92" s="137"/>
      <c r="CN92" s="137"/>
    </row>
    <row r="93" spans="2:95" x14ac:dyDescent="0.2">
      <c r="B93" s="105" t="s">
        <v>436</v>
      </c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>
        <f>(AE69-X69)</f>
        <v>0</v>
      </c>
      <c r="AF93" s="137"/>
      <c r="AG93" s="137"/>
      <c r="AH93" s="137"/>
      <c r="AI93" s="137"/>
      <c r="AJ93" s="137"/>
      <c r="AK93" s="137"/>
      <c r="AL93" s="137">
        <f>(AL69-AE69)</f>
        <v>0</v>
      </c>
      <c r="AM93" s="137"/>
      <c r="AN93" s="137"/>
      <c r="AO93" s="137"/>
      <c r="AP93" s="137"/>
      <c r="AQ93" s="137"/>
      <c r="AR93" s="137"/>
      <c r="AS93" s="137">
        <f>(AS69-AL69)</f>
        <v>0</v>
      </c>
      <c r="AT93" s="137"/>
      <c r="AU93" s="137"/>
      <c r="AV93" s="137"/>
      <c r="AW93" s="137"/>
      <c r="AX93" s="137"/>
      <c r="AY93" s="137"/>
      <c r="AZ93" s="137">
        <f>(AZ69-AS69)</f>
        <v>0</v>
      </c>
      <c r="BA93" s="137"/>
      <c r="BB93" s="137"/>
      <c r="BC93" s="137"/>
      <c r="BD93" s="137"/>
      <c r="BE93" s="137"/>
      <c r="BF93" s="137"/>
      <c r="BG93" s="137">
        <f>(BG69-AZ69)</f>
        <v>0</v>
      </c>
      <c r="BH93" s="137"/>
      <c r="BI93" s="137"/>
      <c r="BJ93" s="137"/>
      <c r="BK93" s="137"/>
      <c r="BL93" s="137"/>
      <c r="BM93" s="137"/>
      <c r="BN93" s="137">
        <f>(BN69-BG69)</f>
        <v>0</v>
      </c>
      <c r="BO93" s="137"/>
      <c r="BP93" s="137"/>
      <c r="BQ93" s="137"/>
      <c r="BR93" s="137"/>
      <c r="BS93" s="137"/>
      <c r="BT93" s="137"/>
      <c r="BU93" s="137">
        <f>(BU69-BN69)</f>
        <v>0</v>
      </c>
      <c r="BV93" s="137"/>
      <c r="BW93" s="137"/>
      <c r="BX93" s="137"/>
      <c r="BY93" s="137"/>
      <c r="BZ93" s="137"/>
      <c r="CA93" s="137"/>
      <c r="CB93" s="137">
        <f>(CB69-BU69)</f>
        <v>0</v>
      </c>
      <c r="CC93" s="137"/>
      <c r="CD93" s="137"/>
      <c r="CE93" s="137"/>
      <c r="CF93" s="137"/>
      <c r="CG93" s="137"/>
      <c r="CH93" s="137"/>
      <c r="CI93" s="137">
        <f>(CI69-CB69)</f>
        <v>0</v>
      </c>
      <c r="CJ93" s="137"/>
      <c r="CK93" s="137"/>
      <c r="CL93" s="137"/>
      <c r="CM93" s="137"/>
      <c r="CN93" s="137"/>
    </row>
    <row r="94" spans="2:95" ht="16" x14ac:dyDescent="0.2">
      <c r="B94" s="141" t="s">
        <v>354</v>
      </c>
      <c r="C94" s="207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>
        <f>SUM(AE85:AE93)</f>
        <v>-302398.05000000005</v>
      </c>
      <c r="AF94" s="162"/>
      <c r="AG94" s="162"/>
      <c r="AH94" s="162"/>
      <c r="AI94" s="162"/>
      <c r="AJ94" s="162"/>
      <c r="AK94" s="162"/>
      <c r="AL94" s="162">
        <f>SUM(AL85:AL93)</f>
        <v>2895264.58</v>
      </c>
      <c r="AM94" s="162"/>
      <c r="AN94" s="162"/>
      <c r="AO94" s="162"/>
      <c r="AP94" s="162"/>
      <c r="AQ94" s="162"/>
      <c r="AR94" s="162"/>
      <c r="AS94" s="162">
        <f>SUM(AS85:AS93)</f>
        <v>833512.08999999962</v>
      </c>
      <c r="AT94" s="162"/>
      <c r="AU94" s="162"/>
      <c r="AV94" s="162"/>
      <c r="AW94" s="162"/>
      <c r="AX94" s="162"/>
      <c r="AY94" s="162"/>
      <c r="AZ94" s="162">
        <f>SUM(AZ85:AZ93)</f>
        <v>2321560.5699999998</v>
      </c>
      <c r="BA94" s="162"/>
      <c r="BB94" s="162"/>
      <c r="BC94" s="162"/>
      <c r="BD94" s="162"/>
      <c r="BE94" s="162"/>
      <c r="BF94" s="162"/>
      <c r="BG94" s="162">
        <f>SUM(BG85:BG93)</f>
        <v>497266.99000000069</v>
      </c>
      <c r="BH94" s="162"/>
      <c r="BI94" s="162"/>
      <c r="BJ94" s="162"/>
      <c r="BK94" s="162"/>
      <c r="BL94" s="162"/>
      <c r="BM94" s="162"/>
      <c r="BN94" s="162">
        <f>SUM(BN85:BN93)</f>
        <v>-1237074.9900000002</v>
      </c>
      <c r="BO94" s="162"/>
      <c r="BP94" s="162"/>
      <c r="BQ94" s="162"/>
      <c r="BR94" s="162"/>
      <c r="BS94" s="162"/>
      <c r="BT94" s="162"/>
      <c r="BU94" s="162">
        <f>SUM(BU85:BU93)</f>
        <v>2924735.05</v>
      </c>
      <c r="BV94" s="162"/>
      <c r="BW94" s="162"/>
      <c r="BX94" s="162"/>
      <c r="BY94" s="162"/>
      <c r="BZ94" s="162"/>
      <c r="CA94" s="162"/>
      <c r="CB94" s="162">
        <f>SUM(CB85:CB93)</f>
        <v>2476935.13</v>
      </c>
      <c r="CC94" s="162"/>
      <c r="CD94" s="162"/>
      <c r="CE94" s="162"/>
      <c r="CF94" s="162"/>
      <c r="CG94" s="162"/>
      <c r="CH94" s="162"/>
      <c r="CI94" s="162">
        <f>SUM(CI85:CI93)</f>
        <v>1524474.6700000002</v>
      </c>
      <c r="CJ94" s="163"/>
      <c r="CK94" s="163"/>
      <c r="CL94" s="163"/>
      <c r="CM94" s="163"/>
      <c r="CN94" s="163"/>
    </row>
    <row r="95" spans="2:95" x14ac:dyDescent="0.2">
      <c r="B95" s="105" t="s">
        <v>437</v>
      </c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>
        <f>-(AE62-X62+AE15)</f>
        <v>0</v>
      </c>
      <c r="AF95" s="137"/>
      <c r="AG95" s="137"/>
      <c r="AH95" s="137"/>
      <c r="AI95" s="137"/>
      <c r="AJ95" s="137"/>
      <c r="AK95" s="137"/>
      <c r="AL95" s="137">
        <f>-(AL62-AE62+AL15)</f>
        <v>0</v>
      </c>
      <c r="AM95" s="137"/>
      <c r="AN95" s="137"/>
      <c r="AO95" s="137"/>
      <c r="AP95" s="137"/>
      <c r="AQ95" s="137"/>
      <c r="AR95" s="137"/>
      <c r="AS95" s="137">
        <f>-(AS62-AL62+AS15)</f>
        <v>0</v>
      </c>
      <c r="AT95" s="137"/>
      <c r="AU95" s="137"/>
      <c r="AV95" s="137"/>
      <c r="AW95" s="137"/>
      <c r="AX95" s="137"/>
      <c r="AY95" s="137"/>
      <c r="AZ95" s="137">
        <f>-(AZ62-AS62+AZ15)</f>
        <v>0</v>
      </c>
      <c r="BA95" s="137"/>
      <c r="BB95" s="137"/>
      <c r="BC95" s="137"/>
      <c r="BD95" s="137"/>
      <c r="BE95" s="137"/>
      <c r="BF95" s="137"/>
      <c r="BG95" s="137">
        <f>-(BG62-AZ62+BG15)</f>
        <v>0</v>
      </c>
      <c r="BH95" s="137"/>
      <c r="BI95" s="137"/>
      <c r="BJ95" s="137"/>
      <c r="BK95" s="137"/>
      <c r="BL95" s="137"/>
      <c r="BM95" s="137"/>
      <c r="BN95" s="137">
        <f>-(BN62-BG62+BN15)</f>
        <v>0</v>
      </c>
      <c r="BO95" s="137"/>
      <c r="BP95" s="137"/>
      <c r="BQ95" s="137"/>
      <c r="BR95" s="137"/>
      <c r="BS95" s="137"/>
      <c r="BT95" s="137"/>
      <c r="BU95" s="137">
        <f>-(BU62-BN62+BU15)</f>
        <v>0</v>
      </c>
      <c r="BV95" s="137"/>
      <c r="BW95" s="137"/>
      <c r="BX95" s="137"/>
      <c r="BY95" s="137"/>
      <c r="BZ95" s="137"/>
      <c r="CA95" s="137"/>
      <c r="CB95" s="137">
        <f>-(CB62-BU62+CB15)</f>
        <v>0</v>
      </c>
      <c r="CC95" s="137"/>
      <c r="CD95" s="137"/>
      <c r="CE95" s="137"/>
      <c r="CF95" s="137"/>
      <c r="CG95" s="137"/>
      <c r="CH95" s="137"/>
      <c r="CI95" s="137">
        <f>-(CI62-CB62+CI15)</f>
        <v>0</v>
      </c>
      <c r="CJ95" s="137"/>
      <c r="CK95" s="137"/>
      <c r="CL95" s="137"/>
      <c r="CM95" s="137"/>
      <c r="CN95" s="137"/>
    </row>
    <row r="96" spans="2:95" ht="16" x14ac:dyDescent="0.2">
      <c r="B96" s="141" t="s">
        <v>355</v>
      </c>
      <c r="C96" s="207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>
        <f>SUM(AE95)</f>
        <v>0</v>
      </c>
      <c r="AF96" s="162"/>
      <c r="AG96" s="162"/>
      <c r="AH96" s="162"/>
      <c r="AI96" s="162"/>
      <c r="AJ96" s="162"/>
      <c r="AK96" s="162"/>
      <c r="AL96" s="162">
        <f>SUM(AL95)</f>
        <v>0</v>
      </c>
      <c r="AM96" s="162"/>
      <c r="AN96" s="162"/>
      <c r="AO96" s="162"/>
      <c r="AP96" s="162"/>
      <c r="AQ96" s="162"/>
      <c r="AR96" s="162"/>
      <c r="AS96" s="162">
        <f>SUM(AS95)</f>
        <v>0</v>
      </c>
      <c r="AT96" s="162"/>
      <c r="AU96" s="162"/>
      <c r="AV96" s="162"/>
      <c r="AW96" s="162"/>
      <c r="AX96" s="162"/>
      <c r="AY96" s="162"/>
      <c r="AZ96" s="162">
        <f>SUM(AZ95)</f>
        <v>0</v>
      </c>
      <c r="BA96" s="162"/>
      <c r="BB96" s="162"/>
      <c r="BC96" s="162"/>
      <c r="BD96" s="162"/>
      <c r="BE96" s="162"/>
      <c r="BF96" s="162"/>
      <c r="BG96" s="162">
        <f>SUM(BG95)</f>
        <v>0</v>
      </c>
      <c r="BH96" s="162"/>
      <c r="BI96" s="162"/>
      <c r="BJ96" s="162"/>
      <c r="BK96" s="162"/>
      <c r="BL96" s="162"/>
      <c r="BM96" s="162"/>
      <c r="BN96" s="162">
        <f>SUM(BN95)</f>
        <v>0</v>
      </c>
      <c r="BO96" s="162"/>
      <c r="BP96" s="162"/>
      <c r="BQ96" s="162"/>
      <c r="BR96" s="162"/>
      <c r="BS96" s="162"/>
      <c r="BT96" s="162"/>
      <c r="BU96" s="162">
        <f>SUM(BU95)</f>
        <v>0</v>
      </c>
      <c r="BV96" s="162"/>
      <c r="BW96" s="162"/>
      <c r="BX96" s="162"/>
      <c r="BY96" s="162"/>
      <c r="BZ96" s="162"/>
      <c r="CA96" s="162"/>
      <c r="CB96" s="162">
        <f>SUM(CB95)</f>
        <v>0</v>
      </c>
      <c r="CC96" s="162"/>
      <c r="CD96" s="162"/>
      <c r="CE96" s="162"/>
      <c r="CF96" s="162"/>
      <c r="CG96" s="162"/>
      <c r="CH96" s="162"/>
      <c r="CI96" s="162">
        <f>SUM(CI95)</f>
        <v>0</v>
      </c>
      <c r="CJ96" s="163"/>
      <c r="CK96" s="163"/>
      <c r="CL96" s="163"/>
      <c r="CM96" s="163"/>
      <c r="CN96" s="163"/>
    </row>
    <row r="97" spans="2:94" x14ac:dyDescent="0.2">
      <c r="B97" s="105" t="s">
        <v>438</v>
      </c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>
        <f>((AE68+AE71)-(X68+X71))</f>
        <v>0</v>
      </c>
      <c r="AF97" s="137"/>
      <c r="AG97" s="137"/>
      <c r="AH97" s="137"/>
      <c r="AI97" s="137"/>
      <c r="AJ97" s="137"/>
      <c r="AK97" s="137"/>
      <c r="AL97" s="137">
        <f>((AL68+AL71)-(AE68+AE71))</f>
        <v>0</v>
      </c>
      <c r="AM97" s="137"/>
      <c r="AN97" s="137"/>
      <c r="AO97" s="137"/>
      <c r="AP97" s="137"/>
      <c r="AQ97" s="137"/>
      <c r="AR97" s="137"/>
      <c r="AS97" s="137">
        <f>((AS68+AS71)-(AL68+AL71))</f>
        <v>0</v>
      </c>
      <c r="AT97" s="137"/>
      <c r="AU97" s="137"/>
      <c r="AV97" s="137"/>
      <c r="AW97" s="137"/>
      <c r="AX97" s="137"/>
      <c r="AY97" s="137"/>
      <c r="AZ97" s="137">
        <f>((AZ68+AZ71)-(AS68+AS71))</f>
        <v>0</v>
      </c>
      <c r="BA97" s="137"/>
      <c r="BB97" s="137"/>
      <c r="BC97" s="137"/>
      <c r="BD97" s="137"/>
      <c r="BE97" s="137"/>
      <c r="BF97" s="137"/>
      <c r="BG97" s="137">
        <f>((BG68+BG71)-(AZ68+AZ71))</f>
        <v>0</v>
      </c>
      <c r="BH97" s="137"/>
      <c r="BI97" s="137"/>
      <c r="BJ97" s="137"/>
      <c r="BK97" s="137"/>
      <c r="BL97" s="137"/>
      <c r="BM97" s="137"/>
      <c r="BN97" s="137">
        <f>((BN68+BN71)-(BG68+BG71))</f>
        <v>0</v>
      </c>
      <c r="BO97" s="137"/>
      <c r="BP97" s="137"/>
      <c r="BQ97" s="137"/>
      <c r="BR97" s="137"/>
      <c r="BS97" s="137"/>
      <c r="BT97" s="137"/>
      <c r="BU97" s="137">
        <f>((BU68+BU71)-(BN68+BN71))</f>
        <v>0</v>
      </c>
      <c r="BV97" s="137"/>
      <c r="BW97" s="137"/>
      <c r="BX97" s="137"/>
      <c r="BY97" s="137"/>
      <c r="BZ97" s="137"/>
      <c r="CA97" s="137"/>
      <c r="CB97" s="137">
        <f>((CB68+CB71)-(BU68+BU71))</f>
        <v>0</v>
      </c>
      <c r="CC97" s="137"/>
      <c r="CD97" s="137"/>
      <c r="CE97" s="137"/>
      <c r="CF97" s="137"/>
      <c r="CG97" s="137"/>
      <c r="CH97" s="137"/>
      <c r="CI97" s="137">
        <f>((CI68+CI71)-(CB68+CB71))</f>
        <v>0</v>
      </c>
      <c r="CJ97" s="137"/>
      <c r="CK97" s="137"/>
      <c r="CL97" s="137"/>
      <c r="CM97" s="137"/>
      <c r="CN97" s="137"/>
    </row>
    <row r="98" spans="2:94" x14ac:dyDescent="0.2">
      <c r="B98" s="105" t="s">
        <v>356</v>
      </c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>
        <f>(AE78-(X77+X78))</f>
        <v>0</v>
      </c>
      <c r="AF98" s="137"/>
      <c r="AG98" s="137"/>
      <c r="AH98" s="137"/>
      <c r="AI98" s="137"/>
      <c r="AJ98" s="137"/>
      <c r="AK98" s="137"/>
      <c r="AL98" s="137">
        <f>(AL78-(AE77+AE78))</f>
        <v>0</v>
      </c>
      <c r="AM98" s="137"/>
      <c r="AN98" s="137"/>
      <c r="AO98" s="137"/>
      <c r="AP98" s="137"/>
      <c r="AQ98" s="137"/>
      <c r="AR98" s="137"/>
      <c r="AS98" s="137">
        <f>(AS78-(AL77+AL78))</f>
        <v>0</v>
      </c>
      <c r="AT98" s="137"/>
      <c r="AU98" s="137"/>
      <c r="AV98" s="137"/>
      <c r="AW98" s="137"/>
      <c r="AX98" s="137"/>
      <c r="AY98" s="137"/>
      <c r="AZ98" s="137">
        <f>(AZ78-(AS77+AS78))</f>
        <v>0</v>
      </c>
      <c r="BA98" s="137"/>
      <c r="BB98" s="137"/>
      <c r="BC98" s="137"/>
      <c r="BD98" s="137"/>
      <c r="BE98" s="137"/>
      <c r="BF98" s="137"/>
      <c r="BG98" s="137">
        <f>(BG78-(AZ77+AZ78))</f>
        <v>0</v>
      </c>
      <c r="BH98" s="137"/>
      <c r="BI98" s="137"/>
      <c r="BJ98" s="137"/>
      <c r="BK98" s="137"/>
      <c r="BL98" s="137"/>
      <c r="BM98" s="137"/>
      <c r="BN98" s="137">
        <f>(BN78-(BG77+BG78))</f>
        <v>0</v>
      </c>
      <c r="BO98" s="137"/>
      <c r="BP98" s="137"/>
      <c r="BQ98" s="137"/>
      <c r="BR98" s="137"/>
      <c r="BS98" s="137"/>
      <c r="BT98" s="137"/>
      <c r="BU98" s="137">
        <f>(BU78-(BN77+BN78))</f>
        <v>0</v>
      </c>
      <c r="BV98" s="137"/>
      <c r="BW98" s="137"/>
      <c r="BX98" s="137"/>
      <c r="BY98" s="137"/>
      <c r="BZ98" s="137"/>
      <c r="CA98" s="137"/>
      <c r="CB98" s="137">
        <f>(CB78-(BU77+BU78))</f>
        <v>0</v>
      </c>
      <c r="CC98" s="137"/>
      <c r="CD98" s="137"/>
      <c r="CE98" s="137"/>
      <c r="CF98" s="137"/>
      <c r="CG98" s="137"/>
      <c r="CH98" s="137"/>
      <c r="CI98" s="137">
        <f>(CI78-(CB77+CB78))</f>
        <v>0</v>
      </c>
      <c r="CJ98" s="137"/>
      <c r="CK98" s="137"/>
      <c r="CL98" s="137"/>
      <c r="CM98" s="137"/>
      <c r="CN98" s="137"/>
    </row>
    <row r="99" spans="2:94" ht="16" x14ac:dyDescent="0.2">
      <c r="B99" s="141" t="s">
        <v>357</v>
      </c>
      <c r="C99" s="207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>
        <f>SUM(AE97:AE98)</f>
        <v>0</v>
      </c>
      <c r="AF99" s="162"/>
      <c r="AG99" s="162"/>
      <c r="AH99" s="162"/>
      <c r="AI99" s="162"/>
      <c r="AJ99" s="162"/>
      <c r="AK99" s="162"/>
      <c r="AL99" s="162">
        <f>SUM(AL97:AL98)</f>
        <v>0</v>
      </c>
      <c r="AM99" s="162"/>
      <c r="AN99" s="162"/>
      <c r="AO99" s="162"/>
      <c r="AP99" s="162"/>
      <c r="AQ99" s="162"/>
      <c r="AR99" s="162"/>
      <c r="AS99" s="162">
        <f>SUM(AS97:AS98)</f>
        <v>0</v>
      </c>
      <c r="AT99" s="162"/>
      <c r="AU99" s="162"/>
      <c r="AV99" s="162"/>
      <c r="AW99" s="162"/>
      <c r="AX99" s="162"/>
      <c r="AY99" s="162"/>
      <c r="AZ99" s="162">
        <f>SUM(AZ97:AZ98)</f>
        <v>0</v>
      </c>
      <c r="BA99" s="162"/>
      <c r="BB99" s="162"/>
      <c r="BC99" s="162"/>
      <c r="BD99" s="162"/>
      <c r="BE99" s="162"/>
      <c r="BF99" s="162"/>
      <c r="BG99" s="162">
        <f>SUM(BG97:BG98)</f>
        <v>0</v>
      </c>
      <c r="BH99" s="162"/>
      <c r="BI99" s="162"/>
      <c r="BJ99" s="162"/>
      <c r="BK99" s="162"/>
      <c r="BL99" s="162"/>
      <c r="BM99" s="162"/>
      <c r="BN99" s="162">
        <f>SUM(BN97:BN98)</f>
        <v>0</v>
      </c>
      <c r="BO99" s="162"/>
      <c r="BP99" s="162"/>
      <c r="BQ99" s="162"/>
      <c r="BR99" s="162"/>
      <c r="BS99" s="162"/>
      <c r="BT99" s="162"/>
      <c r="BU99" s="162">
        <f>SUM(BU97:BU98)</f>
        <v>0</v>
      </c>
      <c r="BV99" s="162"/>
      <c r="BW99" s="162"/>
      <c r="BX99" s="162"/>
      <c r="BY99" s="162"/>
      <c r="BZ99" s="162"/>
      <c r="CA99" s="162"/>
      <c r="CB99" s="162">
        <f>SUM(CB97:CB98)</f>
        <v>0</v>
      </c>
      <c r="CC99" s="162"/>
      <c r="CD99" s="162"/>
      <c r="CE99" s="162"/>
      <c r="CF99" s="162"/>
      <c r="CG99" s="162"/>
      <c r="CH99" s="162"/>
      <c r="CI99" s="162">
        <f>SUM(CI97:CI98)</f>
        <v>0</v>
      </c>
      <c r="CJ99" s="163"/>
      <c r="CK99" s="163"/>
      <c r="CL99" s="163"/>
      <c r="CM99" s="163"/>
      <c r="CN99" s="163"/>
    </row>
    <row r="100" spans="2:94" ht="16" x14ac:dyDescent="0.2">
      <c r="B100" s="141" t="s">
        <v>353</v>
      </c>
      <c r="C100" s="207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>
        <f>AE94+AE96+AE99</f>
        <v>-302398.05000000005</v>
      </c>
      <c r="AF100" s="162"/>
      <c r="AG100" s="162"/>
      <c r="AH100" s="162"/>
      <c r="AI100" s="162"/>
      <c r="AJ100" s="162"/>
      <c r="AK100" s="162"/>
      <c r="AL100" s="162">
        <f>AL94+AL96+AL99</f>
        <v>2895264.58</v>
      </c>
      <c r="AM100" s="162"/>
      <c r="AN100" s="162"/>
      <c r="AO100" s="162"/>
      <c r="AP100" s="162"/>
      <c r="AQ100" s="162"/>
      <c r="AR100" s="162"/>
      <c r="AS100" s="162">
        <f>AS94+AS96+AS99</f>
        <v>833512.08999999962</v>
      </c>
      <c r="AT100" s="162"/>
      <c r="AU100" s="162"/>
      <c r="AV100" s="162"/>
      <c r="AW100" s="162"/>
      <c r="AX100" s="162"/>
      <c r="AY100" s="162"/>
      <c r="AZ100" s="162">
        <f>AZ94+AZ96+AZ99</f>
        <v>2321560.5699999998</v>
      </c>
      <c r="BA100" s="162"/>
      <c r="BB100" s="162"/>
      <c r="BC100" s="162"/>
      <c r="BD100" s="162"/>
      <c r="BE100" s="162"/>
      <c r="BF100" s="162"/>
      <c r="BG100" s="162">
        <f>BG94+BG96+BG99</f>
        <v>497266.99000000069</v>
      </c>
      <c r="BH100" s="162"/>
      <c r="BI100" s="162"/>
      <c r="BJ100" s="162"/>
      <c r="BK100" s="162"/>
      <c r="BL100" s="162"/>
      <c r="BM100" s="162"/>
      <c r="BN100" s="162">
        <f>BN94+BN96+BN99</f>
        <v>-1237074.9900000002</v>
      </c>
      <c r="BO100" s="162"/>
      <c r="BP100" s="162"/>
      <c r="BQ100" s="162"/>
      <c r="BR100" s="162"/>
      <c r="BS100" s="162"/>
      <c r="BT100" s="162"/>
      <c r="BU100" s="162">
        <f>BU94+BU96+BU99</f>
        <v>2924735.05</v>
      </c>
      <c r="BV100" s="162"/>
      <c r="BW100" s="162"/>
      <c r="BX100" s="162"/>
      <c r="BY100" s="162"/>
      <c r="BZ100" s="162"/>
      <c r="CA100" s="162"/>
      <c r="CB100" s="162">
        <f>CB94+CB96+CB99</f>
        <v>2476935.13</v>
      </c>
      <c r="CC100" s="162"/>
      <c r="CD100" s="162"/>
      <c r="CE100" s="162"/>
      <c r="CF100" s="162"/>
      <c r="CG100" s="162"/>
      <c r="CH100" s="162"/>
      <c r="CI100" s="162">
        <f>CI94+CI96+CI99</f>
        <v>1524474.6700000002</v>
      </c>
      <c r="CJ100" s="163"/>
      <c r="CK100" s="163"/>
      <c r="CL100" s="163"/>
      <c r="CM100" s="163"/>
      <c r="CN100" s="163"/>
    </row>
    <row r="101" spans="2:94" x14ac:dyDescent="0.2">
      <c r="B101" s="105" t="s">
        <v>358</v>
      </c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>
        <f>X51</f>
        <v>7634668.5700000003</v>
      </c>
      <c r="AF101" s="137"/>
      <c r="AG101" s="137"/>
      <c r="AH101" s="137"/>
      <c r="AI101" s="137"/>
      <c r="AJ101" s="137"/>
      <c r="AK101" s="137"/>
      <c r="AL101" s="137">
        <f>AE51</f>
        <v>7332270.5199999996</v>
      </c>
      <c r="AM101" s="137"/>
      <c r="AN101" s="137"/>
      <c r="AO101" s="137"/>
      <c r="AP101" s="137"/>
      <c r="AQ101" s="137"/>
      <c r="AR101" s="137"/>
      <c r="AS101" s="137">
        <f>AL51</f>
        <v>10227535.1</v>
      </c>
      <c r="AT101" s="137"/>
      <c r="AU101" s="137"/>
      <c r="AV101" s="137"/>
      <c r="AW101" s="137"/>
      <c r="AX101" s="137"/>
      <c r="AY101" s="137"/>
      <c r="AZ101" s="137">
        <f>AS51</f>
        <v>11061047.190000001</v>
      </c>
      <c r="BA101" s="137"/>
      <c r="BB101" s="137"/>
      <c r="BC101" s="137"/>
      <c r="BD101" s="137"/>
      <c r="BE101" s="137"/>
      <c r="BF101" s="137"/>
      <c r="BG101" s="137">
        <f>AZ51</f>
        <v>13382607.76</v>
      </c>
      <c r="BH101" s="137"/>
      <c r="BI101" s="137"/>
      <c r="BJ101" s="137"/>
      <c r="BK101" s="137"/>
      <c r="BL101" s="137"/>
      <c r="BM101" s="137"/>
      <c r="BN101" s="137">
        <f>BG51</f>
        <v>13879874.75</v>
      </c>
      <c r="BO101" s="137"/>
      <c r="BP101" s="137"/>
      <c r="BQ101" s="137"/>
      <c r="BR101" s="137"/>
      <c r="BS101" s="137"/>
      <c r="BT101" s="137"/>
      <c r="BU101" s="137">
        <f>BN51</f>
        <v>12642799.76</v>
      </c>
      <c r="BV101" s="137"/>
      <c r="BW101" s="137"/>
      <c r="BX101" s="137"/>
      <c r="BY101" s="137"/>
      <c r="BZ101" s="137"/>
      <c r="CA101" s="137"/>
      <c r="CB101" s="137">
        <f>BU51</f>
        <v>15567534.810000001</v>
      </c>
      <c r="CC101" s="137"/>
      <c r="CD101" s="137"/>
      <c r="CE101" s="137"/>
      <c r="CF101" s="137"/>
      <c r="CG101" s="137"/>
      <c r="CH101" s="137"/>
      <c r="CI101" s="137">
        <f>CB51</f>
        <v>18044469.939999998</v>
      </c>
      <c r="CJ101" s="137"/>
      <c r="CK101" s="137"/>
      <c r="CL101" s="137"/>
      <c r="CM101" s="137"/>
      <c r="CN101" s="137"/>
    </row>
    <row r="102" spans="2:94" ht="16" x14ac:dyDescent="0.2">
      <c r="B102" s="141" t="s">
        <v>359</v>
      </c>
      <c r="C102" s="207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>
        <f>+AE100+AE101</f>
        <v>7332270.5200000005</v>
      </c>
      <c r="AF102" s="162"/>
      <c r="AG102" s="162"/>
      <c r="AH102" s="162"/>
      <c r="AI102" s="162"/>
      <c r="AJ102" s="162"/>
      <c r="AK102" s="162"/>
      <c r="AL102" s="162">
        <f>+AL100+AL101</f>
        <v>10227535.1</v>
      </c>
      <c r="AM102" s="162"/>
      <c r="AN102" s="162"/>
      <c r="AO102" s="162"/>
      <c r="AP102" s="162"/>
      <c r="AQ102" s="162"/>
      <c r="AR102" s="162"/>
      <c r="AS102" s="162">
        <f>+AS100+AS101</f>
        <v>11061047.189999999</v>
      </c>
      <c r="AT102" s="162"/>
      <c r="AU102" s="162"/>
      <c r="AV102" s="162"/>
      <c r="AW102" s="162"/>
      <c r="AX102" s="162"/>
      <c r="AY102" s="162"/>
      <c r="AZ102" s="162">
        <f>+AZ100+AZ101</f>
        <v>13382607.760000002</v>
      </c>
      <c r="BA102" s="162"/>
      <c r="BB102" s="162"/>
      <c r="BC102" s="162"/>
      <c r="BD102" s="162"/>
      <c r="BE102" s="162"/>
      <c r="BF102" s="162"/>
      <c r="BG102" s="162">
        <f>+BG100+BG101</f>
        <v>13879874.75</v>
      </c>
      <c r="BH102" s="162"/>
      <c r="BI102" s="162"/>
      <c r="BJ102" s="162"/>
      <c r="BK102" s="162"/>
      <c r="BL102" s="162"/>
      <c r="BM102" s="162"/>
      <c r="BN102" s="162">
        <f>+BN100+BN101</f>
        <v>12642799.76</v>
      </c>
      <c r="BO102" s="162"/>
      <c r="BP102" s="162"/>
      <c r="BQ102" s="162"/>
      <c r="BR102" s="162"/>
      <c r="BS102" s="162"/>
      <c r="BT102" s="162"/>
      <c r="BU102" s="162">
        <f>+BU100+BU101</f>
        <v>15567534.809999999</v>
      </c>
      <c r="BV102" s="162"/>
      <c r="BW102" s="162"/>
      <c r="BX102" s="162"/>
      <c r="BY102" s="162"/>
      <c r="BZ102" s="162"/>
      <c r="CA102" s="162"/>
      <c r="CB102" s="162">
        <f>+CB100+CB101</f>
        <v>18044469.940000001</v>
      </c>
      <c r="CC102" s="162"/>
      <c r="CD102" s="162"/>
      <c r="CE102" s="162"/>
      <c r="CF102" s="162"/>
      <c r="CG102" s="162"/>
      <c r="CH102" s="162"/>
      <c r="CI102" s="162">
        <f>+CI100+CI101</f>
        <v>19568944.609999999</v>
      </c>
      <c r="CJ102" s="163"/>
      <c r="CK102" s="163"/>
      <c r="CL102" s="163"/>
      <c r="CM102" s="163"/>
      <c r="CN102" s="163"/>
    </row>
    <row r="103" spans="2:94" x14ac:dyDescent="0.2">
      <c r="B103" s="105" t="s">
        <v>350</v>
      </c>
      <c r="D103" s="137"/>
      <c r="E103" s="137"/>
      <c r="F103" s="137"/>
      <c r="G103" s="137"/>
      <c r="H103" s="137"/>
      <c r="I103" s="137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>
        <f>AE102-AE51</f>
        <v>0</v>
      </c>
      <c r="AF103" s="233"/>
      <c r="AG103" s="233"/>
      <c r="AH103" s="233"/>
      <c r="AI103" s="233"/>
      <c r="AJ103" s="233"/>
      <c r="AK103" s="233"/>
      <c r="AL103" s="233">
        <f>AL102-AL51</f>
        <v>0</v>
      </c>
      <c r="AM103" s="233"/>
      <c r="AN103" s="233"/>
      <c r="AO103" s="233"/>
      <c r="AP103" s="233"/>
      <c r="AQ103" s="233"/>
      <c r="AR103" s="233"/>
      <c r="AS103" s="233">
        <f>AS102-AS51</f>
        <v>0</v>
      </c>
      <c r="AT103" s="233"/>
      <c r="AU103" s="233"/>
      <c r="AV103" s="233"/>
      <c r="AW103" s="233"/>
      <c r="AX103" s="233"/>
      <c r="AY103" s="233"/>
      <c r="AZ103" s="233">
        <f>AZ102-AZ51</f>
        <v>0</v>
      </c>
      <c r="BA103" s="233"/>
      <c r="BB103" s="233"/>
      <c r="BC103" s="233"/>
      <c r="BD103" s="233"/>
      <c r="BE103" s="233"/>
      <c r="BF103" s="233"/>
      <c r="BG103" s="233">
        <f>BG102-BG51</f>
        <v>0</v>
      </c>
      <c r="BH103" s="233"/>
      <c r="BI103" s="233"/>
      <c r="BJ103" s="233"/>
      <c r="BK103" s="233"/>
      <c r="BL103" s="233"/>
      <c r="BM103" s="233"/>
      <c r="BN103" s="233">
        <f>BN102-BN51</f>
        <v>0</v>
      </c>
      <c r="BO103" s="233"/>
      <c r="BP103" s="233"/>
      <c r="BQ103" s="233"/>
      <c r="BR103" s="233"/>
      <c r="BS103" s="233"/>
      <c r="BT103" s="233"/>
      <c r="BU103" s="233">
        <f>BU102-BU51</f>
        <v>0</v>
      </c>
      <c r="BV103" s="233"/>
      <c r="BW103" s="233"/>
      <c r="BX103" s="233"/>
      <c r="BY103" s="233"/>
      <c r="BZ103" s="233"/>
      <c r="CA103" s="233"/>
      <c r="CB103" s="233">
        <f>CB102-CB51</f>
        <v>0</v>
      </c>
      <c r="CC103" s="233"/>
      <c r="CD103" s="233"/>
      <c r="CE103" s="233"/>
      <c r="CF103" s="233"/>
      <c r="CG103" s="233"/>
      <c r="CH103" s="233"/>
      <c r="CI103" s="233">
        <f>CI102-CI51</f>
        <v>0</v>
      </c>
      <c r="CJ103" s="137"/>
      <c r="CK103" s="137"/>
      <c r="CL103" s="137"/>
      <c r="CM103" s="137"/>
      <c r="CN103" s="137"/>
    </row>
    <row r="104" spans="2:94" x14ac:dyDescent="0.2"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</row>
    <row r="106" spans="2:94" ht="16" x14ac:dyDescent="0.2">
      <c r="B106" s="183" t="s">
        <v>360</v>
      </c>
      <c r="C106" s="220"/>
      <c r="CJ106" s="164" t="e">
        <f t="shared" ref="CJ106:CO106" si="45">CJ61/CJ70</f>
        <v>#DIV/0!</v>
      </c>
      <c r="CK106" s="164" t="e">
        <f t="shared" si="45"/>
        <v>#DIV/0!</v>
      </c>
      <c r="CL106" s="164" t="e">
        <f t="shared" si="45"/>
        <v>#DIV/0!</v>
      </c>
      <c r="CM106" s="164" t="e">
        <f t="shared" si="45"/>
        <v>#DIV/0!</v>
      </c>
      <c r="CN106" s="164" t="e">
        <f t="shared" si="45"/>
        <v>#DIV/0!</v>
      </c>
      <c r="CO106" s="164" t="e">
        <f t="shared" si="45"/>
        <v>#DIV/0!</v>
      </c>
      <c r="CP106" s="164"/>
    </row>
    <row r="107" spans="2:94" x14ac:dyDescent="0.2">
      <c r="B107" s="105" t="s">
        <v>439</v>
      </c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 t="e">
        <f>AE61/AE70</f>
        <v>#DIV/0!</v>
      </c>
      <c r="AF107" s="164"/>
      <c r="AG107" s="164"/>
      <c r="AH107" s="164"/>
      <c r="AI107" s="164"/>
      <c r="AJ107" s="164"/>
      <c r="AK107" s="164"/>
      <c r="AL107" s="164" t="e">
        <f>AL61/AL70</f>
        <v>#DIV/0!</v>
      </c>
      <c r="AM107" s="164"/>
      <c r="AN107" s="164"/>
      <c r="AO107" s="164"/>
      <c r="AP107" s="164"/>
      <c r="AQ107" s="164"/>
      <c r="AR107" s="164"/>
      <c r="AS107" s="164" t="e">
        <f>AS61/AS70</f>
        <v>#DIV/0!</v>
      </c>
      <c r="AT107" s="164"/>
      <c r="AU107" s="164"/>
      <c r="AV107" s="164"/>
      <c r="AW107" s="164"/>
      <c r="AX107" s="164"/>
      <c r="AY107" s="164"/>
      <c r="AZ107" s="164" t="e">
        <f>AZ61/AZ70</f>
        <v>#DIV/0!</v>
      </c>
      <c r="BA107" s="164"/>
      <c r="BB107" s="164"/>
      <c r="BC107" s="164"/>
      <c r="BD107" s="164"/>
      <c r="BE107" s="164"/>
      <c r="BF107" s="164"/>
      <c r="BG107" s="164" t="e">
        <f>BG61/BG70</f>
        <v>#DIV/0!</v>
      </c>
      <c r="BH107" s="164"/>
      <c r="BI107" s="164"/>
      <c r="BJ107" s="164"/>
      <c r="BK107" s="164"/>
      <c r="BL107" s="164"/>
      <c r="BM107" s="164"/>
      <c r="BN107" s="164" t="e">
        <f>BN61/BN70</f>
        <v>#DIV/0!</v>
      </c>
      <c r="BO107" s="164"/>
      <c r="BP107" s="164"/>
      <c r="BQ107" s="164"/>
      <c r="BR107" s="164"/>
      <c r="BS107" s="164"/>
      <c r="BT107" s="164"/>
      <c r="BU107" s="164" t="e">
        <f>BU61/BU70</f>
        <v>#DIV/0!</v>
      </c>
      <c r="BV107" s="164"/>
      <c r="BW107" s="164"/>
      <c r="BX107" s="164"/>
      <c r="BY107" s="164"/>
      <c r="BZ107" s="164"/>
      <c r="CA107" s="164"/>
      <c r="CB107" s="164" t="e">
        <f>CB61/CB70</f>
        <v>#DIV/0!</v>
      </c>
      <c r="CC107" s="164"/>
      <c r="CD107" s="164"/>
      <c r="CE107" s="164"/>
      <c r="CF107" s="164"/>
      <c r="CG107" s="164"/>
      <c r="CH107" s="164"/>
      <c r="CI107" s="164" t="e">
        <f>CI61/CI70</f>
        <v>#DIV/0!</v>
      </c>
      <c r="CJ107" s="164" t="e">
        <f>(CJ61-#REF!)/CJ70</f>
        <v>#REF!</v>
      </c>
      <c r="CK107" s="164" t="e">
        <f>(CK61-#REF!)/CK70</f>
        <v>#REF!</v>
      </c>
      <c r="CL107" s="164" t="e">
        <f>(CL61-#REF!)/CL70</f>
        <v>#REF!</v>
      </c>
      <c r="CM107" s="164" t="e">
        <f>(CM61-#REF!)/CM70</f>
        <v>#REF!</v>
      </c>
      <c r="CN107" s="164" t="e">
        <f>(CN61-#REF!)/CN70</f>
        <v>#REF!</v>
      </c>
      <c r="CO107" s="164" t="e">
        <f>(CO61-#REF!)/CO70</f>
        <v>#REF!</v>
      </c>
      <c r="CP107" s="164"/>
    </row>
    <row r="108" spans="2:94" x14ac:dyDescent="0.2">
      <c r="B108" s="105" t="s">
        <v>361</v>
      </c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 t="e">
        <f>(AE61-AE59)/AE70</f>
        <v>#DIV/0!</v>
      </c>
      <c r="AF108" s="164"/>
      <c r="AG108" s="164"/>
      <c r="AH108" s="164"/>
      <c r="AI108" s="164"/>
      <c r="AJ108" s="164"/>
      <c r="AK108" s="164"/>
      <c r="AL108" s="164" t="e">
        <f>(AL61-AL59)/AL70</f>
        <v>#DIV/0!</v>
      </c>
      <c r="AM108" s="164"/>
      <c r="AN108" s="164"/>
      <c r="AO108" s="164"/>
      <c r="AP108" s="164"/>
      <c r="AQ108" s="164"/>
      <c r="AR108" s="164"/>
      <c r="AS108" s="164" t="e">
        <f>(AS61-AS59)/AS70</f>
        <v>#DIV/0!</v>
      </c>
      <c r="AT108" s="164"/>
      <c r="AU108" s="164"/>
      <c r="AV108" s="164"/>
      <c r="AW108" s="164"/>
      <c r="AX108" s="164"/>
      <c r="AY108" s="164"/>
      <c r="AZ108" s="164" t="e">
        <f>(AZ61-AZ59)/AZ70</f>
        <v>#DIV/0!</v>
      </c>
      <c r="BA108" s="164"/>
      <c r="BB108" s="164"/>
      <c r="BC108" s="164"/>
      <c r="BD108" s="164"/>
      <c r="BE108" s="164"/>
      <c r="BF108" s="164"/>
      <c r="BG108" s="164" t="e">
        <f>(BG61-BG59)/BG70</f>
        <v>#DIV/0!</v>
      </c>
      <c r="BH108" s="164"/>
      <c r="BI108" s="164"/>
      <c r="BJ108" s="164"/>
      <c r="BK108" s="164"/>
      <c r="BL108" s="164"/>
      <c r="BM108" s="164"/>
      <c r="BN108" s="164" t="e">
        <f>(BN61-BN59)/BN70</f>
        <v>#DIV/0!</v>
      </c>
      <c r="BO108" s="164"/>
      <c r="BP108" s="164"/>
      <c r="BQ108" s="164"/>
      <c r="BR108" s="164"/>
      <c r="BS108" s="164"/>
      <c r="BT108" s="164"/>
      <c r="BU108" s="164" t="e">
        <f>(BU61-BU59)/BU70</f>
        <v>#DIV/0!</v>
      </c>
      <c r="BV108" s="164"/>
      <c r="BW108" s="164"/>
      <c r="BX108" s="164"/>
      <c r="BY108" s="164"/>
      <c r="BZ108" s="164"/>
      <c r="CA108" s="164"/>
      <c r="CB108" s="164" t="e">
        <f>(CB61-CB59)/CB70</f>
        <v>#DIV/0!</v>
      </c>
      <c r="CC108" s="164"/>
      <c r="CD108" s="164"/>
      <c r="CE108" s="164"/>
      <c r="CF108" s="164"/>
      <c r="CG108" s="164"/>
      <c r="CH108" s="164"/>
      <c r="CI108" s="164" t="e">
        <f>(CI61-CI59)/CI70</f>
        <v>#DIV/0!</v>
      </c>
      <c r="CJ108" s="137">
        <f t="shared" ref="CJ108:CO108" si="46">CJ61-CJ70</f>
        <v>0</v>
      </c>
      <c r="CK108" s="137">
        <f t="shared" si="46"/>
        <v>0</v>
      </c>
      <c r="CL108" s="137">
        <f t="shared" si="46"/>
        <v>0</v>
      </c>
      <c r="CM108" s="137">
        <f t="shared" si="46"/>
        <v>0</v>
      </c>
      <c r="CN108" s="137">
        <f t="shared" si="46"/>
        <v>0</v>
      </c>
      <c r="CO108" s="137">
        <f t="shared" si="46"/>
        <v>0</v>
      </c>
      <c r="CP108" s="137"/>
    </row>
    <row r="109" spans="2:94" x14ac:dyDescent="0.2">
      <c r="B109" s="105" t="s">
        <v>362</v>
      </c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>
        <f>AE61-AE70</f>
        <v>7332270.5199999996</v>
      </c>
      <c r="AF109" s="137"/>
      <c r="AG109" s="137"/>
      <c r="AH109" s="137"/>
      <c r="AI109" s="137"/>
      <c r="AJ109" s="137"/>
      <c r="AK109" s="137"/>
      <c r="AL109" s="137">
        <f>AL61-AL70</f>
        <v>10227535.1</v>
      </c>
      <c r="AM109" s="137"/>
      <c r="AN109" s="137"/>
      <c r="AO109" s="137"/>
      <c r="AP109" s="137"/>
      <c r="AQ109" s="137"/>
      <c r="AR109" s="137"/>
      <c r="AS109" s="137">
        <f>AS61-AS70</f>
        <v>11061047.190000001</v>
      </c>
      <c r="AT109" s="137"/>
      <c r="AU109" s="137"/>
      <c r="AV109" s="137"/>
      <c r="AW109" s="137"/>
      <c r="AX109" s="137"/>
      <c r="AY109" s="137"/>
      <c r="AZ109" s="137">
        <f>AZ61-AZ70</f>
        <v>13382607.76</v>
      </c>
      <c r="BA109" s="137"/>
      <c r="BB109" s="137"/>
      <c r="BC109" s="137"/>
      <c r="BD109" s="137"/>
      <c r="BE109" s="137"/>
      <c r="BF109" s="137"/>
      <c r="BG109" s="137">
        <f>BG61-BG70</f>
        <v>13879874.75</v>
      </c>
      <c r="BH109" s="137"/>
      <c r="BI109" s="137"/>
      <c r="BJ109" s="137"/>
      <c r="BK109" s="137"/>
      <c r="BL109" s="137"/>
      <c r="BM109" s="137"/>
      <c r="BN109" s="137">
        <f>BN61-BN70</f>
        <v>12642799.76</v>
      </c>
      <c r="BO109" s="137"/>
      <c r="BP109" s="137"/>
      <c r="BQ109" s="137"/>
      <c r="BR109" s="137"/>
      <c r="BS109" s="137"/>
      <c r="BT109" s="137"/>
      <c r="BU109" s="137">
        <f>BU61-BU70</f>
        <v>15567534.810000001</v>
      </c>
      <c r="BV109" s="137"/>
      <c r="BW109" s="137"/>
      <c r="BX109" s="137"/>
      <c r="BY109" s="137"/>
      <c r="BZ109" s="137"/>
      <c r="CA109" s="137"/>
      <c r="CB109" s="137">
        <f>CB61-CB70</f>
        <v>18044469.939999998</v>
      </c>
      <c r="CC109" s="137"/>
      <c r="CD109" s="137"/>
      <c r="CE109" s="137"/>
      <c r="CF109" s="137"/>
      <c r="CG109" s="137"/>
      <c r="CH109" s="137"/>
      <c r="CI109" s="137">
        <f>CI61-CI70</f>
        <v>19568944.609999999</v>
      </c>
      <c r="CJ109" s="137" t="e">
        <f>CJ58+#REF!-CJ66</f>
        <v>#REF!</v>
      </c>
      <c r="CK109" s="137" t="e">
        <f>CK58+#REF!-CK66</f>
        <v>#REF!</v>
      </c>
      <c r="CL109" s="137" t="e">
        <f>CL58+#REF!-CL66</f>
        <v>#REF!</v>
      </c>
      <c r="CM109" s="137" t="e">
        <f>CM58+#REF!-CM66</f>
        <v>#REF!</v>
      </c>
      <c r="CN109" s="137" t="e">
        <f>CN58+#REF!-CN66</f>
        <v>#REF!</v>
      </c>
      <c r="CO109" s="137" t="e">
        <f>CO58+#REF!-CO66</f>
        <v>#REF!</v>
      </c>
      <c r="CP109" s="137"/>
    </row>
    <row r="110" spans="2:94" x14ac:dyDescent="0.2">
      <c r="B110" s="105" t="s">
        <v>363</v>
      </c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>
        <f>AE58+AE59-AE66</f>
        <v>0</v>
      </c>
      <c r="AF110" s="137"/>
      <c r="AG110" s="137"/>
      <c r="AH110" s="137"/>
      <c r="AI110" s="137"/>
      <c r="AJ110" s="137"/>
      <c r="AK110" s="137"/>
      <c r="AL110" s="137">
        <f>AL58+AL59-AL66</f>
        <v>0</v>
      </c>
      <c r="AM110" s="137"/>
      <c r="AN110" s="137"/>
      <c r="AO110" s="137"/>
      <c r="AP110" s="137"/>
      <c r="AQ110" s="137"/>
      <c r="AR110" s="137"/>
      <c r="AS110" s="137">
        <f>AS58+AS59-AS66</f>
        <v>0</v>
      </c>
      <c r="AT110" s="137"/>
      <c r="AU110" s="137"/>
      <c r="AV110" s="137"/>
      <c r="AW110" s="137"/>
      <c r="AX110" s="137"/>
      <c r="AY110" s="137"/>
      <c r="AZ110" s="137">
        <f>AZ58+AZ59-AZ66</f>
        <v>0</v>
      </c>
      <c r="BA110" s="137"/>
      <c r="BB110" s="137"/>
      <c r="BC110" s="137"/>
      <c r="BD110" s="137"/>
      <c r="BE110" s="137"/>
      <c r="BF110" s="137"/>
      <c r="BG110" s="137">
        <f>BG58+BG59-BG66</f>
        <v>0</v>
      </c>
      <c r="BH110" s="137"/>
      <c r="BI110" s="137"/>
      <c r="BJ110" s="137"/>
      <c r="BK110" s="137"/>
      <c r="BL110" s="137"/>
      <c r="BM110" s="137"/>
      <c r="BN110" s="137">
        <f>BN58+BN59-BN66</f>
        <v>0</v>
      </c>
      <c r="BO110" s="137"/>
      <c r="BP110" s="137"/>
      <c r="BQ110" s="137"/>
      <c r="BR110" s="137"/>
      <c r="BS110" s="137"/>
      <c r="BT110" s="137"/>
      <c r="BU110" s="137">
        <f>BU58+BU59-BU66</f>
        <v>0</v>
      </c>
      <c r="BV110" s="137"/>
      <c r="BW110" s="137"/>
      <c r="BX110" s="137"/>
      <c r="BY110" s="137"/>
      <c r="BZ110" s="137"/>
      <c r="CA110" s="137"/>
      <c r="CB110" s="137">
        <f>CB58+CB59-CB66</f>
        <v>0</v>
      </c>
      <c r="CC110" s="137"/>
      <c r="CD110" s="137"/>
      <c r="CE110" s="137"/>
      <c r="CF110" s="137"/>
      <c r="CG110" s="137"/>
      <c r="CH110" s="137"/>
      <c r="CI110" s="137">
        <f>CI58+CI59-CI66</f>
        <v>0</v>
      </c>
    </row>
    <row r="112" spans="2:94" ht="16" x14ac:dyDescent="0.2">
      <c r="B112" s="183" t="s">
        <v>364</v>
      </c>
      <c r="C112" s="214"/>
      <c r="CJ112" s="165">
        <f t="shared" ref="CJ112:CO112" si="47">CJ58*365/CJ6</f>
        <v>0</v>
      </c>
      <c r="CK112" s="165" t="e">
        <f t="shared" si="47"/>
        <v>#DIV/0!</v>
      </c>
      <c r="CL112" s="165">
        <f t="shared" si="47"/>
        <v>0</v>
      </c>
      <c r="CM112" s="165">
        <f t="shared" si="47"/>
        <v>0</v>
      </c>
      <c r="CN112" s="165">
        <f t="shared" si="47"/>
        <v>0</v>
      </c>
      <c r="CO112" s="165">
        <f t="shared" si="47"/>
        <v>0</v>
      </c>
      <c r="CP112" s="165"/>
    </row>
    <row r="113" spans="2:94" x14ac:dyDescent="0.2">
      <c r="B113" s="105" t="s">
        <v>440</v>
      </c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>
        <f>AE58*365/AE6</f>
        <v>0</v>
      </c>
      <c r="AF113" s="165"/>
      <c r="AG113" s="165"/>
      <c r="AH113" s="165"/>
      <c r="AI113" s="165"/>
      <c r="AJ113" s="165"/>
      <c r="AK113" s="165"/>
      <c r="AL113" s="165">
        <f>AL58*365/AL6</f>
        <v>0</v>
      </c>
      <c r="AM113" s="165"/>
      <c r="AN113" s="165"/>
      <c r="AO113" s="165"/>
      <c r="AP113" s="165"/>
      <c r="AQ113" s="165"/>
      <c r="AR113" s="165"/>
      <c r="AS113" s="165">
        <f>AS58*365/AS6</f>
        <v>0</v>
      </c>
      <c r="AT113" s="165"/>
      <c r="AU113" s="165"/>
      <c r="AV113" s="165"/>
      <c r="AW113" s="165"/>
      <c r="AX113" s="165"/>
      <c r="AY113" s="165"/>
      <c r="AZ113" s="165">
        <f>AZ58*365/AZ6</f>
        <v>0</v>
      </c>
      <c r="BA113" s="165"/>
      <c r="BB113" s="165"/>
      <c r="BC113" s="165"/>
      <c r="BD113" s="165"/>
      <c r="BE113" s="165"/>
      <c r="BF113" s="165"/>
      <c r="BG113" s="165">
        <f>BG58*365/BG6</f>
        <v>0</v>
      </c>
      <c r="BH113" s="165"/>
      <c r="BI113" s="165"/>
      <c r="BJ113" s="165"/>
      <c r="BK113" s="165"/>
      <c r="BL113" s="165"/>
      <c r="BM113" s="165"/>
      <c r="BN113" s="165">
        <f>BN58*365/BN6</f>
        <v>0</v>
      </c>
      <c r="BO113" s="165"/>
      <c r="BP113" s="165"/>
      <c r="BQ113" s="165"/>
      <c r="BR113" s="165"/>
      <c r="BS113" s="165"/>
      <c r="BT113" s="165"/>
      <c r="BU113" s="165">
        <f>BU58*365/BU6</f>
        <v>0</v>
      </c>
      <c r="BV113" s="165"/>
      <c r="BW113" s="165"/>
      <c r="BX113" s="165"/>
      <c r="BY113" s="165"/>
      <c r="BZ113" s="165"/>
      <c r="CA113" s="165"/>
      <c r="CB113" s="165">
        <f>CB58*365/CB6</f>
        <v>0</v>
      </c>
      <c r="CC113" s="165"/>
      <c r="CD113" s="165"/>
      <c r="CE113" s="165"/>
      <c r="CF113" s="165"/>
      <c r="CG113" s="165"/>
      <c r="CH113" s="165"/>
      <c r="CI113" s="165">
        <f>CI58*365/CI6</f>
        <v>0</v>
      </c>
      <c r="CJ113" s="165" t="e">
        <f>#REF!*365/CJ7</f>
        <v>#REF!</v>
      </c>
      <c r="CK113" s="165" t="e">
        <f>#REF!*365/CK7</f>
        <v>#REF!</v>
      </c>
      <c r="CL113" s="165" t="e">
        <f>#REF!*365/CL7</f>
        <v>#REF!</v>
      </c>
      <c r="CM113" s="165" t="e">
        <f>#REF!*365/CM7</f>
        <v>#REF!</v>
      </c>
      <c r="CN113" s="165" t="e">
        <f>#REF!*365/CN7</f>
        <v>#REF!</v>
      </c>
      <c r="CO113" s="165" t="e">
        <f>#REF!*365/CO7</f>
        <v>#REF!</v>
      </c>
      <c r="CP113" s="165"/>
    </row>
    <row r="114" spans="2:94" x14ac:dyDescent="0.2">
      <c r="B114" s="105" t="s">
        <v>441</v>
      </c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 t="e">
        <f>AE59*365/AE7</f>
        <v>#DIV/0!</v>
      </c>
      <c r="AF114" s="165"/>
      <c r="AG114" s="165"/>
      <c r="AH114" s="165"/>
      <c r="AI114" s="165"/>
      <c r="AJ114" s="165"/>
      <c r="AK114" s="165"/>
      <c r="AL114" s="165" t="e">
        <f>AL59*365/AL7</f>
        <v>#DIV/0!</v>
      </c>
      <c r="AM114" s="165"/>
      <c r="AN114" s="165"/>
      <c r="AO114" s="165"/>
      <c r="AP114" s="165"/>
      <c r="AQ114" s="165"/>
      <c r="AR114" s="165"/>
      <c r="AS114" s="165" t="e">
        <f>AS59*365/AS7</f>
        <v>#DIV/0!</v>
      </c>
      <c r="AT114" s="165"/>
      <c r="AU114" s="165"/>
      <c r="AV114" s="165"/>
      <c r="AW114" s="165"/>
      <c r="AX114" s="165"/>
      <c r="AY114" s="165"/>
      <c r="AZ114" s="165" t="e">
        <f>AZ59*365/AZ7</f>
        <v>#DIV/0!</v>
      </c>
      <c r="BA114" s="165"/>
      <c r="BB114" s="165"/>
      <c r="BC114" s="165"/>
      <c r="BD114" s="165"/>
      <c r="BE114" s="165"/>
      <c r="BF114" s="165"/>
      <c r="BG114" s="165" t="e">
        <f>BG59*365/BG7</f>
        <v>#DIV/0!</v>
      </c>
      <c r="BH114" s="165"/>
      <c r="BI114" s="165"/>
      <c r="BJ114" s="165"/>
      <c r="BK114" s="165"/>
      <c r="BL114" s="165"/>
      <c r="BM114" s="165"/>
      <c r="BN114" s="165" t="e">
        <f>BN59*365/BN7</f>
        <v>#DIV/0!</v>
      </c>
      <c r="BO114" s="165"/>
      <c r="BP114" s="165"/>
      <c r="BQ114" s="165"/>
      <c r="BR114" s="165"/>
      <c r="BS114" s="165"/>
      <c r="BT114" s="165"/>
      <c r="BU114" s="165" t="e">
        <f>BU59*365/BU7</f>
        <v>#DIV/0!</v>
      </c>
      <c r="BV114" s="165"/>
      <c r="BW114" s="165"/>
      <c r="BX114" s="165"/>
      <c r="BY114" s="165"/>
      <c r="BZ114" s="165"/>
      <c r="CA114" s="165"/>
      <c r="CB114" s="165" t="e">
        <f>CB59*365/CB7</f>
        <v>#DIV/0!</v>
      </c>
      <c r="CC114" s="165"/>
      <c r="CD114" s="165"/>
      <c r="CE114" s="165"/>
      <c r="CF114" s="165"/>
      <c r="CG114" s="165"/>
      <c r="CH114" s="165"/>
      <c r="CI114" s="165" t="e">
        <f>CI59*365/CI7</f>
        <v>#DIV/0!</v>
      </c>
      <c r="CJ114" s="165" t="e">
        <f t="shared" ref="CJ114:CO114" si="48">CJ66*365/CJ7</f>
        <v>#DIV/0!</v>
      </c>
      <c r="CK114" s="165" t="e">
        <f t="shared" si="48"/>
        <v>#DIV/0!</v>
      </c>
      <c r="CL114" s="165" t="e">
        <f t="shared" si="48"/>
        <v>#DIV/0!</v>
      </c>
      <c r="CM114" s="165" t="e">
        <f t="shared" si="48"/>
        <v>#DIV/0!</v>
      </c>
      <c r="CN114" s="165" t="e">
        <f t="shared" si="48"/>
        <v>#DIV/0!</v>
      </c>
      <c r="CO114" s="165" t="e">
        <f t="shared" si="48"/>
        <v>#DIV/0!</v>
      </c>
      <c r="CP114" s="165"/>
    </row>
    <row r="115" spans="2:94" x14ac:dyDescent="0.2">
      <c r="B115" s="105" t="s">
        <v>442</v>
      </c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 t="e">
        <f>AE66*365/AE7</f>
        <v>#DIV/0!</v>
      </c>
      <c r="AF115" s="165"/>
      <c r="AG115" s="165"/>
      <c r="AH115" s="165"/>
      <c r="AI115" s="165"/>
      <c r="AJ115" s="165"/>
      <c r="AK115" s="165"/>
      <c r="AL115" s="165" t="e">
        <f>AL66*365/AL7</f>
        <v>#DIV/0!</v>
      </c>
      <c r="AM115" s="165"/>
      <c r="AN115" s="165"/>
      <c r="AO115" s="165"/>
      <c r="AP115" s="165"/>
      <c r="AQ115" s="165"/>
      <c r="AR115" s="165"/>
      <c r="AS115" s="165" t="e">
        <f>AS66*365/AS7</f>
        <v>#DIV/0!</v>
      </c>
      <c r="AT115" s="165"/>
      <c r="AU115" s="165"/>
      <c r="AV115" s="165"/>
      <c r="AW115" s="165"/>
      <c r="AX115" s="165"/>
      <c r="AY115" s="165"/>
      <c r="AZ115" s="165" t="e">
        <f>AZ66*365/AZ7</f>
        <v>#DIV/0!</v>
      </c>
      <c r="BA115" s="165"/>
      <c r="BB115" s="165"/>
      <c r="BC115" s="165"/>
      <c r="BD115" s="165"/>
      <c r="BE115" s="165"/>
      <c r="BF115" s="165"/>
      <c r="BG115" s="165" t="e">
        <f>BG66*365/BG7</f>
        <v>#DIV/0!</v>
      </c>
      <c r="BH115" s="165"/>
      <c r="BI115" s="165"/>
      <c r="BJ115" s="165"/>
      <c r="BK115" s="165"/>
      <c r="BL115" s="165"/>
      <c r="BM115" s="165"/>
      <c r="BN115" s="165" t="e">
        <f>BN66*365/BN7</f>
        <v>#DIV/0!</v>
      </c>
      <c r="BO115" s="165"/>
      <c r="BP115" s="165"/>
      <c r="BQ115" s="165"/>
      <c r="BR115" s="165"/>
      <c r="BS115" s="165"/>
      <c r="BT115" s="165"/>
      <c r="BU115" s="165" t="e">
        <f>BU66*365/BU7</f>
        <v>#DIV/0!</v>
      </c>
      <c r="BV115" s="165"/>
      <c r="BW115" s="165"/>
      <c r="BX115" s="165"/>
      <c r="BY115" s="165"/>
      <c r="BZ115" s="165"/>
      <c r="CA115" s="165"/>
      <c r="CB115" s="165" t="e">
        <f>CB66*365/CB7</f>
        <v>#DIV/0!</v>
      </c>
      <c r="CC115" s="165"/>
      <c r="CD115" s="165"/>
      <c r="CE115" s="165"/>
      <c r="CF115" s="165"/>
      <c r="CG115" s="165"/>
      <c r="CH115" s="165"/>
      <c r="CI115" s="165" t="e">
        <f>CI66*365/CI7</f>
        <v>#DIV/0!</v>
      </c>
      <c r="CJ115" s="165" t="e">
        <f t="shared" ref="CJ115:CO115" si="49">CJ112+CJ113-CJ114</f>
        <v>#REF!</v>
      </c>
      <c r="CK115" s="165" t="e">
        <f t="shared" si="49"/>
        <v>#DIV/0!</v>
      </c>
      <c r="CL115" s="165" t="e">
        <f t="shared" si="49"/>
        <v>#REF!</v>
      </c>
      <c r="CM115" s="165" t="e">
        <f t="shared" si="49"/>
        <v>#REF!</v>
      </c>
      <c r="CN115" s="165" t="e">
        <f t="shared" si="49"/>
        <v>#REF!</v>
      </c>
      <c r="CO115" s="165" t="e">
        <f t="shared" si="49"/>
        <v>#REF!</v>
      </c>
      <c r="CP115" s="165"/>
    </row>
    <row r="116" spans="2:94" x14ac:dyDescent="0.2">
      <c r="B116" s="105" t="s">
        <v>365</v>
      </c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 t="e">
        <f>AE113+AE114-AE115</f>
        <v>#DIV/0!</v>
      </c>
      <c r="AF116" s="165"/>
      <c r="AG116" s="165"/>
      <c r="AH116" s="165"/>
      <c r="AI116" s="165"/>
      <c r="AJ116" s="165"/>
      <c r="AK116" s="165"/>
      <c r="AL116" s="165" t="e">
        <f>AL113+AL114-AL115</f>
        <v>#DIV/0!</v>
      </c>
      <c r="AM116" s="165"/>
      <c r="AN116" s="165"/>
      <c r="AO116" s="165"/>
      <c r="AP116" s="165"/>
      <c r="AQ116" s="165"/>
      <c r="AR116" s="165"/>
      <c r="AS116" s="165" t="e">
        <f>AS113+AS114-AS115</f>
        <v>#DIV/0!</v>
      </c>
      <c r="AT116" s="165"/>
      <c r="AU116" s="165"/>
      <c r="AV116" s="165"/>
      <c r="AW116" s="165"/>
      <c r="AX116" s="165"/>
      <c r="AY116" s="165"/>
      <c r="AZ116" s="165" t="e">
        <f>AZ113+AZ114-AZ115</f>
        <v>#DIV/0!</v>
      </c>
      <c r="BA116" s="165"/>
      <c r="BB116" s="165"/>
      <c r="BC116" s="165"/>
      <c r="BD116" s="165"/>
      <c r="BE116" s="165"/>
      <c r="BF116" s="165"/>
      <c r="BG116" s="165" t="e">
        <f>BG113+BG114-BG115</f>
        <v>#DIV/0!</v>
      </c>
      <c r="BH116" s="165"/>
      <c r="BI116" s="165"/>
      <c r="BJ116" s="165"/>
      <c r="BK116" s="165"/>
      <c r="BL116" s="165"/>
      <c r="BM116" s="165"/>
      <c r="BN116" s="165" t="e">
        <f>BN113+BN114-BN115</f>
        <v>#DIV/0!</v>
      </c>
      <c r="BO116" s="165"/>
      <c r="BP116" s="165"/>
      <c r="BQ116" s="165"/>
      <c r="BR116" s="165"/>
      <c r="BS116" s="165"/>
      <c r="BT116" s="165"/>
      <c r="BU116" s="165" t="e">
        <f>BU113+BU114-BU115</f>
        <v>#DIV/0!</v>
      </c>
      <c r="BV116" s="165"/>
      <c r="BW116" s="165"/>
      <c r="BX116" s="165"/>
      <c r="BY116" s="165"/>
      <c r="BZ116" s="165"/>
      <c r="CA116" s="165"/>
      <c r="CB116" s="165" t="e">
        <f>CB113+CB114-CB115</f>
        <v>#DIV/0!</v>
      </c>
      <c r="CC116" s="165"/>
      <c r="CD116" s="165"/>
      <c r="CE116" s="165"/>
      <c r="CF116" s="165"/>
      <c r="CG116" s="165"/>
      <c r="CH116" s="165"/>
      <c r="CI116" s="165" t="e">
        <f>CI113+CI114-CI115</f>
        <v>#DIV/0!</v>
      </c>
    </row>
    <row r="118" spans="2:94" ht="16" x14ac:dyDescent="0.2">
      <c r="B118" s="183" t="s">
        <v>366</v>
      </c>
      <c r="C118" s="214"/>
      <c r="CJ118" s="166">
        <f t="shared" ref="CJ118:CO118" si="50">CJ8/CJ6</f>
        <v>1</v>
      </c>
      <c r="CK118" s="166" t="e">
        <f t="shared" si="50"/>
        <v>#DIV/0!</v>
      </c>
      <c r="CL118" s="166">
        <f t="shared" si="50"/>
        <v>1</v>
      </c>
      <c r="CM118" s="166">
        <f t="shared" si="50"/>
        <v>1</v>
      </c>
      <c r="CN118" s="166">
        <f t="shared" si="50"/>
        <v>1</v>
      </c>
      <c r="CO118" s="166">
        <f t="shared" si="50"/>
        <v>1</v>
      </c>
      <c r="CP118" s="166"/>
    </row>
    <row r="119" spans="2:94" x14ac:dyDescent="0.2">
      <c r="B119" s="105" t="s">
        <v>367</v>
      </c>
      <c r="D119" s="166"/>
      <c r="E119" s="166"/>
      <c r="F119" s="166"/>
      <c r="G119" s="166"/>
      <c r="H119" s="166"/>
      <c r="I119" s="166"/>
      <c r="J119" s="167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>
        <f>AE8/AE6</f>
        <v>1</v>
      </c>
      <c r="AF119" s="166"/>
      <c r="AG119" s="166"/>
      <c r="AH119" s="166"/>
      <c r="AI119" s="166"/>
      <c r="AJ119" s="166"/>
      <c r="AK119" s="166"/>
      <c r="AL119" s="166">
        <f>AL8/AL6</f>
        <v>1</v>
      </c>
      <c r="AM119" s="166"/>
      <c r="AN119" s="166"/>
      <c r="AO119" s="166"/>
      <c r="AP119" s="166"/>
      <c r="AQ119" s="166"/>
      <c r="AR119" s="166"/>
      <c r="AS119" s="166">
        <f>AS8/AS6</f>
        <v>1</v>
      </c>
      <c r="AT119" s="166"/>
      <c r="AU119" s="166"/>
      <c r="AV119" s="166"/>
      <c r="AW119" s="166"/>
      <c r="AX119" s="166"/>
      <c r="AY119" s="166"/>
      <c r="AZ119" s="166">
        <f>AZ8/AZ6</f>
        <v>1</v>
      </c>
      <c r="BA119" s="166"/>
      <c r="BB119" s="166"/>
      <c r="BC119" s="166"/>
      <c r="BD119" s="166"/>
      <c r="BE119" s="166"/>
      <c r="BF119" s="166"/>
      <c r="BG119" s="166">
        <f>BG8/BG6</f>
        <v>1</v>
      </c>
      <c r="BH119" s="166"/>
      <c r="BI119" s="166"/>
      <c r="BJ119" s="166"/>
      <c r="BK119" s="166"/>
      <c r="BL119" s="166"/>
      <c r="BM119" s="166"/>
      <c r="BN119" s="166">
        <f>BN8/BN6</f>
        <v>1</v>
      </c>
      <c r="BO119" s="166"/>
      <c r="BP119" s="166"/>
      <c r="BQ119" s="166"/>
      <c r="BR119" s="166"/>
      <c r="BS119" s="166"/>
      <c r="BT119" s="166"/>
      <c r="BU119" s="166">
        <f>BU8/BU6</f>
        <v>1</v>
      </c>
      <c r="BV119" s="166"/>
      <c r="BW119" s="166"/>
      <c r="BX119" s="166"/>
      <c r="BY119" s="166"/>
      <c r="BZ119" s="166"/>
      <c r="CA119" s="166"/>
      <c r="CB119" s="166">
        <f>CB8/CB6</f>
        <v>1</v>
      </c>
      <c r="CC119" s="166"/>
      <c r="CD119" s="166"/>
      <c r="CE119" s="166"/>
      <c r="CF119" s="166"/>
      <c r="CG119" s="166"/>
      <c r="CH119" s="166"/>
      <c r="CI119" s="166">
        <f>CI8/CI6</f>
        <v>1</v>
      </c>
      <c r="CJ119" s="166" t="e">
        <f>#REF!/CJ6</f>
        <v>#REF!</v>
      </c>
      <c r="CK119" s="166" t="e">
        <f>CJ16/CK6</f>
        <v>#DIV/0!</v>
      </c>
      <c r="CL119" s="166">
        <f>CL16/CL6</f>
        <v>0.59111390593047031</v>
      </c>
      <c r="CM119" s="166" t="e">
        <f>#REF!/CM6</f>
        <v>#REF!</v>
      </c>
      <c r="CN119" s="166">
        <f>CM16/CN6</f>
        <v>0.33750000000000002</v>
      </c>
      <c r="CO119" s="166">
        <f>CO16/CO6</f>
        <v>-97.509295555555553</v>
      </c>
      <c r="CP119" s="166"/>
    </row>
    <row r="120" spans="2:94" x14ac:dyDescent="0.2">
      <c r="B120" s="105" t="s">
        <v>443</v>
      </c>
      <c r="D120" s="166"/>
      <c r="E120" s="166"/>
      <c r="F120" s="166"/>
      <c r="G120" s="166"/>
      <c r="H120" s="166"/>
      <c r="I120" s="166"/>
      <c r="J120" s="167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>
        <f>AE16/AE6</f>
        <v>0.73912474012474016</v>
      </c>
      <c r="AF120" s="166"/>
      <c r="AG120" s="166"/>
      <c r="AH120" s="166"/>
      <c r="AI120" s="166"/>
      <c r="AJ120" s="166"/>
      <c r="AK120" s="166"/>
      <c r="AL120" s="166">
        <f>AL16/AL6</f>
        <v>0.76464153005464486</v>
      </c>
      <c r="AM120" s="166"/>
      <c r="AN120" s="166"/>
      <c r="AO120" s="166"/>
      <c r="AP120" s="166"/>
      <c r="AQ120" s="166"/>
      <c r="AR120" s="166"/>
      <c r="AS120" s="166">
        <f>AS16/AS6</f>
        <v>0.83966706161137439</v>
      </c>
      <c r="AT120" s="166"/>
      <c r="AU120" s="166"/>
      <c r="AV120" s="166"/>
      <c r="AW120" s="166"/>
      <c r="AX120" s="166"/>
      <c r="AY120" s="166"/>
      <c r="AZ120" s="166">
        <f>AZ16/AZ6</f>
        <v>0.20837882352941176</v>
      </c>
      <c r="BA120" s="166"/>
      <c r="BB120" s="166"/>
      <c r="BC120" s="166"/>
      <c r="BD120" s="166"/>
      <c r="BE120" s="166"/>
      <c r="BF120" s="166"/>
      <c r="BG120" s="166">
        <f>BG16/BG6</f>
        <v>-1.7825133495145631</v>
      </c>
      <c r="BH120" s="166"/>
      <c r="BI120" s="166"/>
      <c r="BJ120" s="166"/>
      <c r="BK120" s="166"/>
      <c r="BL120" s="166"/>
      <c r="BM120" s="166"/>
      <c r="BN120" s="166">
        <f>BN16/BN6</f>
        <v>-1.70191</v>
      </c>
      <c r="BO120" s="166"/>
      <c r="BP120" s="166"/>
      <c r="BQ120" s="166"/>
      <c r="BR120" s="166"/>
      <c r="BS120" s="166"/>
      <c r="BT120" s="166"/>
      <c r="BU120" s="166">
        <f>BU16/BU6</f>
        <v>4.0956015037593982E-2</v>
      </c>
      <c r="BV120" s="166"/>
      <c r="BW120" s="166"/>
      <c r="BX120" s="166"/>
      <c r="BY120" s="166"/>
      <c r="BZ120" s="166"/>
      <c r="CA120" s="166"/>
      <c r="CB120" s="166">
        <f>CB16/CB6</f>
        <v>0.81393031914893621</v>
      </c>
      <c r="CC120" s="166"/>
      <c r="CD120" s="166"/>
      <c r="CE120" s="166"/>
      <c r="CF120" s="166"/>
      <c r="CG120" s="166"/>
      <c r="CH120" s="166"/>
      <c r="CI120" s="166">
        <f>CI16/CI6</f>
        <v>0.52105582706766918</v>
      </c>
      <c r="CJ120" s="168" t="e">
        <f>#REF!+CJ14</f>
        <v>#REF!</v>
      </c>
      <c r="CK120" s="169">
        <f>CJ16+CK14</f>
        <v>7368000</v>
      </c>
      <c r="CL120" s="169">
        <f>CL16+CL14</f>
        <v>5781094</v>
      </c>
      <c r="CM120" s="168" t="e">
        <f>#REF!+CM14</f>
        <v>#REF!</v>
      </c>
      <c r="CN120" s="169">
        <f>CM16+CN14</f>
        <v>3240000</v>
      </c>
      <c r="CO120" s="169">
        <f>CO16+CO14</f>
        <v>-21939591.5</v>
      </c>
      <c r="CP120" s="168"/>
    </row>
    <row r="121" spans="2:94" x14ac:dyDescent="0.2">
      <c r="B121" s="105" t="s">
        <v>368</v>
      </c>
      <c r="D121" s="168"/>
      <c r="E121" s="169"/>
      <c r="F121" s="169"/>
      <c r="G121" s="168"/>
      <c r="H121" s="169"/>
      <c r="I121" s="169"/>
      <c r="J121" s="168"/>
      <c r="K121" s="169"/>
      <c r="L121" s="169"/>
      <c r="M121" s="168"/>
      <c r="N121" s="169"/>
      <c r="O121" s="169"/>
      <c r="P121" s="168"/>
      <c r="Q121" s="168"/>
      <c r="R121" s="169"/>
      <c r="S121" s="168"/>
      <c r="T121" s="169"/>
      <c r="U121" s="169"/>
      <c r="V121" s="168"/>
      <c r="W121" s="169"/>
      <c r="X121" s="168"/>
      <c r="Y121" s="168"/>
      <c r="Z121" s="169"/>
      <c r="AA121" s="169"/>
      <c r="AB121" s="168"/>
      <c r="AC121" s="169"/>
      <c r="AD121" s="169"/>
      <c r="AE121" s="168">
        <f>AE16+AE15</f>
        <v>1777595</v>
      </c>
      <c r="AF121" s="169"/>
      <c r="AG121" s="169"/>
      <c r="AH121" s="168"/>
      <c r="AI121" s="169"/>
      <c r="AJ121" s="169"/>
      <c r="AK121" s="168"/>
      <c r="AL121" s="168">
        <f>AL16+AL15</f>
        <v>2798588</v>
      </c>
      <c r="AM121" s="169"/>
      <c r="AN121" s="168"/>
      <c r="AO121" s="169"/>
      <c r="AP121" s="169"/>
      <c r="AQ121" s="168"/>
      <c r="AR121" s="169"/>
      <c r="AS121" s="168">
        <f>AS16+AS15</f>
        <v>3543395</v>
      </c>
      <c r="AT121" s="168"/>
      <c r="AU121" s="169"/>
      <c r="AV121" s="169"/>
      <c r="AW121" s="168"/>
      <c r="AX121" s="169"/>
      <c r="AY121" s="169"/>
      <c r="AZ121" s="168">
        <f>AZ16+AZ15</f>
        <v>708488</v>
      </c>
      <c r="BA121" s="169"/>
      <c r="BB121" s="169"/>
      <c r="BC121" s="168"/>
      <c r="BD121" s="169"/>
      <c r="BE121" s="169"/>
      <c r="BF121" s="168"/>
      <c r="BG121" s="168">
        <f>BG16+BG15</f>
        <v>-7343955</v>
      </c>
      <c r="BH121" s="169"/>
      <c r="BI121" s="168"/>
      <c r="BJ121" s="169"/>
      <c r="BK121" s="169"/>
      <c r="BL121" s="168"/>
      <c r="BM121" s="169"/>
      <c r="BN121" s="168">
        <f>BN16+BN15</f>
        <v>-3744202</v>
      </c>
      <c r="BO121" s="168"/>
      <c r="BP121" s="169"/>
      <c r="BQ121" s="169"/>
      <c r="BR121" s="168"/>
      <c r="BS121" s="169"/>
      <c r="BT121" s="169"/>
      <c r="BU121" s="168">
        <f>BU16+BU15</f>
        <v>217886</v>
      </c>
      <c r="BV121" s="169"/>
      <c r="BW121" s="169"/>
      <c r="BX121" s="168"/>
      <c r="BY121" s="169"/>
      <c r="BZ121" s="169"/>
      <c r="CA121" s="168"/>
      <c r="CB121" s="168">
        <f>CB16+CB15</f>
        <v>3060378</v>
      </c>
      <c r="CC121" s="169"/>
      <c r="CD121" s="168"/>
      <c r="CE121" s="169"/>
      <c r="CF121" s="169"/>
      <c r="CG121" s="168"/>
      <c r="CH121" s="169"/>
      <c r="CI121" s="168">
        <f>CI16+CI15</f>
        <v>1386008.5</v>
      </c>
      <c r="CJ121" s="166" t="e">
        <f t="shared" ref="CJ121:CO121" si="51">CJ120/CJ6</f>
        <v>#REF!</v>
      </c>
      <c r="CK121" s="166" t="e">
        <f t="shared" si="51"/>
        <v>#DIV/0!</v>
      </c>
      <c r="CL121" s="166">
        <f t="shared" si="51"/>
        <v>0.59111390593047031</v>
      </c>
      <c r="CM121" s="166" t="e">
        <f t="shared" si="51"/>
        <v>#REF!</v>
      </c>
      <c r="CN121" s="166">
        <f t="shared" si="51"/>
        <v>0.33750000000000002</v>
      </c>
      <c r="CO121" s="166">
        <f t="shared" si="51"/>
        <v>-97.509295555555553</v>
      </c>
      <c r="CP121" s="166"/>
    </row>
    <row r="122" spans="2:94" x14ac:dyDescent="0.2">
      <c r="B122" s="105" t="s">
        <v>369</v>
      </c>
      <c r="D122" s="166"/>
      <c r="E122" s="166"/>
      <c r="F122" s="166"/>
      <c r="G122" s="166"/>
      <c r="H122" s="166"/>
      <c r="I122" s="166"/>
      <c r="J122" s="167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>
        <f>AE121/AE6</f>
        <v>0.73912474012474016</v>
      </c>
      <c r="AF122" s="166"/>
      <c r="AG122" s="166"/>
      <c r="AH122" s="166"/>
      <c r="AI122" s="166"/>
      <c r="AJ122" s="166"/>
      <c r="AK122" s="166"/>
      <c r="AL122" s="166">
        <f>AL121/AL6</f>
        <v>0.76464153005464486</v>
      </c>
      <c r="AM122" s="166"/>
      <c r="AN122" s="166"/>
      <c r="AO122" s="166"/>
      <c r="AP122" s="166"/>
      <c r="AQ122" s="166"/>
      <c r="AR122" s="166"/>
      <c r="AS122" s="166">
        <f>AS121/AS6</f>
        <v>0.83966706161137439</v>
      </c>
      <c r="AT122" s="166"/>
      <c r="AU122" s="166"/>
      <c r="AV122" s="166"/>
      <c r="AW122" s="166"/>
      <c r="AX122" s="166"/>
      <c r="AY122" s="166"/>
      <c r="AZ122" s="166">
        <f>AZ121/AZ6</f>
        <v>0.20837882352941176</v>
      </c>
      <c r="BA122" s="166"/>
      <c r="BB122" s="166"/>
      <c r="BC122" s="166"/>
      <c r="BD122" s="166"/>
      <c r="BE122" s="166"/>
      <c r="BF122" s="166"/>
      <c r="BG122" s="166">
        <f>BG121/BG6</f>
        <v>-1.7825133495145631</v>
      </c>
      <c r="BH122" s="166"/>
      <c r="BI122" s="166"/>
      <c r="BJ122" s="166"/>
      <c r="BK122" s="166"/>
      <c r="BL122" s="166"/>
      <c r="BM122" s="166"/>
      <c r="BN122" s="166">
        <f>BN121/BN6</f>
        <v>-1.70191</v>
      </c>
      <c r="BO122" s="166"/>
      <c r="BP122" s="166"/>
      <c r="BQ122" s="166"/>
      <c r="BR122" s="166"/>
      <c r="BS122" s="166"/>
      <c r="BT122" s="166"/>
      <c r="BU122" s="166">
        <f>BU121/BU6</f>
        <v>4.0956015037593982E-2</v>
      </c>
      <c r="BV122" s="166"/>
      <c r="BW122" s="166"/>
      <c r="BX122" s="166"/>
      <c r="BY122" s="166"/>
      <c r="BZ122" s="166"/>
      <c r="CA122" s="166"/>
      <c r="CB122" s="166">
        <f>CB121/CB6</f>
        <v>0.81393031914893621</v>
      </c>
      <c r="CC122" s="166"/>
      <c r="CD122" s="166"/>
      <c r="CE122" s="166"/>
      <c r="CF122" s="166"/>
      <c r="CG122" s="166"/>
      <c r="CH122" s="166"/>
      <c r="CI122" s="166">
        <f>CI121/CI6</f>
        <v>0.52105582706766918</v>
      </c>
      <c r="CJ122" s="166">
        <f t="shared" ref="CJ122:CO122" si="52">CJ47/CJ6</f>
        <v>0</v>
      </c>
      <c r="CK122" s="166" t="e">
        <f t="shared" si="52"/>
        <v>#DIV/0!</v>
      </c>
      <c r="CL122" s="166">
        <f t="shared" si="52"/>
        <v>0</v>
      </c>
      <c r="CM122" s="166">
        <f t="shared" si="52"/>
        <v>0</v>
      </c>
      <c r="CN122" s="166">
        <f t="shared" si="52"/>
        <v>0</v>
      </c>
      <c r="CO122" s="166">
        <f t="shared" si="52"/>
        <v>0</v>
      </c>
      <c r="CP122" s="166"/>
    </row>
    <row r="123" spans="2:94" x14ac:dyDescent="0.2">
      <c r="B123" s="170" t="s">
        <v>370</v>
      </c>
      <c r="D123" s="166"/>
      <c r="E123" s="166"/>
      <c r="F123" s="166"/>
      <c r="G123" s="166"/>
      <c r="H123" s="166"/>
      <c r="I123" s="166"/>
      <c r="J123" s="167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>
        <f>AE47/AE6</f>
        <v>-0.12573723492723496</v>
      </c>
      <c r="AF123" s="166"/>
      <c r="AG123" s="166"/>
      <c r="AH123" s="166"/>
      <c r="AI123" s="166"/>
      <c r="AJ123" s="166"/>
      <c r="AK123" s="166"/>
      <c r="AL123" s="166">
        <f>AL47/AL6</f>
        <v>0.79105589617486338</v>
      </c>
      <c r="AM123" s="166"/>
      <c r="AN123" s="166"/>
      <c r="AO123" s="166"/>
      <c r="AP123" s="166"/>
      <c r="AQ123" s="166"/>
      <c r="AR123" s="166"/>
      <c r="AS123" s="166">
        <f>AS47/AS6</f>
        <v>0.19751471327014208</v>
      </c>
      <c r="AT123" s="166"/>
      <c r="AU123" s="166"/>
      <c r="AV123" s="166"/>
      <c r="AW123" s="166"/>
      <c r="AX123" s="166"/>
      <c r="AY123" s="166"/>
      <c r="AZ123" s="166">
        <f>AZ47/AZ6</f>
        <v>0.68281193235294113</v>
      </c>
      <c r="BA123" s="166"/>
      <c r="BB123" s="166"/>
      <c r="BC123" s="166"/>
      <c r="BD123" s="166"/>
      <c r="BE123" s="166"/>
      <c r="BF123" s="166"/>
      <c r="BG123" s="166">
        <f>BG47/BG6</f>
        <v>0.12069587135922347</v>
      </c>
      <c r="BH123" s="166"/>
      <c r="BI123" s="166"/>
      <c r="BJ123" s="166"/>
      <c r="BK123" s="166"/>
      <c r="BL123" s="166"/>
      <c r="BM123" s="166"/>
      <c r="BN123" s="166">
        <f>BN47/BN6</f>
        <v>-0.5623068136363637</v>
      </c>
      <c r="BO123" s="166"/>
      <c r="BP123" s="166"/>
      <c r="BQ123" s="166"/>
      <c r="BR123" s="166"/>
      <c r="BS123" s="166"/>
      <c r="BT123" s="166"/>
      <c r="BU123" s="166">
        <f>BU47/BU6</f>
        <v>0.54976222744360903</v>
      </c>
      <c r="BV123" s="166"/>
      <c r="BW123" s="166"/>
      <c r="BX123" s="166"/>
      <c r="BY123" s="166"/>
      <c r="BZ123" s="166"/>
      <c r="CA123" s="166"/>
      <c r="CB123" s="166">
        <f>CB47/CB6</f>
        <v>0.65875934308510631</v>
      </c>
      <c r="CC123" s="166"/>
      <c r="CD123" s="166"/>
      <c r="CE123" s="166"/>
      <c r="CF123" s="166"/>
      <c r="CG123" s="166"/>
      <c r="CH123" s="166"/>
      <c r="CI123" s="166">
        <f>CI47/CI6</f>
        <v>0.57311077819548883</v>
      </c>
      <c r="CJ123" s="171" t="e">
        <f t="shared" ref="CJ123:CO123" si="53">CJ47/CJ64</f>
        <v>#DIV/0!</v>
      </c>
      <c r="CK123" s="171" t="e">
        <f t="shared" si="53"/>
        <v>#DIV/0!</v>
      </c>
      <c r="CL123" s="171" t="e">
        <f t="shared" si="53"/>
        <v>#DIV/0!</v>
      </c>
      <c r="CM123" s="171" t="e">
        <f t="shared" si="53"/>
        <v>#DIV/0!</v>
      </c>
      <c r="CN123" s="171" t="e">
        <f t="shared" si="53"/>
        <v>#DIV/0!</v>
      </c>
      <c r="CO123" s="171" t="e">
        <f t="shared" si="53"/>
        <v>#DIV/0!</v>
      </c>
      <c r="CP123" s="171"/>
    </row>
    <row r="124" spans="2:94" x14ac:dyDescent="0.2">
      <c r="B124" s="105" t="s">
        <v>371</v>
      </c>
      <c r="D124" s="171"/>
      <c r="E124" s="171"/>
      <c r="F124" s="171"/>
      <c r="G124" s="171"/>
      <c r="H124" s="171"/>
      <c r="I124" s="171"/>
      <c r="J124" s="172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>
        <f>AE47/AE64</f>
        <v>-1.5973944252968593E-4</v>
      </c>
      <c r="AF124" s="171"/>
      <c r="AG124" s="171"/>
      <c r="AH124" s="171"/>
      <c r="AI124" s="171"/>
      <c r="AJ124" s="171"/>
      <c r="AK124" s="171"/>
      <c r="AL124" s="171">
        <f>AL47/AL64</f>
        <v>1.5270657349935805E-3</v>
      </c>
      <c r="AM124" s="171"/>
      <c r="AN124" s="171"/>
      <c r="AO124" s="171"/>
      <c r="AP124" s="171"/>
      <c r="AQ124" s="171"/>
      <c r="AR124" s="171"/>
      <c r="AS124" s="171">
        <f>AS47/AS64</f>
        <v>4.394308006985399E-4</v>
      </c>
      <c r="AT124" s="171"/>
      <c r="AU124" s="171"/>
      <c r="AV124" s="171"/>
      <c r="AW124" s="171"/>
      <c r="AX124" s="171"/>
      <c r="AY124" s="171"/>
      <c r="AZ124" s="171">
        <f>AZ47/AZ64</f>
        <v>1.2224395327609535E-3</v>
      </c>
      <c r="BA124" s="171"/>
      <c r="BB124" s="171"/>
      <c r="BC124" s="171"/>
      <c r="BD124" s="171"/>
      <c r="BE124" s="171"/>
      <c r="BF124" s="171"/>
      <c r="BG124" s="171">
        <f>BG47/BG64</f>
        <v>2.6177206361585354E-4</v>
      </c>
      <c r="BH124" s="171"/>
      <c r="BI124" s="171"/>
      <c r="BJ124" s="171"/>
      <c r="BK124" s="171"/>
      <c r="BL124" s="171"/>
      <c r="BM124" s="171"/>
      <c r="BN124" s="171">
        <f>BN47/BN64</f>
        <v>-6.5164731127409785E-4</v>
      </c>
      <c r="BO124" s="171"/>
      <c r="BP124" s="171"/>
      <c r="BQ124" s="171"/>
      <c r="BR124" s="171"/>
      <c r="BS124" s="171"/>
      <c r="BT124" s="171"/>
      <c r="BU124" s="171">
        <f>BU47/BU64</f>
        <v>1.5382769447620096E-3</v>
      </c>
      <c r="BV124" s="171"/>
      <c r="BW124" s="171"/>
      <c r="BX124" s="171"/>
      <c r="BY124" s="171"/>
      <c r="BZ124" s="171"/>
      <c r="CA124" s="171"/>
      <c r="CB124" s="171">
        <f>CB47/CB64</f>
        <v>1.3010596944922615E-3</v>
      </c>
      <c r="CC124" s="171"/>
      <c r="CD124" s="171"/>
      <c r="CE124" s="171"/>
      <c r="CF124" s="171"/>
      <c r="CG124" s="171"/>
      <c r="CH124" s="171"/>
      <c r="CI124" s="171">
        <f>CI47/CI64</f>
        <v>8.0012009203414753E-4</v>
      </c>
      <c r="CJ124" s="171" t="e">
        <f t="shared" ref="CJ124:CO124" si="54">CJ47/CJ79</f>
        <v>#DIV/0!</v>
      </c>
      <c r="CK124" s="171" t="e">
        <f t="shared" si="54"/>
        <v>#DIV/0!</v>
      </c>
      <c r="CL124" s="171" t="e">
        <f t="shared" si="54"/>
        <v>#DIV/0!</v>
      </c>
      <c r="CM124" s="171" t="e">
        <f t="shared" si="54"/>
        <v>#DIV/0!</v>
      </c>
      <c r="CN124" s="171" t="e">
        <f t="shared" si="54"/>
        <v>#DIV/0!</v>
      </c>
      <c r="CO124" s="171" t="e">
        <f t="shared" si="54"/>
        <v>#DIV/0!</v>
      </c>
      <c r="CP124" s="171"/>
    </row>
    <row r="125" spans="2:94" x14ac:dyDescent="0.2">
      <c r="B125" s="105" t="s">
        <v>372</v>
      </c>
      <c r="D125" s="171"/>
      <c r="E125" s="171"/>
      <c r="F125" s="171"/>
      <c r="G125" s="171"/>
      <c r="H125" s="171"/>
      <c r="I125" s="171"/>
      <c r="J125" s="172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>
        <f>AE47/AE79</f>
        <v>-1.6046436932583047E-4</v>
      </c>
      <c r="AF125" s="171"/>
      <c r="AG125" s="171"/>
      <c r="AH125" s="171"/>
      <c r="AI125" s="171"/>
      <c r="AJ125" s="171"/>
      <c r="AK125" s="171"/>
      <c r="AL125" s="171">
        <f>AL47/AL79</f>
        <v>1.5339852078236232E-3</v>
      </c>
      <c r="AM125" s="171"/>
      <c r="AN125" s="171"/>
      <c r="AO125" s="171"/>
      <c r="AP125" s="171"/>
      <c r="AQ125" s="171"/>
      <c r="AR125" s="171"/>
      <c r="AS125" s="171">
        <f>AS47/AS79</f>
        <v>4.4142107997632011E-4</v>
      </c>
      <c r="AT125" s="171"/>
      <c r="AU125" s="171"/>
      <c r="AV125" s="171"/>
      <c r="AW125" s="171"/>
      <c r="AX125" s="171"/>
      <c r="AY125" s="171"/>
      <c r="AZ125" s="171">
        <f>AZ47/AZ79</f>
        <v>1.2279694328538142E-3</v>
      </c>
      <c r="BA125" s="171"/>
      <c r="BB125" s="171"/>
      <c r="BC125" s="171"/>
      <c r="BD125" s="171"/>
      <c r="BE125" s="171"/>
      <c r="BF125" s="171"/>
      <c r="BG125" s="171">
        <f>BG47/BG79</f>
        <v>2.62955919890237E-4</v>
      </c>
      <c r="BH125" s="171"/>
      <c r="BI125" s="171"/>
      <c r="BJ125" s="171"/>
      <c r="BK125" s="171"/>
      <c r="BL125" s="171"/>
      <c r="BM125" s="171"/>
      <c r="BN125" s="171">
        <f>BN47/BN79</f>
        <v>-6.5459629574635223E-4</v>
      </c>
      <c r="BO125" s="171"/>
      <c r="BP125" s="171"/>
      <c r="BQ125" s="171"/>
      <c r="BR125" s="171"/>
      <c r="BS125" s="171"/>
      <c r="BT125" s="171"/>
      <c r="BU125" s="171">
        <f>BU47/BU79</f>
        <v>1.5452275529288879E-3</v>
      </c>
      <c r="BV125" s="171"/>
      <c r="BW125" s="171"/>
      <c r="BX125" s="171"/>
      <c r="BY125" s="171"/>
      <c r="BZ125" s="171"/>
      <c r="CA125" s="171"/>
      <c r="CB125" s="171">
        <f>CB47/CB79</f>
        <v>1.3069307682217924E-3</v>
      </c>
      <c r="CC125" s="171"/>
      <c r="CD125" s="171"/>
      <c r="CE125" s="171"/>
      <c r="CF125" s="171"/>
      <c r="CG125" s="171"/>
      <c r="CH125" s="171"/>
      <c r="CI125" s="171">
        <f>CI47/CI79</f>
        <v>8.0372775777773971E-4</v>
      </c>
    </row>
    <row r="127" spans="2:94" ht="16" x14ac:dyDescent="0.2">
      <c r="B127" s="183" t="s">
        <v>373</v>
      </c>
      <c r="C127" s="214"/>
      <c r="CJ127" s="166" t="e">
        <f t="shared" ref="CJ127:CO127" si="55">CJ73/CJ64</f>
        <v>#DIV/0!</v>
      </c>
      <c r="CK127" s="166" t="e">
        <f t="shared" si="55"/>
        <v>#DIV/0!</v>
      </c>
      <c r="CL127" s="166" t="e">
        <f t="shared" si="55"/>
        <v>#DIV/0!</v>
      </c>
      <c r="CM127" s="166" t="e">
        <f t="shared" si="55"/>
        <v>#DIV/0!</v>
      </c>
      <c r="CN127" s="166" t="e">
        <f t="shared" si="55"/>
        <v>#DIV/0!</v>
      </c>
      <c r="CO127" s="166" t="e">
        <f t="shared" si="55"/>
        <v>#DIV/0!</v>
      </c>
      <c r="CP127" s="166"/>
    </row>
    <row r="128" spans="2:94" x14ac:dyDescent="0.2">
      <c r="B128" s="105" t="s">
        <v>374</v>
      </c>
      <c r="D128" s="166"/>
      <c r="E128" s="166"/>
      <c r="F128" s="166"/>
      <c r="G128" s="166"/>
      <c r="H128" s="166"/>
      <c r="I128" s="166"/>
      <c r="J128" s="167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>
        <f>AE73/AE64</f>
        <v>4.5176807735586837E-3</v>
      </c>
      <c r="AF128" s="166"/>
      <c r="AG128" s="166"/>
      <c r="AH128" s="166"/>
      <c r="AI128" s="166"/>
      <c r="AJ128" s="166"/>
      <c r="AK128" s="166"/>
      <c r="AL128" s="166">
        <f>AL73/AL64</f>
        <v>4.5107819780477428E-3</v>
      </c>
      <c r="AM128" s="166"/>
      <c r="AN128" s="166"/>
      <c r="AO128" s="166"/>
      <c r="AP128" s="166"/>
      <c r="AQ128" s="166"/>
      <c r="AR128" s="166"/>
      <c r="AS128" s="166">
        <f>AS73/AS64</f>
        <v>4.508799801511352E-3</v>
      </c>
      <c r="AT128" s="166"/>
      <c r="AU128" s="166"/>
      <c r="AV128" s="166"/>
      <c r="AW128" s="166"/>
      <c r="AX128" s="166"/>
      <c r="AY128" s="166"/>
      <c r="AZ128" s="166">
        <f>AZ73/AZ64</f>
        <v>4.5032880663886804E-3</v>
      </c>
      <c r="BA128" s="166"/>
      <c r="BB128" s="166"/>
      <c r="BC128" s="166"/>
      <c r="BD128" s="166"/>
      <c r="BE128" s="166"/>
      <c r="BF128" s="166"/>
      <c r="BG128" s="166">
        <f>BG73/BG64</f>
        <v>4.5021092313784847E-3</v>
      </c>
      <c r="BH128" s="166"/>
      <c r="BI128" s="166"/>
      <c r="BJ128" s="166"/>
      <c r="BK128" s="166"/>
      <c r="BL128" s="166"/>
      <c r="BM128" s="166"/>
      <c r="BN128" s="166">
        <f>BN73/BN64</f>
        <v>4.5050430187541755E-3</v>
      </c>
      <c r="BO128" s="166"/>
      <c r="BP128" s="166"/>
      <c r="BQ128" s="166"/>
      <c r="BR128" s="166"/>
      <c r="BS128" s="166"/>
      <c r="BT128" s="166"/>
      <c r="BU128" s="166">
        <f>BU73/BU64</f>
        <v>4.4981130149432651E-3</v>
      </c>
      <c r="BV128" s="166"/>
      <c r="BW128" s="166"/>
      <c r="BX128" s="166"/>
      <c r="BY128" s="166"/>
      <c r="BZ128" s="166"/>
      <c r="CA128" s="166"/>
      <c r="CB128" s="166">
        <f>CB73/CB64</f>
        <v>4.4922607013982508E-3</v>
      </c>
      <c r="CC128" s="166"/>
      <c r="CD128" s="166"/>
      <c r="CE128" s="166"/>
      <c r="CF128" s="166"/>
      <c r="CG128" s="166"/>
      <c r="CH128" s="166"/>
      <c r="CI128" s="166">
        <f>CI73/CI64</f>
        <v>4.4886663533524069E-3</v>
      </c>
      <c r="CJ128" s="164" t="e">
        <f t="shared" ref="CJ128:CO128" si="56">CJ73/CJ79</f>
        <v>#DIV/0!</v>
      </c>
      <c r="CK128" s="164" t="e">
        <f t="shared" si="56"/>
        <v>#DIV/0!</v>
      </c>
      <c r="CL128" s="164" t="e">
        <f t="shared" si="56"/>
        <v>#DIV/0!</v>
      </c>
      <c r="CM128" s="164" t="e">
        <f t="shared" si="56"/>
        <v>#DIV/0!</v>
      </c>
      <c r="CN128" s="164" t="e">
        <f t="shared" si="56"/>
        <v>#DIV/0!</v>
      </c>
      <c r="CO128" s="164" t="e">
        <f t="shared" si="56"/>
        <v>#DIV/0!</v>
      </c>
      <c r="CP128" s="164"/>
    </row>
    <row r="129" spans="2:94" x14ac:dyDescent="0.2">
      <c r="B129" s="105" t="s">
        <v>375</v>
      </c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>
        <f>AE73/AE79</f>
        <v>4.5381828348987994E-3</v>
      </c>
      <c r="AF129" s="164"/>
      <c r="AG129" s="164"/>
      <c r="AH129" s="164"/>
      <c r="AI129" s="164"/>
      <c r="AJ129" s="164"/>
      <c r="AK129" s="164"/>
      <c r="AL129" s="164">
        <f>AL73/AL79</f>
        <v>4.5312213295596662E-3</v>
      </c>
      <c r="AM129" s="164"/>
      <c r="AN129" s="164"/>
      <c r="AO129" s="164"/>
      <c r="AP129" s="164"/>
      <c r="AQ129" s="164"/>
      <c r="AR129" s="164"/>
      <c r="AS129" s="164">
        <f>AS73/AS79</f>
        <v>4.5292211529467602E-3</v>
      </c>
      <c r="AT129" s="164"/>
      <c r="AU129" s="164"/>
      <c r="AV129" s="164"/>
      <c r="AW129" s="164"/>
      <c r="AX129" s="164"/>
      <c r="AY129" s="164"/>
      <c r="AZ129" s="164">
        <f>AZ73/AZ79</f>
        <v>4.523659407816307E-3</v>
      </c>
      <c r="BA129" s="164"/>
      <c r="BB129" s="164"/>
      <c r="BC129" s="164"/>
      <c r="BD129" s="164"/>
      <c r="BE129" s="164"/>
      <c r="BF129" s="164"/>
      <c r="BG129" s="164">
        <f>BG73/BG79</f>
        <v>4.5224698847954534E-3</v>
      </c>
      <c r="BH129" s="164"/>
      <c r="BI129" s="164"/>
      <c r="BJ129" s="164"/>
      <c r="BK129" s="164"/>
      <c r="BL129" s="164"/>
      <c r="BM129" s="164"/>
      <c r="BN129" s="164">
        <f>BN73/BN79</f>
        <v>4.5254302768296655E-3</v>
      </c>
      <c r="BO129" s="164"/>
      <c r="BP129" s="164"/>
      <c r="BQ129" s="164"/>
      <c r="BR129" s="164"/>
      <c r="BS129" s="164"/>
      <c r="BT129" s="164"/>
      <c r="BU129" s="164">
        <f>BU73/BU79</f>
        <v>4.5184374572770497E-3</v>
      </c>
      <c r="BV129" s="164"/>
      <c r="BW129" s="164"/>
      <c r="BX129" s="164"/>
      <c r="BY129" s="164"/>
      <c r="BZ129" s="164"/>
      <c r="CA129" s="164"/>
      <c r="CB129" s="164">
        <f>CB73/CB79</f>
        <v>4.5125321723398478E-3</v>
      </c>
      <c r="CC129" s="164"/>
      <c r="CD129" s="164"/>
      <c r="CE129" s="164"/>
      <c r="CF129" s="164"/>
      <c r="CG129" s="164"/>
      <c r="CH129" s="164"/>
      <c r="CI129" s="164">
        <f>CI73/CI79</f>
        <v>4.5089053249750734E-3</v>
      </c>
      <c r="CJ129" s="139" t="e">
        <f t="shared" ref="CJ129:CO129" si="57">CJ44/CJ120</f>
        <v>#REF!</v>
      </c>
      <c r="CK129" s="139">
        <f t="shared" si="57"/>
        <v>0</v>
      </c>
      <c r="CL129" s="139">
        <f t="shared" si="57"/>
        <v>0</v>
      </c>
      <c r="CM129" s="139" t="e">
        <f t="shared" si="57"/>
        <v>#REF!</v>
      </c>
      <c r="CN129" s="139">
        <f t="shared" si="57"/>
        <v>0</v>
      </c>
      <c r="CO129" s="139">
        <f t="shared" si="57"/>
        <v>0</v>
      </c>
      <c r="CP129" s="139"/>
    </row>
    <row r="130" spans="2:94" x14ac:dyDescent="0.2">
      <c r="B130" s="105" t="s">
        <v>376</v>
      </c>
      <c r="D130" s="139"/>
      <c r="E130" s="139"/>
      <c r="F130" s="139"/>
      <c r="G130" s="139"/>
      <c r="H130" s="139"/>
      <c r="I130" s="139"/>
      <c r="J130" s="173"/>
      <c r="K130" s="139"/>
      <c r="L130" s="139"/>
      <c r="M130" s="139"/>
      <c r="N130" s="139"/>
      <c r="O130" s="139"/>
      <c r="P130" s="139"/>
      <c r="Q130" s="217"/>
      <c r="R130" s="139"/>
      <c r="S130" s="139"/>
      <c r="T130" s="139"/>
      <c r="U130" s="139"/>
      <c r="V130" s="139"/>
      <c r="W130" s="139"/>
      <c r="X130" s="217"/>
      <c r="Y130" s="139"/>
      <c r="Z130" s="139"/>
      <c r="AA130" s="139"/>
      <c r="AB130" s="139"/>
      <c r="AC130" s="139"/>
      <c r="AD130" s="139"/>
      <c r="AE130" s="217">
        <f>AE44/AE121</f>
        <v>0</v>
      </c>
      <c r="AF130" s="139"/>
      <c r="AG130" s="139"/>
      <c r="AH130" s="139"/>
      <c r="AI130" s="139"/>
      <c r="AJ130" s="139"/>
      <c r="AK130" s="139"/>
      <c r="AL130" s="217">
        <f>AL44/AL121</f>
        <v>0</v>
      </c>
      <c r="AM130" s="139"/>
      <c r="AN130" s="139"/>
      <c r="AO130" s="139"/>
      <c r="AP130" s="139"/>
      <c r="AQ130" s="139"/>
      <c r="AR130" s="139"/>
      <c r="AS130" s="217">
        <f>AS44/AS121</f>
        <v>0</v>
      </c>
      <c r="AT130" s="139"/>
      <c r="AU130" s="139"/>
      <c r="AV130" s="139"/>
      <c r="AW130" s="139"/>
      <c r="AX130" s="139"/>
      <c r="AY130" s="139"/>
      <c r="AZ130" s="217">
        <f>AZ44/AZ121</f>
        <v>0</v>
      </c>
      <c r="BA130" s="139"/>
      <c r="BB130" s="139"/>
      <c r="BC130" s="139"/>
      <c r="BD130" s="139"/>
      <c r="BE130" s="139"/>
      <c r="BF130" s="139"/>
      <c r="BG130" s="217">
        <f>BG44/BG121</f>
        <v>0</v>
      </c>
      <c r="BH130" s="139"/>
      <c r="BI130" s="139"/>
      <c r="BJ130" s="139"/>
      <c r="BK130" s="139"/>
      <c r="BL130" s="139"/>
      <c r="BM130" s="139"/>
      <c r="BN130" s="217">
        <f>BN44/BN121</f>
        <v>0</v>
      </c>
      <c r="BO130" s="139"/>
      <c r="BP130" s="139"/>
      <c r="BQ130" s="139"/>
      <c r="BR130" s="139"/>
      <c r="BS130" s="139"/>
      <c r="BT130" s="139"/>
      <c r="BU130" s="217">
        <f>BU44/BU121</f>
        <v>0</v>
      </c>
      <c r="BV130" s="139"/>
      <c r="BW130" s="139"/>
      <c r="BX130" s="139"/>
      <c r="BY130" s="139"/>
      <c r="BZ130" s="139"/>
      <c r="CA130" s="139"/>
      <c r="CB130" s="217">
        <f>CB44/CB121</f>
        <v>0</v>
      </c>
      <c r="CC130" s="139"/>
      <c r="CD130" s="139"/>
      <c r="CE130" s="139"/>
      <c r="CF130" s="139"/>
      <c r="CG130" s="139"/>
      <c r="CH130" s="139"/>
      <c r="CI130" s="217">
        <f>CI44/CI121</f>
        <v>0</v>
      </c>
      <c r="CJ130" s="164" t="e">
        <f t="shared" ref="CJ130:CO130" si="58">CJ120/(CJ44+CJ68)</f>
        <v>#REF!</v>
      </c>
      <c r="CK130" s="164" t="e">
        <f t="shared" si="58"/>
        <v>#DIV/0!</v>
      </c>
      <c r="CL130" s="164" t="e">
        <f t="shared" si="58"/>
        <v>#DIV/0!</v>
      </c>
      <c r="CM130" s="164" t="e">
        <f t="shared" si="58"/>
        <v>#REF!</v>
      </c>
      <c r="CN130" s="164" t="e">
        <f t="shared" si="58"/>
        <v>#DIV/0!</v>
      </c>
      <c r="CO130" s="164" t="e">
        <f t="shared" si="58"/>
        <v>#DIV/0!</v>
      </c>
      <c r="CP130" s="164"/>
    </row>
    <row r="131" spans="2:94" x14ac:dyDescent="0.2">
      <c r="B131" s="105" t="s">
        <v>377</v>
      </c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218"/>
      <c r="R131" s="164"/>
      <c r="S131" s="164"/>
      <c r="T131" s="164"/>
      <c r="U131" s="164"/>
      <c r="V131" s="164"/>
      <c r="W131" s="164"/>
      <c r="X131" s="218"/>
      <c r="Y131" s="164"/>
      <c r="Z131" s="164"/>
      <c r="AA131" s="164"/>
      <c r="AB131" s="164"/>
      <c r="AC131" s="164"/>
      <c r="AD131" s="164"/>
      <c r="AE131" s="218" t="e">
        <f>AE121/(AE44+AE68)</f>
        <v>#DIV/0!</v>
      </c>
      <c r="AF131" s="164"/>
      <c r="AG131" s="164"/>
      <c r="AH131" s="164"/>
      <c r="AI131" s="164"/>
      <c r="AJ131" s="164"/>
      <c r="AK131" s="164"/>
      <c r="AL131" s="218" t="e">
        <f>AL121/(AL44+AL68)</f>
        <v>#DIV/0!</v>
      </c>
      <c r="AM131" s="164"/>
      <c r="AN131" s="164"/>
      <c r="AO131" s="164"/>
      <c r="AP131" s="164"/>
      <c r="AQ131" s="164"/>
      <c r="AR131" s="164"/>
      <c r="AS131" s="218" t="e">
        <f>AS121/(AS44+AS68)</f>
        <v>#DIV/0!</v>
      </c>
      <c r="AT131" s="164"/>
      <c r="AU131" s="164"/>
      <c r="AV131" s="164"/>
      <c r="AW131" s="164"/>
      <c r="AX131" s="164"/>
      <c r="AY131" s="164"/>
      <c r="AZ131" s="218" t="e">
        <f>AZ121/(AZ44+AZ68)</f>
        <v>#DIV/0!</v>
      </c>
      <c r="BA131" s="164"/>
      <c r="BB131" s="164"/>
      <c r="BC131" s="164"/>
      <c r="BD131" s="164"/>
      <c r="BE131" s="164"/>
      <c r="BF131" s="164"/>
      <c r="BG131" s="218" t="e">
        <f>BG121/(BG44+BG68)</f>
        <v>#DIV/0!</v>
      </c>
      <c r="BH131" s="164"/>
      <c r="BI131" s="164"/>
      <c r="BJ131" s="164"/>
      <c r="BK131" s="164"/>
      <c r="BL131" s="164"/>
      <c r="BM131" s="164"/>
      <c r="BN131" s="218" t="e">
        <f>BN121/(BN44+BN68)</f>
        <v>#DIV/0!</v>
      </c>
      <c r="BO131" s="164"/>
      <c r="BP131" s="164"/>
      <c r="BQ131" s="164"/>
      <c r="BR131" s="164"/>
      <c r="BS131" s="164"/>
      <c r="BT131" s="164"/>
      <c r="BU131" s="218" t="e">
        <f>BU121/(BU44+BU68)</f>
        <v>#DIV/0!</v>
      </c>
      <c r="BV131" s="164"/>
      <c r="BW131" s="164"/>
      <c r="BX131" s="164"/>
      <c r="BY131" s="164"/>
      <c r="BZ131" s="164"/>
      <c r="CA131" s="164"/>
      <c r="CB131" s="218" t="e">
        <f>CB121/(CB44+CB68)</f>
        <v>#DIV/0!</v>
      </c>
      <c r="CC131" s="164"/>
      <c r="CD131" s="164"/>
      <c r="CE131" s="164"/>
      <c r="CF131" s="164"/>
      <c r="CG131" s="164"/>
      <c r="CH131" s="164"/>
      <c r="CI131" s="218" t="e">
        <f>CI121/(CI44+CI68)</f>
        <v>#DIV/0!</v>
      </c>
    </row>
    <row r="133" spans="2:94" ht="16" x14ac:dyDescent="0.2">
      <c r="B133" s="183" t="s">
        <v>378</v>
      </c>
      <c r="C133" s="220"/>
      <c r="CJ133" s="164" t="e">
        <f t="shared" ref="CJ133:CO133" si="59">CJ109/CJ6</f>
        <v>#REF!</v>
      </c>
      <c r="CK133" s="164" t="e">
        <f t="shared" si="59"/>
        <v>#REF!</v>
      </c>
      <c r="CL133" s="164" t="e">
        <f t="shared" si="59"/>
        <v>#REF!</v>
      </c>
      <c r="CM133" s="164" t="e">
        <f t="shared" si="59"/>
        <v>#REF!</v>
      </c>
      <c r="CN133" s="164" t="e">
        <f t="shared" si="59"/>
        <v>#REF!</v>
      </c>
      <c r="CO133" s="164" t="e">
        <f t="shared" si="59"/>
        <v>#REF!</v>
      </c>
      <c r="CP133" s="164"/>
    </row>
    <row r="134" spans="2:94" x14ac:dyDescent="0.2">
      <c r="B134" s="105" t="s">
        <v>379</v>
      </c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>
        <f>AE110/AE6</f>
        <v>0</v>
      </c>
      <c r="AF134" s="164"/>
      <c r="AG134" s="164"/>
      <c r="AH134" s="164"/>
      <c r="AI134" s="164"/>
      <c r="AJ134" s="164"/>
      <c r="AK134" s="164"/>
      <c r="AL134" s="164">
        <f>AL110/AL6</f>
        <v>0</v>
      </c>
      <c r="AM134" s="164"/>
      <c r="AN134" s="164"/>
      <c r="AO134" s="164"/>
      <c r="AP134" s="164"/>
      <c r="AQ134" s="164"/>
      <c r="AR134" s="164"/>
      <c r="AS134" s="164">
        <f>AS110/AS6</f>
        <v>0</v>
      </c>
      <c r="AT134" s="164"/>
      <c r="AU134" s="164"/>
      <c r="AV134" s="164"/>
      <c r="AW134" s="164"/>
      <c r="AX134" s="164"/>
      <c r="AY134" s="164"/>
      <c r="AZ134" s="164">
        <f>AZ110/AZ6</f>
        <v>0</v>
      </c>
      <c r="BA134" s="164"/>
      <c r="BB134" s="164"/>
      <c r="BC134" s="164"/>
      <c r="BD134" s="164"/>
      <c r="BE134" s="164"/>
      <c r="BF134" s="164"/>
      <c r="BG134" s="164">
        <f>BG110/BG6</f>
        <v>0</v>
      </c>
      <c r="BH134" s="164"/>
      <c r="BI134" s="164"/>
      <c r="BJ134" s="164"/>
      <c r="BK134" s="164"/>
      <c r="BL134" s="164"/>
      <c r="BM134" s="164"/>
      <c r="BN134" s="164">
        <f>BN110/BN6</f>
        <v>0</v>
      </c>
      <c r="BO134" s="164"/>
      <c r="BP134" s="164"/>
      <c r="BQ134" s="164"/>
      <c r="BR134" s="164"/>
      <c r="BS134" s="164"/>
      <c r="BT134" s="164"/>
      <c r="BU134" s="164">
        <f>BU110/BU6</f>
        <v>0</v>
      </c>
      <c r="BV134" s="164"/>
      <c r="BW134" s="164"/>
      <c r="BX134" s="164"/>
      <c r="BY134" s="164"/>
      <c r="BZ134" s="164"/>
      <c r="CA134" s="164"/>
      <c r="CB134" s="164">
        <f>CB110/CB6</f>
        <v>0</v>
      </c>
      <c r="CC134" s="164"/>
      <c r="CD134" s="164"/>
      <c r="CE134" s="164"/>
      <c r="CF134" s="164"/>
      <c r="CG134" s="164"/>
      <c r="CH134" s="164"/>
      <c r="CI134" s="164">
        <f>CI110/CI6</f>
        <v>0</v>
      </c>
      <c r="CJ134" s="174">
        <f t="shared" ref="CJ134:CO134" si="60">CJ6/CJ62</f>
        <v>3.3079623769456577E-2</v>
      </c>
      <c r="CK134" s="174">
        <f t="shared" si="60"/>
        <v>0</v>
      </c>
      <c r="CL134" s="174">
        <f t="shared" si="60"/>
        <v>4.0775110672322375E-2</v>
      </c>
      <c r="CM134" s="174">
        <f t="shared" si="60"/>
        <v>5.7079435547804029E-2</v>
      </c>
      <c r="CN134" s="174">
        <f t="shared" si="60"/>
        <v>4.4525456038069268E-2</v>
      </c>
      <c r="CO134" s="174">
        <f t="shared" si="60"/>
        <v>2.0329174033718398E-3</v>
      </c>
      <c r="CP134" s="174"/>
    </row>
    <row r="135" spans="2:94" x14ac:dyDescent="0.2">
      <c r="B135" s="105" t="s">
        <v>444</v>
      </c>
      <c r="D135" s="174"/>
      <c r="E135" s="174"/>
      <c r="F135" s="174"/>
      <c r="G135" s="174"/>
      <c r="H135" s="174"/>
      <c r="I135" s="174"/>
      <c r="J135" s="219"/>
      <c r="K135" s="174"/>
      <c r="L135" s="174"/>
      <c r="M135" s="174"/>
      <c r="N135" s="174"/>
      <c r="O135" s="174"/>
      <c r="P135" s="174"/>
      <c r="Q135" s="219"/>
      <c r="R135" s="174"/>
      <c r="S135" s="174"/>
      <c r="T135" s="174"/>
      <c r="U135" s="174"/>
      <c r="V135" s="174"/>
      <c r="W135" s="174"/>
      <c r="X135" s="219"/>
      <c r="Y135" s="174"/>
      <c r="Z135" s="174"/>
      <c r="AA135" s="174"/>
      <c r="AB135" s="174"/>
      <c r="AC135" s="174"/>
      <c r="AD135" s="174"/>
      <c r="AE135" s="219">
        <f>AE6/AE62</f>
        <v>1.2753624938475665E-3</v>
      </c>
      <c r="AF135" s="174"/>
      <c r="AG135" s="174"/>
      <c r="AH135" s="174"/>
      <c r="AI135" s="174"/>
      <c r="AJ135" s="174"/>
      <c r="AK135" s="174"/>
      <c r="AL135" s="219">
        <f>AL6/AL62</f>
        <v>1.9408842941713487E-3</v>
      </c>
      <c r="AM135" s="174"/>
      <c r="AN135" s="174"/>
      <c r="AO135" s="174"/>
      <c r="AP135" s="174"/>
      <c r="AQ135" s="174"/>
      <c r="AR135" s="174"/>
      <c r="AS135" s="219">
        <f>AS6/AS62</f>
        <v>2.2378501971046698E-3</v>
      </c>
      <c r="AT135" s="174"/>
      <c r="AU135" s="174"/>
      <c r="AV135" s="174"/>
      <c r="AW135" s="174"/>
      <c r="AX135" s="174"/>
      <c r="AY135" s="174"/>
      <c r="AZ135" s="219">
        <f>AZ6/AZ62</f>
        <v>1.8030072678094497E-3</v>
      </c>
      <c r="BA135" s="174"/>
      <c r="BB135" s="174"/>
      <c r="BC135" s="174"/>
      <c r="BD135" s="174"/>
      <c r="BE135" s="174"/>
      <c r="BF135" s="174"/>
      <c r="BG135" s="219">
        <f>BG6/BG62</f>
        <v>2.1848205715808626E-3</v>
      </c>
      <c r="BH135" s="174"/>
      <c r="BI135" s="174"/>
      <c r="BJ135" s="174"/>
      <c r="BK135" s="174"/>
      <c r="BL135" s="174"/>
      <c r="BM135" s="174"/>
      <c r="BN135" s="219">
        <f>BN6/BN62</f>
        <v>1.1666517615237615E-3</v>
      </c>
      <c r="BO135" s="174"/>
      <c r="BP135" s="174"/>
      <c r="BQ135" s="174"/>
      <c r="BR135" s="174"/>
      <c r="BS135" s="174"/>
      <c r="BT135" s="174"/>
      <c r="BU135" s="219">
        <f>BU6/BU62</f>
        <v>2.8211760778665503E-3</v>
      </c>
      <c r="BV135" s="174"/>
      <c r="BW135" s="174"/>
      <c r="BX135" s="174"/>
      <c r="BY135" s="174"/>
      <c r="BZ135" s="174"/>
      <c r="CA135" s="174"/>
      <c r="CB135" s="219">
        <f>CB6/CB62</f>
        <v>1.9939139196951559E-3</v>
      </c>
      <c r="CC135" s="174"/>
      <c r="CD135" s="174"/>
      <c r="CE135" s="174"/>
      <c r="CF135" s="174"/>
      <c r="CG135" s="174"/>
      <c r="CH135" s="174"/>
      <c r="CI135" s="219">
        <f>CI6/CI62</f>
        <v>1.4105880389332752E-3</v>
      </c>
    </row>
    <row r="137" spans="2:94" ht="16" x14ac:dyDescent="0.2">
      <c r="B137" s="183" t="s">
        <v>380</v>
      </c>
      <c r="C137" s="220"/>
      <c r="CJ137" s="171" t="e">
        <f t="shared" ref="CJ137:CO137" si="61">CJ46/CJ45</f>
        <v>#DIV/0!</v>
      </c>
      <c r="CK137" s="171" t="e">
        <f t="shared" si="61"/>
        <v>#DIV/0!</v>
      </c>
      <c r="CL137" s="171" t="e">
        <f t="shared" si="61"/>
        <v>#DIV/0!</v>
      </c>
      <c r="CM137" s="171" t="e">
        <f t="shared" si="61"/>
        <v>#DIV/0!</v>
      </c>
      <c r="CN137" s="171" t="e">
        <f t="shared" si="61"/>
        <v>#DIV/0!</v>
      </c>
      <c r="CO137" s="171" t="e">
        <f t="shared" si="61"/>
        <v>#DIV/0!</v>
      </c>
      <c r="CP137" s="171"/>
    </row>
    <row r="138" spans="2:94" x14ac:dyDescent="0.2">
      <c r="B138" s="105" t="s">
        <v>381</v>
      </c>
      <c r="D138" s="171"/>
      <c r="E138" s="171"/>
      <c r="F138" s="171"/>
      <c r="G138" s="171"/>
      <c r="H138" s="171"/>
      <c r="I138" s="171"/>
      <c r="J138" s="172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>
        <f>AE46/AE45</f>
        <v>0</v>
      </c>
      <c r="AF138" s="171"/>
      <c r="AG138" s="171"/>
      <c r="AH138" s="171"/>
      <c r="AI138" s="171"/>
      <c r="AJ138" s="171"/>
      <c r="AK138" s="171"/>
      <c r="AL138" s="171">
        <f>AL46/AL45</f>
        <v>0</v>
      </c>
      <c r="AM138" s="171"/>
      <c r="AN138" s="171"/>
      <c r="AO138" s="171"/>
      <c r="AP138" s="171"/>
      <c r="AQ138" s="171"/>
      <c r="AR138" s="171"/>
      <c r="AS138" s="171">
        <f>AS46/AS45</f>
        <v>0</v>
      </c>
      <c r="AT138" s="171"/>
      <c r="AU138" s="171"/>
      <c r="AV138" s="171"/>
      <c r="AW138" s="171"/>
      <c r="AX138" s="171"/>
      <c r="AY138" s="171"/>
      <c r="AZ138" s="171">
        <f>AZ46/AZ45</f>
        <v>0</v>
      </c>
      <c r="BA138" s="171"/>
      <c r="BB138" s="171"/>
      <c r="BC138" s="171"/>
      <c r="BD138" s="171"/>
      <c r="BE138" s="171"/>
      <c r="BF138" s="171"/>
      <c r="BG138" s="171">
        <f>BG46/BG45</f>
        <v>0</v>
      </c>
      <c r="BH138" s="171"/>
      <c r="BI138" s="171"/>
      <c r="BJ138" s="171"/>
      <c r="BK138" s="171"/>
      <c r="BL138" s="171"/>
      <c r="BM138" s="171"/>
      <c r="BN138" s="171">
        <f>BN46/BN45</f>
        <v>0</v>
      </c>
      <c r="BO138" s="171"/>
      <c r="BP138" s="171"/>
      <c r="BQ138" s="171"/>
      <c r="BR138" s="171"/>
      <c r="BS138" s="171"/>
      <c r="BT138" s="171"/>
      <c r="BU138" s="171">
        <f>BU46/BU45</f>
        <v>0</v>
      </c>
      <c r="BV138" s="171"/>
      <c r="BW138" s="171"/>
      <c r="BX138" s="171"/>
      <c r="BY138" s="171"/>
      <c r="BZ138" s="171"/>
      <c r="CA138" s="171"/>
      <c r="CB138" s="171">
        <f>CB46/CB45</f>
        <v>0</v>
      </c>
      <c r="CC138" s="171"/>
      <c r="CD138" s="171"/>
      <c r="CE138" s="171"/>
      <c r="CF138" s="171"/>
      <c r="CG138" s="171"/>
      <c r="CH138" s="171"/>
      <c r="CI138" s="171">
        <f>CI46/CI45</f>
        <v>0</v>
      </c>
      <c r="CJ138" s="137" t="e">
        <f>#REF!*(1-CJ137)</f>
        <v>#REF!</v>
      </c>
      <c r="CK138" s="137" t="e">
        <f>CJ16*(1-CK137)</f>
        <v>#DIV/0!</v>
      </c>
      <c r="CL138" s="137" t="e">
        <f>CL16*(1-CL137)</f>
        <v>#DIV/0!</v>
      </c>
      <c r="CM138" s="137" t="e">
        <f>#REF!*(1-CM137)</f>
        <v>#REF!</v>
      </c>
      <c r="CN138" s="137" t="e">
        <f>CM16*(1-CN137)</f>
        <v>#DIV/0!</v>
      </c>
      <c r="CO138" s="137" t="e">
        <f>CO16*(1-CO137)</f>
        <v>#DIV/0!</v>
      </c>
      <c r="CP138" s="137"/>
    </row>
    <row r="139" spans="2:94" x14ac:dyDescent="0.2">
      <c r="B139" s="105" t="s">
        <v>382</v>
      </c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>
        <f>AE16*(1-AE138)</f>
        <v>1777595</v>
      </c>
      <c r="AF139" s="137"/>
      <c r="AG139" s="137"/>
      <c r="AH139" s="137"/>
      <c r="AI139" s="137"/>
      <c r="AJ139" s="137"/>
      <c r="AK139" s="137"/>
      <c r="AL139" s="137">
        <f>AL16*(1-AL138)</f>
        <v>2798588</v>
      </c>
      <c r="AM139" s="137"/>
      <c r="AN139" s="137"/>
      <c r="AO139" s="137"/>
      <c r="AP139" s="137"/>
      <c r="AQ139" s="137"/>
      <c r="AR139" s="137"/>
      <c r="AS139" s="137">
        <f>AS16*(1-AS138)</f>
        <v>3543395</v>
      </c>
      <c r="AT139" s="137"/>
      <c r="AU139" s="137"/>
      <c r="AV139" s="137"/>
      <c r="AW139" s="137"/>
      <c r="AX139" s="137"/>
      <c r="AY139" s="137"/>
      <c r="AZ139" s="137">
        <f>AZ16*(1-AZ138)</f>
        <v>708488</v>
      </c>
      <c r="BA139" s="137"/>
      <c r="BB139" s="137"/>
      <c r="BC139" s="137"/>
      <c r="BD139" s="137"/>
      <c r="BE139" s="137"/>
      <c r="BF139" s="137"/>
      <c r="BG139" s="137">
        <f>BG16*(1-BG138)</f>
        <v>-7343955</v>
      </c>
      <c r="BH139" s="137"/>
      <c r="BI139" s="137"/>
      <c r="BJ139" s="137"/>
      <c r="BK139" s="137"/>
      <c r="BL139" s="137"/>
      <c r="BM139" s="137"/>
      <c r="BN139" s="137">
        <f>BN16*(1-BN138)</f>
        <v>-3744202</v>
      </c>
      <c r="BO139" s="137"/>
      <c r="BP139" s="137"/>
      <c r="BQ139" s="137"/>
      <c r="BR139" s="137"/>
      <c r="BS139" s="137"/>
      <c r="BT139" s="137"/>
      <c r="BU139" s="137">
        <f>BU16*(1-BU138)</f>
        <v>217886</v>
      </c>
      <c r="BV139" s="137"/>
      <c r="BW139" s="137"/>
      <c r="BX139" s="137"/>
      <c r="BY139" s="137"/>
      <c r="BZ139" s="137"/>
      <c r="CA139" s="137"/>
      <c r="CB139" s="137">
        <f>CB16*(1-CB138)</f>
        <v>3060378</v>
      </c>
      <c r="CC139" s="137"/>
      <c r="CD139" s="137"/>
      <c r="CE139" s="137"/>
      <c r="CF139" s="137"/>
      <c r="CG139" s="137"/>
      <c r="CH139" s="137"/>
      <c r="CI139" s="137">
        <f>CI16*(1-CI138)</f>
        <v>1386008.5</v>
      </c>
      <c r="CJ139" s="137" t="e">
        <f t="shared" ref="CJ139:CO139" si="62">CJ109+CJ62</f>
        <v>#REF!</v>
      </c>
      <c r="CK139" s="137" t="e">
        <f t="shared" si="62"/>
        <v>#REF!</v>
      </c>
      <c r="CL139" s="137" t="e">
        <f t="shared" si="62"/>
        <v>#REF!</v>
      </c>
      <c r="CM139" s="137" t="e">
        <f t="shared" si="62"/>
        <v>#REF!</v>
      </c>
      <c r="CN139" s="137" t="e">
        <f t="shared" si="62"/>
        <v>#REF!</v>
      </c>
      <c r="CO139" s="137" t="e">
        <f t="shared" si="62"/>
        <v>#REF!</v>
      </c>
      <c r="CP139" s="137"/>
    </row>
    <row r="140" spans="2:94" x14ac:dyDescent="0.2">
      <c r="B140" s="105" t="s">
        <v>383</v>
      </c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>
        <f>AE110+AE62</f>
        <v>1885738377.5999999</v>
      </c>
      <c r="AF140" s="137"/>
      <c r="AG140" s="137"/>
      <c r="AH140" s="137"/>
      <c r="AI140" s="137"/>
      <c r="AJ140" s="137"/>
      <c r="AK140" s="137"/>
      <c r="AL140" s="137">
        <f>AL110+AL62</f>
        <v>1885738377.5999999</v>
      </c>
      <c r="AM140" s="137"/>
      <c r="AN140" s="137"/>
      <c r="AO140" s="137"/>
      <c r="AP140" s="137"/>
      <c r="AQ140" s="137"/>
      <c r="AR140" s="137"/>
      <c r="AS140" s="137">
        <f>AS110+AS62</f>
        <v>1885738377.5999999</v>
      </c>
      <c r="AT140" s="137"/>
      <c r="AU140" s="137"/>
      <c r="AV140" s="137"/>
      <c r="AW140" s="137"/>
      <c r="AX140" s="137"/>
      <c r="AY140" s="137"/>
      <c r="AZ140" s="137">
        <f>AZ110+AZ62</f>
        <v>1885738377.5999999</v>
      </c>
      <c r="BA140" s="137"/>
      <c r="BB140" s="137"/>
      <c r="BC140" s="137"/>
      <c r="BD140" s="137"/>
      <c r="BE140" s="137"/>
      <c r="BF140" s="137"/>
      <c r="BG140" s="137">
        <f>BG110+BG62</f>
        <v>1885738377.5999999</v>
      </c>
      <c r="BH140" s="137"/>
      <c r="BI140" s="137"/>
      <c r="BJ140" s="137"/>
      <c r="BK140" s="137"/>
      <c r="BL140" s="137"/>
      <c r="BM140" s="137"/>
      <c r="BN140" s="137">
        <f>BN110+BN62</f>
        <v>1885738377.5999999</v>
      </c>
      <c r="BO140" s="137"/>
      <c r="BP140" s="137"/>
      <c r="BQ140" s="137"/>
      <c r="BR140" s="137"/>
      <c r="BS140" s="137"/>
      <c r="BT140" s="137"/>
      <c r="BU140" s="137">
        <f>BU110+BU62</f>
        <v>1885738377.5999999</v>
      </c>
      <c r="BV140" s="137"/>
      <c r="BW140" s="137"/>
      <c r="BX140" s="137"/>
      <c r="BY140" s="137"/>
      <c r="BZ140" s="137"/>
      <c r="CA140" s="137"/>
      <c r="CB140" s="137">
        <f>CB110+CB62</f>
        <v>1885738377.5999999</v>
      </c>
      <c r="CC140" s="137"/>
      <c r="CD140" s="137"/>
      <c r="CE140" s="137"/>
      <c r="CF140" s="137"/>
      <c r="CG140" s="137"/>
      <c r="CH140" s="137"/>
      <c r="CI140" s="137">
        <f>CI110+CI62</f>
        <v>1885738377.5999999</v>
      </c>
      <c r="CJ140" s="166" t="e">
        <f t="shared" ref="CJ140:CO140" si="63">CJ138/CJ139</f>
        <v>#REF!</v>
      </c>
      <c r="CK140" s="166" t="e">
        <f t="shared" si="63"/>
        <v>#DIV/0!</v>
      </c>
      <c r="CL140" s="166" t="e">
        <f t="shared" si="63"/>
        <v>#DIV/0!</v>
      </c>
      <c r="CM140" s="166" t="e">
        <f t="shared" si="63"/>
        <v>#REF!</v>
      </c>
      <c r="CN140" s="166" t="e">
        <f t="shared" si="63"/>
        <v>#DIV/0!</v>
      </c>
      <c r="CO140" s="166" t="e">
        <f t="shared" si="63"/>
        <v>#DIV/0!</v>
      </c>
      <c r="CP140" s="166"/>
    </row>
    <row r="141" spans="2:94" x14ac:dyDescent="0.2">
      <c r="B141" s="105" t="s">
        <v>384</v>
      </c>
      <c r="D141" s="166"/>
      <c r="E141" s="166"/>
      <c r="F141" s="166"/>
      <c r="G141" s="166"/>
      <c r="H141" s="166"/>
      <c r="I141" s="166"/>
      <c r="J141" s="173"/>
      <c r="K141" s="166"/>
      <c r="L141" s="166"/>
      <c r="M141" s="166"/>
      <c r="N141" s="166"/>
      <c r="O141" s="166"/>
      <c r="P141" s="166"/>
      <c r="Q141" s="139"/>
      <c r="R141" s="166"/>
      <c r="S141" s="166"/>
      <c r="T141" s="166"/>
      <c r="U141" s="166"/>
      <c r="V141" s="166"/>
      <c r="W141" s="166"/>
      <c r="X141" s="139"/>
      <c r="Y141" s="166"/>
      <c r="Z141" s="166"/>
      <c r="AA141" s="166"/>
      <c r="AB141" s="166"/>
      <c r="AC141" s="166"/>
      <c r="AD141" s="166"/>
      <c r="AE141" s="139">
        <f>AE139/AE140</f>
        <v>9.4265197182992315E-4</v>
      </c>
      <c r="AF141" s="166"/>
      <c r="AG141" s="166"/>
      <c r="AH141" s="166"/>
      <c r="AI141" s="166"/>
      <c r="AJ141" s="166"/>
      <c r="AK141" s="166"/>
      <c r="AL141" s="139">
        <f>AL139/AL140</f>
        <v>1.4840807363542094E-3</v>
      </c>
      <c r="AM141" s="166"/>
      <c r="AN141" s="166"/>
      <c r="AO141" s="166"/>
      <c r="AP141" s="166"/>
      <c r="AQ141" s="166"/>
      <c r="AR141" s="166"/>
      <c r="AS141" s="139">
        <f>AS139/AS140</f>
        <v>1.879049099329313E-3</v>
      </c>
      <c r="AT141" s="166"/>
      <c r="AU141" s="166"/>
      <c r="AV141" s="166"/>
      <c r="AW141" s="166"/>
      <c r="AX141" s="166"/>
      <c r="AY141" s="166"/>
      <c r="AZ141" s="139">
        <f>AZ139/AZ140</f>
        <v>3.7570853328111213E-4</v>
      </c>
      <c r="BA141" s="166"/>
      <c r="BB141" s="166"/>
      <c r="BC141" s="166"/>
      <c r="BD141" s="166"/>
      <c r="BE141" s="166"/>
      <c r="BF141" s="166"/>
      <c r="BG141" s="139">
        <f>BG139/BG140</f>
        <v>-3.8944718351369254E-3</v>
      </c>
      <c r="BH141" s="166"/>
      <c r="BI141" s="166"/>
      <c r="BJ141" s="166"/>
      <c r="BK141" s="166"/>
      <c r="BL141" s="166"/>
      <c r="BM141" s="166"/>
      <c r="BN141" s="139">
        <f>BN139/BN140</f>
        <v>-1.9855362994549049E-3</v>
      </c>
      <c r="BO141" s="166"/>
      <c r="BP141" s="166"/>
      <c r="BQ141" s="166"/>
      <c r="BR141" s="166"/>
      <c r="BS141" s="166"/>
      <c r="BT141" s="166"/>
      <c r="BU141" s="139">
        <f>BU139/BU140</f>
        <v>1.1554412986880286E-4</v>
      </c>
      <c r="BV141" s="166"/>
      <c r="BW141" s="166"/>
      <c r="BX141" s="166"/>
      <c r="BY141" s="166"/>
      <c r="BZ141" s="166"/>
      <c r="CA141" s="166"/>
      <c r="CB141" s="139">
        <f>CB139/CB140</f>
        <v>1.6229069930129847E-3</v>
      </c>
      <c r="CC141" s="166"/>
      <c r="CD141" s="166"/>
      <c r="CE141" s="166"/>
      <c r="CF141" s="166"/>
      <c r="CG141" s="166"/>
      <c r="CH141" s="166"/>
      <c r="CI141" s="139">
        <f>CI139/CI140</f>
        <v>7.3499511727813925E-4</v>
      </c>
      <c r="CJ141" s="137">
        <f t="shared" ref="CJ141:CO141" si="64">CJ71+CJ68</f>
        <v>0</v>
      </c>
      <c r="CK141" s="137">
        <f t="shared" si="64"/>
        <v>0</v>
      </c>
      <c r="CL141" s="137">
        <f t="shared" si="64"/>
        <v>0</v>
      </c>
      <c r="CM141" s="137">
        <f t="shared" si="64"/>
        <v>0</v>
      </c>
      <c r="CN141" s="137">
        <f t="shared" si="64"/>
        <v>0</v>
      </c>
      <c r="CO141" s="137">
        <f t="shared" si="64"/>
        <v>0</v>
      </c>
      <c r="CP141" s="137"/>
    </row>
    <row r="142" spans="2:94" x14ac:dyDescent="0.2">
      <c r="B142" s="105" t="s">
        <v>385</v>
      </c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>
        <f>AE71+AE68</f>
        <v>8552288.8699999992</v>
      </c>
      <c r="AF142" s="137"/>
      <c r="AG142" s="137"/>
      <c r="AH142" s="137"/>
      <c r="AI142" s="137"/>
      <c r="AJ142" s="137"/>
      <c r="AK142" s="137"/>
      <c r="AL142" s="137">
        <f>AL71+AL68</f>
        <v>8552288.8699999992</v>
      </c>
      <c r="AM142" s="137"/>
      <c r="AN142" s="137"/>
      <c r="AO142" s="137"/>
      <c r="AP142" s="137"/>
      <c r="AQ142" s="137"/>
      <c r="AR142" s="137"/>
      <c r="AS142" s="137">
        <f>AS71+AS68</f>
        <v>8552288.8699999992</v>
      </c>
      <c r="AT142" s="137"/>
      <c r="AU142" s="137"/>
      <c r="AV142" s="137"/>
      <c r="AW142" s="137"/>
      <c r="AX142" s="137"/>
      <c r="AY142" s="137"/>
      <c r="AZ142" s="137">
        <f>AZ71+AZ68</f>
        <v>8552288.8699999992</v>
      </c>
      <c r="BA142" s="137"/>
      <c r="BB142" s="137"/>
      <c r="BC142" s="137"/>
      <c r="BD142" s="137"/>
      <c r="BE142" s="137"/>
      <c r="BF142" s="137"/>
      <c r="BG142" s="137">
        <f>BG71+BG68</f>
        <v>8552288.8699999992</v>
      </c>
      <c r="BH142" s="137"/>
      <c r="BI142" s="137"/>
      <c r="BJ142" s="137"/>
      <c r="BK142" s="137"/>
      <c r="BL142" s="137"/>
      <c r="BM142" s="137"/>
      <c r="BN142" s="137">
        <f>BN71+BN68</f>
        <v>8552288.8699999992</v>
      </c>
      <c r="BO142" s="137"/>
      <c r="BP142" s="137"/>
      <c r="BQ142" s="137"/>
      <c r="BR142" s="137"/>
      <c r="BS142" s="137"/>
      <c r="BT142" s="137"/>
      <c r="BU142" s="137">
        <f>BU71+BU68</f>
        <v>8552288.8699999992</v>
      </c>
      <c r="BV142" s="137"/>
      <c r="BW142" s="137"/>
      <c r="BX142" s="137"/>
      <c r="BY142" s="137"/>
      <c r="BZ142" s="137"/>
      <c r="CA142" s="137"/>
      <c r="CB142" s="137">
        <f>CB71+CB68</f>
        <v>8552288.8699999992</v>
      </c>
      <c r="CC142" s="137"/>
      <c r="CD142" s="137"/>
      <c r="CE142" s="137"/>
      <c r="CF142" s="137"/>
      <c r="CG142" s="137"/>
      <c r="CH142" s="137"/>
      <c r="CI142" s="137">
        <f>CI71+CI68</f>
        <v>8552288.8699999992</v>
      </c>
      <c r="CJ142" s="137">
        <f t="shared" ref="CJ142:CO142" si="65">CJ79</f>
        <v>0</v>
      </c>
      <c r="CK142" s="137">
        <f t="shared" si="65"/>
        <v>0</v>
      </c>
      <c r="CL142" s="137">
        <f t="shared" si="65"/>
        <v>0</v>
      </c>
      <c r="CM142" s="137">
        <f t="shared" si="65"/>
        <v>0</v>
      </c>
      <c r="CN142" s="137">
        <f t="shared" si="65"/>
        <v>0</v>
      </c>
      <c r="CO142" s="137">
        <f t="shared" si="65"/>
        <v>0</v>
      </c>
      <c r="CP142" s="137"/>
    </row>
    <row r="143" spans="2:94" x14ac:dyDescent="0.2">
      <c r="B143" s="105" t="s">
        <v>386</v>
      </c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>
        <f>AE79</f>
        <v>1884518359.25</v>
      </c>
      <c r="AF143" s="137"/>
      <c r="AG143" s="137"/>
      <c r="AH143" s="137"/>
      <c r="AI143" s="137"/>
      <c r="AJ143" s="137"/>
      <c r="AK143" s="137"/>
      <c r="AL143" s="137">
        <f>AL79</f>
        <v>1887413623.8299999</v>
      </c>
      <c r="AM143" s="137"/>
      <c r="AN143" s="137"/>
      <c r="AO143" s="137"/>
      <c r="AP143" s="137"/>
      <c r="AQ143" s="137"/>
      <c r="AR143" s="137"/>
      <c r="AS143" s="137">
        <f>AS79</f>
        <v>1888247135.9199998</v>
      </c>
      <c r="AT143" s="137"/>
      <c r="AU143" s="137"/>
      <c r="AV143" s="137"/>
      <c r="AW143" s="137"/>
      <c r="AX143" s="137"/>
      <c r="AY143" s="137"/>
      <c r="AZ143" s="137">
        <f>AZ79</f>
        <v>1890568696.4899998</v>
      </c>
      <c r="BA143" s="137"/>
      <c r="BB143" s="137"/>
      <c r="BC143" s="137"/>
      <c r="BD143" s="137"/>
      <c r="BE143" s="137"/>
      <c r="BF143" s="137"/>
      <c r="BG143" s="137">
        <f>BG79</f>
        <v>1891065963.48</v>
      </c>
      <c r="BH143" s="137"/>
      <c r="BI143" s="137"/>
      <c r="BJ143" s="137"/>
      <c r="BK143" s="137"/>
      <c r="BL143" s="137"/>
      <c r="BM143" s="137"/>
      <c r="BN143" s="137">
        <f>BN79</f>
        <v>1889828888.49</v>
      </c>
      <c r="BO143" s="137"/>
      <c r="BP143" s="137"/>
      <c r="BQ143" s="137"/>
      <c r="BR143" s="137"/>
      <c r="BS143" s="137"/>
      <c r="BT143" s="137"/>
      <c r="BU143" s="137">
        <f>BU79</f>
        <v>1892753623.54</v>
      </c>
      <c r="BV143" s="137"/>
      <c r="BW143" s="137"/>
      <c r="BX143" s="137"/>
      <c r="BY143" s="137"/>
      <c r="BZ143" s="137"/>
      <c r="CA143" s="137"/>
      <c r="CB143" s="137">
        <f>CB79</f>
        <v>1895230558.6700001</v>
      </c>
      <c r="CC143" s="137"/>
      <c r="CD143" s="137"/>
      <c r="CE143" s="137"/>
      <c r="CF143" s="137"/>
      <c r="CG143" s="137"/>
      <c r="CH143" s="137"/>
      <c r="CI143" s="137">
        <f>CI79</f>
        <v>1896755033.3399999</v>
      </c>
      <c r="CJ143" s="139" t="e">
        <f t="shared" ref="CJ143:CO143" si="66">CJ141/(CJ141+CJ142)</f>
        <v>#DIV/0!</v>
      </c>
      <c r="CK143" s="139" t="e">
        <f t="shared" si="66"/>
        <v>#DIV/0!</v>
      </c>
      <c r="CL143" s="139" t="e">
        <f t="shared" si="66"/>
        <v>#DIV/0!</v>
      </c>
      <c r="CM143" s="139" t="e">
        <f t="shared" si="66"/>
        <v>#DIV/0!</v>
      </c>
      <c r="CN143" s="139" t="e">
        <f t="shared" si="66"/>
        <v>#DIV/0!</v>
      </c>
      <c r="CO143" s="139" t="e">
        <f t="shared" si="66"/>
        <v>#DIV/0!</v>
      </c>
      <c r="CP143" s="139"/>
    </row>
    <row r="144" spans="2:94" x14ac:dyDescent="0.2">
      <c r="B144" s="105" t="s">
        <v>387</v>
      </c>
      <c r="D144" s="139"/>
      <c r="E144" s="139"/>
      <c r="F144" s="139"/>
      <c r="G144" s="139"/>
      <c r="H144" s="139"/>
      <c r="I144" s="139"/>
      <c r="J144" s="173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>
        <f>AE142/(AE142+AE143)</f>
        <v>4.5176807735586837E-3</v>
      </c>
      <c r="AF144" s="139"/>
      <c r="AG144" s="139"/>
      <c r="AH144" s="139"/>
      <c r="AI144" s="139"/>
      <c r="AJ144" s="139"/>
      <c r="AK144" s="139"/>
      <c r="AL144" s="139">
        <f>AL142/(AL142+AL143)</f>
        <v>4.5107819780477428E-3</v>
      </c>
      <c r="AM144" s="139"/>
      <c r="AN144" s="139"/>
      <c r="AO144" s="139"/>
      <c r="AP144" s="139"/>
      <c r="AQ144" s="139"/>
      <c r="AR144" s="139"/>
      <c r="AS144" s="139">
        <f>AS142/(AS142+AS143)</f>
        <v>4.5087998015113529E-3</v>
      </c>
      <c r="AT144" s="139"/>
      <c r="AU144" s="139"/>
      <c r="AV144" s="139"/>
      <c r="AW144" s="139"/>
      <c r="AX144" s="139"/>
      <c r="AY144" s="139"/>
      <c r="AZ144" s="139">
        <f>AZ142/(AZ142+AZ143)</f>
        <v>4.5032880663886813E-3</v>
      </c>
      <c r="BA144" s="139"/>
      <c r="BB144" s="139"/>
      <c r="BC144" s="139"/>
      <c r="BD144" s="139"/>
      <c r="BE144" s="139"/>
      <c r="BF144" s="139"/>
      <c r="BG144" s="139">
        <f>BG142/(BG142+BG143)</f>
        <v>4.5021092313784847E-3</v>
      </c>
      <c r="BH144" s="139"/>
      <c r="BI144" s="139"/>
      <c r="BJ144" s="139"/>
      <c r="BK144" s="139"/>
      <c r="BL144" s="139"/>
      <c r="BM144" s="139"/>
      <c r="BN144" s="139">
        <f>BN142/(BN142+BN143)</f>
        <v>4.5050430187541755E-3</v>
      </c>
      <c r="BO144" s="139"/>
      <c r="BP144" s="139"/>
      <c r="BQ144" s="139"/>
      <c r="BR144" s="139"/>
      <c r="BS144" s="139"/>
      <c r="BT144" s="139"/>
      <c r="BU144" s="139">
        <f>BU142/(BU142+BU143)</f>
        <v>4.4981130149432651E-3</v>
      </c>
      <c r="BV144" s="139"/>
      <c r="BW144" s="139"/>
      <c r="BX144" s="139"/>
      <c r="BY144" s="139"/>
      <c r="BZ144" s="139"/>
      <c r="CA144" s="139"/>
      <c r="CB144" s="139">
        <f>CB142/(CB142+CB143)</f>
        <v>4.4922607013982508E-3</v>
      </c>
      <c r="CC144" s="139"/>
      <c r="CD144" s="139"/>
      <c r="CE144" s="139"/>
      <c r="CF144" s="139"/>
      <c r="CG144" s="139"/>
      <c r="CH144" s="139"/>
      <c r="CI144" s="139">
        <f>CI142/(CI142+CI143)</f>
        <v>4.4886663533524069E-3</v>
      </c>
      <c r="CJ144" s="139" t="e">
        <f t="shared" ref="CJ144:CO144" si="67">CJ142/(CJ141+CJ142)</f>
        <v>#DIV/0!</v>
      </c>
      <c r="CK144" s="139" t="e">
        <f t="shared" si="67"/>
        <v>#DIV/0!</v>
      </c>
      <c r="CL144" s="139" t="e">
        <f t="shared" si="67"/>
        <v>#DIV/0!</v>
      </c>
      <c r="CM144" s="139" t="e">
        <f t="shared" si="67"/>
        <v>#DIV/0!</v>
      </c>
      <c r="CN144" s="139" t="e">
        <f t="shared" si="67"/>
        <v>#DIV/0!</v>
      </c>
      <c r="CO144" s="139" t="e">
        <f t="shared" si="67"/>
        <v>#DIV/0!</v>
      </c>
      <c r="CP144" s="139"/>
    </row>
    <row r="145" spans="2:94" x14ac:dyDescent="0.2">
      <c r="B145" s="105" t="s">
        <v>388</v>
      </c>
      <c r="D145" s="139"/>
      <c r="E145" s="139"/>
      <c r="F145" s="139"/>
      <c r="G145" s="139"/>
      <c r="H145" s="139"/>
      <c r="I145" s="139"/>
      <c r="J145" s="173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>
        <f>AE143/(AE142+AE143)</f>
        <v>0.99548231922644137</v>
      </c>
      <c r="AF145" s="139"/>
      <c r="AG145" s="139"/>
      <c r="AH145" s="139"/>
      <c r="AI145" s="139"/>
      <c r="AJ145" s="139"/>
      <c r="AK145" s="139"/>
      <c r="AL145" s="139">
        <f>AL143/(AL142+AL143)</f>
        <v>0.99548921802195234</v>
      </c>
      <c r="AM145" s="139"/>
      <c r="AN145" s="139"/>
      <c r="AO145" s="139"/>
      <c r="AP145" s="139"/>
      <c r="AQ145" s="139"/>
      <c r="AR145" s="139"/>
      <c r="AS145" s="139">
        <f>AS143/(AS142+AS143)</f>
        <v>0.99549120019848869</v>
      </c>
      <c r="AT145" s="139"/>
      <c r="AU145" s="139"/>
      <c r="AV145" s="139"/>
      <c r="AW145" s="139"/>
      <c r="AX145" s="139"/>
      <c r="AY145" s="139"/>
      <c r="AZ145" s="139">
        <f>AZ143/(AZ142+AZ143)</f>
        <v>0.99549671193361133</v>
      </c>
      <c r="BA145" s="139"/>
      <c r="BB145" s="139"/>
      <c r="BC145" s="139"/>
      <c r="BD145" s="139"/>
      <c r="BE145" s="139"/>
      <c r="BF145" s="139"/>
      <c r="BG145" s="139">
        <f>BG143/(BG142+BG143)</f>
        <v>0.99549789076862161</v>
      </c>
      <c r="BH145" s="139"/>
      <c r="BI145" s="139"/>
      <c r="BJ145" s="139"/>
      <c r="BK145" s="139"/>
      <c r="BL145" s="139"/>
      <c r="BM145" s="139"/>
      <c r="BN145" s="139">
        <f>BN143/(BN142+BN143)</f>
        <v>0.9954949569812459</v>
      </c>
      <c r="BO145" s="139"/>
      <c r="BP145" s="139"/>
      <c r="BQ145" s="139"/>
      <c r="BR145" s="139"/>
      <c r="BS145" s="139"/>
      <c r="BT145" s="139"/>
      <c r="BU145" s="139">
        <f>BU143/(BU142+BU143)</f>
        <v>0.99550188698505682</v>
      </c>
      <c r="BV145" s="139"/>
      <c r="BW145" s="139"/>
      <c r="BX145" s="139"/>
      <c r="BY145" s="139"/>
      <c r="BZ145" s="139"/>
      <c r="CA145" s="139"/>
      <c r="CB145" s="139">
        <f>CB143/(CB142+CB143)</f>
        <v>0.99550773929860181</v>
      </c>
      <c r="CC145" s="139"/>
      <c r="CD145" s="139"/>
      <c r="CE145" s="139"/>
      <c r="CF145" s="139"/>
      <c r="CG145" s="139"/>
      <c r="CH145" s="139"/>
      <c r="CI145" s="139">
        <f>CI143/(CI142+CI143)</f>
        <v>0.99551133364664768</v>
      </c>
      <c r="CJ145" s="139" t="e">
        <f t="shared" ref="CJ145:CO145" si="68">CJ44/CJ141</f>
        <v>#DIV/0!</v>
      </c>
      <c r="CK145" s="139" t="e">
        <f t="shared" si="68"/>
        <v>#DIV/0!</v>
      </c>
      <c r="CL145" s="139" t="e">
        <f t="shared" si="68"/>
        <v>#DIV/0!</v>
      </c>
      <c r="CM145" s="139" t="e">
        <f t="shared" si="68"/>
        <v>#DIV/0!</v>
      </c>
      <c r="CN145" s="139" t="e">
        <f t="shared" si="68"/>
        <v>#DIV/0!</v>
      </c>
      <c r="CO145" s="139" t="e">
        <f t="shared" si="68"/>
        <v>#DIV/0!</v>
      </c>
      <c r="CP145" s="139"/>
    </row>
    <row r="146" spans="2:94" x14ac:dyDescent="0.2">
      <c r="B146" s="105" t="s">
        <v>389</v>
      </c>
      <c r="D146" s="139"/>
      <c r="E146" s="139"/>
      <c r="F146" s="139"/>
      <c r="G146" s="139"/>
      <c r="H146" s="139"/>
      <c r="I146" s="139"/>
      <c r="J146" s="173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>
        <f>AE44/AE142</f>
        <v>0</v>
      </c>
      <c r="AF146" s="139"/>
      <c r="AG146" s="139"/>
      <c r="AH146" s="139"/>
      <c r="AI146" s="139"/>
      <c r="AJ146" s="139"/>
      <c r="AK146" s="139"/>
      <c r="AL146" s="139">
        <f>AL44/AL142</f>
        <v>0</v>
      </c>
      <c r="AM146" s="139"/>
      <c r="AN146" s="139"/>
      <c r="AO146" s="139"/>
      <c r="AP146" s="139"/>
      <c r="AQ146" s="139"/>
      <c r="AR146" s="139"/>
      <c r="AS146" s="139">
        <f>AS44/AS142</f>
        <v>0</v>
      </c>
      <c r="AT146" s="139"/>
      <c r="AU146" s="139"/>
      <c r="AV146" s="139"/>
      <c r="AW146" s="139"/>
      <c r="AX146" s="139"/>
      <c r="AY146" s="139"/>
      <c r="AZ146" s="139">
        <f>AZ44/AZ142</f>
        <v>0</v>
      </c>
      <c r="BA146" s="139"/>
      <c r="BB146" s="139"/>
      <c r="BC146" s="139"/>
      <c r="BD146" s="139"/>
      <c r="BE146" s="139"/>
      <c r="BF146" s="139"/>
      <c r="BG146" s="139">
        <f>BG44/BG142</f>
        <v>0</v>
      </c>
      <c r="BH146" s="139"/>
      <c r="BI146" s="139"/>
      <c r="BJ146" s="139"/>
      <c r="BK146" s="139"/>
      <c r="BL146" s="139"/>
      <c r="BM146" s="139"/>
      <c r="BN146" s="139">
        <f>BN44/BN142</f>
        <v>0</v>
      </c>
      <c r="BO146" s="139"/>
      <c r="BP146" s="139"/>
      <c r="BQ146" s="139"/>
      <c r="BR146" s="139"/>
      <c r="BS146" s="139"/>
      <c r="BT146" s="139"/>
      <c r="BU146" s="139">
        <f>BU44/BU142</f>
        <v>0</v>
      </c>
      <c r="BV146" s="139"/>
      <c r="BW146" s="139"/>
      <c r="BX146" s="139"/>
      <c r="BY146" s="139"/>
      <c r="BZ146" s="139"/>
      <c r="CA146" s="139"/>
      <c r="CB146" s="139">
        <f>CB44/CB142</f>
        <v>0</v>
      </c>
      <c r="CC146" s="139"/>
      <c r="CD146" s="139"/>
      <c r="CE146" s="139"/>
      <c r="CF146" s="139"/>
      <c r="CG146" s="139"/>
      <c r="CH146" s="139"/>
      <c r="CI146" s="139">
        <f>CI44/CI142</f>
        <v>0</v>
      </c>
      <c r="CJ146" s="135" t="e">
        <f t="shared" ref="CJ146:CO146" si="69">CJ145*(1-CJ137)</f>
        <v>#DIV/0!</v>
      </c>
      <c r="CK146" s="135" t="e">
        <f t="shared" si="69"/>
        <v>#DIV/0!</v>
      </c>
      <c r="CL146" s="135" t="e">
        <f t="shared" si="69"/>
        <v>#DIV/0!</v>
      </c>
      <c r="CM146" s="135" t="e">
        <f t="shared" si="69"/>
        <v>#DIV/0!</v>
      </c>
      <c r="CN146" s="135" t="e">
        <f t="shared" si="69"/>
        <v>#DIV/0!</v>
      </c>
      <c r="CO146" s="135" t="e">
        <f t="shared" si="69"/>
        <v>#DIV/0!</v>
      </c>
      <c r="CP146" s="135"/>
    </row>
    <row r="147" spans="2:94" ht="16" x14ac:dyDescent="0.2">
      <c r="B147" s="105" t="s">
        <v>390</v>
      </c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>
        <f>AE146*(1-AE138)</f>
        <v>0</v>
      </c>
      <c r="AF147" s="135"/>
      <c r="AG147" s="135"/>
      <c r="AH147" s="135"/>
      <c r="AI147" s="135"/>
      <c r="AJ147" s="135"/>
      <c r="AK147" s="135"/>
      <c r="AL147" s="135">
        <f>AL146*(1-AL138)</f>
        <v>0</v>
      </c>
      <c r="AM147" s="135"/>
      <c r="AN147" s="135"/>
      <c r="AO147" s="135"/>
      <c r="AP147" s="135"/>
      <c r="AQ147" s="135"/>
      <c r="AR147" s="135"/>
      <c r="AS147" s="135">
        <f>AS146*(1-AS138)</f>
        <v>0</v>
      </c>
      <c r="AT147" s="135"/>
      <c r="AU147" s="135"/>
      <c r="AV147" s="135"/>
      <c r="AW147" s="135"/>
      <c r="AX147" s="135"/>
      <c r="AY147" s="135"/>
      <c r="AZ147" s="135">
        <f>AZ146*(1-AZ138)</f>
        <v>0</v>
      </c>
      <c r="BA147" s="135"/>
      <c r="BB147" s="135"/>
      <c r="BC147" s="135"/>
      <c r="BD147" s="135"/>
      <c r="BE147" s="135"/>
      <c r="BF147" s="135"/>
      <c r="BG147" s="135">
        <f>BG146*(1-BG138)</f>
        <v>0</v>
      </c>
      <c r="BH147" s="135"/>
      <c r="BI147" s="135"/>
      <c r="BJ147" s="135"/>
      <c r="BK147" s="135"/>
      <c r="BL147" s="135"/>
      <c r="BM147" s="135"/>
      <c r="BN147" s="135">
        <f>BN146*(1-BN138)</f>
        <v>0</v>
      </c>
      <c r="BO147" s="135"/>
      <c r="BP147" s="135"/>
      <c r="BQ147" s="135"/>
      <c r="BR147" s="135"/>
      <c r="BS147" s="135"/>
      <c r="BT147" s="135"/>
      <c r="BU147" s="135">
        <f>BU146*(1-BU138)</f>
        <v>0</v>
      </c>
      <c r="BV147" s="135"/>
      <c r="BW147" s="135"/>
      <c r="BX147" s="135"/>
      <c r="BY147" s="135"/>
      <c r="BZ147" s="135"/>
      <c r="CA147" s="135"/>
      <c r="CB147" s="135">
        <f>CB146*(1-CB138)</f>
        <v>0</v>
      </c>
      <c r="CC147" s="135"/>
      <c r="CD147" s="135"/>
      <c r="CE147" s="135"/>
      <c r="CF147" s="135"/>
      <c r="CG147" s="135"/>
      <c r="CH147" s="135"/>
      <c r="CI147" s="135">
        <f>CI146*(1-CI138)</f>
        <v>0</v>
      </c>
      <c r="CJ147" s="175">
        <v>28.73</v>
      </c>
      <c r="CK147" s="175">
        <f>CJ147</f>
        <v>28.73</v>
      </c>
      <c r="CL147" s="175">
        <f>CK147</f>
        <v>28.73</v>
      </c>
      <c r="CM147" s="175">
        <v>29.73</v>
      </c>
      <c r="CN147" s="175">
        <f>CM147</f>
        <v>29.73</v>
      </c>
      <c r="CO147" s="175">
        <f>CN147</f>
        <v>29.73</v>
      </c>
      <c r="CP147" s="175"/>
    </row>
    <row r="148" spans="2:94" ht="16" x14ac:dyDescent="0.2">
      <c r="B148" s="237" t="s">
        <v>445</v>
      </c>
      <c r="C148" s="238" t="s">
        <v>532</v>
      </c>
      <c r="D148" s="241"/>
      <c r="E148" s="241"/>
      <c r="F148" s="241"/>
      <c r="G148" s="241"/>
      <c r="H148" s="241"/>
      <c r="I148" s="241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  <c r="AC148" s="242"/>
      <c r="AD148" s="242"/>
      <c r="AE148" s="242">
        <v>0.89</v>
      </c>
      <c r="AF148" s="242"/>
      <c r="AG148" s="242"/>
      <c r="AH148" s="242"/>
      <c r="AI148" s="242"/>
      <c r="AJ148" s="242"/>
      <c r="AK148" s="242"/>
      <c r="AL148" s="242">
        <v>0.89</v>
      </c>
      <c r="AM148" s="242"/>
      <c r="AN148" s="242"/>
      <c r="AO148" s="242"/>
      <c r="AP148" s="242"/>
      <c r="AQ148" s="242"/>
      <c r="AR148" s="242"/>
      <c r="AS148" s="242">
        <v>0.89</v>
      </c>
      <c r="AT148" s="242"/>
      <c r="AU148" s="242"/>
      <c r="AV148" s="242"/>
      <c r="AW148" s="242"/>
      <c r="AX148" s="242"/>
      <c r="AY148" s="242"/>
      <c r="AZ148" s="242">
        <v>0.89</v>
      </c>
      <c r="BA148" s="242"/>
      <c r="BB148" s="242"/>
      <c r="BC148" s="242"/>
      <c r="BD148" s="242"/>
      <c r="BE148" s="242"/>
      <c r="BF148" s="242"/>
      <c r="BG148" s="242">
        <v>0.89</v>
      </c>
      <c r="BH148" s="242"/>
      <c r="BI148" s="242"/>
      <c r="BJ148" s="242"/>
      <c r="BK148" s="242"/>
      <c r="BL148" s="242"/>
      <c r="BM148" s="242"/>
      <c r="BN148" s="242">
        <v>0.89</v>
      </c>
      <c r="BO148" s="242"/>
      <c r="BP148" s="242"/>
      <c r="BQ148" s="242"/>
      <c r="BR148" s="242"/>
      <c r="BS148" s="242"/>
      <c r="BT148" s="242"/>
      <c r="BU148" s="242">
        <v>0.89</v>
      </c>
      <c r="BV148" s="242"/>
      <c r="BW148" s="242"/>
      <c r="BX148" s="242"/>
      <c r="BY148" s="242"/>
      <c r="BZ148" s="242"/>
      <c r="CA148" s="242"/>
      <c r="CB148" s="242">
        <v>0.89</v>
      </c>
      <c r="CC148" s="242"/>
      <c r="CD148" s="242"/>
      <c r="CE148" s="242"/>
      <c r="CF148" s="242"/>
      <c r="CG148" s="242"/>
      <c r="CH148" s="242"/>
      <c r="CI148" s="242">
        <v>0.89</v>
      </c>
      <c r="CJ148" s="164" t="e">
        <f t="shared" ref="CJ148:CO148" si="70">CJ147*(1+(1-CJ137)*(CJ141/CJ142))</f>
        <v>#DIV/0!</v>
      </c>
      <c r="CK148" s="164" t="e">
        <f t="shared" si="70"/>
        <v>#DIV/0!</v>
      </c>
      <c r="CL148" s="164" t="e">
        <f t="shared" si="70"/>
        <v>#DIV/0!</v>
      </c>
      <c r="CM148" s="164" t="e">
        <f t="shared" si="70"/>
        <v>#DIV/0!</v>
      </c>
      <c r="CN148" s="164" t="e">
        <f t="shared" si="70"/>
        <v>#DIV/0!</v>
      </c>
      <c r="CO148" s="164" t="e">
        <f t="shared" si="70"/>
        <v>#DIV/0!</v>
      </c>
      <c r="CP148" s="164"/>
    </row>
    <row r="149" spans="2:94" ht="16" x14ac:dyDescent="0.2">
      <c r="B149" s="105" t="s">
        <v>446</v>
      </c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>
        <f>AE148*(1+(1-AE138)*(AE142/AE143))</f>
        <v>0.89403898272305982</v>
      </c>
      <c r="AF149" s="164"/>
      <c r="AG149" s="164"/>
      <c r="AH149" s="164"/>
      <c r="AI149" s="164"/>
      <c r="AJ149" s="164"/>
      <c r="AK149" s="164"/>
      <c r="AL149" s="164">
        <f>AL148*(1+(1-AL138)*(AL142/AL143))</f>
        <v>0.89403278698330813</v>
      </c>
      <c r="AM149" s="164"/>
      <c r="AN149" s="164"/>
      <c r="AO149" s="164"/>
      <c r="AP149" s="164"/>
      <c r="AQ149" s="164"/>
      <c r="AR149" s="164"/>
      <c r="AS149" s="164">
        <f>AS148*(1+(1-AS138)*(AS142/AS143))</f>
        <v>0.89403100682612269</v>
      </c>
      <c r="AT149" s="164"/>
      <c r="AU149" s="164"/>
      <c r="AV149" s="164"/>
      <c r="AW149" s="164"/>
      <c r="AX149" s="164"/>
      <c r="AY149" s="164"/>
      <c r="AZ149" s="164">
        <f>AZ148*(1+(1-AZ138)*(AZ142/AZ143))</f>
        <v>0.89402605687295666</v>
      </c>
      <c r="BA149" s="164"/>
      <c r="BB149" s="164"/>
      <c r="BC149" s="164"/>
      <c r="BD149" s="164"/>
      <c r="BE149" s="164"/>
      <c r="BF149" s="164"/>
      <c r="BG149" s="164">
        <f>BG148*(1+(1-BG138)*(BG142/BG143))</f>
        <v>0.89402499819746795</v>
      </c>
      <c r="BH149" s="164"/>
      <c r="BI149" s="164"/>
      <c r="BJ149" s="164"/>
      <c r="BK149" s="164"/>
      <c r="BL149" s="164"/>
      <c r="BM149" s="164"/>
      <c r="BN149" s="164">
        <f>BN148*(1+(1-BN138)*(BN142/BN143))</f>
        <v>0.89402763294637833</v>
      </c>
      <c r="BO149" s="164"/>
      <c r="BP149" s="164"/>
      <c r="BQ149" s="164"/>
      <c r="BR149" s="164"/>
      <c r="BS149" s="164"/>
      <c r="BT149" s="164"/>
      <c r="BU149" s="164">
        <f>BU148*(1+(1-BU138)*(BU142/BU143))</f>
        <v>0.8940214093369766</v>
      </c>
      <c r="BV149" s="164"/>
      <c r="BW149" s="164"/>
      <c r="BX149" s="164"/>
      <c r="BY149" s="164"/>
      <c r="BZ149" s="164"/>
      <c r="CA149" s="164"/>
      <c r="CB149" s="164">
        <f>CB148*(1+(1-CB138)*(CB142/CB143))</f>
        <v>0.89401615363338249</v>
      </c>
      <c r="CC149" s="164"/>
      <c r="CD149" s="164"/>
      <c r="CE149" s="164"/>
      <c r="CF149" s="164"/>
      <c r="CG149" s="164"/>
      <c r="CH149" s="164"/>
      <c r="CI149" s="164">
        <f>CI148*(1+(1-CI138)*(CI142/CI143))</f>
        <v>0.89401292573922786</v>
      </c>
      <c r="CJ149" s="176">
        <v>4.7899999999999998E-2</v>
      </c>
      <c r="CK149" s="176">
        <f>CJ149</f>
        <v>4.7899999999999998E-2</v>
      </c>
      <c r="CL149" s="176">
        <v>4.7899999999999998E-2</v>
      </c>
      <c r="CM149" s="176">
        <v>4.7899999999999998E-2</v>
      </c>
      <c r="CN149" s="176">
        <f>CM149</f>
        <v>4.7899999999999998E-2</v>
      </c>
      <c r="CO149" s="176">
        <v>4.7899999999999998E-2</v>
      </c>
      <c r="CP149" s="176"/>
    </row>
    <row r="150" spans="2:94" ht="16" x14ac:dyDescent="0.2">
      <c r="B150" s="237" t="s">
        <v>447</v>
      </c>
      <c r="C150" s="238"/>
      <c r="D150" s="239"/>
      <c r="E150" s="239"/>
      <c r="F150" s="239"/>
      <c r="G150" s="239"/>
      <c r="H150" s="239"/>
      <c r="I150" s="239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3"/>
      <c r="Y150" s="243"/>
      <c r="Z150" s="243"/>
      <c r="AA150" s="243"/>
      <c r="AB150" s="243"/>
      <c r="AC150" s="243"/>
      <c r="AD150" s="243"/>
      <c r="AE150" s="243">
        <v>4.7899999999999998E-2</v>
      </c>
      <c r="AF150" s="243"/>
      <c r="AG150" s="243"/>
      <c r="AH150" s="243"/>
      <c r="AI150" s="243"/>
      <c r="AJ150" s="243"/>
      <c r="AK150" s="243"/>
      <c r="AL150" s="243">
        <v>4.7899999999999998E-2</v>
      </c>
      <c r="AM150" s="243"/>
      <c r="AN150" s="243"/>
      <c r="AO150" s="243"/>
      <c r="AP150" s="243"/>
      <c r="AQ150" s="243"/>
      <c r="AR150" s="243"/>
      <c r="AS150" s="243">
        <v>4.7899999999999998E-2</v>
      </c>
      <c r="AT150" s="243"/>
      <c r="AU150" s="243"/>
      <c r="AV150" s="243"/>
      <c r="AW150" s="243"/>
      <c r="AX150" s="243"/>
      <c r="AY150" s="243"/>
      <c r="AZ150" s="243">
        <v>4.7899999999999998E-2</v>
      </c>
      <c r="BA150" s="243"/>
      <c r="BB150" s="243"/>
      <c r="BC150" s="243"/>
      <c r="BD150" s="243"/>
      <c r="BE150" s="243"/>
      <c r="BF150" s="243"/>
      <c r="BG150" s="243">
        <v>4.7899999999999998E-2</v>
      </c>
      <c r="BH150" s="243"/>
      <c r="BI150" s="243"/>
      <c r="BJ150" s="243"/>
      <c r="BK150" s="243"/>
      <c r="BL150" s="243"/>
      <c r="BM150" s="243"/>
      <c r="BN150" s="243">
        <v>4.7899999999999998E-2</v>
      </c>
      <c r="BO150" s="243"/>
      <c r="BP150" s="243"/>
      <c r="BQ150" s="243"/>
      <c r="BR150" s="243"/>
      <c r="BS150" s="243"/>
      <c r="BT150" s="243"/>
      <c r="BU150" s="243">
        <v>4.7899999999999998E-2</v>
      </c>
      <c r="BV150" s="243"/>
      <c r="BW150" s="243"/>
      <c r="BX150" s="243"/>
      <c r="BY150" s="243"/>
      <c r="BZ150" s="243"/>
      <c r="CA150" s="243"/>
      <c r="CB150" s="243">
        <v>4.7899999999999998E-2</v>
      </c>
      <c r="CC150" s="243"/>
      <c r="CD150" s="243"/>
      <c r="CE150" s="243"/>
      <c r="CF150" s="243"/>
      <c r="CG150" s="243"/>
      <c r="CH150" s="243"/>
      <c r="CI150" s="243">
        <v>4.7899999999999998E-2</v>
      </c>
      <c r="CJ150" s="176">
        <v>0.1179</v>
      </c>
      <c r="CK150" s="176">
        <f>CJ150</f>
        <v>0.1179</v>
      </c>
      <c r="CL150" s="176">
        <v>0.1179</v>
      </c>
      <c r="CM150" s="176">
        <v>0.1179</v>
      </c>
      <c r="CN150" s="176">
        <f>CM150</f>
        <v>0.1179</v>
      </c>
      <c r="CO150" s="176">
        <v>0.1179</v>
      </c>
      <c r="CP150" s="176"/>
    </row>
    <row r="151" spans="2:94" ht="16" x14ac:dyDescent="0.2">
      <c r="B151" s="237" t="s">
        <v>448</v>
      </c>
      <c r="C151" s="238"/>
      <c r="D151" s="239"/>
      <c r="E151" s="239"/>
      <c r="F151" s="239"/>
      <c r="G151" s="239"/>
      <c r="H151" s="239"/>
      <c r="I151" s="239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3"/>
      <c r="Y151" s="243"/>
      <c r="Z151" s="243"/>
      <c r="AA151" s="243"/>
      <c r="AB151" s="243"/>
      <c r="AC151" s="243"/>
      <c r="AD151" s="243"/>
      <c r="AE151" s="243">
        <v>0.1179</v>
      </c>
      <c r="AF151" s="243"/>
      <c r="AG151" s="243"/>
      <c r="AH151" s="243"/>
      <c r="AI151" s="243"/>
      <c r="AJ151" s="243"/>
      <c r="AK151" s="243"/>
      <c r="AL151" s="243">
        <v>0.1179</v>
      </c>
      <c r="AM151" s="243"/>
      <c r="AN151" s="243"/>
      <c r="AO151" s="243"/>
      <c r="AP151" s="243"/>
      <c r="AQ151" s="243"/>
      <c r="AR151" s="243"/>
      <c r="AS151" s="243">
        <v>0.1179</v>
      </c>
      <c r="AT151" s="243"/>
      <c r="AU151" s="243"/>
      <c r="AV151" s="243"/>
      <c r="AW151" s="243"/>
      <c r="AX151" s="243"/>
      <c r="AY151" s="243"/>
      <c r="AZ151" s="243">
        <v>0.1179</v>
      </c>
      <c r="BA151" s="243"/>
      <c r="BB151" s="243"/>
      <c r="BC151" s="243"/>
      <c r="BD151" s="243"/>
      <c r="BE151" s="243"/>
      <c r="BF151" s="243"/>
      <c r="BG151" s="243">
        <v>0.1179</v>
      </c>
      <c r="BH151" s="243"/>
      <c r="BI151" s="243"/>
      <c r="BJ151" s="243"/>
      <c r="BK151" s="243"/>
      <c r="BL151" s="243"/>
      <c r="BM151" s="243"/>
      <c r="BN151" s="243">
        <v>0.1179</v>
      </c>
      <c r="BO151" s="243"/>
      <c r="BP151" s="243"/>
      <c r="BQ151" s="243"/>
      <c r="BR151" s="243"/>
      <c r="BS151" s="243"/>
      <c r="BT151" s="243"/>
      <c r="BU151" s="243">
        <v>0.1179</v>
      </c>
      <c r="BV151" s="243"/>
      <c r="BW151" s="243"/>
      <c r="BX151" s="243"/>
      <c r="BY151" s="243"/>
      <c r="BZ151" s="243"/>
      <c r="CA151" s="243"/>
      <c r="CB151" s="243">
        <v>0.1179</v>
      </c>
      <c r="CC151" s="243"/>
      <c r="CD151" s="243"/>
      <c r="CE151" s="243"/>
      <c r="CF151" s="243"/>
      <c r="CG151" s="243"/>
      <c r="CH151" s="243"/>
      <c r="CI151" s="243">
        <v>0.1179</v>
      </c>
      <c r="CJ151" s="176">
        <v>7.2900000000000006E-2</v>
      </c>
      <c r="CK151" s="176">
        <f>CJ151</f>
        <v>7.2900000000000006E-2</v>
      </c>
      <c r="CL151" s="176">
        <v>7.2900000000000006E-2</v>
      </c>
      <c r="CM151" s="176">
        <v>7.2900000000000006E-2</v>
      </c>
      <c r="CN151" s="176">
        <f>CM151</f>
        <v>7.2900000000000006E-2</v>
      </c>
      <c r="CO151" s="176">
        <v>7.2900000000000006E-2</v>
      </c>
      <c r="CP151" s="176"/>
    </row>
    <row r="152" spans="2:94" ht="16" x14ac:dyDescent="0.2">
      <c r="B152" s="237" t="s">
        <v>449</v>
      </c>
      <c r="C152" s="238"/>
      <c r="D152" s="239"/>
      <c r="E152" s="239"/>
      <c r="F152" s="239"/>
      <c r="G152" s="239"/>
      <c r="H152" s="239"/>
      <c r="I152" s="239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3"/>
      <c r="Y152" s="243"/>
      <c r="Z152" s="243"/>
      <c r="AA152" s="243"/>
      <c r="AB152" s="243"/>
      <c r="AC152" s="243"/>
      <c r="AD152" s="243"/>
      <c r="AE152" s="243">
        <v>7.2900000000000006E-2</v>
      </c>
      <c r="AF152" s="243"/>
      <c r="AG152" s="243"/>
      <c r="AH152" s="243"/>
      <c r="AI152" s="243"/>
      <c r="AJ152" s="243"/>
      <c r="AK152" s="243"/>
      <c r="AL152" s="243">
        <v>7.2900000000000006E-2</v>
      </c>
      <c r="AM152" s="243"/>
      <c r="AN152" s="243"/>
      <c r="AO152" s="243"/>
      <c r="AP152" s="243"/>
      <c r="AQ152" s="243"/>
      <c r="AR152" s="243"/>
      <c r="AS152" s="243">
        <v>7.2900000000000006E-2</v>
      </c>
      <c r="AT152" s="243"/>
      <c r="AU152" s="243"/>
      <c r="AV152" s="243"/>
      <c r="AW152" s="243"/>
      <c r="AX152" s="243"/>
      <c r="AY152" s="243"/>
      <c r="AZ152" s="243">
        <v>7.2900000000000006E-2</v>
      </c>
      <c r="BA152" s="243"/>
      <c r="BB152" s="243"/>
      <c r="BC152" s="243"/>
      <c r="BD152" s="243"/>
      <c r="BE152" s="243"/>
      <c r="BF152" s="243"/>
      <c r="BG152" s="243">
        <v>7.2900000000000006E-2</v>
      </c>
      <c r="BH152" s="243"/>
      <c r="BI152" s="243"/>
      <c r="BJ152" s="243"/>
      <c r="BK152" s="243"/>
      <c r="BL152" s="243"/>
      <c r="BM152" s="243"/>
      <c r="BN152" s="243">
        <v>7.2900000000000006E-2</v>
      </c>
      <c r="BO152" s="243"/>
      <c r="BP152" s="243"/>
      <c r="BQ152" s="243"/>
      <c r="BR152" s="243"/>
      <c r="BS152" s="243"/>
      <c r="BT152" s="243"/>
      <c r="BU152" s="243">
        <v>7.2900000000000006E-2</v>
      </c>
      <c r="BV152" s="243"/>
      <c r="BW152" s="243"/>
      <c r="BX152" s="243"/>
      <c r="BY152" s="243"/>
      <c r="BZ152" s="243"/>
      <c r="CA152" s="243"/>
      <c r="CB152" s="243">
        <v>7.2900000000000006E-2</v>
      </c>
      <c r="CC152" s="243"/>
      <c r="CD152" s="243"/>
      <c r="CE152" s="243"/>
      <c r="CF152" s="243"/>
      <c r="CG152" s="243"/>
      <c r="CH152" s="243"/>
      <c r="CI152" s="243">
        <v>7.2900000000000006E-2</v>
      </c>
      <c r="CJ152" s="176">
        <v>4.7E-2</v>
      </c>
      <c r="CK152" s="176">
        <f>CJ152</f>
        <v>4.7E-2</v>
      </c>
      <c r="CL152" s="176">
        <v>4.7E-2</v>
      </c>
      <c r="CM152" s="176">
        <v>4.7E-2</v>
      </c>
      <c r="CN152" s="176">
        <f>CM152</f>
        <v>4.7E-2</v>
      </c>
      <c r="CO152" s="176">
        <v>4.7E-2</v>
      </c>
      <c r="CP152" s="176"/>
    </row>
    <row r="153" spans="2:94" ht="16" x14ac:dyDescent="0.2">
      <c r="B153" s="105" t="s">
        <v>450</v>
      </c>
      <c r="D153" s="176"/>
      <c r="E153" s="176"/>
      <c r="F153" s="176"/>
      <c r="G153" s="176"/>
      <c r="H153" s="176"/>
      <c r="I153" s="176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>
        <v>4.7E-2</v>
      </c>
      <c r="AF153" s="135"/>
      <c r="AG153" s="135"/>
      <c r="AH153" s="135"/>
      <c r="AI153" s="135"/>
      <c r="AJ153" s="135"/>
      <c r="AK153" s="135"/>
      <c r="AL153" s="135">
        <v>4.7E-2</v>
      </c>
      <c r="AM153" s="135"/>
      <c r="AN153" s="135"/>
      <c r="AO153" s="135"/>
      <c r="AP153" s="135"/>
      <c r="AQ153" s="135"/>
      <c r="AR153" s="135"/>
      <c r="AS153" s="135">
        <v>4.7E-2</v>
      </c>
      <c r="AT153" s="135"/>
      <c r="AU153" s="135"/>
      <c r="AV153" s="135"/>
      <c r="AW153" s="135"/>
      <c r="AX153" s="135"/>
      <c r="AY153" s="135"/>
      <c r="AZ153" s="135">
        <v>4.7E-2</v>
      </c>
      <c r="BA153" s="135"/>
      <c r="BB153" s="135"/>
      <c r="BC153" s="135"/>
      <c r="BD153" s="135"/>
      <c r="BE153" s="135"/>
      <c r="BF153" s="135"/>
      <c r="BG153" s="135">
        <v>4.7E-2</v>
      </c>
      <c r="BH153" s="135"/>
      <c r="BI153" s="135"/>
      <c r="BJ153" s="135"/>
      <c r="BK153" s="135"/>
      <c r="BL153" s="135"/>
      <c r="BM153" s="135"/>
      <c r="BN153" s="135">
        <v>4.7E-2</v>
      </c>
      <c r="BO153" s="135"/>
      <c r="BP153" s="135"/>
      <c r="BQ153" s="135"/>
      <c r="BR153" s="135"/>
      <c r="BS153" s="135"/>
      <c r="BT153" s="135"/>
      <c r="BU153" s="135">
        <v>4.7E-2</v>
      </c>
      <c r="BV153" s="135"/>
      <c r="BW153" s="135"/>
      <c r="BX153" s="135"/>
      <c r="BY153" s="135"/>
      <c r="BZ153" s="135"/>
      <c r="CA153" s="135"/>
      <c r="CB153" s="135">
        <v>4.7E-2</v>
      </c>
      <c r="CC153" s="135"/>
      <c r="CD153" s="135"/>
      <c r="CE153" s="135"/>
      <c r="CF153" s="135"/>
      <c r="CG153" s="135"/>
      <c r="CH153" s="135"/>
      <c r="CI153" s="135">
        <v>4.7E-2</v>
      </c>
      <c r="CJ153" s="176">
        <v>0.03</v>
      </c>
      <c r="CK153" s="176">
        <f>CJ153</f>
        <v>0.03</v>
      </c>
      <c r="CL153" s="176">
        <v>0.03</v>
      </c>
      <c r="CM153" s="176">
        <v>0.03</v>
      </c>
      <c r="CN153" s="176">
        <f>CM153</f>
        <v>0.03</v>
      </c>
      <c r="CO153" s="176">
        <v>0.03</v>
      </c>
      <c r="CP153" s="176"/>
    </row>
    <row r="154" spans="2:94" ht="16" x14ac:dyDescent="0.2">
      <c r="B154" s="105" t="s">
        <v>451</v>
      </c>
      <c r="D154" s="176"/>
      <c r="E154" s="176"/>
      <c r="F154" s="176"/>
      <c r="G154" s="176"/>
      <c r="H154" s="176"/>
      <c r="I154" s="176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>
        <v>0.03</v>
      </c>
      <c r="AF154" s="135"/>
      <c r="AG154" s="135"/>
      <c r="AH154" s="135"/>
      <c r="AI154" s="135"/>
      <c r="AJ154" s="135"/>
      <c r="AK154" s="135"/>
      <c r="AL154" s="135">
        <v>0.03</v>
      </c>
      <c r="AM154" s="135"/>
      <c r="AN154" s="135"/>
      <c r="AO154" s="135"/>
      <c r="AP154" s="135"/>
      <c r="AQ154" s="135"/>
      <c r="AR154" s="135"/>
      <c r="AS154" s="135">
        <v>0.03</v>
      </c>
      <c r="AT154" s="135"/>
      <c r="AU154" s="135"/>
      <c r="AV154" s="135"/>
      <c r="AW154" s="135"/>
      <c r="AX154" s="135"/>
      <c r="AY154" s="135"/>
      <c r="AZ154" s="135">
        <v>0.03</v>
      </c>
      <c r="BA154" s="135"/>
      <c r="BB154" s="135"/>
      <c r="BC154" s="135"/>
      <c r="BD154" s="135"/>
      <c r="BE154" s="135"/>
      <c r="BF154" s="135"/>
      <c r="BG154" s="135">
        <v>0.03</v>
      </c>
      <c r="BH154" s="135"/>
      <c r="BI154" s="135"/>
      <c r="BJ154" s="135"/>
      <c r="BK154" s="135"/>
      <c r="BL154" s="135"/>
      <c r="BM154" s="135"/>
      <c r="BN154" s="135">
        <v>0.03</v>
      </c>
      <c r="BO154" s="135"/>
      <c r="BP154" s="135"/>
      <c r="BQ154" s="135"/>
      <c r="BR154" s="135"/>
      <c r="BS154" s="135"/>
      <c r="BT154" s="135"/>
      <c r="BU154" s="135">
        <v>0.03</v>
      </c>
      <c r="BV154" s="135"/>
      <c r="BW154" s="135"/>
      <c r="BX154" s="135"/>
      <c r="BY154" s="135"/>
      <c r="BZ154" s="135"/>
      <c r="CA154" s="135"/>
      <c r="CB154" s="135">
        <v>0.03</v>
      </c>
      <c r="CC154" s="135"/>
      <c r="CD154" s="135"/>
      <c r="CE154" s="135"/>
      <c r="CF154" s="135"/>
      <c r="CG154" s="135"/>
      <c r="CH154" s="135"/>
      <c r="CI154" s="135">
        <v>0.03</v>
      </c>
      <c r="CJ154" s="135">
        <f t="shared" ref="CJ154:CO154" si="71">((1+CJ152)/(1+CJ153))-1</f>
        <v>1.6504854368931898E-2</v>
      </c>
      <c r="CK154" s="135">
        <f t="shared" si="71"/>
        <v>1.6504854368931898E-2</v>
      </c>
      <c r="CL154" s="135">
        <f t="shared" si="71"/>
        <v>1.6504854368931898E-2</v>
      </c>
      <c r="CM154" s="135">
        <f t="shared" si="71"/>
        <v>1.6504854368931898E-2</v>
      </c>
      <c r="CN154" s="135">
        <f t="shared" si="71"/>
        <v>1.6504854368931898E-2</v>
      </c>
      <c r="CO154" s="135">
        <f t="shared" si="71"/>
        <v>1.6504854368931898E-2</v>
      </c>
      <c r="CP154" s="135"/>
    </row>
    <row r="155" spans="2:94" x14ac:dyDescent="0.2">
      <c r="B155" s="105" t="s">
        <v>452</v>
      </c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>
        <f>((1+AE153)/(1+AE154))-1</f>
        <v>1.6504854368931898E-2</v>
      </c>
      <c r="AF155" s="135"/>
      <c r="AG155" s="135"/>
      <c r="AH155" s="135"/>
      <c r="AI155" s="135"/>
      <c r="AJ155" s="135"/>
      <c r="AK155" s="135"/>
      <c r="AL155" s="135">
        <f>((1+AL153)/(1+AL154))-1</f>
        <v>1.6504854368931898E-2</v>
      </c>
      <c r="AM155" s="135"/>
      <c r="AN155" s="135"/>
      <c r="AO155" s="135"/>
      <c r="AP155" s="135"/>
      <c r="AQ155" s="135"/>
      <c r="AR155" s="135"/>
      <c r="AS155" s="135">
        <f>((1+AS153)/(1+AS154))-1</f>
        <v>1.6504854368931898E-2</v>
      </c>
      <c r="AT155" s="135"/>
      <c r="AU155" s="135"/>
      <c r="AV155" s="135"/>
      <c r="AW155" s="135"/>
      <c r="AX155" s="135"/>
      <c r="AY155" s="135"/>
      <c r="AZ155" s="135">
        <f>((1+AZ153)/(1+AZ154))-1</f>
        <v>1.6504854368931898E-2</v>
      </c>
      <c r="BA155" s="135"/>
      <c r="BB155" s="135"/>
      <c r="BC155" s="135"/>
      <c r="BD155" s="135"/>
      <c r="BE155" s="135"/>
      <c r="BF155" s="135"/>
      <c r="BG155" s="135">
        <f>((1+BG153)/(1+BG154))-1</f>
        <v>1.6504854368931898E-2</v>
      </c>
      <c r="BH155" s="135"/>
      <c r="BI155" s="135"/>
      <c r="BJ155" s="135"/>
      <c r="BK155" s="135"/>
      <c r="BL155" s="135"/>
      <c r="BM155" s="135"/>
      <c r="BN155" s="135">
        <f>((1+BN153)/(1+BN154))-1</f>
        <v>1.6504854368931898E-2</v>
      </c>
      <c r="BO155" s="135"/>
      <c r="BP155" s="135"/>
      <c r="BQ155" s="135"/>
      <c r="BR155" s="135"/>
      <c r="BS155" s="135"/>
      <c r="BT155" s="135"/>
      <c r="BU155" s="135">
        <f>((1+BU153)/(1+BU154))-1</f>
        <v>1.6504854368931898E-2</v>
      </c>
      <c r="BV155" s="135"/>
      <c r="BW155" s="135"/>
      <c r="BX155" s="135"/>
      <c r="BY155" s="135"/>
      <c r="BZ155" s="135"/>
      <c r="CA155" s="135"/>
      <c r="CB155" s="135">
        <f>((1+CB153)/(1+CB154))-1</f>
        <v>1.6504854368931898E-2</v>
      </c>
      <c r="CC155" s="135"/>
      <c r="CD155" s="135"/>
      <c r="CE155" s="135"/>
      <c r="CF155" s="135"/>
      <c r="CG155" s="135"/>
      <c r="CH155" s="135"/>
      <c r="CI155" s="135">
        <f>((1+CI153)/(1+CI154))-1</f>
        <v>1.6504854368931898E-2</v>
      </c>
      <c r="CJ155" s="135" t="e">
        <f t="shared" ref="CJ155:CO155" si="72">CJ149+(CJ148*(CJ150-CJ149))+CJ151</f>
        <v>#DIV/0!</v>
      </c>
      <c r="CK155" s="135" t="e">
        <f t="shared" si="72"/>
        <v>#DIV/0!</v>
      </c>
      <c r="CL155" s="135" t="e">
        <f t="shared" si="72"/>
        <v>#DIV/0!</v>
      </c>
      <c r="CM155" s="135" t="e">
        <f t="shared" si="72"/>
        <v>#DIV/0!</v>
      </c>
      <c r="CN155" s="135" t="e">
        <f t="shared" si="72"/>
        <v>#DIV/0!</v>
      </c>
      <c r="CO155" s="135" t="e">
        <f t="shared" si="72"/>
        <v>#DIV/0!</v>
      </c>
      <c r="CP155" s="135"/>
    </row>
    <row r="156" spans="2:94" x14ac:dyDescent="0.2">
      <c r="B156" s="105" t="s">
        <v>453</v>
      </c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>
        <f>AE150+(AE149*(AE151-AE150))+AE152</f>
        <v>0.18338272879061418</v>
      </c>
      <c r="AF156" s="135"/>
      <c r="AG156" s="135"/>
      <c r="AH156" s="135"/>
      <c r="AI156" s="135"/>
      <c r="AJ156" s="135"/>
      <c r="AK156" s="135"/>
      <c r="AL156" s="135">
        <f>AL150+(AL149*(AL151-AL150))+AL152</f>
        <v>0.18338229508883158</v>
      </c>
      <c r="AM156" s="135"/>
      <c r="AN156" s="135"/>
      <c r="AO156" s="135"/>
      <c r="AP156" s="135"/>
      <c r="AQ156" s="135"/>
      <c r="AR156" s="135"/>
      <c r="AS156" s="135">
        <f>AS150+(AS149*(AS151-AS150))+AS152</f>
        <v>0.18338217047782859</v>
      </c>
      <c r="AT156" s="135"/>
      <c r="AU156" s="135"/>
      <c r="AV156" s="135"/>
      <c r="AW156" s="135"/>
      <c r="AX156" s="135"/>
      <c r="AY156" s="135"/>
      <c r="AZ156" s="135">
        <f>AZ150+(AZ149*(AZ151-AZ150))+AZ152</f>
        <v>0.18338182398110697</v>
      </c>
      <c r="BA156" s="135"/>
      <c r="BB156" s="135"/>
      <c r="BC156" s="135"/>
      <c r="BD156" s="135"/>
      <c r="BE156" s="135"/>
      <c r="BF156" s="135"/>
      <c r="BG156" s="135">
        <f>BG150+(BG149*(BG151-BG150))+BG152</f>
        <v>0.18338174987382277</v>
      </c>
      <c r="BH156" s="135"/>
      <c r="BI156" s="135"/>
      <c r="BJ156" s="135"/>
      <c r="BK156" s="135"/>
      <c r="BL156" s="135"/>
      <c r="BM156" s="135"/>
      <c r="BN156" s="135">
        <f>BN150+(BN149*(BN151-BN150))+BN152</f>
        <v>0.1833819343062465</v>
      </c>
      <c r="BO156" s="135"/>
      <c r="BP156" s="135"/>
      <c r="BQ156" s="135"/>
      <c r="BR156" s="135"/>
      <c r="BS156" s="135"/>
      <c r="BT156" s="135"/>
      <c r="BU156" s="135">
        <f>BU150+(BU149*(BU151-BU150))+BU152</f>
        <v>0.18338149865358838</v>
      </c>
      <c r="BV156" s="135"/>
      <c r="BW156" s="135"/>
      <c r="BX156" s="135"/>
      <c r="BY156" s="135"/>
      <c r="BZ156" s="135"/>
      <c r="CA156" s="135"/>
      <c r="CB156" s="135">
        <f>CB150+(CB149*(CB151-CB150))+CB152</f>
        <v>0.18338113075433679</v>
      </c>
      <c r="CC156" s="135"/>
      <c r="CD156" s="135"/>
      <c r="CE156" s="135"/>
      <c r="CF156" s="135"/>
      <c r="CG156" s="135"/>
      <c r="CH156" s="135"/>
      <c r="CI156" s="135">
        <f>CI150+(CI149*(CI151-CI150))+CI152</f>
        <v>0.18338090480174596</v>
      </c>
      <c r="CJ156" s="135" t="e">
        <f t="shared" ref="CJ156:CO156" si="73">(1+CJ155)*(1+CJ154)-1</f>
        <v>#DIV/0!</v>
      </c>
      <c r="CK156" s="135" t="e">
        <f t="shared" si="73"/>
        <v>#DIV/0!</v>
      </c>
      <c r="CL156" s="135" t="e">
        <f t="shared" si="73"/>
        <v>#DIV/0!</v>
      </c>
      <c r="CM156" s="135" t="e">
        <f t="shared" si="73"/>
        <v>#DIV/0!</v>
      </c>
      <c r="CN156" s="135" t="e">
        <f t="shared" si="73"/>
        <v>#DIV/0!</v>
      </c>
      <c r="CO156" s="135" t="e">
        <f t="shared" si="73"/>
        <v>#DIV/0!</v>
      </c>
      <c r="CP156" s="135"/>
    </row>
    <row r="157" spans="2:94" x14ac:dyDescent="0.2">
      <c r="B157" s="105" t="s">
        <v>454</v>
      </c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>
        <f>(1+AE156)*(1+AE155)-1</f>
        <v>0.20291428839201253</v>
      </c>
      <c r="AF157" s="135"/>
      <c r="AG157" s="135"/>
      <c r="AH157" s="135"/>
      <c r="AI157" s="135"/>
      <c r="AJ157" s="135"/>
      <c r="AK157" s="135"/>
      <c r="AL157" s="135">
        <f>(1+AL156)*(1+AL155)-1</f>
        <v>0.20291384753204511</v>
      </c>
      <c r="AM157" s="135"/>
      <c r="AN157" s="135"/>
      <c r="AO157" s="135"/>
      <c r="AP157" s="135"/>
      <c r="AQ157" s="135"/>
      <c r="AR157" s="135"/>
      <c r="AS157" s="135">
        <f>(1+AS156)*(1+AS155)-1</f>
        <v>0.20291372086435588</v>
      </c>
      <c r="AT157" s="135"/>
      <c r="AU157" s="135"/>
      <c r="AV157" s="135"/>
      <c r="AW157" s="135"/>
      <c r="AX157" s="135"/>
      <c r="AY157" s="135"/>
      <c r="AZ157" s="135">
        <f>(1+AZ156)*(1+AZ155)-1</f>
        <v>0.20291336864875609</v>
      </c>
      <c r="BA157" s="135"/>
      <c r="BB157" s="135"/>
      <c r="BC157" s="135"/>
      <c r="BD157" s="135"/>
      <c r="BE157" s="135"/>
      <c r="BF157" s="135"/>
      <c r="BG157" s="135">
        <f>(1+BG156)*(1+BG155)-1</f>
        <v>0.20291329331834218</v>
      </c>
      <c r="BH157" s="135"/>
      <c r="BI157" s="135"/>
      <c r="BJ157" s="135"/>
      <c r="BK157" s="135"/>
      <c r="BL157" s="135"/>
      <c r="BM157" s="135"/>
      <c r="BN157" s="135">
        <f>(1+BN156)*(1+BN155)-1</f>
        <v>0.20291348079479588</v>
      </c>
      <c r="BO157" s="135"/>
      <c r="BP157" s="135"/>
      <c r="BQ157" s="135"/>
      <c r="BR157" s="135"/>
      <c r="BS157" s="135"/>
      <c r="BT157" s="135"/>
      <c r="BU157" s="135">
        <f>(1+BU156)*(1+BU155)-1</f>
        <v>0.2029130379517543</v>
      </c>
      <c r="BV157" s="135"/>
      <c r="BW157" s="135"/>
      <c r="BX157" s="135"/>
      <c r="BY157" s="135"/>
      <c r="BZ157" s="135"/>
      <c r="CA157" s="135"/>
      <c r="CB157" s="135">
        <f>(1+CB156)*(1+CB155)-1</f>
        <v>0.20291266398037888</v>
      </c>
      <c r="CC157" s="135"/>
      <c r="CD157" s="135"/>
      <c r="CE157" s="135"/>
      <c r="CF157" s="135"/>
      <c r="CG157" s="135"/>
      <c r="CH157" s="135"/>
      <c r="CI157" s="135">
        <f>(1+CI156)*(1+CI155)-1</f>
        <v>0.20291243429847383</v>
      </c>
      <c r="CJ157" s="135" t="e">
        <f t="shared" ref="CJ157:CO157" si="74">CJ146*CJ143+CJ156*CJ144</f>
        <v>#DIV/0!</v>
      </c>
      <c r="CK157" s="135" t="e">
        <f t="shared" si="74"/>
        <v>#DIV/0!</v>
      </c>
      <c r="CL157" s="135" t="e">
        <f t="shared" si="74"/>
        <v>#DIV/0!</v>
      </c>
      <c r="CM157" s="135" t="e">
        <f t="shared" si="74"/>
        <v>#DIV/0!</v>
      </c>
      <c r="CN157" s="135" t="e">
        <f t="shared" si="74"/>
        <v>#DIV/0!</v>
      </c>
      <c r="CO157" s="135" t="e">
        <f t="shared" si="74"/>
        <v>#DIV/0!</v>
      </c>
      <c r="CP157" s="135"/>
    </row>
    <row r="158" spans="2:94" x14ac:dyDescent="0.2">
      <c r="B158" s="105" t="s">
        <v>391</v>
      </c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>
        <f>AE147*AE144+AE157*AE145</f>
        <v>0.2019975864126636</v>
      </c>
      <c r="AF158" s="135"/>
      <c r="AG158" s="135"/>
      <c r="AH158" s="135"/>
      <c r="AI158" s="135"/>
      <c r="AJ158" s="135"/>
      <c r="AK158" s="135"/>
      <c r="AL158" s="135">
        <f>AL147*AL144+AL157*AL145</f>
        <v>0.20199854740550124</v>
      </c>
      <c r="AM158" s="135"/>
      <c r="AN158" s="135"/>
      <c r="AO158" s="135"/>
      <c r="AP158" s="135"/>
      <c r="AQ158" s="135"/>
      <c r="AR158" s="135"/>
      <c r="AS158" s="135">
        <f>AS147*AS144+AS157*AS145</f>
        <v>0.20199882351999876</v>
      </c>
      <c r="AT158" s="135"/>
      <c r="AU158" s="135"/>
      <c r="AV158" s="135"/>
      <c r="AW158" s="135"/>
      <c r="AX158" s="135"/>
      <c r="AY158" s="135"/>
      <c r="AZ158" s="135">
        <f>AZ147*AZ144+AZ157*AZ145</f>
        <v>0.20199959129720943</v>
      </c>
      <c r="BA158" s="135"/>
      <c r="BB158" s="135"/>
      <c r="BC158" s="135"/>
      <c r="BD158" s="135"/>
      <c r="BE158" s="135"/>
      <c r="BF158" s="135"/>
      <c r="BG158" s="135">
        <f>BG147*BG144+BG157*BG145</f>
        <v>0.20199975550732427</v>
      </c>
      <c r="BH158" s="135"/>
      <c r="BI158" s="135"/>
      <c r="BJ158" s="135"/>
      <c r="BK158" s="135"/>
      <c r="BL158" s="135"/>
      <c r="BM158" s="135"/>
      <c r="BN158" s="135">
        <f>BN147*BN144+BN157*BN145</f>
        <v>0.2019993468347302</v>
      </c>
      <c r="BO158" s="135"/>
      <c r="BP158" s="135"/>
      <c r="BQ158" s="135"/>
      <c r="BR158" s="135"/>
      <c r="BS158" s="135"/>
      <c r="BT158" s="135"/>
      <c r="BU158" s="135">
        <f>BU147*BU144+BU157*BU145</f>
        <v>0.20200031217484185</v>
      </c>
      <c r="BV158" s="135"/>
      <c r="BW158" s="135"/>
      <c r="BX158" s="135"/>
      <c r="BY158" s="135"/>
      <c r="BZ158" s="135"/>
      <c r="CA158" s="135"/>
      <c r="CB158" s="135">
        <f>CB147*CB144+CB157*CB145</f>
        <v>0.20200112739416382</v>
      </c>
      <c r="CC158" s="135"/>
      <c r="CD158" s="135"/>
      <c r="CE158" s="135"/>
      <c r="CF158" s="135"/>
      <c r="CG158" s="135"/>
      <c r="CH158" s="135"/>
      <c r="CI158" s="135">
        <f>CI147*CI144+CI157*CI145</f>
        <v>0.20200162808196145</v>
      </c>
      <c r="CJ158" s="177" t="e">
        <f t="shared" ref="CJ158:CO158" si="75">CJ140-CJ157</f>
        <v>#REF!</v>
      </c>
      <c r="CK158" s="177" t="e">
        <f t="shared" si="75"/>
        <v>#DIV/0!</v>
      </c>
      <c r="CL158" s="177" t="e">
        <f t="shared" si="75"/>
        <v>#DIV/0!</v>
      </c>
      <c r="CM158" s="177" t="e">
        <f t="shared" si="75"/>
        <v>#REF!</v>
      </c>
      <c r="CN158" s="177" t="e">
        <f t="shared" si="75"/>
        <v>#DIV/0!</v>
      </c>
      <c r="CO158" s="177" t="e">
        <f t="shared" si="75"/>
        <v>#DIV/0!</v>
      </c>
      <c r="CP158" s="177"/>
    </row>
    <row r="159" spans="2:94" x14ac:dyDescent="0.2">
      <c r="B159" s="105" t="s">
        <v>392</v>
      </c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  <c r="AE159" s="177">
        <f>AE141-AE158</f>
        <v>-0.20105493444083369</v>
      </c>
      <c r="AF159" s="177"/>
      <c r="AG159" s="177"/>
      <c r="AH159" s="177"/>
      <c r="AI159" s="177"/>
      <c r="AJ159" s="177"/>
      <c r="AK159" s="177"/>
      <c r="AL159" s="177">
        <f>AL141-AL158</f>
        <v>-0.20051446666914705</v>
      </c>
      <c r="AM159" s="177"/>
      <c r="AN159" s="177"/>
      <c r="AO159" s="177"/>
      <c r="AP159" s="177"/>
      <c r="AQ159" s="177"/>
      <c r="AR159" s="177"/>
      <c r="AS159" s="177">
        <f>AS141-AS158</f>
        <v>-0.20011977442066944</v>
      </c>
      <c r="AT159" s="177"/>
      <c r="AU159" s="177"/>
      <c r="AV159" s="177"/>
      <c r="AW159" s="177"/>
      <c r="AX159" s="177"/>
      <c r="AY159" s="177"/>
      <c r="AZ159" s="177">
        <f>AZ141-AZ158</f>
        <v>-0.20162388276392831</v>
      </c>
      <c r="BA159" s="177"/>
      <c r="BB159" s="177"/>
      <c r="BC159" s="177"/>
      <c r="BD159" s="177"/>
      <c r="BE159" s="177"/>
      <c r="BF159" s="177"/>
      <c r="BG159" s="177">
        <f>BG141-BG158</f>
        <v>-0.20589422734246118</v>
      </c>
      <c r="BH159" s="177"/>
      <c r="BI159" s="177"/>
      <c r="BJ159" s="177"/>
      <c r="BK159" s="177"/>
      <c r="BL159" s="177"/>
      <c r="BM159" s="177"/>
      <c r="BN159" s="177">
        <f>BN141-BN158</f>
        <v>-0.20398488313418511</v>
      </c>
      <c r="BO159" s="177"/>
      <c r="BP159" s="177"/>
      <c r="BQ159" s="177"/>
      <c r="BR159" s="177"/>
      <c r="BS159" s="177"/>
      <c r="BT159" s="177"/>
      <c r="BU159" s="177">
        <f>BU141-BU158</f>
        <v>-0.20188476804497305</v>
      </c>
      <c r="BV159" s="177"/>
      <c r="BW159" s="177"/>
      <c r="BX159" s="177"/>
      <c r="BY159" s="177"/>
      <c r="BZ159" s="177"/>
      <c r="CA159" s="177"/>
      <c r="CB159" s="177">
        <f>CB141-CB158</f>
        <v>-0.20037822040115083</v>
      </c>
      <c r="CC159" s="177"/>
      <c r="CD159" s="177"/>
      <c r="CE159" s="177"/>
      <c r="CF159" s="177"/>
      <c r="CG159" s="177"/>
      <c r="CH159" s="177"/>
      <c r="CI159" s="177">
        <f>CI141-CI158</f>
        <v>-0.20126663296468331</v>
      </c>
      <c r="CJ159" s="178" t="e">
        <f t="shared" ref="CJ159:CO159" si="76">CJ158*CJ139</f>
        <v>#REF!</v>
      </c>
      <c r="CK159" s="178" t="e">
        <f t="shared" si="76"/>
        <v>#DIV/0!</v>
      </c>
      <c r="CL159" s="178" t="e">
        <f t="shared" si="76"/>
        <v>#DIV/0!</v>
      </c>
      <c r="CM159" s="178" t="e">
        <f t="shared" si="76"/>
        <v>#REF!</v>
      </c>
      <c r="CN159" s="178" t="e">
        <f t="shared" si="76"/>
        <v>#DIV/0!</v>
      </c>
      <c r="CO159" s="178" t="e">
        <f t="shared" si="76"/>
        <v>#DIV/0!</v>
      </c>
      <c r="CP159" s="178"/>
    </row>
    <row r="160" spans="2:94" x14ac:dyDescent="0.2">
      <c r="B160" s="105" t="s">
        <v>393</v>
      </c>
      <c r="D160" s="178"/>
      <c r="E160" s="178"/>
      <c r="F160" s="178"/>
      <c r="G160" s="178"/>
      <c r="H160" s="178"/>
      <c r="I160" s="178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>
        <f>AE159*AE140</f>
        <v>-379137005.88093209</v>
      </c>
      <c r="AF160" s="245"/>
      <c r="AG160" s="245"/>
      <c r="AH160" s="245"/>
      <c r="AI160" s="245"/>
      <c r="AJ160" s="245"/>
      <c r="AK160" s="245"/>
      <c r="AL160" s="245">
        <f>AL159*AL140</f>
        <v>-378117825.06200659</v>
      </c>
      <c r="AM160" s="245"/>
      <c r="AN160" s="245"/>
      <c r="AO160" s="245"/>
      <c r="AP160" s="245"/>
      <c r="AQ160" s="245"/>
      <c r="AR160" s="245"/>
      <c r="AS160" s="245">
        <f>AS159*AS140</f>
        <v>-377373538.74171114</v>
      </c>
      <c r="AT160" s="245"/>
      <c r="AU160" s="245"/>
      <c r="AV160" s="245"/>
      <c r="AW160" s="245"/>
      <c r="AX160" s="245"/>
      <c r="AY160" s="245"/>
      <c r="AZ160" s="245">
        <f>AZ159*AZ140</f>
        <v>-380209893.56866276</v>
      </c>
      <c r="BA160" s="245"/>
      <c r="BB160" s="245"/>
      <c r="BC160" s="245"/>
      <c r="BD160" s="245"/>
      <c r="BE160" s="245"/>
      <c r="BF160" s="245"/>
      <c r="BG160" s="245">
        <f>BG159*BG140</f>
        <v>-388262646.22597831</v>
      </c>
      <c r="BH160" s="245"/>
      <c r="BI160" s="245"/>
      <c r="BJ160" s="245"/>
      <c r="BK160" s="245"/>
      <c r="BL160" s="245"/>
      <c r="BM160" s="245"/>
      <c r="BN160" s="245">
        <f>BN159*BN140</f>
        <v>-384662122.57638383</v>
      </c>
      <c r="BO160" s="245"/>
      <c r="BP160" s="245"/>
      <c r="BQ160" s="245"/>
      <c r="BR160" s="245"/>
      <c r="BS160" s="245"/>
      <c r="BT160" s="245"/>
      <c r="BU160" s="245">
        <f>BU159*BU140</f>
        <v>-380701854.95527977</v>
      </c>
      <c r="BV160" s="245"/>
      <c r="BW160" s="245"/>
      <c r="BX160" s="245"/>
      <c r="BY160" s="245"/>
      <c r="BZ160" s="245"/>
      <c r="CA160" s="245"/>
      <c r="CB160" s="245">
        <f>CB159*CB140</f>
        <v>-377860900.24564135</v>
      </c>
      <c r="CC160" s="245"/>
      <c r="CD160" s="245"/>
      <c r="CE160" s="245"/>
      <c r="CF160" s="245"/>
      <c r="CG160" s="245"/>
      <c r="CH160" s="245"/>
      <c r="CI160" s="245">
        <f>CI159*CI140</f>
        <v>-379536213.91183656</v>
      </c>
    </row>
    <row r="161" spans="2:94" x14ac:dyDescent="0.2">
      <c r="CJ161" s="166">
        <f t="shared" ref="CJ161:CO161" si="77">CJ14/CJ62</f>
        <v>0</v>
      </c>
      <c r="CK161" s="166">
        <f t="shared" si="77"/>
        <v>0</v>
      </c>
      <c r="CL161" s="166">
        <f t="shared" si="77"/>
        <v>0</v>
      </c>
      <c r="CM161" s="166">
        <f t="shared" si="77"/>
        <v>0</v>
      </c>
      <c r="CN161" s="166">
        <f t="shared" si="77"/>
        <v>0</v>
      </c>
      <c r="CO161" s="166">
        <f t="shared" si="77"/>
        <v>0</v>
      </c>
      <c r="CP161" s="166"/>
    </row>
    <row r="162" spans="2:94" x14ac:dyDescent="0.2">
      <c r="B162" s="105" t="s">
        <v>394</v>
      </c>
      <c r="D162" s="166"/>
      <c r="E162" s="166"/>
      <c r="F162" s="166"/>
      <c r="G162" s="166"/>
      <c r="H162" s="166"/>
      <c r="I162" s="166"/>
      <c r="J162" s="173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  <c r="AB162" s="139"/>
      <c r="AC162" s="139"/>
      <c r="AD162" s="139"/>
      <c r="AE162" s="139">
        <f>AE14/AE62</f>
        <v>0</v>
      </c>
      <c r="AF162" s="139"/>
      <c r="AG162" s="139"/>
      <c r="AH162" s="139"/>
      <c r="AI162" s="139"/>
      <c r="AJ162" s="139"/>
      <c r="AK162" s="139"/>
      <c r="AL162" s="139">
        <f>AL14/AL62</f>
        <v>0</v>
      </c>
      <c r="AM162" s="139"/>
      <c r="AN162" s="139"/>
      <c r="AO162" s="139"/>
      <c r="AP162" s="139"/>
      <c r="AQ162" s="139"/>
      <c r="AR162" s="139"/>
      <c r="AS162" s="139">
        <f>AS14/AS62</f>
        <v>0</v>
      </c>
      <c r="AT162" s="139"/>
      <c r="AU162" s="139"/>
      <c r="AV162" s="139"/>
      <c r="AW162" s="139"/>
      <c r="AX162" s="139"/>
      <c r="AY162" s="139"/>
      <c r="AZ162" s="139">
        <f>AZ14/AZ62</f>
        <v>0</v>
      </c>
      <c r="BA162" s="139"/>
      <c r="BB162" s="139"/>
      <c r="BC162" s="139"/>
      <c r="BD162" s="139"/>
      <c r="BE162" s="139"/>
      <c r="BF162" s="139"/>
      <c r="BG162" s="139">
        <f>BG14/BG62</f>
        <v>0</v>
      </c>
      <c r="BH162" s="139"/>
      <c r="BI162" s="139"/>
      <c r="BJ162" s="139"/>
      <c r="BK162" s="139"/>
      <c r="BL162" s="139"/>
      <c r="BM162" s="139"/>
      <c r="BN162" s="139">
        <f>BN14/BN62</f>
        <v>0</v>
      </c>
      <c r="BO162" s="139"/>
      <c r="BP162" s="139"/>
      <c r="BQ162" s="139"/>
      <c r="BR162" s="139"/>
      <c r="BS162" s="139"/>
      <c r="BT162" s="139"/>
      <c r="BU162" s="139">
        <f>BU14/BU62</f>
        <v>0</v>
      </c>
      <c r="BV162" s="139"/>
      <c r="BW162" s="139"/>
      <c r="BX162" s="139"/>
      <c r="BY162" s="139"/>
      <c r="BZ162" s="139"/>
      <c r="CA162" s="139"/>
      <c r="CB162" s="139">
        <f>CB14/CB62</f>
        <v>0</v>
      </c>
      <c r="CC162" s="139"/>
      <c r="CD162" s="139"/>
      <c r="CE162" s="139"/>
      <c r="CF162" s="139"/>
      <c r="CG162" s="139"/>
      <c r="CH162" s="139"/>
      <c r="CI162" s="139">
        <f>CI14/CI62</f>
        <v>0</v>
      </c>
      <c r="CJ162" s="137">
        <f t="shared" ref="CJ162:CO162" si="78">-CJ98</f>
        <v>0</v>
      </c>
      <c r="CK162" s="137">
        <f t="shared" si="78"/>
        <v>0</v>
      </c>
      <c r="CL162" s="137">
        <f t="shared" si="78"/>
        <v>0</v>
      </c>
      <c r="CM162" s="137">
        <f t="shared" si="78"/>
        <v>0</v>
      </c>
      <c r="CN162" s="137">
        <f t="shared" si="78"/>
        <v>0</v>
      </c>
      <c r="CO162" s="137">
        <f t="shared" si="78"/>
        <v>0</v>
      </c>
      <c r="CP162" s="137"/>
    </row>
    <row r="163" spans="2:94" x14ac:dyDescent="0.2">
      <c r="B163" s="105" t="s">
        <v>395</v>
      </c>
      <c r="D163" s="137"/>
      <c r="E163" s="137"/>
      <c r="F163" s="137"/>
      <c r="G163" s="137"/>
      <c r="H163" s="137"/>
      <c r="I163" s="137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>
        <f>-AE98</f>
        <v>0</v>
      </c>
      <c r="AF163" s="245"/>
      <c r="AG163" s="245"/>
      <c r="AH163" s="245"/>
      <c r="AI163" s="245"/>
      <c r="AJ163" s="245"/>
      <c r="AK163" s="245"/>
      <c r="AL163" s="245">
        <f>-AL98</f>
        <v>0</v>
      </c>
      <c r="AM163" s="245"/>
      <c r="AN163" s="245"/>
      <c r="AO163" s="245"/>
      <c r="AP163" s="245"/>
      <c r="AQ163" s="245"/>
      <c r="AR163" s="245"/>
      <c r="AS163" s="245">
        <f>-AS98</f>
        <v>0</v>
      </c>
      <c r="AT163" s="245"/>
      <c r="AU163" s="245"/>
      <c r="AV163" s="245"/>
      <c r="AW163" s="245"/>
      <c r="AX163" s="245"/>
      <c r="AY163" s="245"/>
      <c r="AZ163" s="245">
        <f>-AZ98</f>
        <v>0</v>
      </c>
      <c r="BA163" s="245"/>
      <c r="BB163" s="245"/>
      <c r="BC163" s="245"/>
      <c r="BD163" s="245"/>
      <c r="BE163" s="245"/>
      <c r="BF163" s="245"/>
      <c r="BG163" s="245">
        <f>-BG98</f>
        <v>0</v>
      </c>
      <c r="BH163" s="245"/>
      <c r="BI163" s="245"/>
      <c r="BJ163" s="245"/>
      <c r="BK163" s="245"/>
      <c r="BL163" s="245"/>
      <c r="BM163" s="245"/>
      <c r="BN163" s="245">
        <f>-BN98</f>
        <v>0</v>
      </c>
      <c r="BO163" s="245"/>
      <c r="BP163" s="245"/>
      <c r="BQ163" s="245"/>
      <c r="BR163" s="245"/>
      <c r="BS163" s="245"/>
      <c r="BT163" s="245"/>
      <c r="BU163" s="245">
        <f>-BU98</f>
        <v>0</v>
      </c>
      <c r="BV163" s="245"/>
      <c r="BW163" s="245"/>
      <c r="BX163" s="245"/>
      <c r="BY163" s="245"/>
      <c r="BZ163" s="245"/>
      <c r="CA163" s="245"/>
      <c r="CB163" s="245">
        <f>-CB98</f>
        <v>0</v>
      </c>
      <c r="CC163" s="245"/>
      <c r="CD163" s="245"/>
      <c r="CE163" s="245"/>
      <c r="CF163" s="245"/>
      <c r="CG163" s="245"/>
      <c r="CH163" s="245"/>
      <c r="CI163" s="245">
        <f>-CI98</f>
        <v>0</v>
      </c>
      <c r="CK163" s="171" t="e">
        <f>CK162/CK47</f>
        <v>#DIV/0!</v>
      </c>
      <c r="CL163" s="171" t="e">
        <f>CL162/CL47</f>
        <v>#DIV/0!</v>
      </c>
      <c r="CN163" s="171" t="e">
        <f>CN162/CN47</f>
        <v>#DIV/0!</v>
      </c>
      <c r="CO163" s="171" t="e">
        <f>CO162/CO47</f>
        <v>#DIV/0!</v>
      </c>
    </row>
    <row r="164" spans="2:94" x14ac:dyDescent="0.2">
      <c r="B164" s="105" t="s">
        <v>396</v>
      </c>
      <c r="E164" s="171"/>
      <c r="F164" s="171"/>
      <c r="H164" s="171"/>
      <c r="I164" s="171"/>
      <c r="J164" s="173"/>
      <c r="K164" s="139"/>
      <c r="L164" s="139"/>
      <c r="M164" s="135"/>
      <c r="N164" s="139"/>
      <c r="O164" s="139"/>
      <c r="P164" s="135"/>
      <c r="Q164" s="139"/>
      <c r="R164" s="139"/>
      <c r="S164" s="135"/>
      <c r="T164" s="139"/>
      <c r="U164" s="139"/>
      <c r="V164" s="135"/>
      <c r="W164" s="139"/>
      <c r="X164" s="139"/>
      <c r="Y164" s="135"/>
      <c r="Z164" s="139"/>
      <c r="AA164" s="139"/>
      <c r="AB164" s="135"/>
      <c r="AC164" s="139"/>
      <c r="AD164" s="139"/>
      <c r="AE164" s="139">
        <f>AE163/AE47</f>
        <v>0</v>
      </c>
      <c r="AF164" s="139"/>
      <c r="AG164" s="139"/>
      <c r="AH164" s="135"/>
      <c r="AI164" s="139"/>
      <c r="AJ164" s="139"/>
      <c r="AK164" s="135"/>
      <c r="AL164" s="139">
        <f>AL163/AL47</f>
        <v>0</v>
      </c>
      <c r="AM164" s="139"/>
      <c r="AN164" s="135"/>
      <c r="AO164" s="139"/>
      <c r="AP164" s="139"/>
      <c r="AQ164" s="135"/>
      <c r="AR164" s="139"/>
      <c r="AS164" s="139">
        <f>AS163/AS47</f>
        <v>0</v>
      </c>
      <c r="AT164" s="135"/>
      <c r="AU164" s="139"/>
      <c r="AV164" s="139"/>
      <c r="AW164" s="135"/>
      <c r="AX164" s="139"/>
      <c r="AY164" s="139"/>
      <c r="AZ164" s="139">
        <f>AZ163/AZ47</f>
        <v>0</v>
      </c>
      <c r="BA164" s="139"/>
      <c r="BB164" s="139"/>
      <c r="BC164" s="135"/>
      <c r="BD164" s="139"/>
      <c r="BE164" s="139"/>
      <c r="BF164" s="135"/>
      <c r="BG164" s="139">
        <f>BG163/BG47</f>
        <v>0</v>
      </c>
      <c r="BH164" s="139"/>
      <c r="BI164" s="135"/>
      <c r="BJ164" s="139"/>
      <c r="BK164" s="139"/>
      <c r="BL164" s="135"/>
      <c r="BM164" s="139"/>
      <c r="BN164" s="139">
        <f>BN163/BN47</f>
        <v>0</v>
      </c>
      <c r="BO164" s="135"/>
      <c r="BP164" s="139"/>
      <c r="BQ164" s="139"/>
      <c r="BR164" s="135"/>
      <c r="BS164" s="139"/>
      <c r="BT164" s="139"/>
      <c r="BU164" s="139">
        <f>BU163/BU47</f>
        <v>0</v>
      </c>
      <c r="BV164" s="139"/>
      <c r="BW164" s="139"/>
      <c r="BX164" s="135"/>
      <c r="BY164" s="139"/>
      <c r="BZ164" s="139"/>
      <c r="CA164" s="135"/>
      <c r="CB164" s="139">
        <f>CB163/CB47</f>
        <v>0</v>
      </c>
      <c r="CC164" s="139"/>
      <c r="CD164" s="135"/>
      <c r="CE164" s="139"/>
      <c r="CF164" s="139"/>
      <c r="CG164" s="135"/>
      <c r="CH164" s="139"/>
      <c r="CI164" s="139">
        <f>CI163/CI47</f>
        <v>0</v>
      </c>
    </row>
  </sheetData>
  <mergeCells count="2">
    <mergeCell ref="CR1:DC1"/>
    <mergeCell ref="DE1:DP1"/>
  </mergeCells>
  <conditionalFormatting sqref="A1:DB1 DC1:XFD2 CU2:DB2 A2:CT12 CU3:XFD12 A13:XFD16 A17:A18 D17:XFD18 A19:XFD25 CU26:XFD50 AT48:CT50 A48:AR61 AS51:CA61 A26:CT47">
    <cfRule type="cellIs" dxfId="25" priority="20" operator="lessThan">
      <formula>0</formula>
    </cfRule>
  </conditionalFormatting>
  <conditionalFormatting sqref="CB77">
    <cfRule type="cellIs" dxfId="24" priority="6" operator="lessThan">
      <formula>0</formula>
    </cfRule>
  </conditionalFormatting>
  <conditionalFormatting sqref="CB51:XFD76 A62:CA77">
    <cfRule type="cellIs" dxfId="23" priority="19" operator="lessThan">
      <formula>0</formula>
    </cfRule>
  </conditionalFormatting>
  <conditionalFormatting sqref="CC77:XFD78 A78:CB78 A79:XFD1048576">
    <cfRule type="cellIs" dxfId="22" priority="15" operator="less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C768-78DF-5B4D-85EF-C678F7F34E73}">
  <dimension ref="B1:DP164"/>
  <sheetViews>
    <sheetView zoomScale="80" zoomScaleNormal="80" workbookViewId="0">
      <pane xSplit="3" ySplit="4" topLeftCell="J5" activePane="bottomRight" state="frozen"/>
      <selection activeCell="AE32" sqref="AE32"/>
      <selection pane="topRight" activeCell="AE32" sqref="AE32"/>
      <selection pane="bottomLeft" activeCell="AE32" sqref="AE32"/>
      <selection pane="bottomRight" activeCell="A121" sqref="A121:XFD121"/>
    </sheetView>
  </sheetViews>
  <sheetFormatPr baseColWidth="10" defaultColWidth="10.83203125" defaultRowHeight="15" outlineLevelCol="1" x14ac:dyDescent="0.2"/>
  <cols>
    <col min="1" max="1" width="10.83203125" style="105"/>
    <col min="2" max="2" width="32" style="105" customWidth="1"/>
    <col min="3" max="3" width="29.83203125" style="204" bestFit="1" customWidth="1"/>
    <col min="4" max="4" width="12.5" style="105" hidden="1" customWidth="1" outlineLevel="1"/>
    <col min="5" max="5" width="13.1640625" style="105" hidden="1" customWidth="1" outlineLevel="1"/>
    <col min="6" max="7" width="12.5" style="105" hidden="1" customWidth="1" outlineLevel="1"/>
    <col min="8" max="8" width="15" style="105" hidden="1" customWidth="1" outlineLevel="1"/>
    <col min="9" max="9" width="12.5" style="105" hidden="1" customWidth="1" outlineLevel="1"/>
    <col min="10" max="10" width="16.6640625" style="105" bestFit="1" customWidth="1" collapsed="1"/>
    <col min="11" max="11" width="14.1640625" style="105" hidden="1" customWidth="1" outlineLevel="1"/>
    <col min="12" max="12" width="13.1640625" style="105" hidden="1" customWidth="1" outlineLevel="1"/>
    <col min="13" max="14" width="12.5" style="105" hidden="1" customWidth="1" outlineLevel="1"/>
    <col min="15" max="15" width="13.1640625" style="105" hidden="1" customWidth="1" outlineLevel="1"/>
    <col min="16" max="16" width="12.5" style="105" hidden="1" customWidth="1" outlineLevel="1"/>
    <col min="17" max="17" width="16.6640625" style="105" bestFit="1" customWidth="1" collapsed="1"/>
    <col min="18" max="18" width="14.1640625" style="105" hidden="1" customWidth="1" outlineLevel="1"/>
    <col min="19" max="19" width="13.1640625" style="105" hidden="1" customWidth="1" outlineLevel="1"/>
    <col min="20" max="21" width="12.5" style="105" hidden="1" customWidth="1" outlineLevel="1"/>
    <col min="22" max="22" width="13.1640625" style="105" hidden="1" customWidth="1" outlineLevel="1"/>
    <col min="23" max="23" width="12.5" style="105" hidden="1" customWidth="1" outlineLevel="1"/>
    <col min="24" max="24" width="16.6640625" style="105" bestFit="1" customWidth="1" collapsed="1"/>
    <col min="25" max="25" width="14.1640625" style="105" hidden="1" customWidth="1" outlineLevel="1"/>
    <col min="26" max="26" width="13.1640625" style="105" hidden="1" customWidth="1" outlineLevel="1"/>
    <col min="27" max="28" width="12.5" style="105" hidden="1" customWidth="1" outlineLevel="1"/>
    <col min="29" max="29" width="13.1640625" style="105" hidden="1" customWidth="1" outlineLevel="1"/>
    <col min="30" max="30" width="12.5" style="105" hidden="1" customWidth="1" outlineLevel="1"/>
    <col min="31" max="31" width="16.6640625" style="105" bestFit="1" customWidth="1" collapsed="1"/>
    <col min="32" max="32" width="14.1640625" style="105" hidden="1" customWidth="1" outlineLevel="1"/>
    <col min="33" max="33" width="13.1640625" style="105" hidden="1" customWidth="1" outlineLevel="1"/>
    <col min="34" max="35" width="12.5" style="105" hidden="1" customWidth="1" outlineLevel="1"/>
    <col min="36" max="36" width="13.1640625" style="105" hidden="1" customWidth="1" outlineLevel="1"/>
    <col min="37" max="37" width="12.5" style="105" hidden="1" customWidth="1" outlineLevel="1"/>
    <col min="38" max="38" width="16.6640625" style="105" bestFit="1" customWidth="1" collapsed="1"/>
    <col min="39" max="41" width="12.5" style="105" hidden="1" customWidth="1" outlineLevel="1"/>
    <col min="42" max="42" width="11.5" style="105" hidden="1" customWidth="1" outlineLevel="1"/>
    <col min="43" max="44" width="12.5" style="105" hidden="1" customWidth="1" outlineLevel="1"/>
    <col min="45" max="45" width="16.6640625" style="105" bestFit="1" customWidth="1" collapsed="1"/>
    <col min="46" max="48" width="12.5" style="105" hidden="1" customWidth="1" outlineLevel="1"/>
    <col min="49" max="49" width="11.5" style="105" hidden="1" customWidth="1" outlineLevel="1"/>
    <col min="50" max="51" width="12.5" style="105" hidden="1" customWidth="1" outlineLevel="1"/>
    <col min="52" max="52" width="16.6640625" style="105" bestFit="1" customWidth="1" collapsed="1"/>
    <col min="53" max="55" width="12.5" style="105" hidden="1" customWidth="1" outlineLevel="1"/>
    <col min="56" max="56" width="11.5" style="105" hidden="1" customWidth="1" outlineLevel="1"/>
    <col min="57" max="58" width="12.5" style="105" hidden="1" customWidth="1" outlineLevel="1"/>
    <col min="59" max="59" width="16.6640625" style="105" bestFit="1" customWidth="1" collapsed="1"/>
    <col min="60" max="62" width="12.5" style="105" hidden="1" customWidth="1" outlineLevel="1"/>
    <col min="63" max="63" width="11.5" style="105" hidden="1" customWidth="1" outlineLevel="1"/>
    <col min="64" max="65" width="12.5" style="105" hidden="1" customWidth="1" outlineLevel="1"/>
    <col min="66" max="66" width="16.6640625" style="105" bestFit="1" customWidth="1" collapsed="1"/>
    <col min="67" max="69" width="12.5" style="105" hidden="1" customWidth="1" outlineLevel="1"/>
    <col min="70" max="70" width="11.5" style="105" hidden="1" customWidth="1" outlineLevel="1"/>
    <col min="71" max="72" width="12.5" style="105" hidden="1" customWidth="1" outlineLevel="1"/>
    <col min="73" max="73" width="16.6640625" style="105" bestFit="1" customWidth="1" collapsed="1"/>
    <col min="74" max="76" width="12.5" style="105" hidden="1" customWidth="1" outlineLevel="1"/>
    <col min="77" max="77" width="11.5" style="105" hidden="1" customWidth="1" outlineLevel="1"/>
    <col min="78" max="79" width="12.5" style="105" hidden="1" customWidth="1" outlineLevel="1"/>
    <col min="80" max="80" width="16.6640625" style="105" bestFit="1" customWidth="1" collapsed="1"/>
    <col min="81" max="83" width="12.5" style="105" hidden="1" customWidth="1" outlineLevel="1"/>
    <col min="84" max="84" width="11.5" style="105" hidden="1" customWidth="1" outlineLevel="1"/>
    <col min="85" max="86" width="12.1640625" style="105" hidden="1" customWidth="1" outlineLevel="1"/>
    <col min="87" max="87" width="16.6640625" style="105" bestFit="1" customWidth="1" collapsed="1"/>
    <col min="88" max="90" width="12.5" style="105" hidden="1" customWidth="1" outlineLevel="1"/>
    <col min="91" max="91" width="11.5" style="105" hidden="1" customWidth="1" outlineLevel="1"/>
    <col min="92" max="93" width="12.5" style="105" hidden="1" customWidth="1" outlineLevel="1"/>
    <col min="94" max="94" width="16.33203125" style="105" bestFit="1" customWidth="1" collapsed="1"/>
    <col min="95" max="95" width="15" style="105" bestFit="1" customWidth="1"/>
    <col min="96" max="96" width="14.33203125" style="105" bestFit="1" customWidth="1"/>
    <col min="97" max="107" width="9.83203125" style="105" bestFit="1" customWidth="1"/>
    <col min="108" max="16384" width="10.83203125" style="105"/>
  </cols>
  <sheetData>
    <row r="1" spans="2:120" s="181" customFormat="1" ht="16" x14ac:dyDescent="0.2">
      <c r="B1" s="179">
        <v>2023</v>
      </c>
      <c r="C1" s="201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R1" s="288" t="s">
        <v>504</v>
      </c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E1" s="288" t="s">
        <v>491</v>
      </c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</row>
    <row r="2" spans="2:120" s="190" customFormat="1" ht="31" customHeight="1" x14ac:dyDescent="0.2">
      <c r="B2" s="182"/>
      <c r="C2" s="202"/>
      <c r="D2" s="189">
        <v>1</v>
      </c>
      <c r="E2" s="182">
        <v>1</v>
      </c>
      <c r="F2" s="182">
        <v>1</v>
      </c>
      <c r="G2" s="182">
        <v>1</v>
      </c>
      <c r="H2" s="182">
        <v>1</v>
      </c>
      <c r="I2" s="182">
        <v>1</v>
      </c>
      <c r="J2" s="182">
        <v>1</v>
      </c>
      <c r="K2" s="189">
        <v>2</v>
      </c>
      <c r="L2" s="182">
        <v>2</v>
      </c>
      <c r="M2" s="182">
        <v>2</v>
      </c>
      <c r="N2" s="182">
        <v>2</v>
      </c>
      <c r="O2" s="189">
        <v>2</v>
      </c>
      <c r="P2" s="182">
        <v>2</v>
      </c>
      <c r="Q2" s="182">
        <v>2</v>
      </c>
      <c r="R2" s="189">
        <v>3</v>
      </c>
      <c r="S2" s="182">
        <v>3</v>
      </c>
      <c r="T2" s="182">
        <v>3</v>
      </c>
      <c r="U2" s="182">
        <v>3</v>
      </c>
      <c r="V2" s="182">
        <v>3</v>
      </c>
      <c r="W2" s="182">
        <v>3</v>
      </c>
      <c r="X2" s="182">
        <v>3</v>
      </c>
      <c r="Y2" s="189">
        <v>4</v>
      </c>
      <c r="Z2" s="182">
        <v>4</v>
      </c>
      <c r="AA2" s="182">
        <v>4</v>
      </c>
      <c r="AB2" s="182">
        <v>4</v>
      </c>
      <c r="AC2" s="182">
        <v>4</v>
      </c>
      <c r="AD2" s="182">
        <v>4</v>
      </c>
      <c r="AE2" s="182">
        <v>4</v>
      </c>
      <c r="AF2" s="189">
        <v>5</v>
      </c>
      <c r="AG2" s="182">
        <v>5</v>
      </c>
      <c r="AH2" s="182">
        <v>5</v>
      </c>
      <c r="AI2" s="182">
        <v>5</v>
      </c>
      <c r="AJ2" s="182">
        <v>5</v>
      </c>
      <c r="AK2" s="182">
        <v>5</v>
      </c>
      <c r="AL2" s="182">
        <v>5</v>
      </c>
      <c r="AM2" s="189">
        <v>6</v>
      </c>
      <c r="AN2" s="182">
        <v>6</v>
      </c>
      <c r="AO2" s="182">
        <v>6</v>
      </c>
      <c r="AP2" s="182">
        <v>6</v>
      </c>
      <c r="AQ2" s="182">
        <v>6</v>
      </c>
      <c r="AR2" s="182">
        <v>6</v>
      </c>
      <c r="AS2" s="182">
        <v>6</v>
      </c>
      <c r="AT2" s="189">
        <v>7</v>
      </c>
      <c r="AU2" s="182">
        <v>7</v>
      </c>
      <c r="AV2" s="182">
        <v>7</v>
      </c>
      <c r="AW2" s="182">
        <v>7</v>
      </c>
      <c r="AX2" s="182">
        <v>7</v>
      </c>
      <c r="AY2" s="182">
        <v>7</v>
      </c>
      <c r="AZ2" s="182">
        <v>7</v>
      </c>
      <c r="BA2" s="189">
        <v>8</v>
      </c>
      <c r="BB2" s="182">
        <v>8</v>
      </c>
      <c r="BC2" s="182">
        <v>8</v>
      </c>
      <c r="BD2" s="182">
        <v>8</v>
      </c>
      <c r="BE2" s="182">
        <v>8</v>
      </c>
      <c r="BF2" s="182">
        <v>8</v>
      </c>
      <c r="BG2" s="182">
        <v>8</v>
      </c>
      <c r="BH2" s="189">
        <v>9</v>
      </c>
      <c r="BI2" s="182">
        <v>9</v>
      </c>
      <c r="BJ2" s="182">
        <v>9</v>
      </c>
      <c r="BK2" s="182">
        <v>9</v>
      </c>
      <c r="BL2" s="182">
        <v>9</v>
      </c>
      <c r="BM2" s="182">
        <v>9</v>
      </c>
      <c r="BN2" s="182">
        <v>9</v>
      </c>
      <c r="BO2" s="189">
        <v>10</v>
      </c>
      <c r="BP2" s="189">
        <v>10</v>
      </c>
      <c r="BQ2" s="189">
        <v>10</v>
      </c>
      <c r="BR2" s="189">
        <v>10</v>
      </c>
      <c r="BS2" s="189">
        <v>10</v>
      </c>
      <c r="BT2" s="189">
        <v>10</v>
      </c>
      <c r="BU2" s="182">
        <v>10</v>
      </c>
      <c r="BV2" s="189">
        <v>11</v>
      </c>
      <c r="BW2" s="189">
        <v>11</v>
      </c>
      <c r="BX2" s="189">
        <v>11</v>
      </c>
      <c r="BY2" s="189">
        <v>11</v>
      </c>
      <c r="BZ2" s="189">
        <v>11</v>
      </c>
      <c r="CA2" s="189">
        <v>11</v>
      </c>
      <c r="CB2" s="182">
        <v>11</v>
      </c>
      <c r="CC2" s="189">
        <v>12</v>
      </c>
      <c r="CD2" s="189">
        <v>12</v>
      </c>
      <c r="CE2" s="189">
        <v>12</v>
      </c>
      <c r="CF2" s="189">
        <v>12</v>
      </c>
      <c r="CG2" s="189">
        <v>12</v>
      </c>
      <c r="CH2" s="189">
        <v>12</v>
      </c>
      <c r="CI2" s="189">
        <v>12</v>
      </c>
      <c r="CJ2" s="195"/>
      <c r="CK2" s="195"/>
      <c r="CL2" s="195"/>
      <c r="CM2" s="195"/>
      <c r="CN2" s="195"/>
      <c r="CO2" s="195"/>
      <c r="CP2" s="196">
        <v>2023</v>
      </c>
      <c r="CR2" s="182" t="s">
        <v>492</v>
      </c>
      <c r="CS2" s="182" t="s">
        <v>493</v>
      </c>
      <c r="CT2" s="182" t="s">
        <v>494</v>
      </c>
      <c r="CU2" s="182" t="s">
        <v>495</v>
      </c>
      <c r="CV2" s="182" t="s">
        <v>496</v>
      </c>
      <c r="CW2" s="182" t="s">
        <v>497</v>
      </c>
      <c r="CX2" s="182" t="s">
        <v>498</v>
      </c>
      <c r="CY2" s="182" t="s">
        <v>499</v>
      </c>
      <c r="CZ2" s="182" t="s">
        <v>500</v>
      </c>
      <c r="DA2" s="182" t="s">
        <v>501</v>
      </c>
      <c r="DB2" s="182" t="s">
        <v>502</v>
      </c>
      <c r="DC2" s="182" t="s">
        <v>503</v>
      </c>
      <c r="DE2" s="182" t="s">
        <v>481</v>
      </c>
      <c r="DF2" s="182" t="s">
        <v>482</v>
      </c>
      <c r="DG2" s="182" t="s">
        <v>483</v>
      </c>
      <c r="DH2" s="182" t="s">
        <v>484</v>
      </c>
      <c r="DI2" s="182" t="s">
        <v>485</v>
      </c>
      <c r="DJ2" s="182" t="s">
        <v>486</v>
      </c>
      <c r="DK2" s="182" t="s">
        <v>487</v>
      </c>
      <c r="DL2" s="182" t="s">
        <v>488</v>
      </c>
      <c r="DM2" s="182" t="s">
        <v>489</v>
      </c>
      <c r="DN2" s="182" t="s">
        <v>490</v>
      </c>
      <c r="DO2" s="182" t="s">
        <v>480</v>
      </c>
      <c r="DP2" s="182" t="s">
        <v>479</v>
      </c>
    </row>
    <row r="3" spans="2:120" s="181" customFormat="1" ht="32" x14ac:dyDescent="0.2">
      <c r="B3" s="104"/>
      <c r="C3" s="203"/>
      <c r="D3" s="104" t="s">
        <v>455</v>
      </c>
      <c r="E3" s="104" t="s">
        <v>456</v>
      </c>
      <c r="F3" s="104" t="s">
        <v>457</v>
      </c>
      <c r="G3" s="104" t="s">
        <v>458</v>
      </c>
      <c r="H3" s="104" t="s">
        <v>459</v>
      </c>
      <c r="I3" s="104" t="s">
        <v>460</v>
      </c>
      <c r="J3" s="104" t="s">
        <v>461</v>
      </c>
      <c r="K3" s="104" t="s">
        <v>455</v>
      </c>
      <c r="L3" s="104" t="s">
        <v>456</v>
      </c>
      <c r="M3" s="104" t="s">
        <v>457</v>
      </c>
      <c r="N3" s="104" t="s">
        <v>458</v>
      </c>
      <c r="O3" s="104" t="s">
        <v>459</v>
      </c>
      <c r="P3" s="104" t="s">
        <v>460</v>
      </c>
      <c r="Q3" s="104" t="s">
        <v>462</v>
      </c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463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464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465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466</v>
      </c>
      <c r="AT3" s="104" t="s">
        <v>455</v>
      </c>
      <c r="AU3" s="104" t="s">
        <v>456</v>
      </c>
      <c r="AV3" s="104" t="s">
        <v>457</v>
      </c>
      <c r="AW3" s="104" t="s">
        <v>458</v>
      </c>
      <c r="AX3" s="104" t="s">
        <v>459</v>
      </c>
      <c r="AY3" s="104" t="s">
        <v>460</v>
      </c>
      <c r="AZ3" s="104" t="s">
        <v>467</v>
      </c>
      <c r="BA3" s="104" t="s">
        <v>455</v>
      </c>
      <c r="BB3" s="104" t="s">
        <v>456</v>
      </c>
      <c r="BC3" s="104" t="s">
        <v>457</v>
      </c>
      <c r="BD3" s="104" t="s">
        <v>458</v>
      </c>
      <c r="BE3" s="104" t="s">
        <v>459</v>
      </c>
      <c r="BF3" s="104" t="s">
        <v>460</v>
      </c>
      <c r="BG3" s="104" t="s">
        <v>468</v>
      </c>
      <c r="BH3" s="104" t="s">
        <v>455</v>
      </c>
      <c r="BI3" s="104" t="s">
        <v>456</v>
      </c>
      <c r="BJ3" s="104" t="s">
        <v>457</v>
      </c>
      <c r="BK3" s="104" t="s">
        <v>458</v>
      </c>
      <c r="BL3" s="104" t="s">
        <v>459</v>
      </c>
      <c r="BM3" s="104" t="s">
        <v>460</v>
      </c>
      <c r="BN3" s="104" t="s">
        <v>469</v>
      </c>
      <c r="BO3" s="104" t="s">
        <v>455</v>
      </c>
      <c r="BP3" s="104" t="s">
        <v>456</v>
      </c>
      <c r="BQ3" s="104" t="s">
        <v>457</v>
      </c>
      <c r="BR3" s="104" t="s">
        <v>458</v>
      </c>
      <c r="BS3" s="104" t="s">
        <v>459</v>
      </c>
      <c r="BT3" s="104" t="s">
        <v>460</v>
      </c>
      <c r="BU3" s="104" t="s">
        <v>470</v>
      </c>
      <c r="BV3" s="104" t="s">
        <v>455</v>
      </c>
      <c r="BW3" s="104" t="s">
        <v>456</v>
      </c>
      <c r="BX3" s="104" t="s">
        <v>457</v>
      </c>
      <c r="BY3" s="104" t="s">
        <v>458</v>
      </c>
      <c r="BZ3" s="104" t="s">
        <v>459</v>
      </c>
      <c r="CA3" s="104" t="s">
        <v>460</v>
      </c>
      <c r="CB3" s="104" t="s">
        <v>471</v>
      </c>
      <c r="CC3" s="104" t="s">
        <v>455</v>
      </c>
      <c r="CD3" s="104" t="s">
        <v>456</v>
      </c>
      <c r="CE3" s="104" t="s">
        <v>457</v>
      </c>
      <c r="CF3" s="104" t="s">
        <v>458</v>
      </c>
      <c r="CG3" s="104" t="s">
        <v>459</v>
      </c>
      <c r="CH3" s="104" t="s">
        <v>460</v>
      </c>
      <c r="CI3" s="104" t="s">
        <v>472</v>
      </c>
      <c r="CJ3" s="104" t="s">
        <v>455</v>
      </c>
      <c r="CK3" s="104" t="s">
        <v>456</v>
      </c>
      <c r="CL3" s="104" t="s">
        <v>457</v>
      </c>
      <c r="CM3" s="104" t="s">
        <v>458</v>
      </c>
      <c r="CN3" s="104" t="s">
        <v>459</v>
      </c>
      <c r="CO3" s="104" t="s">
        <v>460</v>
      </c>
      <c r="CP3" s="104" t="s">
        <v>473</v>
      </c>
    </row>
    <row r="4" spans="2:120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  <c r="AT4" s="106"/>
      <c r="AU4" s="106"/>
      <c r="BA4" s="106"/>
      <c r="BB4" s="106"/>
      <c r="BH4" s="106"/>
      <c r="BI4" s="106"/>
      <c r="BO4" s="106"/>
      <c r="BP4" s="106"/>
      <c r="BV4" s="106"/>
      <c r="BW4" s="106"/>
      <c r="CC4" s="106"/>
      <c r="CD4" s="106"/>
      <c r="CJ4" s="106"/>
      <c r="CK4" s="106"/>
    </row>
    <row r="5" spans="2:120" ht="16" x14ac:dyDescent="0.2">
      <c r="B5" s="183" t="s">
        <v>397</v>
      </c>
      <c r="C5" s="205"/>
      <c r="D5" s="108"/>
      <c r="E5" s="108"/>
      <c r="G5" s="107"/>
      <c r="H5" s="107"/>
      <c r="I5" s="107"/>
      <c r="J5" s="107"/>
      <c r="K5" s="107"/>
      <c r="L5" s="107"/>
      <c r="M5" s="107"/>
      <c r="N5" s="107"/>
      <c r="O5" s="107"/>
      <c r="R5" s="107"/>
      <c r="S5" s="107"/>
      <c r="T5" s="107"/>
      <c r="U5" s="107"/>
      <c r="V5" s="107"/>
      <c r="Y5" s="107"/>
      <c r="Z5" s="107"/>
      <c r="AA5" s="107"/>
      <c r="AB5" s="107"/>
      <c r="AC5" s="107"/>
      <c r="AF5" s="107"/>
      <c r="AG5" s="107"/>
      <c r="AH5" s="107"/>
      <c r="AI5" s="107"/>
      <c r="AJ5" s="107"/>
      <c r="AM5" s="107"/>
      <c r="AN5" s="107"/>
      <c r="AO5" s="107"/>
      <c r="AP5" s="107"/>
      <c r="AQ5" s="107"/>
      <c r="AT5" s="107"/>
      <c r="AU5" s="107"/>
      <c r="AV5" s="107"/>
      <c r="AW5" s="107"/>
      <c r="AX5" s="107"/>
      <c r="BA5" s="107"/>
      <c r="BB5" s="107"/>
      <c r="BC5" s="107"/>
      <c r="BD5" s="107"/>
      <c r="BE5" s="107"/>
      <c r="BH5" s="107"/>
      <c r="BI5" s="107"/>
      <c r="BJ5" s="107"/>
      <c r="BK5" s="107"/>
      <c r="BL5" s="107"/>
      <c r="BO5" s="107"/>
      <c r="BP5" s="107"/>
      <c r="BQ5" s="107"/>
      <c r="BR5" s="107"/>
      <c r="BS5" s="107"/>
      <c r="BV5" s="107"/>
      <c r="BW5" s="107"/>
      <c r="BX5" s="107"/>
      <c r="BY5" s="107"/>
      <c r="BZ5" s="107"/>
      <c r="CC5" s="107"/>
      <c r="CD5" s="107"/>
      <c r="CE5" s="107"/>
      <c r="CF5" s="107"/>
      <c r="CG5" s="107"/>
      <c r="CJ5" s="107"/>
      <c r="CK5" s="107"/>
      <c r="CL5" s="107"/>
      <c r="CM5" s="107"/>
      <c r="CN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</row>
    <row r="6" spans="2:120" ht="16" x14ac:dyDescent="0.2">
      <c r="B6" s="109" t="s">
        <v>398</v>
      </c>
      <c r="C6" s="193" t="s">
        <v>130</v>
      </c>
      <c r="D6" s="110">
        <f>SUMIFS(wallet_records!$D:$D,wallet_records!$B:$B,'EEFF 2023'!$C6,wallet_records!$L:$L,'EEFF 2023'!D$3,wallet_records!$O:$O,'EEFF 2023'!$B$1,wallet_records!$N:$N,'EEFF 2023'!D$2)</f>
        <v>1200000</v>
      </c>
      <c r="E6" s="110">
        <f>SUMIFS(wallet_records!$D:$D,wallet_records!$B:$B,'EEFF 2023'!$C6,wallet_records!$L:$L,'EEFF 2023'!E$3,wallet_records!$O:$O,'EEFF 2023'!$B$1,wallet_records!$N:$N,'EEFF 2023'!E$2)</f>
        <v>0</v>
      </c>
      <c r="F6" s="110">
        <f>SUMIFS(wallet_records!$D:$D,wallet_records!$B:$B,'EEFF 2023'!$C6,wallet_records!$L:$L,'EEFF 2023'!F$3,wallet_records!$O:$O,'EEFF 2023'!$B$1,wallet_records!$N:$N,'EEFF 2023'!F$2)</f>
        <v>1100000</v>
      </c>
      <c r="G6" s="110">
        <f>SUMIFS(wallet_records!$D:$D,wallet_records!$B:$B,'EEFF 2023'!$C6,wallet_records!$L:$L,'EEFF 2023'!G$3,wallet_records!$O:$O,'EEFF 2023'!$B$1,wallet_records!$N:$N,'EEFF 2023'!G$2)</f>
        <v>0</v>
      </c>
      <c r="H6" s="110">
        <f>SUMIFS(wallet_records!$D:$D,wallet_records!$B:$B,'EEFF 2023'!$C6,wallet_records!$L:$L,'EEFF 2023'!H$3,wallet_records!$O:$O,'EEFF 2023'!$B$1,wallet_records!$N:$N,'EEFF 2023'!H$2)</f>
        <v>1200000</v>
      </c>
      <c r="I6" s="110">
        <f>SUMIFS(wallet_records!$D:$D,wallet_records!$B:$B,'EEFF 2023'!$C6,wallet_records!$L:$L,'EEFF 2023'!I$3,wallet_records!$O:$O,'EEFF 2023'!$B$1,wallet_records!$N:$N,'EEFF 2023'!I$2)</f>
        <v>0</v>
      </c>
      <c r="J6" s="110">
        <f>SUM(D6:I6)</f>
        <v>3500000</v>
      </c>
      <c r="K6" s="110">
        <f>SUMIFS(wallet_records!$D:$D,wallet_records!$B:$B,'EEFF 2023'!$C6,wallet_records!$L:$L,'EEFF 2023'!K$3,wallet_records!$O:$O,'EEFF 2023'!$B$1,wallet_records!$N:$N,'EEFF 2023'!K$2)</f>
        <v>1200000</v>
      </c>
      <c r="L6" s="110">
        <f>SUMIFS(wallet_records!$D:$D,wallet_records!$B:$B,'EEFF 2023'!$C6,wallet_records!$L:$L,'EEFF 2023'!L$3,wallet_records!$O:$O,'EEFF 2023'!$B$1,wallet_records!$N:$N,'EEFF 2023'!L$2)</f>
        <v>0</v>
      </c>
      <c r="M6" s="110">
        <f>SUMIFS(wallet_records!$D:$D,wallet_records!$B:$B,'EEFF 2023'!$C6,wallet_records!$L:$L,'EEFF 2023'!M$3,wallet_records!$O:$O,'EEFF 2023'!$B$1,wallet_records!$N:$N,'EEFF 2023'!M$2)</f>
        <v>1100000</v>
      </c>
      <c r="N6" s="110">
        <f>SUMIFS(wallet_records!$D:$D,wallet_records!$B:$B,'EEFF 2023'!$C6,wallet_records!$L:$L,'EEFF 2023'!N$3,wallet_records!$O:$O,'EEFF 2023'!$B$1,wallet_records!$N:$N,'EEFF 2023'!N$2)</f>
        <v>380000</v>
      </c>
      <c r="O6" s="110">
        <f>SUMIFS(wallet_records!$D:$D,wallet_records!$B:$B,'EEFF 2023'!$C6,wallet_records!$L:$L,'EEFF 2023'!O$3,wallet_records!$O:$O,'EEFF 2023'!$B$1,wallet_records!$N:$N,'EEFF 2023'!O$2)</f>
        <v>2500000</v>
      </c>
      <c r="P6" s="110">
        <f>SUMIFS(wallet_records!$D:$D,wallet_records!$B:$B,'EEFF 2023'!$C6,wallet_records!$L:$L,'EEFF 2023'!P$3,wallet_records!$O:$O,'EEFF 2023'!$B$1,wallet_records!$N:$N,'EEFF 2023'!P$2)</f>
        <v>0</v>
      </c>
      <c r="Q6" s="110">
        <f>SUM(K6:P6)</f>
        <v>5180000</v>
      </c>
      <c r="R6" s="110">
        <f>SUMIFS(wallet_records!$D:$D,wallet_records!$B:$B,'EEFF 2023'!$C6,wallet_records!$L:$L,'EEFF 2023'!R$3,wallet_records!$O:$O,'EEFF 2023'!$B$1,wallet_records!$N:$N,'EEFF 2023'!R$2)</f>
        <v>1200000</v>
      </c>
      <c r="S6" s="110">
        <f>SUMIFS(wallet_records!$D:$D,wallet_records!$B:$B,'EEFF 2023'!$C6,wallet_records!$L:$L,'EEFF 2023'!S$3,wallet_records!$O:$O,'EEFF 2023'!$B$1,wallet_records!$N:$N,'EEFF 2023'!S$2)</f>
        <v>0</v>
      </c>
      <c r="T6" s="110">
        <f>SUMIFS(wallet_records!$D:$D,wallet_records!$B:$B,'EEFF 2023'!$C6,wallet_records!$L:$L,'EEFF 2023'!T$3,wallet_records!$O:$O,'EEFF 2023'!$B$1,wallet_records!$N:$N,'EEFF 2023'!T$2)</f>
        <v>1100000</v>
      </c>
      <c r="U6" s="110">
        <f>SUMIFS(wallet_records!$D:$D,wallet_records!$B:$B,'EEFF 2023'!$C6,wallet_records!$L:$L,'EEFF 2023'!U$3,wallet_records!$O:$O,'EEFF 2023'!$B$1,wallet_records!$N:$N,'EEFF 2023'!U$2)</f>
        <v>760000</v>
      </c>
      <c r="V6" s="110">
        <f>SUMIFS(wallet_records!$D:$D,wallet_records!$B:$B,'EEFF 2023'!$C6,wallet_records!$L:$L,'EEFF 2023'!V$3,wallet_records!$O:$O,'EEFF 2023'!$B$1,wallet_records!$N:$N,'EEFF 2023'!V$2)</f>
        <v>1300000</v>
      </c>
      <c r="W6" s="110">
        <f>SUMIFS(wallet_records!$D:$D,wallet_records!$B:$B,'EEFF 2023'!$C6,wallet_records!$L:$L,'EEFF 2023'!W$3,wallet_records!$O:$O,'EEFF 2023'!$B$1,wallet_records!$N:$N,'EEFF 2023'!W$2)</f>
        <v>0</v>
      </c>
      <c r="X6" s="110">
        <f>SUM(R6:W6)</f>
        <v>4360000</v>
      </c>
      <c r="Y6" s="110">
        <f>SUMIFS(wallet_records!$D:$D,wallet_records!$B:$B,'EEFF 2023'!$C6,wallet_records!$L:$L,'EEFF 2023'!Y$3,wallet_records!$O:$O,'EEFF 2023'!$B$1,wallet_records!$N:$N,'EEFF 2023'!Y$2)</f>
        <v>1200000</v>
      </c>
      <c r="Z6" s="110">
        <f>SUMIFS(wallet_records!$D:$D,wallet_records!$B:$B,'EEFF 2023'!$C6,wallet_records!$L:$L,'EEFF 2023'!Z$3,wallet_records!$O:$O,'EEFF 2023'!$B$1,wallet_records!$N:$N,'EEFF 2023'!Z$2)</f>
        <v>0</v>
      </c>
      <c r="AA6" s="110">
        <f>SUMIFS(wallet_records!$D:$D,wallet_records!$B:$B,'EEFF 2023'!$C6,wallet_records!$L:$L,'EEFF 2023'!AA$3,wallet_records!$O:$O,'EEFF 2023'!$B$1,wallet_records!$N:$N,'EEFF 2023'!AA$2)</f>
        <v>1100000</v>
      </c>
      <c r="AB6" s="110">
        <f>SUMIFS(wallet_records!$D:$D,wallet_records!$B:$B,'EEFF 2023'!$C6,wallet_records!$L:$L,'EEFF 2023'!AB$3,wallet_records!$O:$O,'EEFF 2023'!$B$1,wallet_records!$N:$N,'EEFF 2023'!AB$2)</f>
        <v>380000</v>
      </c>
      <c r="AC6" s="110">
        <f>SUMIFS(wallet_records!$D:$D,wallet_records!$B:$B,'EEFF 2023'!$C6,wallet_records!$L:$L,'EEFF 2023'!AC$3,wallet_records!$O:$O,'EEFF 2023'!$B$1,wallet_records!$N:$N,'EEFF 2023'!AC$2)</f>
        <v>1300000</v>
      </c>
      <c r="AD6" s="110">
        <f>SUMIFS(wallet_records!$D:$D,wallet_records!$B:$B,'EEFF 2023'!$C6,wallet_records!$L:$L,'EEFF 2023'!AD$3,wallet_records!$O:$O,'EEFF 2023'!$B$1,wallet_records!$N:$N,'EEFF 2023'!AD$2)</f>
        <v>0</v>
      </c>
      <c r="AE6" s="110">
        <f>SUM(Y6:AD6)</f>
        <v>3980000</v>
      </c>
      <c r="AF6" s="110">
        <f>SUMIFS(wallet_records!$D:$D,wallet_records!$B:$B,'EEFF 2023'!$C6,wallet_records!$L:$L,'EEFF 2023'!AF$3,wallet_records!$O:$O,'EEFF 2023'!$B$1,wallet_records!$N:$N,'EEFF 2023'!AF$2)</f>
        <v>1200000</v>
      </c>
      <c r="AG6" s="110">
        <f>SUMIFS(wallet_records!$D:$D,wallet_records!$B:$B,'EEFF 2023'!$C6,wallet_records!$L:$L,'EEFF 2023'!AG$3,wallet_records!$O:$O,'EEFF 2023'!$B$1,wallet_records!$N:$N,'EEFF 2023'!AG$2)</f>
        <v>0</v>
      </c>
      <c r="AH6" s="110">
        <f>SUMIFS(wallet_records!$D:$D,wallet_records!$B:$B,'EEFF 2023'!$C6,wallet_records!$L:$L,'EEFF 2023'!AH$3,wallet_records!$O:$O,'EEFF 2023'!$B$1,wallet_records!$N:$N,'EEFF 2023'!AH$2)</f>
        <v>1200000</v>
      </c>
      <c r="AI6" s="110">
        <f>SUMIFS(wallet_records!$D:$D,wallet_records!$B:$B,'EEFF 2023'!$C6,wallet_records!$L:$L,'EEFF 2023'!AI$3,wallet_records!$O:$O,'EEFF 2023'!$B$1,wallet_records!$N:$N,'EEFF 2023'!AI$2)</f>
        <v>0</v>
      </c>
      <c r="AJ6" s="110">
        <f>SUMIFS(wallet_records!$D:$D,wallet_records!$B:$B,'EEFF 2023'!$C6,wallet_records!$L:$L,'EEFF 2023'!AJ$3,wallet_records!$O:$O,'EEFF 2023'!$B$1,wallet_records!$N:$N,'EEFF 2023'!AJ$2)</f>
        <v>1400000</v>
      </c>
      <c r="AK6" s="110">
        <f>SUMIFS(wallet_records!$D:$D,wallet_records!$B:$B,'EEFF 2023'!$C6,wallet_records!$L:$L,'EEFF 2023'!AK$3,wallet_records!$O:$O,'EEFF 2023'!$B$1,wallet_records!$N:$N,'EEFF 2023'!AK$2)</f>
        <v>841000</v>
      </c>
      <c r="AL6" s="110">
        <f>SUM(AF6:AK6)</f>
        <v>4641000</v>
      </c>
      <c r="AM6" s="110">
        <f>SUMIFS(wallet_records!$D:$D,wallet_records!$B:$B,'EEFF 2023'!$C6,wallet_records!$L:$L,'EEFF 2023'!AM$3,wallet_records!$O:$O,'EEFF 2023'!$B$1,wallet_records!$N:$N,'EEFF 2023'!AM$2)</f>
        <v>1200000</v>
      </c>
      <c r="AN6" s="110">
        <f>SUMIFS(wallet_records!$D:$D,wallet_records!$B:$B,'EEFF 2023'!$C6,wallet_records!$L:$L,'EEFF 2023'!AN$3,wallet_records!$O:$O,'EEFF 2023'!$B$1,wallet_records!$N:$N,'EEFF 2023'!AN$2)</f>
        <v>0</v>
      </c>
      <c r="AO6" s="110">
        <f>SUMIFS(wallet_records!$D:$D,wallet_records!$B:$B,'EEFF 2023'!$C6,wallet_records!$L:$L,'EEFF 2023'!AO$3,wallet_records!$O:$O,'EEFF 2023'!$B$1,wallet_records!$N:$N,'EEFF 2023'!AO$2)</f>
        <v>1200000</v>
      </c>
      <c r="AP6" s="110">
        <f>SUMIFS(wallet_records!$D:$D,wallet_records!$B:$B,'EEFF 2023'!$C6,wallet_records!$L:$L,'EEFF 2023'!AP$3,wallet_records!$O:$O,'EEFF 2023'!$B$1,wallet_records!$N:$N,'EEFF 2023'!AP$2)</f>
        <v>760000</v>
      </c>
      <c r="AQ6" s="110">
        <f>SUMIFS(wallet_records!$D:$D,wallet_records!$B:$B,'EEFF 2023'!$C6,wallet_records!$L:$L,'EEFF 2023'!AQ$3,wallet_records!$O:$O,'EEFF 2023'!$B$1,wallet_records!$N:$N,'EEFF 2023'!AQ$2)</f>
        <v>1400000</v>
      </c>
      <c r="AR6" s="110">
        <f>SUMIFS(wallet_records!$D:$D,wallet_records!$B:$B,'EEFF 2023'!$C6,wallet_records!$L:$L,'EEFF 2023'!AR$3,wallet_records!$O:$O,'EEFF 2023'!$B$1,wallet_records!$N:$N,'EEFF 2023'!AR$2)</f>
        <v>881000</v>
      </c>
      <c r="AS6" s="110">
        <f>SUM(AM6:AR6)</f>
        <v>5441000</v>
      </c>
      <c r="AT6" s="110">
        <f>SUMIFS(wallet_records!$D:$D,wallet_records!$B:$B,'EEFF 2023'!$C6,wallet_records!$L:$L,'EEFF 2023'!AT$3,wallet_records!$O:$O,'EEFF 2023'!$B$1,wallet_records!$N:$N,'EEFF 2023'!AT$2)</f>
        <v>1200000</v>
      </c>
      <c r="AU6" s="110">
        <f>SUMIFS(wallet_records!$D:$D,wallet_records!$B:$B,'EEFF 2023'!$C6,wallet_records!$L:$L,'EEFF 2023'!AU$3,wallet_records!$O:$O,'EEFF 2023'!$B$1,wallet_records!$N:$N,'EEFF 2023'!AU$2)</f>
        <v>0</v>
      </c>
      <c r="AV6" s="110">
        <f>SUMIFS(wallet_records!$D:$D,wallet_records!$B:$B,'EEFF 2023'!$C6,wallet_records!$L:$L,'EEFF 2023'!AV$3,wallet_records!$O:$O,'EEFF 2023'!$B$1,wallet_records!$N:$N,'EEFF 2023'!AV$2)</f>
        <v>0</v>
      </c>
      <c r="AW6" s="110">
        <f>SUMIFS(wallet_records!$D:$D,wallet_records!$B:$B,'EEFF 2023'!$C6,wallet_records!$L:$L,'EEFF 2023'!AW$3,wallet_records!$O:$O,'EEFF 2023'!$B$1,wallet_records!$N:$N,'EEFF 2023'!AW$2)</f>
        <v>0</v>
      </c>
      <c r="AX6" s="110">
        <f>SUMIFS(wallet_records!$D:$D,wallet_records!$B:$B,'EEFF 2023'!$C6,wallet_records!$L:$L,'EEFF 2023'!AX$3,wallet_records!$O:$O,'EEFF 2023'!$B$1,wallet_records!$N:$N,'EEFF 2023'!AX$2)</f>
        <v>0</v>
      </c>
      <c r="AY6" s="110">
        <f>SUMIFS(wallet_records!$D:$D,wallet_records!$B:$B,'EEFF 2023'!$C6,wallet_records!$L:$L,'EEFF 2023'!AY$3,wallet_records!$O:$O,'EEFF 2023'!$B$1,wallet_records!$N:$N,'EEFF 2023'!AY$2)</f>
        <v>881000</v>
      </c>
      <c r="AZ6" s="110">
        <f>SUM(AT6:AY6)</f>
        <v>2081000</v>
      </c>
      <c r="BA6" s="110">
        <f>SUMIFS(wallet_records!$D:$D,wallet_records!$B:$B,'EEFF 2023'!$C6,wallet_records!$L:$L,'EEFF 2023'!BA$3,wallet_records!$O:$O,'EEFF 2023'!$B$1,wallet_records!$N:$N,'EEFF 2023'!BA$2)</f>
        <v>2400000</v>
      </c>
      <c r="BB6" s="110">
        <f>SUMIFS(wallet_records!$D:$D,wallet_records!$B:$B,'EEFF 2023'!$C6,wallet_records!$L:$L,'EEFF 2023'!BB$3,wallet_records!$O:$O,'EEFF 2023'!$B$1,wallet_records!$N:$N,'EEFF 2023'!BB$2)</f>
        <v>0</v>
      </c>
      <c r="BC6" s="110">
        <f>SUMIFS(wallet_records!$D:$D,wallet_records!$B:$B,'EEFF 2023'!$C6,wallet_records!$L:$L,'EEFF 2023'!BC$3,wallet_records!$O:$O,'EEFF 2023'!$B$1,wallet_records!$N:$N,'EEFF 2023'!BC$2)</f>
        <v>0</v>
      </c>
      <c r="BD6" s="110">
        <f>SUMIFS(wallet_records!$D:$D,wallet_records!$B:$B,'EEFF 2023'!$C6,wallet_records!$L:$L,'EEFF 2023'!BD$3,wallet_records!$O:$O,'EEFF 2023'!$B$1,wallet_records!$N:$N,'EEFF 2023'!BD$2)</f>
        <v>760000</v>
      </c>
      <c r="BE6" s="110">
        <f>SUMIFS(wallet_records!$D:$D,wallet_records!$B:$B,'EEFF 2023'!$C6,wallet_records!$L:$L,'EEFF 2023'!BE$3,wallet_records!$O:$O,'EEFF 2023'!$B$1,wallet_records!$N:$N,'EEFF 2023'!BE$2)</f>
        <v>2800000</v>
      </c>
      <c r="BF6" s="110">
        <f>SUMIFS(wallet_records!$D:$D,wallet_records!$B:$B,'EEFF 2023'!$C6,wallet_records!$L:$L,'EEFF 2023'!BF$3,wallet_records!$O:$O,'EEFF 2023'!$B$1,wallet_records!$N:$N,'EEFF 2023'!BF$2)</f>
        <v>1762000</v>
      </c>
      <c r="BG6" s="110">
        <f>SUM(BA6:BF6)</f>
        <v>7722000</v>
      </c>
      <c r="BH6" s="110">
        <f>SUMIFS(wallet_records!$D:$D,wallet_records!$B:$B,'EEFF 2023'!$C6,wallet_records!$L:$L,'EEFF 2023'!BH$3,wallet_records!$O:$O,'EEFF 2023'!$B$1,wallet_records!$N:$N,'EEFF 2023'!BH$2)</f>
        <v>1200000</v>
      </c>
      <c r="BI6" s="110">
        <f>SUMIFS(wallet_records!$D:$D,wallet_records!$B:$B,'EEFF 2023'!$C6,wallet_records!$L:$L,'EEFF 2023'!BI$3,wallet_records!$O:$O,'EEFF 2023'!$B$1,wallet_records!$N:$N,'EEFF 2023'!BI$2)</f>
        <v>0</v>
      </c>
      <c r="BJ6" s="110">
        <f>SUMIFS(wallet_records!$D:$D,wallet_records!$B:$B,'EEFF 2023'!$C6,wallet_records!$L:$L,'EEFF 2023'!BJ$3,wallet_records!$O:$O,'EEFF 2023'!$B$1,wallet_records!$N:$N,'EEFF 2023'!BJ$2)</f>
        <v>5100000</v>
      </c>
      <c r="BK6" s="110">
        <f>SUMIFS(wallet_records!$D:$D,wallet_records!$B:$B,'EEFF 2023'!$C6,wallet_records!$L:$L,'EEFF 2023'!BK$3,wallet_records!$O:$O,'EEFF 2023'!$B$1,wallet_records!$N:$N,'EEFF 2023'!BK$2)</f>
        <v>380000</v>
      </c>
      <c r="BL6" s="110">
        <f>SUMIFS(wallet_records!$D:$D,wallet_records!$B:$B,'EEFF 2023'!$C6,wallet_records!$L:$L,'EEFF 2023'!BL$3,wallet_records!$O:$O,'EEFF 2023'!$B$1,wallet_records!$N:$N,'EEFF 2023'!BL$2)</f>
        <v>1400000</v>
      </c>
      <c r="BM6" s="110">
        <f>SUMIFS(wallet_records!$D:$D,wallet_records!$B:$B,'EEFF 2023'!$C6,wallet_records!$L:$L,'EEFF 2023'!BM$3,wallet_records!$O:$O,'EEFF 2023'!$B$1,wallet_records!$N:$N,'EEFF 2023'!BM$2)</f>
        <v>881000</v>
      </c>
      <c r="BN6" s="110">
        <f>SUM(BH6:BM6)</f>
        <v>8961000</v>
      </c>
      <c r="BO6" s="110">
        <f>SUMIFS(wallet_records!$D:$D,wallet_records!$B:$B,'EEFF 2023'!$C6,wallet_records!$L:$L,'EEFF 2023'!BO$3,wallet_records!$O:$O,'EEFF 2023'!$B$1,wallet_records!$N:$N,'EEFF 2023'!BO$2)</f>
        <v>0</v>
      </c>
      <c r="BP6" s="110">
        <f>SUMIFS(wallet_records!$D:$D,wallet_records!$B:$B,'EEFF 2023'!$C6,wallet_records!$L:$L,'EEFF 2023'!BP$3,wallet_records!$O:$O,'EEFF 2023'!$B$1,wallet_records!$N:$N,'EEFF 2023'!BP$2)</f>
        <v>0</v>
      </c>
      <c r="BQ6" s="110">
        <f>SUMIFS(wallet_records!$D:$D,wallet_records!$B:$B,'EEFF 2023'!$C6,wallet_records!$L:$L,'EEFF 2023'!BQ$3,wallet_records!$O:$O,'EEFF 2023'!$B$1,wallet_records!$N:$N,'EEFF 2023'!BQ$2)</f>
        <v>0</v>
      </c>
      <c r="BR6" s="110">
        <f>SUMIFS(wallet_records!$D:$D,wallet_records!$B:$B,'EEFF 2023'!$C6,wallet_records!$L:$L,'EEFF 2023'!BR$3,wallet_records!$O:$O,'EEFF 2023'!$B$1,wallet_records!$N:$N,'EEFF 2023'!BR$2)</f>
        <v>400000</v>
      </c>
      <c r="BS6" s="110">
        <f>SUMIFS(wallet_records!$D:$D,wallet_records!$B:$B,'EEFF 2023'!$C6,wallet_records!$L:$L,'EEFF 2023'!BS$3,wallet_records!$O:$O,'EEFF 2023'!$B$1,wallet_records!$N:$N,'EEFF 2023'!BS$2)</f>
        <v>1400000</v>
      </c>
      <c r="BT6" s="110">
        <f>SUMIFS(wallet_records!$D:$D,wallet_records!$B:$B,'EEFF 2023'!$C6,wallet_records!$L:$L,'EEFF 2023'!BT$3,wallet_records!$O:$O,'EEFF 2023'!$B$1,wallet_records!$N:$N,'EEFF 2023'!BT$2)</f>
        <v>0</v>
      </c>
      <c r="BU6" s="110">
        <f>SUM(BO6:BT6)</f>
        <v>1800000</v>
      </c>
      <c r="BV6" s="110">
        <f>SUMIFS(wallet_records!$D:$D,wallet_records!$B:$B,'EEFF 2023'!$C6,wallet_records!$L:$L,'EEFF 2023'!BV$3,wallet_records!$O:$O,'EEFF 2023'!$B$1,wallet_records!$N:$N,'EEFF 2023'!BV$2)</f>
        <v>1200000</v>
      </c>
      <c r="BW6" s="110">
        <f>SUMIFS(wallet_records!$D:$D,wallet_records!$B:$B,'EEFF 2023'!$C6,wallet_records!$L:$L,'EEFF 2023'!BW$3,wallet_records!$O:$O,'EEFF 2023'!$B$1,wallet_records!$N:$N,'EEFF 2023'!BW$2)</f>
        <v>0</v>
      </c>
      <c r="BX6" s="110">
        <f>SUMIFS(wallet_records!$D:$D,wallet_records!$B:$B,'EEFF 2023'!$C6,wallet_records!$L:$L,'EEFF 2023'!BX$3,wallet_records!$O:$O,'EEFF 2023'!$B$1,wallet_records!$N:$N,'EEFF 2023'!BX$2)</f>
        <v>1500000</v>
      </c>
      <c r="BY6" s="110">
        <f>SUMIFS(wallet_records!$D:$D,wallet_records!$B:$B,'EEFF 2023'!$C6,wallet_records!$L:$L,'EEFF 2023'!BY$3,wallet_records!$O:$O,'EEFF 2023'!$B$1,wallet_records!$N:$N,'EEFF 2023'!BY$2)</f>
        <v>0</v>
      </c>
      <c r="BZ6" s="110">
        <f>SUMIFS(wallet_records!$D:$D,wallet_records!$B:$B,'EEFF 2023'!$C6,wallet_records!$L:$L,'EEFF 2023'!BZ$3,wallet_records!$O:$O,'EEFF 2023'!$B$1,wallet_records!$N:$N,'EEFF 2023'!BZ$2)</f>
        <v>0</v>
      </c>
      <c r="CA6" s="110">
        <f>SUMIFS(wallet_records!$D:$D,wallet_records!$B:$B,'EEFF 2023'!$C6,wallet_records!$L:$L,'EEFF 2023'!CA$3,wallet_records!$O:$O,'EEFF 2023'!$B$1,wallet_records!$N:$N,'EEFF 2023'!CA$2)</f>
        <v>881000</v>
      </c>
      <c r="CB6" s="110">
        <f>SUM(BV6:CA6)</f>
        <v>3581000</v>
      </c>
      <c r="CC6" s="110">
        <f>SUMIFS(wallet_records!$D:$D,wallet_records!$B:$B,'EEFF 2023'!$C6,wallet_records!$L:$L,'EEFF 2023'!CC$3,wallet_records!$O:$O,'EEFF 2023'!$B$1,wallet_records!$N:$N,'EEFF 2023'!CC$2)</f>
        <v>1350000</v>
      </c>
      <c r="CD6" s="110">
        <f>SUMIFS(wallet_records!$D:$D,wallet_records!$B:$B,'EEFF 2023'!$C6,wallet_records!$L:$L,'EEFF 2023'!CD$3,wallet_records!$O:$O,'EEFF 2023'!$B$1,wallet_records!$N:$N,'EEFF 2023'!CD$2)</f>
        <v>0</v>
      </c>
      <c r="CE6" s="110">
        <f>SUMIFS(wallet_records!$D:$D,wallet_records!$B:$B,'EEFF 2023'!$C6,wallet_records!$L:$L,'EEFF 2023'!CE$3,wallet_records!$O:$O,'EEFF 2023'!$B$1,wallet_records!$N:$N,'EEFF 2023'!CE$2)</f>
        <v>1500000</v>
      </c>
      <c r="CF6" s="110">
        <f>SUMIFS(wallet_records!$D:$D,wallet_records!$B:$B,'EEFF 2023'!$C6,wallet_records!$L:$L,'EEFF 2023'!CF$3,wallet_records!$O:$O,'EEFF 2023'!$B$1,wallet_records!$N:$N,'EEFF 2023'!CF$2)</f>
        <v>0</v>
      </c>
      <c r="CG6" s="110">
        <f>SUMIFS(wallet_records!$D:$D,wallet_records!$B:$B,'EEFF 2023'!$C6,wallet_records!$L:$L,'EEFF 2023'!CG$3,wallet_records!$O:$O,'EEFF 2023'!$B$1,wallet_records!$N:$N,'EEFF 2023'!CG$2)</f>
        <v>1500000</v>
      </c>
      <c r="CH6" s="110">
        <f>SUMIFS(wallet_records!$D:$D,wallet_records!$B:$B,'EEFF 2023'!$C6,wallet_records!$L:$L,'EEFF 2023'!CH$3,wallet_records!$O:$O,'EEFF 2023'!$B$1,wallet_records!$N:$N,'EEFF 2023'!CH$2)</f>
        <v>0</v>
      </c>
      <c r="CI6" s="110">
        <f>SUM(CC6:CH6)</f>
        <v>4350000</v>
      </c>
      <c r="CJ6" s="110">
        <f>SUMIFS(wallet_records!$D:$D,wallet_records!$B:$B,'EEFF 2023'!$C$6,wallet_records!$L:$L,'EEFF 2023'!CJ3,wallet_records!$O:$O,'EEFF 2023'!$B$1)</f>
        <v>14550000</v>
      </c>
      <c r="CK6" s="110">
        <f>SUMIFS(wallet_records!$D:$D,wallet_records!$B:$B,'EEFF 2023'!$C$6,wallet_records!$L:$L,'EEFF 2023'!CK3,wallet_records!$O:$O,'EEFF 2023'!$B$1)</f>
        <v>0</v>
      </c>
      <c r="CL6" s="110">
        <f>SUMIFS(wallet_records!$D:$D,wallet_records!$B:$B,'EEFF 2023'!$C$6,wallet_records!$L:$L,'EEFF 2023'!CL3,wallet_records!$O:$O,'EEFF 2023'!$B$1)</f>
        <v>14900000</v>
      </c>
      <c r="CM6" s="110">
        <f>SUMIFS(wallet_records!$D:$D,wallet_records!$B:$B,'EEFF 2023'!$C$6,wallet_records!$L:$L,'EEFF 2023'!CM3,wallet_records!$O:$O,'EEFF 2023'!$B$1)</f>
        <v>3820000</v>
      </c>
      <c r="CN6" s="110">
        <f>SUMIFS(wallet_records!$D:$D,wallet_records!$B:$B,'EEFF 2023'!$C$6,wallet_records!$L:$L,'EEFF 2023'!CN3,wallet_records!$O:$O,'EEFF 2023'!$B$1)</f>
        <v>16200000</v>
      </c>
      <c r="CO6" s="110">
        <f>SUMIFS(wallet_records!$D:$D,wallet_records!$B:$B,'EEFF 2023'!$C$6,wallet_records!$L:$L,'EEFF 2023'!CO3,wallet_records!$O:$O,'EEFF 2023'!$B$1)</f>
        <v>6127000</v>
      </c>
      <c r="CP6" s="110">
        <f>SUM(CJ6:CO6)</f>
        <v>55597000</v>
      </c>
      <c r="CQ6" s="107"/>
      <c r="CR6" s="111">
        <f t="shared" ref="CR6:CR16" si="0">J6/J$6</f>
        <v>1</v>
      </c>
      <c r="CS6" s="111">
        <f t="shared" ref="CS6:CS47" si="1">Q6/Q$6</f>
        <v>1</v>
      </c>
      <c r="CT6" s="111">
        <f t="shared" ref="CT6:CT46" si="2">X6/X$6</f>
        <v>1</v>
      </c>
      <c r="CU6" s="111">
        <f t="shared" ref="CU6:CU46" si="3">AE6/AE$6</f>
        <v>1</v>
      </c>
      <c r="CV6" s="111">
        <f t="shared" ref="CV6:CV46" si="4">AL6/AL$6</f>
        <v>1</v>
      </c>
      <c r="CW6" s="111">
        <f t="shared" ref="CW6:CW46" si="5">AS6/AS$6</f>
        <v>1</v>
      </c>
      <c r="CX6" s="111">
        <f t="shared" ref="CX6:CX46" si="6">AZ6/AZ$6</f>
        <v>1</v>
      </c>
      <c r="CY6" s="111">
        <f t="shared" ref="CY6:CY46" si="7">BG6/BG$6</f>
        <v>1</v>
      </c>
      <c r="CZ6" s="111">
        <f t="shared" ref="CZ6:CZ46" si="8">BN6/BN$6</f>
        <v>1</v>
      </c>
      <c r="DA6" s="111">
        <f t="shared" ref="DA6:DA46" si="9">BU6/BU$6</f>
        <v>1</v>
      </c>
      <c r="DB6" s="111">
        <f t="shared" ref="DB6:DB46" si="10">CB6/CB$6</f>
        <v>1</v>
      </c>
      <c r="DC6" s="111">
        <f t="shared" ref="DC6:DC46" si="11">CI6/CI$6</f>
        <v>1</v>
      </c>
    </row>
    <row r="7" spans="2:120" x14ac:dyDescent="0.2">
      <c r="B7" s="112" t="s">
        <v>399</v>
      </c>
      <c r="C7" s="192"/>
      <c r="D7" s="113">
        <v>0</v>
      </c>
      <c r="E7" s="113">
        <v>0</v>
      </c>
      <c r="F7" s="113">
        <v>0</v>
      </c>
      <c r="G7" s="114">
        <v>0</v>
      </c>
      <c r="H7" s="114">
        <v>0</v>
      </c>
      <c r="I7" s="114">
        <v>0</v>
      </c>
      <c r="J7" s="114">
        <f>SUM(D7:I7)</f>
        <v>0</v>
      </c>
      <c r="K7" s="113">
        <v>0</v>
      </c>
      <c r="L7" s="113">
        <v>0</v>
      </c>
      <c r="M7" s="113">
        <v>0</v>
      </c>
      <c r="N7" s="114">
        <v>0</v>
      </c>
      <c r="O7" s="114">
        <v>0</v>
      </c>
      <c r="P7" s="114">
        <v>0</v>
      </c>
      <c r="Q7" s="114">
        <f>SUM(K7:P7)</f>
        <v>0</v>
      </c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T7" s="113">
        <v>0</v>
      </c>
      <c r="AU7" s="113">
        <v>0</v>
      </c>
      <c r="AV7" s="113">
        <v>0</v>
      </c>
      <c r="AW7" s="114">
        <v>0</v>
      </c>
      <c r="AX7" s="114">
        <v>0</v>
      </c>
      <c r="AY7" s="114">
        <v>0</v>
      </c>
      <c r="AZ7" s="114">
        <f>SUM(AT7:AY7)</f>
        <v>0</v>
      </c>
      <c r="BA7" s="113">
        <v>0</v>
      </c>
      <c r="BB7" s="113">
        <v>0</v>
      </c>
      <c r="BC7" s="113">
        <v>0</v>
      </c>
      <c r="BD7" s="114">
        <v>0</v>
      </c>
      <c r="BE7" s="114">
        <v>0</v>
      </c>
      <c r="BF7" s="114">
        <v>0</v>
      </c>
      <c r="BG7" s="114">
        <f>SUM(BA7:BF7)</f>
        <v>0</v>
      </c>
      <c r="BH7" s="113">
        <v>0</v>
      </c>
      <c r="BI7" s="113">
        <v>0</v>
      </c>
      <c r="BJ7" s="113">
        <v>0</v>
      </c>
      <c r="BK7" s="114">
        <v>0</v>
      </c>
      <c r="BL7" s="114">
        <v>0</v>
      </c>
      <c r="BM7" s="114">
        <v>0</v>
      </c>
      <c r="BN7" s="114">
        <f>SUM(BH7:BM7)</f>
        <v>0</v>
      </c>
      <c r="BO7" s="113">
        <v>0</v>
      </c>
      <c r="BP7" s="113">
        <v>0</v>
      </c>
      <c r="BQ7" s="113">
        <v>0</v>
      </c>
      <c r="BR7" s="114">
        <v>0</v>
      </c>
      <c r="BS7" s="114">
        <v>0</v>
      </c>
      <c r="BT7" s="114">
        <v>0</v>
      </c>
      <c r="BU7" s="114">
        <f>SUM(BO7:BT7)</f>
        <v>0</v>
      </c>
      <c r="BV7" s="113">
        <v>0</v>
      </c>
      <c r="BW7" s="113">
        <v>0</v>
      </c>
      <c r="BX7" s="113">
        <v>0</v>
      </c>
      <c r="BY7" s="114">
        <v>0</v>
      </c>
      <c r="BZ7" s="114">
        <v>0</v>
      </c>
      <c r="CA7" s="114">
        <v>0</v>
      </c>
      <c r="CB7" s="114">
        <f>SUM(BV7:CA7)</f>
        <v>0</v>
      </c>
      <c r="CC7" s="113">
        <v>0</v>
      </c>
      <c r="CD7" s="113">
        <v>0</v>
      </c>
      <c r="CE7" s="113">
        <v>0</v>
      </c>
      <c r="CF7" s="114">
        <v>0</v>
      </c>
      <c r="CG7" s="114">
        <v>0</v>
      </c>
      <c r="CH7" s="114">
        <v>0</v>
      </c>
      <c r="CI7" s="114">
        <f>SUM(CC7:CH7)</f>
        <v>0</v>
      </c>
      <c r="CJ7" s="113">
        <v>0</v>
      </c>
      <c r="CK7" s="113">
        <v>0</v>
      </c>
      <c r="CL7" s="113">
        <v>0</v>
      </c>
      <c r="CM7" s="114">
        <v>0</v>
      </c>
      <c r="CN7" s="114">
        <v>0</v>
      </c>
      <c r="CO7" s="114">
        <v>0</v>
      </c>
      <c r="CP7" s="114">
        <f>SUM(CJ7:CO7)</f>
        <v>0</v>
      </c>
      <c r="CQ7" s="107"/>
      <c r="CR7" s="111">
        <f t="shared" si="0"/>
        <v>0</v>
      </c>
      <c r="CS7" s="111">
        <f t="shared" si="1"/>
        <v>0</v>
      </c>
      <c r="CT7" s="111">
        <f t="shared" si="2"/>
        <v>0</v>
      </c>
      <c r="CU7" s="111">
        <f t="shared" si="3"/>
        <v>0</v>
      </c>
      <c r="CV7" s="111">
        <f t="shared" si="4"/>
        <v>0</v>
      </c>
      <c r="CW7" s="111">
        <f t="shared" si="5"/>
        <v>0</v>
      </c>
      <c r="CX7" s="111">
        <f t="shared" si="6"/>
        <v>0</v>
      </c>
      <c r="CY7" s="111">
        <f t="shared" si="7"/>
        <v>0</v>
      </c>
      <c r="CZ7" s="111">
        <f t="shared" si="8"/>
        <v>0</v>
      </c>
      <c r="DA7" s="111">
        <f t="shared" si="9"/>
        <v>0</v>
      </c>
      <c r="DB7" s="111">
        <f t="shared" si="10"/>
        <v>0</v>
      </c>
      <c r="DC7" s="111">
        <f t="shared" si="11"/>
        <v>0</v>
      </c>
    </row>
    <row r="8" spans="2:120" ht="16" x14ac:dyDescent="0.2">
      <c r="B8" s="109" t="s">
        <v>351</v>
      </c>
      <c r="C8" s="193"/>
      <c r="D8" s="117">
        <f>D6-D7</f>
        <v>1200000</v>
      </c>
      <c r="E8" s="117">
        <f t="shared" ref="E8:BP8" si="12">E6-E7</f>
        <v>0</v>
      </c>
      <c r="F8" s="117">
        <f t="shared" si="12"/>
        <v>1100000</v>
      </c>
      <c r="G8" s="117">
        <f t="shared" si="12"/>
        <v>0</v>
      </c>
      <c r="H8" s="117">
        <f t="shared" si="12"/>
        <v>1200000</v>
      </c>
      <c r="I8" s="117">
        <f t="shared" si="12"/>
        <v>0</v>
      </c>
      <c r="J8" s="117">
        <f t="shared" si="12"/>
        <v>3500000</v>
      </c>
      <c r="K8" s="117">
        <f t="shared" si="12"/>
        <v>1200000</v>
      </c>
      <c r="L8" s="117">
        <f t="shared" si="12"/>
        <v>0</v>
      </c>
      <c r="M8" s="117">
        <f t="shared" si="12"/>
        <v>1100000</v>
      </c>
      <c r="N8" s="117">
        <f t="shared" si="12"/>
        <v>380000</v>
      </c>
      <c r="O8" s="117">
        <f t="shared" si="12"/>
        <v>2500000</v>
      </c>
      <c r="P8" s="117">
        <f t="shared" si="12"/>
        <v>0</v>
      </c>
      <c r="Q8" s="117">
        <f t="shared" si="12"/>
        <v>5180000</v>
      </c>
      <c r="R8" s="117">
        <f t="shared" si="12"/>
        <v>1200000</v>
      </c>
      <c r="S8" s="117">
        <f t="shared" si="12"/>
        <v>0</v>
      </c>
      <c r="T8" s="117">
        <f t="shared" si="12"/>
        <v>1100000</v>
      </c>
      <c r="U8" s="117">
        <f t="shared" si="12"/>
        <v>760000</v>
      </c>
      <c r="V8" s="117">
        <f t="shared" si="12"/>
        <v>1300000</v>
      </c>
      <c r="W8" s="117">
        <f t="shared" si="12"/>
        <v>0</v>
      </c>
      <c r="X8" s="117">
        <f t="shared" si="12"/>
        <v>4360000</v>
      </c>
      <c r="Y8" s="117">
        <f t="shared" si="12"/>
        <v>1200000</v>
      </c>
      <c r="Z8" s="117">
        <f t="shared" si="12"/>
        <v>0</v>
      </c>
      <c r="AA8" s="117">
        <f t="shared" si="12"/>
        <v>1100000</v>
      </c>
      <c r="AB8" s="117">
        <f t="shared" si="12"/>
        <v>380000</v>
      </c>
      <c r="AC8" s="117">
        <f t="shared" si="12"/>
        <v>1300000</v>
      </c>
      <c r="AD8" s="117">
        <f t="shared" si="12"/>
        <v>0</v>
      </c>
      <c r="AE8" s="117">
        <f t="shared" si="12"/>
        <v>3980000</v>
      </c>
      <c r="AF8" s="117">
        <f t="shared" si="12"/>
        <v>1200000</v>
      </c>
      <c r="AG8" s="117">
        <f t="shared" si="12"/>
        <v>0</v>
      </c>
      <c r="AH8" s="117">
        <f t="shared" si="12"/>
        <v>1200000</v>
      </c>
      <c r="AI8" s="117">
        <f t="shared" si="12"/>
        <v>0</v>
      </c>
      <c r="AJ8" s="117">
        <f t="shared" si="12"/>
        <v>1400000</v>
      </c>
      <c r="AK8" s="117">
        <f t="shared" si="12"/>
        <v>841000</v>
      </c>
      <c r="AL8" s="117">
        <f t="shared" si="12"/>
        <v>4641000</v>
      </c>
      <c r="AM8" s="117">
        <f t="shared" si="12"/>
        <v>1200000</v>
      </c>
      <c r="AN8" s="117">
        <f t="shared" si="12"/>
        <v>0</v>
      </c>
      <c r="AO8" s="117">
        <f t="shared" si="12"/>
        <v>1200000</v>
      </c>
      <c r="AP8" s="117">
        <f t="shared" si="12"/>
        <v>760000</v>
      </c>
      <c r="AQ8" s="117">
        <f t="shared" si="12"/>
        <v>1400000</v>
      </c>
      <c r="AR8" s="117">
        <f t="shared" si="12"/>
        <v>881000</v>
      </c>
      <c r="AS8" s="117">
        <f t="shared" si="12"/>
        <v>5441000</v>
      </c>
      <c r="AT8" s="117">
        <f t="shared" si="12"/>
        <v>1200000</v>
      </c>
      <c r="AU8" s="117">
        <f t="shared" si="12"/>
        <v>0</v>
      </c>
      <c r="AV8" s="117">
        <f t="shared" si="12"/>
        <v>0</v>
      </c>
      <c r="AW8" s="117">
        <f t="shared" si="12"/>
        <v>0</v>
      </c>
      <c r="AX8" s="117">
        <f t="shared" si="12"/>
        <v>0</v>
      </c>
      <c r="AY8" s="117">
        <f t="shared" si="12"/>
        <v>881000</v>
      </c>
      <c r="AZ8" s="117">
        <f t="shared" si="12"/>
        <v>2081000</v>
      </c>
      <c r="BA8" s="117">
        <f t="shared" si="12"/>
        <v>2400000</v>
      </c>
      <c r="BB8" s="117">
        <f t="shared" si="12"/>
        <v>0</v>
      </c>
      <c r="BC8" s="117">
        <f t="shared" si="12"/>
        <v>0</v>
      </c>
      <c r="BD8" s="117">
        <f t="shared" si="12"/>
        <v>760000</v>
      </c>
      <c r="BE8" s="117">
        <f t="shared" si="12"/>
        <v>2800000</v>
      </c>
      <c r="BF8" s="117">
        <f t="shared" si="12"/>
        <v>1762000</v>
      </c>
      <c r="BG8" s="117">
        <f t="shared" si="12"/>
        <v>7722000</v>
      </c>
      <c r="BH8" s="117">
        <f t="shared" si="12"/>
        <v>1200000</v>
      </c>
      <c r="BI8" s="117">
        <f t="shared" si="12"/>
        <v>0</v>
      </c>
      <c r="BJ8" s="117">
        <f t="shared" si="12"/>
        <v>5100000</v>
      </c>
      <c r="BK8" s="117">
        <f t="shared" si="12"/>
        <v>380000</v>
      </c>
      <c r="BL8" s="117">
        <f t="shared" si="12"/>
        <v>1400000</v>
      </c>
      <c r="BM8" s="117">
        <f t="shared" si="12"/>
        <v>881000</v>
      </c>
      <c r="BN8" s="117">
        <f t="shared" si="12"/>
        <v>8961000</v>
      </c>
      <c r="BO8" s="117">
        <f t="shared" si="12"/>
        <v>0</v>
      </c>
      <c r="BP8" s="117">
        <f t="shared" si="12"/>
        <v>0</v>
      </c>
      <c r="BQ8" s="117">
        <f t="shared" ref="BQ8:CP8" si="13">BQ6-BQ7</f>
        <v>0</v>
      </c>
      <c r="BR8" s="117">
        <f t="shared" si="13"/>
        <v>400000</v>
      </c>
      <c r="BS8" s="117">
        <f t="shared" si="13"/>
        <v>1400000</v>
      </c>
      <c r="BT8" s="117">
        <f t="shared" si="13"/>
        <v>0</v>
      </c>
      <c r="BU8" s="117">
        <f t="shared" si="13"/>
        <v>1800000</v>
      </c>
      <c r="BV8" s="117">
        <f t="shared" si="13"/>
        <v>1200000</v>
      </c>
      <c r="BW8" s="117">
        <f t="shared" si="13"/>
        <v>0</v>
      </c>
      <c r="BX8" s="117">
        <f t="shared" si="13"/>
        <v>1500000</v>
      </c>
      <c r="BY8" s="117">
        <f t="shared" si="13"/>
        <v>0</v>
      </c>
      <c r="BZ8" s="117">
        <f t="shared" si="13"/>
        <v>0</v>
      </c>
      <c r="CA8" s="117">
        <f t="shared" si="13"/>
        <v>881000</v>
      </c>
      <c r="CB8" s="117">
        <f t="shared" si="13"/>
        <v>3581000</v>
      </c>
      <c r="CC8" s="117">
        <f t="shared" si="13"/>
        <v>1350000</v>
      </c>
      <c r="CD8" s="117">
        <f t="shared" si="13"/>
        <v>0</v>
      </c>
      <c r="CE8" s="117">
        <f t="shared" si="13"/>
        <v>1500000</v>
      </c>
      <c r="CF8" s="117">
        <f t="shared" si="13"/>
        <v>0</v>
      </c>
      <c r="CG8" s="117">
        <f t="shared" si="13"/>
        <v>1500000</v>
      </c>
      <c r="CH8" s="117">
        <f t="shared" si="13"/>
        <v>0</v>
      </c>
      <c r="CI8" s="117">
        <f t="shared" si="13"/>
        <v>4350000</v>
      </c>
      <c r="CJ8" s="117">
        <f t="shared" si="13"/>
        <v>14550000</v>
      </c>
      <c r="CK8" s="117">
        <f t="shared" si="13"/>
        <v>0</v>
      </c>
      <c r="CL8" s="117">
        <f t="shared" si="13"/>
        <v>14900000</v>
      </c>
      <c r="CM8" s="117">
        <f t="shared" si="13"/>
        <v>3820000</v>
      </c>
      <c r="CN8" s="117">
        <f t="shared" si="13"/>
        <v>16200000</v>
      </c>
      <c r="CO8" s="117">
        <f t="shared" si="13"/>
        <v>6127000</v>
      </c>
      <c r="CP8" s="117">
        <f t="shared" si="13"/>
        <v>55597000</v>
      </c>
      <c r="CQ8" s="107"/>
      <c r="CR8" s="111">
        <f t="shared" si="0"/>
        <v>1</v>
      </c>
      <c r="CS8" s="111">
        <f t="shared" si="1"/>
        <v>1</v>
      </c>
      <c r="CT8" s="111">
        <f t="shared" si="2"/>
        <v>1</v>
      </c>
      <c r="CU8" s="111">
        <f t="shared" si="3"/>
        <v>1</v>
      </c>
      <c r="CV8" s="111">
        <f t="shared" si="4"/>
        <v>1</v>
      </c>
      <c r="CW8" s="111">
        <f t="shared" si="5"/>
        <v>1</v>
      </c>
      <c r="CX8" s="111">
        <f t="shared" si="6"/>
        <v>1</v>
      </c>
      <c r="CY8" s="111">
        <f t="shared" si="7"/>
        <v>1</v>
      </c>
      <c r="CZ8" s="111">
        <f t="shared" si="8"/>
        <v>1</v>
      </c>
      <c r="DA8" s="111">
        <f t="shared" si="9"/>
        <v>1</v>
      </c>
      <c r="DB8" s="111">
        <f t="shared" si="10"/>
        <v>1</v>
      </c>
      <c r="DC8" s="111">
        <f t="shared" si="11"/>
        <v>1</v>
      </c>
    </row>
    <row r="9" spans="2:120" x14ac:dyDescent="0.2">
      <c r="B9" s="107" t="s">
        <v>478</v>
      </c>
      <c r="C9" s="191" t="s">
        <v>306</v>
      </c>
      <c r="D9" s="115">
        <f>SUMIFS(wallet_records!$D:$D,wallet_records!$B:$B,'EEFF 2023'!$C9,wallet_records!$L:$L,'EEFF 2023'!D$3,wallet_records!$O:$O,'EEFF 2023'!$B$1,wallet_records!$N:$N,'EEFF 2023'!D$2,wallet_records!$H:$H,'EEFF 2023'!$B9)</f>
        <v>0</v>
      </c>
      <c r="E9" s="115">
        <f>SUMIFS(wallet_records!$D:$D,wallet_records!$B:$B,'EEFF 2023'!$C9,wallet_records!$L:$L,'EEFF 2023'!E$3,wallet_records!$O:$O,'EEFF 2023'!$B$1,wallet_records!$N:$N,'EEFF 2023'!E$2,wallet_records!$H:$H,'EEFF 2023'!$B9)</f>
        <v>0</v>
      </c>
      <c r="F9" s="115">
        <f>SUMIFS(wallet_records!$D:$D,wallet_records!$B:$B,'EEFF 2023'!$C9,wallet_records!$L:$L,'EEFF 2023'!F$3,wallet_records!$O:$O,'EEFF 2023'!$B$1,wallet_records!$N:$N,'EEFF 2023'!F$2,wallet_records!$H:$H,'EEFF 2023'!$B9)</f>
        <v>0</v>
      </c>
      <c r="G9" s="115">
        <f>SUMIFS(wallet_records!$D:$D,wallet_records!$B:$B,'EEFF 2023'!$C9,wallet_records!$L:$L,'EEFF 2023'!G$3,wallet_records!$O:$O,'EEFF 2023'!$B$1,wallet_records!$N:$N,'EEFF 2023'!G$2,wallet_records!$H:$H,'EEFF 2023'!$B9)</f>
        <v>0</v>
      </c>
      <c r="H9" s="115">
        <f>SUMIFS(wallet_records!$D:$D,wallet_records!$B:$B,'EEFF 2023'!$C9,wallet_records!$L:$L,'EEFF 2023'!H$3,wallet_records!$O:$O,'EEFF 2023'!$B$1,wallet_records!$N:$N,'EEFF 2023'!H$2,wallet_records!$H:$H,'EEFF 2023'!$B9)</f>
        <v>0</v>
      </c>
      <c r="I9" s="115">
        <f>SUMIFS(wallet_records!$D:$D,wallet_records!$B:$B,'EEFF 2023'!$C9,wallet_records!$L:$L,'EEFF 2023'!I$3,wallet_records!$O:$O,'EEFF 2023'!$B$1,wallet_records!$N:$N,'EEFF 2023'!I$2,wallet_records!$H:$H,'EEFF 2023'!$B9)</f>
        <v>57112</v>
      </c>
      <c r="J9" s="116">
        <f t="shared" ref="J9:J14" si="14">SUM(D9:I9)</f>
        <v>57112</v>
      </c>
      <c r="K9" s="115">
        <f>SUMIFS(wallet_records!$D:$D,wallet_records!$B:$B,'EEFF 2023'!$C9,wallet_records!$L:$L,'EEFF 2023'!K$3,wallet_records!$O:$O,'EEFF 2023'!$B$1,wallet_records!$N:$N,'EEFF 2023'!K$2,wallet_records!$H:$H,'EEFF 2023'!$B9)</f>
        <v>0</v>
      </c>
      <c r="L9" s="115">
        <f>SUMIFS(wallet_records!$D:$D,wallet_records!$B:$B,'EEFF 2023'!$C9,wallet_records!$L:$L,'EEFF 2023'!L$3,wallet_records!$O:$O,'EEFF 2023'!$B$1,wallet_records!$N:$N,'EEFF 2023'!L$2,wallet_records!$H:$H,'EEFF 2023'!$B9)</f>
        <v>0</v>
      </c>
      <c r="M9" s="115">
        <f>SUMIFS(wallet_records!$D:$D,wallet_records!$B:$B,'EEFF 2023'!$C9,wallet_records!$L:$L,'EEFF 2023'!M$3,wallet_records!$O:$O,'EEFF 2023'!$B$1,wallet_records!$N:$N,'EEFF 2023'!M$2,wallet_records!$H:$H,'EEFF 2023'!$B9)</f>
        <v>0</v>
      </c>
      <c r="N9" s="115">
        <f>SUMIFS(wallet_records!$D:$D,wallet_records!$B:$B,'EEFF 2023'!$C9,wallet_records!$L:$L,'EEFF 2023'!N$3,wallet_records!$O:$O,'EEFF 2023'!$B$1,wallet_records!$N:$N,'EEFF 2023'!N$2,wallet_records!$H:$H,'EEFF 2023'!$B9)</f>
        <v>0</v>
      </c>
      <c r="O9" s="115">
        <f>SUMIFS(wallet_records!$D:$D,wallet_records!$B:$B,'EEFF 2023'!$C9,wallet_records!$L:$L,'EEFF 2023'!O$3,wallet_records!$O:$O,'EEFF 2023'!$B$1,wallet_records!$N:$N,'EEFF 2023'!O$2,wallet_records!$H:$H,'EEFF 2023'!$B9)</f>
        <v>0</v>
      </c>
      <c r="P9" s="115">
        <f>SUMIFS(wallet_records!$D:$D,wallet_records!$B:$B,'EEFF 2023'!$C9,wallet_records!$L:$L,'EEFF 2023'!P$3,wallet_records!$O:$O,'EEFF 2023'!$B$1,wallet_records!$N:$N,'EEFF 2023'!P$2,wallet_records!$H:$H,'EEFF 2023'!$B9)</f>
        <v>35973</v>
      </c>
      <c r="Q9" s="116">
        <f t="shared" ref="Q9:Q14" si="15">SUM(K9:P9)</f>
        <v>35973</v>
      </c>
      <c r="R9" s="115">
        <f>SUMIFS(wallet_records!$D:$D,wallet_records!$B:$B,'EEFF 2023'!$C9,wallet_records!$L:$L,'EEFF 2023'!R$3,wallet_records!$O:$O,'EEFF 2023'!$B$1,wallet_records!$N:$N,'EEFF 2023'!R$2,wallet_records!$H:$H,'EEFF 2023'!$B9)</f>
        <v>0</v>
      </c>
      <c r="S9" s="115">
        <f>SUMIFS(wallet_records!$D:$D,wallet_records!$B:$B,'EEFF 2023'!$C9,wallet_records!$L:$L,'EEFF 2023'!S$3,wallet_records!$O:$O,'EEFF 2023'!$B$1,wallet_records!$N:$N,'EEFF 2023'!S$2,wallet_records!$H:$H,'EEFF 2023'!$B9)</f>
        <v>0</v>
      </c>
      <c r="T9" s="115">
        <f>SUMIFS(wallet_records!$D:$D,wallet_records!$B:$B,'EEFF 2023'!$C9,wallet_records!$L:$L,'EEFF 2023'!T$3,wallet_records!$O:$O,'EEFF 2023'!$B$1,wallet_records!$N:$N,'EEFF 2023'!T$2,wallet_records!$H:$H,'EEFF 2023'!$B9)</f>
        <v>0</v>
      </c>
      <c r="U9" s="115">
        <f>SUMIFS(wallet_records!$D:$D,wallet_records!$B:$B,'EEFF 2023'!$C9,wallet_records!$L:$L,'EEFF 2023'!U$3,wallet_records!$O:$O,'EEFF 2023'!$B$1,wallet_records!$N:$N,'EEFF 2023'!U$2,wallet_records!$H:$H,'EEFF 2023'!$B9)</f>
        <v>0</v>
      </c>
      <c r="V9" s="115">
        <f>SUMIFS(wallet_records!$D:$D,wallet_records!$B:$B,'EEFF 2023'!$C9,wallet_records!$L:$L,'EEFF 2023'!V$3,wallet_records!$O:$O,'EEFF 2023'!$B$1,wallet_records!$N:$N,'EEFF 2023'!V$2,wallet_records!$H:$H,'EEFF 2023'!$B9)</f>
        <v>0</v>
      </c>
      <c r="W9" s="115">
        <f>SUMIFS(wallet_records!$D:$D,wallet_records!$B:$B,'EEFF 2023'!$C9,wallet_records!$L:$L,'EEFF 2023'!W$3,wallet_records!$O:$O,'EEFF 2023'!$B$1,wallet_records!$N:$N,'EEFF 2023'!W$2,wallet_records!$H:$H,'EEFF 2023'!$B9)</f>
        <v>15692</v>
      </c>
      <c r="X9" s="116">
        <f t="shared" ref="X9:X14" si="16">SUM(R9:W9)</f>
        <v>15692</v>
      </c>
      <c r="Y9" s="115">
        <f>SUMIFS(wallet_records!$D:$D,wallet_records!$B:$B,'EEFF 2023'!$C9,wallet_records!$L:$L,'EEFF 2023'!Y$3,wallet_records!$O:$O,'EEFF 2023'!$B$1,wallet_records!$N:$N,'EEFF 2023'!Y$2,wallet_records!$H:$H,'EEFF 2023'!$B9)</f>
        <v>0</v>
      </c>
      <c r="Z9" s="115">
        <f>SUMIFS(wallet_records!$D:$D,wallet_records!$B:$B,'EEFF 2023'!$C9,wallet_records!$L:$L,'EEFF 2023'!Z$3,wallet_records!$O:$O,'EEFF 2023'!$B$1,wallet_records!$N:$N,'EEFF 2023'!Z$2,wallet_records!$H:$H,'EEFF 2023'!$B9)</f>
        <v>0</v>
      </c>
      <c r="AA9" s="115">
        <f>SUMIFS(wallet_records!$D:$D,wallet_records!$B:$B,'EEFF 2023'!$C9,wallet_records!$L:$L,'EEFF 2023'!AA$3,wallet_records!$O:$O,'EEFF 2023'!$B$1,wallet_records!$N:$N,'EEFF 2023'!AA$2,wallet_records!$H:$H,'EEFF 2023'!$B9)</f>
        <v>0</v>
      </c>
      <c r="AB9" s="115">
        <f>SUMIFS(wallet_records!$D:$D,wallet_records!$B:$B,'EEFF 2023'!$C9,wallet_records!$L:$L,'EEFF 2023'!AB$3,wallet_records!$O:$O,'EEFF 2023'!$B$1,wallet_records!$N:$N,'EEFF 2023'!AB$2,wallet_records!$H:$H,'EEFF 2023'!$B9)</f>
        <v>0</v>
      </c>
      <c r="AC9" s="115">
        <f>SUMIFS(wallet_records!$D:$D,wallet_records!$B:$B,'EEFF 2023'!$C9,wallet_records!$L:$L,'EEFF 2023'!AC$3,wallet_records!$O:$O,'EEFF 2023'!$B$1,wallet_records!$N:$N,'EEFF 2023'!AC$2,wallet_records!$H:$H,'EEFF 2023'!$B9)</f>
        <v>0</v>
      </c>
      <c r="AD9" s="115">
        <f>SUMIFS(wallet_records!$D:$D,wallet_records!$B:$B,'EEFF 2023'!$C9,wallet_records!$L:$L,'EEFF 2023'!AD$3,wallet_records!$O:$O,'EEFF 2023'!$B$1,wallet_records!$N:$N,'EEFF 2023'!AD$2,wallet_records!$H:$H,'EEFF 2023'!$B9)</f>
        <v>114931</v>
      </c>
      <c r="AE9" s="116">
        <f t="shared" ref="AE9:AE14" si="17">SUM(Y9:AD9)</f>
        <v>114931</v>
      </c>
      <c r="AF9" s="115">
        <f>SUMIFS(wallet_records!$D:$D,wallet_records!$B:$B,'EEFF 2023'!$C9,wallet_records!$L:$L,'EEFF 2023'!AF$3,wallet_records!$O:$O,'EEFF 2023'!$B$1,wallet_records!$N:$N,'EEFF 2023'!AF$2,wallet_records!$H:$H,'EEFF 2023'!$B9)</f>
        <v>0</v>
      </c>
      <c r="AG9" s="115">
        <f>SUMIFS(wallet_records!$D:$D,wallet_records!$B:$B,'EEFF 2023'!$C9,wallet_records!$L:$L,'EEFF 2023'!AG$3,wallet_records!$O:$O,'EEFF 2023'!$B$1,wallet_records!$N:$N,'EEFF 2023'!AG$2,wallet_records!$H:$H,'EEFF 2023'!$B9)</f>
        <v>0</v>
      </c>
      <c r="AH9" s="115">
        <f>SUMIFS(wallet_records!$D:$D,wallet_records!$B:$B,'EEFF 2023'!$C9,wallet_records!$L:$L,'EEFF 2023'!AH$3,wallet_records!$O:$O,'EEFF 2023'!$B$1,wallet_records!$N:$N,'EEFF 2023'!AH$2,wallet_records!$H:$H,'EEFF 2023'!$B9)</f>
        <v>0</v>
      </c>
      <c r="AI9" s="115">
        <f>SUMIFS(wallet_records!$D:$D,wallet_records!$B:$B,'EEFF 2023'!$C9,wallet_records!$L:$L,'EEFF 2023'!AI$3,wallet_records!$O:$O,'EEFF 2023'!$B$1,wallet_records!$N:$N,'EEFF 2023'!AI$2,wallet_records!$H:$H,'EEFF 2023'!$B9)</f>
        <v>0</v>
      </c>
      <c r="AJ9" s="115">
        <f>SUMIFS(wallet_records!$D:$D,wallet_records!$B:$B,'EEFF 2023'!$C9,wallet_records!$L:$L,'EEFF 2023'!AJ$3,wallet_records!$O:$O,'EEFF 2023'!$B$1,wallet_records!$N:$N,'EEFF 2023'!AJ$2,wallet_records!$H:$H,'EEFF 2023'!$B9)</f>
        <v>0</v>
      </c>
      <c r="AK9" s="115">
        <f>SUMIFS(wallet_records!$D:$D,wallet_records!$B:$B,'EEFF 2023'!$C9,wallet_records!$L:$L,'EEFF 2023'!AK$3,wallet_records!$O:$O,'EEFF 2023'!$B$1,wallet_records!$N:$N,'EEFF 2023'!AK$2,wallet_records!$H:$H,'EEFF 2023'!$B9)</f>
        <v>46133</v>
      </c>
      <c r="AL9" s="116">
        <f t="shared" ref="AL9:AL14" si="18">SUM(AF9:AK9)</f>
        <v>46133</v>
      </c>
      <c r="AM9" s="115">
        <f>SUMIFS(wallet_records!$D:$D,wallet_records!$B:$B,'EEFF 2023'!$C9,wallet_records!$L:$L,'EEFF 2023'!AM$3,wallet_records!$O:$O,'EEFF 2023'!$B$1,wallet_records!$N:$N,'EEFF 2023'!AM$2,wallet_records!$H:$H,'EEFF 2023'!$B9)</f>
        <v>0</v>
      </c>
      <c r="AN9" s="115">
        <f>SUMIFS(wallet_records!$D:$D,wallet_records!$B:$B,'EEFF 2023'!$C9,wallet_records!$L:$L,'EEFF 2023'!AN$3,wallet_records!$O:$O,'EEFF 2023'!$B$1,wallet_records!$N:$N,'EEFF 2023'!AN$2,wallet_records!$H:$H,'EEFF 2023'!$B9)</f>
        <v>0</v>
      </c>
      <c r="AO9" s="115">
        <f>SUMIFS(wallet_records!$D:$D,wallet_records!$B:$B,'EEFF 2023'!$C9,wallet_records!$L:$L,'EEFF 2023'!AO$3,wallet_records!$O:$O,'EEFF 2023'!$B$1,wallet_records!$N:$N,'EEFF 2023'!AO$2,wallet_records!$H:$H,'EEFF 2023'!$B9)</f>
        <v>0</v>
      </c>
      <c r="AP9" s="115">
        <f>SUMIFS(wallet_records!$D:$D,wallet_records!$B:$B,'EEFF 2023'!$C9,wallet_records!$L:$L,'EEFF 2023'!AP$3,wallet_records!$O:$O,'EEFF 2023'!$B$1,wallet_records!$N:$N,'EEFF 2023'!AP$2,wallet_records!$H:$H,'EEFF 2023'!$B9)</f>
        <v>0</v>
      </c>
      <c r="AQ9" s="115">
        <f>SUMIFS(wallet_records!$D:$D,wallet_records!$B:$B,'EEFF 2023'!$C9,wallet_records!$L:$L,'EEFF 2023'!AQ$3,wallet_records!$O:$O,'EEFF 2023'!$B$1,wallet_records!$N:$N,'EEFF 2023'!AQ$2,wallet_records!$H:$H,'EEFF 2023'!$B9)</f>
        <v>0</v>
      </c>
      <c r="AR9" s="115">
        <f>SUMIFS(wallet_records!$D:$D,wallet_records!$B:$B,'EEFF 2023'!$C9,wallet_records!$L:$L,'EEFF 2023'!AR$3,wallet_records!$O:$O,'EEFF 2023'!$B$1,wallet_records!$N:$N,'EEFF 2023'!AR$2,wallet_records!$H:$H,'EEFF 2023'!$B9)</f>
        <v>0</v>
      </c>
      <c r="AS9" s="116">
        <f t="shared" ref="AS9:AS14" si="19">SUM(AM9:AR9)</f>
        <v>0</v>
      </c>
      <c r="AT9" s="115">
        <f>SUMIFS(wallet_records!$D:$D,wallet_records!$B:$B,'EEFF 2023'!$C9,wallet_records!$L:$L,'EEFF 2023'!AT$3,wallet_records!$O:$O,'EEFF 2023'!$B$1,wallet_records!$N:$N,'EEFF 2023'!AT$2,wallet_records!$H:$H,'EEFF 2023'!$B9)</f>
        <v>0</v>
      </c>
      <c r="AU9" s="115">
        <f>SUMIFS(wallet_records!$D:$D,wallet_records!$B:$B,'EEFF 2023'!$C9,wallet_records!$L:$L,'EEFF 2023'!AU$3,wallet_records!$O:$O,'EEFF 2023'!$B$1,wallet_records!$N:$N,'EEFF 2023'!AU$2,wallet_records!$H:$H,'EEFF 2023'!$B9)</f>
        <v>0</v>
      </c>
      <c r="AV9" s="115">
        <f>SUMIFS(wallet_records!$D:$D,wallet_records!$B:$B,'EEFF 2023'!$C9,wallet_records!$L:$L,'EEFF 2023'!AV$3,wallet_records!$O:$O,'EEFF 2023'!$B$1,wallet_records!$N:$N,'EEFF 2023'!AV$2,wallet_records!$H:$H,'EEFF 2023'!$B9)</f>
        <v>0</v>
      </c>
      <c r="AW9" s="115">
        <f>SUMIFS(wallet_records!$D:$D,wallet_records!$B:$B,'EEFF 2023'!$C9,wallet_records!$L:$L,'EEFF 2023'!AW$3,wallet_records!$O:$O,'EEFF 2023'!$B$1,wallet_records!$N:$N,'EEFF 2023'!AW$2,wallet_records!$H:$H,'EEFF 2023'!$B9)</f>
        <v>0</v>
      </c>
      <c r="AX9" s="115">
        <f>SUMIFS(wallet_records!$D:$D,wallet_records!$B:$B,'EEFF 2023'!$C9,wallet_records!$L:$L,'EEFF 2023'!AX$3,wallet_records!$O:$O,'EEFF 2023'!$B$1,wallet_records!$N:$N,'EEFF 2023'!AX$2,wallet_records!$H:$H,'EEFF 2023'!$B9)</f>
        <v>0</v>
      </c>
      <c r="AY9" s="115">
        <f>SUMIFS(wallet_records!$D:$D,wallet_records!$B:$B,'EEFF 2023'!$C9,wallet_records!$L:$L,'EEFF 2023'!AY$3,wallet_records!$O:$O,'EEFF 2023'!$B$1,wallet_records!$N:$N,'EEFF 2023'!AY$2,wallet_records!$H:$H,'EEFF 2023'!$B9)</f>
        <v>0</v>
      </c>
      <c r="AZ9" s="116">
        <f t="shared" ref="AZ9:AZ14" si="20">SUM(AT9:AY9)</f>
        <v>0</v>
      </c>
      <c r="BA9" s="115">
        <f>SUMIFS(wallet_records!$D:$D,wallet_records!$B:$B,'EEFF 2023'!$C9,wallet_records!$L:$L,'EEFF 2023'!BA$3,wallet_records!$O:$O,'EEFF 2023'!$B$1,wallet_records!$N:$N,'EEFF 2023'!BA$2,wallet_records!$H:$H,'EEFF 2023'!$B9)</f>
        <v>0</v>
      </c>
      <c r="BB9" s="115">
        <f>SUMIFS(wallet_records!$D:$D,wallet_records!$B:$B,'EEFF 2023'!$C9,wallet_records!$L:$L,'EEFF 2023'!BB$3,wallet_records!$O:$O,'EEFF 2023'!$B$1,wallet_records!$N:$N,'EEFF 2023'!BB$2,wallet_records!$H:$H,'EEFF 2023'!$B9)</f>
        <v>0</v>
      </c>
      <c r="BC9" s="115">
        <f>SUMIFS(wallet_records!$D:$D,wallet_records!$B:$B,'EEFF 2023'!$C9,wallet_records!$L:$L,'EEFF 2023'!BC$3,wallet_records!$O:$O,'EEFF 2023'!$B$1,wallet_records!$N:$N,'EEFF 2023'!BC$2,wallet_records!$H:$H,'EEFF 2023'!$B9)</f>
        <v>0</v>
      </c>
      <c r="BD9" s="115">
        <f>SUMIFS(wallet_records!$D:$D,wallet_records!$B:$B,'EEFF 2023'!$C9,wallet_records!$L:$L,'EEFF 2023'!BD$3,wallet_records!$O:$O,'EEFF 2023'!$B$1,wallet_records!$N:$N,'EEFF 2023'!BD$2,wallet_records!$H:$H,'EEFF 2023'!$B9)</f>
        <v>0</v>
      </c>
      <c r="BE9" s="115">
        <f>SUMIFS(wallet_records!$D:$D,wallet_records!$B:$B,'EEFF 2023'!$C9,wallet_records!$L:$L,'EEFF 2023'!BE$3,wallet_records!$O:$O,'EEFF 2023'!$B$1,wallet_records!$N:$N,'EEFF 2023'!BE$2,wallet_records!$H:$H,'EEFF 2023'!$B9)</f>
        <v>0</v>
      </c>
      <c r="BF9" s="115">
        <f>SUMIFS(wallet_records!$D:$D,wallet_records!$B:$B,'EEFF 2023'!$C9,wallet_records!$L:$L,'EEFF 2023'!BF$3,wallet_records!$O:$O,'EEFF 2023'!$B$1,wallet_records!$N:$N,'EEFF 2023'!BF$2,wallet_records!$H:$H,'EEFF 2023'!$B9)</f>
        <v>0</v>
      </c>
      <c r="BG9" s="116">
        <f t="shared" ref="BG9:BG14" si="21">SUM(BA9:BF9)</f>
        <v>0</v>
      </c>
      <c r="BH9" s="115">
        <f>SUMIFS(wallet_records!$D:$D,wallet_records!$B:$B,'EEFF 2023'!$C9,wallet_records!$L:$L,'EEFF 2023'!BH$3,wallet_records!$O:$O,'EEFF 2023'!$B$1,wallet_records!$N:$N,'EEFF 2023'!BH$2,wallet_records!$H:$H,'EEFF 2023'!$B9)</f>
        <v>0</v>
      </c>
      <c r="BI9" s="115">
        <f>SUMIFS(wallet_records!$D:$D,wallet_records!$B:$B,'EEFF 2023'!$C9,wallet_records!$L:$L,'EEFF 2023'!BI$3,wallet_records!$O:$O,'EEFF 2023'!$B$1,wallet_records!$N:$N,'EEFF 2023'!BI$2,wallet_records!$H:$H,'EEFF 2023'!$B9)</f>
        <v>0</v>
      </c>
      <c r="BJ9" s="115">
        <f>SUMIFS(wallet_records!$D:$D,wallet_records!$B:$B,'EEFF 2023'!$C9,wallet_records!$L:$L,'EEFF 2023'!BJ$3,wallet_records!$O:$O,'EEFF 2023'!$B$1,wallet_records!$N:$N,'EEFF 2023'!BJ$2,wallet_records!$H:$H,'EEFF 2023'!$B9)</f>
        <v>0</v>
      </c>
      <c r="BK9" s="115">
        <f>SUMIFS(wallet_records!$D:$D,wallet_records!$B:$B,'EEFF 2023'!$C9,wallet_records!$L:$L,'EEFF 2023'!BK$3,wallet_records!$O:$O,'EEFF 2023'!$B$1,wallet_records!$N:$N,'EEFF 2023'!BK$2,wallet_records!$H:$H,'EEFF 2023'!$B9)</f>
        <v>0</v>
      </c>
      <c r="BL9" s="115">
        <f>SUMIFS(wallet_records!$D:$D,wallet_records!$B:$B,'EEFF 2023'!$C9,wallet_records!$L:$L,'EEFF 2023'!BL$3,wallet_records!$O:$O,'EEFF 2023'!$B$1,wallet_records!$N:$N,'EEFF 2023'!BL$2,wallet_records!$H:$H,'EEFF 2023'!$B9)</f>
        <v>0</v>
      </c>
      <c r="BM9" s="115">
        <f>SUMIFS(wallet_records!$D:$D,wallet_records!$B:$B,'EEFF 2023'!$C9,wallet_records!$L:$L,'EEFF 2023'!BM$3,wallet_records!$O:$O,'EEFF 2023'!$B$1,wallet_records!$N:$N,'EEFF 2023'!BM$2,wallet_records!$H:$H,'EEFF 2023'!$B9)</f>
        <v>0</v>
      </c>
      <c r="BN9" s="116">
        <f t="shared" ref="BN9:BN14" si="22">SUM(BH9:BM9)</f>
        <v>0</v>
      </c>
      <c r="BO9" s="115">
        <f>SUMIFS(wallet_records!$D:$D,wallet_records!$B:$B,'EEFF 2023'!$C9,wallet_records!$L:$L,'EEFF 2023'!BO$3,wallet_records!$O:$O,'EEFF 2023'!$B$1,wallet_records!$N:$N,'EEFF 2023'!BO$2,wallet_records!$H:$H,'EEFF 2023'!$B9)</f>
        <v>0</v>
      </c>
      <c r="BP9" s="115">
        <f>SUMIFS(wallet_records!$D:$D,wallet_records!$B:$B,'EEFF 2023'!$C9,wallet_records!$L:$L,'EEFF 2023'!BP$3,wallet_records!$O:$O,'EEFF 2023'!$B$1,wallet_records!$N:$N,'EEFF 2023'!BP$2,wallet_records!$H:$H,'EEFF 2023'!$B9)</f>
        <v>0</v>
      </c>
      <c r="BQ9" s="115">
        <f>SUMIFS(wallet_records!$D:$D,wallet_records!$B:$B,'EEFF 2023'!$C9,wallet_records!$L:$L,'EEFF 2023'!BQ$3,wallet_records!$O:$O,'EEFF 2023'!$B$1,wallet_records!$N:$N,'EEFF 2023'!BQ$2,wallet_records!$H:$H,'EEFF 2023'!$B9)</f>
        <v>0</v>
      </c>
      <c r="BR9" s="115">
        <f>SUMIFS(wallet_records!$D:$D,wallet_records!$B:$B,'EEFF 2023'!$C9,wallet_records!$L:$L,'EEFF 2023'!BR$3,wallet_records!$O:$O,'EEFF 2023'!$B$1,wallet_records!$N:$N,'EEFF 2023'!BR$2,wallet_records!$H:$H,'EEFF 2023'!$B9)</f>
        <v>0</v>
      </c>
      <c r="BS9" s="115">
        <f>SUMIFS(wallet_records!$D:$D,wallet_records!$B:$B,'EEFF 2023'!$C9,wallet_records!$L:$L,'EEFF 2023'!BS$3,wallet_records!$O:$O,'EEFF 2023'!$B$1,wallet_records!$N:$N,'EEFF 2023'!BS$2,wallet_records!$H:$H,'EEFF 2023'!$B9)</f>
        <v>0</v>
      </c>
      <c r="BT9" s="115">
        <f>SUMIFS(wallet_records!$D:$D,wallet_records!$B:$B,'EEFF 2023'!$C9,wallet_records!$L:$L,'EEFF 2023'!BT$3,wallet_records!$O:$O,'EEFF 2023'!$B$1,wallet_records!$N:$N,'EEFF 2023'!BT$2,wallet_records!$H:$H,'EEFF 2023'!$B9)</f>
        <v>0</v>
      </c>
      <c r="BU9" s="116">
        <f t="shared" ref="BU9:BU14" si="23">SUM(BO9:BT9)</f>
        <v>0</v>
      </c>
      <c r="BV9" s="115">
        <f>SUMIFS(wallet_records!$D:$D,wallet_records!$B:$B,'EEFF 2023'!$C9,wallet_records!$L:$L,'EEFF 2023'!BV$3,wallet_records!$O:$O,'EEFF 2023'!$B$1,wallet_records!$N:$N,'EEFF 2023'!BV$2,wallet_records!$H:$H,'EEFF 2023'!$B9)</f>
        <v>0</v>
      </c>
      <c r="BW9" s="115">
        <f>SUMIFS(wallet_records!$D:$D,wallet_records!$B:$B,'EEFF 2023'!$C9,wallet_records!$L:$L,'EEFF 2023'!BW$3,wallet_records!$O:$O,'EEFF 2023'!$B$1,wallet_records!$N:$N,'EEFF 2023'!BW$2,wallet_records!$H:$H,'EEFF 2023'!$B9)</f>
        <v>0</v>
      </c>
      <c r="BX9" s="115">
        <f>SUMIFS(wallet_records!$D:$D,wallet_records!$B:$B,'EEFF 2023'!$C9,wallet_records!$L:$L,'EEFF 2023'!BX$3,wallet_records!$O:$O,'EEFF 2023'!$B$1,wallet_records!$N:$N,'EEFF 2023'!BX$2,wallet_records!$H:$H,'EEFF 2023'!$B9)</f>
        <v>0</v>
      </c>
      <c r="BY9" s="115">
        <f>SUMIFS(wallet_records!$D:$D,wallet_records!$B:$B,'EEFF 2023'!$C9,wallet_records!$L:$L,'EEFF 2023'!BY$3,wallet_records!$O:$O,'EEFF 2023'!$B$1,wallet_records!$N:$N,'EEFF 2023'!BY$2,wallet_records!$H:$H,'EEFF 2023'!$B9)</f>
        <v>0</v>
      </c>
      <c r="BZ9" s="115">
        <f>SUMIFS(wallet_records!$D:$D,wallet_records!$B:$B,'EEFF 2023'!$C9,wallet_records!$L:$L,'EEFF 2023'!BZ$3,wallet_records!$O:$O,'EEFF 2023'!$B$1,wallet_records!$N:$N,'EEFF 2023'!BZ$2,wallet_records!$H:$H,'EEFF 2023'!$B9)</f>
        <v>0</v>
      </c>
      <c r="CA9" s="115">
        <f>SUMIFS(wallet_records!$D:$D,wallet_records!$B:$B,'EEFF 2023'!$C9,wallet_records!$L:$L,'EEFF 2023'!CA$3,wallet_records!$O:$O,'EEFF 2023'!$B$1,wallet_records!$N:$N,'EEFF 2023'!CA$2,wallet_records!$H:$H,'EEFF 2023'!$B9)</f>
        <v>0</v>
      </c>
      <c r="CB9" s="116">
        <f t="shared" ref="CB9:CB14" si="24">SUM(BV9:CA9)</f>
        <v>0</v>
      </c>
      <c r="CC9" s="115">
        <f>SUMIFS(wallet_records!$D:$D,wallet_records!$B:$B,'EEFF 2023'!$C9,wallet_records!$L:$L,'EEFF 2023'!CC$3,wallet_records!$O:$O,'EEFF 2023'!$B$1,wallet_records!$N:$N,'EEFF 2023'!CC$2,wallet_records!$H:$H,'EEFF 2023'!$B9)</f>
        <v>0</v>
      </c>
      <c r="CD9" s="115">
        <f>SUMIFS(wallet_records!$D:$D,wallet_records!$B:$B,'EEFF 2023'!$C9,wallet_records!$L:$L,'EEFF 2023'!CD$3,wallet_records!$O:$O,'EEFF 2023'!$B$1,wallet_records!$N:$N,'EEFF 2023'!CD$2,wallet_records!$H:$H,'EEFF 2023'!$B9)</f>
        <v>0</v>
      </c>
      <c r="CE9" s="115">
        <f>SUMIFS(wallet_records!$D:$D,wallet_records!$B:$B,'EEFF 2023'!$C9,wallet_records!$L:$L,'EEFF 2023'!CE$3,wallet_records!$O:$O,'EEFF 2023'!$B$1,wallet_records!$N:$N,'EEFF 2023'!CE$2,wallet_records!$H:$H,'EEFF 2023'!$B9)</f>
        <v>0</v>
      </c>
      <c r="CF9" s="115">
        <f>SUMIFS(wallet_records!$D:$D,wallet_records!$B:$B,'EEFF 2023'!$C9,wallet_records!$L:$L,'EEFF 2023'!CF$3,wallet_records!$O:$O,'EEFF 2023'!$B$1,wallet_records!$N:$N,'EEFF 2023'!CF$2,wallet_records!$H:$H,'EEFF 2023'!$B9)</f>
        <v>0</v>
      </c>
      <c r="CG9" s="115">
        <f>SUMIFS(wallet_records!$D:$D,wallet_records!$B:$B,'EEFF 2023'!$C9,wallet_records!$L:$L,'EEFF 2023'!CG$3,wallet_records!$O:$O,'EEFF 2023'!$B$1,wallet_records!$N:$N,'EEFF 2023'!CG$2,wallet_records!$H:$H,'EEFF 2023'!$B9)</f>
        <v>0</v>
      </c>
      <c r="CH9" s="115">
        <f>SUMIFS(wallet_records!$D:$D,wallet_records!$B:$B,'EEFF 2023'!$C9,wallet_records!$L:$L,'EEFF 2023'!CH$3,wallet_records!$O:$O,'EEFF 2023'!$B$1,wallet_records!$N:$N,'EEFF 2023'!CH$2,wallet_records!$H:$H,'EEFF 2023'!$B9)</f>
        <v>0</v>
      </c>
      <c r="CI9" s="116">
        <f t="shared" ref="CI9:CI14" si="25">SUM(CC9:CH9)</f>
        <v>0</v>
      </c>
      <c r="CJ9" s="115">
        <f>SUMIFS(wallet_records!$D:$D,wallet_records!$B:$B,'EEFF 2023'!$C9,wallet_records!$L:$L,'EEFF 2023'!CJ$3,wallet_records!$O:$O,'EEFF 2023'!$B$1,wallet_records!$H:$H,'EEFF 2023'!$B9)</f>
        <v>0</v>
      </c>
      <c r="CK9" s="115">
        <f>SUMIFS(wallet_records!$D:$D,wallet_records!$B:$B,'EEFF 2023'!$C9,wallet_records!$L:$L,'EEFF 2023'!CK$3,wallet_records!$O:$O,'EEFF 2023'!$B$1,wallet_records!$H:$H,'EEFF 2023'!$B9)</f>
        <v>0</v>
      </c>
      <c r="CL9" s="115">
        <f>SUMIFS(wallet_records!$D:$D,wallet_records!$B:$B,'EEFF 2023'!$C9,wallet_records!$L:$L,'EEFF 2023'!CL$3,wallet_records!$O:$O,'EEFF 2023'!$B$1,wallet_records!$H:$H,'EEFF 2023'!$B9)</f>
        <v>0</v>
      </c>
      <c r="CM9" s="115">
        <f>SUMIFS(wallet_records!$D:$D,wallet_records!$B:$B,'EEFF 2023'!$C9,wallet_records!$L:$L,'EEFF 2023'!CM$3,wallet_records!$O:$O,'EEFF 2023'!$B$1,wallet_records!$H:$H,'EEFF 2023'!$B9)</f>
        <v>0</v>
      </c>
      <c r="CN9" s="115">
        <f>SUMIFS(wallet_records!$D:$D,wallet_records!$B:$B,'EEFF 2023'!$C9,wallet_records!$L:$L,'EEFF 2023'!CN$3,wallet_records!$O:$O,'EEFF 2023'!$B$1,wallet_records!$H:$H,'EEFF 2023'!$B9)</f>
        <v>0</v>
      </c>
      <c r="CO9" s="115">
        <f>SUMIFS(wallet_records!$D:$D,wallet_records!$B:$B,'EEFF 2023'!$C9,wallet_records!$L:$L,'EEFF 2023'!CO$3,wallet_records!$O:$O,'EEFF 2023'!$B$1,wallet_records!$H:$H,'EEFF 2023'!$B9)</f>
        <v>269841</v>
      </c>
      <c r="CP9" s="116">
        <f t="shared" ref="CP9:CP14" si="26">SUM(CJ9:CO9)</f>
        <v>269841</v>
      </c>
      <c r="CQ9" s="107"/>
      <c r="CR9" s="118">
        <f t="shared" si="0"/>
        <v>1.6317714285714286E-2</v>
      </c>
      <c r="CS9" s="118">
        <f t="shared" si="1"/>
        <v>6.9445945945945942E-3</v>
      </c>
      <c r="CT9" s="118">
        <f t="shared" si="2"/>
        <v>3.5990825688073393E-3</v>
      </c>
      <c r="CU9" s="118">
        <f t="shared" si="3"/>
        <v>2.8877135678391959E-2</v>
      </c>
      <c r="CV9" s="118">
        <f t="shared" si="4"/>
        <v>9.9403145873734108E-3</v>
      </c>
      <c r="CW9" s="118">
        <f t="shared" si="5"/>
        <v>0</v>
      </c>
      <c r="CX9" s="118">
        <f t="shared" si="6"/>
        <v>0</v>
      </c>
      <c r="CY9" s="118">
        <f t="shared" si="7"/>
        <v>0</v>
      </c>
      <c r="CZ9" s="118">
        <f t="shared" si="8"/>
        <v>0</v>
      </c>
      <c r="DA9" s="118">
        <f t="shared" si="9"/>
        <v>0</v>
      </c>
      <c r="DB9" s="118">
        <f t="shared" si="10"/>
        <v>0</v>
      </c>
      <c r="DC9" s="118">
        <f t="shared" si="11"/>
        <v>0</v>
      </c>
    </row>
    <row r="10" spans="2:120" x14ac:dyDescent="0.2">
      <c r="B10" s="107" t="s">
        <v>118</v>
      </c>
      <c r="C10" s="191" t="s">
        <v>114</v>
      </c>
      <c r="D10" s="115">
        <f>SUMIFS(wallet_records!$D:$D,wallet_records!$B:$B,'EEFF 2023'!$C10,wallet_records!$L:$L,'EEFF 2023'!D$3,wallet_records!$O:$O,'EEFF 2023'!$B$1,wallet_records!$N:$N,'EEFF 2023'!D$2,wallet_records!$H:$H,'EEFF 2023'!$B10)</f>
        <v>40000</v>
      </c>
      <c r="E10" s="115">
        <f>SUMIFS(wallet_records!$D:$D,wallet_records!$B:$B,'EEFF 2023'!$C10,wallet_records!$L:$L,'EEFF 2023'!E$3,wallet_records!$O:$O,'EEFF 2023'!$B$1,wallet_records!$N:$N,'EEFF 2023'!E$2,wallet_records!$H:$H,'EEFF 2023'!$B10)</f>
        <v>0</v>
      </c>
      <c r="F10" s="115">
        <f>SUMIFS(wallet_records!$D:$D,wallet_records!$B:$B,'EEFF 2023'!$C10,wallet_records!$L:$L,'EEFF 2023'!F$3,wallet_records!$O:$O,'EEFF 2023'!$B$1,wallet_records!$N:$N,'EEFF 2023'!F$2,wallet_records!$H:$H,'EEFF 2023'!$B10)</f>
        <v>0</v>
      </c>
      <c r="G10" s="115">
        <f>SUMIFS(wallet_records!$D:$D,wallet_records!$B:$B,'EEFF 2023'!$C10,wallet_records!$L:$L,'EEFF 2023'!G$3,wallet_records!$O:$O,'EEFF 2023'!$B$1,wallet_records!$N:$N,'EEFF 2023'!G$2,wallet_records!$H:$H,'EEFF 2023'!$B10)</f>
        <v>0</v>
      </c>
      <c r="H10" s="115">
        <f>SUMIFS(wallet_records!$D:$D,wallet_records!$B:$B,'EEFF 2023'!$C10,wallet_records!$L:$L,'EEFF 2023'!H$3,wallet_records!$O:$O,'EEFF 2023'!$B$1,wallet_records!$N:$N,'EEFF 2023'!H$2,wallet_records!$H:$H,'EEFF 2023'!$B10)</f>
        <v>0</v>
      </c>
      <c r="I10" s="115">
        <f>SUMIFS(wallet_records!$D:$D,wallet_records!$B:$B,'EEFF 2023'!$C10,wallet_records!$L:$L,'EEFF 2023'!I$3,wallet_records!$O:$O,'EEFF 2023'!$B$1,wallet_records!$N:$N,'EEFF 2023'!I$2,wallet_records!$H:$H,'EEFF 2023'!$B10)</f>
        <v>0</v>
      </c>
      <c r="J10" s="116">
        <f t="shared" si="14"/>
        <v>40000</v>
      </c>
      <c r="K10" s="115">
        <f>SUMIFS(wallet_records!$D:$D,wallet_records!$B:$B,'EEFF 2023'!$C10,wallet_records!$L:$L,'EEFF 2023'!K$3,wallet_records!$O:$O,'EEFF 2023'!$B$1,wallet_records!$N:$N,'EEFF 2023'!K$2,wallet_records!$H:$H,'EEFF 2023'!$B10)</f>
        <v>0</v>
      </c>
      <c r="L10" s="115">
        <f>SUMIFS(wallet_records!$D:$D,wallet_records!$B:$B,'EEFF 2023'!$C10,wallet_records!$L:$L,'EEFF 2023'!L$3,wallet_records!$O:$O,'EEFF 2023'!$B$1,wallet_records!$N:$N,'EEFF 2023'!L$2,wallet_records!$H:$H,'EEFF 2023'!$B10)</f>
        <v>0</v>
      </c>
      <c r="M10" s="115">
        <f>SUMIFS(wallet_records!$D:$D,wallet_records!$B:$B,'EEFF 2023'!$C10,wallet_records!$L:$L,'EEFF 2023'!M$3,wallet_records!$O:$O,'EEFF 2023'!$B$1,wallet_records!$N:$N,'EEFF 2023'!M$2,wallet_records!$H:$H,'EEFF 2023'!$B10)</f>
        <v>0</v>
      </c>
      <c r="N10" s="115">
        <f>SUMIFS(wallet_records!$D:$D,wallet_records!$B:$B,'EEFF 2023'!$C10,wallet_records!$L:$L,'EEFF 2023'!N$3,wallet_records!$O:$O,'EEFF 2023'!$B$1,wallet_records!$N:$N,'EEFF 2023'!N$2,wallet_records!$H:$H,'EEFF 2023'!$B10)</f>
        <v>0</v>
      </c>
      <c r="O10" s="115">
        <f>SUMIFS(wallet_records!$D:$D,wallet_records!$B:$B,'EEFF 2023'!$C10,wallet_records!$L:$L,'EEFF 2023'!O$3,wallet_records!$O:$O,'EEFF 2023'!$B$1,wallet_records!$N:$N,'EEFF 2023'!O$2,wallet_records!$H:$H,'EEFF 2023'!$B10)</f>
        <v>0</v>
      </c>
      <c r="P10" s="115">
        <f>SUMIFS(wallet_records!$D:$D,wallet_records!$B:$B,'EEFF 2023'!$C10,wallet_records!$L:$L,'EEFF 2023'!P$3,wallet_records!$O:$O,'EEFF 2023'!$B$1,wallet_records!$N:$N,'EEFF 2023'!P$2,wallet_records!$H:$H,'EEFF 2023'!$B10)</f>
        <v>0</v>
      </c>
      <c r="Q10" s="116">
        <f t="shared" si="15"/>
        <v>0</v>
      </c>
      <c r="R10" s="115">
        <f>SUMIFS(wallet_records!$D:$D,wallet_records!$B:$B,'EEFF 2023'!$C10,wallet_records!$L:$L,'EEFF 2023'!R$3,wallet_records!$O:$O,'EEFF 2023'!$B$1,wallet_records!$N:$N,'EEFF 2023'!R$2,wallet_records!$H:$H,'EEFF 2023'!$B10)</f>
        <v>0</v>
      </c>
      <c r="S10" s="115">
        <f>SUMIFS(wallet_records!$D:$D,wallet_records!$B:$B,'EEFF 2023'!$C10,wallet_records!$L:$L,'EEFF 2023'!S$3,wallet_records!$O:$O,'EEFF 2023'!$B$1,wallet_records!$N:$N,'EEFF 2023'!S$2,wallet_records!$H:$H,'EEFF 2023'!$B10)</f>
        <v>0</v>
      </c>
      <c r="T10" s="115">
        <f>SUMIFS(wallet_records!$D:$D,wallet_records!$B:$B,'EEFF 2023'!$C10,wallet_records!$L:$L,'EEFF 2023'!T$3,wallet_records!$O:$O,'EEFF 2023'!$B$1,wallet_records!$N:$N,'EEFF 2023'!T$2,wallet_records!$H:$H,'EEFF 2023'!$B10)</f>
        <v>0</v>
      </c>
      <c r="U10" s="115">
        <f>SUMIFS(wallet_records!$D:$D,wallet_records!$B:$B,'EEFF 2023'!$C10,wallet_records!$L:$L,'EEFF 2023'!U$3,wallet_records!$O:$O,'EEFF 2023'!$B$1,wallet_records!$N:$N,'EEFF 2023'!U$2,wallet_records!$H:$H,'EEFF 2023'!$B10)</f>
        <v>0</v>
      </c>
      <c r="V10" s="115">
        <f>SUMIFS(wallet_records!$D:$D,wallet_records!$B:$B,'EEFF 2023'!$C10,wallet_records!$L:$L,'EEFF 2023'!V$3,wallet_records!$O:$O,'EEFF 2023'!$B$1,wallet_records!$N:$N,'EEFF 2023'!V$2,wallet_records!$H:$H,'EEFF 2023'!$B10)</f>
        <v>0</v>
      </c>
      <c r="W10" s="115">
        <f>SUMIFS(wallet_records!$D:$D,wallet_records!$B:$B,'EEFF 2023'!$C10,wallet_records!$L:$L,'EEFF 2023'!W$3,wallet_records!$O:$O,'EEFF 2023'!$B$1,wallet_records!$N:$N,'EEFF 2023'!W$2,wallet_records!$H:$H,'EEFF 2023'!$B10)</f>
        <v>0</v>
      </c>
      <c r="X10" s="116">
        <f t="shared" si="16"/>
        <v>0</v>
      </c>
      <c r="Y10" s="115">
        <f>SUMIFS(wallet_records!$D:$D,wallet_records!$B:$B,'EEFF 2023'!$C10,wallet_records!$L:$L,'EEFF 2023'!Y$3,wallet_records!$O:$O,'EEFF 2023'!$B$1,wallet_records!$N:$N,'EEFF 2023'!Y$2,wallet_records!$H:$H,'EEFF 2023'!$B10)</f>
        <v>0</v>
      </c>
      <c r="Z10" s="115">
        <f>SUMIFS(wallet_records!$D:$D,wallet_records!$B:$B,'EEFF 2023'!$C10,wallet_records!$L:$L,'EEFF 2023'!Z$3,wallet_records!$O:$O,'EEFF 2023'!$B$1,wallet_records!$N:$N,'EEFF 2023'!Z$2,wallet_records!$H:$H,'EEFF 2023'!$B10)</f>
        <v>0</v>
      </c>
      <c r="AA10" s="115">
        <f>SUMIFS(wallet_records!$D:$D,wallet_records!$B:$B,'EEFF 2023'!$C10,wallet_records!$L:$L,'EEFF 2023'!AA$3,wallet_records!$O:$O,'EEFF 2023'!$B$1,wallet_records!$N:$N,'EEFF 2023'!AA$2,wallet_records!$H:$H,'EEFF 2023'!$B10)</f>
        <v>0</v>
      </c>
      <c r="AB10" s="115">
        <f>SUMIFS(wallet_records!$D:$D,wallet_records!$B:$B,'EEFF 2023'!$C10,wallet_records!$L:$L,'EEFF 2023'!AB$3,wallet_records!$O:$O,'EEFF 2023'!$B$1,wallet_records!$N:$N,'EEFF 2023'!AB$2,wallet_records!$H:$H,'EEFF 2023'!$B10)</f>
        <v>0</v>
      </c>
      <c r="AC10" s="115">
        <f>SUMIFS(wallet_records!$D:$D,wallet_records!$B:$B,'EEFF 2023'!$C10,wallet_records!$L:$L,'EEFF 2023'!AC$3,wallet_records!$O:$O,'EEFF 2023'!$B$1,wallet_records!$N:$N,'EEFF 2023'!AC$2,wallet_records!$H:$H,'EEFF 2023'!$B10)</f>
        <v>0</v>
      </c>
      <c r="AD10" s="115">
        <f>SUMIFS(wallet_records!$D:$D,wallet_records!$B:$B,'EEFF 2023'!$C10,wallet_records!$L:$L,'EEFF 2023'!AD$3,wallet_records!$O:$O,'EEFF 2023'!$B$1,wallet_records!$N:$N,'EEFF 2023'!AD$2,wallet_records!$H:$H,'EEFF 2023'!$B10)</f>
        <v>0</v>
      </c>
      <c r="AE10" s="116">
        <f t="shared" si="17"/>
        <v>0</v>
      </c>
      <c r="AF10" s="115">
        <f>SUMIFS(wallet_records!$D:$D,wallet_records!$B:$B,'EEFF 2023'!$C10,wallet_records!$L:$L,'EEFF 2023'!AF$3,wallet_records!$O:$O,'EEFF 2023'!$B$1,wallet_records!$N:$N,'EEFF 2023'!AF$2,wallet_records!$H:$H,'EEFF 2023'!$B10)</f>
        <v>0</v>
      </c>
      <c r="AG10" s="115">
        <f>SUMIFS(wallet_records!$D:$D,wallet_records!$B:$B,'EEFF 2023'!$C10,wallet_records!$L:$L,'EEFF 2023'!AG$3,wallet_records!$O:$O,'EEFF 2023'!$B$1,wallet_records!$N:$N,'EEFF 2023'!AG$2,wallet_records!$H:$H,'EEFF 2023'!$B10)</f>
        <v>0</v>
      </c>
      <c r="AH10" s="115">
        <f>SUMIFS(wallet_records!$D:$D,wallet_records!$B:$B,'EEFF 2023'!$C10,wallet_records!$L:$L,'EEFF 2023'!AH$3,wallet_records!$O:$O,'EEFF 2023'!$B$1,wallet_records!$N:$N,'EEFF 2023'!AH$2,wallet_records!$H:$H,'EEFF 2023'!$B10)</f>
        <v>0</v>
      </c>
      <c r="AI10" s="115">
        <f>SUMIFS(wallet_records!$D:$D,wallet_records!$B:$B,'EEFF 2023'!$C10,wallet_records!$L:$L,'EEFF 2023'!AI$3,wallet_records!$O:$O,'EEFF 2023'!$B$1,wallet_records!$N:$N,'EEFF 2023'!AI$2,wallet_records!$H:$H,'EEFF 2023'!$B10)</f>
        <v>0</v>
      </c>
      <c r="AJ10" s="115">
        <f>SUMIFS(wallet_records!$D:$D,wallet_records!$B:$B,'EEFF 2023'!$C10,wallet_records!$L:$L,'EEFF 2023'!AJ$3,wallet_records!$O:$O,'EEFF 2023'!$B$1,wallet_records!$N:$N,'EEFF 2023'!AJ$2,wallet_records!$H:$H,'EEFF 2023'!$B10)</f>
        <v>0</v>
      </c>
      <c r="AK10" s="115">
        <f>SUMIFS(wallet_records!$D:$D,wallet_records!$B:$B,'EEFF 2023'!$C10,wallet_records!$L:$L,'EEFF 2023'!AK$3,wallet_records!$O:$O,'EEFF 2023'!$B$1,wallet_records!$N:$N,'EEFF 2023'!AK$2,wallet_records!$H:$H,'EEFF 2023'!$B10)</f>
        <v>0</v>
      </c>
      <c r="AL10" s="116">
        <f t="shared" si="18"/>
        <v>0</v>
      </c>
      <c r="AM10" s="115">
        <f>SUMIFS(wallet_records!$D:$D,wallet_records!$B:$B,'EEFF 2023'!$C10,wallet_records!$L:$L,'EEFF 2023'!AM$3,wallet_records!$O:$O,'EEFF 2023'!$B$1,wallet_records!$N:$N,'EEFF 2023'!AM$2,wallet_records!$H:$H,'EEFF 2023'!$B10)</f>
        <v>0</v>
      </c>
      <c r="AN10" s="115">
        <f>SUMIFS(wallet_records!$D:$D,wallet_records!$B:$B,'EEFF 2023'!$C10,wallet_records!$L:$L,'EEFF 2023'!AN$3,wallet_records!$O:$O,'EEFF 2023'!$B$1,wallet_records!$N:$N,'EEFF 2023'!AN$2,wallet_records!$H:$H,'EEFF 2023'!$B10)</f>
        <v>0</v>
      </c>
      <c r="AO10" s="115">
        <f>SUMIFS(wallet_records!$D:$D,wallet_records!$B:$B,'EEFF 2023'!$C10,wallet_records!$L:$L,'EEFF 2023'!AO$3,wallet_records!$O:$O,'EEFF 2023'!$B$1,wallet_records!$N:$N,'EEFF 2023'!AO$2,wallet_records!$H:$H,'EEFF 2023'!$B10)</f>
        <v>0</v>
      </c>
      <c r="AP10" s="115">
        <f>SUMIFS(wallet_records!$D:$D,wallet_records!$B:$B,'EEFF 2023'!$C10,wallet_records!$L:$L,'EEFF 2023'!AP$3,wallet_records!$O:$O,'EEFF 2023'!$B$1,wallet_records!$N:$N,'EEFF 2023'!AP$2,wallet_records!$H:$H,'EEFF 2023'!$B10)</f>
        <v>0</v>
      </c>
      <c r="AQ10" s="115">
        <f>SUMIFS(wallet_records!$D:$D,wallet_records!$B:$B,'EEFF 2023'!$C10,wallet_records!$L:$L,'EEFF 2023'!AQ$3,wallet_records!$O:$O,'EEFF 2023'!$B$1,wallet_records!$N:$N,'EEFF 2023'!AQ$2,wallet_records!$H:$H,'EEFF 2023'!$B10)</f>
        <v>0</v>
      </c>
      <c r="AR10" s="115">
        <f>SUMIFS(wallet_records!$D:$D,wallet_records!$B:$B,'EEFF 2023'!$C10,wallet_records!$L:$L,'EEFF 2023'!AR$3,wallet_records!$O:$O,'EEFF 2023'!$B$1,wallet_records!$N:$N,'EEFF 2023'!AR$2,wallet_records!$H:$H,'EEFF 2023'!$B10)</f>
        <v>0</v>
      </c>
      <c r="AS10" s="116">
        <f t="shared" si="19"/>
        <v>0</v>
      </c>
      <c r="AT10" s="115">
        <f>SUMIFS(wallet_records!$D:$D,wallet_records!$B:$B,'EEFF 2023'!$C10,wallet_records!$L:$L,'EEFF 2023'!AT$3,wallet_records!$O:$O,'EEFF 2023'!$B$1,wallet_records!$N:$N,'EEFF 2023'!AT$2,wallet_records!$H:$H,'EEFF 2023'!$B10)</f>
        <v>0</v>
      </c>
      <c r="AU10" s="115">
        <f>SUMIFS(wallet_records!$D:$D,wallet_records!$B:$B,'EEFF 2023'!$C10,wallet_records!$L:$L,'EEFF 2023'!AU$3,wallet_records!$O:$O,'EEFF 2023'!$B$1,wallet_records!$N:$N,'EEFF 2023'!AU$2,wallet_records!$H:$H,'EEFF 2023'!$B10)</f>
        <v>0</v>
      </c>
      <c r="AV10" s="115">
        <f>SUMIFS(wallet_records!$D:$D,wallet_records!$B:$B,'EEFF 2023'!$C10,wallet_records!$L:$L,'EEFF 2023'!AV$3,wallet_records!$O:$O,'EEFF 2023'!$B$1,wallet_records!$N:$N,'EEFF 2023'!AV$2,wallet_records!$H:$H,'EEFF 2023'!$B10)</f>
        <v>0</v>
      </c>
      <c r="AW10" s="115">
        <f>SUMIFS(wallet_records!$D:$D,wallet_records!$B:$B,'EEFF 2023'!$C10,wallet_records!$L:$L,'EEFF 2023'!AW$3,wallet_records!$O:$O,'EEFF 2023'!$B$1,wallet_records!$N:$N,'EEFF 2023'!AW$2,wallet_records!$H:$H,'EEFF 2023'!$B10)</f>
        <v>0</v>
      </c>
      <c r="AX10" s="115">
        <f>SUMIFS(wallet_records!$D:$D,wallet_records!$B:$B,'EEFF 2023'!$C10,wallet_records!$L:$L,'EEFF 2023'!AX$3,wallet_records!$O:$O,'EEFF 2023'!$B$1,wallet_records!$N:$N,'EEFF 2023'!AX$2,wallet_records!$H:$H,'EEFF 2023'!$B10)</f>
        <v>0</v>
      </c>
      <c r="AY10" s="115">
        <f>SUMIFS(wallet_records!$D:$D,wallet_records!$B:$B,'EEFF 2023'!$C10,wallet_records!$L:$L,'EEFF 2023'!AY$3,wallet_records!$O:$O,'EEFF 2023'!$B$1,wallet_records!$N:$N,'EEFF 2023'!AY$2,wallet_records!$H:$H,'EEFF 2023'!$B10)</f>
        <v>0</v>
      </c>
      <c r="AZ10" s="116">
        <f t="shared" si="20"/>
        <v>0</v>
      </c>
      <c r="BA10" s="115">
        <f>SUMIFS(wallet_records!$D:$D,wallet_records!$B:$B,'EEFF 2023'!$C10,wallet_records!$L:$L,'EEFF 2023'!BA$3,wallet_records!$O:$O,'EEFF 2023'!$B$1,wallet_records!$N:$N,'EEFF 2023'!BA$2,wallet_records!$H:$H,'EEFF 2023'!$B10)</f>
        <v>0</v>
      </c>
      <c r="BB10" s="115">
        <f>SUMIFS(wallet_records!$D:$D,wallet_records!$B:$B,'EEFF 2023'!$C10,wallet_records!$L:$L,'EEFF 2023'!BB$3,wallet_records!$O:$O,'EEFF 2023'!$B$1,wallet_records!$N:$N,'EEFF 2023'!BB$2,wallet_records!$H:$H,'EEFF 2023'!$B10)</f>
        <v>0</v>
      </c>
      <c r="BC10" s="115">
        <f>SUMIFS(wallet_records!$D:$D,wallet_records!$B:$B,'EEFF 2023'!$C10,wallet_records!$L:$L,'EEFF 2023'!BC$3,wallet_records!$O:$O,'EEFF 2023'!$B$1,wallet_records!$N:$N,'EEFF 2023'!BC$2,wallet_records!$H:$H,'EEFF 2023'!$B10)</f>
        <v>0</v>
      </c>
      <c r="BD10" s="115">
        <f>SUMIFS(wallet_records!$D:$D,wallet_records!$B:$B,'EEFF 2023'!$C10,wallet_records!$L:$L,'EEFF 2023'!BD$3,wallet_records!$O:$O,'EEFF 2023'!$B$1,wallet_records!$N:$N,'EEFF 2023'!BD$2,wallet_records!$H:$H,'EEFF 2023'!$B10)</f>
        <v>0</v>
      </c>
      <c r="BE10" s="115">
        <f>SUMIFS(wallet_records!$D:$D,wallet_records!$B:$B,'EEFF 2023'!$C10,wallet_records!$L:$L,'EEFF 2023'!BE$3,wallet_records!$O:$O,'EEFF 2023'!$B$1,wallet_records!$N:$N,'EEFF 2023'!BE$2,wallet_records!$H:$H,'EEFF 2023'!$B10)</f>
        <v>0</v>
      </c>
      <c r="BF10" s="115">
        <f>SUMIFS(wallet_records!$D:$D,wallet_records!$B:$B,'EEFF 2023'!$C10,wallet_records!$L:$L,'EEFF 2023'!BF$3,wallet_records!$O:$O,'EEFF 2023'!$B$1,wallet_records!$N:$N,'EEFF 2023'!BF$2,wallet_records!$H:$H,'EEFF 2023'!$B10)</f>
        <v>0</v>
      </c>
      <c r="BG10" s="116">
        <f t="shared" si="21"/>
        <v>0</v>
      </c>
      <c r="BH10" s="115">
        <f>SUMIFS(wallet_records!$D:$D,wallet_records!$B:$B,'EEFF 2023'!$C10,wallet_records!$L:$L,'EEFF 2023'!BH$3,wallet_records!$O:$O,'EEFF 2023'!$B$1,wallet_records!$N:$N,'EEFF 2023'!BH$2,wallet_records!$H:$H,'EEFF 2023'!$B10)</f>
        <v>0</v>
      </c>
      <c r="BI10" s="115">
        <f>SUMIFS(wallet_records!$D:$D,wallet_records!$B:$B,'EEFF 2023'!$C10,wallet_records!$L:$L,'EEFF 2023'!BI$3,wallet_records!$O:$O,'EEFF 2023'!$B$1,wallet_records!$N:$N,'EEFF 2023'!BI$2,wallet_records!$H:$H,'EEFF 2023'!$B10)</f>
        <v>0</v>
      </c>
      <c r="BJ10" s="115">
        <f>SUMIFS(wallet_records!$D:$D,wallet_records!$B:$B,'EEFF 2023'!$C10,wallet_records!$L:$L,'EEFF 2023'!BJ$3,wallet_records!$O:$O,'EEFF 2023'!$B$1,wallet_records!$N:$N,'EEFF 2023'!BJ$2,wallet_records!$H:$H,'EEFF 2023'!$B10)</f>
        <v>0</v>
      </c>
      <c r="BK10" s="115">
        <f>SUMIFS(wallet_records!$D:$D,wallet_records!$B:$B,'EEFF 2023'!$C10,wallet_records!$L:$L,'EEFF 2023'!BK$3,wallet_records!$O:$O,'EEFF 2023'!$B$1,wallet_records!$N:$N,'EEFF 2023'!BK$2,wallet_records!$H:$H,'EEFF 2023'!$B10)</f>
        <v>0</v>
      </c>
      <c r="BL10" s="115">
        <f>SUMIFS(wallet_records!$D:$D,wallet_records!$B:$B,'EEFF 2023'!$C10,wallet_records!$L:$L,'EEFF 2023'!BL$3,wallet_records!$O:$O,'EEFF 2023'!$B$1,wallet_records!$N:$N,'EEFF 2023'!BL$2,wallet_records!$H:$H,'EEFF 2023'!$B10)</f>
        <v>0</v>
      </c>
      <c r="BM10" s="115">
        <f>SUMIFS(wallet_records!$D:$D,wallet_records!$B:$B,'EEFF 2023'!$C10,wallet_records!$L:$L,'EEFF 2023'!BM$3,wallet_records!$O:$O,'EEFF 2023'!$B$1,wallet_records!$N:$N,'EEFF 2023'!BM$2,wallet_records!$H:$H,'EEFF 2023'!$B10)</f>
        <v>0</v>
      </c>
      <c r="BN10" s="116">
        <f t="shared" si="22"/>
        <v>0</v>
      </c>
      <c r="BO10" s="115">
        <f>SUMIFS(wallet_records!$D:$D,wallet_records!$B:$B,'EEFF 2023'!$C10,wallet_records!$L:$L,'EEFF 2023'!BO$3,wallet_records!$O:$O,'EEFF 2023'!$B$1,wallet_records!$N:$N,'EEFF 2023'!BO$2,wallet_records!$H:$H,'EEFF 2023'!$B10)</f>
        <v>0</v>
      </c>
      <c r="BP10" s="115">
        <f>SUMIFS(wallet_records!$D:$D,wallet_records!$B:$B,'EEFF 2023'!$C10,wallet_records!$L:$L,'EEFF 2023'!BP$3,wallet_records!$O:$O,'EEFF 2023'!$B$1,wallet_records!$N:$N,'EEFF 2023'!BP$2,wallet_records!$H:$H,'EEFF 2023'!$B10)</f>
        <v>0</v>
      </c>
      <c r="BQ10" s="115">
        <f>SUMIFS(wallet_records!$D:$D,wallet_records!$B:$B,'EEFF 2023'!$C10,wallet_records!$L:$L,'EEFF 2023'!BQ$3,wallet_records!$O:$O,'EEFF 2023'!$B$1,wallet_records!$N:$N,'EEFF 2023'!BQ$2,wallet_records!$H:$H,'EEFF 2023'!$B10)</f>
        <v>3646975.63</v>
      </c>
      <c r="BR10" s="115">
        <f>SUMIFS(wallet_records!$D:$D,wallet_records!$B:$B,'EEFF 2023'!$C10,wallet_records!$L:$L,'EEFF 2023'!BR$3,wallet_records!$O:$O,'EEFF 2023'!$B$1,wallet_records!$N:$N,'EEFF 2023'!BR$2,wallet_records!$H:$H,'EEFF 2023'!$B10)</f>
        <v>0</v>
      </c>
      <c r="BS10" s="115">
        <f>SUMIFS(wallet_records!$D:$D,wallet_records!$B:$B,'EEFF 2023'!$C10,wallet_records!$L:$L,'EEFF 2023'!BS$3,wallet_records!$O:$O,'EEFF 2023'!$B$1,wallet_records!$N:$N,'EEFF 2023'!BS$2,wallet_records!$H:$H,'EEFF 2023'!$B10)</f>
        <v>0</v>
      </c>
      <c r="BT10" s="115">
        <f>SUMIFS(wallet_records!$D:$D,wallet_records!$B:$B,'EEFF 2023'!$C10,wallet_records!$L:$L,'EEFF 2023'!BT$3,wallet_records!$O:$O,'EEFF 2023'!$B$1,wallet_records!$N:$N,'EEFF 2023'!BT$2,wallet_records!$H:$H,'EEFF 2023'!$B10)</f>
        <v>0</v>
      </c>
      <c r="BU10" s="116">
        <f t="shared" si="23"/>
        <v>3646975.63</v>
      </c>
      <c r="BV10" s="115">
        <f>SUMIFS(wallet_records!$D:$D,wallet_records!$B:$B,'EEFF 2023'!$C10,wallet_records!$L:$L,'EEFF 2023'!BV$3,wallet_records!$O:$O,'EEFF 2023'!$B$1,wallet_records!$N:$N,'EEFF 2023'!BV$2,wallet_records!$H:$H,'EEFF 2023'!$B10)</f>
        <v>0</v>
      </c>
      <c r="BW10" s="115">
        <f>SUMIFS(wallet_records!$D:$D,wallet_records!$B:$B,'EEFF 2023'!$C10,wallet_records!$L:$L,'EEFF 2023'!BW$3,wallet_records!$O:$O,'EEFF 2023'!$B$1,wallet_records!$N:$N,'EEFF 2023'!BW$2,wallet_records!$H:$H,'EEFF 2023'!$B10)</f>
        <v>0</v>
      </c>
      <c r="BX10" s="115">
        <f>SUMIFS(wallet_records!$D:$D,wallet_records!$B:$B,'EEFF 2023'!$C10,wallet_records!$L:$L,'EEFF 2023'!BX$3,wallet_records!$O:$O,'EEFF 2023'!$B$1,wallet_records!$N:$N,'EEFF 2023'!BX$2,wallet_records!$H:$H,'EEFF 2023'!$B10)</f>
        <v>95700</v>
      </c>
      <c r="BY10" s="115">
        <f>SUMIFS(wallet_records!$D:$D,wallet_records!$B:$B,'EEFF 2023'!$C10,wallet_records!$L:$L,'EEFF 2023'!BY$3,wallet_records!$O:$O,'EEFF 2023'!$B$1,wallet_records!$N:$N,'EEFF 2023'!BY$2,wallet_records!$H:$H,'EEFF 2023'!$B10)</f>
        <v>18430000</v>
      </c>
      <c r="BZ10" s="115">
        <f>SUMIFS(wallet_records!$D:$D,wallet_records!$B:$B,'EEFF 2023'!$C10,wallet_records!$L:$L,'EEFF 2023'!BZ$3,wallet_records!$O:$O,'EEFF 2023'!$B$1,wallet_records!$N:$N,'EEFF 2023'!BZ$2,wallet_records!$H:$H,'EEFF 2023'!$B10)</f>
        <v>0</v>
      </c>
      <c r="CA10" s="115">
        <f>SUMIFS(wallet_records!$D:$D,wallet_records!$B:$B,'EEFF 2023'!$C10,wallet_records!$L:$L,'EEFF 2023'!CA$3,wallet_records!$O:$O,'EEFF 2023'!$B$1,wallet_records!$N:$N,'EEFF 2023'!CA$2,wallet_records!$H:$H,'EEFF 2023'!$B10)</f>
        <v>0</v>
      </c>
      <c r="CB10" s="116">
        <f t="shared" si="24"/>
        <v>18525700</v>
      </c>
      <c r="CC10" s="115">
        <f>SUMIFS(wallet_records!$D:$D,wallet_records!$B:$B,'EEFF 2023'!$C10,wallet_records!$L:$L,'EEFF 2023'!CC$3,wallet_records!$O:$O,'EEFF 2023'!$B$1,wallet_records!$N:$N,'EEFF 2023'!CC$2,wallet_records!$H:$H,'EEFF 2023'!$B10)</f>
        <v>0</v>
      </c>
      <c r="CD10" s="115">
        <f>SUMIFS(wallet_records!$D:$D,wallet_records!$B:$B,'EEFF 2023'!$C10,wallet_records!$L:$L,'EEFF 2023'!CD$3,wallet_records!$O:$O,'EEFF 2023'!$B$1,wallet_records!$N:$N,'EEFF 2023'!CD$2,wallet_records!$H:$H,'EEFF 2023'!$B10)</f>
        <v>0</v>
      </c>
      <c r="CE10" s="115">
        <f>SUMIFS(wallet_records!$D:$D,wallet_records!$B:$B,'EEFF 2023'!$C10,wallet_records!$L:$L,'EEFF 2023'!CE$3,wallet_records!$O:$O,'EEFF 2023'!$B$1,wallet_records!$N:$N,'EEFF 2023'!CE$2,wallet_records!$H:$H,'EEFF 2023'!$B10)</f>
        <v>0</v>
      </c>
      <c r="CF10" s="115">
        <f>SUMIFS(wallet_records!$D:$D,wallet_records!$B:$B,'EEFF 2023'!$C10,wallet_records!$L:$L,'EEFF 2023'!CF$3,wallet_records!$O:$O,'EEFF 2023'!$B$1,wallet_records!$N:$N,'EEFF 2023'!CF$2,wallet_records!$H:$H,'EEFF 2023'!$B10)</f>
        <v>0</v>
      </c>
      <c r="CG10" s="115">
        <f>SUMIFS(wallet_records!$D:$D,wallet_records!$B:$B,'EEFF 2023'!$C10,wallet_records!$L:$L,'EEFF 2023'!CG$3,wallet_records!$O:$O,'EEFF 2023'!$B$1,wallet_records!$N:$N,'EEFF 2023'!CG$2,wallet_records!$H:$H,'EEFF 2023'!$B10)</f>
        <v>197077</v>
      </c>
      <c r="CH10" s="115">
        <f>SUMIFS(wallet_records!$D:$D,wallet_records!$B:$B,'EEFF 2023'!$C10,wallet_records!$L:$L,'EEFF 2023'!CH$3,wallet_records!$O:$O,'EEFF 2023'!$B$1,wallet_records!$N:$N,'EEFF 2023'!CH$2,wallet_records!$H:$H,'EEFF 2023'!$B10)</f>
        <v>0</v>
      </c>
      <c r="CI10" s="116">
        <f t="shared" si="25"/>
        <v>197077</v>
      </c>
      <c r="CJ10" s="115">
        <f>SUMIFS(wallet_records!$D:$D,wallet_records!$B:$B,'EEFF 2023'!$C10,wallet_records!$L:$L,'EEFF 2023'!CJ$3,wallet_records!$O:$O,'EEFF 2023'!$B$1,wallet_records!$H:$H,'EEFF 2023'!$B10)</f>
        <v>40000</v>
      </c>
      <c r="CK10" s="115">
        <f>SUMIFS(wallet_records!$D:$D,wallet_records!$B:$B,'EEFF 2023'!$C10,wallet_records!$L:$L,'EEFF 2023'!CK$3,wallet_records!$O:$O,'EEFF 2023'!$B$1,wallet_records!$H:$H,'EEFF 2023'!$B10)</f>
        <v>0</v>
      </c>
      <c r="CL10" s="115">
        <f>SUMIFS(wallet_records!$D:$D,wallet_records!$B:$B,'EEFF 2023'!$C10,wallet_records!$L:$L,'EEFF 2023'!CL$3,wallet_records!$O:$O,'EEFF 2023'!$B$1,wallet_records!$H:$H,'EEFF 2023'!$B10)</f>
        <v>3742675.63</v>
      </c>
      <c r="CM10" s="115">
        <f>SUMIFS(wallet_records!$D:$D,wallet_records!$B:$B,'EEFF 2023'!$C10,wallet_records!$L:$L,'EEFF 2023'!CM$3,wallet_records!$O:$O,'EEFF 2023'!$B$1,wallet_records!$H:$H,'EEFF 2023'!$B10)</f>
        <v>18430000</v>
      </c>
      <c r="CN10" s="115">
        <f>SUMIFS(wallet_records!$D:$D,wallet_records!$B:$B,'EEFF 2023'!$C10,wallet_records!$L:$L,'EEFF 2023'!CN$3,wallet_records!$O:$O,'EEFF 2023'!$B$1,wallet_records!$H:$H,'EEFF 2023'!$B10)</f>
        <v>197077</v>
      </c>
      <c r="CO10" s="115">
        <f>SUMIFS(wallet_records!$D:$D,wallet_records!$B:$B,'EEFF 2023'!$C10,wallet_records!$L:$L,'EEFF 2023'!CO$3,wallet_records!$O:$O,'EEFF 2023'!$B$1,wallet_records!$H:$H,'EEFF 2023'!$B10)</f>
        <v>0</v>
      </c>
      <c r="CP10" s="116">
        <f t="shared" si="26"/>
        <v>22409752.629999999</v>
      </c>
      <c r="CQ10" s="107"/>
      <c r="CR10" s="118">
        <f t="shared" si="0"/>
        <v>1.1428571428571429E-2</v>
      </c>
      <c r="CS10" s="118">
        <f t="shared" si="1"/>
        <v>0</v>
      </c>
      <c r="CT10" s="118">
        <f t="shared" si="2"/>
        <v>0</v>
      </c>
      <c r="CU10" s="118">
        <f t="shared" si="3"/>
        <v>0</v>
      </c>
      <c r="CV10" s="118">
        <f t="shared" si="4"/>
        <v>0</v>
      </c>
      <c r="CW10" s="118">
        <f t="shared" si="5"/>
        <v>0</v>
      </c>
      <c r="CX10" s="118">
        <f t="shared" si="6"/>
        <v>0</v>
      </c>
      <c r="CY10" s="118">
        <f t="shared" si="7"/>
        <v>0</v>
      </c>
      <c r="CZ10" s="118">
        <f t="shared" si="8"/>
        <v>0</v>
      </c>
      <c r="DA10" s="118">
        <f t="shared" si="9"/>
        <v>2.0260975722222221</v>
      </c>
      <c r="DB10" s="118">
        <f t="shared" si="10"/>
        <v>5.1733314716559624</v>
      </c>
      <c r="DC10" s="118">
        <f t="shared" si="11"/>
        <v>4.5305057471264371E-2</v>
      </c>
    </row>
    <row r="11" spans="2:120" x14ac:dyDescent="0.2">
      <c r="B11" s="107" t="s">
        <v>140</v>
      </c>
      <c r="C11" s="191" t="s">
        <v>136</v>
      </c>
      <c r="D11" s="115">
        <f>SUMIFS(wallet_records!$D:$D,wallet_records!$B:$B,'EEFF 2023'!$C11,wallet_records!$L:$L,'EEFF 2023'!D$3,wallet_records!$O:$O,'EEFF 2023'!$B$1,wallet_records!$N:$N,'EEFF 2023'!D$2,wallet_records!$H:$H,'EEFF 2023'!$B11)</f>
        <v>114000</v>
      </c>
      <c r="E11" s="115">
        <f>SUMIFS(wallet_records!$D:$D,wallet_records!$B:$B,'EEFF 2023'!$C11,wallet_records!$L:$L,'EEFF 2023'!E$3,wallet_records!$O:$O,'EEFF 2023'!$B$1,wallet_records!$N:$N,'EEFF 2023'!E$2,wallet_records!$H:$H,'EEFF 2023'!$B11)</f>
        <v>0</v>
      </c>
      <c r="F11" s="115">
        <f>SUMIFS(wallet_records!$D:$D,wallet_records!$B:$B,'EEFF 2023'!$C11,wallet_records!$L:$L,'EEFF 2023'!F$3,wallet_records!$O:$O,'EEFF 2023'!$B$1,wallet_records!$N:$N,'EEFF 2023'!F$2,wallet_records!$H:$H,'EEFF 2023'!$B11)</f>
        <v>373205</v>
      </c>
      <c r="G11" s="115">
        <f>SUMIFS(wallet_records!$D:$D,wallet_records!$B:$B,'EEFF 2023'!$C11,wallet_records!$L:$L,'EEFF 2023'!G$3,wallet_records!$O:$O,'EEFF 2023'!$B$1,wallet_records!$N:$N,'EEFF 2023'!G$2,wallet_records!$H:$H,'EEFF 2023'!$B11)</f>
        <v>0</v>
      </c>
      <c r="H11" s="115">
        <f>SUMIFS(wallet_records!$D:$D,wallet_records!$B:$B,'EEFF 2023'!$C11,wallet_records!$L:$L,'EEFF 2023'!H$3,wallet_records!$O:$O,'EEFF 2023'!$B$1,wallet_records!$N:$N,'EEFF 2023'!H$2,wallet_records!$H:$H,'EEFF 2023'!$B11)</f>
        <v>173200</v>
      </c>
      <c r="I11" s="115">
        <f>SUMIFS(wallet_records!$D:$D,wallet_records!$B:$B,'EEFF 2023'!$C11,wallet_records!$L:$L,'EEFF 2023'!I$3,wallet_records!$O:$O,'EEFF 2023'!$B$1,wallet_records!$N:$N,'EEFF 2023'!I$2,wallet_records!$H:$H,'EEFF 2023'!$B11)</f>
        <v>0</v>
      </c>
      <c r="J11" s="116">
        <f t="shared" si="14"/>
        <v>660405</v>
      </c>
      <c r="K11" s="115">
        <f>SUMIFS(wallet_records!$D:$D,wallet_records!$B:$B,'EEFF 2023'!$C11,wallet_records!$L:$L,'EEFF 2023'!K$3,wallet_records!$O:$O,'EEFF 2023'!$B$1,wallet_records!$N:$N,'EEFF 2023'!K$2,wallet_records!$H:$H,'EEFF 2023'!$B11)</f>
        <v>126000</v>
      </c>
      <c r="L11" s="115">
        <f>SUMIFS(wallet_records!$D:$D,wallet_records!$B:$B,'EEFF 2023'!$C11,wallet_records!$L:$L,'EEFF 2023'!L$3,wallet_records!$O:$O,'EEFF 2023'!$B$1,wallet_records!$N:$N,'EEFF 2023'!L$2,wallet_records!$H:$H,'EEFF 2023'!$B11)</f>
        <v>0</v>
      </c>
      <c r="M11" s="115">
        <f>SUMIFS(wallet_records!$D:$D,wallet_records!$B:$B,'EEFF 2023'!$C11,wallet_records!$L:$L,'EEFF 2023'!M$3,wallet_records!$O:$O,'EEFF 2023'!$B$1,wallet_records!$N:$N,'EEFF 2023'!M$2,wallet_records!$H:$H,'EEFF 2023'!$B11)</f>
        <v>373205</v>
      </c>
      <c r="N11" s="115">
        <f>SUMIFS(wallet_records!$D:$D,wallet_records!$B:$B,'EEFF 2023'!$C11,wallet_records!$L:$L,'EEFF 2023'!N$3,wallet_records!$O:$O,'EEFF 2023'!$B$1,wallet_records!$N:$N,'EEFF 2023'!N$2,wallet_records!$H:$H,'EEFF 2023'!$B11)</f>
        <v>0</v>
      </c>
      <c r="O11" s="115">
        <f>SUMIFS(wallet_records!$D:$D,wallet_records!$B:$B,'EEFF 2023'!$C11,wallet_records!$L:$L,'EEFF 2023'!O$3,wallet_records!$O:$O,'EEFF 2023'!$B$1,wallet_records!$N:$N,'EEFF 2023'!O$2,wallet_records!$H:$H,'EEFF 2023'!$B11)</f>
        <v>414500</v>
      </c>
      <c r="P11" s="115">
        <f>SUMIFS(wallet_records!$D:$D,wallet_records!$B:$B,'EEFF 2023'!$C11,wallet_records!$L:$L,'EEFF 2023'!P$3,wallet_records!$O:$O,'EEFF 2023'!$B$1,wallet_records!$N:$N,'EEFF 2023'!P$2,wallet_records!$H:$H,'EEFF 2023'!$B11)</f>
        <v>0</v>
      </c>
      <c r="Q11" s="116">
        <f t="shared" si="15"/>
        <v>913705</v>
      </c>
      <c r="R11" s="115">
        <f>SUMIFS(wallet_records!$D:$D,wallet_records!$B:$B,'EEFF 2023'!$C11,wallet_records!$L:$L,'EEFF 2023'!R$3,wallet_records!$O:$O,'EEFF 2023'!$B$1,wallet_records!$N:$N,'EEFF 2023'!R$2,wallet_records!$H:$H,'EEFF 2023'!$B11)</f>
        <v>126000</v>
      </c>
      <c r="S11" s="115">
        <f>SUMIFS(wallet_records!$D:$D,wallet_records!$B:$B,'EEFF 2023'!$C11,wallet_records!$L:$L,'EEFF 2023'!S$3,wallet_records!$O:$O,'EEFF 2023'!$B$1,wallet_records!$N:$N,'EEFF 2023'!S$2,wallet_records!$H:$H,'EEFF 2023'!$B11)</f>
        <v>0</v>
      </c>
      <c r="T11" s="115">
        <f>SUMIFS(wallet_records!$D:$D,wallet_records!$B:$B,'EEFF 2023'!$C11,wallet_records!$L:$L,'EEFF 2023'!T$3,wallet_records!$O:$O,'EEFF 2023'!$B$1,wallet_records!$N:$N,'EEFF 2023'!T$2,wallet_records!$H:$H,'EEFF 2023'!$B11)</f>
        <v>371205</v>
      </c>
      <c r="U11" s="115">
        <f>SUMIFS(wallet_records!$D:$D,wallet_records!$B:$B,'EEFF 2023'!$C11,wallet_records!$L:$L,'EEFF 2023'!U$3,wallet_records!$O:$O,'EEFF 2023'!$B$1,wallet_records!$N:$N,'EEFF 2023'!U$2,wallet_records!$H:$H,'EEFF 2023'!$B11)</f>
        <v>0</v>
      </c>
      <c r="V11" s="115">
        <f>SUMIFS(wallet_records!$D:$D,wallet_records!$B:$B,'EEFF 2023'!$C11,wallet_records!$L:$L,'EEFF 2023'!V$3,wallet_records!$O:$O,'EEFF 2023'!$B$1,wallet_records!$N:$N,'EEFF 2023'!V$2,wallet_records!$H:$H,'EEFF 2023'!$B11)</f>
        <v>195900</v>
      </c>
      <c r="W11" s="115">
        <f>SUMIFS(wallet_records!$D:$D,wallet_records!$B:$B,'EEFF 2023'!$C11,wallet_records!$L:$L,'EEFF 2023'!W$3,wallet_records!$O:$O,'EEFF 2023'!$B$1,wallet_records!$N:$N,'EEFF 2023'!W$2,wallet_records!$H:$H,'EEFF 2023'!$B11)</f>
        <v>0</v>
      </c>
      <c r="X11" s="116">
        <f t="shared" si="16"/>
        <v>693105</v>
      </c>
      <c r="Y11" s="115">
        <f>SUMIFS(wallet_records!$D:$D,wallet_records!$B:$B,'EEFF 2023'!$C11,wallet_records!$L:$L,'EEFF 2023'!Y$3,wallet_records!$O:$O,'EEFF 2023'!$B$1,wallet_records!$N:$N,'EEFF 2023'!Y$2,wallet_records!$H:$H,'EEFF 2023'!$B11)</f>
        <v>226000</v>
      </c>
      <c r="Z11" s="115">
        <f>SUMIFS(wallet_records!$D:$D,wallet_records!$B:$B,'EEFF 2023'!$C11,wallet_records!$L:$L,'EEFF 2023'!Z$3,wallet_records!$O:$O,'EEFF 2023'!$B$1,wallet_records!$N:$N,'EEFF 2023'!Z$2,wallet_records!$H:$H,'EEFF 2023'!$B11)</f>
        <v>0</v>
      </c>
      <c r="AA11" s="115">
        <f>SUMIFS(wallet_records!$D:$D,wallet_records!$B:$B,'EEFF 2023'!$C11,wallet_records!$L:$L,'EEFF 2023'!AA$3,wallet_records!$O:$O,'EEFF 2023'!$B$1,wallet_records!$N:$N,'EEFF 2023'!AA$2,wallet_records!$H:$H,'EEFF 2023'!$B11)</f>
        <v>393205</v>
      </c>
      <c r="AB11" s="115">
        <f>SUMIFS(wallet_records!$D:$D,wallet_records!$B:$B,'EEFF 2023'!$C11,wallet_records!$L:$L,'EEFF 2023'!AB$3,wallet_records!$O:$O,'EEFF 2023'!$B$1,wallet_records!$N:$N,'EEFF 2023'!AB$2,wallet_records!$H:$H,'EEFF 2023'!$B11)</f>
        <v>0</v>
      </c>
      <c r="AC11" s="115">
        <f>SUMIFS(wallet_records!$D:$D,wallet_records!$B:$B,'EEFF 2023'!$C11,wallet_records!$L:$L,'EEFF 2023'!AC$3,wallet_records!$O:$O,'EEFF 2023'!$B$1,wallet_records!$N:$N,'EEFF 2023'!AC$2,wallet_records!$H:$H,'EEFF 2023'!$B11)</f>
        <v>195900</v>
      </c>
      <c r="AD11" s="115">
        <f>SUMIFS(wallet_records!$D:$D,wallet_records!$B:$B,'EEFF 2023'!$C11,wallet_records!$L:$L,'EEFF 2023'!AD$3,wallet_records!$O:$O,'EEFF 2023'!$B$1,wallet_records!$N:$N,'EEFF 2023'!AD$2,wallet_records!$H:$H,'EEFF 2023'!$B11)</f>
        <v>0</v>
      </c>
      <c r="AE11" s="116">
        <f t="shared" si="17"/>
        <v>815105</v>
      </c>
      <c r="AF11" s="115">
        <f>SUMIFS(wallet_records!$D:$D,wallet_records!$B:$B,'EEFF 2023'!$C11,wallet_records!$L:$L,'EEFF 2023'!AF$3,wallet_records!$O:$O,'EEFF 2023'!$B$1,wallet_records!$N:$N,'EEFF 2023'!AF$2,wallet_records!$H:$H,'EEFF 2023'!$B11)</f>
        <v>126000</v>
      </c>
      <c r="AG11" s="115">
        <f>SUMIFS(wallet_records!$D:$D,wallet_records!$B:$B,'EEFF 2023'!$C11,wallet_records!$L:$L,'EEFF 2023'!AG$3,wallet_records!$O:$O,'EEFF 2023'!$B$1,wallet_records!$N:$N,'EEFF 2023'!AG$2,wallet_records!$H:$H,'EEFF 2023'!$B11)</f>
        <v>0</v>
      </c>
      <c r="AH11" s="115">
        <f>SUMIFS(wallet_records!$D:$D,wallet_records!$B:$B,'EEFF 2023'!$C11,wallet_records!$L:$L,'EEFF 2023'!AH$3,wallet_records!$O:$O,'EEFF 2023'!$B$1,wallet_records!$N:$N,'EEFF 2023'!AH$2,wallet_records!$H:$H,'EEFF 2023'!$B11)</f>
        <v>393205</v>
      </c>
      <c r="AI11" s="115">
        <f>SUMIFS(wallet_records!$D:$D,wallet_records!$B:$B,'EEFF 2023'!$C11,wallet_records!$L:$L,'EEFF 2023'!AI$3,wallet_records!$O:$O,'EEFF 2023'!$B$1,wallet_records!$N:$N,'EEFF 2023'!AI$2,wallet_records!$H:$H,'EEFF 2023'!$B11)</f>
        <v>0</v>
      </c>
      <c r="AJ11" s="115">
        <f>SUMIFS(wallet_records!$D:$D,wallet_records!$B:$B,'EEFF 2023'!$C11,wallet_records!$L:$L,'EEFF 2023'!AJ$3,wallet_records!$O:$O,'EEFF 2023'!$B$1,wallet_records!$N:$N,'EEFF 2023'!AJ$2,wallet_records!$H:$H,'EEFF 2023'!$B11)</f>
        <v>195900</v>
      </c>
      <c r="AK11" s="115">
        <f>SUMIFS(wallet_records!$D:$D,wallet_records!$B:$B,'EEFF 2023'!$C11,wallet_records!$L:$L,'EEFF 2023'!AK$3,wallet_records!$O:$O,'EEFF 2023'!$B$1,wallet_records!$N:$N,'EEFF 2023'!AK$2,wallet_records!$H:$H,'EEFF 2023'!$B11)</f>
        <v>0</v>
      </c>
      <c r="AL11" s="116">
        <f t="shared" si="18"/>
        <v>715105</v>
      </c>
      <c r="AM11" s="115">
        <f>SUMIFS(wallet_records!$D:$D,wallet_records!$B:$B,'EEFF 2023'!$C11,wallet_records!$L:$L,'EEFF 2023'!AM$3,wallet_records!$O:$O,'EEFF 2023'!$B$1,wallet_records!$N:$N,'EEFF 2023'!AM$2,wallet_records!$H:$H,'EEFF 2023'!$B11)</f>
        <v>126000</v>
      </c>
      <c r="AN11" s="115">
        <f>SUMIFS(wallet_records!$D:$D,wallet_records!$B:$B,'EEFF 2023'!$C11,wallet_records!$L:$L,'EEFF 2023'!AN$3,wallet_records!$O:$O,'EEFF 2023'!$B$1,wallet_records!$N:$N,'EEFF 2023'!AN$2,wallet_records!$H:$H,'EEFF 2023'!$B11)</f>
        <v>0</v>
      </c>
      <c r="AO11" s="115">
        <f>SUMIFS(wallet_records!$D:$D,wallet_records!$B:$B,'EEFF 2023'!$C11,wallet_records!$L:$L,'EEFF 2023'!AO$3,wallet_records!$O:$O,'EEFF 2023'!$B$1,wallet_records!$N:$N,'EEFF 2023'!AO$2,wallet_records!$H:$H,'EEFF 2023'!$B11)</f>
        <v>393205</v>
      </c>
      <c r="AP11" s="115">
        <f>SUMIFS(wallet_records!$D:$D,wallet_records!$B:$B,'EEFF 2023'!$C11,wallet_records!$L:$L,'EEFF 2023'!AP$3,wallet_records!$O:$O,'EEFF 2023'!$B$1,wallet_records!$N:$N,'EEFF 2023'!AP$2,wallet_records!$H:$H,'EEFF 2023'!$B11)</f>
        <v>0</v>
      </c>
      <c r="AQ11" s="115">
        <f>SUMIFS(wallet_records!$D:$D,wallet_records!$B:$B,'EEFF 2023'!$C11,wallet_records!$L:$L,'EEFF 2023'!AQ$3,wallet_records!$O:$O,'EEFF 2023'!$B$1,wallet_records!$N:$N,'EEFF 2023'!AQ$2,wallet_records!$H:$H,'EEFF 2023'!$B11)</f>
        <v>195900</v>
      </c>
      <c r="AR11" s="115">
        <f>SUMIFS(wallet_records!$D:$D,wallet_records!$B:$B,'EEFF 2023'!$C11,wallet_records!$L:$L,'EEFF 2023'!AR$3,wallet_records!$O:$O,'EEFF 2023'!$B$1,wallet_records!$N:$N,'EEFF 2023'!AR$2,wallet_records!$H:$H,'EEFF 2023'!$B11)</f>
        <v>0</v>
      </c>
      <c r="AS11" s="116">
        <f t="shared" si="19"/>
        <v>715105</v>
      </c>
      <c r="AT11" s="115">
        <f>SUMIFS(wallet_records!$D:$D,wallet_records!$B:$B,'EEFF 2023'!$C11,wallet_records!$L:$L,'EEFF 2023'!AT$3,wallet_records!$O:$O,'EEFF 2023'!$B$1,wallet_records!$N:$N,'EEFF 2023'!AT$2,wallet_records!$H:$H,'EEFF 2023'!$B11)</f>
        <v>126000</v>
      </c>
      <c r="AU11" s="115">
        <f>SUMIFS(wallet_records!$D:$D,wallet_records!$B:$B,'EEFF 2023'!$C11,wallet_records!$L:$L,'EEFF 2023'!AU$3,wallet_records!$O:$O,'EEFF 2023'!$B$1,wallet_records!$N:$N,'EEFF 2023'!AU$2,wallet_records!$H:$H,'EEFF 2023'!$B11)</f>
        <v>0</v>
      </c>
      <c r="AV11" s="115">
        <f>SUMIFS(wallet_records!$D:$D,wallet_records!$B:$B,'EEFF 2023'!$C11,wallet_records!$L:$L,'EEFF 2023'!AV$3,wallet_records!$O:$O,'EEFF 2023'!$B$1,wallet_records!$N:$N,'EEFF 2023'!AV$2,wallet_records!$H:$H,'EEFF 2023'!$B11)</f>
        <v>786410</v>
      </c>
      <c r="AW11" s="115">
        <f>SUMIFS(wallet_records!$D:$D,wallet_records!$B:$B,'EEFF 2023'!$C11,wallet_records!$L:$L,'EEFF 2023'!AW$3,wallet_records!$O:$O,'EEFF 2023'!$B$1,wallet_records!$N:$N,'EEFF 2023'!AW$2,wallet_records!$H:$H,'EEFF 2023'!$B11)</f>
        <v>0</v>
      </c>
      <c r="AX11" s="115">
        <f>SUMIFS(wallet_records!$D:$D,wallet_records!$B:$B,'EEFF 2023'!$C11,wallet_records!$L:$L,'EEFF 2023'!AX$3,wallet_records!$O:$O,'EEFF 2023'!$B$1,wallet_records!$N:$N,'EEFF 2023'!AX$2,wallet_records!$H:$H,'EEFF 2023'!$B11)</f>
        <v>0</v>
      </c>
      <c r="AY11" s="115">
        <f>SUMIFS(wallet_records!$D:$D,wallet_records!$B:$B,'EEFF 2023'!$C11,wallet_records!$L:$L,'EEFF 2023'!AY$3,wallet_records!$O:$O,'EEFF 2023'!$B$1,wallet_records!$N:$N,'EEFF 2023'!AY$2,wallet_records!$H:$H,'EEFF 2023'!$B11)</f>
        <v>0</v>
      </c>
      <c r="AZ11" s="116">
        <f t="shared" si="20"/>
        <v>912410</v>
      </c>
      <c r="BA11" s="115">
        <f>SUMIFS(wallet_records!$D:$D,wallet_records!$B:$B,'EEFF 2023'!$C11,wallet_records!$L:$L,'EEFF 2023'!BA$3,wallet_records!$O:$O,'EEFF 2023'!$B$1,wallet_records!$N:$N,'EEFF 2023'!BA$2,wallet_records!$H:$H,'EEFF 2023'!$B11)</f>
        <v>252000</v>
      </c>
      <c r="BB11" s="115">
        <f>SUMIFS(wallet_records!$D:$D,wallet_records!$B:$B,'EEFF 2023'!$C11,wallet_records!$L:$L,'EEFF 2023'!BB$3,wallet_records!$O:$O,'EEFF 2023'!$B$1,wallet_records!$N:$N,'EEFF 2023'!BB$2,wallet_records!$H:$H,'EEFF 2023'!$B11)</f>
        <v>0</v>
      </c>
      <c r="BC11" s="115">
        <f>SUMIFS(wallet_records!$D:$D,wallet_records!$B:$B,'EEFF 2023'!$C11,wallet_records!$L:$L,'EEFF 2023'!BC$3,wallet_records!$O:$O,'EEFF 2023'!$B$1,wallet_records!$N:$N,'EEFF 2023'!BC$2,wallet_records!$H:$H,'EEFF 2023'!$B11)</f>
        <v>1179615</v>
      </c>
      <c r="BD11" s="115">
        <f>SUMIFS(wallet_records!$D:$D,wallet_records!$B:$B,'EEFF 2023'!$C11,wallet_records!$L:$L,'EEFF 2023'!BD$3,wallet_records!$O:$O,'EEFF 2023'!$B$1,wallet_records!$N:$N,'EEFF 2023'!BD$2,wallet_records!$H:$H,'EEFF 2023'!$B11)</f>
        <v>0</v>
      </c>
      <c r="BE11" s="115">
        <f>SUMIFS(wallet_records!$D:$D,wallet_records!$B:$B,'EEFF 2023'!$C11,wallet_records!$L:$L,'EEFF 2023'!BE$3,wallet_records!$O:$O,'EEFF 2023'!$B$1,wallet_records!$N:$N,'EEFF 2023'!BE$2,wallet_records!$H:$H,'EEFF 2023'!$B11)</f>
        <v>391800</v>
      </c>
      <c r="BF11" s="115">
        <f>SUMIFS(wallet_records!$D:$D,wallet_records!$B:$B,'EEFF 2023'!$C11,wallet_records!$L:$L,'EEFF 2023'!BF$3,wallet_records!$O:$O,'EEFF 2023'!$B$1,wallet_records!$N:$N,'EEFF 2023'!BF$2,wallet_records!$H:$H,'EEFF 2023'!$B11)</f>
        <v>0</v>
      </c>
      <c r="BG11" s="116">
        <f t="shared" si="21"/>
        <v>1823415</v>
      </c>
      <c r="BH11" s="115">
        <f>SUMIFS(wallet_records!$D:$D,wallet_records!$B:$B,'EEFF 2023'!$C11,wallet_records!$L:$L,'EEFF 2023'!BH$3,wallet_records!$O:$O,'EEFF 2023'!$B$1,wallet_records!$N:$N,'EEFF 2023'!BH$2,wallet_records!$H:$H,'EEFF 2023'!$B11)</f>
        <v>126000</v>
      </c>
      <c r="BI11" s="115">
        <f>SUMIFS(wallet_records!$D:$D,wallet_records!$B:$B,'EEFF 2023'!$C11,wallet_records!$L:$L,'EEFF 2023'!BI$3,wallet_records!$O:$O,'EEFF 2023'!$B$1,wallet_records!$N:$N,'EEFF 2023'!BI$2,wallet_records!$H:$H,'EEFF 2023'!$B11)</f>
        <v>0</v>
      </c>
      <c r="BJ11" s="115">
        <f>SUMIFS(wallet_records!$D:$D,wallet_records!$B:$B,'EEFF 2023'!$C11,wallet_records!$L:$L,'EEFF 2023'!BJ$3,wallet_records!$O:$O,'EEFF 2023'!$B$1,wallet_records!$N:$N,'EEFF 2023'!BJ$2,wallet_records!$H:$H,'EEFF 2023'!$B11)</f>
        <v>786410</v>
      </c>
      <c r="BK11" s="115">
        <f>SUMIFS(wallet_records!$D:$D,wallet_records!$B:$B,'EEFF 2023'!$C11,wallet_records!$L:$L,'EEFF 2023'!BK$3,wallet_records!$O:$O,'EEFF 2023'!$B$1,wallet_records!$N:$N,'EEFF 2023'!BK$2,wallet_records!$H:$H,'EEFF 2023'!$B11)</f>
        <v>0</v>
      </c>
      <c r="BL11" s="115">
        <f>SUMIFS(wallet_records!$D:$D,wallet_records!$B:$B,'EEFF 2023'!$C11,wallet_records!$L:$L,'EEFF 2023'!BL$3,wallet_records!$O:$O,'EEFF 2023'!$B$1,wallet_records!$N:$N,'EEFF 2023'!BL$2,wallet_records!$H:$H,'EEFF 2023'!$B11)</f>
        <v>195900</v>
      </c>
      <c r="BM11" s="115">
        <f>SUMIFS(wallet_records!$D:$D,wallet_records!$B:$B,'EEFF 2023'!$C11,wallet_records!$L:$L,'EEFF 2023'!BM$3,wallet_records!$O:$O,'EEFF 2023'!$B$1,wallet_records!$N:$N,'EEFF 2023'!BM$2,wallet_records!$H:$H,'EEFF 2023'!$B11)</f>
        <v>0</v>
      </c>
      <c r="BN11" s="116">
        <f t="shared" si="22"/>
        <v>1108310</v>
      </c>
      <c r="BO11" s="115">
        <f>SUMIFS(wallet_records!$D:$D,wallet_records!$B:$B,'EEFF 2023'!$C11,wallet_records!$L:$L,'EEFF 2023'!BO$3,wallet_records!$O:$O,'EEFF 2023'!$B$1,wallet_records!$N:$N,'EEFF 2023'!BO$2,wallet_records!$H:$H,'EEFF 2023'!$B11)</f>
        <v>0</v>
      </c>
      <c r="BP11" s="115">
        <f>SUMIFS(wallet_records!$D:$D,wallet_records!$B:$B,'EEFF 2023'!$C11,wallet_records!$L:$L,'EEFF 2023'!BP$3,wallet_records!$O:$O,'EEFF 2023'!$B$1,wallet_records!$N:$N,'EEFF 2023'!BP$2,wallet_records!$H:$H,'EEFF 2023'!$B11)</f>
        <v>0</v>
      </c>
      <c r="BQ11" s="115">
        <f>SUMIFS(wallet_records!$D:$D,wallet_records!$B:$B,'EEFF 2023'!$C11,wallet_records!$L:$L,'EEFF 2023'!BQ$3,wallet_records!$O:$O,'EEFF 2023'!$B$1,wallet_records!$N:$N,'EEFF 2023'!BQ$2,wallet_records!$H:$H,'EEFF 2023'!$B11)</f>
        <v>393205</v>
      </c>
      <c r="BR11" s="115">
        <f>SUMIFS(wallet_records!$D:$D,wallet_records!$B:$B,'EEFF 2023'!$C11,wallet_records!$L:$L,'EEFF 2023'!BR$3,wallet_records!$O:$O,'EEFF 2023'!$B$1,wallet_records!$N:$N,'EEFF 2023'!BR$2,wallet_records!$H:$H,'EEFF 2023'!$B11)</f>
        <v>0</v>
      </c>
      <c r="BS11" s="115">
        <f>SUMIFS(wallet_records!$D:$D,wallet_records!$B:$B,'EEFF 2023'!$C11,wallet_records!$L:$L,'EEFF 2023'!BS$3,wallet_records!$O:$O,'EEFF 2023'!$B$1,wallet_records!$N:$N,'EEFF 2023'!BS$2,wallet_records!$H:$H,'EEFF 2023'!$B11)</f>
        <v>195900</v>
      </c>
      <c r="BT11" s="115">
        <f>SUMIFS(wallet_records!$D:$D,wallet_records!$B:$B,'EEFF 2023'!$C11,wallet_records!$L:$L,'EEFF 2023'!BT$3,wallet_records!$O:$O,'EEFF 2023'!$B$1,wallet_records!$N:$N,'EEFF 2023'!BT$2,wallet_records!$H:$H,'EEFF 2023'!$B11)</f>
        <v>0</v>
      </c>
      <c r="BU11" s="116">
        <f t="shared" si="23"/>
        <v>589105</v>
      </c>
      <c r="BV11" s="115">
        <f>SUMIFS(wallet_records!$D:$D,wallet_records!$B:$B,'EEFF 2023'!$C11,wallet_records!$L:$L,'EEFF 2023'!BV$3,wallet_records!$O:$O,'EEFF 2023'!$B$1,wallet_records!$N:$N,'EEFF 2023'!BV$2,wallet_records!$H:$H,'EEFF 2023'!$B11)</f>
        <v>126000</v>
      </c>
      <c r="BW11" s="115">
        <f>SUMIFS(wallet_records!$D:$D,wallet_records!$B:$B,'EEFF 2023'!$C11,wallet_records!$L:$L,'EEFF 2023'!BW$3,wallet_records!$O:$O,'EEFF 2023'!$B$1,wallet_records!$N:$N,'EEFF 2023'!BW$2,wallet_records!$H:$H,'EEFF 2023'!$B11)</f>
        <v>0</v>
      </c>
      <c r="BX11" s="115">
        <f>SUMIFS(wallet_records!$D:$D,wallet_records!$B:$B,'EEFF 2023'!$C11,wallet_records!$L:$L,'EEFF 2023'!BX$3,wallet_records!$O:$O,'EEFF 2023'!$B$1,wallet_records!$N:$N,'EEFF 2023'!BX$2,wallet_records!$H:$H,'EEFF 2023'!$B11)</f>
        <v>393205</v>
      </c>
      <c r="BY11" s="115">
        <f>SUMIFS(wallet_records!$D:$D,wallet_records!$B:$B,'EEFF 2023'!$C11,wallet_records!$L:$L,'EEFF 2023'!BY$3,wallet_records!$O:$O,'EEFF 2023'!$B$1,wallet_records!$N:$N,'EEFF 2023'!BY$2,wallet_records!$H:$H,'EEFF 2023'!$B11)</f>
        <v>0</v>
      </c>
      <c r="BZ11" s="115">
        <f>SUMIFS(wallet_records!$D:$D,wallet_records!$B:$B,'EEFF 2023'!$C11,wallet_records!$L:$L,'EEFF 2023'!BZ$3,wallet_records!$O:$O,'EEFF 2023'!$B$1,wallet_records!$N:$N,'EEFF 2023'!BZ$2,wallet_records!$H:$H,'EEFF 2023'!$B11)</f>
        <v>0</v>
      </c>
      <c r="CA11" s="115">
        <f>SUMIFS(wallet_records!$D:$D,wallet_records!$B:$B,'EEFF 2023'!$C11,wallet_records!$L:$L,'EEFF 2023'!CA$3,wallet_records!$O:$O,'EEFF 2023'!$B$1,wallet_records!$N:$N,'EEFF 2023'!CA$2,wallet_records!$H:$H,'EEFF 2023'!$B11)</f>
        <v>0</v>
      </c>
      <c r="CB11" s="116">
        <f t="shared" si="24"/>
        <v>519205</v>
      </c>
      <c r="CC11" s="115">
        <f>SUMIFS(wallet_records!$D:$D,wallet_records!$B:$B,'EEFF 2023'!$C11,wallet_records!$L:$L,'EEFF 2023'!CC$3,wallet_records!$O:$O,'EEFF 2023'!$B$1,wallet_records!$N:$N,'EEFF 2023'!CC$2,wallet_records!$H:$H,'EEFF 2023'!$B11)</f>
        <v>126000</v>
      </c>
      <c r="CD11" s="115">
        <f>SUMIFS(wallet_records!$D:$D,wallet_records!$B:$B,'EEFF 2023'!$C11,wallet_records!$L:$L,'EEFF 2023'!CD$3,wallet_records!$O:$O,'EEFF 2023'!$B$1,wallet_records!$N:$N,'EEFF 2023'!CD$2,wallet_records!$H:$H,'EEFF 2023'!$B11)</f>
        <v>0</v>
      </c>
      <c r="CE11" s="115">
        <f>SUMIFS(wallet_records!$D:$D,wallet_records!$B:$B,'EEFF 2023'!$C11,wallet_records!$L:$L,'EEFF 2023'!CE$3,wallet_records!$O:$O,'EEFF 2023'!$B$1,wallet_records!$N:$N,'EEFF 2023'!CE$2,wallet_records!$H:$H,'EEFF 2023'!$B11)</f>
        <v>393205</v>
      </c>
      <c r="CF11" s="115">
        <f>SUMIFS(wallet_records!$D:$D,wallet_records!$B:$B,'EEFF 2023'!$C11,wallet_records!$L:$L,'EEFF 2023'!CF$3,wallet_records!$O:$O,'EEFF 2023'!$B$1,wallet_records!$N:$N,'EEFF 2023'!CF$2,wallet_records!$H:$H,'EEFF 2023'!$B11)</f>
        <v>0</v>
      </c>
      <c r="CG11" s="115">
        <f>SUMIFS(wallet_records!$D:$D,wallet_records!$B:$B,'EEFF 2023'!$C11,wallet_records!$L:$L,'EEFF 2023'!CG$3,wallet_records!$O:$O,'EEFF 2023'!$B$1,wallet_records!$N:$N,'EEFF 2023'!CG$2,wallet_records!$H:$H,'EEFF 2023'!$B11)</f>
        <v>392977</v>
      </c>
      <c r="CH11" s="115">
        <f>SUMIFS(wallet_records!$D:$D,wallet_records!$B:$B,'EEFF 2023'!$C11,wallet_records!$L:$L,'EEFF 2023'!CH$3,wallet_records!$O:$O,'EEFF 2023'!$B$1,wallet_records!$N:$N,'EEFF 2023'!CH$2,wallet_records!$H:$H,'EEFF 2023'!$B11)</f>
        <v>0</v>
      </c>
      <c r="CI11" s="116">
        <f t="shared" si="25"/>
        <v>912182</v>
      </c>
      <c r="CJ11" s="115">
        <f>SUMIFS(wallet_records!$D:$D,wallet_records!$B:$B,'EEFF 2023'!$C11,wallet_records!$L:$L,'EEFF 2023'!CJ$3,wallet_records!$O:$O,'EEFF 2023'!$B$1,wallet_records!$H:$H,'EEFF 2023'!$B11)</f>
        <v>1600000</v>
      </c>
      <c r="CK11" s="115">
        <f>SUMIFS(wallet_records!$D:$D,wallet_records!$B:$B,'EEFF 2023'!$C11,wallet_records!$L:$L,'EEFF 2023'!CK$3,wallet_records!$O:$O,'EEFF 2023'!$B$1,wallet_records!$H:$H,'EEFF 2023'!$B11)</f>
        <v>0</v>
      </c>
      <c r="CL11" s="115">
        <f>SUMIFS(wallet_records!$D:$D,wallet_records!$B:$B,'EEFF 2023'!$C11,wallet_records!$L:$L,'EEFF 2023'!CL$3,wallet_records!$O:$O,'EEFF 2023'!$B$1,wallet_records!$H:$H,'EEFF 2023'!$B11)</f>
        <v>6229280</v>
      </c>
      <c r="CM11" s="115">
        <f>SUMIFS(wallet_records!$D:$D,wallet_records!$B:$B,'EEFF 2023'!$C11,wallet_records!$L:$L,'EEFF 2023'!CM$3,wallet_records!$O:$O,'EEFF 2023'!$B$1,wallet_records!$H:$H,'EEFF 2023'!$B11)</f>
        <v>0</v>
      </c>
      <c r="CN11" s="115">
        <f>SUMIFS(wallet_records!$D:$D,wallet_records!$B:$B,'EEFF 2023'!$C11,wallet_records!$L:$L,'EEFF 2023'!CN$3,wallet_records!$O:$O,'EEFF 2023'!$B$1,wallet_records!$H:$H,'EEFF 2023'!$B11)</f>
        <v>2547877</v>
      </c>
      <c r="CO11" s="115">
        <f>SUMIFS(wallet_records!$D:$D,wallet_records!$B:$B,'EEFF 2023'!$C11,wallet_records!$L:$L,'EEFF 2023'!CO$3,wallet_records!$O:$O,'EEFF 2023'!$B$1,wallet_records!$H:$H,'EEFF 2023'!$B11)</f>
        <v>0</v>
      </c>
      <c r="CP11" s="116">
        <f t="shared" si="26"/>
        <v>10377157</v>
      </c>
      <c r="CQ11" s="107"/>
      <c r="CR11" s="118">
        <f t="shared" si="0"/>
        <v>0.18868714285714286</v>
      </c>
      <c r="CS11" s="118">
        <f t="shared" si="1"/>
        <v>0.17639092664092665</v>
      </c>
      <c r="CT11" s="118">
        <f t="shared" si="2"/>
        <v>0.15896903669724771</v>
      </c>
      <c r="CU11" s="118">
        <f t="shared" si="3"/>
        <v>0.2048002512562814</v>
      </c>
      <c r="CV11" s="118">
        <f t="shared" si="4"/>
        <v>0.15408424908424909</v>
      </c>
      <c r="CW11" s="118">
        <f t="shared" si="5"/>
        <v>0.13142896526373829</v>
      </c>
      <c r="CX11" s="118">
        <f t="shared" si="6"/>
        <v>0.4384478616049976</v>
      </c>
      <c r="CY11" s="118">
        <f t="shared" si="7"/>
        <v>0.23613247863247863</v>
      </c>
      <c r="CZ11" s="118">
        <f t="shared" si="8"/>
        <v>0.12368150876018301</v>
      </c>
      <c r="DA11" s="118">
        <f t="shared" si="9"/>
        <v>0.32728055555555557</v>
      </c>
      <c r="DB11" s="118">
        <f t="shared" si="10"/>
        <v>0.14498882993577214</v>
      </c>
      <c r="DC11" s="118">
        <f t="shared" si="11"/>
        <v>0.20969701149425288</v>
      </c>
    </row>
    <row r="12" spans="2:120" x14ac:dyDescent="0.2">
      <c r="B12" s="107" t="s">
        <v>508</v>
      </c>
      <c r="C12" s="191" t="s">
        <v>154</v>
      </c>
      <c r="D12" s="115">
        <f>SUMIFS(wallet_records!$D:$D,wallet_records!$B:$B,'EEFF 2023'!$C12,wallet_records!$L:$L,'EEFF 2023'!D$3,wallet_records!$O:$O,'EEFF 2023'!$B$1,wallet_records!$N:$N,'EEFF 2023'!D$2,wallet_records!$H:$H,'EEFF 2023'!$B12)</f>
        <v>1652293</v>
      </c>
      <c r="E12" s="115">
        <f>SUMIFS(wallet_records!$D:$D,wallet_records!$B:$B,'EEFF 2023'!$C12,wallet_records!$L:$L,'EEFF 2023'!E$3,wallet_records!$O:$O,'EEFF 2023'!$B$1,wallet_records!$N:$N,'EEFF 2023'!E$2,wallet_records!$H:$H,'EEFF 2023'!$B12)</f>
        <v>2905777</v>
      </c>
      <c r="F12" s="115">
        <f>SUMIFS(wallet_records!$D:$D,wallet_records!$B:$B,'EEFF 2023'!$C12,wallet_records!$L:$L,'EEFF 2023'!F$3,wallet_records!$O:$O,'EEFF 2023'!$B$1,wallet_records!$N:$N,'EEFF 2023'!F$2,wallet_records!$H:$H,'EEFF 2023'!$B12)</f>
        <v>1442921</v>
      </c>
      <c r="G12" s="115">
        <f>SUMIFS(wallet_records!$D:$D,wallet_records!$B:$B,'EEFF 2023'!$C12,wallet_records!$L:$L,'EEFF 2023'!G$3,wallet_records!$O:$O,'EEFF 2023'!$B$1,wallet_records!$N:$N,'EEFF 2023'!G$2,wallet_records!$H:$H,'EEFF 2023'!$B12)</f>
        <v>269629</v>
      </c>
      <c r="H12" s="115">
        <f>SUMIFS(wallet_records!$D:$D,wallet_records!$B:$B,'EEFF 2023'!$C12,wallet_records!$L:$L,'EEFF 2023'!H$3,wallet_records!$O:$O,'EEFF 2023'!$B$1,wallet_records!$N:$N,'EEFF 2023'!H$2,wallet_records!$H:$H,'EEFF 2023'!$B12)</f>
        <v>871419</v>
      </c>
      <c r="I12" s="115">
        <f>SUMIFS(wallet_records!$D:$D,wallet_records!$B:$B,'EEFF 2023'!$C12,wallet_records!$L:$L,'EEFF 2023'!I$3,wallet_records!$O:$O,'EEFF 2023'!$B$1,wallet_records!$N:$N,'EEFF 2023'!I$2,wallet_records!$H:$H,'EEFF 2023'!$B12)</f>
        <v>0</v>
      </c>
      <c r="J12" s="116">
        <f t="shared" si="14"/>
        <v>7142039</v>
      </c>
      <c r="K12" s="115">
        <f>SUMIFS(wallet_records!$D:$D,wallet_records!$B:$B,'EEFF 2023'!$C12,wallet_records!$L:$L,'EEFF 2023'!K$3,wallet_records!$O:$O,'EEFF 2023'!$B$1,wallet_records!$N:$N,'EEFF 2023'!K$2,wallet_records!$H:$H,'EEFF 2023'!$B12)</f>
        <v>0</v>
      </c>
      <c r="L12" s="115">
        <f>SUMIFS(wallet_records!$D:$D,wallet_records!$B:$B,'EEFF 2023'!$C12,wallet_records!$L:$L,'EEFF 2023'!L$3,wallet_records!$O:$O,'EEFF 2023'!$B$1,wallet_records!$N:$N,'EEFF 2023'!L$2,wallet_records!$H:$H,'EEFF 2023'!$B12)</f>
        <v>0</v>
      </c>
      <c r="M12" s="115">
        <f>SUMIFS(wallet_records!$D:$D,wallet_records!$B:$B,'EEFF 2023'!$C12,wallet_records!$L:$L,'EEFF 2023'!M$3,wallet_records!$O:$O,'EEFF 2023'!$B$1,wallet_records!$N:$N,'EEFF 2023'!M$2,wallet_records!$H:$H,'EEFF 2023'!$B12)</f>
        <v>0</v>
      </c>
      <c r="N12" s="115">
        <f>SUMIFS(wallet_records!$D:$D,wallet_records!$B:$B,'EEFF 2023'!$C12,wallet_records!$L:$L,'EEFF 2023'!N$3,wallet_records!$O:$O,'EEFF 2023'!$B$1,wallet_records!$N:$N,'EEFF 2023'!N$2,wallet_records!$H:$H,'EEFF 2023'!$B12)</f>
        <v>0</v>
      </c>
      <c r="O12" s="115">
        <f>SUMIFS(wallet_records!$D:$D,wallet_records!$B:$B,'EEFF 2023'!$C12,wallet_records!$L:$L,'EEFF 2023'!O$3,wallet_records!$O:$O,'EEFF 2023'!$B$1,wallet_records!$N:$N,'EEFF 2023'!O$2,wallet_records!$H:$H,'EEFF 2023'!$B12)</f>
        <v>0</v>
      </c>
      <c r="P12" s="115">
        <f>SUMIFS(wallet_records!$D:$D,wallet_records!$B:$B,'EEFF 2023'!$C12,wallet_records!$L:$L,'EEFF 2023'!P$3,wallet_records!$O:$O,'EEFF 2023'!$B$1,wallet_records!$N:$N,'EEFF 2023'!P$2,wallet_records!$H:$H,'EEFF 2023'!$B12)</f>
        <v>0</v>
      </c>
      <c r="Q12" s="116">
        <f t="shared" si="15"/>
        <v>0</v>
      </c>
      <c r="R12" s="115">
        <f>SUMIFS(wallet_records!$D:$D,wallet_records!$B:$B,'EEFF 2023'!$C12,wallet_records!$L:$L,'EEFF 2023'!R$3,wallet_records!$O:$O,'EEFF 2023'!$B$1,wallet_records!$N:$N,'EEFF 2023'!R$2,wallet_records!$H:$H,'EEFF 2023'!$B12)</f>
        <v>0</v>
      </c>
      <c r="S12" s="115">
        <f>SUMIFS(wallet_records!$D:$D,wallet_records!$B:$B,'EEFF 2023'!$C12,wallet_records!$L:$L,'EEFF 2023'!S$3,wallet_records!$O:$O,'EEFF 2023'!$B$1,wallet_records!$N:$N,'EEFF 2023'!S$2,wallet_records!$H:$H,'EEFF 2023'!$B12)</f>
        <v>0</v>
      </c>
      <c r="T12" s="115">
        <f>SUMIFS(wallet_records!$D:$D,wallet_records!$B:$B,'EEFF 2023'!$C12,wallet_records!$L:$L,'EEFF 2023'!T$3,wallet_records!$O:$O,'EEFF 2023'!$B$1,wallet_records!$N:$N,'EEFF 2023'!T$2,wallet_records!$H:$H,'EEFF 2023'!$B12)</f>
        <v>0</v>
      </c>
      <c r="U12" s="115">
        <f>SUMIFS(wallet_records!$D:$D,wallet_records!$B:$B,'EEFF 2023'!$C12,wallet_records!$L:$L,'EEFF 2023'!U$3,wallet_records!$O:$O,'EEFF 2023'!$B$1,wallet_records!$N:$N,'EEFF 2023'!U$2,wallet_records!$H:$H,'EEFF 2023'!$B12)</f>
        <v>0</v>
      </c>
      <c r="V12" s="115">
        <f>SUMIFS(wallet_records!$D:$D,wallet_records!$B:$B,'EEFF 2023'!$C12,wallet_records!$L:$L,'EEFF 2023'!V$3,wallet_records!$O:$O,'EEFF 2023'!$B$1,wallet_records!$N:$N,'EEFF 2023'!V$2,wallet_records!$H:$H,'EEFF 2023'!$B12)</f>
        <v>0</v>
      </c>
      <c r="W12" s="115">
        <f>SUMIFS(wallet_records!$D:$D,wallet_records!$B:$B,'EEFF 2023'!$C12,wallet_records!$L:$L,'EEFF 2023'!W$3,wallet_records!$O:$O,'EEFF 2023'!$B$1,wallet_records!$N:$N,'EEFF 2023'!W$2,wallet_records!$H:$H,'EEFF 2023'!$B12)</f>
        <v>765580</v>
      </c>
      <c r="X12" s="116">
        <f t="shared" si="16"/>
        <v>765580</v>
      </c>
      <c r="Y12" s="115">
        <f>SUMIFS(wallet_records!$D:$D,wallet_records!$B:$B,'EEFF 2023'!$C12,wallet_records!$L:$L,'EEFF 2023'!Y$3,wallet_records!$O:$O,'EEFF 2023'!$B$1,wallet_records!$N:$N,'EEFF 2023'!Y$2,wallet_records!$H:$H,'EEFF 2023'!$B12)</f>
        <v>0</v>
      </c>
      <c r="Z12" s="115">
        <f>SUMIFS(wallet_records!$D:$D,wallet_records!$B:$B,'EEFF 2023'!$C12,wallet_records!$L:$L,'EEFF 2023'!Z$3,wallet_records!$O:$O,'EEFF 2023'!$B$1,wallet_records!$N:$N,'EEFF 2023'!Z$2,wallet_records!$H:$H,'EEFF 2023'!$B12)</f>
        <v>0</v>
      </c>
      <c r="AA12" s="115">
        <f>SUMIFS(wallet_records!$D:$D,wallet_records!$B:$B,'EEFF 2023'!$C12,wallet_records!$L:$L,'EEFF 2023'!AA$3,wallet_records!$O:$O,'EEFF 2023'!$B$1,wallet_records!$N:$N,'EEFF 2023'!AA$2,wallet_records!$H:$H,'EEFF 2023'!$B12)</f>
        <v>0</v>
      </c>
      <c r="AB12" s="115">
        <f>SUMIFS(wallet_records!$D:$D,wallet_records!$B:$B,'EEFF 2023'!$C12,wallet_records!$L:$L,'EEFF 2023'!AB$3,wallet_records!$O:$O,'EEFF 2023'!$B$1,wallet_records!$N:$N,'EEFF 2023'!AB$2,wallet_records!$H:$H,'EEFF 2023'!$B12)</f>
        <v>0</v>
      </c>
      <c r="AC12" s="115">
        <f>SUMIFS(wallet_records!$D:$D,wallet_records!$B:$B,'EEFF 2023'!$C12,wallet_records!$L:$L,'EEFF 2023'!AC$3,wallet_records!$O:$O,'EEFF 2023'!$B$1,wallet_records!$N:$N,'EEFF 2023'!AC$2,wallet_records!$H:$H,'EEFF 2023'!$B12)</f>
        <v>0</v>
      </c>
      <c r="AD12" s="115">
        <f>SUMIFS(wallet_records!$D:$D,wallet_records!$B:$B,'EEFF 2023'!$C12,wallet_records!$L:$L,'EEFF 2023'!AD$3,wallet_records!$O:$O,'EEFF 2023'!$B$1,wallet_records!$N:$N,'EEFF 2023'!AD$2,wallet_records!$H:$H,'EEFF 2023'!$B12)</f>
        <v>0</v>
      </c>
      <c r="AE12" s="116">
        <f t="shared" si="17"/>
        <v>0</v>
      </c>
      <c r="AF12" s="115">
        <f>SUMIFS(wallet_records!$D:$D,wallet_records!$B:$B,'EEFF 2023'!$C12,wallet_records!$L:$L,'EEFF 2023'!AF$3,wallet_records!$O:$O,'EEFF 2023'!$B$1,wallet_records!$N:$N,'EEFF 2023'!AF$2,wallet_records!$H:$H,'EEFF 2023'!$B12)</f>
        <v>0</v>
      </c>
      <c r="AG12" s="115">
        <f>SUMIFS(wallet_records!$D:$D,wallet_records!$B:$B,'EEFF 2023'!$C12,wallet_records!$L:$L,'EEFF 2023'!AG$3,wallet_records!$O:$O,'EEFF 2023'!$B$1,wallet_records!$N:$N,'EEFF 2023'!AG$2,wallet_records!$H:$H,'EEFF 2023'!$B12)</f>
        <v>0</v>
      </c>
      <c r="AH12" s="115">
        <f>SUMIFS(wallet_records!$D:$D,wallet_records!$B:$B,'EEFF 2023'!$C12,wallet_records!$L:$L,'EEFF 2023'!AH$3,wallet_records!$O:$O,'EEFF 2023'!$B$1,wallet_records!$N:$N,'EEFF 2023'!AH$2,wallet_records!$H:$H,'EEFF 2023'!$B12)</f>
        <v>0</v>
      </c>
      <c r="AI12" s="115">
        <f>SUMIFS(wallet_records!$D:$D,wallet_records!$B:$B,'EEFF 2023'!$C12,wallet_records!$L:$L,'EEFF 2023'!AI$3,wallet_records!$O:$O,'EEFF 2023'!$B$1,wallet_records!$N:$N,'EEFF 2023'!AI$2,wallet_records!$H:$H,'EEFF 2023'!$B12)</f>
        <v>0</v>
      </c>
      <c r="AJ12" s="115">
        <f>SUMIFS(wallet_records!$D:$D,wallet_records!$B:$B,'EEFF 2023'!$C12,wallet_records!$L:$L,'EEFF 2023'!AJ$3,wallet_records!$O:$O,'EEFF 2023'!$B$1,wallet_records!$N:$N,'EEFF 2023'!AJ$2,wallet_records!$H:$H,'EEFF 2023'!$B12)</f>
        <v>0</v>
      </c>
      <c r="AK12" s="115">
        <f>SUMIFS(wallet_records!$D:$D,wallet_records!$B:$B,'EEFF 2023'!$C12,wallet_records!$L:$L,'EEFF 2023'!AK$3,wallet_records!$O:$O,'EEFF 2023'!$B$1,wallet_records!$N:$N,'EEFF 2023'!AK$2,wallet_records!$H:$H,'EEFF 2023'!$B12)</f>
        <v>0</v>
      </c>
      <c r="AL12" s="116">
        <f t="shared" si="18"/>
        <v>0</v>
      </c>
      <c r="AM12" s="115">
        <f>SUMIFS(wallet_records!$D:$D,wallet_records!$B:$B,'EEFF 2023'!$C12,wallet_records!$L:$L,'EEFF 2023'!AM$3,wallet_records!$O:$O,'EEFF 2023'!$B$1,wallet_records!$N:$N,'EEFF 2023'!AM$2,wallet_records!$H:$H,'EEFF 2023'!$B12)</f>
        <v>0</v>
      </c>
      <c r="AN12" s="115">
        <f>SUMIFS(wallet_records!$D:$D,wallet_records!$B:$B,'EEFF 2023'!$C12,wallet_records!$L:$L,'EEFF 2023'!AN$3,wallet_records!$O:$O,'EEFF 2023'!$B$1,wallet_records!$N:$N,'EEFF 2023'!AN$2,wallet_records!$H:$H,'EEFF 2023'!$B12)</f>
        <v>0</v>
      </c>
      <c r="AO12" s="115">
        <f>SUMIFS(wallet_records!$D:$D,wallet_records!$B:$B,'EEFF 2023'!$C12,wallet_records!$L:$L,'EEFF 2023'!AO$3,wallet_records!$O:$O,'EEFF 2023'!$B$1,wallet_records!$N:$N,'EEFF 2023'!AO$2,wallet_records!$H:$H,'EEFF 2023'!$B12)</f>
        <v>0</v>
      </c>
      <c r="AP12" s="115">
        <f>SUMIFS(wallet_records!$D:$D,wallet_records!$B:$B,'EEFF 2023'!$C12,wallet_records!$L:$L,'EEFF 2023'!AP$3,wallet_records!$O:$O,'EEFF 2023'!$B$1,wallet_records!$N:$N,'EEFF 2023'!AP$2,wallet_records!$H:$H,'EEFF 2023'!$B12)</f>
        <v>0</v>
      </c>
      <c r="AQ12" s="115">
        <f>SUMIFS(wallet_records!$D:$D,wallet_records!$B:$B,'EEFF 2023'!$C12,wallet_records!$L:$L,'EEFF 2023'!AQ$3,wallet_records!$O:$O,'EEFF 2023'!$B$1,wallet_records!$N:$N,'EEFF 2023'!AQ$2,wallet_records!$H:$H,'EEFF 2023'!$B12)</f>
        <v>0</v>
      </c>
      <c r="AR12" s="115">
        <f>SUMIFS(wallet_records!$D:$D,wallet_records!$B:$B,'EEFF 2023'!$C12,wallet_records!$L:$L,'EEFF 2023'!AR$3,wallet_records!$O:$O,'EEFF 2023'!$B$1,wallet_records!$N:$N,'EEFF 2023'!AR$2,wallet_records!$H:$H,'EEFF 2023'!$B12)</f>
        <v>0</v>
      </c>
      <c r="AS12" s="116">
        <f t="shared" si="19"/>
        <v>0</v>
      </c>
      <c r="AT12" s="115">
        <f>SUMIFS(wallet_records!$D:$D,wallet_records!$B:$B,'EEFF 2023'!$C12,wallet_records!$L:$L,'EEFF 2023'!AT$3,wallet_records!$O:$O,'EEFF 2023'!$B$1,wallet_records!$N:$N,'EEFF 2023'!AT$2,wallet_records!$H:$H,'EEFF 2023'!$B12)</f>
        <v>0</v>
      </c>
      <c r="AU12" s="115">
        <f>SUMIFS(wallet_records!$D:$D,wallet_records!$B:$B,'EEFF 2023'!$C12,wallet_records!$L:$L,'EEFF 2023'!AU$3,wallet_records!$O:$O,'EEFF 2023'!$B$1,wallet_records!$N:$N,'EEFF 2023'!AU$2,wallet_records!$H:$H,'EEFF 2023'!$B12)</f>
        <v>0</v>
      </c>
      <c r="AV12" s="115">
        <f>SUMIFS(wallet_records!$D:$D,wallet_records!$B:$B,'EEFF 2023'!$C12,wallet_records!$L:$L,'EEFF 2023'!AV$3,wallet_records!$O:$O,'EEFF 2023'!$B$1,wallet_records!$N:$N,'EEFF 2023'!AV$2,wallet_records!$H:$H,'EEFF 2023'!$B12)</f>
        <v>0</v>
      </c>
      <c r="AW12" s="115">
        <f>SUMIFS(wallet_records!$D:$D,wallet_records!$B:$B,'EEFF 2023'!$C12,wallet_records!$L:$L,'EEFF 2023'!AW$3,wallet_records!$O:$O,'EEFF 2023'!$B$1,wallet_records!$N:$N,'EEFF 2023'!AW$2,wallet_records!$H:$H,'EEFF 2023'!$B12)</f>
        <v>0</v>
      </c>
      <c r="AX12" s="115">
        <f>SUMIFS(wallet_records!$D:$D,wallet_records!$B:$B,'EEFF 2023'!$C12,wallet_records!$L:$L,'EEFF 2023'!AX$3,wallet_records!$O:$O,'EEFF 2023'!$B$1,wallet_records!$N:$N,'EEFF 2023'!AX$2,wallet_records!$H:$H,'EEFF 2023'!$B12)</f>
        <v>0</v>
      </c>
      <c r="AY12" s="115">
        <f>SUMIFS(wallet_records!$D:$D,wallet_records!$B:$B,'EEFF 2023'!$C12,wallet_records!$L:$L,'EEFF 2023'!AY$3,wallet_records!$O:$O,'EEFF 2023'!$B$1,wallet_records!$N:$N,'EEFF 2023'!AY$2,wallet_records!$H:$H,'EEFF 2023'!$B12)</f>
        <v>0</v>
      </c>
      <c r="AZ12" s="116">
        <f t="shared" si="20"/>
        <v>0</v>
      </c>
      <c r="BA12" s="115">
        <f>SUMIFS(wallet_records!$D:$D,wallet_records!$B:$B,'EEFF 2023'!$C12,wallet_records!$L:$L,'EEFF 2023'!BA$3,wallet_records!$O:$O,'EEFF 2023'!$B$1,wallet_records!$N:$N,'EEFF 2023'!BA$2,wallet_records!$H:$H,'EEFF 2023'!$B12)</f>
        <v>0</v>
      </c>
      <c r="BB12" s="115">
        <f>SUMIFS(wallet_records!$D:$D,wallet_records!$B:$B,'EEFF 2023'!$C12,wallet_records!$L:$L,'EEFF 2023'!BB$3,wallet_records!$O:$O,'EEFF 2023'!$B$1,wallet_records!$N:$N,'EEFF 2023'!BB$2,wallet_records!$H:$H,'EEFF 2023'!$B12)</f>
        <v>0</v>
      </c>
      <c r="BC12" s="115">
        <f>SUMIFS(wallet_records!$D:$D,wallet_records!$B:$B,'EEFF 2023'!$C12,wallet_records!$L:$L,'EEFF 2023'!BC$3,wallet_records!$O:$O,'EEFF 2023'!$B$1,wallet_records!$N:$N,'EEFF 2023'!BC$2,wallet_records!$H:$H,'EEFF 2023'!$B12)</f>
        <v>0</v>
      </c>
      <c r="BD12" s="115">
        <f>SUMIFS(wallet_records!$D:$D,wallet_records!$B:$B,'EEFF 2023'!$C12,wallet_records!$L:$L,'EEFF 2023'!BD$3,wallet_records!$O:$O,'EEFF 2023'!$B$1,wallet_records!$N:$N,'EEFF 2023'!BD$2,wallet_records!$H:$H,'EEFF 2023'!$B12)</f>
        <v>0</v>
      </c>
      <c r="BE12" s="115">
        <f>SUMIFS(wallet_records!$D:$D,wallet_records!$B:$B,'EEFF 2023'!$C12,wallet_records!$L:$L,'EEFF 2023'!BE$3,wallet_records!$O:$O,'EEFF 2023'!$B$1,wallet_records!$N:$N,'EEFF 2023'!BE$2,wallet_records!$H:$H,'EEFF 2023'!$B12)</f>
        <v>0</v>
      </c>
      <c r="BF12" s="115">
        <f>SUMIFS(wallet_records!$D:$D,wallet_records!$B:$B,'EEFF 2023'!$C12,wallet_records!$L:$L,'EEFF 2023'!BF$3,wallet_records!$O:$O,'EEFF 2023'!$B$1,wallet_records!$N:$N,'EEFF 2023'!BF$2,wallet_records!$H:$H,'EEFF 2023'!$B12)</f>
        <v>0</v>
      </c>
      <c r="BG12" s="116">
        <f t="shared" si="21"/>
        <v>0</v>
      </c>
      <c r="BH12" s="115">
        <f>SUMIFS(wallet_records!$D:$D,wallet_records!$B:$B,'EEFF 2023'!$C12,wallet_records!$L:$L,'EEFF 2023'!BH$3,wallet_records!$O:$O,'EEFF 2023'!$B$1,wallet_records!$N:$N,'EEFF 2023'!BH$2,wallet_records!$H:$H,'EEFF 2023'!$B12)</f>
        <v>0</v>
      </c>
      <c r="BI12" s="115">
        <f>SUMIFS(wallet_records!$D:$D,wallet_records!$B:$B,'EEFF 2023'!$C12,wallet_records!$L:$L,'EEFF 2023'!BI$3,wallet_records!$O:$O,'EEFF 2023'!$B$1,wallet_records!$N:$N,'EEFF 2023'!BI$2,wallet_records!$H:$H,'EEFF 2023'!$B12)</f>
        <v>0</v>
      </c>
      <c r="BJ12" s="115">
        <f>SUMIFS(wallet_records!$D:$D,wallet_records!$B:$B,'EEFF 2023'!$C12,wallet_records!$L:$L,'EEFF 2023'!BJ$3,wallet_records!$O:$O,'EEFF 2023'!$B$1,wallet_records!$N:$N,'EEFF 2023'!BJ$2,wallet_records!$H:$H,'EEFF 2023'!$B12)</f>
        <v>0</v>
      </c>
      <c r="BK12" s="115">
        <f>SUMIFS(wallet_records!$D:$D,wallet_records!$B:$B,'EEFF 2023'!$C12,wallet_records!$L:$L,'EEFF 2023'!BK$3,wallet_records!$O:$O,'EEFF 2023'!$B$1,wallet_records!$N:$N,'EEFF 2023'!BK$2,wallet_records!$H:$H,'EEFF 2023'!$B12)</f>
        <v>0</v>
      </c>
      <c r="BL12" s="115">
        <f>SUMIFS(wallet_records!$D:$D,wallet_records!$B:$B,'EEFF 2023'!$C12,wallet_records!$L:$L,'EEFF 2023'!BL$3,wallet_records!$O:$O,'EEFF 2023'!$B$1,wallet_records!$N:$N,'EEFF 2023'!BL$2,wallet_records!$H:$H,'EEFF 2023'!$B12)</f>
        <v>0</v>
      </c>
      <c r="BM12" s="115">
        <f>SUMIFS(wallet_records!$D:$D,wallet_records!$B:$B,'EEFF 2023'!$C12,wallet_records!$L:$L,'EEFF 2023'!BM$3,wallet_records!$O:$O,'EEFF 2023'!$B$1,wallet_records!$N:$N,'EEFF 2023'!BM$2,wallet_records!$H:$H,'EEFF 2023'!$B12)</f>
        <v>0</v>
      </c>
      <c r="BN12" s="116">
        <f t="shared" si="22"/>
        <v>0</v>
      </c>
      <c r="BO12" s="115">
        <f>SUMIFS(wallet_records!$D:$D,wallet_records!$B:$B,'EEFF 2023'!$C12,wallet_records!$L:$L,'EEFF 2023'!BO$3,wallet_records!$O:$O,'EEFF 2023'!$B$1,wallet_records!$N:$N,'EEFF 2023'!BO$2,wallet_records!$H:$H,'EEFF 2023'!$B12)</f>
        <v>0</v>
      </c>
      <c r="BP12" s="115">
        <f>SUMIFS(wallet_records!$D:$D,wallet_records!$B:$B,'EEFF 2023'!$C12,wallet_records!$L:$L,'EEFF 2023'!BP$3,wallet_records!$O:$O,'EEFF 2023'!$B$1,wallet_records!$N:$N,'EEFF 2023'!BP$2,wallet_records!$H:$H,'EEFF 2023'!$B12)</f>
        <v>0</v>
      </c>
      <c r="BQ12" s="115">
        <f>SUMIFS(wallet_records!$D:$D,wallet_records!$B:$B,'EEFF 2023'!$C12,wallet_records!$L:$L,'EEFF 2023'!BQ$3,wallet_records!$O:$O,'EEFF 2023'!$B$1,wallet_records!$N:$N,'EEFF 2023'!BQ$2,wallet_records!$H:$H,'EEFF 2023'!$B12)</f>
        <v>0</v>
      </c>
      <c r="BR12" s="115">
        <f>SUMIFS(wallet_records!$D:$D,wallet_records!$B:$B,'EEFF 2023'!$C12,wallet_records!$L:$L,'EEFF 2023'!BR$3,wallet_records!$O:$O,'EEFF 2023'!$B$1,wallet_records!$N:$N,'EEFF 2023'!BR$2,wallet_records!$H:$H,'EEFF 2023'!$B12)</f>
        <v>0</v>
      </c>
      <c r="BS12" s="115">
        <f>SUMIFS(wallet_records!$D:$D,wallet_records!$B:$B,'EEFF 2023'!$C12,wallet_records!$L:$L,'EEFF 2023'!BS$3,wallet_records!$O:$O,'EEFF 2023'!$B$1,wallet_records!$N:$N,'EEFF 2023'!BS$2,wallet_records!$H:$H,'EEFF 2023'!$B12)</f>
        <v>0</v>
      </c>
      <c r="BT12" s="115">
        <f>SUMIFS(wallet_records!$D:$D,wallet_records!$B:$B,'EEFF 2023'!$C12,wallet_records!$L:$L,'EEFF 2023'!BT$3,wallet_records!$O:$O,'EEFF 2023'!$B$1,wallet_records!$N:$N,'EEFF 2023'!BT$2,wallet_records!$H:$H,'EEFF 2023'!$B12)</f>
        <v>0</v>
      </c>
      <c r="BU12" s="116">
        <f t="shared" si="23"/>
        <v>0</v>
      </c>
      <c r="BV12" s="115">
        <f>SUMIFS(wallet_records!$D:$D,wallet_records!$B:$B,'EEFF 2023'!$C12,wallet_records!$L:$L,'EEFF 2023'!BV$3,wallet_records!$O:$O,'EEFF 2023'!$B$1,wallet_records!$N:$N,'EEFF 2023'!BV$2,wallet_records!$H:$H,'EEFF 2023'!$B12)</f>
        <v>0</v>
      </c>
      <c r="BW12" s="115">
        <f>SUMIFS(wallet_records!$D:$D,wallet_records!$B:$B,'EEFF 2023'!$C12,wallet_records!$L:$L,'EEFF 2023'!BW$3,wallet_records!$O:$O,'EEFF 2023'!$B$1,wallet_records!$N:$N,'EEFF 2023'!BW$2,wallet_records!$H:$H,'EEFF 2023'!$B12)</f>
        <v>0</v>
      </c>
      <c r="BX12" s="115">
        <f>SUMIFS(wallet_records!$D:$D,wallet_records!$B:$B,'EEFF 2023'!$C12,wallet_records!$L:$L,'EEFF 2023'!BX$3,wallet_records!$O:$O,'EEFF 2023'!$B$1,wallet_records!$N:$N,'EEFF 2023'!BX$2,wallet_records!$H:$H,'EEFF 2023'!$B12)</f>
        <v>0</v>
      </c>
      <c r="BY12" s="115">
        <f>SUMIFS(wallet_records!$D:$D,wallet_records!$B:$B,'EEFF 2023'!$C12,wallet_records!$L:$L,'EEFF 2023'!BY$3,wallet_records!$O:$O,'EEFF 2023'!$B$1,wallet_records!$N:$N,'EEFF 2023'!BY$2,wallet_records!$H:$H,'EEFF 2023'!$B12)</f>
        <v>0</v>
      </c>
      <c r="BZ12" s="115">
        <f>SUMIFS(wallet_records!$D:$D,wallet_records!$B:$B,'EEFF 2023'!$C12,wallet_records!$L:$L,'EEFF 2023'!BZ$3,wallet_records!$O:$O,'EEFF 2023'!$B$1,wallet_records!$N:$N,'EEFF 2023'!BZ$2,wallet_records!$H:$H,'EEFF 2023'!$B12)</f>
        <v>0</v>
      </c>
      <c r="CA12" s="115">
        <f>SUMIFS(wallet_records!$D:$D,wallet_records!$B:$B,'EEFF 2023'!$C12,wallet_records!$L:$L,'EEFF 2023'!CA$3,wallet_records!$O:$O,'EEFF 2023'!$B$1,wallet_records!$N:$N,'EEFF 2023'!CA$2,wallet_records!$H:$H,'EEFF 2023'!$B12)</f>
        <v>0</v>
      </c>
      <c r="CB12" s="116">
        <f t="shared" si="24"/>
        <v>0</v>
      </c>
      <c r="CC12" s="115">
        <f>SUMIFS(wallet_records!$D:$D,wallet_records!$B:$B,'EEFF 2023'!$C12,wallet_records!$L:$L,'EEFF 2023'!CC$3,wallet_records!$O:$O,'EEFF 2023'!$B$1,wallet_records!$N:$N,'EEFF 2023'!CC$2,wallet_records!$H:$H,'EEFF 2023'!$B12)</f>
        <v>0</v>
      </c>
      <c r="CD12" s="115">
        <f>SUMIFS(wallet_records!$D:$D,wallet_records!$B:$B,'EEFF 2023'!$C12,wallet_records!$L:$L,'EEFF 2023'!CD$3,wallet_records!$O:$O,'EEFF 2023'!$B$1,wallet_records!$N:$N,'EEFF 2023'!CD$2,wallet_records!$H:$H,'EEFF 2023'!$B12)</f>
        <v>0</v>
      </c>
      <c r="CE12" s="115">
        <f>SUMIFS(wallet_records!$D:$D,wallet_records!$B:$B,'EEFF 2023'!$C12,wallet_records!$L:$L,'EEFF 2023'!CE$3,wallet_records!$O:$O,'EEFF 2023'!$B$1,wallet_records!$N:$N,'EEFF 2023'!CE$2,wallet_records!$H:$H,'EEFF 2023'!$B12)</f>
        <v>0</v>
      </c>
      <c r="CF12" s="115">
        <f>SUMIFS(wallet_records!$D:$D,wallet_records!$B:$B,'EEFF 2023'!$C12,wallet_records!$L:$L,'EEFF 2023'!CF$3,wallet_records!$O:$O,'EEFF 2023'!$B$1,wallet_records!$N:$N,'EEFF 2023'!CF$2,wallet_records!$H:$H,'EEFF 2023'!$B12)</f>
        <v>0</v>
      </c>
      <c r="CG12" s="115">
        <f>SUMIFS(wallet_records!$D:$D,wallet_records!$B:$B,'EEFF 2023'!$C12,wallet_records!$L:$L,'EEFF 2023'!CG$3,wallet_records!$O:$O,'EEFF 2023'!$B$1,wallet_records!$N:$N,'EEFF 2023'!CG$2,wallet_records!$H:$H,'EEFF 2023'!$B12)</f>
        <v>0</v>
      </c>
      <c r="CH12" s="115">
        <f>SUMIFS(wallet_records!$D:$D,wallet_records!$B:$B,'EEFF 2023'!$C12,wallet_records!$L:$L,'EEFF 2023'!CH$3,wallet_records!$O:$O,'EEFF 2023'!$B$1,wallet_records!$N:$N,'EEFF 2023'!CH$2,wallet_records!$H:$H,'EEFF 2023'!$B12)</f>
        <v>0</v>
      </c>
      <c r="CI12" s="116">
        <f t="shared" si="25"/>
        <v>0</v>
      </c>
      <c r="CJ12" s="115">
        <f>SUMIFS(wallet_records!$D:$D,wallet_records!$B:$B,'EEFF 2023'!$C12,wallet_records!$L:$L,'EEFF 2023'!CJ$3,wallet_records!$O:$O,'EEFF 2023'!$B$1,wallet_records!$H:$H,'EEFF 2023'!$B12)</f>
        <v>1652293</v>
      </c>
      <c r="CK12" s="115">
        <f>SUMIFS(wallet_records!$D:$D,wallet_records!$B:$B,'EEFF 2023'!$C12,wallet_records!$L:$L,'EEFF 2023'!CK$3,wallet_records!$O:$O,'EEFF 2023'!$B$1,wallet_records!$H:$H,'EEFF 2023'!$B12)</f>
        <v>2905777</v>
      </c>
      <c r="CL12" s="115">
        <f>SUMIFS(wallet_records!$D:$D,wallet_records!$B:$B,'EEFF 2023'!$C12,wallet_records!$L:$L,'EEFF 2023'!CL$3,wallet_records!$O:$O,'EEFF 2023'!$B$1,wallet_records!$H:$H,'EEFF 2023'!$B12)</f>
        <v>1442921</v>
      </c>
      <c r="CM12" s="115">
        <f>SUMIFS(wallet_records!$D:$D,wallet_records!$B:$B,'EEFF 2023'!$C12,wallet_records!$L:$L,'EEFF 2023'!CM$3,wallet_records!$O:$O,'EEFF 2023'!$B$1,wallet_records!$H:$H,'EEFF 2023'!$B12)</f>
        <v>269629</v>
      </c>
      <c r="CN12" s="115">
        <f>SUMIFS(wallet_records!$D:$D,wallet_records!$B:$B,'EEFF 2023'!$C12,wallet_records!$L:$L,'EEFF 2023'!CN$3,wallet_records!$O:$O,'EEFF 2023'!$B$1,wallet_records!$H:$H,'EEFF 2023'!$B12)</f>
        <v>871419</v>
      </c>
      <c r="CO12" s="115">
        <f>SUMIFS(wallet_records!$D:$D,wallet_records!$B:$B,'EEFF 2023'!$C12,wallet_records!$L:$L,'EEFF 2023'!CO$3,wallet_records!$O:$O,'EEFF 2023'!$B$1,wallet_records!$H:$H,'EEFF 2023'!$B12)</f>
        <v>765580</v>
      </c>
      <c r="CP12" s="116">
        <f t="shared" si="26"/>
        <v>7907619</v>
      </c>
      <c r="CQ12" s="107"/>
      <c r="CR12" s="118">
        <f t="shared" si="0"/>
        <v>2.0405825714285712</v>
      </c>
      <c r="CS12" s="118">
        <f t="shared" si="1"/>
        <v>0</v>
      </c>
      <c r="CT12" s="118">
        <f t="shared" si="2"/>
        <v>0.17559174311926606</v>
      </c>
      <c r="CU12" s="118">
        <f t="shared" si="3"/>
        <v>0</v>
      </c>
      <c r="CV12" s="118">
        <f t="shared" si="4"/>
        <v>0</v>
      </c>
      <c r="CW12" s="118">
        <f t="shared" si="5"/>
        <v>0</v>
      </c>
      <c r="CX12" s="118">
        <f t="shared" si="6"/>
        <v>0</v>
      </c>
      <c r="CY12" s="118">
        <f t="shared" si="7"/>
        <v>0</v>
      </c>
      <c r="CZ12" s="118">
        <f t="shared" si="8"/>
        <v>0</v>
      </c>
      <c r="DA12" s="118">
        <f t="shared" si="9"/>
        <v>0</v>
      </c>
      <c r="DB12" s="118">
        <f t="shared" si="10"/>
        <v>0</v>
      </c>
      <c r="DC12" s="118">
        <f t="shared" si="11"/>
        <v>0</v>
      </c>
    </row>
    <row r="13" spans="2:120" x14ac:dyDescent="0.2">
      <c r="B13" s="10" t="s">
        <v>510</v>
      </c>
      <c r="C13" s="191" t="s">
        <v>154</v>
      </c>
      <c r="D13" s="115">
        <f>SUMIFS(wallet_records!$D:$D,wallet_records!$B:$B,'EEFF 2023'!$C13,wallet_records!$L:$L,'EEFF 2023'!D$3,wallet_records!$O:$O,'EEFF 2023'!$B$1,wallet_records!$N:$N,'EEFF 2023'!D$2,wallet_records!$H:$H,'EEFF 2023'!$B13)</f>
        <v>0</v>
      </c>
      <c r="E13" s="115">
        <f>SUMIFS(wallet_records!$D:$D,wallet_records!$B:$B,'EEFF 2023'!$C13,wallet_records!$L:$L,'EEFF 2023'!E$3,wallet_records!$O:$O,'EEFF 2023'!$B$1,wallet_records!$N:$N,'EEFF 2023'!E$2,wallet_records!$H:$H,'EEFF 2023'!$B13)</f>
        <v>0</v>
      </c>
      <c r="F13" s="115">
        <f>SUMIFS(wallet_records!$D:$D,wallet_records!$B:$B,'EEFF 2023'!$C13,wallet_records!$L:$L,'EEFF 2023'!F$3,wallet_records!$O:$O,'EEFF 2023'!$B$1,wallet_records!$N:$N,'EEFF 2023'!F$2,wallet_records!$H:$H,'EEFF 2023'!$B13)</f>
        <v>0</v>
      </c>
      <c r="G13" s="115">
        <f>SUMIFS(wallet_records!$D:$D,wallet_records!$B:$B,'EEFF 2023'!$C13,wallet_records!$L:$L,'EEFF 2023'!G$3,wallet_records!$O:$O,'EEFF 2023'!$B$1,wallet_records!$N:$N,'EEFF 2023'!G$2,wallet_records!$H:$H,'EEFF 2023'!$B13)</f>
        <v>0</v>
      </c>
      <c r="H13" s="115">
        <f>SUMIFS(wallet_records!$D:$D,wallet_records!$B:$B,'EEFF 2023'!$C13,wallet_records!$L:$L,'EEFF 2023'!H$3,wallet_records!$O:$O,'EEFF 2023'!$B$1,wallet_records!$N:$N,'EEFF 2023'!H$2,wallet_records!$H:$H,'EEFF 2023'!$B13)</f>
        <v>0</v>
      </c>
      <c r="I13" s="115">
        <f>SUMIFS(wallet_records!$D:$D,wallet_records!$B:$B,'EEFF 2023'!$C13,wallet_records!$L:$L,'EEFF 2023'!I$3,wallet_records!$O:$O,'EEFF 2023'!$B$1,wallet_records!$N:$N,'EEFF 2023'!I$2,wallet_records!$H:$H,'EEFF 2023'!$B13)</f>
        <v>0</v>
      </c>
      <c r="J13" s="116">
        <f t="shared" si="14"/>
        <v>0</v>
      </c>
      <c r="K13" s="115">
        <f>SUMIFS(wallet_records!$D:$D,wallet_records!$B:$B,'EEFF 2023'!$C13,wallet_records!$L:$L,'EEFF 2023'!K$3,wallet_records!$O:$O,'EEFF 2023'!$B$1,wallet_records!$N:$N,'EEFF 2023'!K$2,wallet_records!$H:$H,'EEFF 2023'!$B13)</f>
        <v>0</v>
      </c>
      <c r="L13" s="115">
        <f>SUMIFS(wallet_records!$D:$D,wallet_records!$B:$B,'EEFF 2023'!$C13,wallet_records!$L:$L,'EEFF 2023'!L$3,wallet_records!$O:$O,'EEFF 2023'!$B$1,wallet_records!$N:$N,'EEFF 2023'!L$2,wallet_records!$H:$H,'EEFF 2023'!$B13)</f>
        <v>0</v>
      </c>
      <c r="M13" s="115">
        <f>SUMIFS(wallet_records!$D:$D,wallet_records!$B:$B,'EEFF 2023'!$C13,wallet_records!$L:$L,'EEFF 2023'!M$3,wallet_records!$O:$O,'EEFF 2023'!$B$1,wallet_records!$N:$N,'EEFF 2023'!M$2,wallet_records!$H:$H,'EEFF 2023'!$B13)</f>
        <v>0</v>
      </c>
      <c r="N13" s="115">
        <f>SUMIFS(wallet_records!$D:$D,wallet_records!$B:$B,'EEFF 2023'!$C13,wallet_records!$L:$L,'EEFF 2023'!N$3,wallet_records!$O:$O,'EEFF 2023'!$B$1,wallet_records!$N:$N,'EEFF 2023'!N$2,wallet_records!$H:$H,'EEFF 2023'!$B13)</f>
        <v>0</v>
      </c>
      <c r="O13" s="115">
        <f>SUMIFS(wallet_records!$D:$D,wallet_records!$B:$B,'EEFF 2023'!$C13,wallet_records!$L:$L,'EEFF 2023'!O$3,wallet_records!$O:$O,'EEFF 2023'!$B$1,wallet_records!$N:$N,'EEFF 2023'!O$2,wallet_records!$H:$H,'EEFF 2023'!$B13)</f>
        <v>0</v>
      </c>
      <c r="P13" s="115">
        <f>SUMIFS(wallet_records!$D:$D,wallet_records!$B:$B,'EEFF 2023'!$C13,wallet_records!$L:$L,'EEFF 2023'!P$3,wallet_records!$O:$O,'EEFF 2023'!$B$1,wallet_records!$N:$N,'EEFF 2023'!P$2,wallet_records!$H:$H,'EEFF 2023'!$B13)</f>
        <v>0</v>
      </c>
      <c r="Q13" s="116">
        <f t="shared" si="15"/>
        <v>0</v>
      </c>
      <c r="R13" s="115">
        <f>SUMIFS(wallet_records!$D:$D,wallet_records!$B:$B,'EEFF 2023'!$C13,wallet_records!$L:$L,'EEFF 2023'!R$3,wallet_records!$O:$O,'EEFF 2023'!$B$1,wallet_records!$N:$N,'EEFF 2023'!R$2,wallet_records!$H:$H,'EEFF 2023'!$B13)</f>
        <v>0</v>
      </c>
      <c r="S13" s="115">
        <f>SUMIFS(wallet_records!$D:$D,wallet_records!$B:$B,'EEFF 2023'!$C13,wallet_records!$L:$L,'EEFF 2023'!S$3,wallet_records!$O:$O,'EEFF 2023'!$B$1,wallet_records!$N:$N,'EEFF 2023'!S$2,wallet_records!$H:$H,'EEFF 2023'!$B13)</f>
        <v>0</v>
      </c>
      <c r="T13" s="115">
        <f>SUMIFS(wallet_records!$D:$D,wallet_records!$B:$B,'EEFF 2023'!$C13,wallet_records!$L:$L,'EEFF 2023'!T$3,wallet_records!$O:$O,'EEFF 2023'!$B$1,wallet_records!$N:$N,'EEFF 2023'!T$2,wallet_records!$H:$H,'EEFF 2023'!$B13)</f>
        <v>0</v>
      </c>
      <c r="U13" s="115">
        <f>SUMIFS(wallet_records!$D:$D,wallet_records!$B:$B,'EEFF 2023'!$C13,wallet_records!$L:$L,'EEFF 2023'!U$3,wallet_records!$O:$O,'EEFF 2023'!$B$1,wallet_records!$N:$N,'EEFF 2023'!U$2,wallet_records!$H:$H,'EEFF 2023'!$B13)</f>
        <v>0</v>
      </c>
      <c r="V13" s="115">
        <f>SUMIFS(wallet_records!$D:$D,wallet_records!$B:$B,'EEFF 2023'!$C13,wallet_records!$L:$L,'EEFF 2023'!V$3,wallet_records!$O:$O,'EEFF 2023'!$B$1,wallet_records!$N:$N,'EEFF 2023'!V$2,wallet_records!$H:$H,'EEFF 2023'!$B13)</f>
        <v>0</v>
      </c>
      <c r="W13" s="115">
        <f>SUMIFS(wallet_records!$D:$D,wallet_records!$B:$B,'EEFF 2023'!$C13,wallet_records!$L:$L,'EEFF 2023'!W$3,wallet_records!$O:$O,'EEFF 2023'!$B$1,wallet_records!$N:$N,'EEFF 2023'!W$2,wallet_records!$H:$H,'EEFF 2023'!$B13)</f>
        <v>0</v>
      </c>
      <c r="X13" s="116">
        <f t="shared" si="16"/>
        <v>0</v>
      </c>
      <c r="Y13" s="115">
        <f>SUMIFS(wallet_records!$D:$D,wallet_records!$B:$B,'EEFF 2023'!$C13,wallet_records!$L:$L,'EEFF 2023'!Y$3,wallet_records!$O:$O,'EEFF 2023'!$B$1,wallet_records!$N:$N,'EEFF 2023'!Y$2,wallet_records!$H:$H,'EEFF 2023'!$B13)</f>
        <v>0</v>
      </c>
      <c r="Z13" s="115">
        <f>SUMIFS(wallet_records!$D:$D,wallet_records!$B:$B,'EEFF 2023'!$C13,wallet_records!$L:$L,'EEFF 2023'!Z$3,wallet_records!$O:$O,'EEFF 2023'!$B$1,wallet_records!$N:$N,'EEFF 2023'!Z$2,wallet_records!$H:$H,'EEFF 2023'!$B13)</f>
        <v>0</v>
      </c>
      <c r="AA13" s="115">
        <f>SUMIFS(wallet_records!$D:$D,wallet_records!$B:$B,'EEFF 2023'!$C13,wallet_records!$L:$L,'EEFF 2023'!AA$3,wallet_records!$O:$O,'EEFF 2023'!$B$1,wallet_records!$N:$N,'EEFF 2023'!AA$2,wallet_records!$H:$H,'EEFF 2023'!$B13)</f>
        <v>0</v>
      </c>
      <c r="AB13" s="115">
        <f>SUMIFS(wallet_records!$D:$D,wallet_records!$B:$B,'EEFF 2023'!$C13,wallet_records!$L:$L,'EEFF 2023'!AB$3,wallet_records!$O:$O,'EEFF 2023'!$B$1,wallet_records!$N:$N,'EEFF 2023'!AB$2,wallet_records!$H:$H,'EEFF 2023'!$B13)</f>
        <v>0</v>
      </c>
      <c r="AC13" s="115">
        <f>SUMIFS(wallet_records!$D:$D,wallet_records!$B:$B,'EEFF 2023'!$C13,wallet_records!$L:$L,'EEFF 2023'!AC$3,wallet_records!$O:$O,'EEFF 2023'!$B$1,wallet_records!$N:$N,'EEFF 2023'!AC$2,wallet_records!$H:$H,'EEFF 2023'!$B13)</f>
        <v>0</v>
      </c>
      <c r="AD13" s="115">
        <f>SUMIFS(wallet_records!$D:$D,wallet_records!$B:$B,'EEFF 2023'!$C13,wallet_records!$L:$L,'EEFF 2023'!AD$3,wallet_records!$O:$O,'EEFF 2023'!$B$1,wallet_records!$N:$N,'EEFF 2023'!AD$2,wallet_records!$H:$H,'EEFF 2023'!$B13)</f>
        <v>0</v>
      </c>
      <c r="AE13" s="116">
        <f t="shared" si="17"/>
        <v>0</v>
      </c>
      <c r="AF13" s="115">
        <f>SUMIFS(wallet_records!$D:$D,wallet_records!$B:$B,'EEFF 2023'!$C13,wallet_records!$L:$L,'EEFF 2023'!AF$3,wallet_records!$O:$O,'EEFF 2023'!$B$1,wallet_records!$N:$N,'EEFF 2023'!AF$2,wallet_records!$H:$H,'EEFF 2023'!$B13)</f>
        <v>0</v>
      </c>
      <c r="AG13" s="115">
        <f>SUMIFS(wallet_records!$D:$D,wallet_records!$B:$B,'EEFF 2023'!$C13,wallet_records!$L:$L,'EEFF 2023'!AG$3,wallet_records!$O:$O,'EEFF 2023'!$B$1,wallet_records!$N:$N,'EEFF 2023'!AG$2,wallet_records!$H:$H,'EEFF 2023'!$B13)</f>
        <v>0</v>
      </c>
      <c r="AH13" s="115">
        <f>SUMIFS(wallet_records!$D:$D,wallet_records!$B:$B,'EEFF 2023'!$C13,wallet_records!$L:$L,'EEFF 2023'!AH$3,wallet_records!$O:$O,'EEFF 2023'!$B$1,wallet_records!$N:$N,'EEFF 2023'!AH$2,wallet_records!$H:$H,'EEFF 2023'!$B13)</f>
        <v>0</v>
      </c>
      <c r="AI13" s="115">
        <f>SUMIFS(wallet_records!$D:$D,wallet_records!$B:$B,'EEFF 2023'!$C13,wallet_records!$L:$L,'EEFF 2023'!AI$3,wallet_records!$O:$O,'EEFF 2023'!$B$1,wallet_records!$N:$N,'EEFF 2023'!AI$2,wallet_records!$H:$H,'EEFF 2023'!$B13)</f>
        <v>0</v>
      </c>
      <c r="AJ13" s="115">
        <f>SUMIFS(wallet_records!$D:$D,wallet_records!$B:$B,'EEFF 2023'!$C13,wallet_records!$L:$L,'EEFF 2023'!AJ$3,wallet_records!$O:$O,'EEFF 2023'!$B$1,wallet_records!$N:$N,'EEFF 2023'!AJ$2,wallet_records!$H:$H,'EEFF 2023'!$B13)</f>
        <v>0</v>
      </c>
      <c r="AK13" s="115">
        <f>SUMIFS(wallet_records!$D:$D,wallet_records!$B:$B,'EEFF 2023'!$C13,wallet_records!$L:$L,'EEFF 2023'!AK$3,wallet_records!$O:$O,'EEFF 2023'!$B$1,wallet_records!$N:$N,'EEFF 2023'!AK$2,wallet_records!$H:$H,'EEFF 2023'!$B13)</f>
        <v>0</v>
      </c>
      <c r="AL13" s="116">
        <f t="shared" si="18"/>
        <v>0</v>
      </c>
      <c r="AM13" s="115">
        <f>SUMIFS(wallet_records!$D:$D,wallet_records!$B:$B,'EEFF 2023'!$C13,wallet_records!$L:$L,'EEFF 2023'!AM$3,wallet_records!$O:$O,'EEFF 2023'!$B$1,wallet_records!$N:$N,'EEFF 2023'!AM$2,wallet_records!$H:$H,'EEFF 2023'!$B13)</f>
        <v>0</v>
      </c>
      <c r="AN13" s="115">
        <f>SUMIFS(wallet_records!$D:$D,wallet_records!$B:$B,'EEFF 2023'!$C13,wallet_records!$L:$L,'EEFF 2023'!AN$3,wallet_records!$O:$O,'EEFF 2023'!$B$1,wallet_records!$N:$N,'EEFF 2023'!AN$2,wallet_records!$H:$H,'EEFF 2023'!$B13)</f>
        <v>0</v>
      </c>
      <c r="AO13" s="115">
        <f>SUMIFS(wallet_records!$D:$D,wallet_records!$B:$B,'EEFF 2023'!$C13,wallet_records!$L:$L,'EEFF 2023'!AO$3,wallet_records!$O:$O,'EEFF 2023'!$B$1,wallet_records!$N:$N,'EEFF 2023'!AO$2,wallet_records!$H:$H,'EEFF 2023'!$B13)</f>
        <v>0</v>
      </c>
      <c r="AP13" s="115">
        <f>SUMIFS(wallet_records!$D:$D,wallet_records!$B:$B,'EEFF 2023'!$C13,wallet_records!$L:$L,'EEFF 2023'!AP$3,wallet_records!$O:$O,'EEFF 2023'!$B$1,wallet_records!$N:$N,'EEFF 2023'!AP$2,wallet_records!$H:$H,'EEFF 2023'!$B13)</f>
        <v>0</v>
      </c>
      <c r="AQ13" s="115">
        <f>SUMIFS(wallet_records!$D:$D,wallet_records!$B:$B,'EEFF 2023'!$C13,wallet_records!$L:$L,'EEFF 2023'!AQ$3,wallet_records!$O:$O,'EEFF 2023'!$B$1,wallet_records!$N:$N,'EEFF 2023'!AQ$2,wallet_records!$H:$H,'EEFF 2023'!$B13)</f>
        <v>0</v>
      </c>
      <c r="AR13" s="115">
        <f>SUMIFS(wallet_records!$D:$D,wallet_records!$B:$B,'EEFF 2023'!$C13,wallet_records!$L:$L,'EEFF 2023'!AR$3,wallet_records!$O:$O,'EEFF 2023'!$B$1,wallet_records!$N:$N,'EEFF 2023'!AR$2,wallet_records!$H:$H,'EEFF 2023'!$B13)</f>
        <v>0</v>
      </c>
      <c r="AS13" s="116">
        <f t="shared" si="19"/>
        <v>0</v>
      </c>
      <c r="AT13" s="115">
        <f>SUMIFS(wallet_records!$D:$D,wallet_records!$B:$B,'EEFF 2023'!$C13,wallet_records!$L:$L,'EEFF 2023'!AT$3,wallet_records!$O:$O,'EEFF 2023'!$B$1,wallet_records!$N:$N,'EEFF 2023'!AT$2,wallet_records!$H:$H,'EEFF 2023'!$B13)</f>
        <v>0</v>
      </c>
      <c r="AU13" s="115">
        <f>SUMIFS(wallet_records!$D:$D,wallet_records!$B:$B,'EEFF 2023'!$C13,wallet_records!$L:$L,'EEFF 2023'!AU$3,wallet_records!$O:$O,'EEFF 2023'!$B$1,wallet_records!$N:$N,'EEFF 2023'!AU$2,wallet_records!$H:$H,'EEFF 2023'!$B13)</f>
        <v>0</v>
      </c>
      <c r="AV13" s="115">
        <f>SUMIFS(wallet_records!$D:$D,wallet_records!$B:$B,'EEFF 2023'!$C13,wallet_records!$L:$L,'EEFF 2023'!AV$3,wallet_records!$O:$O,'EEFF 2023'!$B$1,wallet_records!$N:$N,'EEFF 2023'!AV$2,wallet_records!$H:$H,'EEFF 2023'!$B13)</f>
        <v>0</v>
      </c>
      <c r="AW13" s="115">
        <f>SUMIFS(wallet_records!$D:$D,wallet_records!$B:$B,'EEFF 2023'!$C13,wallet_records!$L:$L,'EEFF 2023'!AW$3,wallet_records!$O:$O,'EEFF 2023'!$B$1,wallet_records!$N:$N,'EEFF 2023'!AW$2,wallet_records!$H:$H,'EEFF 2023'!$B13)</f>
        <v>0</v>
      </c>
      <c r="AX13" s="115">
        <f>SUMIFS(wallet_records!$D:$D,wallet_records!$B:$B,'EEFF 2023'!$C13,wallet_records!$L:$L,'EEFF 2023'!AX$3,wallet_records!$O:$O,'EEFF 2023'!$B$1,wallet_records!$N:$N,'EEFF 2023'!AX$2,wallet_records!$H:$H,'EEFF 2023'!$B13)</f>
        <v>0</v>
      </c>
      <c r="AY13" s="115">
        <f>SUMIFS(wallet_records!$D:$D,wallet_records!$B:$B,'EEFF 2023'!$C13,wallet_records!$L:$L,'EEFF 2023'!AY$3,wallet_records!$O:$O,'EEFF 2023'!$B$1,wallet_records!$N:$N,'EEFF 2023'!AY$2,wallet_records!$H:$H,'EEFF 2023'!$B13)</f>
        <v>0</v>
      </c>
      <c r="AZ13" s="116">
        <f t="shared" si="20"/>
        <v>0</v>
      </c>
      <c r="BA13" s="115">
        <f>SUMIFS(wallet_records!$D:$D,wallet_records!$B:$B,'EEFF 2023'!$C13,wallet_records!$L:$L,'EEFF 2023'!BA$3,wallet_records!$O:$O,'EEFF 2023'!$B$1,wallet_records!$N:$N,'EEFF 2023'!BA$2,wallet_records!$H:$H,'EEFF 2023'!$B13)</f>
        <v>0</v>
      </c>
      <c r="BB13" s="115">
        <f>SUMIFS(wallet_records!$D:$D,wallet_records!$B:$B,'EEFF 2023'!$C13,wallet_records!$L:$L,'EEFF 2023'!BB$3,wallet_records!$O:$O,'EEFF 2023'!$B$1,wallet_records!$N:$N,'EEFF 2023'!BB$2,wallet_records!$H:$H,'EEFF 2023'!$B13)</f>
        <v>0</v>
      </c>
      <c r="BC13" s="115">
        <f>SUMIFS(wallet_records!$D:$D,wallet_records!$B:$B,'EEFF 2023'!$C13,wallet_records!$L:$L,'EEFF 2023'!BC$3,wallet_records!$O:$O,'EEFF 2023'!$B$1,wallet_records!$N:$N,'EEFF 2023'!BC$2,wallet_records!$H:$H,'EEFF 2023'!$B13)</f>
        <v>0</v>
      </c>
      <c r="BD13" s="115">
        <f>SUMIFS(wallet_records!$D:$D,wallet_records!$B:$B,'EEFF 2023'!$C13,wallet_records!$L:$L,'EEFF 2023'!BD$3,wallet_records!$O:$O,'EEFF 2023'!$B$1,wallet_records!$N:$N,'EEFF 2023'!BD$2,wallet_records!$H:$H,'EEFF 2023'!$B13)</f>
        <v>0</v>
      </c>
      <c r="BE13" s="115">
        <f>SUMIFS(wallet_records!$D:$D,wallet_records!$B:$B,'EEFF 2023'!$C13,wallet_records!$L:$L,'EEFF 2023'!BE$3,wallet_records!$O:$O,'EEFF 2023'!$B$1,wallet_records!$N:$N,'EEFF 2023'!BE$2,wallet_records!$H:$H,'EEFF 2023'!$B13)</f>
        <v>0</v>
      </c>
      <c r="BF13" s="115">
        <f>SUMIFS(wallet_records!$D:$D,wallet_records!$B:$B,'EEFF 2023'!$C13,wallet_records!$L:$L,'EEFF 2023'!BF$3,wallet_records!$O:$O,'EEFF 2023'!$B$1,wallet_records!$N:$N,'EEFF 2023'!BF$2,wallet_records!$H:$H,'EEFF 2023'!$B13)</f>
        <v>0</v>
      </c>
      <c r="BG13" s="116">
        <f t="shared" si="21"/>
        <v>0</v>
      </c>
      <c r="BH13" s="115">
        <f>SUMIFS(wallet_records!$D:$D,wallet_records!$B:$B,'EEFF 2023'!$C13,wallet_records!$L:$L,'EEFF 2023'!BH$3,wallet_records!$O:$O,'EEFF 2023'!$B$1,wallet_records!$N:$N,'EEFF 2023'!BH$2,wallet_records!$H:$H,'EEFF 2023'!$B13)</f>
        <v>0</v>
      </c>
      <c r="BI13" s="115">
        <f>SUMIFS(wallet_records!$D:$D,wallet_records!$B:$B,'EEFF 2023'!$C13,wallet_records!$L:$L,'EEFF 2023'!BI$3,wallet_records!$O:$O,'EEFF 2023'!$B$1,wallet_records!$N:$N,'EEFF 2023'!BI$2,wallet_records!$H:$H,'EEFF 2023'!$B13)</f>
        <v>0</v>
      </c>
      <c r="BJ13" s="115">
        <f>SUMIFS(wallet_records!$D:$D,wallet_records!$B:$B,'EEFF 2023'!$C13,wallet_records!$L:$L,'EEFF 2023'!BJ$3,wallet_records!$O:$O,'EEFF 2023'!$B$1,wallet_records!$N:$N,'EEFF 2023'!BJ$2,wallet_records!$H:$H,'EEFF 2023'!$B13)</f>
        <v>0</v>
      </c>
      <c r="BK13" s="115">
        <f>SUMIFS(wallet_records!$D:$D,wallet_records!$B:$B,'EEFF 2023'!$C13,wallet_records!$L:$L,'EEFF 2023'!BK$3,wallet_records!$O:$O,'EEFF 2023'!$B$1,wallet_records!$N:$N,'EEFF 2023'!BK$2,wallet_records!$H:$H,'EEFF 2023'!$B13)</f>
        <v>0</v>
      </c>
      <c r="BL13" s="115">
        <f>SUMIFS(wallet_records!$D:$D,wallet_records!$B:$B,'EEFF 2023'!$C13,wallet_records!$L:$L,'EEFF 2023'!BL$3,wallet_records!$O:$O,'EEFF 2023'!$B$1,wallet_records!$N:$N,'EEFF 2023'!BL$2,wallet_records!$H:$H,'EEFF 2023'!$B13)</f>
        <v>0</v>
      </c>
      <c r="BM13" s="115">
        <f>SUMIFS(wallet_records!$D:$D,wallet_records!$B:$B,'EEFF 2023'!$C13,wallet_records!$L:$L,'EEFF 2023'!BM$3,wallet_records!$O:$O,'EEFF 2023'!$B$1,wallet_records!$N:$N,'EEFF 2023'!BM$2,wallet_records!$H:$H,'EEFF 2023'!$B13)</f>
        <v>0</v>
      </c>
      <c r="BN13" s="116">
        <f t="shared" si="22"/>
        <v>0</v>
      </c>
      <c r="BO13" s="115">
        <f>SUMIFS(wallet_records!$D:$D,wallet_records!$B:$B,'EEFF 2023'!$C13,wallet_records!$L:$L,'EEFF 2023'!BO$3,wallet_records!$O:$O,'EEFF 2023'!$B$1,wallet_records!$N:$N,'EEFF 2023'!BO$2,wallet_records!$H:$H,'EEFF 2023'!$B13)</f>
        <v>0</v>
      </c>
      <c r="BP13" s="115">
        <f>SUMIFS(wallet_records!$D:$D,wallet_records!$B:$B,'EEFF 2023'!$C13,wallet_records!$L:$L,'EEFF 2023'!BP$3,wallet_records!$O:$O,'EEFF 2023'!$B$1,wallet_records!$N:$N,'EEFF 2023'!BP$2,wallet_records!$H:$H,'EEFF 2023'!$B13)</f>
        <v>0</v>
      </c>
      <c r="BQ13" s="115">
        <f>SUMIFS(wallet_records!$D:$D,wallet_records!$B:$B,'EEFF 2023'!$C13,wallet_records!$L:$L,'EEFF 2023'!BQ$3,wallet_records!$O:$O,'EEFF 2023'!$B$1,wallet_records!$N:$N,'EEFF 2023'!BQ$2,wallet_records!$H:$H,'EEFF 2023'!$B13)</f>
        <v>0</v>
      </c>
      <c r="BR13" s="115">
        <f>SUMIFS(wallet_records!$D:$D,wallet_records!$B:$B,'EEFF 2023'!$C13,wallet_records!$L:$L,'EEFF 2023'!BR$3,wallet_records!$O:$O,'EEFF 2023'!$B$1,wallet_records!$N:$N,'EEFF 2023'!BR$2,wallet_records!$H:$H,'EEFF 2023'!$B13)</f>
        <v>0</v>
      </c>
      <c r="BS13" s="115">
        <f>SUMIFS(wallet_records!$D:$D,wallet_records!$B:$B,'EEFF 2023'!$C13,wallet_records!$L:$L,'EEFF 2023'!BS$3,wallet_records!$O:$O,'EEFF 2023'!$B$1,wallet_records!$N:$N,'EEFF 2023'!BS$2,wallet_records!$H:$H,'EEFF 2023'!$B13)</f>
        <v>0</v>
      </c>
      <c r="BT13" s="115">
        <f>SUMIFS(wallet_records!$D:$D,wallet_records!$B:$B,'EEFF 2023'!$C13,wallet_records!$L:$L,'EEFF 2023'!BT$3,wallet_records!$O:$O,'EEFF 2023'!$B$1,wallet_records!$N:$N,'EEFF 2023'!BT$2,wallet_records!$H:$H,'EEFF 2023'!$B13)</f>
        <v>0</v>
      </c>
      <c r="BU13" s="116">
        <f t="shared" si="23"/>
        <v>0</v>
      </c>
      <c r="BV13" s="115">
        <f>SUMIFS(wallet_records!$D:$D,wallet_records!$B:$B,'EEFF 2023'!$C13,wallet_records!$L:$L,'EEFF 2023'!BV$3,wallet_records!$O:$O,'EEFF 2023'!$B$1,wallet_records!$N:$N,'EEFF 2023'!BV$2,wallet_records!$H:$H,'EEFF 2023'!$B13)</f>
        <v>0</v>
      </c>
      <c r="BW13" s="115">
        <f>SUMIFS(wallet_records!$D:$D,wallet_records!$B:$B,'EEFF 2023'!$C13,wallet_records!$L:$L,'EEFF 2023'!BW$3,wallet_records!$O:$O,'EEFF 2023'!$B$1,wallet_records!$N:$N,'EEFF 2023'!BW$2,wallet_records!$H:$H,'EEFF 2023'!$B13)</f>
        <v>0</v>
      </c>
      <c r="BX13" s="115">
        <f>SUMIFS(wallet_records!$D:$D,wallet_records!$B:$B,'EEFF 2023'!$C13,wallet_records!$L:$L,'EEFF 2023'!BX$3,wallet_records!$O:$O,'EEFF 2023'!$B$1,wallet_records!$N:$N,'EEFF 2023'!BX$2,wallet_records!$H:$H,'EEFF 2023'!$B13)</f>
        <v>0</v>
      </c>
      <c r="BY13" s="115">
        <f>SUMIFS(wallet_records!$D:$D,wallet_records!$B:$B,'EEFF 2023'!$C13,wallet_records!$L:$L,'EEFF 2023'!BY$3,wallet_records!$O:$O,'EEFF 2023'!$B$1,wallet_records!$N:$N,'EEFF 2023'!BY$2,wallet_records!$H:$H,'EEFF 2023'!$B13)</f>
        <v>0</v>
      </c>
      <c r="BZ13" s="115">
        <f>SUMIFS(wallet_records!$D:$D,wallet_records!$B:$B,'EEFF 2023'!$C13,wallet_records!$L:$L,'EEFF 2023'!BZ$3,wallet_records!$O:$O,'EEFF 2023'!$B$1,wallet_records!$N:$N,'EEFF 2023'!BZ$2,wallet_records!$H:$H,'EEFF 2023'!$B13)</f>
        <v>0</v>
      </c>
      <c r="CA13" s="115">
        <f>SUMIFS(wallet_records!$D:$D,wallet_records!$B:$B,'EEFF 2023'!$C13,wallet_records!$L:$L,'EEFF 2023'!CA$3,wallet_records!$O:$O,'EEFF 2023'!$B$1,wallet_records!$N:$N,'EEFF 2023'!CA$2,wallet_records!$H:$H,'EEFF 2023'!$B13)</f>
        <v>0</v>
      </c>
      <c r="CB13" s="116">
        <f t="shared" si="24"/>
        <v>0</v>
      </c>
      <c r="CC13" s="115">
        <f>SUMIFS(wallet_records!$D:$D,wallet_records!$B:$B,'EEFF 2023'!$C13,wallet_records!$L:$L,'EEFF 2023'!CC$3,wallet_records!$O:$O,'EEFF 2023'!$B$1,wallet_records!$N:$N,'EEFF 2023'!CC$2,wallet_records!$H:$H,'EEFF 2023'!$B13)</f>
        <v>0</v>
      </c>
      <c r="CD13" s="115">
        <f>SUMIFS(wallet_records!$D:$D,wallet_records!$B:$B,'EEFF 2023'!$C13,wallet_records!$L:$L,'EEFF 2023'!CD$3,wallet_records!$O:$O,'EEFF 2023'!$B$1,wallet_records!$N:$N,'EEFF 2023'!CD$2,wallet_records!$H:$H,'EEFF 2023'!$B13)</f>
        <v>0</v>
      </c>
      <c r="CE13" s="115">
        <f>SUMIFS(wallet_records!$D:$D,wallet_records!$B:$B,'EEFF 2023'!$C13,wallet_records!$L:$L,'EEFF 2023'!CE$3,wallet_records!$O:$O,'EEFF 2023'!$B$1,wallet_records!$N:$N,'EEFF 2023'!CE$2,wallet_records!$H:$H,'EEFF 2023'!$B13)</f>
        <v>0</v>
      </c>
      <c r="CF13" s="115">
        <f>SUMIFS(wallet_records!$D:$D,wallet_records!$B:$B,'EEFF 2023'!$C13,wallet_records!$L:$L,'EEFF 2023'!CF$3,wallet_records!$O:$O,'EEFF 2023'!$B$1,wallet_records!$N:$N,'EEFF 2023'!CF$2,wallet_records!$H:$H,'EEFF 2023'!$B13)</f>
        <v>0</v>
      </c>
      <c r="CG13" s="115">
        <f>SUMIFS(wallet_records!$D:$D,wallet_records!$B:$B,'EEFF 2023'!$C13,wallet_records!$L:$L,'EEFF 2023'!CG$3,wallet_records!$O:$O,'EEFF 2023'!$B$1,wallet_records!$N:$N,'EEFF 2023'!CG$2,wallet_records!$H:$H,'EEFF 2023'!$B13)</f>
        <v>0</v>
      </c>
      <c r="CH13" s="115">
        <f>SUMIFS(wallet_records!$D:$D,wallet_records!$B:$B,'EEFF 2023'!$C13,wallet_records!$L:$L,'EEFF 2023'!CH$3,wallet_records!$O:$O,'EEFF 2023'!$B$1,wallet_records!$N:$N,'EEFF 2023'!CH$2,wallet_records!$H:$H,'EEFF 2023'!$B13)</f>
        <v>0</v>
      </c>
      <c r="CI13" s="116">
        <f t="shared" si="25"/>
        <v>0</v>
      </c>
      <c r="CJ13" s="115">
        <f>SUMIFS(wallet_records!$D:$D,wallet_records!$B:$B,'EEFF 2023'!$C13,wallet_records!$L:$L,'EEFF 2023'!CJ$3,wallet_records!$O:$O,'EEFF 2023'!$B$1,wallet_records!$H:$H,'EEFF 2023'!$B13)</f>
        <v>0</v>
      </c>
      <c r="CK13" s="115">
        <f>SUMIFS(wallet_records!$D:$D,wallet_records!$B:$B,'EEFF 2023'!$C13,wallet_records!$L:$L,'EEFF 2023'!CK$3,wallet_records!$O:$O,'EEFF 2023'!$B$1,wallet_records!$H:$H,'EEFF 2023'!$B13)</f>
        <v>0</v>
      </c>
      <c r="CL13" s="115">
        <f>SUMIFS(wallet_records!$D:$D,wallet_records!$B:$B,'EEFF 2023'!$C13,wallet_records!$L:$L,'EEFF 2023'!CL$3,wallet_records!$O:$O,'EEFF 2023'!$B$1,wallet_records!$H:$H,'EEFF 2023'!$B13)</f>
        <v>0</v>
      </c>
      <c r="CM13" s="115">
        <f>SUMIFS(wallet_records!$D:$D,wallet_records!$B:$B,'EEFF 2023'!$C13,wallet_records!$L:$L,'EEFF 2023'!CM$3,wallet_records!$O:$O,'EEFF 2023'!$B$1,wallet_records!$H:$H,'EEFF 2023'!$B13)</f>
        <v>0</v>
      </c>
      <c r="CN13" s="115">
        <f>SUMIFS(wallet_records!$D:$D,wallet_records!$B:$B,'EEFF 2023'!$C13,wallet_records!$L:$L,'EEFF 2023'!CN$3,wallet_records!$O:$O,'EEFF 2023'!$B$1,wallet_records!$H:$H,'EEFF 2023'!$B13)</f>
        <v>0</v>
      </c>
      <c r="CO13" s="115">
        <f>SUMIFS(wallet_records!$D:$D,wallet_records!$B:$B,'EEFF 2023'!$C13,wallet_records!$L:$L,'EEFF 2023'!CO$3,wallet_records!$O:$O,'EEFF 2023'!$B$1,wallet_records!$H:$H,'EEFF 2023'!$B13)</f>
        <v>0</v>
      </c>
      <c r="CP13" s="116">
        <f t="shared" si="26"/>
        <v>0</v>
      </c>
      <c r="CQ13" s="107"/>
      <c r="CR13" s="118">
        <f t="shared" si="0"/>
        <v>0</v>
      </c>
      <c r="CS13" s="118">
        <f t="shared" si="1"/>
        <v>0</v>
      </c>
      <c r="CT13" s="118">
        <f t="shared" si="2"/>
        <v>0</v>
      </c>
      <c r="CU13" s="118">
        <f t="shared" si="3"/>
        <v>0</v>
      </c>
      <c r="CV13" s="118">
        <f t="shared" si="4"/>
        <v>0</v>
      </c>
      <c r="CW13" s="118">
        <f t="shared" si="5"/>
        <v>0</v>
      </c>
      <c r="CX13" s="118">
        <f t="shared" si="6"/>
        <v>0</v>
      </c>
      <c r="CY13" s="118">
        <f t="shared" si="7"/>
        <v>0</v>
      </c>
      <c r="CZ13" s="118">
        <f t="shared" si="8"/>
        <v>0</v>
      </c>
      <c r="DA13" s="118">
        <f t="shared" si="9"/>
        <v>0</v>
      </c>
      <c r="DB13" s="118">
        <f t="shared" si="10"/>
        <v>0</v>
      </c>
      <c r="DC13" s="118">
        <f t="shared" si="11"/>
        <v>0</v>
      </c>
    </row>
    <row r="14" spans="2:120" ht="16" x14ac:dyDescent="0.2">
      <c r="B14" s="107" t="s">
        <v>400</v>
      </c>
      <c r="C14" s="191"/>
      <c r="D14" s="116">
        <v>0</v>
      </c>
      <c r="E14" s="116">
        <v>0</v>
      </c>
      <c r="F14" s="116">
        <v>0</v>
      </c>
      <c r="G14" s="119">
        <v>0</v>
      </c>
      <c r="H14" s="119">
        <v>0</v>
      </c>
      <c r="I14" s="119">
        <v>0</v>
      </c>
      <c r="J14" s="119">
        <f t="shared" si="14"/>
        <v>0</v>
      </c>
      <c r="K14" s="116">
        <v>0</v>
      </c>
      <c r="L14" s="116">
        <v>0</v>
      </c>
      <c r="M14" s="116">
        <v>0</v>
      </c>
      <c r="N14" s="119">
        <v>0</v>
      </c>
      <c r="O14" s="119">
        <v>0</v>
      </c>
      <c r="P14" s="119">
        <v>0</v>
      </c>
      <c r="Q14" s="119">
        <f t="shared" si="15"/>
        <v>0</v>
      </c>
      <c r="R14" s="116">
        <v>0</v>
      </c>
      <c r="S14" s="116">
        <v>0</v>
      </c>
      <c r="T14" s="116">
        <v>0</v>
      </c>
      <c r="U14" s="119">
        <v>0</v>
      </c>
      <c r="V14" s="119">
        <v>0</v>
      </c>
      <c r="W14" s="119">
        <v>0</v>
      </c>
      <c r="X14" s="119">
        <f t="shared" si="16"/>
        <v>0</v>
      </c>
      <c r="Y14" s="116">
        <v>0</v>
      </c>
      <c r="Z14" s="116">
        <v>0</v>
      </c>
      <c r="AA14" s="116">
        <v>0</v>
      </c>
      <c r="AB14" s="119">
        <v>0</v>
      </c>
      <c r="AC14" s="119">
        <v>0</v>
      </c>
      <c r="AD14" s="119">
        <v>0</v>
      </c>
      <c r="AE14" s="119">
        <f t="shared" si="17"/>
        <v>0</v>
      </c>
      <c r="AF14" s="116">
        <v>0</v>
      </c>
      <c r="AG14" s="116">
        <v>0</v>
      </c>
      <c r="AH14" s="116">
        <v>0</v>
      </c>
      <c r="AI14" s="119">
        <v>0</v>
      </c>
      <c r="AJ14" s="119">
        <v>0</v>
      </c>
      <c r="AK14" s="119">
        <v>0</v>
      </c>
      <c r="AL14" s="119">
        <f t="shared" si="18"/>
        <v>0</v>
      </c>
      <c r="AM14" s="116">
        <v>0</v>
      </c>
      <c r="AN14" s="116">
        <v>0</v>
      </c>
      <c r="AO14" s="116">
        <v>0</v>
      </c>
      <c r="AP14" s="119">
        <v>0</v>
      </c>
      <c r="AQ14" s="119">
        <v>0</v>
      </c>
      <c r="AR14" s="119">
        <v>0</v>
      </c>
      <c r="AS14" s="119">
        <f t="shared" si="19"/>
        <v>0</v>
      </c>
      <c r="AT14" s="116">
        <v>0</v>
      </c>
      <c r="AU14" s="116">
        <v>0</v>
      </c>
      <c r="AV14" s="116">
        <v>0</v>
      </c>
      <c r="AW14" s="119">
        <v>0</v>
      </c>
      <c r="AX14" s="119">
        <v>0</v>
      </c>
      <c r="AY14" s="119">
        <v>0</v>
      </c>
      <c r="AZ14" s="119">
        <f t="shared" si="20"/>
        <v>0</v>
      </c>
      <c r="BA14" s="116">
        <v>0</v>
      </c>
      <c r="BB14" s="116">
        <v>0</v>
      </c>
      <c r="BC14" s="116">
        <v>0</v>
      </c>
      <c r="BD14" s="119">
        <v>0</v>
      </c>
      <c r="BE14" s="119">
        <v>0</v>
      </c>
      <c r="BF14" s="119">
        <v>0</v>
      </c>
      <c r="BG14" s="119">
        <f t="shared" si="21"/>
        <v>0</v>
      </c>
      <c r="BH14" s="116">
        <v>0</v>
      </c>
      <c r="BI14" s="116">
        <v>0</v>
      </c>
      <c r="BJ14" s="116">
        <v>0</v>
      </c>
      <c r="BK14" s="119">
        <v>0</v>
      </c>
      <c r="BL14" s="119">
        <v>0</v>
      </c>
      <c r="BM14" s="119">
        <v>0</v>
      </c>
      <c r="BN14" s="119">
        <f t="shared" si="22"/>
        <v>0</v>
      </c>
      <c r="BO14" s="116">
        <v>0</v>
      </c>
      <c r="BP14" s="116">
        <v>0</v>
      </c>
      <c r="BQ14" s="116">
        <v>0</v>
      </c>
      <c r="BR14" s="119">
        <v>0</v>
      </c>
      <c r="BS14" s="119">
        <v>0</v>
      </c>
      <c r="BT14" s="119">
        <v>0</v>
      </c>
      <c r="BU14" s="119">
        <f t="shared" si="23"/>
        <v>0</v>
      </c>
      <c r="BV14" s="116">
        <v>0</v>
      </c>
      <c r="BW14" s="116">
        <v>0</v>
      </c>
      <c r="BX14" s="116">
        <v>0</v>
      </c>
      <c r="BY14" s="119">
        <v>0</v>
      </c>
      <c r="BZ14" s="119">
        <v>0</v>
      </c>
      <c r="CA14" s="119">
        <v>0</v>
      </c>
      <c r="CB14" s="119">
        <f t="shared" si="24"/>
        <v>0</v>
      </c>
      <c r="CC14" s="116">
        <v>0</v>
      </c>
      <c r="CD14" s="116">
        <v>0</v>
      </c>
      <c r="CE14" s="116">
        <v>0</v>
      </c>
      <c r="CF14" s="119">
        <v>0</v>
      </c>
      <c r="CG14" s="119">
        <v>0</v>
      </c>
      <c r="CH14" s="119">
        <v>0</v>
      </c>
      <c r="CI14" s="119">
        <f t="shared" si="25"/>
        <v>0</v>
      </c>
      <c r="CJ14" s="115">
        <f>SUMIFS(wallet_records!$D:$D,wallet_records!$B:$B,'EEFF 2023'!$C14,wallet_records!$L:$L,'EEFF 2023'!CJ$3,wallet_records!$O:$O,'EEFF 2023'!$B$1,wallet_records!$H:$H,'EEFF 2023'!$B14)</f>
        <v>0</v>
      </c>
      <c r="CK14" s="115">
        <f>SUMIFS(wallet_records!$D:$D,wallet_records!$B:$B,'EEFF 2023'!$C14,wallet_records!$L:$L,'EEFF 2023'!CK$3,wallet_records!$O:$O,'EEFF 2023'!$B$1,wallet_records!$H:$H,'EEFF 2023'!$B14)</f>
        <v>0</v>
      </c>
      <c r="CL14" s="115">
        <f>SUMIFS(wallet_records!$D:$D,wallet_records!$B:$B,'EEFF 2023'!$C14,wallet_records!$L:$L,'EEFF 2023'!CL$3,wallet_records!$O:$O,'EEFF 2023'!$B$1,wallet_records!$H:$H,'EEFF 2023'!$B14)</f>
        <v>0</v>
      </c>
      <c r="CM14" s="115">
        <f>SUMIFS(wallet_records!$D:$D,wallet_records!$B:$B,'EEFF 2023'!$C14,wallet_records!$L:$L,'EEFF 2023'!CM$3,wallet_records!$O:$O,'EEFF 2023'!$B$1,wallet_records!$H:$H,'EEFF 2023'!$B14)</f>
        <v>0</v>
      </c>
      <c r="CN14" s="115">
        <f>SUMIFS(wallet_records!$D:$D,wallet_records!$B:$B,'EEFF 2023'!$C14,wallet_records!$L:$L,'EEFF 2023'!CN$3,wallet_records!$O:$O,'EEFF 2023'!$B$1,wallet_records!$H:$H,'EEFF 2023'!$B14)</f>
        <v>0</v>
      </c>
      <c r="CO14" s="115">
        <f>SUMIFS(wallet_records!$D:$D,wallet_records!$B:$B,'EEFF 2023'!$C14,wallet_records!$L:$L,'EEFF 2023'!CO$3,wallet_records!$O:$O,'EEFF 2023'!$B$1,wallet_records!$H:$H,'EEFF 2023'!$B14)</f>
        <v>0</v>
      </c>
      <c r="CP14" s="119">
        <f t="shared" si="26"/>
        <v>0</v>
      </c>
      <c r="CQ14" s="107"/>
      <c r="CR14" s="118">
        <f t="shared" si="0"/>
        <v>0</v>
      </c>
      <c r="CS14" s="118">
        <f t="shared" si="1"/>
        <v>0</v>
      </c>
      <c r="CT14" s="118">
        <f t="shared" si="2"/>
        <v>0</v>
      </c>
      <c r="CU14" s="118">
        <f t="shared" si="3"/>
        <v>0</v>
      </c>
      <c r="CV14" s="118">
        <f t="shared" si="4"/>
        <v>0</v>
      </c>
      <c r="CW14" s="118">
        <f t="shared" si="5"/>
        <v>0</v>
      </c>
      <c r="CX14" s="118">
        <f t="shared" si="6"/>
        <v>0</v>
      </c>
      <c r="CY14" s="118">
        <f t="shared" si="7"/>
        <v>0</v>
      </c>
      <c r="CZ14" s="118">
        <f t="shared" si="8"/>
        <v>0</v>
      </c>
      <c r="DA14" s="118">
        <f t="shared" si="9"/>
        <v>0</v>
      </c>
      <c r="DB14" s="118">
        <f t="shared" si="10"/>
        <v>0</v>
      </c>
      <c r="DC14" s="118">
        <f t="shared" si="11"/>
        <v>0</v>
      </c>
    </row>
    <row r="15" spans="2:120" ht="16" x14ac:dyDescent="0.2">
      <c r="B15" s="107" t="s">
        <v>530</v>
      </c>
      <c r="C15" s="191"/>
      <c r="D15" s="116"/>
      <c r="E15" s="116"/>
      <c r="F15" s="116"/>
      <c r="G15" s="119"/>
      <c r="H15" s="119"/>
      <c r="I15" s="119"/>
      <c r="J15" s="119"/>
      <c r="K15" s="116"/>
      <c r="L15" s="116"/>
      <c r="M15" s="116"/>
      <c r="N15" s="119"/>
      <c r="O15" s="119"/>
      <c r="P15" s="119"/>
      <c r="Q15" s="119"/>
      <c r="R15" s="116"/>
      <c r="S15" s="116"/>
      <c r="T15" s="116"/>
      <c r="U15" s="119"/>
      <c r="V15" s="119"/>
      <c r="W15" s="119"/>
      <c r="X15" s="119"/>
      <c r="Y15" s="116"/>
      <c r="Z15" s="116"/>
      <c r="AA15" s="116"/>
      <c r="AB15" s="119"/>
      <c r="AC15" s="119"/>
      <c r="AD15" s="119"/>
      <c r="AE15" s="119"/>
      <c r="AF15" s="116"/>
      <c r="AG15" s="116"/>
      <c r="AH15" s="116"/>
      <c r="AI15" s="119"/>
      <c r="AJ15" s="119"/>
      <c r="AK15" s="119"/>
      <c r="AL15" s="119"/>
      <c r="AM15" s="116"/>
      <c r="AN15" s="116"/>
      <c r="AO15" s="116"/>
      <c r="AP15" s="119"/>
      <c r="AQ15" s="119"/>
      <c r="AR15" s="119"/>
      <c r="AS15" s="119"/>
      <c r="AT15" s="116"/>
      <c r="AU15" s="116"/>
      <c r="AV15" s="116"/>
      <c r="AW15" s="119"/>
      <c r="AX15" s="119"/>
      <c r="AY15" s="119"/>
      <c r="AZ15" s="119"/>
      <c r="BA15" s="116"/>
      <c r="BB15" s="116"/>
      <c r="BC15" s="116"/>
      <c r="BD15" s="119"/>
      <c r="BE15" s="119"/>
      <c r="BF15" s="119"/>
      <c r="BG15" s="119"/>
      <c r="BH15" s="116"/>
      <c r="BI15" s="116"/>
      <c r="BJ15" s="116"/>
      <c r="BK15" s="119"/>
      <c r="BL15" s="119"/>
      <c r="BM15" s="119"/>
      <c r="BN15" s="119"/>
      <c r="BO15" s="116"/>
      <c r="BP15" s="116"/>
      <c r="BQ15" s="116"/>
      <c r="BR15" s="119"/>
      <c r="BS15" s="119"/>
      <c r="BT15" s="119"/>
      <c r="BU15" s="119"/>
      <c r="BV15" s="116"/>
      <c r="BW15" s="116"/>
      <c r="BX15" s="116"/>
      <c r="BY15" s="119"/>
      <c r="BZ15" s="119"/>
      <c r="CA15" s="119"/>
      <c r="CB15" s="119"/>
      <c r="CC15" s="116"/>
      <c r="CD15" s="116"/>
      <c r="CE15" s="116"/>
      <c r="CF15" s="119"/>
      <c r="CG15" s="119"/>
      <c r="CH15" s="119"/>
      <c r="CI15" s="119"/>
      <c r="CJ15" s="115"/>
      <c r="CK15" s="115"/>
      <c r="CL15" s="115"/>
      <c r="CM15" s="115"/>
      <c r="CN15" s="115"/>
      <c r="CO15" s="115"/>
      <c r="CP15" s="119"/>
      <c r="CQ15" s="107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</row>
    <row r="16" spans="2:120" ht="16" x14ac:dyDescent="0.2">
      <c r="B16" s="109" t="s">
        <v>401</v>
      </c>
      <c r="C16" s="193"/>
      <c r="D16" s="110">
        <f>D8-D9-D10-D11-D12-D13-D14</f>
        <v>-606293</v>
      </c>
      <c r="E16" s="110">
        <f t="shared" ref="E16:BP16" si="27">E8-E9-E10-E11-E12-E13-E14</f>
        <v>-2905777</v>
      </c>
      <c r="F16" s="110">
        <f t="shared" si="27"/>
        <v>-716126</v>
      </c>
      <c r="G16" s="110">
        <f t="shared" si="27"/>
        <v>-269629</v>
      </c>
      <c r="H16" s="110">
        <f t="shared" si="27"/>
        <v>155381</v>
      </c>
      <c r="I16" s="110">
        <f t="shared" si="27"/>
        <v>-57112</v>
      </c>
      <c r="J16" s="110">
        <f t="shared" si="27"/>
        <v>-4399556</v>
      </c>
      <c r="K16" s="110">
        <f t="shared" si="27"/>
        <v>1074000</v>
      </c>
      <c r="L16" s="110">
        <f t="shared" si="27"/>
        <v>0</v>
      </c>
      <c r="M16" s="110">
        <f t="shared" si="27"/>
        <v>726795</v>
      </c>
      <c r="N16" s="110">
        <f t="shared" si="27"/>
        <v>380000</v>
      </c>
      <c r="O16" s="110">
        <f t="shared" si="27"/>
        <v>2085500</v>
      </c>
      <c r="P16" s="110">
        <f t="shared" si="27"/>
        <v>-35973</v>
      </c>
      <c r="Q16" s="110">
        <f t="shared" si="27"/>
        <v>4230322</v>
      </c>
      <c r="R16" s="110">
        <f t="shared" si="27"/>
        <v>1074000</v>
      </c>
      <c r="S16" s="110">
        <f t="shared" si="27"/>
        <v>0</v>
      </c>
      <c r="T16" s="110">
        <f t="shared" si="27"/>
        <v>728795</v>
      </c>
      <c r="U16" s="110">
        <f t="shared" si="27"/>
        <v>760000</v>
      </c>
      <c r="V16" s="110">
        <f t="shared" si="27"/>
        <v>1104100</v>
      </c>
      <c r="W16" s="110">
        <f t="shared" si="27"/>
        <v>-781272</v>
      </c>
      <c r="X16" s="110">
        <f t="shared" si="27"/>
        <v>2885623</v>
      </c>
      <c r="Y16" s="110">
        <f t="shared" si="27"/>
        <v>974000</v>
      </c>
      <c r="Z16" s="110">
        <f t="shared" si="27"/>
        <v>0</v>
      </c>
      <c r="AA16" s="110">
        <f t="shared" si="27"/>
        <v>706795</v>
      </c>
      <c r="AB16" s="110">
        <f t="shared" si="27"/>
        <v>380000</v>
      </c>
      <c r="AC16" s="110">
        <f t="shared" si="27"/>
        <v>1104100</v>
      </c>
      <c r="AD16" s="110">
        <f t="shared" si="27"/>
        <v>-114931</v>
      </c>
      <c r="AE16" s="110">
        <f t="shared" si="27"/>
        <v>3049964</v>
      </c>
      <c r="AF16" s="110">
        <f t="shared" si="27"/>
        <v>1074000</v>
      </c>
      <c r="AG16" s="110">
        <f t="shared" si="27"/>
        <v>0</v>
      </c>
      <c r="AH16" s="110">
        <f t="shared" si="27"/>
        <v>806795</v>
      </c>
      <c r="AI16" s="110">
        <f t="shared" si="27"/>
        <v>0</v>
      </c>
      <c r="AJ16" s="110">
        <f t="shared" si="27"/>
        <v>1204100</v>
      </c>
      <c r="AK16" s="110">
        <f t="shared" si="27"/>
        <v>794867</v>
      </c>
      <c r="AL16" s="110">
        <f t="shared" si="27"/>
        <v>3879762</v>
      </c>
      <c r="AM16" s="110">
        <f t="shared" si="27"/>
        <v>1074000</v>
      </c>
      <c r="AN16" s="110">
        <f t="shared" si="27"/>
        <v>0</v>
      </c>
      <c r="AO16" s="110">
        <f t="shared" si="27"/>
        <v>806795</v>
      </c>
      <c r="AP16" s="110">
        <f t="shared" si="27"/>
        <v>760000</v>
      </c>
      <c r="AQ16" s="110">
        <f t="shared" si="27"/>
        <v>1204100</v>
      </c>
      <c r="AR16" s="110">
        <f t="shared" si="27"/>
        <v>881000</v>
      </c>
      <c r="AS16" s="110">
        <f t="shared" si="27"/>
        <v>4725895</v>
      </c>
      <c r="AT16" s="110">
        <f t="shared" si="27"/>
        <v>1074000</v>
      </c>
      <c r="AU16" s="110">
        <f t="shared" si="27"/>
        <v>0</v>
      </c>
      <c r="AV16" s="110">
        <f t="shared" si="27"/>
        <v>-786410</v>
      </c>
      <c r="AW16" s="110">
        <f t="shared" si="27"/>
        <v>0</v>
      </c>
      <c r="AX16" s="110">
        <f t="shared" si="27"/>
        <v>0</v>
      </c>
      <c r="AY16" s="110">
        <f t="shared" si="27"/>
        <v>881000</v>
      </c>
      <c r="AZ16" s="110">
        <f t="shared" si="27"/>
        <v>1168590</v>
      </c>
      <c r="BA16" s="110">
        <f t="shared" si="27"/>
        <v>2148000</v>
      </c>
      <c r="BB16" s="110">
        <f t="shared" si="27"/>
        <v>0</v>
      </c>
      <c r="BC16" s="110">
        <f t="shared" si="27"/>
        <v>-1179615</v>
      </c>
      <c r="BD16" s="110">
        <f t="shared" si="27"/>
        <v>760000</v>
      </c>
      <c r="BE16" s="110">
        <f t="shared" si="27"/>
        <v>2408200</v>
      </c>
      <c r="BF16" s="110">
        <f t="shared" si="27"/>
        <v>1762000</v>
      </c>
      <c r="BG16" s="110">
        <f t="shared" si="27"/>
        <v>5898585</v>
      </c>
      <c r="BH16" s="110">
        <f t="shared" si="27"/>
        <v>1074000</v>
      </c>
      <c r="BI16" s="110">
        <f t="shared" si="27"/>
        <v>0</v>
      </c>
      <c r="BJ16" s="110">
        <f t="shared" si="27"/>
        <v>4313590</v>
      </c>
      <c r="BK16" s="110">
        <f t="shared" si="27"/>
        <v>380000</v>
      </c>
      <c r="BL16" s="110">
        <f t="shared" si="27"/>
        <v>1204100</v>
      </c>
      <c r="BM16" s="110">
        <f t="shared" si="27"/>
        <v>881000</v>
      </c>
      <c r="BN16" s="110">
        <f t="shared" si="27"/>
        <v>7852690</v>
      </c>
      <c r="BO16" s="110">
        <f t="shared" si="27"/>
        <v>0</v>
      </c>
      <c r="BP16" s="110">
        <f t="shared" si="27"/>
        <v>0</v>
      </c>
      <c r="BQ16" s="110">
        <f t="shared" ref="BQ16:CO16" si="28">BQ8-BQ9-BQ10-BQ11-BQ12-BQ13-BQ14</f>
        <v>-4040180.63</v>
      </c>
      <c r="BR16" s="110">
        <f t="shared" si="28"/>
        <v>400000</v>
      </c>
      <c r="BS16" s="110">
        <f t="shared" si="28"/>
        <v>1204100</v>
      </c>
      <c r="BT16" s="110">
        <f t="shared" si="28"/>
        <v>0</v>
      </c>
      <c r="BU16" s="110">
        <f t="shared" si="28"/>
        <v>-2436080.63</v>
      </c>
      <c r="BV16" s="110">
        <f t="shared" si="28"/>
        <v>1074000</v>
      </c>
      <c r="BW16" s="110">
        <f t="shared" si="28"/>
        <v>0</v>
      </c>
      <c r="BX16" s="110">
        <f t="shared" si="28"/>
        <v>1011095</v>
      </c>
      <c r="BY16" s="110">
        <f t="shared" si="28"/>
        <v>-18430000</v>
      </c>
      <c r="BZ16" s="110">
        <f t="shared" si="28"/>
        <v>0</v>
      </c>
      <c r="CA16" s="110">
        <f t="shared" si="28"/>
        <v>881000</v>
      </c>
      <c r="CB16" s="110">
        <f t="shared" si="28"/>
        <v>-15463905</v>
      </c>
      <c r="CC16" s="110">
        <f t="shared" si="28"/>
        <v>1224000</v>
      </c>
      <c r="CD16" s="110">
        <f t="shared" si="28"/>
        <v>0</v>
      </c>
      <c r="CE16" s="110">
        <f t="shared" si="28"/>
        <v>1106795</v>
      </c>
      <c r="CF16" s="110">
        <f t="shared" si="28"/>
        <v>0</v>
      </c>
      <c r="CG16" s="110">
        <f t="shared" si="28"/>
        <v>909946</v>
      </c>
      <c r="CH16" s="110">
        <f t="shared" si="28"/>
        <v>0</v>
      </c>
      <c r="CI16" s="110">
        <f t="shared" si="28"/>
        <v>3240741</v>
      </c>
      <c r="CJ16" s="110">
        <f t="shared" si="28"/>
        <v>11257707</v>
      </c>
      <c r="CK16" s="110">
        <f t="shared" si="28"/>
        <v>-2905777</v>
      </c>
      <c r="CL16" s="110">
        <f t="shared" si="28"/>
        <v>3485123.370000001</v>
      </c>
      <c r="CM16" s="110">
        <f t="shared" si="28"/>
        <v>-14879629</v>
      </c>
      <c r="CN16" s="110">
        <f t="shared" si="28"/>
        <v>12583627</v>
      </c>
      <c r="CO16" s="110">
        <f t="shared" si="28"/>
        <v>5091579</v>
      </c>
      <c r="CP16" s="110">
        <f>CP8-CP9-CP10-CP11-CP12-CP13-CP14</f>
        <v>14632630.370000001</v>
      </c>
      <c r="CQ16" s="107"/>
      <c r="CR16" s="111">
        <f t="shared" si="0"/>
        <v>-1.2570159999999999</v>
      </c>
      <c r="CS16" s="111">
        <f t="shared" si="1"/>
        <v>0.81666447876447879</v>
      </c>
      <c r="CT16" s="111">
        <f t="shared" si="2"/>
        <v>0.66184013761467886</v>
      </c>
      <c r="CU16" s="111">
        <f t="shared" si="3"/>
        <v>0.76632261306532667</v>
      </c>
      <c r="CV16" s="111">
        <f t="shared" si="4"/>
        <v>0.83597543632837745</v>
      </c>
      <c r="CW16" s="111">
        <f t="shared" si="5"/>
        <v>0.86857103473626174</v>
      </c>
      <c r="CX16" s="111">
        <f t="shared" si="6"/>
        <v>0.5615521383950024</v>
      </c>
      <c r="CY16" s="111">
        <f t="shared" si="7"/>
        <v>0.76386752136752134</v>
      </c>
      <c r="CZ16" s="111">
        <f t="shared" si="8"/>
        <v>0.87631849123981698</v>
      </c>
      <c r="DA16" s="111">
        <f t="shared" si="9"/>
        <v>-1.3533781277777777</v>
      </c>
      <c r="DB16" s="111">
        <f t="shared" si="10"/>
        <v>-4.3183203015917337</v>
      </c>
      <c r="DC16" s="111">
        <f t="shared" si="11"/>
        <v>0.74499793103448275</v>
      </c>
    </row>
    <row r="17" spans="2:107" ht="16" x14ac:dyDescent="0.2"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5">
        <f>SUMIFS(wallet_records!$D:$D,wallet_records!$B:$B,'EEFF 2023'!$C17,wallet_records!$O:$O,'EEFF 2023'!$B$1,wallet_records!$N:$N,'EEFF 2023'!J$2,wallet_records!$H:$H,'EEFF 2023'!$B17,wallet_records!$F:$F,"Ingreso")</f>
        <v>10582797.07</v>
      </c>
      <c r="K17" s="120"/>
      <c r="L17" s="120"/>
      <c r="M17" s="120"/>
      <c r="N17" s="120"/>
      <c r="O17" s="120"/>
      <c r="P17" s="120"/>
      <c r="Q17" s="115">
        <f>SUMIFS(wallet_records!$D:$D,wallet_records!$B:$B,'EEFF 2023'!$C17,wallet_records!$O:$O,'EEFF 2023'!$B$1,wallet_records!$N:$N,'EEFF 2023'!Q$2,wallet_records!$H:$H,'EEFF 2023'!$B17,wallet_records!$F:$F,"Ingreso")</f>
        <v>0</v>
      </c>
      <c r="R17" s="120"/>
      <c r="S17" s="120"/>
      <c r="T17" s="120"/>
      <c r="U17" s="120"/>
      <c r="V17" s="120"/>
      <c r="W17" s="120"/>
      <c r="X17" s="115">
        <f>SUMIFS(wallet_records!$D:$D,wallet_records!$B:$B,'EEFF 2023'!$C17,wallet_records!$O:$O,'EEFF 2023'!$B$1,wallet_records!$N:$N,'EEFF 2023'!X$2,wallet_records!$H:$H,'EEFF 2023'!$B17,wallet_records!$F:$F,"Ingreso")</f>
        <v>0</v>
      </c>
      <c r="Y17" s="120"/>
      <c r="Z17" s="120"/>
      <c r="AA17" s="120"/>
      <c r="AB17" s="120"/>
      <c r="AC17" s="120"/>
      <c r="AD17" s="120"/>
      <c r="AE17" s="115">
        <f>SUMIFS(wallet_records!$D:$D,wallet_records!$B:$B,'EEFF 2023'!$C17,wallet_records!$O:$O,'EEFF 2023'!$B$1,wallet_records!$N:$N,'EEFF 2023'!AE$2,wallet_records!$H:$H,'EEFF 2023'!$B17,wallet_records!$F:$F,"Ingreso")</f>
        <v>0</v>
      </c>
      <c r="AF17" s="120"/>
      <c r="AG17" s="120"/>
      <c r="AH17" s="120"/>
      <c r="AI17" s="120"/>
      <c r="AJ17" s="120"/>
      <c r="AK17" s="120"/>
      <c r="AL17" s="115">
        <f>SUMIFS(wallet_records!$D:$D,wallet_records!$B:$B,'EEFF 2023'!$C17,wallet_records!$O:$O,'EEFF 2023'!$B$1,wallet_records!$N:$N,'EEFF 2023'!AL$2,wallet_records!$H:$H,'EEFF 2023'!$B17,wallet_records!$F:$F,"Ingreso")</f>
        <v>0</v>
      </c>
      <c r="AM17" s="120"/>
      <c r="AN17" s="120"/>
      <c r="AO17" s="120"/>
      <c r="AP17" s="120"/>
      <c r="AQ17" s="120"/>
      <c r="AR17" s="120"/>
      <c r="AS17" s="115">
        <f>SUMIFS(wallet_records!$D:$D,wallet_records!$B:$B,'EEFF 2023'!$C17,wallet_records!$O:$O,'EEFF 2023'!$B$1,wallet_records!$N:$N,'EEFF 2023'!AS$2,wallet_records!$H:$H,'EEFF 2023'!$B17,wallet_records!$F:$F,"Ingreso")</f>
        <v>0</v>
      </c>
      <c r="AT17" s="120"/>
      <c r="AU17" s="120"/>
      <c r="AV17" s="120"/>
      <c r="AW17" s="120"/>
      <c r="AX17" s="120"/>
      <c r="AY17" s="120"/>
      <c r="AZ17" s="115">
        <f>SUMIFS(wallet_records!$D:$D,wallet_records!$B:$B,'EEFF 2023'!$C17,wallet_records!$O:$O,'EEFF 2023'!$B$1,wallet_records!$N:$N,'EEFF 2023'!AZ$2,wallet_records!$H:$H,'EEFF 2023'!$B17,wallet_records!$F:$F,"Ingreso")</f>
        <v>0</v>
      </c>
      <c r="BA17" s="120"/>
      <c r="BB17" s="120"/>
      <c r="BC17" s="120"/>
      <c r="BD17" s="120"/>
      <c r="BE17" s="120"/>
      <c r="BF17" s="120"/>
      <c r="BG17" s="115">
        <f>SUMIFS(wallet_records!$D:$D,wallet_records!$B:$B,'EEFF 2023'!$C17,wallet_records!$O:$O,'EEFF 2023'!$B$1,wallet_records!$N:$N,'EEFF 2023'!BG$2,wallet_records!$H:$H,'EEFF 2023'!$B17,wallet_records!$F:$F,"Ingreso")</f>
        <v>0</v>
      </c>
      <c r="BH17" s="120"/>
      <c r="BI17" s="120"/>
      <c r="BJ17" s="120"/>
      <c r="BK17" s="120"/>
      <c r="BL17" s="120"/>
      <c r="BM17" s="120"/>
      <c r="BN17" s="115">
        <f>SUMIFS(wallet_records!$D:$D,wallet_records!$B:$B,'EEFF 2023'!$C17,wallet_records!$O:$O,'EEFF 2023'!$B$1,wallet_records!$N:$N,'EEFF 2023'!BN$2,wallet_records!$H:$H,'EEFF 2023'!$B17,wallet_records!$F:$F,"Ingreso")</f>
        <v>15648666.01</v>
      </c>
      <c r="BO17" s="120"/>
      <c r="BP17" s="120"/>
      <c r="BQ17" s="120"/>
      <c r="BR17" s="120"/>
      <c r="BS17" s="120"/>
      <c r="BT17" s="120"/>
      <c r="BU17" s="115">
        <f>SUMIFS(wallet_records!$D:$D,wallet_records!$B:$B,'EEFF 2023'!$C17,wallet_records!$O:$O,'EEFF 2023'!$B$1,wallet_records!$N:$N,'EEFF 2023'!BU$2,wallet_records!$H:$H,'EEFF 2023'!$B17,wallet_records!$F:$F,"Ingreso")</f>
        <v>0</v>
      </c>
      <c r="BV17" s="120"/>
      <c r="BW17" s="120"/>
      <c r="BX17" s="120"/>
      <c r="BY17" s="120"/>
      <c r="BZ17" s="120"/>
      <c r="CA17" s="120"/>
      <c r="CB17" s="115">
        <f>SUMIFS(wallet_records!$D:$D,wallet_records!$B:$B,'EEFF 2023'!$C17,wallet_records!$O:$O,'EEFF 2023'!$B$1,wallet_records!$N:$N,'EEFF 2023'!CB$2,wallet_records!$H:$H,'EEFF 2023'!$B17,wallet_records!$F:$F,"Ingreso")</f>
        <v>18525700</v>
      </c>
      <c r="CC17" s="120"/>
      <c r="CD17" s="120"/>
      <c r="CE17" s="120"/>
      <c r="CF17" s="120"/>
      <c r="CG17" s="120"/>
      <c r="CH17" s="120"/>
      <c r="CI17" s="115">
        <f>SUMIFS(wallet_records!$D:$D,wallet_records!$B:$B,'EEFF 2023'!$C17,wallet_records!$O:$O,'EEFF 2023'!$B$1,wallet_records!$N:$N,'EEFF 2023'!CI$2,wallet_records!$H:$H,'EEFF 2023'!$B17,wallet_records!$F:$F,"Ingreso")</f>
        <v>0</v>
      </c>
      <c r="CJ17" s="120"/>
      <c r="CK17" s="120"/>
      <c r="CL17" s="120"/>
      <c r="CM17" s="120"/>
      <c r="CN17" s="120"/>
      <c r="CO17" s="120"/>
      <c r="CP17" s="115">
        <f>SUMIFS(wallet_records!$D:$D,wallet_records!$B:$B,'EEFF 2023'!$C17,wallet_records!$O:$O,'EEFF 2023'!$B$1,wallet_records!$H:$H,'EEFF 2023'!$B17,wallet_records!$F:$F,"Ingreso")</f>
        <v>44757163.079999998</v>
      </c>
      <c r="CQ17" s="107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</row>
    <row r="18" spans="2:107" ht="16" x14ac:dyDescent="0.2">
      <c r="B18" s="235" t="s">
        <v>522</v>
      </c>
      <c r="C18" s="191" t="s">
        <v>136</v>
      </c>
      <c r="D18" s="115"/>
      <c r="E18" s="115"/>
      <c r="F18" s="115"/>
      <c r="G18" s="121"/>
      <c r="H18" s="121"/>
      <c r="I18" s="121"/>
      <c r="J18" s="115">
        <f>SUMIFS(wallet_records!$D:$D,wallet_records!$B:$B,'EEFF 2023'!$C18,wallet_records!$O:$O,'EEFF 2023'!$B$1,wallet_records!$N:$N,'EEFF 2023'!J$2,wallet_records!$H:$H,'EEFF 2023'!$B18,wallet_records!$F:$F,"Ingreso")</f>
        <v>568153.93999999994</v>
      </c>
      <c r="K18" s="115"/>
      <c r="L18" s="115"/>
      <c r="M18" s="115"/>
      <c r="N18" s="121"/>
      <c r="O18" s="121"/>
      <c r="P18" s="121"/>
      <c r="Q18" s="115">
        <f>SUMIFS(wallet_records!$D:$D,wallet_records!$B:$B,'EEFF 2023'!$C18,wallet_records!$O:$O,'EEFF 2023'!$B$1,wallet_records!$N:$N,'EEFF 2023'!Q$2,wallet_records!$H:$H,'EEFF 2023'!$B18,wallet_records!$F:$F,"Ingreso")</f>
        <v>6943047.4900000002</v>
      </c>
      <c r="R18" s="121"/>
      <c r="S18" s="121"/>
      <c r="T18" s="121"/>
      <c r="U18" s="121"/>
      <c r="V18" s="121"/>
      <c r="X18" s="115">
        <f>SUMIFS(wallet_records!$D:$D,wallet_records!$B:$B,'EEFF 2023'!$C18,wallet_records!$O:$O,'EEFF 2023'!$B$1,wallet_records!$N:$N,'EEFF 2023'!X$2,wallet_records!$H:$H,'EEFF 2023'!$B18,wallet_records!$F:$F,"Ingreso")</f>
        <v>1283909.99</v>
      </c>
      <c r="Y18" s="121"/>
      <c r="Z18" s="121"/>
      <c r="AA18" s="121"/>
      <c r="AB18" s="121"/>
      <c r="AC18" s="121"/>
      <c r="AE18" s="115">
        <f>SUMIFS(wallet_records!$D:$D,wallet_records!$B:$B,'EEFF 2023'!$C18,wallet_records!$O:$O,'EEFF 2023'!$B$1,wallet_records!$N:$N,'EEFF 2023'!AE$2,wallet_records!$H:$H,'EEFF 2023'!$B18,wallet_records!$F:$F,"Ingreso")</f>
        <v>637365.4</v>
      </c>
      <c r="AF18" s="121"/>
      <c r="AG18" s="121"/>
      <c r="AH18" s="121"/>
      <c r="AI18" s="121"/>
      <c r="AJ18" s="121"/>
      <c r="AL18" s="115">
        <f>SUMIFS(wallet_records!$D:$D,wallet_records!$B:$B,'EEFF 2023'!$C18,wallet_records!$O:$O,'EEFF 2023'!$B$1,wallet_records!$N:$N,'EEFF 2023'!AL$2,wallet_records!$H:$H,'EEFF 2023'!$B18,wallet_records!$F:$F,"Ingreso")</f>
        <v>2740139</v>
      </c>
      <c r="AM18" s="121"/>
      <c r="AN18" s="121"/>
      <c r="AO18" s="121"/>
      <c r="AP18" s="121"/>
      <c r="AQ18" s="121"/>
      <c r="AS18" s="115">
        <f>SUMIFS(wallet_records!$D:$D,wallet_records!$B:$B,'EEFF 2023'!$C18,wallet_records!$O:$O,'EEFF 2023'!$B$1,wallet_records!$N:$N,'EEFF 2023'!AS$2,wallet_records!$H:$H,'EEFF 2023'!$B18,wallet_records!$F:$F,"Ingreso")</f>
        <v>532349</v>
      </c>
      <c r="AT18" s="121"/>
      <c r="AU18" s="121"/>
      <c r="AV18" s="121"/>
      <c r="AW18" s="121"/>
      <c r="AX18" s="121"/>
      <c r="AZ18" s="115">
        <f>SUMIFS(wallet_records!$D:$D,wallet_records!$B:$B,'EEFF 2023'!$C18,wallet_records!$O:$O,'EEFF 2023'!$B$1,wallet_records!$N:$N,'EEFF 2023'!AZ$2,wallet_records!$H:$H,'EEFF 2023'!$B18,wallet_records!$F:$F,"Ingreso")</f>
        <v>929629.25</v>
      </c>
      <c r="BA18" s="121"/>
      <c r="BB18" s="121"/>
      <c r="BC18" s="121"/>
      <c r="BD18" s="121"/>
      <c r="BE18" s="121"/>
      <c r="BG18" s="115">
        <f>SUMIFS(wallet_records!$D:$D,wallet_records!$B:$B,'EEFF 2023'!$C18,wallet_records!$O:$O,'EEFF 2023'!$B$1,wallet_records!$N:$N,'EEFF 2023'!BG$2,wallet_records!$H:$H,'EEFF 2023'!$B18,wallet_records!$F:$F,"Ingreso")</f>
        <v>1280533.52</v>
      </c>
      <c r="BH18" s="121"/>
      <c r="BI18" s="121"/>
      <c r="BJ18" s="121"/>
      <c r="BK18" s="121"/>
      <c r="BL18" s="121"/>
      <c r="BN18" s="115">
        <f>SUMIFS(wallet_records!$D:$D,wallet_records!$B:$B,'EEFF 2023'!$C18,wallet_records!$O:$O,'EEFF 2023'!$B$1,wallet_records!$N:$N,'EEFF 2023'!BN$2,wallet_records!$H:$H,'EEFF 2023'!$B18,wallet_records!$F:$F,"Ingreso")</f>
        <v>1556253.57</v>
      </c>
      <c r="BO18" s="121"/>
      <c r="BP18" s="121"/>
      <c r="BQ18" s="121"/>
      <c r="BR18" s="121"/>
      <c r="BS18" s="121"/>
      <c r="BU18" s="115">
        <f>SUMIFS(wallet_records!$D:$D,wallet_records!$B:$B,'EEFF 2023'!$C18,wallet_records!$O:$O,'EEFF 2023'!$B$1,wallet_records!$N:$N,'EEFF 2023'!BU$2,wallet_records!$H:$H,'EEFF 2023'!$B18,wallet_records!$F:$F,"Ingreso")</f>
        <v>6476685.4900000002</v>
      </c>
      <c r="BV18" s="121"/>
      <c r="BW18" s="121"/>
      <c r="BX18" s="121"/>
      <c r="BY18" s="121"/>
      <c r="BZ18" s="121"/>
      <c r="CB18" s="115">
        <f>SUMIFS(wallet_records!$D:$D,wallet_records!$B:$B,'EEFF 2023'!$C18,wallet_records!$O:$O,'EEFF 2023'!$B$1,wallet_records!$N:$N,'EEFF 2023'!CB$2,wallet_records!$H:$H,'EEFF 2023'!$B18,wallet_records!$F:$F,"Ingreso")</f>
        <v>835580.33</v>
      </c>
      <c r="CC18" s="121"/>
      <c r="CD18" s="121"/>
      <c r="CE18" s="121"/>
      <c r="CF18" s="121"/>
      <c r="CG18" s="121"/>
      <c r="CI18" s="115">
        <f>SUMIFS(wallet_records!$D:$D,wallet_records!$B:$B,'EEFF 2023'!$C18,wallet_records!$O:$O,'EEFF 2023'!$B$1,wallet_records!$N:$N,'EEFF 2023'!CI$2,wallet_records!$H:$H,'EEFF 2023'!$B18,wallet_records!$F:$F,"Ingreso")</f>
        <v>1605115.42</v>
      </c>
      <c r="CJ18" s="121"/>
      <c r="CK18" s="121"/>
      <c r="CL18" s="121"/>
      <c r="CM18" s="121"/>
      <c r="CN18" s="121"/>
      <c r="CP18" s="115">
        <f>SUMIFS(wallet_records!$D:$D,wallet_records!$B:$B,'EEFF 2023'!$C18,wallet_records!$O:$O,'EEFF 2023'!$B$1,wallet_records!$H:$H,'EEFF 2023'!$B18,wallet_records!$F:$F,"Ingreso")</f>
        <v>25388762.400000006</v>
      </c>
      <c r="CQ18" s="107"/>
      <c r="CR18" s="118">
        <f t="shared" ref="CR18:CR39" si="29">J18/J$6</f>
        <v>0.16232969714285714</v>
      </c>
      <c r="CS18" s="118">
        <f t="shared" si="1"/>
        <v>1.3403566583011584</v>
      </c>
      <c r="CT18" s="118">
        <f t="shared" si="2"/>
        <v>0.29447476834862385</v>
      </c>
      <c r="CU18" s="118">
        <f t="shared" si="3"/>
        <v>0.16014206030150754</v>
      </c>
      <c r="CV18" s="118">
        <f t="shared" si="4"/>
        <v>0.59041995259642321</v>
      </c>
      <c r="CW18" s="118">
        <f t="shared" si="5"/>
        <v>9.784028671200147E-2</v>
      </c>
      <c r="CX18" s="118">
        <f t="shared" si="6"/>
        <v>0.44672236905333973</v>
      </c>
      <c r="CY18" s="118">
        <f t="shared" si="7"/>
        <v>0.16582925666925666</v>
      </c>
      <c r="CZ18" s="118">
        <f t="shared" si="8"/>
        <v>0.17366963173752931</v>
      </c>
      <c r="DA18" s="118">
        <f t="shared" si="9"/>
        <v>3.5981586055555557</v>
      </c>
      <c r="DB18" s="118">
        <f t="shared" si="10"/>
        <v>0.23333714884110582</v>
      </c>
      <c r="DC18" s="118">
        <f t="shared" si="11"/>
        <v>0.36899205057471263</v>
      </c>
    </row>
    <row r="19" spans="2:107" ht="16" x14ac:dyDescent="0.2">
      <c r="B19" s="107" t="s">
        <v>477</v>
      </c>
      <c r="C19" s="191" t="s">
        <v>144</v>
      </c>
      <c r="D19" s="115"/>
      <c r="E19" s="115"/>
      <c r="F19" s="115"/>
      <c r="G19" s="121"/>
      <c r="H19" s="121"/>
      <c r="I19" s="121"/>
      <c r="J19" s="115">
        <f>SUMIFS(wallet_records!$D:$D,wallet_records!$B:$B,'EEFF 2023'!$C19,wallet_records!$O:$O,'EEFF 2023'!$B$1,wallet_records!$N:$N,'EEFF 2023'!J$2,wallet_records!$H:$H,'EEFF 2023'!$B19)</f>
        <v>0</v>
      </c>
      <c r="K19" s="115"/>
      <c r="L19" s="115"/>
      <c r="M19" s="115"/>
      <c r="N19" s="121"/>
      <c r="O19" s="121"/>
      <c r="P19" s="121"/>
      <c r="Q19" s="115">
        <f>SUMIFS(wallet_records!$D:$D,wallet_records!$B:$B,'EEFF 2023'!$C19,wallet_records!$O:$O,'EEFF 2023'!$B$1,wallet_records!$N:$N,'EEFF 2023'!Q$2,wallet_records!$H:$H,'EEFF 2023'!$B19)</f>
        <v>0</v>
      </c>
      <c r="R19" s="121"/>
      <c r="S19" s="121"/>
      <c r="T19" s="121"/>
      <c r="U19" s="121"/>
      <c r="V19" s="121"/>
      <c r="X19" s="115">
        <f>SUMIFS(wallet_records!$D:$D,wallet_records!$B:$B,'EEFF 2023'!$C19,wallet_records!$O:$O,'EEFF 2023'!$B$1,wallet_records!$N:$N,'EEFF 2023'!X$2,wallet_records!$H:$H,'EEFF 2023'!$B19)</f>
        <v>0</v>
      </c>
      <c r="Y19" s="121"/>
      <c r="Z19" s="121"/>
      <c r="AA19" s="121"/>
      <c r="AB19" s="121"/>
      <c r="AC19" s="121"/>
      <c r="AE19" s="115">
        <f>SUMIFS(wallet_records!$D:$D,wallet_records!$B:$B,'EEFF 2023'!$C19,wallet_records!$O:$O,'EEFF 2023'!$B$1,wallet_records!$N:$N,'EEFF 2023'!AE$2,wallet_records!$H:$H,'EEFF 2023'!$B19)</f>
        <v>0</v>
      </c>
      <c r="AF19" s="121"/>
      <c r="AG19" s="121"/>
      <c r="AH19" s="121"/>
      <c r="AI19" s="121"/>
      <c r="AJ19" s="121"/>
      <c r="AL19" s="115">
        <f>SUMIFS(wallet_records!$D:$D,wallet_records!$B:$B,'EEFF 2023'!$C19,wallet_records!$O:$O,'EEFF 2023'!$B$1,wallet_records!$N:$N,'EEFF 2023'!AL$2,wallet_records!$H:$H,'EEFF 2023'!$B19)</f>
        <v>0</v>
      </c>
      <c r="AM19" s="121"/>
      <c r="AN19" s="121"/>
      <c r="AO19" s="121"/>
      <c r="AP19" s="121"/>
      <c r="AQ19" s="121"/>
      <c r="AS19" s="115">
        <f>SUMIFS(wallet_records!$D:$D,wallet_records!$B:$B,'EEFF 2023'!$C19,wallet_records!$O:$O,'EEFF 2023'!$B$1,wallet_records!$N:$N,'EEFF 2023'!AS$2,wallet_records!$H:$H,'EEFF 2023'!$B19)</f>
        <v>0</v>
      </c>
      <c r="AT19" s="121"/>
      <c r="AU19" s="121"/>
      <c r="AV19" s="121"/>
      <c r="AW19" s="121"/>
      <c r="AX19" s="121"/>
      <c r="AZ19" s="115">
        <f>SUMIFS(wallet_records!$D:$D,wallet_records!$B:$B,'EEFF 2023'!$C19,wallet_records!$O:$O,'EEFF 2023'!$B$1,wallet_records!$N:$N,'EEFF 2023'!AZ$2,wallet_records!$H:$H,'EEFF 2023'!$B19)</f>
        <v>0</v>
      </c>
      <c r="BA19" s="121"/>
      <c r="BB19" s="121"/>
      <c r="BC19" s="121"/>
      <c r="BD19" s="121"/>
      <c r="BE19" s="121"/>
      <c r="BG19" s="115">
        <f>SUMIFS(wallet_records!$D:$D,wallet_records!$B:$B,'EEFF 2023'!$C19,wallet_records!$O:$O,'EEFF 2023'!$B$1,wallet_records!$N:$N,'EEFF 2023'!BG$2,wallet_records!$H:$H,'EEFF 2023'!$B19)</f>
        <v>0</v>
      </c>
      <c r="BH19" s="121"/>
      <c r="BI19" s="121"/>
      <c r="BJ19" s="121"/>
      <c r="BK19" s="121"/>
      <c r="BL19" s="121"/>
      <c r="BN19" s="115">
        <f>SUMIFS(wallet_records!$D:$D,wallet_records!$B:$B,'EEFF 2023'!$C19,wallet_records!$O:$O,'EEFF 2023'!$B$1,wallet_records!$N:$N,'EEFF 2023'!BN$2,wallet_records!$H:$H,'EEFF 2023'!$B19)</f>
        <v>0</v>
      </c>
      <c r="BO19" s="121"/>
      <c r="BP19" s="121"/>
      <c r="BQ19" s="121"/>
      <c r="BR19" s="121"/>
      <c r="BS19" s="121"/>
      <c r="BU19" s="115">
        <f>SUMIFS(wallet_records!$D:$D,wallet_records!$B:$B,'EEFF 2023'!$C19,wallet_records!$O:$O,'EEFF 2023'!$B$1,wallet_records!$N:$N,'EEFF 2023'!BU$2,wallet_records!$H:$H,'EEFF 2023'!$B19)</f>
        <v>0</v>
      </c>
      <c r="BV19" s="121"/>
      <c r="BW19" s="121"/>
      <c r="BX19" s="121"/>
      <c r="BY19" s="121"/>
      <c r="BZ19" s="121"/>
      <c r="CB19" s="115">
        <f>SUMIFS(wallet_records!$D:$D,wallet_records!$B:$B,'EEFF 2023'!$C19,wallet_records!$O:$O,'EEFF 2023'!$B$1,wallet_records!$N:$N,'EEFF 2023'!CB$2,wallet_records!$H:$H,'EEFF 2023'!$B19)</f>
        <v>0</v>
      </c>
      <c r="CC19" s="121"/>
      <c r="CD19" s="121"/>
      <c r="CE19" s="121"/>
      <c r="CF19" s="121"/>
      <c r="CG19" s="121"/>
      <c r="CI19" s="115">
        <f>SUMIFS(wallet_records!$D:$D,wallet_records!$B:$B,'EEFF 2023'!$C19,wallet_records!$O:$O,'EEFF 2023'!$B$1,wallet_records!$N:$N,'EEFF 2023'!CI$2,wallet_records!$H:$H,'EEFF 2023'!$B19)</f>
        <v>0</v>
      </c>
      <c r="CJ19" s="121"/>
      <c r="CK19" s="121"/>
      <c r="CL19" s="121"/>
      <c r="CM19" s="121"/>
      <c r="CN19" s="121"/>
      <c r="CP19" s="115">
        <f>SUMIFS(wallet_records!$D:$D,wallet_records!$B:$B,'EEFF 2023'!$C19,wallet_records!$O:$O,'EEFF 2023'!$B$1,wallet_records!$H:$H,'EEFF 2023'!$B19)</f>
        <v>0</v>
      </c>
      <c r="CQ19" s="107"/>
      <c r="CR19" s="118">
        <f t="shared" si="29"/>
        <v>0</v>
      </c>
      <c r="CS19" s="118">
        <f t="shared" si="1"/>
        <v>0</v>
      </c>
      <c r="CT19" s="118">
        <f t="shared" si="2"/>
        <v>0</v>
      </c>
      <c r="CU19" s="118">
        <f t="shared" si="3"/>
        <v>0</v>
      </c>
      <c r="CV19" s="118">
        <f t="shared" si="4"/>
        <v>0</v>
      </c>
      <c r="CW19" s="118">
        <f t="shared" si="5"/>
        <v>0</v>
      </c>
      <c r="CX19" s="118">
        <f t="shared" si="6"/>
        <v>0</v>
      </c>
      <c r="CY19" s="118">
        <f t="shared" si="7"/>
        <v>0</v>
      </c>
      <c r="CZ19" s="118">
        <f t="shared" si="8"/>
        <v>0</v>
      </c>
      <c r="DA19" s="118">
        <f t="shared" si="9"/>
        <v>0</v>
      </c>
      <c r="DB19" s="118">
        <f t="shared" si="10"/>
        <v>0</v>
      </c>
      <c r="DC19" s="118">
        <f t="shared" si="11"/>
        <v>0</v>
      </c>
    </row>
    <row r="20" spans="2:107" x14ac:dyDescent="0.2">
      <c r="B20" s="107" t="s">
        <v>145</v>
      </c>
      <c r="C20" s="191" t="s">
        <v>144</v>
      </c>
      <c r="D20" s="187"/>
      <c r="E20" s="187"/>
      <c r="F20" s="187"/>
      <c r="G20" s="188"/>
      <c r="H20" s="188"/>
      <c r="I20" s="188"/>
      <c r="J20" s="115">
        <f>SUMIFS(wallet_records!$D:$D,wallet_records!$B:$B,'EEFF 2023'!$C20,wallet_records!$O:$O,'EEFF 2023'!$B$1,wallet_records!$N:$N,'EEFF 2023'!J$2,wallet_records!$H:$H,'EEFF 2023'!$B20)</f>
        <v>330600</v>
      </c>
      <c r="K20" s="187"/>
      <c r="L20" s="187"/>
      <c r="M20" s="187"/>
      <c r="N20" s="187"/>
      <c r="O20" s="187"/>
      <c r="P20" s="187"/>
      <c r="Q20" s="115">
        <f>SUMIFS(wallet_records!$D:$D,wallet_records!$B:$B,'EEFF 2023'!$C20,wallet_records!$O:$O,'EEFF 2023'!$B$1,wallet_records!$N:$N,'EEFF 2023'!Q$2,wallet_records!$H:$H,'EEFF 2023'!$B20)</f>
        <v>0</v>
      </c>
      <c r="R20" s="187"/>
      <c r="S20" s="187"/>
      <c r="T20" s="187"/>
      <c r="U20" s="188"/>
      <c r="V20" s="188"/>
      <c r="W20" s="188"/>
      <c r="X20" s="115">
        <f>SUMIFS(wallet_records!$D:$D,wallet_records!$B:$B,'EEFF 2023'!$C20,wallet_records!$O:$O,'EEFF 2023'!$B$1,wallet_records!$N:$N,'EEFF 2023'!X$2,wallet_records!$H:$H,'EEFF 2023'!$B20)</f>
        <v>661200</v>
      </c>
      <c r="Y20" s="187"/>
      <c r="Z20" s="187"/>
      <c r="AA20" s="187"/>
      <c r="AB20" s="188"/>
      <c r="AC20" s="188"/>
      <c r="AD20" s="188"/>
      <c r="AE20" s="115">
        <f>SUMIFS(wallet_records!$D:$D,wallet_records!$B:$B,'EEFF 2023'!$C20,wallet_records!$O:$O,'EEFF 2023'!$B$1,wallet_records!$N:$N,'EEFF 2023'!AE$2,wallet_records!$H:$H,'EEFF 2023'!$B20)</f>
        <v>0</v>
      </c>
      <c r="AF20" s="187"/>
      <c r="AG20" s="187"/>
      <c r="AH20" s="187"/>
      <c r="AI20" s="188"/>
      <c r="AJ20" s="188"/>
      <c r="AK20" s="188"/>
      <c r="AL20" s="115">
        <f>SUMIFS(wallet_records!$D:$D,wallet_records!$B:$B,'EEFF 2023'!$C20,wallet_records!$O:$O,'EEFF 2023'!$B$1,wallet_records!$N:$N,'EEFF 2023'!AL$2,wallet_records!$H:$H,'EEFF 2023'!$B20)</f>
        <v>330600</v>
      </c>
      <c r="AM20" s="187"/>
      <c r="AN20" s="187"/>
      <c r="AO20" s="187"/>
      <c r="AP20" s="188"/>
      <c r="AQ20" s="188"/>
      <c r="AR20" s="188"/>
      <c r="AS20" s="115">
        <f>SUMIFS(wallet_records!$D:$D,wallet_records!$B:$B,'EEFF 2023'!$C20,wallet_records!$O:$O,'EEFF 2023'!$B$1,wallet_records!$N:$N,'EEFF 2023'!AS$2,wallet_records!$H:$H,'EEFF 2023'!$B20)</f>
        <v>330600</v>
      </c>
      <c r="AT20" s="187"/>
      <c r="AU20" s="187"/>
      <c r="AV20" s="187"/>
      <c r="AW20" s="188"/>
      <c r="AX20" s="188"/>
      <c r="AY20" s="188"/>
      <c r="AZ20" s="115">
        <f>SUMIFS(wallet_records!$D:$D,wallet_records!$B:$B,'EEFF 2023'!$C20,wallet_records!$O:$O,'EEFF 2023'!$B$1,wallet_records!$N:$N,'EEFF 2023'!AZ$2,wallet_records!$H:$H,'EEFF 2023'!$B20)</f>
        <v>330600</v>
      </c>
      <c r="BA20" s="187"/>
      <c r="BB20" s="187"/>
      <c r="BC20" s="187"/>
      <c r="BD20" s="188"/>
      <c r="BE20" s="188"/>
      <c r="BF20" s="188"/>
      <c r="BG20" s="115">
        <f>SUMIFS(wallet_records!$D:$D,wallet_records!$B:$B,'EEFF 2023'!$C20,wallet_records!$O:$O,'EEFF 2023'!$B$1,wallet_records!$N:$N,'EEFF 2023'!BG$2,wallet_records!$H:$H,'EEFF 2023'!$B20)</f>
        <v>330600</v>
      </c>
      <c r="BH20" s="187"/>
      <c r="BI20" s="187"/>
      <c r="BJ20" s="187"/>
      <c r="BK20" s="188"/>
      <c r="BL20" s="188"/>
      <c r="BM20" s="188"/>
      <c r="BN20" s="115">
        <f>SUMIFS(wallet_records!$D:$D,wallet_records!$B:$B,'EEFF 2023'!$C20,wallet_records!$O:$O,'EEFF 2023'!$B$1,wallet_records!$N:$N,'EEFF 2023'!BN$2,wallet_records!$H:$H,'EEFF 2023'!$B20)</f>
        <v>330600</v>
      </c>
      <c r="BO20" s="187"/>
      <c r="BP20" s="187"/>
      <c r="BQ20" s="187"/>
      <c r="BR20" s="188"/>
      <c r="BS20" s="188"/>
      <c r="BT20" s="188"/>
      <c r="BU20" s="115">
        <f>SUMIFS(wallet_records!$D:$D,wallet_records!$B:$B,'EEFF 2023'!$C20,wallet_records!$O:$O,'EEFF 2023'!$B$1,wallet_records!$N:$N,'EEFF 2023'!BU$2,wallet_records!$H:$H,'EEFF 2023'!$B20)</f>
        <v>330600</v>
      </c>
      <c r="BV20" s="187"/>
      <c r="BW20" s="187"/>
      <c r="BX20" s="187"/>
      <c r="BY20" s="188"/>
      <c r="BZ20" s="188"/>
      <c r="CA20" s="188"/>
      <c r="CB20" s="115">
        <f>SUMIFS(wallet_records!$D:$D,wallet_records!$B:$B,'EEFF 2023'!$C20,wallet_records!$O:$O,'EEFF 2023'!$B$1,wallet_records!$N:$N,'EEFF 2023'!CB$2,wallet_records!$H:$H,'EEFF 2023'!$B20)</f>
        <v>330600</v>
      </c>
      <c r="CC20" s="187"/>
      <c r="CD20" s="187"/>
      <c r="CE20" s="187"/>
      <c r="CF20" s="188"/>
      <c r="CG20" s="188"/>
      <c r="CH20" s="188"/>
      <c r="CI20" s="115">
        <f>SUMIFS(wallet_records!$D:$D,wallet_records!$B:$B,'EEFF 2023'!$C20,wallet_records!$O:$O,'EEFF 2023'!$B$1,wallet_records!$N:$N,'EEFF 2023'!CI$2,wallet_records!$H:$H,'EEFF 2023'!$B20)</f>
        <v>330600</v>
      </c>
      <c r="CJ20" s="116"/>
      <c r="CK20" s="116"/>
      <c r="CL20" s="116"/>
      <c r="CM20" s="116"/>
      <c r="CN20" s="116"/>
      <c r="CP20" s="115">
        <f>SUMIFS(wallet_records!$D:$D,wallet_records!$B:$B,'EEFF 2023'!$C20,wallet_records!$O:$O,'EEFF 2023'!$B$1,wallet_records!$H:$H,'EEFF 2023'!$B20)</f>
        <v>3636600</v>
      </c>
      <c r="CQ20" s="107"/>
      <c r="CR20" s="118">
        <f t="shared" si="29"/>
        <v>9.4457142857142851E-2</v>
      </c>
      <c r="CS20" s="118">
        <f t="shared" si="1"/>
        <v>0</v>
      </c>
      <c r="CT20" s="118">
        <f t="shared" si="2"/>
        <v>0.151651376146789</v>
      </c>
      <c r="CU20" s="118">
        <f t="shared" si="3"/>
        <v>0</v>
      </c>
      <c r="CV20" s="118">
        <f t="shared" si="4"/>
        <v>7.1234647705235937E-2</v>
      </c>
      <c r="CW20" s="118">
        <f t="shared" si="5"/>
        <v>6.0760889542363535E-2</v>
      </c>
      <c r="CX20" s="118">
        <f t="shared" si="6"/>
        <v>0.15886592984142239</v>
      </c>
      <c r="CY20" s="118">
        <f t="shared" si="7"/>
        <v>4.2812742812742811E-2</v>
      </c>
      <c r="CZ20" s="118">
        <f t="shared" si="8"/>
        <v>3.6893203883495145E-2</v>
      </c>
      <c r="DA20" s="118">
        <f t="shared" si="9"/>
        <v>0.18366666666666667</v>
      </c>
      <c r="DB20" s="118">
        <f t="shared" si="10"/>
        <v>9.2320580843339856E-2</v>
      </c>
      <c r="DC20" s="118">
        <f t="shared" si="11"/>
        <v>7.5999999999999998E-2</v>
      </c>
    </row>
    <row r="21" spans="2:107" x14ac:dyDescent="0.2">
      <c r="B21" s="10" t="s">
        <v>132</v>
      </c>
      <c r="C21" s="191" t="s">
        <v>131</v>
      </c>
      <c r="D21" s="115"/>
      <c r="E21" s="115"/>
      <c r="F21" s="115"/>
      <c r="G21" s="116"/>
      <c r="H21" s="116"/>
      <c r="I21" s="116"/>
      <c r="J21" s="115">
        <f>SUMIFS(wallet_records!$D:$D,wallet_records!$B:$B,'EEFF 2023'!$C21,wallet_records!$O:$O,'EEFF 2023'!$B$1,wallet_records!$N:$N,'EEFF 2023'!J$2,wallet_records!$H:$H,'EEFF 2023'!$B21)</f>
        <v>0</v>
      </c>
      <c r="K21" s="115"/>
      <c r="L21" s="115"/>
      <c r="M21" s="115"/>
      <c r="N21" s="116"/>
      <c r="O21" s="116"/>
      <c r="P21" s="116"/>
      <c r="Q21" s="115">
        <f>SUMIFS(wallet_records!$D:$D,wallet_records!$B:$B,'EEFF 2023'!$C21,wallet_records!$O:$O,'EEFF 2023'!$B$1,wallet_records!$N:$N,'EEFF 2023'!Q$2,wallet_records!$H:$H,'EEFF 2023'!$B21)</f>
        <v>0</v>
      </c>
      <c r="R21" s="116"/>
      <c r="S21" s="116"/>
      <c r="T21" s="116"/>
      <c r="U21" s="116"/>
      <c r="V21" s="116"/>
      <c r="X21" s="115">
        <f>SUMIFS(wallet_records!$D:$D,wallet_records!$B:$B,'EEFF 2023'!$C21,wallet_records!$O:$O,'EEFF 2023'!$B$1,wallet_records!$N:$N,'EEFF 2023'!X$2,wallet_records!$H:$H,'EEFF 2023'!$B21)</f>
        <v>0</v>
      </c>
      <c r="Y21" s="116"/>
      <c r="Z21" s="116"/>
      <c r="AA21" s="116"/>
      <c r="AB21" s="116"/>
      <c r="AC21" s="116"/>
      <c r="AE21" s="115">
        <f>SUMIFS(wallet_records!$D:$D,wallet_records!$B:$B,'EEFF 2023'!$C21,wallet_records!$O:$O,'EEFF 2023'!$B$1,wallet_records!$N:$N,'EEFF 2023'!AE$2,wallet_records!$H:$H,'EEFF 2023'!$B21)</f>
        <v>0</v>
      </c>
      <c r="AF21" s="116"/>
      <c r="AG21" s="116"/>
      <c r="AH21" s="116"/>
      <c r="AI21" s="116"/>
      <c r="AJ21" s="116"/>
      <c r="AL21" s="115">
        <f>SUMIFS(wallet_records!$D:$D,wallet_records!$B:$B,'EEFF 2023'!$C21,wallet_records!$O:$O,'EEFF 2023'!$B$1,wallet_records!$N:$N,'EEFF 2023'!AL$2,wallet_records!$H:$H,'EEFF 2023'!$B21)</f>
        <v>0</v>
      </c>
      <c r="AM21" s="116"/>
      <c r="AN21" s="116"/>
      <c r="AO21" s="116"/>
      <c r="AP21" s="116"/>
      <c r="AQ21" s="116"/>
      <c r="AS21" s="115">
        <f>SUMIFS(wallet_records!$D:$D,wallet_records!$B:$B,'EEFF 2023'!$C21,wallet_records!$O:$O,'EEFF 2023'!$B$1,wallet_records!$N:$N,'EEFF 2023'!AS$2,wallet_records!$H:$H,'EEFF 2023'!$B21)</f>
        <v>0</v>
      </c>
      <c r="AT21" s="116"/>
      <c r="AU21" s="116"/>
      <c r="AV21" s="116"/>
      <c r="AW21" s="116"/>
      <c r="AX21" s="116"/>
      <c r="AZ21" s="115">
        <f>SUMIFS(wallet_records!$D:$D,wallet_records!$B:$B,'EEFF 2023'!$C21,wallet_records!$O:$O,'EEFF 2023'!$B$1,wallet_records!$N:$N,'EEFF 2023'!AZ$2,wallet_records!$H:$H,'EEFF 2023'!$B21)</f>
        <v>0</v>
      </c>
      <c r="BA21" s="116"/>
      <c r="BB21" s="116"/>
      <c r="BC21" s="116"/>
      <c r="BD21" s="116"/>
      <c r="BE21" s="116"/>
      <c r="BG21" s="115">
        <f>SUMIFS(wallet_records!$D:$D,wallet_records!$B:$B,'EEFF 2023'!$C21,wallet_records!$O:$O,'EEFF 2023'!$B$1,wallet_records!$N:$N,'EEFF 2023'!BG$2,wallet_records!$H:$H,'EEFF 2023'!$B21)</f>
        <v>0</v>
      </c>
      <c r="BH21" s="116"/>
      <c r="BI21" s="116"/>
      <c r="BJ21" s="116"/>
      <c r="BK21" s="116"/>
      <c r="BL21" s="116"/>
      <c r="BN21" s="115">
        <f>SUMIFS(wallet_records!$D:$D,wallet_records!$B:$B,'EEFF 2023'!$C21,wallet_records!$O:$O,'EEFF 2023'!$B$1,wallet_records!$N:$N,'EEFF 2023'!BN$2,wallet_records!$H:$H,'EEFF 2023'!$B21)</f>
        <v>0</v>
      </c>
      <c r="BO21" s="116"/>
      <c r="BP21" s="116"/>
      <c r="BQ21" s="116"/>
      <c r="BR21" s="116"/>
      <c r="BS21" s="116"/>
      <c r="BU21" s="115">
        <f>SUMIFS(wallet_records!$D:$D,wallet_records!$B:$B,'EEFF 2023'!$C21,wallet_records!$O:$O,'EEFF 2023'!$B$1,wallet_records!$N:$N,'EEFF 2023'!BU$2,wallet_records!$H:$H,'EEFF 2023'!$B21)</f>
        <v>0</v>
      </c>
      <c r="BV21" s="116"/>
      <c r="BW21" s="116"/>
      <c r="BX21" s="116"/>
      <c r="BY21" s="116"/>
      <c r="BZ21" s="116"/>
      <c r="CB21" s="115">
        <f>SUMIFS(wallet_records!$D:$D,wallet_records!$B:$B,'EEFF 2023'!$C21,wallet_records!$O:$O,'EEFF 2023'!$B$1,wallet_records!$N:$N,'EEFF 2023'!CB$2,wallet_records!$H:$H,'EEFF 2023'!$B21)</f>
        <v>0</v>
      </c>
      <c r="CC21" s="116"/>
      <c r="CD21" s="116"/>
      <c r="CE21" s="116"/>
      <c r="CF21" s="116"/>
      <c r="CG21" s="116"/>
      <c r="CI21" s="115">
        <f>SUMIFS(wallet_records!$D:$D,wallet_records!$B:$B,'EEFF 2023'!$C21,wallet_records!$O:$O,'EEFF 2023'!$B$1,wallet_records!$N:$N,'EEFF 2023'!CI$2,wallet_records!$H:$H,'EEFF 2023'!$B21)</f>
        <v>0</v>
      </c>
      <c r="CJ21" s="116"/>
      <c r="CK21" s="116"/>
      <c r="CL21" s="116"/>
      <c r="CM21" s="116"/>
      <c r="CN21" s="116"/>
      <c r="CP21" s="115">
        <f>SUMIFS(wallet_records!$D:$D,wallet_records!$B:$B,'EEFF 2023'!$C21,wallet_records!$O:$O,'EEFF 2023'!$B$1,wallet_records!$H:$H,'EEFF 2023'!$B21)</f>
        <v>0</v>
      </c>
      <c r="CQ21" s="107"/>
      <c r="CR21" s="118">
        <f t="shared" si="29"/>
        <v>0</v>
      </c>
      <c r="CS21" s="118">
        <f t="shared" si="1"/>
        <v>0</v>
      </c>
      <c r="CT21" s="118">
        <f t="shared" si="2"/>
        <v>0</v>
      </c>
      <c r="CU21" s="118">
        <f t="shared" si="3"/>
        <v>0</v>
      </c>
      <c r="CV21" s="118">
        <f t="shared" si="4"/>
        <v>0</v>
      </c>
      <c r="CW21" s="118">
        <f t="shared" si="5"/>
        <v>0</v>
      </c>
      <c r="CX21" s="118">
        <f t="shared" si="6"/>
        <v>0</v>
      </c>
      <c r="CY21" s="118">
        <f t="shared" si="7"/>
        <v>0</v>
      </c>
      <c r="CZ21" s="118">
        <f t="shared" si="8"/>
        <v>0</v>
      </c>
      <c r="DA21" s="118">
        <f t="shared" si="9"/>
        <v>0</v>
      </c>
      <c r="DB21" s="118">
        <f t="shared" si="10"/>
        <v>0</v>
      </c>
      <c r="DC21" s="118">
        <f t="shared" si="11"/>
        <v>0</v>
      </c>
    </row>
    <row r="22" spans="2:107" x14ac:dyDescent="0.2">
      <c r="B22" s="10" t="s">
        <v>222</v>
      </c>
      <c r="C22" s="191" t="s">
        <v>131</v>
      </c>
      <c r="D22" s="115"/>
      <c r="E22" s="115"/>
      <c r="F22" s="115"/>
      <c r="G22" s="116"/>
      <c r="H22" s="116"/>
      <c r="I22" s="116"/>
      <c r="J22" s="115">
        <f>SUMIFS(wallet_records!$D:$D,wallet_records!$B:$B,'EEFF 2023'!$C22,wallet_records!$O:$O,'EEFF 2023'!$B$1,wallet_records!$N:$N,'EEFF 2023'!J$2,wallet_records!$H:$H,'EEFF 2023'!$B22)</f>
        <v>0</v>
      </c>
      <c r="K22" s="115"/>
      <c r="L22" s="115"/>
      <c r="M22" s="115"/>
      <c r="N22" s="116"/>
      <c r="O22" s="116"/>
      <c r="P22" s="116"/>
      <c r="Q22" s="115">
        <f>SUMIFS(wallet_records!$D:$D,wallet_records!$B:$B,'EEFF 2023'!$C22,wallet_records!$O:$O,'EEFF 2023'!$B$1,wallet_records!$N:$N,'EEFF 2023'!Q$2,wallet_records!$H:$H,'EEFF 2023'!$B22)</f>
        <v>0</v>
      </c>
      <c r="R22" s="116"/>
      <c r="S22" s="116"/>
      <c r="T22" s="116"/>
      <c r="U22" s="116"/>
      <c r="V22" s="116"/>
      <c r="X22" s="115">
        <f>SUMIFS(wallet_records!$D:$D,wallet_records!$B:$B,'EEFF 2023'!$C22,wallet_records!$O:$O,'EEFF 2023'!$B$1,wallet_records!$N:$N,'EEFF 2023'!X$2,wallet_records!$H:$H,'EEFF 2023'!$B22)</f>
        <v>0</v>
      </c>
      <c r="Y22" s="116"/>
      <c r="Z22" s="116"/>
      <c r="AA22" s="116"/>
      <c r="AB22" s="116"/>
      <c r="AC22" s="116"/>
      <c r="AE22" s="115">
        <f>SUMIFS(wallet_records!$D:$D,wallet_records!$B:$B,'EEFF 2023'!$C22,wallet_records!$O:$O,'EEFF 2023'!$B$1,wallet_records!$N:$N,'EEFF 2023'!AE$2,wallet_records!$H:$H,'EEFF 2023'!$B22)</f>
        <v>0</v>
      </c>
      <c r="AF22" s="116"/>
      <c r="AG22" s="116"/>
      <c r="AH22" s="116"/>
      <c r="AI22" s="116"/>
      <c r="AJ22" s="116"/>
      <c r="AL22" s="115">
        <f>SUMIFS(wallet_records!$D:$D,wallet_records!$B:$B,'EEFF 2023'!$C22,wallet_records!$O:$O,'EEFF 2023'!$B$1,wallet_records!$N:$N,'EEFF 2023'!AL$2,wallet_records!$H:$H,'EEFF 2023'!$B22)</f>
        <v>0</v>
      </c>
      <c r="AM22" s="116"/>
      <c r="AN22" s="116"/>
      <c r="AO22" s="116"/>
      <c r="AP22" s="116"/>
      <c r="AQ22" s="116"/>
      <c r="AS22" s="115">
        <f>SUMIFS(wallet_records!$D:$D,wallet_records!$B:$B,'EEFF 2023'!$C22,wallet_records!$O:$O,'EEFF 2023'!$B$1,wallet_records!$N:$N,'EEFF 2023'!AS$2,wallet_records!$H:$H,'EEFF 2023'!$B22)</f>
        <v>0</v>
      </c>
      <c r="AT22" s="116"/>
      <c r="AU22" s="116"/>
      <c r="AV22" s="116"/>
      <c r="AW22" s="116"/>
      <c r="AX22" s="116"/>
      <c r="AZ22" s="115">
        <f>SUMIFS(wallet_records!$D:$D,wallet_records!$B:$B,'EEFF 2023'!$C22,wallet_records!$O:$O,'EEFF 2023'!$B$1,wallet_records!$N:$N,'EEFF 2023'!AZ$2,wallet_records!$H:$H,'EEFF 2023'!$B22)</f>
        <v>0</v>
      </c>
      <c r="BA22" s="116"/>
      <c r="BB22" s="116"/>
      <c r="BC22" s="116"/>
      <c r="BD22" s="116"/>
      <c r="BE22" s="116"/>
      <c r="BG22" s="115">
        <f>SUMIFS(wallet_records!$D:$D,wallet_records!$B:$B,'EEFF 2023'!$C22,wallet_records!$O:$O,'EEFF 2023'!$B$1,wallet_records!$N:$N,'EEFF 2023'!BG$2,wallet_records!$H:$H,'EEFF 2023'!$B22)</f>
        <v>0</v>
      </c>
      <c r="BH22" s="116"/>
      <c r="BI22" s="116"/>
      <c r="BJ22" s="116"/>
      <c r="BK22" s="116"/>
      <c r="BL22" s="116"/>
      <c r="BN22" s="115">
        <f>SUMIFS(wallet_records!$D:$D,wallet_records!$B:$B,'EEFF 2023'!$C22,wallet_records!$O:$O,'EEFF 2023'!$B$1,wallet_records!$N:$N,'EEFF 2023'!BN$2,wallet_records!$H:$H,'EEFF 2023'!$B22)</f>
        <v>0</v>
      </c>
      <c r="BO22" s="116"/>
      <c r="BP22" s="116"/>
      <c r="BQ22" s="116"/>
      <c r="BR22" s="116"/>
      <c r="BS22" s="116"/>
      <c r="BU22" s="115">
        <f>SUMIFS(wallet_records!$D:$D,wallet_records!$B:$B,'EEFF 2023'!$C22,wallet_records!$O:$O,'EEFF 2023'!$B$1,wallet_records!$N:$N,'EEFF 2023'!BU$2,wallet_records!$H:$H,'EEFF 2023'!$B22)</f>
        <v>0</v>
      </c>
      <c r="BV22" s="116"/>
      <c r="BW22" s="116"/>
      <c r="BX22" s="116"/>
      <c r="BY22" s="116"/>
      <c r="BZ22" s="116"/>
      <c r="CB22" s="115">
        <f>SUMIFS(wallet_records!$D:$D,wallet_records!$B:$B,'EEFF 2023'!$C22,wallet_records!$O:$O,'EEFF 2023'!$B$1,wallet_records!$N:$N,'EEFF 2023'!CB$2,wallet_records!$H:$H,'EEFF 2023'!$B22)</f>
        <v>0</v>
      </c>
      <c r="CC22" s="116"/>
      <c r="CD22" s="116"/>
      <c r="CE22" s="116"/>
      <c r="CF22" s="116"/>
      <c r="CG22" s="116"/>
      <c r="CI22" s="115">
        <f>SUMIFS(wallet_records!$D:$D,wallet_records!$B:$B,'EEFF 2023'!$C22,wallet_records!$O:$O,'EEFF 2023'!$B$1,wallet_records!$N:$N,'EEFF 2023'!CI$2,wallet_records!$H:$H,'EEFF 2023'!$B22)</f>
        <v>0</v>
      </c>
      <c r="CJ22" s="116"/>
      <c r="CK22" s="116"/>
      <c r="CL22" s="116"/>
      <c r="CM22" s="116"/>
      <c r="CN22" s="116"/>
      <c r="CP22" s="115">
        <f>SUMIFS(wallet_records!$D:$D,wallet_records!$B:$B,'EEFF 2023'!$C22,wallet_records!$O:$O,'EEFF 2023'!$B$1,wallet_records!$H:$H,'EEFF 2023'!$B22)</f>
        <v>0</v>
      </c>
      <c r="CQ22" s="107"/>
      <c r="CR22" s="118">
        <f t="shared" si="29"/>
        <v>0</v>
      </c>
      <c r="CS22" s="118">
        <f t="shared" si="1"/>
        <v>0</v>
      </c>
      <c r="CT22" s="118">
        <f t="shared" si="2"/>
        <v>0</v>
      </c>
      <c r="CU22" s="118">
        <f t="shared" si="3"/>
        <v>0</v>
      </c>
      <c r="CV22" s="118">
        <f t="shared" si="4"/>
        <v>0</v>
      </c>
      <c r="CW22" s="118">
        <f t="shared" si="5"/>
        <v>0</v>
      </c>
      <c r="CX22" s="118">
        <f t="shared" si="6"/>
        <v>0</v>
      </c>
      <c r="CY22" s="118">
        <f t="shared" si="7"/>
        <v>0</v>
      </c>
      <c r="CZ22" s="118">
        <f t="shared" si="8"/>
        <v>0</v>
      </c>
      <c r="DA22" s="118">
        <f t="shared" si="9"/>
        <v>0</v>
      </c>
      <c r="DB22" s="118">
        <f t="shared" si="10"/>
        <v>0</v>
      </c>
      <c r="DC22" s="118">
        <f t="shared" si="11"/>
        <v>0</v>
      </c>
    </row>
    <row r="23" spans="2:107" x14ac:dyDescent="0.2">
      <c r="B23" s="10" t="s">
        <v>87</v>
      </c>
      <c r="C23" s="191" t="s">
        <v>114</v>
      </c>
      <c r="D23" s="115"/>
      <c r="E23" s="115"/>
      <c r="F23" s="115"/>
      <c r="G23" s="116"/>
      <c r="H23" s="116"/>
      <c r="I23" s="116"/>
      <c r="J23" s="115">
        <f>SUMIFS(wallet_records!$D:$D,wallet_records!$B:$B,'EEFF 2023'!$C23,wallet_records!$O:$O,'EEFF 2023'!$B$1,wallet_records!$N:$N,'EEFF 2023'!J$2,wallet_records!$H:$H,'EEFF 2023'!$B23)</f>
        <v>0</v>
      </c>
      <c r="K23" s="115"/>
      <c r="L23" s="115"/>
      <c r="M23" s="115"/>
      <c r="N23" s="116"/>
      <c r="O23" s="116"/>
      <c r="P23" s="116"/>
      <c r="Q23" s="115">
        <f>SUMIFS(wallet_records!$D:$D,wallet_records!$B:$B,'EEFF 2023'!$C23,wallet_records!$O:$O,'EEFF 2023'!$B$1,wallet_records!$N:$N,'EEFF 2023'!Q$2,wallet_records!$H:$H,'EEFF 2023'!$B23)</f>
        <v>0</v>
      </c>
      <c r="R23" s="116"/>
      <c r="S23" s="116"/>
      <c r="T23" s="116"/>
      <c r="U23" s="116"/>
      <c r="V23" s="116"/>
      <c r="X23" s="115">
        <f>SUMIFS(wallet_records!$D:$D,wallet_records!$B:$B,'EEFF 2023'!$C23,wallet_records!$O:$O,'EEFF 2023'!$B$1,wallet_records!$N:$N,'EEFF 2023'!X$2,wallet_records!$H:$H,'EEFF 2023'!$B23)</f>
        <v>0</v>
      </c>
      <c r="Y23" s="116"/>
      <c r="Z23" s="116"/>
      <c r="AA23" s="116"/>
      <c r="AB23" s="116"/>
      <c r="AC23" s="116"/>
      <c r="AE23" s="115">
        <f>SUMIFS(wallet_records!$D:$D,wallet_records!$B:$B,'EEFF 2023'!$C23,wallet_records!$O:$O,'EEFF 2023'!$B$1,wallet_records!$N:$N,'EEFF 2023'!AE$2,wallet_records!$H:$H,'EEFF 2023'!$B23)</f>
        <v>0</v>
      </c>
      <c r="AF23" s="116"/>
      <c r="AG23" s="116"/>
      <c r="AH23" s="116"/>
      <c r="AI23" s="116"/>
      <c r="AJ23" s="116"/>
      <c r="AL23" s="115">
        <f>SUMIFS(wallet_records!$D:$D,wallet_records!$B:$B,'EEFF 2023'!$C23,wallet_records!$O:$O,'EEFF 2023'!$B$1,wallet_records!$N:$N,'EEFF 2023'!AL$2,wallet_records!$H:$H,'EEFF 2023'!$B23)</f>
        <v>0</v>
      </c>
      <c r="AM23" s="116"/>
      <c r="AN23" s="116"/>
      <c r="AO23" s="116"/>
      <c r="AP23" s="116"/>
      <c r="AQ23" s="116"/>
      <c r="AS23" s="115">
        <f>SUMIFS(wallet_records!$D:$D,wallet_records!$B:$B,'EEFF 2023'!$C23,wallet_records!$O:$O,'EEFF 2023'!$B$1,wallet_records!$N:$N,'EEFF 2023'!AS$2,wallet_records!$H:$H,'EEFF 2023'!$B23)</f>
        <v>0</v>
      </c>
      <c r="AT23" s="116"/>
      <c r="AU23" s="116"/>
      <c r="AV23" s="116"/>
      <c r="AW23" s="116"/>
      <c r="AX23" s="116"/>
      <c r="AZ23" s="115">
        <f>SUMIFS(wallet_records!$D:$D,wallet_records!$B:$B,'EEFF 2023'!$C23,wallet_records!$O:$O,'EEFF 2023'!$B$1,wallet_records!$N:$N,'EEFF 2023'!AZ$2,wallet_records!$H:$H,'EEFF 2023'!$B23)</f>
        <v>0</v>
      </c>
      <c r="BA23" s="116"/>
      <c r="BB23" s="116"/>
      <c r="BC23" s="116"/>
      <c r="BD23" s="116"/>
      <c r="BE23" s="116"/>
      <c r="BG23" s="115">
        <f>SUMIFS(wallet_records!$D:$D,wallet_records!$B:$B,'EEFF 2023'!$C23,wallet_records!$O:$O,'EEFF 2023'!$B$1,wallet_records!$N:$N,'EEFF 2023'!BG$2,wallet_records!$H:$H,'EEFF 2023'!$B23)</f>
        <v>0</v>
      </c>
      <c r="BH23" s="116"/>
      <c r="BI23" s="116"/>
      <c r="BJ23" s="116"/>
      <c r="BK23" s="116"/>
      <c r="BL23" s="116"/>
      <c r="BN23" s="115">
        <f>SUMIFS(wallet_records!$D:$D,wallet_records!$B:$B,'EEFF 2023'!$C23,wallet_records!$O:$O,'EEFF 2023'!$B$1,wallet_records!$N:$N,'EEFF 2023'!BN$2,wallet_records!$H:$H,'EEFF 2023'!$B23)</f>
        <v>0</v>
      </c>
      <c r="BO23" s="116"/>
      <c r="BP23" s="116"/>
      <c r="BQ23" s="116"/>
      <c r="BR23" s="116"/>
      <c r="BS23" s="116"/>
      <c r="BU23" s="115">
        <f>SUMIFS(wallet_records!$D:$D,wallet_records!$B:$B,'EEFF 2023'!$C23,wallet_records!$O:$O,'EEFF 2023'!$B$1,wallet_records!$N:$N,'EEFF 2023'!BU$2,wallet_records!$H:$H,'EEFF 2023'!$B23)</f>
        <v>0</v>
      </c>
      <c r="BV23" s="116"/>
      <c r="BW23" s="116"/>
      <c r="BX23" s="116"/>
      <c r="BY23" s="116"/>
      <c r="BZ23" s="116"/>
      <c r="CB23" s="115">
        <f>SUMIFS(wallet_records!$D:$D,wallet_records!$B:$B,'EEFF 2023'!$C23,wallet_records!$O:$O,'EEFF 2023'!$B$1,wallet_records!$N:$N,'EEFF 2023'!CB$2,wallet_records!$H:$H,'EEFF 2023'!$B23)</f>
        <v>0</v>
      </c>
      <c r="CC23" s="116"/>
      <c r="CD23" s="116"/>
      <c r="CE23" s="116"/>
      <c r="CF23" s="116"/>
      <c r="CG23" s="116"/>
      <c r="CI23" s="115">
        <f>SUMIFS(wallet_records!$D:$D,wallet_records!$B:$B,'EEFF 2023'!$C23,wallet_records!$O:$O,'EEFF 2023'!$B$1,wallet_records!$N:$N,'EEFF 2023'!CI$2,wallet_records!$H:$H,'EEFF 2023'!$B23)</f>
        <v>0</v>
      </c>
      <c r="CJ23" s="116"/>
      <c r="CK23" s="116"/>
      <c r="CL23" s="116"/>
      <c r="CM23" s="116"/>
      <c r="CN23" s="116"/>
      <c r="CP23" s="115">
        <f>SUMIFS(wallet_records!$D:$D,wallet_records!$B:$B,'EEFF 2023'!$C23,wallet_records!$O:$O,'EEFF 2023'!$B$1,wallet_records!$H:$H,'EEFF 2023'!$B23)</f>
        <v>0</v>
      </c>
      <c r="CQ23" s="107"/>
      <c r="CR23" s="118">
        <f t="shared" si="29"/>
        <v>0</v>
      </c>
      <c r="CS23" s="118">
        <f t="shared" si="1"/>
        <v>0</v>
      </c>
      <c r="CT23" s="118">
        <f t="shared" si="2"/>
        <v>0</v>
      </c>
      <c r="CU23" s="118">
        <f t="shared" si="3"/>
        <v>0</v>
      </c>
      <c r="CV23" s="118">
        <f t="shared" si="4"/>
        <v>0</v>
      </c>
      <c r="CW23" s="118">
        <f t="shared" si="5"/>
        <v>0</v>
      </c>
      <c r="CX23" s="118">
        <f t="shared" si="6"/>
        <v>0</v>
      </c>
      <c r="CY23" s="118">
        <f t="shared" si="7"/>
        <v>0</v>
      </c>
      <c r="CZ23" s="118">
        <f t="shared" si="8"/>
        <v>0</v>
      </c>
      <c r="DA23" s="118">
        <f t="shared" si="9"/>
        <v>0</v>
      </c>
      <c r="DB23" s="118">
        <f t="shared" si="10"/>
        <v>0</v>
      </c>
      <c r="DC23" s="118">
        <f t="shared" si="11"/>
        <v>0</v>
      </c>
    </row>
    <row r="24" spans="2:107" x14ac:dyDescent="0.2">
      <c r="B24" s="10" t="s">
        <v>88</v>
      </c>
      <c r="C24" s="191" t="s">
        <v>131</v>
      </c>
      <c r="D24" s="115"/>
      <c r="E24" s="115"/>
      <c r="F24" s="115"/>
      <c r="G24" s="116"/>
      <c r="H24" s="116"/>
      <c r="I24" s="116"/>
      <c r="J24" s="115">
        <f>SUMIFS(wallet_records!$D:$D,wallet_records!$B:$B,'EEFF 2023'!$C24,wallet_records!$O:$O,'EEFF 2023'!$B$1,wallet_records!$N:$N,'EEFF 2023'!J$2,wallet_records!$H:$H,'EEFF 2023'!$B24)</f>
        <v>0</v>
      </c>
      <c r="K24" s="115"/>
      <c r="L24" s="115"/>
      <c r="M24" s="115"/>
      <c r="N24" s="116"/>
      <c r="O24" s="116"/>
      <c r="P24" s="116"/>
      <c r="Q24" s="115">
        <f>SUMIFS(wallet_records!$D:$D,wallet_records!$B:$B,'EEFF 2023'!$C24,wallet_records!$O:$O,'EEFF 2023'!$B$1,wallet_records!$N:$N,'EEFF 2023'!Q$2,wallet_records!$H:$H,'EEFF 2023'!$B24)</f>
        <v>0</v>
      </c>
      <c r="R24" s="116"/>
      <c r="S24" s="116"/>
      <c r="T24" s="116"/>
      <c r="U24" s="116"/>
      <c r="V24" s="116"/>
      <c r="X24" s="115">
        <f>SUMIFS(wallet_records!$D:$D,wallet_records!$B:$B,'EEFF 2023'!$C24,wallet_records!$O:$O,'EEFF 2023'!$B$1,wallet_records!$N:$N,'EEFF 2023'!X$2,wallet_records!$H:$H,'EEFF 2023'!$B24)</f>
        <v>0</v>
      </c>
      <c r="Y24" s="116"/>
      <c r="Z24" s="116"/>
      <c r="AA24" s="116"/>
      <c r="AB24" s="116"/>
      <c r="AC24" s="116"/>
      <c r="AE24" s="115">
        <f>SUMIFS(wallet_records!$D:$D,wallet_records!$B:$B,'EEFF 2023'!$C24,wallet_records!$O:$O,'EEFF 2023'!$B$1,wallet_records!$N:$N,'EEFF 2023'!AE$2,wallet_records!$H:$H,'EEFF 2023'!$B24)</f>
        <v>0</v>
      </c>
      <c r="AF24" s="116"/>
      <c r="AG24" s="116"/>
      <c r="AH24" s="116"/>
      <c r="AI24" s="116"/>
      <c r="AJ24" s="116"/>
      <c r="AL24" s="115">
        <f>SUMIFS(wallet_records!$D:$D,wallet_records!$B:$B,'EEFF 2023'!$C24,wallet_records!$O:$O,'EEFF 2023'!$B$1,wallet_records!$N:$N,'EEFF 2023'!AL$2,wallet_records!$H:$H,'EEFF 2023'!$B24)</f>
        <v>0</v>
      </c>
      <c r="AM24" s="116"/>
      <c r="AN24" s="116"/>
      <c r="AO24" s="116"/>
      <c r="AP24" s="116"/>
      <c r="AQ24" s="116"/>
      <c r="AS24" s="115">
        <f>SUMIFS(wallet_records!$D:$D,wallet_records!$B:$B,'EEFF 2023'!$C24,wallet_records!$O:$O,'EEFF 2023'!$B$1,wallet_records!$N:$N,'EEFF 2023'!AS$2,wallet_records!$H:$H,'EEFF 2023'!$B24)</f>
        <v>0</v>
      </c>
      <c r="AT24" s="116"/>
      <c r="AU24" s="116"/>
      <c r="AV24" s="116"/>
      <c r="AW24" s="116"/>
      <c r="AX24" s="116"/>
      <c r="AZ24" s="115">
        <f>SUMIFS(wallet_records!$D:$D,wallet_records!$B:$B,'EEFF 2023'!$C24,wallet_records!$O:$O,'EEFF 2023'!$B$1,wallet_records!$N:$N,'EEFF 2023'!AZ$2,wallet_records!$H:$H,'EEFF 2023'!$B24)</f>
        <v>0</v>
      </c>
      <c r="BA24" s="116"/>
      <c r="BB24" s="116"/>
      <c r="BC24" s="116"/>
      <c r="BD24" s="116"/>
      <c r="BE24" s="116"/>
      <c r="BG24" s="115">
        <f>SUMIFS(wallet_records!$D:$D,wallet_records!$B:$B,'EEFF 2023'!$C24,wallet_records!$O:$O,'EEFF 2023'!$B$1,wallet_records!$N:$N,'EEFF 2023'!BG$2,wallet_records!$H:$H,'EEFF 2023'!$B24)</f>
        <v>0</v>
      </c>
      <c r="BH24" s="116"/>
      <c r="BI24" s="116"/>
      <c r="BJ24" s="116"/>
      <c r="BK24" s="116"/>
      <c r="BL24" s="116"/>
      <c r="BN24" s="115">
        <f>SUMIFS(wallet_records!$D:$D,wallet_records!$B:$B,'EEFF 2023'!$C24,wallet_records!$O:$O,'EEFF 2023'!$B$1,wallet_records!$N:$N,'EEFF 2023'!BN$2,wallet_records!$H:$H,'EEFF 2023'!$B24)</f>
        <v>0</v>
      </c>
      <c r="BO24" s="116"/>
      <c r="BP24" s="116"/>
      <c r="BQ24" s="116"/>
      <c r="BR24" s="116"/>
      <c r="BS24" s="116"/>
      <c r="BU24" s="115">
        <f>SUMIFS(wallet_records!$D:$D,wallet_records!$B:$B,'EEFF 2023'!$C24,wallet_records!$O:$O,'EEFF 2023'!$B$1,wallet_records!$N:$N,'EEFF 2023'!BU$2,wallet_records!$H:$H,'EEFF 2023'!$B24)</f>
        <v>0</v>
      </c>
      <c r="BV24" s="116"/>
      <c r="BW24" s="116"/>
      <c r="BX24" s="116"/>
      <c r="BY24" s="116"/>
      <c r="BZ24" s="116"/>
      <c r="CB24" s="115">
        <f>SUMIFS(wallet_records!$D:$D,wallet_records!$B:$B,'EEFF 2023'!$C24,wallet_records!$O:$O,'EEFF 2023'!$B$1,wallet_records!$N:$N,'EEFF 2023'!CB$2,wallet_records!$H:$H,'EEFF 2023'!$B24)</f>
        <v>0</v>
      </c>
      <c r="CC24" s="116"/>
      <c r="CD24" s="116"/>
      <c r="CE24" s="116"/>
      <c r="CF24" s="116"/>
      <c r="CG24" s="116"/>
      <c r="CI24" s="115">
        <f>SUMIFS(wallet_records!$D:$D,wallet_records!$B:$B,'EEFF 2023'!$C24,wallet_records!$O:$O,'EEFF 2023'!$B$1,wallet_records!$N:$N,'EEFF 2023'!CI$2,wallet_records!$H:$H,'EEFF 2023'!$B24)</f>
        <v>0</v>
      </c>
      <c r="CJ24" s="116"/>
      <c r="CK24" s="116"/>
      <c r="CL24" s="116"/>
      <c r="CM24" s="116"/>
      <c r="CN24" s="116"/>
      <c r="CP24" s="115">
        <f>SUMIFS(wallet_records!$D:$D,wallet_records!$B:$B,'EEFF 2023'!$C24,wallet_records!$O:$O,'EEFF 2023'!$B$1,wallet_records!$H:$H,'EEFF 2023'!$B24)</f>
        <v>0</v>
      </c>
      <c r="CQ24" s="107"/>
      <c r="CR24" s="118">
        <f t="shared" si="29"/>
        <v>0</v>
      </c>
      <c r="CS24" s="118">
        <f t="shared" si="1"/>
        <v>0</v>
      </c>
      <c r="CT24" s="118">
        <f t="shared" si="2"/>
        <v>0</v>
      </c>
      <c r="CU24" s="118">
        <f t="shared" si="3"/>
        <v>0</v>
      </c>
      <c r="CV24" s="118">
        <f t="shared" si="4"/>
        <v>0</v>
      </c>
      <c r="CW24" s="118">
        <f t="shared" si="5"/>
        <v>0</v>
      </c>
      <c r="CX24" s="118">
        <f t="shared" si="6"/>
        <v>0</v>
      </c>
      <c r="CY24" s="118">
        <f t="shared" si="7"/>
        <v>0</v>
      </c>
      <c r="CZ24" s="118">
        <f t="shared" si="8"/>
        <v>0</v>
      </c>
      <c r="DA24" s="118">
        <f t="shared" si="9"/>
        <v>0</v>
      </c>
      <c r="DB24" s="118">
        <f t="shared" si="10"/>
        <v>0</v>
      </c>
      <c r="DC24" s="118">
        <f t="shared" si="11"/>
        <v>0</v>
      </c>
    </row>
    <row r="25" spans="2:107" x14ac:dyDescent="0.2">
      <c r="B25" s="10" t="s">
        <v>99</v>
      </c>
      <c r="C25" s="191" t="s">
        <v>154</v>
      </c>
      <c r="D25" s="115"/>
      <c r="E25" s="115"/>
      <c r="F25" s="115"/>
      <c r="G25" s="116"/>
      <c r="H25" s="116"/>
      <c r="I25" s="116"/>
      <c r="J25" s="115">
        <f>SUMIFS(wallet_records!$D:$D,wallet_records!$B:$B,'EEFF 2023'!$C25,wallet_records!$O:$O,'EEFF 2023'!$B$1,wallet_records!$N:$N,'EEFF 2023'!J$2,wallet_records!$H:$H,'EEFF 2023'!$B25)</f>
        <v>53600</v>
      </c>
      <c r="K25" s="115"/>
      <c r="L25" s="115"/>
      <c r="M25" s="115"/>
      <c r="N25" s="116"/>
      <c r="O25" s="116"/>
      <c r="P25" s="116"/>
      <c r="Q25" s="115">
        <f>SUMIFS(wallet_records!$D:$D,wallet_records!$B:$B,'EEFF 2023'!$C25,wallet_records!$O:$O,'EEFF 2023'!$B$1,wallet_records!$N:$N,'EEFF 2023'!Q$2,wallet_records!$H:$H,'EEFF 2023'!$B25)</f>
        <v>0</v>
      </c>
      <c r="R25" s="116"/>
      <c r="S25" s="116"/>
      <c r="T25" s="116"/>
      <c r="U25" s="116"/>
      <c r="V25" s="116"/>
      <c r="X25" s="115">
        <f>SUMIFS(wallet_records!$D:$D,wallet_records!$B:$B,'EEFF 2023'!$C25,wallet_records!$O:$O,'EEFF 2023'!$B$1,wallet_records!$N:$N,'EEFF 2023'!X$2,wallet_records!$H:$H,'EEFF 2023'!$B25)</f>
        <v>0</v>
      </c>
      <c r="Y25" s="116"/>
      <c r="Z25" s="116"/>
      <c r="AA25" s="116"/>
      <c r="AB25" s="116"/>
      <c r="AC25" s="116"/>
      <c r="AE25" s="115">
        <f>SUMIFS(wallet_records!$D:$D,wallet_records!$B:$B,'EEFF 2023'!$C25,wallet_records!$O:$O,'EEFF 2023'!$B$1,wallet_records!$N:$N,'EEFF 2023'!AE$2,wallet_records!$H:$H,'EEFF 2023'!$B25)</f>
        <v>0</v>
      </c>
      <c r="AF25" s="116"/>
      <c r="AG25" s="116"/>
      <c r="AH25" s="116"/>
      <c r="AI25" s="116"/>
      <c r="AJ25" s="116"/>
      <c r="AL25" s="115">
        <f>SUMIFS(wallet_records!$D:$D,wallet_records!$B:$B,'EEFF 2023'!$C25,wallet_records!$O:$O,'EEFF 2023'!$B$1,wallet_records!$N:$N,'EEFF 2023'!AL$2,wallet_records!$H:$H,'EEFF 2023'!$B25)</f>
        <v>0</v>
      </c>
      <c r="AM25" s="116"/>
      <c r="AN25" s="116"/>
      <c r="AO25" s="116"/>
      <c r="AP25" s="116"/>
      <c r="AQ25" s="116"/>
      <c r="AS25" s="115">
        <f>SUMIFS(wallet_records!$D:$D,wallet_records!$B:$B,'EEFF 2023'!$C25,wallet_records!$O:$O,'EEFF 2023'!$B$1,wallet_records!$N:$N,'EEFF 2023'!AS$2,wallet_records!$H:$H,'EEFF 2023'!$B25)</f>
        <v>0</v>
      </c>
      <c r="AT25" s="116"/>
      <c r="AU25" s="116"/>
      <c r="AV25" s="116"/>
      <c r="AW25" s="116"/>
      <c r="AX25" s="116"/>
      <c r="AZ25" s="115">
        <f>SUMIFS(wallet_records!$D:$D,wallet_records!$B:$B,'EEFF 2023'!$C25,wallet_records!$O:$O,'EEFF 2023'!$B$1,wallet_records!$N:$N,'EEFF 2023'!AZ$2,wallet_records!$H:$H,'EEFF 2023'!$B25)</f>
        <v>0</v>
      </c>
      <c r="BA25" s="116"/>
      <c r="BB25" s="116"/>
      <c r="BC25" s="116"/>
      <c r="BD25" s="116"/>
      <c r="BE25" s="116"/>
      <c r="BG25" s="115">
        <f>SUMIFS(wallet_records!$D:$D,wallet_records!$B:$B,'EEFF 2023'!$C25,wallet_records!$O:$O,'EEFF 2023'!$B$1,wallet_records!$N:$N,'EEFF 2023'!BG$2,wallet_records!$H:$H,'EEFF 2023'!$B25)</f>
        <v>0</v>
      </c>
      <c r="BH25" s="116"/>
      <c r="BI25" s="116"/>
      <c r="BJ25" s="116"/>
      <c r="BK25" s="116"/>
      <c r="BL25" s="116"/>
      <c r="BN25" s="115">
        <f>SUMIFS(wallet_records!$D:$D,wallet_records!$B:$B,'EEFF 2023'!$C25,wallet_records!$O:$O,'EEFF 2023'!$B$1,wallet_records!$N:$N,'EEFF 2023'!BN$2,wallet_records!$H:$H,'EEFF 2023'!$B25)</f>
        <v>0</v>
      </c>
      <c r="BO25" s="116"/>
      <c r="BP25" s="116"/>
      <c r="BQ25" s="116"/>
      <c r="BR25" s="116"/>
      <c r="BS25" s="116"/>
      <c r="BU25" s="115">
        <f>SUMIFS(wallet_records!$D:$D,wallet_records!$B:$B,'EEFF 2023'!$C25,wallet_records!$O:$O,'EEFF 2023'!$B$1,wallet_records!$N:$N,'EEFF 2023'!BU$2,wallet_records!$H:$H,'EEFF 2023'!$B25)</f>
        <v>0</v>
      </c>
      <c r="BV25" s="116"/>
      <c r="BW25" s="116"/>
      <c r="BX25" s="116"/>
      <c r="BY25" s="116"/>
      <c r="BZ25" s="116"/>
      <c r="CB25" s="115">
        <f>SUMIFS(wallet_records!$D:$D,wallet_records!$B:$B,'EEFF 2023'!$C25,wallet_records!$O:$O,'EEFF 2023'!$B$1,wallet_records!$N:$N,'EEFF 2023'!CB$2,wallet_records!$H:$H,'EEFF 2023'!$B25)</f>
        <v>0</v>
      </c>
      <c r="CC25" s="116"/>
      <c r="CD25" s="116"/>
      <c r="CE25" s="116"/>
      <c r="CF25" s="116"/>
      <c r="CG25" s="116"/>
      <c r="CI25" s="115">
        <f>SUMIFS(wallet_records!$D:$D,wallet_records!$B:$B,'EEFF 2023'!$C25,wallet_records!$O:$O,'EEFF 2023'!$B$1,wallet_records!$N:$N,'EEFF 2023'!CI$2,wallet_records!$H:$H,'EEFF 2023'!$B25)</f>
        <v>0</v>
      </c>
      <c r="CJ25" s="116"/>
      <c r="CK25" s="116"/>
      <c r="CL25" s="116"/>
      <c r="CM25" s="116"/>
      <c r="CN25" s="116"/>
      <c r="CP25" s="115">
        <f>SUMIFS(wallet_records!$D:$D,wallet_records!$B:$B,'EEFF 2023'!$C25,wallet_records!$O:$O,'EEFF 2023'!$B$1,wallet_records!$H:$H,'EEFF 2023'!$B25)</f>
        <v>53600</v>
      </c>
      <c r="CQ25" s="107"/>
      <c r="CR25" s="118">
        <f t="shared" si="29"/>
        <v>1.5314285714285714E-2</v>
      </c>
      <c r="CS25" s="118">
        <f t="shared" si="1"/>
        <v>0</v>
      </c>
      <c r="CT25" s="118">
        <f t="shared" si="2"/>
        <v>0</v>
      </c>
      <c r="CU25" s="118">
        <f t="shared" si="3"/>
        <v>0</v>
      </c>
      <c r="CV25" s="118">
        <f t="shared" si="4"/>
        <v>0</v>
      </c>
      <c r="CW25" s="118">
        <f t="shared" si="5"/>
        <v>0</v>
      </c>
      <c r="CX25" s="118">
        <f t="shared" si="6"/>
        <v>0</v>
      </c>
      <c r="CY25" s="118">
        <f t="shared" si="7"/>
        <v>0</v>
      </c>
      <c r="CZ25" s="118">
        <f t="shared" si="8"/>
        <v>0</v>
      </c>
      <c r="DA25" s="118">
        <f t="shared" si="9"/>
        <v>0</v>
      </c>
      <c r="DB25" s="118">
        <f t="shared" si="10"/>
        <v>0</v>
      </c>
      <c r="DC25" s="118">
        <f t="shared" si="11"/>
        <v>0</v>
      </c>
    </row>
    <row r="26" spans="2:107" x14ac:dyDescent="0.2">
      <c r="B26" s="10" t="s">
        <v>509</v>
      </c>
      <c r="C26" s="191" t="s">
        <v>114</v>
      </c>
      <c r="D26" s="115"/>
      <c r="E26" s="115"/>
      <c r="F26" s="115"/>
      <c r="G26" s="116"/>
      <c r="H26" s="116"/>
      <c r="I26" s="116"/>
      <c r="J26" s="115">
        <f>SUMIFS(wallet_records!$D:$D,wallet_records!$B:$B,'EEFF 2023'!$C26,wallet_records!$O:$O,'EEFF 2023'!$B$1,wallet_records!$N:$N,'EEFF 2023'!J$2,wallet_records!$H:$H,'EEFF 2023'!$B26)</f>
        <v>0</v>
      </c>
      <c r="K26" s="115"/>
      <c r="L26" s="115"/>
      <c r="M26" s="115"/>
      <c r="N26" s="116"/>
      <c r="O26" s="116"/>
      <c r="P26" s="116"/>
      <c r="Q26" s="115">
        <f>SUMIFS(wallet_records!$D:$D,wallet_records!$B:$B,'EEFF 2023'!$C26,wallet_records!$O:$O,'EEFF 2023'!$B$1,wallet_records!$N:$N,'EEFF 2023'!Q$2,wallet_records!$H:$H,'EEFF 2023'!$B26)</f>
        <v>0</v>
      </c>
      <c r="R26" s="116"/>
      <c r="S26" s="116"/>
      <c r="T26" s="116"/>
      <c r="U26" s="116"/>
      <c r="V26" s="116"/>
      <c r="X26" s="115">
        <f>SUMIFS(wallet_records!$D:$D,wallet_records!$B:$B,'EEFF 2023'!$C26,wallet_records!$O:$O,'EEFF 2023'!$B$1,wallet_records!$N:$N,'EEFF 2023'!X$2,wallet_records!$H:$H,'EEFF 2023'!$B26)</f>
        <v>0</v>
      </c>
      <c r="Y26" s="116"/>
      <c r="Z26" s="116"/>
      <c r="AA26" s="116"/>
      <c r="AB26" s="116"/>
      <c r="AC26" s="116"/>
      <c r="AE26" s="115">
        <f>SUMIFS(wallet_records!$D:$D,wallet_records!$B:$B,'EEFF 2023'!$C26,wallet_records!$O:$O,'EEFF 2023'!$B$1,wallet_records!$N:$N,'EEFF 2023'!AE$2,wallet_records!$H:$H,'EEFF 2023'!$B26)</f>
        <v>0</v>
      </c>
      <c r="AF26" s="116"/>
      <c r="AG26" s="116"/>
      <c r="AH26" s="116"/>
      <c r="AI26" s="116"/>
      <c r="AJ26" s="116"/>
      <c r="AL26" s="115">
        <f>SUMIFS(wallet_records!$D:$D,wallet_records!$B:$B,'EEFF 2023'!$C26,wallet_records!$O:$O,'EEFF 2023'!$B$1,wallet_records!$N:$N,'EEFF 2023'!AL$2,wallet_records!$H:$H,'EEFF 2023'!$B26)</f>
        <v>0</v>
      </c>
      <c r="AM26" s="116"/>
      <c r="AN26" s="116"/>
      <c r="AO26" s="116"/>
      <c r="AP26" s="116"/>
      <c r="AQ26" s="116"/>
      <c r="AS26" s="115">
        <f>SUMIFS(wallet_records!$D:$D,wallet_records!$B:$B,'EEFF 2023'!$C26,wallet_records!$O:$O,'EEFF 2023'!$B$1,wallet_records!$N:$N,'EEFF 2023'!AS$2,wallet_records!$H:$H,'EEFF 2023'!$B26)</f>
        <v>0</v>
      </c>
      <c r="AT26" s="116"/>
      <c r="AU26" s="116"/>
      <c r="AV26" s="116"/>
      <c r="AW26" s="116"/>
      <c r="AX26" s="116"/>
      <c r="AZ26" s="115">
        <f>SUMIFS(wallet_records!$D:$D,wallet_records!$B:$B,'EEFF 2023'!$C26,wallet_records!$O:$O,'EEFF 2023'!$B$1,wallet_records!$N:$N,'EEFF 2023'!AZ$2,wallet_records!$H:$H,'EEFF 2023'!$B26)</f>
        <v>0</v>
      </c>
      <c r="BA26" s="116"/>
      <c r="BB26" s="116"/>
      <c r="BC26" s="116"/>
      <c r="BD26" s="116"/>
      <c r="BE26" s="116"/>
      <c r="BG26" s="115">
        <f>SUMIFS(wallet_records!$D:$D,wallet_records!$B:$B,'EEFF 2023'!$C26,wallet_records!$O:$O,'EEFF 2023'!$B$1,wallet_records!$N:$N,'EEFF 2023'!BG$2,wallet_records!$H:$H,'EEFF 2023'!$B26)</f>
        <v>0</v>
      </c>
      <c r="BH26" s="116"/>
      <c r="BI26" s="116"/>
      <c r="BJ26" s="116"/>
      <c r="BK26" s="116"/>
      <c r="BL26" s="116"/>
      <c r="BN26" s="115">
        <f>SUMIFS(wallet_records!$D:$D,wallet_records!$B:$B,'EEFF 2023'!$C26,wallet_records!$O:$O,'EEFF 2023'!$B$1,wallet_records!$N:$N,'EEFF 2023'!BN$2,wallet_records!$H:$H,'EEFF 2023'!$B26)</f>
        <v>0</v>
      </c>
      <c r="BO26" s="116"/>
      <c r="BP26" s="116"/>
      <c r="BQ26" s="116"/>
      <c r="BR26" s="116"/>
      <c r="BS26" s="116"/>
      <c r="BU26" s="115">
        <f>SUMIFS(wallet_records!$D:$D,wallet_records!$B:$B,'EEFF 2023'!$C26,wallet_records!$O:$O,'EEFF 2023'!$B$1,wallet_records!$N:$N,'EEFF 2023'!BU$2,wallet_records!$H:$H,'EEFF 2023'!$B26)</f>
        <v>0</v>
      </c>
      <c r="BV26" s="116"/>
      <c r="BW26" s="116"/>
      <c r="BX26" s="116"/>
      <c r="BY26" s="116"/>
      <c r="BZ26" s="116"/>
      <c r="CB26" s="115">
        <f>SUMIFS(wallet_records!$D:$D,wallet_records!$B:$B,'EEFF 2023'!$C26,wallet_records!$O:$O,'EEFF 2023'!$B$1,wallet_records!$N:$N,'EEFF 2023'!CB$2,wallet_records!$H:$H,'EEFF 2023'!$B26)</f>
        <v>0</v>
      </c>
      <c r="CC26" s="116"/>
      <c r="CD26" s="116"/>
      <c r="CE26" s="116"/>
      <c r="CF26" s="116"/>
      <c r="CG26" s="116"/>
      <c r="CI26" s="115">
        <f>SUMIFS(wallet_records!$D:$D,wallet_records!$B:$B,'EEFF 2023'!$C26,wallet_records!$O:$O,'EEFF 2023'!$B$1,wallet_records!$N:$N,'EEFF 2023'!CI$2,wallet_records!$H:$H,'EEFF 2023'!$B26)</f>
        <v>0</v>
      </c>
      <c r="CJ26" s="116"/>
      <c r="CK26" s="116"/>
      <c r="CL26" s="116"/>
      <c r="CM26" s="116"/>
      <c r="CN26" s="116"/>
      <c r="CP26" s="115">
        <f>SUMIFS(wallet_records!$D:$D,wallet_records!$B:$B,'EEFF 2023'!$C26,wallet_records!$O:$O,'EEFF 2023'!$B$1,wallet_records!$H:$H,'EEFF 2023'!$B26)</f>
        <v>0</v>
      </c>
      <c r="CQ26" s="107"/>
      <c r="CR26" s="118">
        <f t="shared" si="29"/>
        <v>0</v>
      </c>
      <c r="CS26" s="118">
        <f t="shared" si="1"/>
        <v>0</v>
      </c>
      <c r="CT26" s="118">
        <f t="shared" si="2"/>
        <v>0</v>
      </c>
      <c r="CU26" s="118">
        <f t="shared" si="3"/>
        <v>0</v>
      </c>
      <c r="CV26" s="118">
        <f t="shared" si="4"/>
        <v>0</v>
      </c>
      <c r="CW26" s="118">
        <f t="shared" si="5"/>
        <v>0</v>
      </c>
      <c r="CX26" s="118">
        <f t="shared" si="6"/>
        <v>0</v>
      </c>
      <c r="CY26" s="118">
        <f t="shared" si="7"/>
        <v>0</v>
      </c>
      <c r="CZ26" s="118">
        <f t="shared" si="8"/>
        <v>0</v>
      </c>
      <c r="DA26" s="118">
        <f t="shared" si="9"/>
        <v>0</v>
      </c>
      <c r="DB26" s="118">
        <f t="shared" si="10"/>
        <v>0</v>
      </c>
      <c r="DC26" s="118">
        <f t="shared" si="11"/>
        <v>0</v>
      </c>
    </row>
    <row r="27" spans="2:107" x14ac:dyDescent="0.2">
      <c r="B27" s="10" t="s">
        <v>93</v>
      </c>
      <c r="C27" s="191" t="s">
        <v>131</v>
      </c>
      <c r="D27" s="115"/>
      <c r="E27" s="115"/>
      <c r="F27" s="115"/>
      <c r="G27" s="116"/>
      <c r="H27" s="116"/>
      <c r="I27" s="116"/>
      <c r="J27" s="115">
        <f>SUMIFS(wallet_records!$D:$D,wallet_records!$B:$B,'EEFF 2023'!$C27,wallet_records!$O:$O,'EEFF 2023'!$B$1,wallet_records!$N:$N,'EEFF 2023'!J$2,wallet_records!$H:$H,'EEFF 2023'!$B27)</f>
        <v>2551010</v>
      </c>
      <c r="K27" s="115"/>
      <c r="L27" s="115"/>
      <c r="M27" s="115"/>
      <c r="N27" s="116"/>
      <c r="O27" s="116"/>
      <c r="P27" s="116"/>
      <c r="Q27" s="115">
        <f>SUMIFS(wallet_records!$D:$D,wallet_records!$B:$B,'EEFF 2023'!$C27,wallet_records!$O:$O,'EEFF 2023'!$B$1,wallet_records!$N:$N,'EEFF 2023'!Q$2,wallet_records!$H:$H,'EEFF 2023'!$B27)</f>
        <v>0</v>
      </c>
      <c r="R27" s="116"/>
      <c r="S27" s="116"/>
      <c r="T27" s="116"/>
      <c r="U27" s="116"/>
      <c r="V27" s="116"/>
      <c r="X27" s="115">
        <f>SUMIFS(wallet_records!$D:$D,wallet_records!$B:$B,'EEFF 2023'!$C27,wallet_records!$O:$O,'EEFF 2023'!$B$1,wallet_records!$N:$N,'EEFF 2023'!X$2,wallet_records!$H:$H,'EEFF 2023'!$B27)</f>
        <v>0</v>
      </c>
      <c r="Y27" s="116"/>
      <c r="Z27" s="116"/>
      <c r="AA27" s="116"/>
      <c r="AB27" s="116"/>
      <c r="AC27" s="116"/>
      <c r="AE27" s="115">
        <f>SUMIFS(wallet_records!$D:$D,wallet_records!$B:$B,'EEFF 2023'!$C27,wallet_records!$O:$O,'EEFF 2023'!$B$1,wallet_records!$N:$N,'EEFF 2023'!AE$2,wallet_records!$H:$H,'EEFF 2023'!$B27)</f>
        <v>0</v>
      </c>
      <c r="AF27" s="116"/>
      <c r="AG27" s="116"/>
      <c r="AH27" s="116"/>
      <c r="AI27" s="116"/>
      <c r="AJ27" s="116"/>
      <c r="AL27" s="115">
        <f>SUMIFS(wallet_records!$D:$D,wallet_records!$B:$B,'EEFF 2023'!$C27,wallet_records!$O:$O,'EEFF 2023'!$B$1,wallet_records!$N:$N,'EEFF 2023'!AL$2,wallet_records!$H:$H,'EEFF 2023'!$B27)</f>
        <v>0</v>
      </c>
      <c r="AM27" s="116"/>
      <c r="AN27" s="116"/>
      <c r="AO27" s="116"/>
      <c r="AP27" s="116"/>
      <c r="AQ27" s="116"/>
      <c r="AS27" s="115">
        <f>SUMIFS(wallet_records!$D:$D,wallet_records!$B:$B,'EEFF 2023'!$C27,wallet_records!$O:$O,'EEFF 2023'!$B$1,wallet_records!$N:$N,'EEFF 2023'!AS$2,wallet_records!$H:$H,'EEFF 2023'!$B27)</f>
        <v>0</v>
      </c>
      <c r="AT27" s="116"/>
      <c r="AU27" s="116"/>
      <c r="AV27" s="116"/>
      <c r="AW27" s="116"/>
      <c r="AX27" s="116"/>
      <c r="AZ27" s="115">
        <f>SUMIFS(wallet_records!$D:$D,wallet_records!$B:$B,'EEFF 2023'!$C27,wallet_records!$O:$O,'EEFF 2023'!$B$1,wallet_records!$N:$N,'EEFF 2023'!AZ$2,wallet_records!$H:$H,'EEFF 2023'!$B27)</f>
        <v>0</v>
      </c>
      <c r="BA27" s="116"/>
      <c r="BB27" s="116"/>
      <c r="BC27" s="116"/>
      <c r="BD27" s="116"/>
      <c r="BE27" s="116"/>
      <c r="BG27" s="115">
        <f>SUMIFS(wallet_records!$D:$D,wallet_records!$B:$B,'EEFF 2023'!$C27,wallet_records!$O:$O,'EEFF 2023'!$B$1,wallet_records!$N:$N,'EEFF 2023'!BG$2,wallet_records!$H:$H,'EEFF 2023'!$B27)</f>
        <v>0</v>
      </c>
      <c r="BH27" s="116"/>
      <c r="BI27" s="116"/>
      <c r="BJ27" s="116"/>
      <c r="BK27" s="116"/>
      <c r="BL27" s="116"/>
      <c r="BN27" s="115">
        <f>SUMIFS(wallet_records!$D:$D,wallet_records!$B:$B,'EEFF 2023'!$C27,wallet_records!$O:$O,'EEFF 2023'!$B$1,wallet_records!$N:$N,'EEFF 2023'!BN$2,wallet_records!$H:$H,'EEFF 2023'!$B27)</f>
        <v>0</v>
      </c>
      <c r="BO27" s="116"/>
      <c r="BP27" s="116"/>
      <c r="BQ27" s="116"/>
      <c r="BR27" s="116"/>
      <c r="BS27" s="116"/>
      <c r="BU27" s="115">
        <f>SUMIFS(wallet_records!$D:$D,wallet_records!$B:$B,'EEFF 2023'!$C27,wallet_records!$O:$O,'EEFF 2023'!$B$1,wallet_records!$N:$N,'EEFF 2023'!BU$2,wallet_records!$H:$H,'EEFF 2023'!$B27)</f>
        <v>0</v>
      </c>
      <c r="BV27" s="116"/>
      <c r="BW27" s="116"/>
      <c r="BX27" s="116"/>
      <c r="BY27" s="116"/>
      <c r="BZ27" s="116"/>
      <c r="CB27" s="115">
        <f>SUMIFS(wallet_records!$D:$D,wallet_records!$B:$B,'EEFF 2023'!$C27,wallet_records!$O:$O,'EEFF 2023'!$B$1,wallet_records!$N:$N,'EEFF 2023'!CB$2,wallet_records!$H:$H,'EEFF 2023'!$B27)</f>
        <v>0</v>
      </c>
      <c r="CC27" s="116"/>
      <c r="CD27" s="116"/>
      <c r="CE27" s="116"/>
      <c r="CF27" s="116"/>
      <c r="CG27" s="116"/>
      <c r="CI27" s="115">
        <f>SUMIFS(wallet_records!$D:$D,wallet_records!$B:$B,'EEFF 2023'!$C27,wallet_records!$O:$O,'EEFF 2023'!$B$1,wallet_records!$N:$N,'EEFF 2023'!CI$2,wallet_records!$H:$H,'EEFF 2023'!$B27)</f>
        <v>0</v>
      </c>
      <c r="CJ27" s="116"/>
      <c r="CK27" s="116"/>
      <c r="CL27" s="116"/>
      <c r="CM27" s="116"/>
      <c r="CN27" s="116"/>
      <c r="CP27" s="115">
        <f>SUMIFS(wallet_records!$D:$D,wallet_records!$B:$B,'EEFF 2023'!$C27,wallet_records!$O:$O,'EEFF 2023'!$B$1,wallet_records!$H:$H,'EEFF 2023'!$B27)</f>
        <v>2551010</v>
      </c>
      <c r="CQ27" s="107"/>
      <c r="CR27" s="118">
        <f t="shared" si="29"/>
        <v>0.72885999999999995</v>
      </c>
      <c r="CS27" s="118">
        <f t="shared" si="1"/>
        <v>0</v>
      </c>
      <c r="CT27" s="118">
        <f t="shared" si="2"/>
        <v>0</v>
      </c>
      <c r="CU27" s="118">
        <f t="shared" si="3"/>
        <v>0</v>
      </c>
      <c r="CV27" s="118">
        <f t="shared" si="4"/>
        <v>0</v>
      </c>
      <c r="CW27" s="118">
        <f t="shared" si="5"/>
        <v>0</v>
      </c>
      <c r="CX27" s="118">
        <f t="shared" si="6"/>
        <v>0</v>
      </c>
      <c r="CY27" s="118">
        <f t="shared" si="7"/>
        <v>0</v>
      </c>
      <c r="CZ27" s="118">
        <f t="shared" si="8"/>
        <v>0</v>
      </c>
      <c r="DA27" s="118">
        <f t="shared" si="9"/>
        <v>0</v>
      </c>
      <c r="DB27" s="118">
        <f t="shared" si="10"/>
        <v>0</v>
      </c>
      <c r="DC27" s="118">
        <f t="shared" si="11"/>
        <v>0</v>
      </c>
    </row>
    <row r="28" spans="2:107" x14ac:dyDescent="0.2">
      <c r="B28" s="10" t="s">
        <v>225</v>
      </c>
      <c r="C28" s="191" t="s">
        <v>131</v>
      </c>
      <c r="D28" s="115"/>
      <c r="E28" s="115"/>
      <c r="F28" s="115"/>
      <c r="G28" s="116"/>
      <c r="H28" s="116"/>
      <c r="I28" s="116"/>
      <c r="J28" s="115">
        <f>SUMIFS(wallet_records!$D:$D,wallet_records!$B:$B,'EEFF 2023'!$C28,wallet_records!$O:$O,'EEFF 2023'!$B$1,wallet_records!$N:$N,'EEFF 2023'!J$2,wallet_records!$H:$H,'EEFF 2023'!$B28)</f>
        <v>624000</v>
      </c>
      <c r="K28" s="115"/>
      <c r="L28" s="115"/>
      <c r="M28" s="115"/>
      <c r="N28" s="116"/>
      <c r="O28" s="116"/>
      <c r="P28" s="116"/>
      <c r="Q28" s="115">
        <f>SUMIFS(wallet_records!$D:$D,wallet_records!$B:$B,'EEFF 2023'!$C28,wallet_records!$O:$O,'EEFF 2023'!$B$1,wallet_records!$N:$N,'EEFF 2023'!Q$2,wallet_records!$H:$H,'EEFF 2023'!$B28)</f>
        <v>0</v>
      </c>
      <c r="R28" s="116"/>
      <c r="S28" s="116"/>
      <c r="T28" s="116"/>
      <c r="U28" s="116"/>
      <c r="V28" s="116"/>
      <c r="X28" s="115">
        <f>SUMIFS(wallet_records!$D:$D,wallet_records!$B:$B,'EEFF 2023'!$C28,wallet_records!$O:$O,'EEFF 2023'!$B$1,wallet_records!$N:$N,'EEFF 2023'!X$2,wallet_records!$H:$H,'EEFF 2023'!$B28)</f>
        <v>0</v>
      </c>
      <c r="Y28" s="116"/>
      <c r="Z28" s="116"/>
      <c r="AA28" s="116"/>
      <c r="AB28" s="116"/>
      <c r="AC28" s="116"/>
      <c r="AE28" s="115">
        <f>SUMIFS(wallet_records!$D:$D,wallet_records!$B:$B,'EEFF 2023'!$C28,wallet_records!$O:$O,'EEFF 2023'!$B$1,wallet_records!$N:$N,'EEFF 2023'!AE$2,wallet_records!$H:$H,'EEFF 2023'!$B28)</f>
        <v>0</v>
      </c>
      <c r="AF28" s="116"/>
      <c r="AG28" s="116"/>
      <c r="AH28" s="116"/>
      <c r="AI28" s="116"/>
      <c r="AJ28" s="116"/>
      <c r="AL28" s="115">
        <f>SUMIFS(wallet_records!$D:$D,wallet_records!$B:$B,'EEFF 2023'!$C28,wallet_records!$O:$O,'EEFF 2023'!$B$1,wallet_records!$N:$N,'EEFF 2023'!AL$2,wallet_records!$H:$H,'EEFF 2023'!$B28)</f>
        <v>0</v>
      </c>
      <c r="AM28" s="116"/>
      <c r="AN28" s="116"/>
      <c r="AO28" s="116"/>
      <c r="AP28" s="116"/>
      <c r="AQ28" s="116"/>
      <c r="AS28" s="115">
        <f>SUMIFS(wallet_records!$D:$D,wallet_records!$B:$B,'EEFF 2023'!$C28,wallet_records!$O:$O,'EEFF 2023'!$B$1,wallet_records!$N:$N,'EEFF 2023'!AS$2,wallet_records!$H:$H,'EEFF 2023'!$B28)</f>
        <v>0</v>
      </c>
      <c r="AT28" s="116"/>
      <c r="AU28" s="116"/>
      <c r="AV28" s="116"/>
      <c r="AW28" s="116"/>
      <c r="AX28" s="116"/>
      <c r="AZ28" s="115">
        <f>SUMIFS(wallet_records!$D:$D,wallet_records!$B:$B,'EEFF 2023'!$C28,wallet_records!$O:$O,'EEFF 2023'!$B$1,wallet_records!$N:$N,'EEFF 2023'!AZ$2,wallet_records!$H:$H,'EEFF 2023'!$B28)</f>
        <v>0</v>
      </c>
      <c r="BA28" s="116"/>
      <c r="BB28" s="116"/>
      <c r="BC28" s="116"/>
      <c r="BD28" s="116"/>
      <c r="BE28" s="116"/>
      <c r="BG28" s="115">
        <f>SUMIFS(wallet_records!$D:$D,wallet_records!$B:$B,'EEFF 2023'!$C28,wallet_records!$O:$O,'EEFF 2023'!$B$1,wallet_records!$N:$N,'EEFF 2023'!BG$2,wallet_records!$H:$H,'EEFF 2023'!$B28)</f>
        <v>0</v>
      </c>
      <c r="BH28" s="116"/>
      <c r="BI28" s="116"/>
      <c r="BJ28" s="116"/>
      <c r="BK28" s="116"/>
      <c r="BL28" s="116"/>
      <c r="BN28" s="115">
        <f>SUMIFS(wallet_records!$D:$D,wallet_records!$B:$B,'EEFF 2023'!$C28,wallet_records!$O:$O,'EEFF 2023'!$B$1,wallet_records!$N:$N,'EEFF 2023'!BN$2,wallet_records!$H:$H,'EEFF 2023'!$B28)</f>
        <v>0</v>
      </c>
      <c r="BO28" s="116"/>
      <c r="BP28" s="116"/>
      <c r="BQ28" s="116"/>
      <c r="BR28" s="116"/>
      <c r="BS28" s="116"/>
      <c r="BU28" s="115">
        <f>SUMIFS(wallet_records!$D:$D,wallet_records!$B:$B,'EEFF 2023'!$C28,wallet_records!$O:$O,'EEFF 2023'!$B$1,wallet_records!$N:$N,'EEFF 2023'!BU$2,wallet_records!$H:$H,'EEFF 2023'!$B28)</f>
        <v>0</v>
      </c>
      <c r="BV28" s="116"/>
      <c r="BW28" s="116"/>
      <c r="BX28" s="116"/>
      <c r="BY28" s="116"/>
      <c r="BZ28" s="116"/>
      <c r="CB28" s="115">
        <f>SUMIFS(wallet_records!$D:$D,wallet_records!$B:$B,'EEFF 2023'!$C28,wallet_records!$O:$O,'EEFF 2023'!$B$1,wallet_records!$N:$N,'EEFF 2023'!CB$2,wallet_records!$H:$H,'EEFF 2023'!$B28)</f>
        <v>0</v>
      </c>
      <c r="CC28" s="116"/>
      <c r="CD28" s="116"/>
      <c r="CE28" s="116"/>
      <c r="CF28" s="116"/>
      <c r="CG28" s="116"/>
      <c r="CI28" s="115">
        <f>SUMIFS(wallet_records!$D:$D,wallet_records!$B:$B,'EEFF 2023'!$C28,wallet_records!$O:$O,'EEFF 2023'!$B$1,wallet_records!$N:$N,'EEFF 2023'!CI$2,wallet_records!$H:$H,'EEFF 2023'!$B28)</f>
        <v>0</v>
      </c>
      <c r="CJ28" s="116"/>
      <c r="CK28" s="116"/>
      <c r="CL28" s="116"/>
      <c r="CM28" s="116"/>
      <c r="CN28" s="116"/>
      <c r="CP28" s="115">
        <f>SUMIFS(wallet_records!$D:$D,wallet_records!$B:$B,'EEFF 2023'!$C28,wallet_records!$O:$O,'EEFF 2023'!$B$1,wallet_records!$H:$H,'EEFF 2023'!$B28)</f>
        <v>624000</v>
      </c>
      <c r="CQ28" s="107"/>
      <c r="CR28" s="118">
        <f t="shared" si="29"/>
        <v>0.1782857142857143</v>
      </c>
      <c r="CS28" s="118">
        <f t="shared" si="1"/>
        <v>0</v>
      </c>
      <c r="CT28" s="118">
        <f t="shared" si="2"/>
        <v>0</v>
      </c>
      <c r="CU28" s="118">
        <f t="shared" si="3"/>
        <v>0</v>
      </c>
      <c r="CV28" s="118">
        <f t="shared" si="4"/>
        <v>0</v>
      </c>
      <c r="CW28" s="118">
        <f t="shared" si="5"/>
        <v>0</v>
      </c>
      <c r="CX28" s="118">
        <f t="shared" si="6"/>
        <v>0</v>
      </c>
      <c r="CY28" s="118">
        <f t="shared" si="7"/>
        <v>0</v>
      </c>
      <c r="CZ28" s="118">
        <f t="shared" si="8"/>
        <v>0</v>
      </c>
      <c r="DA28" s="118">
        <f t="shared" si="9"/>
        <v>0</v>
      </c>
      <c r="DB28" s="118">
        <f t="shared" si="10"/>
        <v>0</v>
      </c>
      <c r="DC28" s="118">
        <f t="shared" si="11"/>
        <v>0</v>
      </c>
    </row>
    <row r="29" spans="2:107" x14ac:dyDescent="0.2">
      <c r="B29" s="10" t="s">
        <v>92</v>
      </c>
      <c r="C29" s="191" t="s">
        <v>114</v>
      </c>
      <c r="D29" s="115"/>
      <c r="E29" s="115"/>
      <c r="F29" s="115"/>
      <c r="G29" s="116"/>
      <c r="H29" s="116"/>
      <c r="I29" s="116"/>
      <c r="J29" s="115">
        <f>SUMIFS(wallet_records!$D:$D,wallet_records!$B:$B,'EEFF 2023'!$C29,wallet_records!$O:$O,'EEFF 2023'!$B$1,wallet_records!$N:$N,'EEFF 2023'!J$2,wallet_records!$H:$H,'EEFF 2023'!$B29)</f>
        <v>0</v>
      </c>
      <c r="K29" s="115"/>
      <c r="L29" s="115"/>
      <c r="M29" s="115"/>
      <c r="N29" s="116"/>
      <c r="O29" s="116"/>
      <c r="P29" s="116"/>
      <c r="Q29" s="115">
        <f>SUMIFS(wallet_records!$D:$D,wallet_records!$B:$B,'EEFF 2023'!$C29,wallet_records!$O:$O,'EEFF 2023'!$B$1,wallet_records!$N:$N,'EEFF 2023'!Q$2,wallet_records!$H:$H,'EEFF 2023'!$B29)</f>
        <v>0</v>
      </c>
      <c r="R29" s="116"/>
      <c r="S29" s="116"/>
      <c r="T29" s="116"/>
      <c r="U29" s="116"/>
      <c r="V29" s="116"/>
      <c r="X29" s="115">
        <f>SUMIFS(wallet_records!$D:$D,wallet_records!$B:$B,'EEFF 2023'!$C29,wallet_records!$O:$O,'EEFF 2023'!$B$1,wallet_records!$N:$N,'EEFF 2023'!X$2,wallet_records!$H:$H,'EEFF 2023'!$B29)</f>
        <v>0</v>
      </c>
      <c r="Y29" s="116"/>
      <c r="Z29" s="116"/>
      <c r="AA29" s="116"/>
      <c r="AB29" s="116"/>
      <c r="AC29" s="116"/>
      <c r="AE29" s="115">
        <f>SUMIFS(wallet_records!$D:$D,wallet_records!$B:$B,'EEFF 2023'!$C29,wallet_records!$O:$O,'EEFF 2023'!$B$1,wallet_records!$N:$N,'EEFF 2023'!AE$2,wallet_records!$H:$H,'EEFF 2023'!$B29)</f>
        <v>0</v>
      </c>
      <c r="AF29" s="116"/>
      <c r="AG29" s="116"/>
      <c r="AH29" s="116"/>
      <c r="AI29" s="116"/>
      <c r="AJ29" s="116"/>
      <c r="AL29" s="115">
        <f>SUMIFS(wallet_records!$D:$D,wallet_records!$B:$B,'EEFF 2023'!$C29,wallet_records!$O:$O,'EEFF 2023'!$B$1,wallet_records!$N:$N,'EEFF 2023'!AL$2,wallet_records!$H:$H,'EEFF 2023'!$B29)</f>
        <v>0</v>
      </c>
      <c r="AM29" s="116"/>
      <c r="AN29" s="116"/>
      <c r="AO29" s="116"/>
      <c r="AP29" s="116"/>
      <c r="AQ29" s="116"/>
      <c r="AS29" s="115">
        <f>SUMIFS(wallet_records!$D:$D,wallet_records!$B:$B,'EEFF 2023'!$C29,wallet_records!$O:$O,'EEFF 2023'!$B$1,wallet_records!$N:$N,'EEFF 2023'!AS$2,wallet_records!$H:$H,'EEFF 2023'!$B29)</f>
        <v>0</v>
      </c>
      <c r="AT29" s="116"/>
      <c r="AU29" s="116"/>
      <c r="AV29" s="116"/>
      <c r="AW29" s="116"/>
      <c r="AX29" s="116"/>
      <c r="AZ29" s="115">
        <f>SUMIFS(wallet_records!$D:$D,wallet_records!$B:$B,'EEFF 2023'!$C29,wallet_records!$O:$O,'EEFF 2023'!$B$1,wallet_records!$N:$N,'EEFF 2023'!AZ$2,wallet_records!$H:$H,'EEFF 2023'!$B29)</f>
        <v>0</v>
      </c>
      <c r="BA29" s="116"/>
      <c r="BB29" s="116"/>
      <c r="BC29" s="116"/>
      <c r="BD29" s="116"/>
      <c r="BE29" s="116"/>
      <c r="BG29" s="115">
        <f>SUMIFS(wallet_records!$D:$D,wallet_records!$B:$B,'EEFF 2023'!$C29,wallet_records!$O:$O,'EEFF 2023'!$B$1,wallet_records!$N:$N,'EEFF 2023'!BG$2,wallet_records!$H:$H,'EEFF 2023'!$B29)</f>
        <v>0</v>
      </c>
      <c r="BH29" s="116"/>
      <c r="BI29" s="116"/>
      <c r="BJ29" s="116"/>
      <c r="BK29" s="116"/>
      <c r="BL29" s="116"/>
      <c r="BN29" s="115">
        <f>SUMIFS(wallet_records!$D:$D,wallet_records!$B:$B,'EEFF 2023'!$C29,wallet_records!$O:$O,'EEFF 2023'!$B$1,wallet_records!$N:$N,'EEFF 2023'!BN$2,wallet_records!$H:$H,'EEFF 2023'!$B29)</f>
        <v>0</v>
      </c>
      <c r="BO29" s="116"/>
      <c r="BP29" s="116"/>
      <c r="BQ29" s="116"/>
      <c r="BR29" s="116"/>
      <c r="BS29" s="116"/>
      <c r="BU29" s="115">
        <f>SUMIFS(wallet_records!$D:$D,wallet_records!$B:$B,'EEFF 2023'!$C29,wallet_records!$O:$O,'EEFF 2023'!$B$1,wallet_records!$N:$N,'EEFF 2023'!BU$2,wallet_records!$H:$H,'EEFF 2023'!$B29)</f>
        <v>0</v>
      </c>
      <c r="BV29" s="116"/>
      <c r="BW29" s="116"/>
      <c r="BX29" s="116"/>
      <c r="BY29" s="116"/>
      <c r="BZ29" s="116"/>
      <c r="CB29" s="115">
        <f>SUMIFS(wallet_records!$D:$D,wallet_records!$B:$B,'EEFF 2023'!$C29,wallet_records!$O:$O,'EEFF 2023'!$B$1,wallet_records!$N:$N,'EEFF 2023'!CB$2,wallet_records!$H:$H,'EEFF 2023'!$B29)</f>
        <v>0</v>
      </c>
      <c r="CC29" s="116"/>
      <c r="CD29" s="116"/>
      <c r="CE29" s="116"/>
      <c r="CF29" s="116"/>
      <c r="CG29" s="116"/>
      <c r="CI29" s="115">
        <f>SUMIFS(wallet_records!$D:$D,wallet_records!$B:$B,'EEFF 2023'!$C29,wallet_records!$O:$O,'EEFF 2023'!$B$1,wallet_records!$N:$N,'EEFF 2023'!CI$2,wallet_records!$H:$H,'EEFF 2023'!$B29)</f>
        <v>0</v>
      </c>
      <c r="CJ29" s="116"/>
      <c r="CK29" s="116"/>
      <c r="CL29" s="116"/>
      <c r="CM29" s="116"/>
      <c r="CN29" s="116"/>
      <c r="CP29" s="115">
        <f>SUMIFS(wallet_records!$D:$D,wallet_records!$B:$B,'EEFF 2023'!$C29,wallet_records!$O:$O,'EEFF 2023'!$B$1,wallet_records!$H:$H,'EEFF 2023'!$B29)</f>
        <v>0</v>
      </c>
      <c r="CQ29" s="107"/>
      <c r="CR29" s="118">
        <f t="shared" si="29"/>
        <v>0</v>
      </c>
      <c r="CS29" s="118">
        <f t="shared" si="1"/>
        <v>0</v>
      </c>
      <c r="CT29" s="118">
        <f t="shared" si="2"/>
        <v>0</v>
      </c>
      <c r="CU29" s="118">
        <f t="shared" si="3"/>
        <v>0</v>
      </c>
      <c r="CV29" s="118">
        <f t="shared" si="4"/>
        <v>0</v>
      </c>
      <c r="CW29" s="118">
        <f t="shared" si="5"/>
        <v>0</v>
      </c>
      <c r="CX29" s="118">
        <f t="shared" si="6"/>
        <v>0</v>
      </c>
      <c r="CY29" s="118">
        <f t="shared" si="7"/>
        <v>0</v>
      </c>
      <c r="CZ29" s="118">
        <f t="shared" si="8"/>
        <v>0</v>
      </c>
      <c r="DA29" s="118">
        <f t="shared" si="9"/>
        <v>0</v>
      </c>
      <c r="DB29" s="118">
        <f t="shared" si="10"/>
        <v>0</v>
      </c>
      <c r="DC29" s="118">
        <f t="shared" si="11"/>
        <v>0</v>
      </c>
    </row>
    <row r="30" spans="2:107" x14ac:dyDescent="0.2">
      <c r="B30" s="10" t="s">
        <v>97</v>
      </c>
      <c r="C30" s="191" t="s">
        <v>154</v>
      </c>
      <c r="D30" s="115"/>
      <c r="E30" s="115"/>
      <c r="F30" s="115"/>
      <c r="G30" s="116"/>
      <c r="H30" s="116"/>
      <c r="I30" s="116"/>
      <c r="J30" s="115">
        <f>SUMIFS(wallet_records!$D:$D,wallet_records!$B:$B,'EEFF 2023'!$C30,wallet_records!$O:$O,'EEFF 2023'!$B$1,wallet_records!$N:$N,'EEFF 2023'!J$2,wallet_records!$H:$H,'EEFF 2023'!$B30)</f>
        <v>39000</v>
      </c>
      <c r="K30" s="115"/>
      <c r="L30" s="115"/>
      <c r="M30" s="115"/>
      <c r="N30" s="116"/>
      <c r="O30" s="116"/>
      <c r="P30" s="116"/>
      <c r="Q30" s="115">
        <f>SUMIFS(wallet_records!$D:$D,wallet_records!$B:$B,'EEFF 2023'!$C30,wallet_records!$O:$O,'EEFF 2023'!$B$1,wallet_records!$N:$N,'EEFF 2023'!Q$2,wallet_records!$H:$H,'EEFF 2023'!$B30)</f>
        <v>0</v>
      </c>
      <c r="R30" s="116"/>
      <c r="S30" s="116"/>
      <c r="T30" s="116"/>
      <c r="U30" s="116"/>
      <c r="V30" s="116"/>
      <c r="X30" s="115">
        <f>SUMIFS(wallet_records!$D:$D,wallet_records!$B:$B,'EEFF 2023'!$C30,wallet_records!$O:$O,'EEFF 2023'!$B$1,wallet_records!$N:$N,'EEFF 2023'!X$2,wallet_records!$H:$H,'EEFF 2023'!$B30)</f>
        <v>0</v>
      </c>
      <c r="Y30" s="116"/>
      <c r="Z30" s="116"/>
      <c r="AA30" s="116"/>
      <c r="AB30" s="116"/>
      <c r="AC30" s="116"/>
      <c r="AE30" s="115">
        <f>SUMIFS(wallet_records!$D:$D,wallet_records!$B:$B,'EEFF 2023'!$C30,wallet_records!$O:$O,'EEFF 2023'!$B$1,wallet_records!$N:$N,'EEFF 2023'!AE$2,wallet_records!$H:$H,'EEFF 2023'!$B30)</f>
        <v>0</v>
      </c>
      <c r="AF30" s="116"/>
      <c r="AG30" s="116"/>
      <c r="AH30" s="116"/>
      <c r="AI30" s="116"/>
      <c r="AJ30" s="116"/>
      <c r="AL30" s="115">
        <f>SUMIFS(wallet_records!$D:$D,wallet_records!$B:$B,'EEFF 2023'!$C30,wallet_records!$O:$O,'EEFF 2023'!$B$1,wallet_records!$N:$N,'EEFF 2023'!AL$2,wallet_records!$H:$H,'EEFF 2023'!$B30)</f>
        <v>0</v>
      </c>
      <c r="AM30" s="116"/>
      <c r="AN30" s="116"/>
      <c r="AO30" s="116"/>
      <c r="AP30" s="116"/>
      <c r="AQ30" s="116"/>
      <c r="AS30" s="115">
        <f>SUMIFS(wallet_records!$D:$D,wallet_records!$B:$B,'EEFF 2023'!$C30,wallet_records!$O:$O,'EEFF 2023'!$B$1,wallet_records!$N:$N,'EEFF 2023'!AS$2,wallet_records!$H:$H,'EEFF 2023'!$B30)</f>
        <v>0</v>
      </c>
      <c r="AT30" s="116"/>
      <c r="AU30" s="116"/>
      <c r="AV30" s="116"/>
      <c r="AW30" s="116"/>
      <c r="AX30" s="116"/>
      <c r="AZ30" s="115">
        <f>SUMIFS(wallet_records!$D:$D,wallet_records!$B:$B,'EEFF 2023'!$C30,wallet_records!$O:$O,'EEFF 2023'!$B$1,wallet_records!$N:$N,'EEFF 2023'!AZ$2,wallet_records!$H:$H,'EEFF 2023'!$B30)</f>
        <v>0</v>
      </c>
      <c r="BA30" s="116"/>
      <c r="BB30" s="116"/>
      <c r="BC30" s="116"/>
      <c r="BD30" s="116"/>
      <c r="BE30" s="116"/>
      <c r="BG30" s="115">
        <f>SUMIFS(wallet_records!$D:$D,wallet_records!$B:$B,'EEFF 2023'!$C30,wallet_records!$O:$O,'EEFF 2023'!$B$1,wallet_records!$N:$N,'EEFF 2023'!BG$2,wallet_records!$H:$H,'EEFF 2023'!$B30)</f>
        <v>0</v>
      </c>
      <c r="BH30" s="116"/>
      <c r="BI30" s="116"/>
      <c r="BJ30" s="116"/>
      <c r="BK30" s="116"/>
      <c r="BL30" s="116"/>
      <c r="BN30" s="115">
        <f>SUMIFS(wallet_records!$D:$D,wallet_records!$B:$B,'EEFF 2023'!$C30,wallet_records!$O:$O,'EEFF 2023'!$B$1,wallet_records!$N:$N,'EEFF 2023'!BN$2,wallet_records!$H:$H,'EEFF 2023'!$B30)</f>
        <v>0</v>
      </c>
      <c r="BO30" s="116"/>
      <c r="BP30" s="116"/>
      <c r="BQ30" s="116"/>
      <c r="BR30" s="116"/>
      <c r="BS30" s="116"/>
      <c r="BU30" s="115">
        <f>SUMIFS(wallet_records!$D:$D,wallet_records!$B:$B,'EEFF 2023'!$C30,wallet_records!$O:$O,'EEFF 2023'!$B$1,wallet_records!$N:$N,'EEFF 2023'!BU$2,wallet_records!$H:$H,'EEFF 2023'!$B30)</f>
        <v>0</v>
      </c>
      <c r="BV30" s="116"/>
      <c r="BW30" s="116"/>
      <c r="BX30" s="116"/>
      <c r="BY30" s="116"/>
      <c r="BZ30" s="116"/>
      <c r="CB30" s="115">
        <f>SUMIFS(wallet_records!$D:$D,wallet_records!$B:$B,'EEFF 2023'!$C30,wallet_records!$O:$O,'EEFF 2023'!$B$1,wallet_records!$N:$N,'EEFF 2023'!CB$2,wallet_records!$H:$H,'EEFF 2023'!$B30)</f>
        <v>0</v>
      </c>
      <c r="CC30" s="116"/>
      <c r="CD30" s="116"/>
      <c r="CE30" s="116"/>
      <c r="CF30" s="116"/>
      <c r="CG30" s="116"/>
      <c r="CI30" s="115">
        <f>SUMIFS(wallet_records!$D:$D,wallet_records!$B:$B,'EEFF 2023'!$C30,wallet_records!$O:$O,'EEFF 2023'!$B$1,wallet_records!$N:$N,'EEFF 2023'!CI$2,wallet_records!$H:$H,'EEFF 2023'!$B30)</f>
        <v>0</v>
      </c>
      <c r="CJ30" s="116"/>
      <c r="CK30" s="116"/>
      <c r="CL30" s="116"/>
      <c r="CM30" s="116"/>
      <c r="CN30" s="116"/>
      <c r="CP30" s="115">
        <f>SUMIFS(wallet_records!$D:$D,wallet_records!$B:$B,'EEFF 2023'!$C30,wallet_records!$O:$O,'EEFF 2023'!$B$1,wallet_records!$H:$H,'EEFF 2023'!$B30)</f>
        <v>39000</v>
      </c>
      <c r="CQ30" s="107"/>
      <c r="CR30" s="118">
        <f t="shared" si="29"/>
        <v>1.1142857142857144E-2</v>
      </c>
      <c r="CS30" s="118">
        <f t="shared" si="1"/>
        <v>0</v>
      </c>
      <c r="CT30" s="118">
        <f t="shared" si="2"/>
        <v>0</v>
      </c>
      <c r="CU30" s="118">
        <f t="shared" si="3"/>
        <v>0</v>
      </c>
      <c r="CV30" s="118">
        <f t="shared" si="4"/>
        <v>0</v>
      </c>
      <c r="CW30" s="118">
        <f t="shared" si="5"/>
        <v>0</v>
      </c>
      <c r="CX30" s="118">
        <f t="shared" si="6"/>
        <v>0</v>
      </c>
      <c r="CY30" s="118">
        <f t="shared" si="7"/>
        <v>0</v>
      </c>
      <c r="CZ30" s="118">
        <f t="shared" si="8"/>
        <v>0</v>
      </c>
      <c r="DA30" s="118">
        <f t="shared" si="9"/>
        <v>0</v>
      </c>
      <c r="DB30" s="118">
        <f t="shared" si="10"/>
        <v>0</v>
      </c>
      <c r="DC30" s="118">
        <f t="shared" si="11"/>
        <v>0</v>
      </c>
    </row>
    <row r="31" spans="2:107" x14ac:dyDescent="0.2">
      <c r="B31" s="10" t="s">
        <v>98</v>
      </c>
      <c r="C31" s="191" t="s">
        <v>154</v>
      </c>
      <c r="D31" s="115"/>
      <c r="E31" s="115"/>
      <c r="F31" s="115"/>
      <c r="G31" s="116"/>
      <c r="H31" s="116"/>
      <c r="I31" s="116"/>
      <c r="J31" s="115">
        <f>SUMIFS(wallet_records!$D:$D,wallet_records!$B:$B,'EEFF 2023'!$C31,wallet_records!$O:$O,'EEFF 2023'!$B$1,wallet_records!$N:$N,'EEFF 2023'!J$2,wallet_records!$H:$H,'EEFF 2023'!$B31)</f>
        <v>196050</v>
      </c>
      <c r="K31" s="115"/>
      <c r="L31" s="115"/>
      <c r="M31" s="115"/>
      <c r="N31" s="116"/>
      <c r="O31" s="116"/>
      <c r="P31" s="116"/>
      <c r="Q31" s="115">
        <f>SUMIFS(wallet_records!$D:$D,wallet_records!$B:$B,'EEFF 2023'!$C31,wallet_records!$O:$O,'EEFF 2023'!$B$1,wallet_records!$N:$N,'EEFF 2023'!Q$2,wallet_records!$H:$H,'EEFF 2023'!$B31)</f>
        <v>0</v>
      </c>
      <c r="R31" s="116"/>
      <c r="S31" s="116"/>
      <c r="T31" s="116"/>
      <c r="U31" s="116"/>
      <c r="V31" s="116"/>
      <c r="X31" s="115">
        <f>SUMIFS(wallet_records!$D:$D,wallet_records!$B:$B,'EEFF 2023'!$C31,wallet_records!$O:$O,'EEFF 2023'!$B$1,wallet_records!$N:$N,'EEFF 2023'!X$2,wallet_records!$H:$H,'EEFF 2023'!$B31)</f>
        <v>0</v>
      </c>
      <c r="Y31" s="116"/>
      <c r="Z31" s="116"/>
      <c r="AA31" s="116"/>
      <c r="AB31" s="116"/>
      <c r="AC31" s="116"/>
      <c r="AE31" s="115">
        <f>SUMIFS(wallet_records!$D:$D,wallet_records!$B:$B,'EEFF 2023'!$C31,wallet_records!$O:$O,'EEFF 2023'!$B$1,wallet_records!$N:$N,'EEFF 2023'!AE$2,wallet_records!$H:$H,'EEFF 2023'!$B31)</f>
        <v>0</v>
      </c>
      <c r="AF31" s="116"/>
      <c r="AG31" s="116"/>
      <c r="AH31" s="116"/>
      <c r="AI31" s="116"/>
      <c r="AJ31" s="116"/>
      <c r="AL31" s="115">
        <f>SUMIFS(wallet_records!$D:$D,wallet_records!$B:$B,'EEFF 2023'!$C31,wallet_records!$O:$O,'EEFF 2023'!$B$1,wallet_records!$N:$N,'EEFF 2023'!AL$2,wallet_records!$H:$H,'EEFF 2023'!$B31)</f>
        <v>0</v>
      </c>
      <c r="AM31" s="116"/>
      <c r="AN31" s="116"/>
      <c r="AO31" s="116"/>
      <c r="AP31" s="116"/>
      <c r="AQ31" s="116"/>
      <c r="AS31" s="115">
        <f>SUMIFS(wallet_records!$D:$D,wallet_records!$B:$B,'EEFF 2023'!$C31,wallet_records!$O:$O,'EEFF 2023'!$B$1,wallet_records!$N:$N,'EEFF 2023'!AS$2,wallet_records!$H:$H,'EEFF 2023'!$B31)</f>
        <v>0</v>
      </c>
      <c r="AT31" s="116"/>
      <c r="AU31" s="116"/>
      <c r="AV31" s="116"/>
      <c r="AW31" s="116"/>
      <c r="AX31" s="116"/>
      <c r="AZ31" s="115">
        <f>SUMIFS(wallet_records!$D:$D,wallet_records!$B:$B,'EEFF 2023'!$C31,wallet_records!$O:$O,'EEFF 2023'!$B$1,wallet_records!$N:$N,'EEFF 2023'!AZ$2,wallet_records!$H:$H,'EEFF 2023'!$B31)</f>
        <v>0</v>
      </c>
      <c r="BA31" s="116"/>
      <c r="BB31" s="116"/>
      <c r="BC31" s="116"/>
      <c r="BD31" s="116"/>
      <c r="BE31" s="116"/>
      <c r="BG31" s="115">
        <f>SUMIFS(wallet_records!$D:$D,wallet_records!$B:$B,'EEFF 2023'!$C31,wallet_records!$O:$O,'EEFF 2023'!$B$1,wallet_records!$N:$N,'EEFF 2023'!BG$2,wallet_records!$H:$H,'EEFF 2023'!$B31)</f>
        <v>0</v>
      </c>
      <c r="BH31" s="116"/>
      <c r="BI31" s="116"/>
      <c r="BJ31" s="116"/>
      <c r="BK31" s="116"/>
      <c r="BL31" s="116"/>
      <c r="BN31" s="115">
        <f>SUMIFS(wallet_records!$D:$D,wallet_records!$B:$B,'EEFF 2023'!$C31,wallet_records!$O:$O,'EEFF 2023'!$B$1,wallet_records!$N:$N,'EEFF 2023'!BN$2,wallet_records!$H:$H,'EEFF 2023'!$B31)</f>
        <v>0</v>
      </c>
      <c r="BO31" s="116"/>
      <c r="BP31" s="116"/>
      <c r="BQ31" s="116"/>
      <c r="BR31" s="116"/>
      <c r="BS31" s="116"/>
      <c r="BU31" s="115">
        <f>SUMIFS(wallet_records!$D:$D,wallet_records!$B:$B,'EEFF 2023'!$C31,wallet_records!$O:$O,'EEFF 2023'!$B$1,wallet_records!$N:$N,'EEFF 2023'!BU$2,wallet_records!$H:$H,'EEFF 2023'!$B31)</f>
        <v>0</v>
      </c>
      <c r="BV31" s="116"/>
      <c r="BW31" s="116"/>
      <c r="BX31" s="116"/>
      <c r="BY31" s="116"/>
      <c r="BZ31" s="116"/>
      <c r="CB31" s="115">
        <f>SUMIFS(wallet_records!$D:$D,wallet_records!$B:$B,'EEFF 2023'!$C31,wallet_records!$O:$O,'EEFF 2023'!$B$1,wallet_records!$N:$N,'EEFF 2023'!CB$2,wallet_records!$H:$H,'EEFF 2023'!$B31)</f>
        <v>0</v>
      </c>
      <c r="CC31" s="116"/>
      <c r="CD31" s="116"/>
      <c r="CE31" s="116"/>
      <c r="CF31" s="116"/>
      <c r="CG31" s="116"/>
      <c r="CI31" s="115">
        <f>SUMIFS(wallet_records!$D:$D,wallet_records!$B:$B,'EEFF 2023'!$C31,wallet_records!$O:$O,'EEFF 2023'!$B$1,wallet_records!$N:$N,'EEFF 2023'!CI$2,wallet_records!$H:$H,'EEFF 2023'!$B31)</f>
        <v>0</v>
      </c>
      <c r="CJ31" s="116"/>
      <c r="CK31" s="116"/>
      <c r="CL31" s="116"/>
      <c r="CM31" s="116"/>
      <c r="CN31" s="116"/>
      <c r="CP31" s="115">
        <f>SUMIFS(wallet_records!$D:$D,wallet_records!$B:$B,'EEFF 2023'!$C31,wallet_records!$O:$O,'EEFF 2023'!$B$1,wallet_records!$H:$H,'EEFF 2023'!$B31)</f>
        <v>196050</v>
      </c>
      <c r="CQ31" s="107"/>
      <c r="CR31" s="118">
        <f t="shared" si="29"/>
        <v>5.6014285714285711E-2</v>
      </c>
      <c r="CS31" s="118">
        <f t="shared" si="1"/>
        <v>0</v>
      </c>
      <c r="CT31" s="118">
        <f t="shared" si="2"/>
        <v>0</v>
      </c>
      <c r="CU31" s="118">
        <f t="shared" si="3"/>
        <v>0</v>
      </c>
      <c r="CV31" s="118">
        <f t="shared" si="4"/>
        <v>0</v>
      </c>
      <c r="CW31" s="118">
        <f t="shared" si="5"/>
        <v>0</v>
      </c>
      <c r="CX31" s="118">
        <f t="shared" si="6"/>
        <v>0</v>
      </c>
      <c r="CY31" s="118">
        <f t="shared" si="7"/>
        <v>0</v>
      </c>
      <c r="CZ31" s="118">
        <f t="shared" si="8"/>
        <v>0</v>
      </c>
      <c r="DA31" s="118">
        <f t="shared" si="9"/>
        <v>0</v>
      </c>
      <c r="DB31" s="118">
        <f t="shared" si="10"/>
        <v>0</v>
      </c>
      <c r="DC31" s="118">
        <f t="shared" si="11"/>
        <v>0</v>
      </c>
    </row>
    <row r="32" spans="2:107" x14ac:dyDescent="0.2">
      <c r="B32" s="10" t="s">
        <v>287</v>
      </c>
      <c r="C32" s="191" t="s">
        <v>114</v>
      </c>
      <c r="D32" s="115"/>
      <c r="E32" s="115"/>
      <c r="F32" s="115"/>
      <c r="G32" s="116"/>
      <c r="H32" s="116"/>
      <c r="I32" s="116"/>
      <c r="J32" s="115">
        <f>SUMIFS(wallet_records!$D:$D,wallet_records!$B:$B,'EEFF 2023'!$C32,wallet_records!$O:$O,'EEFF 2023'!$B$1,wallet_records!$N:$N,'EEFF 2023'!J$2,wallet_records!$H:$H,'EEFF 2023'!$B32)</f>
        <v>0</v>
      </c>
      <c r="K32" s="115"/>
      <c r="L32" s="115"/>
      <c r="M32" s="115"/>
      <c r="N32" s="116"/>
      <c r="O32" s="116"/>
      <c r="P32" s="116"/>
      <c r="Q32" s="115">
        <f>SUMIFS(wallet_records!$D:$D,wallet_records!$B:$B,'EEFF 2023'!$C32,wallet_records!$O:$O,'EEFF 2023'!$B$1,wallet_records!$N:$N,'EEFF 2023'!Q$2,wallet_records!$H:$H,'EEFF 2023'!$B32)</f>
        <v>0</v>
      </c>
      <c r="R32" s="116"/>
      <c r="S32" s="116"/>
      <c r="T32" s="116"/>
      <c r="U32" s="116"/>
      <c r="V32" s="116"/>
      <c r="X32" s="115">
        <f>SUMIFS(wallet_records!$D:$D,wallet_records!$B:$B,'EEFF 2023'!$C32,wallet_records!$O:$O,'EEFF 2023'!$B$1,wallet_records!$N:$N,'EEFF 2023'!X$2,wallet_records!$H:$H,'EEFF 2023'!$B32)</f>
        <v>0</v>
      </c>
      <c r="Y32" s="116"/>
      <c r="Z32" s="116"/>
      <c r="AA32" s="116"/>
      <c r="AB32" s="116"/>
      <c r="AC32" s="116"/>
      <c r="AE32" s="115">
        <f>SUMIFS(wallet_records!$D:$D,wallet_records!$B:$B,'EEFF 2023'!$C32,wallet_records!$O:$O,'EEFF 2023'!$B$1,wallet_records!$N:$N,'EEFF 2023'!AE$2,wallet_records!$H:$H,'EEFF 2023'!$B32)</f>
        <v>0</v>
      </c>
      <c r="AF32" s="116"/>
      <c r="AG32" s="116"/>
      <c r="AH32" s="116"/>
      <c r="AI32" s="116"/>
      <c r="AJ32" s="116"/>
      <c r="AL32" s="115">
        <f>SUMIFS(wallet_records!$D:$D,wallet_records!$B:$B,'EEFF 2023'!$C32,wallet_records!$O:$O,'EEFF 2023'!$B$1,wallet_records!$N:$N,'EEFF 2023'!AL$2,wallet_records!$H:$H,'EEFF 2023'!$B32)</f>
        <v>0</v>
      </c>
      <c r="AM32" s="116"/>
      <c r="AN32" s="116"/>
      <c r="AO32" s="116"/>
      <c r="AP32" s="116"/>
      <c r="AQ32" s="116"/>
      <c r="AS32" s="115">
        <f>SUMIFS(wallet_records!$D:$D,wallet_records!$B:$B,'EEFF 2023'!$C32,wallet_records!$O:$O,'EEFF 2023'!$B$1,wallet_records!$N:$N,'EEFF 2023'!AS$2,wallet_records!$H:$H,'EEFF 2023'!$B32)</f>
        <v>0</v>
      </c>
      <c r="AT32" s="116"/>
      <c r="AU32" s="116"/>
      <c r="AV32" s="116"/>
      <c r="AW32" s="116"/>
      <c r="AX32" s="116"/>
      <c r="AZ32" s="115">
        <f>SUMIFS(wallet_records!$D:$D,wallet_records!$B:$B,'EEFF 2023'!$C32,wallet_records!$O:$O,'EEFF 2023'!$B$1,wallet_records!$N:$N,'EEFF 2023'!AZ$2,wallet_records!$H:$H,'EEFF 2023'!$B32)</f>
        <v>0</v>
      </c>
      <c r="BA32" s="116"/>
      <c r="BB32" s="116"/>
      <c r="BC32" s="116"/>
      <c r="BD32" s="116"/>
      <c r="BE32" s="116"/>
      <c r="BG32" s="115">
        <f>SUMIFS(wallet_records!$D:$D,wallet_records!$B:$B,'EEFF 2023'!$C32,wallet_records!$O:$O,'EEFF 2023'!$B$1,wallet_records!$N:$N,'EEFF 2023'!BG$2,wallet_records!$H:$H,'EEFF 2023'!$B32)</f>
        <v>0</v>
      </c>
      <c r="BH32" s="116"/>
      <c r="BI32" s="116"/>
      <c r="BJ32" s="116"/>
      <c r="BK32" s="116"/>
      <c r="BL32" s="116"/>
      <c r="BN32" s="115">
        <f>SUMIFS(wallet_records!$D:$D,wallet_records!$B:$B,'EEFF 2023'!$C32,wallet_records!$O:$O,'EEFF 2023'!$B$1,wallet_records!$N:$N,'EEFF 2023'!BN$2,wallet_records!$H:$H,'EEFF 2023'!$B32)</f>
        <v>0</v>
      </c>
      <c r="BO32" s="116"/>
      <c r="BP32" s="116"/>
      <c r="BQ32" s="116"/>
      <c r="BR32" s="116"/>
      <c r="BS32" s="116"/>
      <c r="BU32" s="115">
        <f>SUMIFS(wallet_records!$D:$D,wallet_records!$B:$B,'EEFF 2023'!$C32,wallet_records!$O:$O,'EEFF 2023'!$B$1,wallet_records!$N:$N,'EEFF 2023'!BU$2,wallet_records!$H:$H,'EEFF 2023'!$B32)</f>
        <v>0</v>
      </c>
      <c r="BV32" s="116"/>
      <c r="BW32" s="116"/>
      <c r="BX32" s="116"/>
      <c r="BY32" s="116"/>
      <c r="BZ32" s="116"/>
      <c r="CB32" s="115">
        <f>SUMIFS(wallet_records!$D:$D,wallet_records!$B:$B,'EEFF 2023'!$C32,wallet_records!$O:$O,'EEFF 2023'!$B$1,wallet_records!$N:$N,'EEFF 2023'!CB$2,wallet_records!$H:$H,'EEFF 2023'!$B32)</f>
        <v>0</v>
      </c>
      <c r="CC32" s="116"/>
      <c r="CD32" s="116"/>
      <c r="CE32" s="116"/>
      <c r="CF32" s="116"/>
      <c r="CG32" s="116"/>
      <c r="CI32" s="115">
        <f>SUMIFS(wallet_records!$D:$D,wallet_records!$B:$B,'EEFF 2023'!$C32,wallet_records!$O:$O,'EEFF 2023'!$B$1,wallet_records!$N:$N,'EEFF 2023'!CI$2,wallet_records!$H:$H,'EEFF 2023'!$B32)</f>
        <v>0</v>
      </c>
      <c r="CJ32" s="116"/>
      <c r="CK32" s="116"/>
      <c r="CL32" s="116"/>
      <c r="CM32" s="116"/>
      <c r="CN32" s="116"/>
      <c r="CP32" s="115">
        <f>SUMIFS(wallet_records!$D:$D,wallet_records!$B:$B,'EEFF 2023'!$C32,wallet_records!$O:$O,'EEFF 2023'!$B$1,wallet_records!$H:$H,'EEFF 2023'!$B32)</f>
        <v>0</v>
      </c>
      <c r="CQ32" s="107"/>
      <c r="CR32" s="118">
        <f t="shared" si="29"/>
        <v>0</v>
      </c>
      <c r="CS32" s="118">
        <f t="shared" si="1"/>
        <v>0</v>
      </c>
      <c r="CT32" s="118">
        <f t="shared" si="2"/>
        <v>0</v>
      </c>
      <c r="CU32" s="118">
        <f t="shared" si="3"/>
        <v>0</v>
      </c>
      <c r="CV32" s="118">
        <f t="shared" si="4"/>
        <v>0</v>
      </c>
      <c r="CW32" s="118">
        <f t="shared" si="5"/>
        <v>0</v>
      </c>
      <c r="CX32" s="118">
        <f t="shared" si="6"/>
        <v>0</v>
      </c>
      <c r="CY32" s="118">
        <f t="shared" si="7"/>
        <v>0</v>
      </c>
      <c r="CZ32" s="118">
        <f t="shared" si="8"/>
        <v>0</v>
      </c>
      <c r="DA32" s="118">
        <f t="shared" si="9"/>
        <v>0</v>
      </c>
      <c r="DB32" s="118">
        <f t="shared" si="10"/>
        <v>0</v>
      </c>
      <c r="DC32" s="118">
        <f t="shared" si="11"/>
        <v>0</v>
      </c>
    </row>
    <row r="33" spans="2:107" x14ac:dyDescent="0.2">
      <c r="B33" s="10" t="s">
        <v>173</v>
      </c>
      <c r="C33" s="191" t="s">
        <v>172</v>
      </c>
      <c r="D33" s="115"/>
      <c r="E33" s="115"/>
      <c r="F33" s="115"/>
      <c r="G33" s="116"/>
      <c r="H33" s="116"/>
      <c r="I33" s="116"/>
      <c r="J33" s="115">
        <f>SUMIFS(wallet_records!$D:$D,wallet_records!$B:$B,'EEFF 2023'!$C33,wallet_records!$O:$O,'EEFF 2023'!$B$1,wallet_records!$N:$N,'EEFF 2023'!J$2,wallet_records!$H:$H,'EEFF 2023'!$B33)</f>
        <v>0</v>
      </c>
      <c r="K33" s="115"/>
      <c r="L33" s="115"/>
      <c r="M33" s="115"/>
      <c r="N33" s="116"/>
      <c r="O33" s="116"/>
      <c r="P33" s="116"/>
      <c r="Q33" s="115">
        <f>SUMIFS(wallet_records!$D:$D,wallet_records!$B:$B,'EEFF 2023'!$C33,wallet_records!$O:$O,'EEFF 2023'!$B$1,wallet_records!$N:$N,'EEFF 2023'!Q$2,wallet_records!$H:$H,'EEFF 2023'!$B33)</f>
        <v>0</v>
      </c>
      <c r="R33" s="116"/>
      <c r="S33" s="116"/>
      <c r="T33" s="116"/>
      <c r="U33" s="116"/>
      <c r="V33" s="116"/>
      <c r="X33" s="115">
        <f>SUMIFS(wallet_records!$D:$D,wallet_records!$B:$B,'EEFF 2023'!$C33,wallet_records!$O:$O,'EEFF 2023'!$B$1,wallet_records!$N:$N,'EEFF 2023'!X$2,wallet_records!$H:$H,'EEFF 2023'!$B33)</f>
        <v>0</v>
      </c>
      <c r="Y33" s="116"/>
      <c r="Z33" s="116"/>
      <c r="AA33" s="116"/>
      <c r="AB33" s="116"/>
      <c r="AC33" s="116"/>
      <c r="AE33" s="115">
        <f>SUMIFS(wallet_records!$D:$D,wallet_records!$B:$B,'EEFF 2023'!$C33,wallet_records!$O:$O,'EEFF 2023'!$B$1,wallet_records!$N:$N,'EEFF 2023'!AE$2,wallet_records!$H:$H,'EEFF 2023'!$B33)</f>
        <v>0</v>
      </c>
      <c r="AF33" s="116"/>
      <c r="AG33" s="116"/>
      <c r="AH33" s="116"/>
      <c r="AI33" s="116"/>
      <c r="AJ33" s="116"/>
      <c r="AL33" s="115">
        <f>SUMIFS(wallet_records!$D:$D,wallet_records!$B:$B,'EEFF 2023'!$C33,wallet_records!$O:$O,'EEFF 2023'!$B$1,wallet_records!$N:$N,'EEFF 2023'!AL$2,wallet_records!$H:$H,'EEFF 2023'!$B33)</f>
        <v>0</v>
      </c>
      <c r="AM33" s="116"/>
      <c r="AN33" s="116"/>
      <c r="AO33" s="116"/>
      <c r="AP33" s="116"/>
      <c r="AQ33" s="116"/>
      <c r="AS33" s="115">
        <f>SUMIFS(wallet_records!$D:$D,wallet_records!$B:$B,'EEFF 2023'!$C33,wallet_records!$O:$O,'EEFF 2023'!$B$1,wallet_records!$N:$N,'EEFF 2023'!AS$2,wallet_records!$H:$H,'EEFF 2023'!$B33)</f>
        <v>0</v>
      </c>
      <c r="AT33" s="116"/>
      <c r="AU33" s="116"/>
      <c r="AV33" s="116"/>
      <c r="AW33" s="116"/>
      <c r="AX33" s="116"/>
      <c r="AZ33" s="115">
        <f>SUMIFS(wallet_records!$D:$D,wallet_records!$B:$B,'EEFF 2023'!$C33,wallet_records!$O:$O,'EEFF 2023'!$B$1,wallet_records!$N:$N,'EEFF 2023'!AZ$2,wallet_records!$H:$H,'EEFF 2023'!$B33)</f>
        <v>0</v>
      </c>
      <c r="BA33" s="116"/>
      <c r="BB33" s="116"/>
      <c r="BC33" s="116"/>
      <c r="BD33" s="116"/>
      <c r="BE33" s="116"/>
      <c r="BG33" s="115">
        <f>SUMIFS(wallet_records!$D:$D,wallet_records!$B:$B,'EEFF 2023'!$C33,wallet_records!$O:$O,'EEFF 2023'!$B$1,wallet_records!$N:$N,'EEFF 2023'!BG$2,wallet_records!$H:$H,'EEFF 2023'!$B33)</f>
        <v>0</v>
      </c>
      <c r="BH33" s="116"/>
      <c r="BI33" s="116"/>
      <c r="BJ33" s="116"/>
      <c r="BK33" s="116"/>
      <c r="BL33" s="116"/>
      <c r="BN33" s="115">
        <f>SUMIFS(wallet_records!$D:$D,wallet_records!$B:$B,'EEFF 2023'!$C33,wallet_records!$O:$O,'EEFF 2023'!$B$1,wallet_records!$N:$N,'EEFF 2023'!BN$2,wallet_records!$H:$H,'EEFF 2023'!$B33)</f>
        <v>0</v>
      </c>
      <c r="BO33" s="116"/>
      <c r="BP33" s="116"/>
      <c r="BQ33" s="116"/>
      <c r="BR33" s="116"/>
      <c r="BS33" s="116"/>
      <c r="BU33" s="115">
        <f>SUMIFS(wallet_records!$D:$D,wallet_records!$B:$B,'EEFF 2023'!$C33,wallet_records!$O:$O,'EEFF 2023'!$B$1,wallet_records!$N:$N,'EEFF 2023'!BU$2,wallet_records!$H:$H,'EEFF 2023'!$B33)</f>
        <v>0</v>
      </c>
      <c r="BV33" s="116"/>
      <c r="BW33" s="116"/>
      <c r="BX33" s="116"/>
      <c r="BY33" s="116"/>
      <c r="BZ33" s="116"/>
      <c r="CB33" s="115">
        <f>SUMIFS(wallet_records!$D:$D,wallet_records!$B:$B,'EEFF 2023'!$C33,wallet_records!$O:$O,'EEFF 2023'!$B$1,wallet_records!$N:$N,'EEFF 2023'!CB$2,wallet_records!$H:$H,'EEFF 2023'!$B33)</f>
        <v>0</v>
      </c>
      <c r="CC33" s="116"/>
      <c r="CD33" s="116"/>
      <c r="CE33" s="116"/>
      <c r="CF33" s="116"/>
      <c r="CG33" s="116"/>
      <c r="CI33" s="115">
        <f>SUMIFS(wallet_records!$D:$D,wallet_records!$B:$B,'EEFF 2023'!$C33,wallet_records!$O:$O,'EEFF 2023'!$B$1,wallet_records!$N:$N,'EEFF 2023'!CI$2,wallet_records!$H:$H,'EEFF 2023'!$B33)</f>
        <v>0</v>
      </c>
      <c r="CJ33" s="116"/>
      <c r="CK33" s="116"/>
      <c r="CL33" s="116"/>
      <c r="CM33" s="116"/>
      <c r="CN33" s="116"/>
      <c r="CP33" s="115">
        <f>SUMIFS(wallet_records!$D:$D,wallet_records!$B:$B,'EEFF 2023'!$C33,wallet_records!$O:$O,'EEFF 2023'!$B$1,wallet_records!$H:$H,'EEFF 2023'!$B33)</f>
        <v>0</v>
      </c>
      <c r="CQ33" s="107"/>
      <c r="CR33" s="118">
        <f t="shared" si="29"/>
        <v>0</v>
      </c>
      <c r="CS33" s="118">
        <f t="shared" si="1"/>
        <v>0</v>
      </c>
      <c r="CT33" s="118">
        <f t="shared" si="2"/>
        <v>0</v>
      </c>
      <c r="CU33" s="118">
        <f t="shared" si="3"/>
        <v>0</v>
      </c>
      <c r="CV33" s="118">
        <f t="shared" si="4"/>
        <v>0</v>
      </c>
      <c r="CW33" s="118">
        <f t="shared" si="5"/>
        <v>0</v>
      </c>
      <c r="CX33" s="118">
        <f t="shared" si="6"/>
        <v>0</v>
      </c>
      <c r="CY33" s="118">
        <f t="shared" si="7"/>
        <v>0</v>
      </c>
      <c r="CZ33" s="118">
        <f t="shared" si="8"/>
        <v>0</v>
      </c>
      <c r="DA33" s="118">
        <f t="shared" si="9"/>
        <v>0</v>
      </c>
      <c r="DB33" s="118">
        <f t="shared" si="10"/>
        <v>0</v>
      </c>
      <c r="DC33" s="118">
        <f t="shared" si="11"/>
        <v>0</v>
      </c>
    </row>
    <row r="34" spans="2:107" x14ac:dyDescent="0.2">
      <c r="B34" s="10" t="s">
        <v>174</v>
      </c>
      <c r="C34" s="191" t="s">
        <v>172</v>
      </c>
      <c r="D34" s="115"/>
      <c r="E34" s="115"/>
      <c r="F34" s="115"/>
      <c r="G34" s="116"/>
      <c r="H34" s="116"/>
      <c r="I34" s="116"/>
      <c r="J34" s="115">
        <f>SUMIFS(wallet_records!$D:$D,wallet_records!$B:$B,'EEFF 2023'!$C34,wallet_records!$O:$O,'EEFF 2023'!$B$1,wallet_records!$N:$N,'EEFF 2023'!J$2,wallet_records!$H:$H,'EEFF 2023'!$B34)</f>
        <v>0</v>
      </c>
      <c r="K34" s="115"/>
      <c r="L34" s="115"/>
      <c r="M34" s="115"/>
      <c r="N34" s="116"/>
      <c r="O34" s="116"/>
      <c r="P34" s="116"/>
      <c r="Q34" s="115">
        <f>SUMIFS(wallet_records!$D:$D,wallet_records!$B:$B,'EEFF 2023'!$C34,wallet_records!$O:$O,'EEFF 2023'!$B$1,wallet_records!$N:$N,'EEFF 2023'!Q$2,wallet_records!$H:$H,'EEFF 2023'!$B34)</f>
        <v>0</v>
      </c>
      <c r="R34" s="116"/>
      <c r="S34" s="116"/>
      <c r="T34" s="116"/>
      <c r="U34" s="116"/>
      <c r="V34" s="116"/>
      <c r="X34" s="115">
        <f>SUMIFS(wallet_records!$D:$D,wallet_records!$B:$B,'EEFF 2023'!$C34,wallet_records!$O:$O,'EEFF 2023'!$B$1,wallet_records!$N:$N,'EEFF 2023'!X$2,wallet_records!$H:$H,'EEFF 2023'!$B34)</f>
        <v>0</v>
      </c>
      <c r="Y34" s="116"/>
      <c r="Z34" s="116"/>
      <c r="AA34" s="116"/>
      <c r="AB34" s="116"/>
      <c r="AC34" s="116"/>
      <c r="AE34" s="115">
        <f>SUMIFS(wallet_records!$D:$D,wallet_records!$B:$B,'EEFF 2023'!$C34,wallet_records!$O:$O,'EEFF 2023'!$B$1,wallet_records!$N:$N,'EEFF 2023'!AE$2,wallet_records!$H:$H,'EEFF 2023'!$B34)</f>
        <v>0</v>
      </c>
      <c r="AF34" s="116"/>
      <c r="AG34" s="116"/>
      <c r="AH34" s="116"/>
      <c r="AI34" s="116"/>
      <c r="AJ34" s="116"/>
      <c r="AL34" s="115">
        <f>SUMIFS(wallet_records!$D:$D,wallet_records!$B:$B,'EEFF 2023'!$C34,wallet_records!$O:$O,'EEFF 2023'!$B$1,wallet_records!$N:$N,'EEFF 2023'!AL$2,wallet_records!$H:$H,'EEFF 2023'!$B34)</f>
        <v>0</v>
      </c>
      <c r="AM34" s="116"/>
      <c r="AN34" s="116"/>
      <c r="AO34" s="116"/>
      <c r="AP34" s="116"/>
      <c r="AQ34" s="116"/>
      <c r="AS34" s="115">
        <f>SUMIFS(wallet_records!$D:$D,wallet_records!$B:$B,'EEFF 2023'!$C34,wallet_records!$O:$O,'EEFF 2023'!$B$1,wallet_records!$N:$N,'EEFF 2023'!AS$2,wallet_records!$H:$H,'EEFF 2023'!$B34)</f>
        <v>0</v>
      </c>
      <c r="AT34" s="116"/>
      <c r="AU34" s="116"/>
      <c r="AV34" s="116"/>
      <c r="AW34" s="116"/>
      <c r="AX34" s="116"/>
      <c r="AZ34" s="115">
        <f>SUMIFS(wallet_records!$D:$D,wallet_records!$B:$B,'EEFF 2023'!$C34,wallet_records!$O:$O,'EEFF 2023'!$B$1,wallet_records!$N:$N,'EEFF 2023'!AZ$2,wallet_records!$H:$H,'EEFF 2023'!$B34)</f>
        <v>0</v>
      </c>
      <c r="BA34" s="116"/>
      <c r="BB34" s="116"/>
      <c r="BC34" s="116"/>
      <c r="BD34" s="116"/>
      <c r="BE34" s="116"/>
      <c r="BG34" s="115">
        <f>SUMIFS(wallet_records!$D:$D,wallet_records!$B:$B,'EEFF 2023'!$C34,wallet_records!$O:$O,'EEFF 2023'!$B$1,wallet_records!$N:$N,'EEFF 2023'!BG$2,wallet_records!$H:$H,'EEFF 2023'!$B34)</f>
        <v>0</v>
      </c>
      <c r="BH34" s="116"/>
      <c r="BI34" s="116"/>
      <c r="BJ34" s="116"/>
      <c r="BK34" s="116"/>
      <c r="BL34" s="116"/>
      <c r="BN34" s="115">
        <f>SUMIFS(wallet_records!$D:$D,wallet_records!$B:$B,'EEFF 2023'!$C34,wallet_records!$O:$O,'EEFF 2023'!$B$1,wallet_records!$N:$N,'EEFF 2023'!BN$2,wallet_records!$H:$H,'EEFF 2023'!$B34)</f>
        <v>0</v>
      </c>
      <c r="BO34" s="116"/>
      <c r="BP34" s="116"/>
      <c r="BQ34" s="116"/>
      <c r="BR34" s="116"/>
      <c r="BS34" s="116"/>
      <c r="BU34" s="115">
        <f>SUMIFS(wallet_records!$D:$D,wallet_records!$B:$B,'EEFF 2023'!$C34,wallet_records!$O:$O,'EEFF 2023'!$B$1,wallet_records!$N:$N,'EEFF 2023'!BU$2,wallet_records!$H:$H,'EEFF 2023'!$B34)</f>
        <v>0</v>
      </c>
      <c r="BV34" s="116"/>
      <c r="BW34" s="116"/>
      <c r="BX34" s="116"/>
      <c r="BY34" s="116"/>
      <c r="BZ34" s="116"/>
      <c r="CB34" s="115">
        <f>SUMIFS(wallet_records!$D:$D,wallet_records!$B:$B,'EEFF 2023'!$C34,wallet_records!$O:$O,'EEFF 2023'!$B$1,wallet_records!$N:$N,'EEFF 2023'!CB$2,wallet_records!$H:$H,'EEFF 2023'!$B34)</f>
        <v>0</v>
      </c>
      <c r="CC34" s="116"/>
      <c r="CD34" s="116"/>
      <c r="CE34" s="116"/>
      <c r="CF34" s="116"/>
      <c r="CG34" s="116"/>
      <c r="CI34" s="115">
        <f>SUMIFS(wallet_records!$D:$D,wallet_records!$B:$B,'EEFF 2023'!$C34,wallet_records!$O:$O,'EEFF 2023'!$B$1,wallet_records!$N:$N,'EEFF 2023'!CI$2,wallet_records!$H:$H,'EEFF 2023'!$B34)</f>
        <v>0</v>
      </c>
      <c r="CJ34" s="116"/>
      <c r="CK34" s="116"/>
      <c r="CL34" s="116"/>
      <c r="CM34" s="116"/>
      <c r="CN34" s="116"/>
      <c r="CP34" s="115">
        <f>SUMIFS(wallet_records!$D:$D,wallet_records!$B:$B,'EEFF 2023'!$C34,wallet_records!$O:$O,'EEFF 2023'!$B$1,wallet_records!$H:$H,'EEFF 2023'!$B34)</f>
        <v>0</v>
      </c>
      <c r="CQ34" s="107"/>
      <c r="CR34" s="118">
        <f t="shared" si="29"/>
        <v>0</v>
      </c>
      <c r="CS34" s="118">
        <f t="shared" si="1"/>
        <v>0</v>
      </c>
      <c r="CT34" s="118">
        <f t="shared" si="2"/>
        <v>0</v>
      </c>
      <c r="CU34" s="118">
        <f t="shared" si="3"/>
        <v>0</v>
      </c>
      <c r="CV34" s="118">
        <f t="shared" si="4"/>
        <v>0</v>
      </c>
      <c r="CW34" s="118">
        <f t="shared" si="5"/>
        <v>0</v>
      </c>
      <c r="CX34" s="118">
        <f t="shared" si="6"/>
        <v>0</v>
      </c>
      <c r="CY34" s="118">
        <f t="shared" si="7"/>
        <v>0</v>
      </c>
      <c r="CZ34" s="118">
        <f t="shared" si="8"/>
        <v>0</v>
      </c>
      <c r="DA34" s="118">
        <f t="shared" si="9"/>
        <v>0</v>
      </c>
      <c r="DB34" s="118">
        <f t="shared" si="10"/>
        <v>0</v>
      </c>
      <c r="DC34" s="118">
        <f t="shared" si="11"/>
        <v>0</v>
      </c>
    </row>
    <row r="35" spans="2:107" x14ac:dyDescent="0.2">
      <c r="B35" s="10" t="s">
        <v>94</v>
      </c>
      <c r="C35" s="191" t="s">
        <v>136</v>
      </c>
      <c r="D35" s="115"/>
      <c r="E35" s="115"/>
      <c r="F35" s="115"/>
      <c r="G35" s="116"/>
      <c r="H35" s="116"/>
      <c r="I35" s="116"/>
      <c r="J35" s="115">
        <f>SUMIFS(wallet_records!$D:$D,wallet_records!$B:$B,'EEFF 2023'!$C35,wallet_records!$O:$O,'EEFF 2023'!$B$1,wallet_records!$N:$N,'EEFF 2023'!J$2,wallet_records!$H:$H,'EEFF 2023'!$B35)</f>
        <v>0</v>
      </c>
      <c r="K35" s="115"/>
      <c r="L35" s="115"/>
      <c r="M35" s="115"/>
      <c r="N35" s="116"/>
      <c r="O35" s="116"/>
      <c r="P35" s="116"/>
      <c r="Q35" s="115">
        <f>SUMIFS(wallet_records!$D:$D,wallet_records!$B:$B,'EEFF 2023'!$C35,wallet_records!$O:$O,'EEFF 2023'!$B$1,wallet_records!$N:$N,'EEFF 2023'!Q$2,wallet_records!$H:$H,'EEFF 2023'!$B35)</f>
        <v>0</v>
      </c>
      <c r="R35" s="116"/>
      <c r="S35" s="116"/>
      <c r="T35" s="116"/>
      <c r="U35" s="116"/>
      <c r="V35" s="116"/>
      <c r="X35" s="115">
        <f>SUMIFS(wallet_records!$D:$D,wallet_records!$B:$B,'EEFF 2023'!$C35,wallet_records!$O:$O,'EEFF 2023'!$B$1,wallet_records!$N:$N,'EEFF 2023'!X$2,wallet_records!$H:$H,'EEFF 2023'!$B35)</f>
        <v>0</v>
      </c>
      <c r="Y35" s="116"/>
      <c r="Z35" s="116"/>
      <c r="AA35" s="116"/>
      <c r="AB35" s="116"/>
      <c r="AC35" s="116"/>
      <c r="AE35" s="115">
        <f>SUMIFS(wallet_records!$D:$D,wallet_records!$B:$B,'EEFF 2023'!$C35,wallet_records!$O:$O,'EEFF 2023'!$B$1,wallet_records!$N:$N,'EEFF 2023'!AE$2,wallet_records!$H:$H,'EEFF 2023'!$B35)</f>
        <v>0</v>
      </c>
      <c r="AF35" s="116"/>
      <c r="AG35" s="116"/>
      <c r="AH35" s="116"/>
      <c r="AI35" s="116"/>
      <c r="AJ35" s="116"/>
      <c r="AL35" s="115">
        <f>SUMIFS(wallet_records!$D:$D,wallet_records!$B:$B,'EEFF 2023'!$C35,wallet_records!$O:$O,'EEFF 2023'!$B$1,wallet_records!$N:$N,'EEFF 2023'!AL$2,wallet_records!$H:$H,'EEFF 2023'!$B35)</f>
        <v>0</v>
      </c>
      <c r="AM35" s="116"/>
      <c r="AN35" s="116"/>
      <c r="AO35" s="116"/>
      <c r="AP35" s="116"/>
      <c r="AQ35" s="116"/>
      <c r="AS35" s="115">
        <f>SUMIFS(wallet_records!$D:$D,wallet_records!$B:$B,'EEFF 2023'!$C35,wallet_records!$O:$O,'EEFF 2023'!$B$1,wallet_records!$N:$N,'EEFF 2023'!AS$2,wallet_records!$H:$H,'EEFF 2023'!$B35)</f>
        <v>0</v>
      </c>
      <c r="AT35" s="116"/>
      <c r="AU35" s="116"/>
      <c r="AV35" s="116"/>
      <c r="AW35" s="116"/>
      <c r="AX35" s="116"/>
      <c r="AZ35" s="115">
        <f>SUMIFS(wallet_records!$D:$D,wallet_records!$B:$B,'EEFF 2023'!$C35,wallet_records!$O:$O,'EEFF 2023'!$B$1,wallet_records!$N:$N,'EEFF 2023'!AZ$2,wallet_records!$H:$H,'EEFF 2023'!$B35)</f>
        <v>0</v>
      </c>
      <c r="BA35" s="116"/>
      <c r="BB35" s="116"/>
      <c r="BC35" s="116"/>
      <c r="BD35" s="116"/>
      <c r="BE35" s="116"/>
      <c r="BG35" s="115">
        <f>SUMIFS(wallet_records!$D:$D,wallet_records!$B:$B,'EEFF 2023'!$C35,wallet_records!$O:$O,'EEFF 2023'!$B$1,wallet_records!$N:$N,'EEFF 2023'!BG$2,wallet_records!$H:$H,'EEFF 2023'!$B35)</f>
        <v>0</v>
      </c>
      <c r="BH35" s="116"/>
      <c r="BI35" s="116"/>
      <c r="BJ35" s="116"/>
      <c r="BK35" s="116"/>
      <c r="BL35" s="116"/>
      <c r="BN35" s="115">
        <f>SUMIFS(wallet_records!$D:$D,wallet_records!$B:$B,'EEFF 2023'!$C35,wallet_records!$O:$O,'EEFF 2023'!$B$1,wallet_records!$N:$N,'EEFF 2023'!BN$2,wallet_records!$H:$H,'EEFF 2023'!$B35)</f>
        <v>0</v>
      </c>
      <c r="BO35" s="116"/>
      <c r="BP35" s="116"/>
      <c r="BQ35" s="116"/>
      <c r="BR35" s="116"/>
      <c r="BS35" s="116"/>
      <c r="BU35" s="115">
        <f>SUMIFS(wallet_records!$D:$D,wallet_records!$B:$B,'EEFF 2023'!$C35,wallet_records!$O:$O,'EEFF 2023'!$B$1,wallet_records!$N:$N,'EEFF 2023'!BU$2,wallet_records!$H:$H,'EEFF 2023'!$B35)</f>
        <v>0</v>
      </c>
      <c r="BV35" s="116"/>
      <c r="BW35" s="116"/>
      <c r="BX35" s="116"/>
      <c r="BY35" s="116"/>
      <c r="BZ35" s="116"/>
      <c r="CB35" s="115">
        <f>SUMIFS(wallet_records!$D:$D,wallet_records!$B:$B,'EEFF 2023'!$C35,wallet_records!$O:$O,'EEFF 2023'!$B$1,wallet_records!$N:$N,'EEFF 2023'!CB$2,wallet_records!$H:$H,'EEFF 2023'!$B35)</f>
        <v>0</v>
      </c>
      <c r="CC35" s="116"/>
      <c r="CD35" s="116"/>
      <c r="CE35" s="116"/>
      <c r="CF35" s="116"/>
      <c r="CG35" s="116"/>
      <c r="CI35" s="115">
        <f>SUMIFS(wallet_records!$D:$D,wallet_records!$B:$B,'EEFF 2023'!$C35,wallet_records!$O:$O,'EEFF 2023'!$B$1,wallet_records!$N:$N,'EEFF 2023'!CI$2,wallet_records!$H:$H,'EEFF 2023'!$B35)</f>
        <v>0</v>
      </c>
      <c r="CJ35" s="116"/>
      <c r="CK35" s="116"/>
      <c r="CL35" s="116"/>
      <c r="CM35" s="116"/>
      <c r="CN35" s="116"/>
      <c r="CP35" s="115">
        <f>SUMIFS(wallet_records!$D:$D,wallet_records!$B:$B,'EEFF 2023'!$C35,wallet_records!$O:$O,'EEFF 2023'!$B$1,wallet_records!$H:$H,'EEFF 2023'!$B35)</f>
        <v>0</v>
      </c>
      <c r="CQ35" s="107"/>
      <c r="CR35" s="118">
        <f t="shared" si="29"/>
        <v>0</v>
      </c>
      <c r="CS35" s="118">
        <f t="shared" si="1"/>
        <v>0</v>
      </c>
      <c r="CT35" s="118">
        <f t="shared" si="2"/>
        <v>0</v>
      </c>
      <c r="CU35" s="118">
        <f t="shared" si="3"/>
        <v>0</v>
      </c>
      <c r="CV35" s="118">
        <f t="shared" si="4"/>
        <v>0</v>
      </c>
      <c r="CW35" s="118">
        <f t="shared" si="5"/>
        <v>0</v>
      </c>
      <c r="CX35" s="118">
        <f t="shared" si="6"/>
        <v>0</v>
      </c>
      <c r="CY35" s="118">
        <f t="shared" si="7"/>
        <v>0</v>
      </c>
      <c r="CZ35" s="118">
        <f t="shared" si="8"/>
        <v>0</v>
      </c>
      <c r="DA35" s="118">
        <f t="shared" si="9"/>
        <v>0</v>
      </c>
      <c r="DB35" s="118">
        <f t="shared" si="10"/>
        <v>0</v>
      </c>
      <c r="DC35" s="118">
        <f t="shared" si="11"/>
        <v>0</v>
      </c>
    </row>
    <row r="36" spans="2:107" x14ac:dyDescent="0.2">
      <c r="B36" s="10" t="s">
        <v>95</v>
      </c>
      <c r="C36" s="191" t="s">
        <v>136</v>
      </c>
      <c r="D36" s="115"/>
      <c r="E36" s="115"/>
      <c r="F36" s="115"/>
      <c r="G36" s="116"/>
      <c r="H36" s="116"/>
      <c r="I36" s="116"/>
      <c r="J36" s="115">
        <f>SUMIFS(wallet_records!$D:$D,wallet_records!$B:$B,'EEFF 2023'!$C36,wallet_records!$O:$O,'EEFF 2023'!$B$1,wallet_records!$N:$N,'EEFF 2023'!J$2,wallet_records!$H:$H,'EEFF 2023'!$B36)</f>
        <v>0</v>
      </c>
      <c r="K36" s="115"/>
      <c r="L36" s="115"/>
      <c r="M36" s="115"/>
      <c r="N36" s="116"/>
      <c r="O36" s="116"/>
      <c r="P36" s="116"/>
      <c r="Q36" s="115">
        <f>SUMIFS(wallet_records!$D:$D,wallet_records!$B:$B,'EEFF 2023'!$C36,wallet_records!$O:$O,'EEFF 2023'!$B$1,wallet_records!$N:$N,'EEFF 2023'!Q$2,wallet_records!$H:$H,'EEFF 2023'!$B36)</f>
        <v>0</v>
      </c>
      <c r="R36" s="116"/>
      <c r="S36" s="116"/>
      <c r="T36" s="116"/>
      <c r="U36" s="116"/>
      <c r="V36" s="116"/>
      <c r="X36" s="115">
        <f>SUMIFS(wallet_records!$D:$D,wallet_records!$B:$B,'EEFF 2023'!$C36,wallet_records!$O:$O,'EEFF 2023'!$B$1,wallet_records!$N:$N,'EEFF 2023'!X$2,wallet_records!$H:$H,'EEFF 2023'!$B36)</f>
        <v>0</v>
      </c>
      <c r="Y36" s="116"/>
      <c r="Z36" s="116"/>
      <c r="AA36" s="116"/>
      <c r="AB36" s="116"/>
      <c r="AC36" s="116"/>
      <c r="AE36" s="115">
        <f>SUMIFS(wallet_records!$D:$D,wallet_records!$B:$B,'EEFF 2023'!$C36,wallet_records!$O:$O,'EEFF 2023'!$B$1,wallet_records!$N:$N,'EEFF 2023'!AE$2,wallet_records!$H:$H,'EEFF 2023'!$B36)</f>
        <v>0</v>
      </c>
      <c r="AF36" s="116"/>
      <c r="AG36" s="116"/>
      <c r="AH36" s="116"/>
      <c r="AI36" s="116"/>
      <c r="AJ36" s="116"/>
      <c r="AL36" s="115">
        <f>SUMIFS(wallet_records!$D:$D,wallet_records!$B:$B,'EEFF 2023'!$C36,wallet_records!$O:$O,'EEFF 2023'!$B$1,wallet_records!$N:$N,'EEFF 2023'!AL$2,wallet_records!$H:$H,'EEFF 2023'!$B36)</f>
        <v>0</v>
      </c>
      <c r="AM36" s="116"/>
      <c r="AN36" s="116"/>
      <c r="AO36" s="116"/>
      <c r="AP36" s="116"/>
      <c r="AQ36" s="116"/>
      <c r="AS36" s="115">
        <f>SUMIFS(wallet_records!$D:$D,wallet_records!$B:$B,'EEFF 2023'!$C36,wallet_records!$O:$O,'EEFF 2023'!$B$1,wallet_records!$N:$N,'EEFF 2023'!AS$2,wallet_records!$H:$H,'EEFF 2023'!$B36)</f>
        <v>0</v>
      </c>
      <c r="AT36" s="116"/>
      <c r="AU36" s="116"/>
      <c r="AV36" s="116"/>
      <c r="AW36" s="116"/>
      <c r="AX36" s="116"/>
      <c r="AZ36" s="115">
        <f>SUMIFS(wallet_records!$D:$D,wallet_records!$B:$B,'EEFF 2023'!$C36,wallet_records!$O:$O,'EEFF 2023'!$B$1,wallet_records!$N:$N,'EEFF 2023'!AZ$2,wallet_records!$H:$H,'EEFF 2023'!$B36)</f>
        <v>0</v>
      </c>
      <c r="BA36" s="116"/>
      <c r="BB36" s="116"/>
      <c r="BC36" s="116"/>
      <c r="BD36" s="116"/>
      <c r="BE36" s="116"/>
      <c r="BG36" s="115">
        <f>SUMIFS(wallet_records!$D:$D,wallet_records!$B:$B,'EEFF 2023'!$C36,wallet_records!$O:$O,'EEFF 2023'!$B$1,wallet_records!$N:$N,'EEFF 2023'!BG$2,wallet_records!$H:$H,'EEFF 2023'!$B36)</f>
        <v>0</v>
      </c>
      <c r="BH36" s="116"/>
      <c r="BI36" s="116"/>
      <c r="BJ36" s="116"/>
      <c r="BK36" s="116"/>
      <c r="BL36" s="116"/>
      <c r="BN36" s="115">
        <f>SUMIFS(wallet_records!$D:$D,wallet_records!$B:$B,'EEFF 2023'!$C36,wallet_records!$O:$O,'EEFF 2023'!$B$1,wallet_records!$N:$N,'EEFF 2023'!BN$2,wallet_records!$H:$H,'EEFF 2023'!$B36)</f>
        <v>0</v>
      </c>
      <c r="BO36" s="116"/>
      <c r="BP36" s="116"/>
      <c r="BQ36" s="116"/>
      <c r="BR36" s="116"/>
      <c r="BS36" s="116"/>
      <c r="BU36" s="115">
        <f>SUMIFS(wallet_records!$D:$D,wallet_records!$B:$B,'EEFF 2023'!$C36,wallet_records!$O:$O,'EEFF 2023'!$B$1,wallet_records!$N:$N,'EEFF 2023'!BU$2,wallet_records!$H:$H,'EEFF 2023'!$B36)</f>
        <v>0</v>
      </c>
      <c r="BV36" s="116"/>
      <c r="BW36" s="116"/>
      <c r="BX36" s="116"/>
      <c r="BY36" s="116"/>
      <c r="BZ36" s="116"/>
      <c r="CB36" s="115">
        <f>SUMIFS(wallet_records!$D:$D,wallet_records!$B:$B,'EEFF 2023'!$C36,wallet_records!$O:$O,'EEFF 2023'!$B$1,wallet_records!$N:$N,'EEFF 2023'!CB$2,wallet_records!$H:$H,'EEFF 2023'!$B36)</f>
        <v>0</v>
      </c>
      <c r="CC36" s="116"/>
      <c r="CD36" s="116"/>
      <c r="CE36" s="116"/>
      <c r="CF36" s="116"/>
      <c r="CG36" s="116"/>
      <c r="CI36" s="115">
        <f>SUMIFS(wallet_records!$D:$D,wallet_records!$B:$B,'EEFF 2023'!$C36,wallet_records!$O:$O,'EEFF 2023'!$B$1,wallet_records!$N:$N,'EEFF 2023'!CI$2,wallet_records!$H:$H,'EEFF 2023'!$B36)</f>
        <v>0</v>
      </c>
      <c r="CJ36" s="116"/>
      <c r="CK36" s="116"/>
      <c r="CL36" s="116"/>
      <c r="CM36" s="116"/>
      <c r="CN36" s="116"/>
      <c r="CP36" s="115">
        <f>SUMIFS(wallet_records!$D:$D,wallet_records!$B:$B,'EEFF 2023'!$C36,wallet_records!$O:$O,'EEFF 2023'!$B$1,wallet_records!$H:$H,'EEFF 2023'!$B36)</f>
        <v>0</v>
      </c>
      <c r="CQ36" s="107"/>
      <c r="CR36" s="118">
        <f t="shared" si="29"/>
        <v>0</v>
      </c>
      <c r="CS36" s="118">
        <f t="shared" si="1"/>
        <v>0</v>
      </c>
      <c r="CT36" s="118">
        <f t="shared" si="2"/>
        <v>0</v>
      </c>
      <c r="CU36" s="118">
        <f t="shared" si="3"/>
        <v>0</v>
      </c>
      <c r="CV36" s="118">
        <f t="shared" si="4"/>
        <v>0</v>
      </c>
      <c r="CW36" s="118">
        <f t="shared" si="5"/>
        <v>0</v>
      </c>
      <c r="CX36" s="118">
        <f t="shared" si="6"/>
        <v>0</v>
      </c>
      <c r="CY36" s="118">
        <f t="shared" si="7"/>
        <v>0</v>
      </c>
      <c r="CZ36" s="118">
        <f t="shared" si="8"/>
        <v>0</v>
      </c>
      <c r="DA36" s="118">
        <f t="shared" si="9"/>
        <v>0</v>
      </c>
      <c r="DB36" s="118">
        <f t="shared" si="10"/>
        <v>0</v>
      </c>
      <c r="DC36" s="118">
        <f t="shared" si="11"/>
        <v>0</v>
      </c>
    </row>
    <row r="37" spans="2:107" x14ac:dyDescent="0.2">
      <c r="B37" s="10" t="s">
        <v>137</v>
      </c>
      <c r="C37" s="191" t="s">
        <v>136</v>
      </c>
      <c r="D37" s="115"/>
      <c r="E37" s="115"/>
      <c r="F37" s="115"/>
      <c r="G37" s="116"/>
      <c r="H37" s="116"/>
      <c r="I37" s="116"/>
      <c r="J37" s="115">
        <f>SUMIFS(wallet_records!$D:$D,wallet_records!$B:$B,'EEFF 2023'!$C37,wallet_records!$O:$O,'EEFF 2023'!$B$1,wallet_records!$N:$N,'EEFF 2023'!J$2,wallet_records!$H:$H,'EEFF 2023'!$B37)</f>
        <v>0</v>
      </c>
      <c r="K37" s="115"/>
      <c r="L37" s="115"/>
      <c r="M37" s="115"/>
      <c r="N37" s="116"/>
      <c r="O37" s="116"/>
      <c r="P37" s="116"/>
      <c r="Q37" s="115">
        <f>SUMIFS(wallet_records!$D:$D,wallet_records!$B:$B,'EEFF 2023'!$C37,wallet_records!$O:$O,'EEFF 2023'!$B$1,wallet_records!$N:$N,'EEFF 2023'!Q$2,wallet_records!$H:$H,'EEFF 2023'!$B37)</f>
        <v>0</v>
      </c>
      <c r="R37" s="116"/>
      <c r="S37" s="116"/>
      <c r="T37" s="116"/>
      <c r="U37" s="116"/>
      <c r="V37" s="116"/>
      <c r="X37" s="115">
        <f>SUMIFS(wallet_records!$D:$D,wallet_records!$B:$B,'EEFF 2023'!$C37,wallet_records!$O:$O,'EEFF 2023'!$B$1,wallet_records!$N:$N,'EEFF 2023'!X$2,wallet_records!$H:$H,'EEFF 2023'!$B37)</f>
        <v>0</v>
      </c>
      <c r="Y37" s="116"/>
      <c r="Z37" s="116"/>
      <c r="AA37" s="116"/>
      <c r="AB37" s="116"/>
      <c r="AC37" s="116"/>
      <c r="AE37" s="115">
        <f>SUMIFS(wallet_records!$D:$D,wallet_records!$B:$B,'EEFF 2023'!$C37,wallet_records!$O:$O,'EEFF 2023'!$B$1,wallet_records!$N:$N,'EEFF 2023'!AE$2,wallet_records!$H:$H,'EEFF 2023'!$B37)</f>
        <v>0</v>
      </c>
      <c r="AF37" s="116"/>
      <c r="AG37" s="116"/>
      <c r="AH37" s="116"/>
      <c r="AI37" s="116"/>
      <c r="AJ37" s="116"/>
      <c r="AL37" s="115">
        <f>SUMIFS(wallet_records!$D:$D,wallet_records!$B:$B,'EEFF 2023'!$C37,wallet_records!$O:$O,'EEFF 2023'!$B$1,wallet_records!$N:$N,'EEFF 2023'!AL$2,wallet_records!$H:$H,'EEFF 2023'!$B37)</f>
        <v>0</v>
      </c>
      <c r="AM37" s="116"/>
      <c r="AN37" s="116"/>
      <c r="AO37" s="116"/>
      <c r="AP37" s="116"/>
      <c r="AQ37" s="116"/>
      <c r="AS37" s="115">
        <f>SUMIFS(wallet_records!$D:$D,wallet_records!$B:$B,'EEFF 2023'!$C37,wallet_records!$O:$O,'EEFF 2023'!$B$1,wallet_records!$N:$N,'EEFF 2023'!AS$2,wallet_records!$H:$H,'EEFF 2023'!$B37)</f>
        <v>0</v>
      </c>
      <c r="AT37" s="116"/>
      <c r="AU37" s="116"/>
      <c r="AV37" s="116"/>
      <c r="AW37" s="116"/>
      <c r="AX37" s="116"/>
      <c r="AZ37" s="115">
        <f>SUMIFS(wallet_records!$D:$D,wallet_records!$B:$B,'EEFF 2023'!$C37,wallet_records!$O:$O,'EEFF 2023'!$B$1,wallet_records!$N:$N,'EEFF 2023'!AZ$2,wallet_records!$H:$H,'EEFF 2023'!$B37)</f>
        <v>0</v>
      </c>
      <c r="BA37" s="116"/>
      <c r="BB37" s="116"/>
      <c r="BC37" s="116"/>
      <c r="BD37" s="116"/>
      <c r="BE37" s="116"/>
      <c r="BG37" s="115">
        <f>SUMIFS(wallet_records!$D:$D,wallet_records!$B:$B,'EEFF 2023'!$C37,wallet_records!$O:$O,'EEFF 2023'!$B$1,wallet_records!$N:$N,'EEFF 2023'!BG$2,wallet_records!$H:$H,'EEFF 2023'!$B37)</f>
        <v>0</v>
      </c>
      <c r="BH37" s="116"/>
      <c r="BI37" s="116"/>
      <c r="BJ37" s="116"/>
      <c r="BK37" s="116"/>
      <c r="BL37" s="116"/>
      <c r="BN37" s="115">
        <f>SUMIFS(wallet_records!$D:$D,wallet_records!$B:$B,'EEFF 2023'!$C37,wallet_records!$O:$O,'EEFF 2023'!$B$1,wallet_records!$N:$N,'EEFF 2023'!BN$2,wallet_records!$H:$H,'EEFF 2023'!$B37)</f>
        <v>0</v>
      </c>
      <c r="BO37" s="116"/>
      <c r="BP37" s="116"/>
      <c r="BQ37" s="116"/>
      <c r="BR37" s="116"/>
      <c r="BS37" s="116"/>
      <c r="BU37" s="115">
        <f>SUMIFS(wallet_records!$D:$D,wallet_records!$B:$B,'EEFF 2023'!$C37,wallet_records!$O:$O,'EEFF 2023'!$B$1,wallet_records!$N:$N,'EEFF 2023'!BU$2,wallet_records!$H:$H,'EEFF 2023'!$B37)</f>
        <v>0</v>
      </c>
      <c r="BV37" s="116"/>
      <c r="BW37" s="116"/>
      <c r="BX37" s="116"/>
      <c r="BY37" s="116"/>
      <c r="BZ37" s="116"/>
      <c r="CB37" s="115">
        <f>SUMIFS(wallet_records!$D:$D,wallet_records!$B:$B,'EEFF 2023'!$C37,wallet_records!$O:$O,'EEFF 2023'!$B$1,wallet_records!$N:$N,'EEFF 2023'!CB$2,wallet_records!$H:$H,'EEFF 2023'!$B37)</f>
        <v>0</v>
      </c>
      <c r="CC37" s="116"/>
      <c r="CD37" s="116"/>
      <c r="CE37" s="116"/>
      <c r="CF37" s="116"/>
      <c r="CG37" s="116"/>
      <c r="CI37" s="115">
        <f>SUMIFS(wallet_records!$D:$D,wallet_records!$B:$B,'EEFF 2023'!$C37,wallet_records!$O:$O,'EEFF 2023'!$B$1,wallet_records!$N:$N,'EEFF 2023'!CI$2,wallet_records!$H:$H,'EEFF 2023'!$B37)</f>
        <v>0</v>
      </c>
      <c r="CJ37" s="116"/>
      <c r="CK37" s="116"/>
      <c r="CL37" s="116"/>
      <c r="CM37" s="116"/>
      <c r="CN37" s="116"/>
      <c r="CP37" s="115">
        <f>SUMIFS(wallet_records!$D:$D,wallet_records!$B:$B,'EEFF 2023'!$C37,wallet_records!$O:$O,'EEFF 2023'!$B$1,wallet_records!$H:$H,'EEFF 2023'!$B37)</f>
        <v>0</v>
      </c>
      <c r="CQ37" s="107"/>
      <c r="CR37" s="118">
        <f t="shared" si="29"/>
        <v>0</v>
      </c>
      <c r="CS37" s="118">
        <f t="shared" si="1"/>
        <v>0</v>
      </c>
      <c r="CT37" s="118">
        <f t="shared" si="2"/>
        <v>0</v>
      </c>
      <c r="CU37" s="118">
        <f t="shared" si="3"/>
        <v>0</v>
      </c>
      <c r="CV37" s="118">
        <f t="shared" si="4"/>
        <v>0</v>
      </c>
      <c r="CW37" s="118">
        <f t="shared" si="5"/>
        <v>0</v>
      </c>
      <c r="CX37" s="118">
        <f t="shared" si="6"/>
        <v>0</v>
      </c>
      <c r="CY37" s="118">
        <f t="shared" si="7"/>
        <v>0</v>
      </c>
      <c r="CZ37" s="118">
        <f t="shared" si="8"/>
        <v>0</v>
      </c>
      <c r="DA37" s="118">
        <f t="shared" si="9"/>
        <v>0</v>
      </c>
      <c r="DB37" s="118">
        <f t="shared" si="10"/>
        <v>0</v>
      </c>
      <c r="DC37" s="118">
        <f t="shared" si="11"/>
        <v>0</v>
      </c>
    </row>
    <row r="38" spans="2:107" x14ac:dyDescent="0.2">
      <c r="B38" s="10" t="s">
        <v>156</v>
      </c>
      <c r="C38" s="191" t="s">
        <v>136</v>
      </c>
      <c r="D38" s="115"/>
      <c r="E38" s="115"/>
      <c r="F38" s="115"/>
      <c r="G38" s="116"/>
      <c r="H38" s="116"/>
      <c r="I38" s="116"/>
      <c r="J38" s="115">
        <f>SUMIFS(wallet_records!$D:$D,wallet_records!$B:$B,'EEFF 2023'!$C38,wallet_records!$O:$O,'EEFF 2023'!$B$1,wallet_records!$N:$N,'EEFF 2023'!J$2,wallet_records!$H:$H,'EEFF 2023'!$B38)</f>
        <v>0</v>
      </c>
      <c r="K38" s="115"/>
      <c r="L38" s="115"/>
      <c r="M38" s="115"/>
      <c r="N38" s="116"/>
      <c r="O38" s="116"/>
      <c r="P38" s="116"/>
      <c r="Q38" s="115">
        <f>SUMIFS(wallet_records!$D:$D,wallet_records!$B:$B,'EEFF 2023'!$C38,wallet_records!$O:$O,'EEFF 2023'!$B$1,wallet_records!$N:$N,'EEFF 2023'!Q$2,wallet_records!$H:$H,'EEFF 2023'!$B38)</f>
        <v>0</v>
      </c>
      <c r="R38" s="116"/>
      <c r="S38" s="116"/>
      <c r="T38" s="116"/>
      <c r="U38" s="116"/>
      <c r="V38" s="116"/>
      <c r="X38" s="115">
        <f>SUMIFS(wallet_records!$D:$D,wallet_records!$B:$B,'EEFF 2023'!$C38,wallet_records!$O:$O,'EEFF 2023'!$B$1,wallet_records!$N:$N,'EEFF 2023'!X$2,wallet_records!$H:$H,'EEFF 2023'!$B38)</f>
        <v>0</v>
      </c>
      <c r="Y38" s="116"/>
      <c r="Z38" s="116"/>
      <c r="AA38" s="116"/>
      <c r="AB38" s="116"/>
      <c r="AC38" s="116"/>
      <c r="AE38" s="115">
        <f>SUMIFS(wallet_records!$D:$D,wallet_records!$B:$B,'EEFF 2023'!$C38,wallet_records!$O:$O,'EEFF 2023'!$B$1,wallet_records!$N:$N,'EEFF 2023'!AE$2,wallet_records!$H:$H,'EEFF 2023'!$B38)</f>
        <v>0</v>
      </c>
      <c r="AF38" s="116"/>
      <c r="AG38" s="116"/>
      <c r="AH38" s="116"/>
      <c r="AI38" s="116"/>
      <c r="AJ38" s="116"/>
      <c r="AL38" s="115">
        <f>SUMIFS(wallet_records!$D:$D,wallet_records!$B:$B,'EEFF 2023'!$C38,wallet_records!$O:$O,'EEFF 2023'!$B$1,wallet_records!$N:$N,'EEFF 2023'!AL$2,wallet_records!$H:$H,'EEFF 2023'!$B38)</f>
        <v>0</v>
      </c>
      <c r="AM38" s="116"/>
      <c r="AN38" s="116"/>
      <c r="AO38" s="116"/>
      <c r="AP38" s="116"/>
      <c r="AQ38" s="116"/>
      <c r="AS38" s="115">
        <f>SUMIFS(wallet_records!$D:$D,wallet_records!$B:$B,'EEFF 2023'!$C38,wallet_records!$O:$O,'EEFF 2023'!$B$1,wallet_records!$N:$N,'EEFF 2023'!AS$2,wallet_records!$H:$H,'EEFF 2023'!$B38)</f>
        <v>0</v>
      </c>
      <c r="AT38" s="116"/>
      <c r="AU38" s="116"/>
      <c r="AV38" s="116"/>
      <c r="AW38" s="116"/>
      <c r="AX38" s="116"/>
      <c r="AZ38" s="115">
        <f>SUMIFS(wallet_records!$D:$D,wallet_records!$B:$B,'EEFF 2023'!$C38,wallet_records!$O:$O,'EEFF 2023'!$B$1,wallet_records!$N:$N,'EEFF 2023'!AZ$2,wallet_records!$H:$H,'EEFF 2023'!$B38)</f>
        <v>0</v>
      </c>
      <c r="BA38" s="116"/>
      <c r="BB38" s="116"/>
      <c r="BC38" s="116"/>
      <c r="BD38" s="116"/>
      <c r="BE38" s="116"/>
      <c r="BG38" s="115">
        <f>SUMIFS(wallet_records!$D:$D,wallet_records!$B:$B,'EEFF 2023'!$C38,wallet_records!$O:$O,'EEFF 2023'!$B$1,wallet_records!$N:$N,'EEFF 2023'!BG$2,wallet_records!$H:$H,'EEFF 2023'!$B38)</f>
        <v>0</v>
      </c>
      <c r="BH38" s="116"/>
      <c r="BI38" s="116"/>
      <c r="BJ38" s="116"/>
      <c r="BK38" s="116"/>
      <c r="BL38" s="116"/>
      <c r="BN38" s="115">
        <f>SUMIFS(wallet_records!$D:$D,wallet_records!$B:$B,'EEFF 2023'!$C38,wallet_records!$O:$O,'EEFF 2023'!$B$1,wallet_records!$N:$N,'EEFF 2023'!BN$2,wallet_records!$H:$H,'EEFF 2023'!$B38)</f>
        <v>0</v>
      </c>
      <c r="BO38" s="116"/>
      <c r="BP38" s="116"/>
      <c r="BQ38" s="116"/>
      <c r="BR38" s="116"/>
      <c r="BS38" s="116"/>
      <c r="BU38" s="115">
        <f>SUMIFS(wallet_records!$D:$D,wallet_records!$B:$B,'EEFF 2023'!$C38,wallet_records!$O:$O,'EEFF 2023'!$B$1,wallet_records!$N:$N,'EEFF 2023'!BU$2,wallet_records!$H:$H,'EEFF 2023'!$B38)</f>
        <v>0</v>
      </c>
      <c r="BV38" s="116"/>
      <c r="BW38" s="116"/>
      <c r="BX38" s="116"/>
      <c r="BY38" s="116"/>
      <c r="BZ38" s="116"/>
      <c r="CB38" s="115">
        <f>SUMIFS(wallet_records!$D:$D,wallet_records!$B:$B,'EEFF 2023'!$C38,wallet_records!$O:$O,'EEFF 2023'!$B$1,wallet_records!$N:$N,'EEFF 2023'!CB$2,wallet_records!$H:$H,'EEFF 2023'!$B38)</f>
        <v>0</v>
      </c>
      <c r="CC38" s="116"/>
      <c r="CD38" s="116"/>
      <c r="CE38" s="116"/>
      <c r="CF38" s="116"/>
      <c r="CG38" s="116"/>
      <c r="CI38" s="115">
        <f>SUMIFS(wallet_records!$D:$D,wallet_records!$B:$B,'EEFF 2023'!$C38,wallet_records!$O:$O,'EEFF 2023'!$B$1,wallet_records!$N:$N,'EEFF 2023'!CI$2,wallet_records!$H:$H,'EEFF 2023'!$B38)</f>
        <v>0</v>
      </c>
      <c r="CJ38" s="116"/>
      <c r="CK38" s="116"/>
      <c r="CL38" s="116"/>
      <c r="CM38" s="116"/>
      <c r="CN38" s="116"/>
      <c r="CP38" s="115">
        <f>SUMIFS(wallet_records!$D:$D,wallet_records!$B:$B,'EEFF 2023'!$C38,wallet_records!$O:$O,'EEFF 2023'!$B$1,wallet_records!$H:$H,'EEFF 2023'!$B38)</f>
        <v>0</v>
      </c>
      <c r="CQ38" s="107"/>
      <c r="CR38" s="118">
        <f t="shared" si="29"/>
        <v>0</v>
      </c>
      <c r="CS38" s="118">
        <f t="shared" si="1"/>
        <v>0</v>
      </c>
      <c r="CT38" s="118">
        <f t="shared" si="2"/>
        <v>0</v>
      </c>
      <c r="CU38" s="118">
        <f t="shared" si="3"/>
        <v>0</v>
      </c>
      <c r="CV38" s="118">
        <f t="shared" si="4"/>
        <v>0</v>
      </c>
      <c r="CW38" s="118">
        <f t="shared" si="5"/>
        <v>0</v>
      </c>
      <c r="CX38" s="118">
        <f t="shared" si="6"/>
        <v>0</v>
      </c>
      <c r="CY38" s="118">
        <f t="shared" si="7"/>
        <v>0</v>
      </c>
      <c r="CZ38" s="118">
        <f t="shared" si="8"/>
        <v>0</v>
      </c>
      <c r="DA38" s="118">
        <f t="shared" si="9"/>
        <v>0</v>
      </c>
      <c r="DB38" s="118">
        <f t="shared" si="10"/>
        <v>0</v>
      </c>
      <c r="DC38" s="118">
        <f t="shared" si="11"/>
        <v>0</v>
      </c>
    </row>
    <row r="39" spans="2:107" x14ac:dyDescent="0.2">
      <c r="B39" s="10" t="s">
        <v>510</v>
      </c>
      <c r="C39" s="191" t="s">
        <v>131</v>
      </c>
      <c r="D39" s="115"/>
      <c r="E39" s="115"/>
      <c r="F39" s="115"/>
      <c r="G39" s="116"/>
      <c r="H39" s="116"/>
      <c r="I39" s="116"/>
      <c r="J39" s="115">
        <f>SUMIFS(wallet_records!$D:$D,wallet_records!$B:$B,'EEFF 2023'!$C39,wallet_records!$O:$O,'EEFF 2023'!$B$1,wallet_records!$N:$N,'EEFF 2023'!J$2,wallet_records!$H:$H,'EEFF 2023'!$B39)</f>
        <v>0</v>
      </c>
      <c r="K39" s="115"/>
      <c r="L39" s="115"/>
      <c r="M39" s="115"/>
      <c r="N39" s="116"/>
      <c r="O39" s="116"/>
      <c r="P39" s="116"/>
      <c r="Q39" s="115">
        <f>SUMIFS(wallet_records!$D:$D,wallet_records!$B:$B,'EEFF 2023'!$C39,wallet_records!$O:$O,'EEFF 2023'!$B$1,wallet_records!$N:$N,'EEFF 2023'!Q$2,wallet_records!$H:$H,'EEFF 2023'!$B39)</f>
        <v>0</v>
      </c>
      <c r="R39" s="116"/>
      <c r="S39" s="116"/>
      <c r="T39" s="116"/>
      <c r="U39" s="116"/>
      <c r="V39" s="116"/>
      <c r="X39" s="115">
        <f>SUMIFS(wallet_records!$D:$D,wallet_records!$B:$B,'EEFF 2023'!$C39,wallet_records!$O:$O,'EEFF 2023'!$B$1,wallet_records!$N:$N,'EEFF 2023'!X$2,wallet_records!$H:$H,'EEFF 2023'!$B39)</f>
        <v>0</v>
      </c>
      <c r="Y39" s="116"/>
      <c r="Z39" s="116"/>
      <c r="AA39" s="116"/>
      <c r="AB39" s="116"/>
      <c r="AC39" s="116"/>
      <c r="AE39" s="115">
        <f>SUMIFS(wallet_records!$D:$D,wallet_records!$B:$B,'EEFF 2023'!$C39,wallet_records!$O:$O,'EEFF 2023'!$B$1,wallet_records!$N:$N,'EEFF 2023'!AE$2,wallet_records!$H:$H,'EEFF 2023'!$B39)</f>
        <v>0</v>
      </c>
      <c r="AF39" s="116"/>
      <c r="AG39" s="116"/>
      <c r="AH39" s="116"/>
      <c r="AI39" s="116"/>
      <c r="AJ39" s="116"/>
      <c r="AL39" s="115">
        <f>SUMIFS(wallet_records!$D:$D,wallet_records!$B:$B,'EEFF 2023'!$C39,wallet_records!$O:$O,'EEFF 2023'!$B$1,wallet_records!$N:$N,'EEFF 2023'!AL$2,wallet_records!$H:$H,'EEFF 2023'!$B39)</f>
        <v>0</v>
      </c>
      <c r="AM39" s="116"/>
      <c r="AN39" s="116"/>
      <c r="AO39" s="116"/>
      <c r="AP39" s="116"/>
      <c r="AQ39" s="116"/>
      <c r="AS39" s="115">
        <f>SUMIFS(wallet_records!$D:$D,wallet_records!$B:$B,'EEFF 2023'!$C39,wallet_records!$O:$O,'EEFF 2023'!$B$1,wallet_records!$N:$N,'EEFF 2023'!AS$2,wallet_records!$H:$H,'EEFF 2023'!$B39)</f>
        <v>0</v>
      </c>
      <c r="AT39" s="116"/>
      <c r="AU39" s="116"/>
      <c r="AV39" s="116"/>
      <c r="AW39" s="116"/>
      <c r="AX39" s="116"/>
      <c r="AZ39" s="115">
        <f>SUMIFS(wallet_records!$D:$D,wallet_records!$B:$B,'EEFF 2023'!$C39,wallet_records!$O:$O,'EEFF 2023'!$B$1,wallet_records!$N:$N,'EEFF 2023'!AZ$2,wallet_records!$H:$H,'EEFF 2023'!$B39)</f>
        <v>0</v>
      </c>
      <c r="BA39" s="116"/>
      <c r="BB39" s="116"/>
      <c r="BC39" s="116"/>
      <c r="BD39" s="116"/>
      <c r="BE39" s="116"/>
      <c r="BG39" s="115">
        <f>SUMIFS(wallet_records!$D:$D,wallet_records!$B:$B,'EEFF 2023'!$C39,wallet_records!$O:$O,'EEFF 2023'!$B$1,wallet_records!$N:$N,'EEFF 2023'!BG$2,wallet_records!$H:$H,'EEFF 2023'!$B39)</f>
        <v>0</v>
      </c>
      <c r="BH39" s="116"/>
      <c r="BI39" s="116"/>
      <c r="BJ39" s="116"/>
      <c r="BK39" s="116"/>
      <c r="BL39" s="116"/>
      <c r="BN39" s="115">
        <f>SUMIFS(wallet_records!$D:$D,wallet_records!$B:$B,'EEFF 2023'!$C39,wallet_records!$O:$O,'EEFF 2023'!$B$1,wallet_records!$N:$N,'EEFF 2023'!BN$2,wallet_records!$H:$H,'EEFF 2023'!$B39)</f>
        <v>0</v>
      </c>
      <c r="BO39" s="116"/>
      <c r="BP39" s="116"/>
      <c r="BQ39" s="116"/>
      <c r="BR39" s="116"/>
      <c r="BS39" s="116"/>
      <c r="BU39" s="115">
        <f>SUMIFS(wallet_records!$D:$D,wallet_records!$B:$B,'EEFF 2023'!$C39,wallet_records!$O:$O,'EEFF 2023'!$B$1,wallet_records!$N:$N,'EEFF 2023'!BU$2,wallet_records!$H:$H,'EEFF 2023'!$B39)</f>
        <v>0</v>
      </c>
      <c r="BV39" s="116"/>
      <c r="BW39" s="116"/>
      <c r="BX39" s="116"/>
      <c r="BY39" s="116"/>
      <c r="BZ39" s="116"/>
      <c r="CB39" s="115">
        <f>SUMIFS(wallet_records!$D:$D,wallet_records!$B:$B,'EEFF 2023'!$C39,wallet_records!$O:$O,'EEFF 2023'!$B$1,wallet_records!$N:$N,'EEFF 2023'!CB$2,wallet_records!$H:$H,'EEFF 2023'!$B39)</f>
        <v>0</v>
      </c>
      <c r="CC39" s="116"/>
      <c r="CD39" s="116"/>
      <c r="CE39" s="116"/>
      <c r="CF39" s="116"/>
      <c r="CG39" s="116"/>
      <c r="CI39" s="115">
        <f>SUMIFS(wallet_records!$D:$D,wallet_records!$B:$B,'EEFF 2023'!$C39,wallet_records!$O:$O,'EEFF 2023'!$B$1,wallet_records!$N:$N,'EEFF 2023'!CI$2,wallet_records!$H:$H,'EEFF 2023'!$B39)</f>
        <v>0</v>
      </c>
      <c r="CJ39" s="116"/>
      <c r="CK39" s="116"/>
      <c r="CL39" s="116"/>
      <c r="CM39" s="116"/>
      <c r="CN39" s="116"/>
      <c r="CP39" s="115">
        <f>SUMIFS(wallet_records!$D:$D,wallet_records!$B:$B,'EEFF 2023'!$C39,wallet_records!$O:$O,'EEFF 2023'!$B$1,wallet_records!$H:$H,'EEFF 2023'!$B39)</f>
        <v>0</v>
      </c>
      <c r="CQ39" s="107"/>
      <c r="CR39" s="118">
        <f t="shared" si="29"/>
        <v>0</v>
      </c>
      <c r="CS39" s="118">
        <f t="shared" si="1"/>
        <v>0</v>
      </c>
      <c r="CT39" s="118">
        <f t="shared" si="2"/>
        <v>0</v>
      </c>
      <c r="CU39" s="118">
        <f t="shared" si="3"/>
        <v>0</v>
      </c>
      <c r="CV39" s="118">
        <f t="shared" si="4"/>
        <v>0</v>
      </c>
      <c r="CW39" s="118">
        <f t="shared" si="5"/>
        <v>0</v>
      </c>
      <c r="CX39" s="118">
        <f t="shared" si="6"/>
        <v>0</v>
      </c>
      <c r="CY39" s="118">
        <f t="shared" si="7"/>
        <v>0</v>
      </c>
      <c r="CZ39" s="118">
        <f t="shared" si="8"/>
        <v>0</v>
      </c>
      <c r="DA39" s="118">
        <f t="shared" si="9"/>
        <v>0</v>
      </c>
      <c r="DB39" s="118">
        <f t="shared" si="10"/>
        <v>0</v>
      </c>
      <c r="DC39" s="118">
        <f t="shared" si="11"/>
        <v>0</v>
      </c>
    </row>
    <row r="40" spans="2:107" x14ac:dyDescent="0.2">
      <c r="B40" s="10" t="s">
        <v>522</v>
      </c>
      <c r="C40" s="191" t="s">
        <v>136</v>
      </c>
      <c r="D40" s="115"/>
      <c r="E40" s="115"/>
      <c r="F40" s="115"/>
      <c r="G40" s="116"/>
      <c r="H40" s="116"/>
      <c r="I40" s="116"/>
      <c r="J40" s="115">
        <f>SUMIFS(wallet_records!$D:$D,wallet_records!$B:$B,'EEFF 2023'!$C40,wallet_records!$O:$O,'EEFF 2023'!$B$1,wallet_records!$N:$N,'EEFF 2023'!J$2,wallet_records!$H:$H,'EEFF 2023'!$B40,wallet_records!$F:$F,"Gasto")</f>
        <v>819773.35</v>
      </c>
      <c r="K40" s="115"/>
      <c r="L40" s="115"/>
      <c r="M40" s="115"/>
      <c r="N40" s="116"/>
      <c r="O40" s="116"/>
      <c r="P40" s="116"/>
      <c r="Q40" s="115">
        <f>SUMIFS(wallet_records!$D:$D,wallet_records!$B:$B,'EEFF 2023'!$C40,wallet_records!$O:$O,'EEFF 2023'!$B$1,wallet_records!$N:$N,'EEFF 2023'!Q$2,wallet_records!$H:$H,'EEFF 2023'!$B40,wallet_records!$F:$F,"Gasto")</f>
        <v>11081527.32</v>
      </c>
      <c r="R40" s="116"/>
      <c r="S40" s="116"/>
      <c r="T40" s="116"/>
      <c r="U40" s="116"/>
      <c r="V40" s="116"/>
      <c r="X40" s="115">
        <f>SUMIFS(wallet_records!$D:$D,wallet_records!$B:$B,'EEFF 2023'!$C40,wallet_records!$O:$O,'EEFF 2023'!$B$1,wallet_records!$N:$N,'EEFF 2023'!X$2,wallet_records!$H:$H,'EEFF 2023'!$B40,wallet_records!$F:$F,"Gasto")</f>
        <v>4524590.74</v>
      </c>
      <c r="Y40" s="116"/>
      <c r="Z40" s="116"/>
      <c r="AA40" s="116"/>
      <c r="AB40" s="116"/>
      <c r="AC40" s="116"/>
      <c r="AE40" s="115">
        <f>SUMIFS(wallet_records!$D:$D,wallet_records!$B:$B,'EEFF 2023'!$C40,wallet_records!$O:$O,'EEFF 2023'!$B$1,wallet_records!$N:$N,'EEFF 2023'!AE$2,wallet_records!$H:$H,'EEFF 2023'!$B40,wallet_records!$F:$F,"Gasto")</f>
        <v>3042999.1799999997</v>
      </c>
      <c r="AF40" s="116"/>
      <c r="AG40" s="116"/>
      <c r="AH40" s="116"/>
      <c r="AI40" s="116"/>
      <c r="AJ40" s="116"/>
      <c r="AL40" s="115">
        <f>SUMIFS(wallet_records!$D:$D,wallet_records!$B:$B,'EEFF 2023'!$C40,wallet_records!$O:$O,'EEFF 2023'!$B$1,wallet_records!$N:$N,'EEFF 2023'!AL$2,wallet_records!$H:$H,'EEFF 2023'!$B40,wallet_records!$F:$F,"Gasto")</f>
        <v>1864961.12</v>
      </c>
      <c r="AM40" s="116"/>
      <c r="AN40" s="116"/>
      <c r="AO40" s="116"/>
      <c r="AP40" s="116"/>
      <c r="AQ40" s="116"/>
      <c r="AS40" s="115">
        <f>SUMIFS(wallet_records!$D:$D,wallet_records!$B:$B,'EEFF 2023'!$C40,wallet_records!$O:$O,'EEFF 2023'!$B$1,wallet_records!$N:$N,'EEFF 2023'!AS$2,wallet_records!$H:$H,'EEFF 2023'!$B40,wallet_records!$F:$F,"Gasto")</f>
        <v>2898100.54</v>
      </c>
      <c r="AT40" s="116"/>
      <c r="AU40" s="116"/>
      <c r="AV40" s="116"/>
      <c r="AW40" s="116"/>
      <c r="AX40" s="116"/>
      <c r="AZ40" s="115">
        <f>SUMIFS(wallet_records!$D:$D,wallet_records!$B:$B,'EEFF 2023'!$C40,wallet_records!$O:$O,'EEFF 2023'!$B$1,wallet_records!$N:$N,'EEFF 2023'!AZ$2,wallet_records!$H:$H,'EEFF 2023'!$B40,wallet_records!$F:$F,"Gasto")</f>
        <v>1343759.29</v>
      </c>
      <c r="BA40" s="116"/>
      <c r="BB40" s="116"/>
      <c r="BC40" s="116"/>
      <c r="BD40" s="116"/>
      <c r="BE40" s="116"/>
      <c r="BG40" s="115">
        <f>SUMIFS(wallet_records!$D:$D,wallet_records!$B:$B,'EEFF 2023'!$C40,wallet_records!$O:$O,'EEFF 2023'!$B$1,wallet_records!$N:$N,'EEFF 2023'!BG$2,wallet_records!$H:$H,'EEFF 2023'!$B40,wallet_records!$F:$F,"Gasto")</f>
        <v>4386979.4000000004</v>
      </c>
      <c r="BH40" s="116"/>
      <c r="BI40" s="116"/>
      <c r="BJ40" s="116"/>
      <c r="BK40" s="116"/>
      <c r="BL40" s="116"/>
      <c r="BN40" s="115">
        <f>SUMIFS(wallet_records!$D:$D,wallet_records!$B:$B,'EEFF 2023'!$C40,wallet_records!$O:$O,'EEFF 2023'!$B$1,wallet_records!$N:$N,'EEFF 2023'!BN$2,wallet_records!$H:$H,'EEFF 2023'!$B40,wallet_records!$F:$F,"Gasto")</f>
        <v>0</v>
      </c>
      <c r="BO40" s="116"/>
      <c r="BP40" s="116"/>
      <c r="BQ40" s="116"/>
      <c r="BR40" s="116"/>
      <c r="BS40" s="116"/>
      <c r="BU40" s="115">
        <f>SUMIFS(wallet_records!$D:$D,wallet_records!$B:$B,'EEFF 2023'!$C40,wallet_records!$O:$O,'EEFF 2023'!$B$1,wallet_records!$N:$N,'EEFF 2023'!BU$2,wallet_records!$H:$H,'EEFF 2023'!$B40,wallet_records!$F:$F,"Gasto")</f>
        <v>13475251.529999999</v>
      </c>
      <c r="BV40" s="116"/>
      <c r="BW40" s="116"/>
      <c r="BX40" s="116"/>
      <c r="BY40" s="116"/>
      <c r="BZ40" s="116"/>
      <c r="CB40" s="115">
        <f>SUMIFS(wallet_records!$D:$D,wallet_records!$B:$B,'EEFF 2023'!$C40,wallet_records!$O:$O,'EEFF 2023'!$B$1,wallet_records!$N:$N,'EEFF 2023'!CB$2,wallet_records!$H:$H,'EEFF 2023'!$B40,wallet_records!$F:$F,"Gasto")</f>
        <v>2249202.6800000002</v>
      </c>
      <c r="CC40" s="116"/>
      <c r="CD40" s="116"/>
      <c r="CE40" s="116"/>
      <c r="CF40" s="116"/>
      <c r="CG40" s="116"/>
      <c r="CI40" s="115">
        <f>SUMIFS(wallet_records!$D:$D,wallet_records!$B:$B,'EEFF 2023'!$C40,wallet_records!$O:$O,'EEFF 2023'!$B$1,wallet_records!$N:$N,'EEFF 2023'!CI$2,wallet_records!$H:$H,'EEFF 2023'!$B40,wallet_records!$F:$F,"Gasto")</f>
        <v>1435943.14</v>
      </c>
      <c r="CJ40" s="116"/>
      <c r="CK40" s="116"/>
      <c r="CL40" s="116"/>
      <c r="CM40" s="116"/>
      <c r="CN40" s="116"/>
      <c r="CP40" s="115">
        <f>SUMIFS(wallet_records!$D:$D,wallet_records!$B:$B,'EEFF 2023'!$C40,wallet_records!$O:$O,'EEFF 2023'!$B$1,wallet_records!$H:$H,'EEFF 2023'!$B40,wallet_records!$F:$F,"Gasto")</f>
        <v>47123088.290000007</v>
      </c>
      <c r="CQ40" s="107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</row>
    <row r="41" spans="2:107" x14ac:dyDescent="0.2">
      <c r="B41" s="10" t="s">
        <v>216</v>
      </c>
      <c r="C41" s="191" t="s">
        <v>215</v>
      </c>
      <c r="D41" s="115"/>
      <c r="E41" s="115"/>
      <c r="F41" s="115"/>
      <c r="G41" s="116"/>
      <c r="H41" s="116"/>
      <c r="I41" s="116"/>
      <c r="J41" s="115">
        <f>SUMIFS(wallet_records!$D:$D,wallet_records!$B:$B,'EEFF 2023'!$C41,wallet_records!$O:$O,'EEFF 2023'!$B$1,wallet_records!$N:$N,'EEFF 2023'!J$2,wallet_records!$H:$H,'EEFF 2023'!$B41)</f>
        <v>0</v>
      </c>
      <c r="K41" s="115"/>
      <c r="L41" s="115"/>
      <c r="M41" s="115"/>
      <c r="N41" s="116"/>
      <c r="O41" s="116"/>
      <c r="P41" s="116"/>
      <c r="Q41" s="115">
        <f>SUMIFS(wallet_records!$D:$D,wallet_records!$B:$B,'EEFF 2023'!$C41,wallet_records!$O:$O,'EEFF 2023'!$B$1,wallet_records!$N:$N,'EEFF 2023'!Q$2,wallet_records!$H:$H,'EEFF 2023'!$B41)</f>
        <v>0</v>
      </c>
      <c r="R41" s="116"/>
      <c r="S41" s="116"/>
      <c r="T41" s="116"/>
      <c r="U41" s="116"/>
      <c r="V41" s="116"/>
      <c r="X41" s="115">
        <f>SUMIFS(wallet_records!$D:$D,wallet_records!$B:$B,'EEFF 2023'!$C41,wallet_records!$O:$O,'EEFF 2023'!$B$1,wallet_records!$N:$N,'EEFF 2023'!X$2,wallet_records!$H:$H,'EEFF 2023'!$B41)</f>
        <v>0</v>
      </c>
      <c r="Y41" s="116"/>
      <c r="Z41" s="116"/>
      <c r="AA41" s="116"/>
      <c r="AB41" s="116"/>
      <c r="AC41" s="116"/>
      <c r="AE41" s="115">
        <f>SUMIFS(wallet_records!$D:$D,wallet_records!$B:$B,'EEFF 2023'!$C41,wallet_records!$O:$O,'EEFF 2023'!$B$1,wallet_records!$N:$N,'EEFF 2023'!AE$2,wallet_records!$H:$H,'EEFF 2023'!$B41)</f>
        <v>0</v>
      </c>
      <c r="AF41" s="116"/>
      <c r="AG41" s="116"/>
      <c r="AH41" s="116"/>
      <c r="AI41" s="116"/>
      <c r="AJ41" s="116"/>
      <c r="AL41" s="115">
        <f>SUMIFS(wallet_records!$D:$D,wallet_records!$B:$B,'EEFF 2023'!$C41,wallet_records!$O:$O,'EEFF 2023'!$B$1,wallet_records!$N:$N,'EEFF 2023'!AL$2,wallet_records!$H:$H,'EEFF 2023'!$B41)</f>
        <v>0</v>
      </c>
      <c r="AM41" s="116"/>
      <c r="AN41" s="116"/>
      <c r="AO41" s="116"/>
      <c r="AP41" s="116"/>
      <c r="AQ41" s="116"/>
      <c r="AS41" s="115">
        <f>SUMIFS(wallet_records!$D:$D,wallet_records!$B:$B,'EEFF 2023'!$C41,wallet_records!$O:$O,'EEFF 2023'!$B$1,wallet_records!$N:$N,'EEFF 2023'!AS$2,wallet_records!$H:$H,'EEFF 2023'!$B41)</f>
        <v>0</v>
      </c>
      <c r="AT41" s="116"/>
      <c r="AU41" s="116"/>
      <c r="AV41" s="116"/>
      <c r="AW41" s="116"/>
      <c r="AX41" s="116"/>
      <c r="AZ41" s="115">
        <f>SUMIFS(wallet_records!$D:$D,wallet_records!$B:$B,'EEFF 2023'!$C41,wallet_records!$O:$O,'EEFF 2023'!$B$1,wallet_records!$N:$N,'EEFF 2023'!AZ$2,wallet_records!$H:$H,'EEFF 2023'!$B41)</f>
        <v>0</v>
      </c>
      <c r="BA41" s="116"/>
      <c r="BB41" s="116"/>
      <c r="BC41" s="116"/>
      <c r="BD41" s="116"/>
      <c r="BE41" s="116"/>
      <c r="BG41" s="115">
        <f>SUMIFS(wallet_records!$D:$D,wallet_records!$B:$B,'EEFF 2023'!$C41,wallet_records!$O:$O,'EEFF 2023'!$B$1,wallet_records!$N:$N,'EEFF 2023'!BG$2,wallet_records!$H:$H,'EEFF 2023'!$B41)</f>
        <v>0</v>
      </c>
      <c r="BH41" s="116"/>
      <c r="BI41" s="116"/>
      <c r="BJ41" s="116"/>
      <c r="BK41" s="116"/>
      <c r="BL41" s="116"/>
      <c r="BN41" s="115">
        <f>SUMIFS(wallet_records!$D:$D,wallet_records!$B:$B,'EEFF 2023'!$C41,wallet_records!$O:$O,'EEFF 2023'!$B$1,wallet_records!$N:$N,'EEFF 2023'!BN$2,wallet_records!$H:$H,'EEFF 2023'!$B41)</f>
        <v>0</v>
      </c>
      <c r="BO41" s="116"/>
      <c r="BP41" s="116"/>
      <c r="BQ41" s="116"/>
      <c r="BR41" s="116"/>
      <c r="BS41" s="116"/>
      <c r="BU41" s="115">
        <f>SUMIFS(wallet_records!$D:$D,wallet_records!$B:$B,'EEFF 2023'!$C41,wallet_records!$O:$O,'EEFF 2023'!$B$1,wallet_records!$N:$N,'EEFF 2023'!BU$2,wallet_records!$H:$H,'EEFF 2023'!$B41)</f>
        <v>0</v>
      </c>
      <c r="BV41" s="116"/>
      <c r="BW41" s="116"/>
      <c r="BX41" s="116"/>
      <c r="BY41" s="116"/>
      <c r="BZ41" s="116"/>
      <c r="CB41" s="115">
        <f>SUMIFS(wallet_records!$D:$D,wallet_records!$B:$B,'EEFF 2023'!$C41,wallet_records!$O:$O,'EEFF 2023'!$B$1,wallet_records!$N:$N,'EEFF 2023'!CB$2,wallet_records!$H:$H,'EEFF 2023'!$B41)</f>
        <v>0</v>
      </c>
      <c r="CC41" s="116"/>
      <c r="CD41" s="116"/>
      <c r="CE41" s="116"/>
      <c r="CF41" s="116"/>
      <c r="CG41" s="116"/>
      <c r="CI41" s="115">
        <f>SUMIFS(wallet_records!$D:$D,wallet_records!$B:$B,'EEFF 2023'!$C41,wallet_records!$O:$O,'EEFF 2023'!$B$1,wallet_records!$N:$N,'EEFF 2023'!CI$2,wallet_records!$H:$H,'EEFF 2023'!$B41)</f>
        <v>0</v>
      </c>
      <c r="CJ41" s="116"/>
      <c r="CK41" s="116"/>
      <c r="CL41" s="116"/>
      <c r="CM41" s="116"/>
      <c r="CN41" s="116"/>
      <c r="CP41" s="115">
        <f>SUMIFS(wallet_records!$D:$D,wallet_records!$B:$B,'EEFF 2023'!$C41,wallet_records!$O:$O,'EEFF 2023'!$B$1,wallet_records!$H:$H,'EEFF 2023'!$B41)</f>
        <v>0</v>
      </c>
      <c r="CQ41" s="107"/>
      <c r="CR41" s="118">
        <f t="shared" ref="CR41:CR47" si="30">J41/J$6</f>
        <v>0</v>
      </c>
      <c r="CS41" s="118">
        <f t="shared" si="1"/>
        <v>0</v>
      </c>
      <c r="CT41" s="118">
        <f t="shared" si="2"/>
        <v>0</v>
      </c>
      <c r="CU41" s="118">
        <f t="shared" si="3"/>
        <v>0</v>
      </c>
      <c r="CV41" s="118">
        <f t="shared" si="4"/>
        <v>0</v>
      </c>
      <c r="CW41" s="118">
        <f t="shared" si="5"/>
        <v>0</v>
      </c>
      <c r="CX41" s="118">
        <f t="shared" si="6"/>
        <v>0</v>
      </c>
      <c r="CY41" s="118">
        <f t="shared" si="7"/>
        <v>0</v>
      </c>
      <c r="CZ41" s="118">
        <f t="shared" si="8"/>
        <v>0</v>
      </c>
      <c r="DA41" s="118">
        <f t="shared" si="9"/>
        <v>0</v>
      </c>
      <c r="DB41" s="118">
        <f t="shared" si="10"/>
        <v>0</v>
      </c>
      <c r="DC41" s="118">
        <f t="shared" si="11"/>
        <v>0</v>
      </c>
    </row>
    <row r="42" spans="2:107" x14ac:dyDescent="0.2">
      <c r="B42" s="107" t="s">
        <v>125</v>
      </c>
      <c r="C42" s="191" t="s">
        <v>124</v>
      </c>
      <c r="D42" s="115"/>
      <c r="E42" s="115"/>
      <c r="F42" s="122"/>
      <c r="G42" s="116"/>
      <c r="H42" s="116"/>
      <c r="I42" s="116"/>
      <c r="J42" s="115">
        <f>SUMIFS(wallet_records!$D:$D,wallet_records!$B:$B,'EEFF 2023'!$C42,wallet_records!$O:$O,'EEFF 2023'!$B$1,wallet_records!$N:$N,'EEFF 2023'!J$2,wallet_records!$H:$H,'EEFF 2023'!$B42)</f>
        <v>148673.99</v>
      </c>
      <c r="K42" s="115"/>
      <c r="L42" s="115"/>
      <c r="M42" s="115"/>
      <c r="N42" s="116"/>
      <c r="O42" s="116"/>
      <c r="P42" s="115"/>
      <c r="Q42" s="115">
        <f>SUMIFS(wallet_records!$D:$D,wallet_records!$B:$B,'EEFF 2023'!$C42,wallet_records!$O:$O,'EEFF 2023'!$B$1,wallet_records!$N:$N,'EEFF 2023'!Q$2,wallet_records!$H:$H,'EEFF 2023'!$B42)</f>
        <v>79171.56</v>
      </c>
      <c r="R42" s="116"/>
      <c r="S42" s="116"/>
      <c r="T42" s="116"/>
      <c r="U42" s="116"/>
      <c r="V42" s="116"/>
      <c r="X42" s="115">
        <f>SUMIFS(wallet_records!$D:$D,wallet_records!$B:$B,'EEFF 2023'!$C42,wallet_records!$O:$O,'EEFF 2023'!$B$1,wallet_records!$N:$N,'EEFF 2023'!X$2,wallet_records!$H:$H,'EEFF 2023'!$B42)</f>
        <v>98338.01</v>
      </c>
      <c r="Y42" s="116"/>
      <c r="Z42" s="116"/>
      <c r="AA42" s="116"/>
      <c r="AB42" s="116"/>
      <c r="AC42" s="116"/>
      <c r="AE42" s="115">
        <f>SUMIFS(wallet_records!$D:$D,wallet_records!$B:$B,'EEFF 2023'!$C42,wallet_records!$O:$O,'EEFF 2023'!$B$1,wallet_records!$N:$N,'EEFF 2023'!AE$2,wallet_records!$H:$H,'EEFF 2023'!$B42)</f>
        <v>110023.26999999999</v>
      </c>
      <c r="AF42" s="116"/>
      <c r="AG42" s="116"/>
      <c r="AH42" s="116"/>
      <c r="AI42" s="116"/>
      <c r="AJ42" s="116"/>
      <c r="AL42" s="115">
        <f>SUMIFS(wallet_records!$D:$D,wallet_records!$B:$B,'EEFF 2023'!$C42,wallet_records!$O:$O,'EEFF 2023'!$B$1,wallet_records!$N:$N,'EEFF 2023'!AL$2,wallet_records!$H:$H,'EEFF 2023'!$B42)</f>
        <v>0</v>
      </c>
      <c r="AM42" s="116"/>
      <c r="AN42" s="116"/>
      <c r="AO42" s="116"/>
      <c r="AP42" s="116"/>
      <c r="AQ42" s="116"/>
      <c r="AS42" s="115">
        <f>SUMIFS(wallet_records!$D:$D,wallet_records!$B:$B,'EEFF 2023'!$C42,wallet_records!$O:$O,'EEFF 2023'!$B$1,wallet_records!$N:$N,'EEFF 2023'!AS$2,wallet_records!$H:$H,'EEFF 2023'!$B42)</f>
        <v>116995.99</v>
      </c>
      <c r="AT42" s="116"/>
      <c r="AU42" s="116"/>
      <c r="AV42" s="116"/>
      <c r="AW42" s="116"/>
      <c r="AX42" s="116"/>
      <c r="AZ42" s="115">
        <f>SUMIFS(wallet_records!$D:$D,wallet_records!$B:$B,'EEFF 2023'!$C42,wallet_records!$O:$O,'EEFF 2023'!$B$1,wallet_records!$N:$N,'EEFF 2023'!AZ$2,wallet_records!$H:$H,'EEFF 2023'!$B42)</f>
        <v>137771.75</v>
      </c>
      <c r="BA42" s="116"/>
      <c r="BB42" s="116"/>
      <c r="BC42" s="116"/>
      <c r="BD42" s="116"/>
      <c r="BE42" s="116"/>
      <c r="BG42" s="115">
        <f>SUMIFS(wallet_records!$D:$D,wallet_records!$B:$B,'EEFF 2023'!$C42,wallet_records!$O:$O,'EEFF 2023'!$B$1,wallet_records!$N:$N,'EEFF 2023'!BG$2,wallet_records!$H:$H,'EEFF 2023'!$B42)</f>
        <v>206742.48</v>
      </c>
      <c r="BH42" s="116"/>
      <c r="BI42" s="116"/>
      <c r="BJ42" s="116"/>
      <c r="BK42" s="116"/>
      <c r="BL42" s="116"/>
      <c r="BN42" s="115">
        <f>SUMIFS(wallet_records!$D:$D,wallet_records!$B:$B,'EEFF 2023'!$C42,wallet_records!$O:$O,'EEFF 2023'!$B$1,wallet_records!$N:$N,'EEFF 2023'!BN$2,wallet_records!$H:$H,'EEFF 2023'!$B42)</f>
        <v>243574.43</v>
      </c>
      <c r="BO42" s="116"/>
      <c r="BP42" s="116"/>
      <c r="BQ42" s="116"/>
      <c r="BR42" s="116"/>
      <c r="BS42" s="116"/>
      <c r="BU42" s="115">
        <f>SUMIFS(wallet_records!$D:$D,wallet_records!$B:$B,'EEFF 2023'!$C42,wallet_records!$O:$O,'EEFF 2023'!$B$1,wallet_records!$N:$N,'EEFF 2023'!BU$2,wallet_records!$H:$H,'EEFF 2023'!$B42)</f>
        <v>273552.14</v>
      </c>
      <c r="BV42" s="116"/>
      <c r="BW42" s="116"/>
      <c r="BX42" s="116"/>
      <c r="BY42" s="116"/>
      <c r="BZ42" s="116"/>
      <c r="CB42" s="115">
        <f>SUMIFS(wallet_records!$D:$D,wallet_records!$B:$B,'EEFF 2023'!$C42,wallet_records!$O:$O,'EEFF 2023'!$B$1,wallet_records!$N:$N,'EEFF 2023'!CB$2,wallet_records!$H:$H,'EEFF 2023'!$B42)</f>
        <v>288068.67000000004</v>
      </c>
      <c r="CC42" s="116"/>
      <c r="CD42" s="116"/>
      <c r="CE42" s="116"/>
      <c r="CF42" s="116"/>
      <c r="CG42" s="116"/>
      <c r="CI42" s="115">
        <f>SUMIFS(wallet_records!$D:$D,wallet_records!$B:$B,'EEFF 2023'!$C42,wallet_records!$O:$O,'EEFF 2023'!$B$1,wallet_records!$N:$N,'EEFF 2023'!CI$2,wallet_records!$H:$H,'EEFF 2023'!$B42)</f>
        <v>307612.31</v>
      </c>
      <c r="CJ42" s="116"/>
      <c r="CK42" s="116"/>
      <c r="CL42" s="116"/>
      <c r="CM42" s="116"/>
      <c r="CN42" s="116"/>
      <c r="CP42" s="115">
        <f>SUMIFS(wallet_records!$D:$D,wallet_records!$B:$B,'EEFF 2023'!$C42,wallet_records!$O:$O,'EEFF 2023'!$B$1,wallet_records!$H:$H,'EEFF 2023'!$B42)</f>
        <v>2010524.6</v>
      </c>
      <c r="CQ42" s="107"/>
      <c r="CR42" s="118">
        <f t="shared" si="30"/>
        <v>4.2478282857142856E-2</v>
      </c>
      <c r="CS42" s="118">
        <f t="shared" si="1"/>
        <v>1.5284084942084941E-2</v>
      </c>
      <c r="CT42" s="118">
        <f t="shared" si="2"/>
        <v>2.2554589449541283E-2</v>
      </c>
      <c r="CU42" s="118">
        <f t="shared" si="3"/>
        <v>2.7644037688442209E-2</v>
      </c>
      <c r="CV42" s="118">
        <f t="shared" si="4"/>
        <v>0</v>
      </c>
      <c r="CW42" s="118">
        <f t="shared" si="5"/>
        <v>2.1502663113398272E-2</v>
      </c>
      <c r="CX42" s="118">
        <f t="shared" si="6"/>
        <v>6.6204589139836623E-2</v>
      </c>
      <c r="CY42" s="118">
        <f t="shared" si="7"/>
        <v>2.6773177933177933E-2</v>
      </c>
      <c r="CZ42" s="118">
        <f t="shared" si="8"/>
        <v>2.7181612543242941E-2</v>
      </c>
      <c r="DA42" s="118">
        <f t="shared" si="9"/>
        <v>0.15197341111111112</v>
      </c>
      <c r="DB42" s="118">
        <f t="shared" si="10"/>
        <v>8.0443638648422244E-2</v>
      </c>
      <c r="DC42" s="118">
        <f t="shared" si="11"/>
        <v>7.071547356321839E-2</v>
      </c>
    </row>
    <row r="43" spans="2:107" x14ac:dyDescent="0.2">
      <c r="B43" s="107" t="s">
        <v>155</v>
      </c>
      <c r="C43" s="191" t="s">
        <v>154</v>
      </c>
      <c r="D43" s="115"/>
      <c r="E43" s="115"/>
      <c r="F43" s="122"/>
      <c r="G43" s="116"/>
      <c r="H43" s="116"/>
      <c r="I43" s="116"/>
      <c r="J43" s="115">
        <f>SUMIFS(wallet_records!$D:$D,wallet_records!$B:$B,'EEFF 2023'!$C43,wallet_records!$O:$O,'EEFF 2023'!$B$1,wallet_records!$N:$N,'EEFF 2023'!J$2,wallet_records!$H:$H,'EEFF 2023'!$B43)</f>
        <v>0</v>
      </c>
      <c r="K43" s="115"/>
      <c r="L43" s="115"/>
      <c r="M43" s="115"/>
      <c r="N43" s="116"/>
      <c r="O43" s="116"/>
      <c r="P43" s="115"/>
      <c r="Q43" s="115">
        <f>SUMIFS(wallet_records!$D:$D,wallet_records!$B:$B,'EEFF 2023'!$C43,wallet_records!$O:$O,'EEFF 2023'!$B$1,wallet_records!$N:$N,'EEFF 2023'!Q$2,wallet_records!$H:$H,'EEFF 2023'!$B43)</f>
        <v>0</v>
      </c>
      <c r="R43" s="116"/>
      <c r="S43" s="116"/>
      <c r="T43" s="116"/>
      <c r="U43" s="116"/>
      <c r="V43" s="116"/>
      <c r="X43" s="115">
        <f>SUMIFS(wallet_records!$D:$D,wallet_records!$B:$B,'EEFF 2023'!$C43,wallet_records!$O:$O,'EEFF 2023'!$B$1,wallet_records!$N:$N,'EEFF 2023'!X$2,wallet_records!$H:$H,'EEFF 2023'!$B43)</f>
        <v>0</v>
      </c>
      <c r="Y43" s="116"/>
      <c r="Z43" s="116"/>
      <c r="AA43" s="116"/>
      <c r="AB43" s="116"/>
      <c r="AC43" s="116"/>
      <c r="AE43" s="115">
        <f>SUMIFS(wallet_records!$D:$D,wallet_records!$B:$B,'EEFF 2023'!$C43,wallet_records!$O:$O,'EEFF 2023'!$B$1,wallet_records!$N:$N,'EEFF 2023'!AE$2,wallet_records!$H:$H,'EEFF 2023'!$B43)</f>
        <v>0</v>
      </c>
      <c r="AF43" s="116"/>
      <c r="AG43" s="116"/>
      <c r="AH43" s="116"/>
      <c r="AI43" s="116"/>
      <c r="AJ43" s="116"/>
      <c r="AL43" s="115">
        <f>SUMIFS(wallet_records!$D:$D,wallet_records!$B:$B,'EEFF 2023'!$C43,wallet_records!$O:$O,'EEFF 2023'!$B$1,wallet_records!$N:$N,'EEFF 2023'!AL$2,wallet_records!$H:$H,'EEFF 2023'!$B43)</f>
        <v>0</v>
      </c>
      <c r="AM43" s="116"/>
      <c r="AN43" s="116"/>
      <c r="AO43" s="116"/>
      <c r="AP43" s="116"/>
      <c r="AQ43" s="116"/>
      <c r="AS43" s="115">
        <f>SUMIFS(wallet_records!$D:$D,wallet_records!$B:$B,'EEFF 2023'!$C43,wallet_records!$O:$O,'EEFF 2023'!$B$1,wallet_records!$N:$N,'EEFF 2023'!AS$2,wallet_records!$H:$H,'EEFF 2023'!$B43)</f>
        <v>0</v>
      </c>
      <c r="AT43" s="116"/>
      <c r="AU43" s="116"/>
      <c r="AV43" s="116"/>
      <c r="AW43" s="116"/>
      <c r="AX43" s="116"/>
      <c r="AZ43" s="115">
        <f>SUMIFS(wallet_records!$D:$D,wallet_records!$B:$B,'EEFF 2023'!$C43,wallet_records!$O:$O,'EEFF 2023'!$B$1,wallet_records!$N:$N,'EEFF 2023'!AZ$2,wallet_records!$H:$H,'EEFF 2023'!$B43)</f>
        <v>0</v>
      </c>
      <c r="BA43" s="116"/>
      <c r="BB43" s="116"/>
      <c r="BC43" s="116"/>
      <c r="BD43" s="116"/>
      <c r="BE43" s="116"/>
      <c r="BG43" s="115">
        <f>SUMIFS(wallet_records!$D:$D,wallet_records!$B:$B,'EEFF 2023'!$C43,wallet_records!$O:$O,'EEFF 2023'!$B$1,wallet_records!$N:$N,'EEFF 2023'!BG$2,wallet_records!$H:$H,'EEFF 2023'!$B43)</f>
        <v>0</v>
      </c>
      <c r="BH43" s="116"/>
      <c r="BI43" s="116"/>
      <c r="BJ43" s="116"/>
      <c r="BK43" s="116"/>
      <c r="BL43" s="116"/>
      <c r="BN43" s="115">
        <f>SUMIFS(wallet_records!$D:$D,wallet_records!$B:$B,'EEFF 2023'!$C43,wallet_records!$O:$O,'EEFF 2023'!$B$1,wallet_records!$N:$N,'EEFF 2023'!BN$2,wallet_records!$H:$H,'EEFF 2023'!$B43)</f>
        <v>0</v>
      </c>
      <c r="BO43" s="116"/>
      <c r="BP43" s="116"/>
      <c r="BQ43" s="116"/>
      <c r="BR43" s="116"/>
      <c r="BS43" s="116"/>
      <c r="BU43" s="115">
        <f>SUMIFS(wallet_records!$D:$D,wallet_records!$B:$B,'EEFF 2023'!$C43,wallet_records!$O:$O,'EEFF 2023'!$B$1,wallet_records!$N:$N,'EEFF 2023'!BU$2,wallet_records!$H:$H,'EEFF 2023'!$B43)</f>
        <v>0</v>
      </c>
      <c r="BV43" s="116"/>
      <c r="BW43" s="116"/>
      <c r="BX43" s="116"/>
      <c r="BY43" s="116"/>
      <c r="BZ43" s="116"/>
      <c r="CB43" s="115">
        <f>SUMIFS(wallet_records!$D:$D,wallet_records!$B:$B,'EEFF 2023'!$C43,wallet_records!$O:$O,'EEFF 2023'!$B$1,wallet_records!$N:$N,'EEFF 2023'!CB$2,wallet_records!$H:$H,'EEFF 2023'!$B43)</f>
        <v>0</v>
      </c>
      <c r="CC43" s="116"/>
      <c r="CD43" s="116"/>
      <c r="CE43" s="116"/>
      <c r="CF43" s="116"/>
      <c r="CG43" s="116"/>
      <c r="CI43" s="115">
        <f>SUMIFS(wallet_records!$D:$D,wallet_records!$B:$B,'EEFF 2023'!$C43,wallet_records!$O:$O,'EEFF 2023'!$B$1,wallet_records!$N:$N,'EEFF 2023'!CI$2,wallet_records!$H:$H,'EEFF 2023'!$B43)</f>
        <v>0</v>
      </c>
      <c r="CJ43" s="116"/>
      <c r="CK43" s="116"/>
      <c r="CL43" s="116"/>
      <c r="CM43" s="116"/>
      <c r="CN43" s="116"/>
      <c r="CP43" s="115">
        <f>SUMIFS(wallet_records!$D:$D,wallet_records!$B:$B,'EEFF 2023'!$C43,wallet_records!$O:$O,'EEFF 2023'!$B$1,wallet_records!$H:$H,'EEFF 2023'!$B43)</f>
        <v>0</v>
      </c>
      <c r="CQ43" s="107"/>
      <c r="CR43" s="118">
        <f t="shared" si="30"/>
        <v>0</v>
      </c>
      <c r="CS43" s="118">
        <f t="shared" si="1"/>
        <v>0</v>
      </c>
      <c r="CT43" s="118">
        <f t="shared" si="2"/>
        <v>0</v>
      </c>
      <c r="CU43" s="118">
        <f t="shared" si="3"/>
        <v>0</v>
      </c>
      <c r="CV43" s="118">
        <f t="shared" si="4"/>
        <v>0</v>
      </c>
      <c r="CW43" s="118">
        <f t="shared" si="5"/>
        <v>0</v>
      </c>
      <c r="CX43" s="118">
        <f t="shared" si="6"/>
        <v>0</v>
      </c>
      <c r="CY43" s="118">
        <f t="shared" si="7"/>
        <v>0</v>
      </c>
      <c r="CZ43" s="118">
        <f t="shared" si="8"/>
        <v>0</v>
      </c>
      <c r="DA43" s="118">
        <f t="shared" si="9"/>
        <v>0</v>
      </c>
      <c r="DB43" s="118">
        <f t="shared" si="10"/>
        <v>0</v>
      </c>
      <c r="DC43" s="118">
        <f t="shared" si="11"/>
        <v>0</v>
      </c>
    </row>
    <row r="44" spans="2:107" x14ac:dyDescent="0.2">
      <c r="B44" s="107" t="s">
        <v>205</v>
      </c>
      <c r="C44" s="191" t="s">
        <v>154</v>
      </c>
      <c r="D44" s="115"/>
      <c r="E44" s="115"/>
      <c r="F44" s="122"/>
      <c r="G44" s="123"/>
      <c r="H44" s="123"/>
      <c r="I44" s="123"/>
      <c r="J44" s="115">
        <f>SUMIFS(wallet_records!$D:$D,wallet_records!$B:$B,'EEFF 2023'!$C44,wallet_records!$O:$O,'EEFF 2023'!$B$1,wallet_records!$N:$N,'EEFF 2023'!J$2,wallet_records!$H:$H,'EEFF 2023'!$B44)</f>
        <v>0</v>
      </c>
      <c r="K44" s="115"/>
      <c r="L44" s="115"/>
      <c r="M44" s="115"/>
      <c r="N44" s="116"/>
      <c r="O44" s="116"/>
      <c r="P44" s="115"/>
      <c r="Q44" s="115">
        <f>SUMIFS(wallet_records!$D:$D,wallet_records!$B:$B,'EEFF 2023'!$C44,wallet_records!$O:$O,'EEFF 2023'!$B$1,wallet_records!$N:$N,'EEFF 2023'!Q$2,wallet_records!$H:$H,'EEFF 2023'!$B44)</f>
        <v>0</v>
      </c>
      <c r="R44" s="116"/>
      <c r="S44" s="116"/>
      <c r="T44" s="116"/>
      <c r="U44" s="116"/>
      <c r="V44" s="116"/>
      <c r="X44" s="115">
        <f>SUMIFS(wallet_records!$D:$D,wallet_records!$B:$B,'EEFF 2023'!$C44,wallet_records!$O:$O,'EEFF 2023'!$B$1,wallet_records!$N:$N,'EEFF 2023'!X$2,wallet_records!$H:$H,'EEFF 2023'!$B44)</f>
        <v>0</v>
      </c>
      <c r="Y44" s="116"/>
      <c r="Z44" s="116"/>
      <c r="AA44" s="116"/>
      <c r="AB44" s="116"/>
      <c r="AC44" s="116"/>
      <c r="AE44" s="115">
        <f>SUMIFS(wallet_records!$D:$D,wallet_records!$B:$B,'EEFF 2023'!$C44,wallet_records!$O:$O,'EEFF 2023'!$B$1,wallet_records!$N:$N,'EEFF 2023'!AE$2,wallet_records!$H:$H,'EEFF 2023'!$B44)</f>
        <v>0</v>
      </c>
      <c r="AF44" s="116"/>
      <c r="AG44" s="116"/>
      <c r="AH44" s="116"/>
      <c r="AI44" s="116"/>
      <c r="AJ44" s="116"/>
      <c r="AL44" s="115">
        <f>SUMIFS(wallet_records!$D:$D,wallet_records!$B:$B,'EEFF 2023'!$C44,wallet_records!$O:$O,'EEFF 2023'!$B$1,wallet_records!$N:$N,'EEFF 2023'!AL$2,wallet_records!$H:$H,'EEFF 2023'!$B44)</f>
        <v>0</v>
      </c>
      <c r="AM44" s="116"/>
      <c r="AN44" s="116"/>
      <c r="AO44" s="116"/>
      <c r="AP44" s="116"/>
      <c r="AQ44" s="116"/>
      <c r="AS44" s="115">
        <f>SUMIFS(wallet_records!$D:$D,wallet_records!$B:$B,'EEFF 2023'!$C44,wallet_records!$O:$O,'EEFF 2023'!$B$1,wallet_records!$N:$N,'EEFF 2023'!AS$2,wallet_records!$H:$H,'EEFF 2023'!$B44)</f>
        <v>0</v>
      </c>
      <c r="AT44" s="116"/>
      <c r="AU44" s="116"/>
      <c r="AV44" s="116"/>
      <c r="AW44" s="116"/>
      <c r="AX44" s="116"/>
      <c r="AZ44" s="115">
        <f>SUMIFS(wallet_records!$D:$D,wallet_records!$B:$B,'EEFF 2023'!$C44,wallet_records!$O:$O,'EEFF 2023'!$B$1,wallet_records!$N:$N,'EEFF 2023'!AZ$2,wallet_records!$H:$H,'EEFF 2023'!$B44)</f>
        <v>0</v>
      </c>
      <c r="BA44" s="116"/>
      <c r="BB44" s="116"/>
      <c r="BC44" s="116"/>
      <c r="BD44" s="116"/>
      <c r="BE44" s="116"/>
      <c r="BG44" s="115">
        <f>SUMIFS(wallet_records!$D:$D,wallet_records!$B:$B,'EEFF 2023'!$C44,wallet_records!$O:$O,'EEFF 2023'!$B$1,wallet_records!$N:$N,'EEFF 2023'!BG$2,wallet_records!$H:$H,'EEFF 2023'!$B44)</f>
        <v>0</v>
      </c>
      <c r="BH44" s="116"/>
      <c r="BI44" s="116"/>
      <c r="BJ44" s="116"/>
      <c r="BK44" s="116"/>
      <c r="BL44" s="116"/>
      <c r="BN44" s="115">
        <f>SUMIFS(wallet_records!$D:$D,wallet_records!$B:$B,'EEFF 2023'!$C44,wallet_records!$O:$O,'EEFF 2023'!$B$1,wallet_records!$N:$N,'EEFF 2023'!BN$2,wallet_records!$H:$H,'EEFF 2023'!$B44)</f>
        <v>0</v>
      </c>
      <c r="BO44" s="116"/>
      <c r="BP44" s="116"/>
      <c r="BQ44" s="116"/>
      <c r="BR44" s="116"/>
      <c r="BS44" s="116"/>
      <c r="BU44" s="115">
        <f>SUMIFS(wallet_records!$D:$D,wallet_records!$B:$B,'EEFF 2023'!$C44,wallet_records!$O:$O,'EEFF 2023'!$B$1,wallet_records!$N:$N,'EEFF 2023'!BU$2,wallet_records!$H:$H,'EEFF 2023'!$B44)</f>
        <v>0</v>
      </c>
      <c r="BV44" s="116"/>
      <c r="BW44" s="116"/>
      <c r="BX44" s="116"/>
      <c r="BY44" s="116"/>
      <c r="BZ44" s="116"/>
      <c r="CB44" s="115">
        <f>SUMIFS(wallet_records!$D:$D,wallet_records!$B:$B,'EEFF 2023'!$C44,wallet_records!$O:$O,'EEFF 2023'!$B$1,wallet_records!$N:$N,'EEFF 2023'!CB$2,wallet_records!$H:$H,'EEFF 2023'!$B44)</f>
        <v>0</v>
      </c>
      <c r="CC44" s="116"/>
      <c r="CD44" s="116"/>
      <c r="CE44" s="116"/>
      <c r="CF44" s="116"/>
      <c r="CG44" s="116"/>
      <c r="CI44" s="115">
        <f>SUMIFS(wallet_records!$D:$D,wallet_records!$B:$B,'EEFF 2023'!$C44,wallet_records!$O:$O,'EEFF 2023'!$B$1,wallet_records!$N:$N,'EEFF 2023'!CI$2,wallet_records!$H:$H,'EEFF 2023'!$B44)</f>
        <v>0</v>
      </c>
      <c r="CJ44" s="116"/>
      <c r="CK44" s="123"/>
      <c r="CL44" s="123"/>
      <c r="CM44" s="123"/>
      <c r="CN44" s="123"/>
      <c r="CP44" s="115">
        <f>SUMIFS(wallet_records!$D:$D,wallet_records!$B:$B,'EEFF 2023'!$C44,wallet_records!$O:$O,'EEFF 2023'!$B$1,wallet_records!$H:$H,'EEFF 2023'!$B44)</f>
        <v>0</v>
      </c>
      <c r="CQ44" s="107"/>
      <c r="CR44" s="118">
        <f t="shared" si="30"/>
        <v>0</v>
      </c>
      <c r="CS44" s="118">
        <f t="shared" si="1"/>
        <v>0</v>
      </c>
      <c r="CT44" s="118">
        <f t="shared" si="2"/>
        <v>0</v>
      </c>
      <c r="CU44" s="118">
        <f t="shared" si="3"/>
        <v>0</v>
      </c>
      <c r="CV44" s="118">
        <f t="shared" si="4"/>
        <v>0</v>
      </c>
      <c r="CW44" s="118">
        <f t="shared" si="5"/>
        <v>0</v>
      </c>
      <c r="CX44" s="118">
        <f t="shared" si="6"/>
        <v>0</v>
      </c>
      <c r="CY44" s="118">
        <f t="shared" si="7"/>
        <v>0</v>
      </c>
      <c r="CZ44" s="118">
        <f t="shared" si="8"/>
        <v>0</v>
      </c>
      <c r="DA44" s="118">
        <f t="shared" si="9"/>
        <v>0</v>
      </c>
      <c r="DB44" s="118">
        <f t="shared" si="10"/>
        <v>0</v>
      </c>
      <c r="DC44" s="118">
        <f t="shared" si="11"/>
        <v>0</v>
      </c>
    </row>
    <row r="45" spans="2:107" ht="16" x14ac:dyDescent="0.2">
      <c r="B45" s="199" t="s">
        <v>402</v>
      </c>
      <c r="C45" s="194"/>
      <c r="D45" s="124"/>
      <c r="E45" s="124"/>
      <c r="F45" s="124"/>
      <c r="G45" s="124"/>
      <c r="H45" s="124"/>
      <c r="I45" s="124"/>
      <c r="J45" s="110">
        <f>J16+J18-J19-J20-J21-J22-J23-J24-J25-J26-J27-J28-J29-J30-J31-J32-J33-J34-J35-J36-J37-J38-J39-J40-J41+J42-J43-J44</f>
        <v>-8296761.4199999999</v>
      </c>
      <c r="K45" s="110"/>
      <c r="L45" s="110"/>
      <c r="M45" s="110"/>
      <c r="N45" s="110"/>
      <c r="O45" s="110"/>
      <c r="P45" s="110"/>
      <c r="Q45" s="110">
        <f>Q16+Q18-Q19-Q20-Q21-Q22-Q23-Q24-Q25-Q26-Q27-Q28-Q29-Q30-Q31-Q32-Q33-Q34-Q35-Q36-Q37-Q38-Q39-Q40-Q41+Q42-Q43-Q44</f>
        <v>171013.72999999992</v>
      </c>
      <c r="R45" s="110"/>
      <c r="S45" s="110"/>
      <c r="T45" s="110"/>
      <c r="U45" s="110"/>
      <c r="V45" s="110"/>
      <c r="W45" s="110"/>
      <c r="X45" s="110">
        <f>X16+X18-X19-X20-X21-X22-X23-X24-X25-X26-X27-X28-X29-X30-X31-X32-X33-X34-X35-X36-X37-X38-X39-X40-X41+X42-X43-X44</f>
        <v>-917919.74</v>
      </c>
      <c r="Y45" s="110"/>
      <c r="Z45" s="110"/>
      <c r="AA45" s="110"/>
      <c r="AB45" s="110"/>
      <c r="AC45" s="110"/>
      <c r="AD45" s="110"/>
      <c r="AE45" s="110">
        <f>AE16+AE18-AE19-AE20-AE21-AE22-AE23-AE24-AE25-AE26-AE27-AE28-AE29-AE30-AE31-AE32-AE33-AE34-AE35-AE36-AE37-AE38-AE39-AE40-AE41+AE42-AE43-AE44</f>
        <v>754353.49000000022</v>
      </c>
      <c r="AF45" s="110"/>
      <c r="AG45" s="110"/>
      <c r="AH45" s="110"/>
      <c r="AI45" s="110"/>
      <c r="AJ45" s="110"/>
      <c r="AK45" s="110"/>
      <c r="AL45" s="110">
        <f>AL16+AL18-AL19-AL20-AL21-AL22-AL23-AL24-AL25-AL26-AL27-AL28-AL29-AL30-AL31-AL32-AL33-AL34-AL35-AL36-AL37-AL38-AL39-AL40-AL41+AL42-AL43-AL44</f>
        <v>4424339.88</v>
      </c>
      <c r="AM45" s="110"/>
      <c r="AN45" s="110"/>
      <c r="AO45" s="110"/>
      <c r="AP45" s="110"/>
      <c r="AQ45" s="110"/>
      <c r="AR45" s="110"/>
      <c r="AS45" s="110">
        <f>AS16+AS18-AS19-AS20-AS21-AS22-AS23-AS24-AS25-AS26-AS27-AS28-AS29-AS30-AS31-AS32-AS33-AS34-AS35-AS36-AS37-AS38-AS39-AS40-AS41+AS42-AS43-AS44</f>
        <v>2146539.4500000002</v>
      </c>
      <c r="AT45" s="110"/>
      <c r="AU45" s="110"/>
      <c r="AV45" s="110"/>
      <c r="AW45" s="110"/>
      <c r="AX45" s="110"/>
      <c r="AY45" s="110"/>
      <c r="AZ45" s="110">
        <f>AZ16+AZ18-AZ19-AZ20-AZ21-AZ22-AZ23-AZ24-AZ25-AZ26-AZ27-AZ28-AZ29-AZ30-AZ31-AZ32-AZ33-AZ34-AZ35-AZ36-AZ37-AZ38-AZ39-AZ40-AZ41+AZ42-AZ43-AZ44</f>
        <v>561631.71</v>
      </c>
      <c r="BA45" s="110"/>
      <c r="BB45" s="110"/>
      <c r="BC45" s="110"/>
      <c r="BD45" s="110"/>
      <c r="BE45" s="110"/>
      <c r="BF45" s="110"/>
      <c r="BG45" s="110">
        <f>BG16+BG18-BG19-BG20-BG21-BG22-BG23-BG24-BG25-BG26-BG27-BG28-BG29-BG30-BG31-BG32-BG33-BG34-BG35-BG36-BG37-BG38-BG39-BG40-BG41+BG42-BG43-BG44</f>
        <v>2668281.5999999992</v>
      </c>
      <c r="BH45" s="110"/>
      <c r="BI45" s="110"/>
      <c r="BJ45" s="110"/>
      <c r="BK45" s="110"/>
      <c r="BL45" s="110"/>
      <c r="BM45" s="110"/>
      <c r="BN45" s="110">
        <f>BN16+BN18-BN19-BN20-BN21-BN22-BN23-BN24-BN25-BN26-BN27-BN28-BN29-BN30-BN31-BN32-BN33-BN34-BN35-BN36-BN37-BN38-BN39-BN40-BN41+BN42-BN43-BN44</f>
        <v>9321918</v>
      </c>
      <c r="BO45" s="110"/>
      <c r="BP45" s="110"/>
      <c r="BQ45" s="110"/>
      <c r="BR45" s="110"/>
      <c r="BS45" s="110"/>
      <c r="BT45" s="110"/>
      <c r="BU45" s="110">
        <f>BU16+BU18-BU19-BU20-BU21-BU22-BU23-BU24-BU25-BU26-BU27-BU28-BU29-BU30-BU31-BU32-BU33-BU34-BU35-BU36-BU37-BU38-BU39-BU40-BU41+BU42-BU43-BU44</f>
        <v>-9491694.5299999975</v>
      </c>
      <c r="BV45" s="110"/>
      <c r="BW45" s="110"/>
      <c r="BX45" s="110"/>
      <c r="BY45" s="110"/>
      <c r="BZ45" s="110"/>
      <c r="CA45" s="110"/>
      <c r="CB45" s="110">
        <f>CB16+CB18-CB19-CB20-CB21-CB22-CB23-CB24-CB25-CB26-CB27-CB28-CB29-CB30-CB31-CB32-CB33-CB34-CB35-CB36-CB37-CB38-CB39-CB40-CB41+CB42-CB43-CB44</f>
        <v>-16920058.68</v>
      </c>
      <c r="CC45" s="110"/>
      <c r="CD45" s="110"/>
      <c r="CE45" s="110"/>
      <c r="CF45" s="110"/>
      <c r="CG45" s="110"/>
      <c r="CH45" s="110"/>
      <c r="CI45" s="110">
        <f>CI16+CI18-CI19-CI20-CI21-CI22-CI23-CI24-CI25-CI26-CI27-CI28-CI29-CI30-CI31-CI32-CI33-CI34-CI35-CI36-CI37-CI38-CI39-CI40-CI41+CI42-CI43-CI44</f>
        <v>3386925.5900000003</v>
      </c>
      <c r="CJ45" s="110"/>
      <c r="CK45" s="110"/>
      <c r="CL45" s="110"/>
      <c r="CM45" s="110"/>
      <c r="CN45" s="110"/>
      <c r="CO45" s="110"/>
      <c r="CP45" s="110">
        <f>CP16+CP18-CP19-CP20-CP21-CP22-CP23-CP24-CP25-CP26-CP27-CP28-CP29-CP30-CP31-CP32-CP33-CP34-CP35-CP36-CP37-CP38-CP39-CP40-CP41+CP42-CP43-CP44</f>
        <v>-12191430.919999996</v>
      </c>
      <c r="CQ45" s="107"/>
      <c r="CR45" s="125">
        <f t="shared" si="30"/>
        <v>-2.370503262857143</v>
      </c>
      <c r="CS45" s="125">
        <f t="shared" si="1"/>
        <v>3.3014233590733577E-2</v>
      </c>
      <c r="CT45" s="125">
        <f t="shared" si="2"/>
        <v>-0.21053205045871559</v>
      </c>
      <c r="CU45" s="125">
        <f t="shared" si="3"/>
        <v>0.18953605276381916</v>
      </c>
      <c r="CV45" s="125">
        <f t="shared" si="4"/>
        <v>0.95331606981254036</v>
      </c>
      <c r="CW45" s="125">
        <f t="shared" si="5"/>
        <v>0.39451193714390742</v>
      </c>
      <c r="CX45" s="125">
        <f t="shared" si="6"/>
        <v>0.26988549255165784</v>
      </c>
      <c r="CY45" s="125">
        <f t="shared" si="7"/>
        <v>0.34554281274281262</v>
      </c>
      <c r="CZ45" s="125">
        <f t="shared" si="8"/>
        <v>1.0402765316370941</v>
      </c>
      <c r="DA45" s="125">
        <f t="shared" si="9"/>
        <v>-5.2731636277777767</v>
      </c>
      <c r="DB45" s="125">
        <f t="shared" si="10"/>
        <v>-4.7249535548729407</v>
      </c>
      <c r="DC45" s="125">
        <f t="shared" si="11"/>
        <v>0.77860358390804607</v>
      </c>
    </row>
    <row r="46" spans="2:107" ht="16" x14ac:dyDescent="0.2">
      <c r="B46" s="112" t="s">
        <v>90</v>
      </c>
      <c r="C46" s="192" t="s">
        <v>154</v>
      </c>
      <c r="D46" s="126"/>
      <c r="E46" s="126"/>
      <c r="F46" s="126"/>
      <c r="G46" s="127"/>
      <c r="H46" s="127"/>
      <c r="I46" s="127"/>
      <c r="J46" s="115">
        <f>SUMIFS(wallet_records!$D:$D,wallet_records!$B:$B,'EEFF 2023'!$C46,wallet_records!$O:$O,'EEFF 2023'!$B$1,wallet_records!$N:$N,'EEFF 2023'!J$2,wallet_records!$H:$H,'EEFF 2023'!$B46)</f>
        <v>0</v>
      </c>
      <c r="K46" s="115"/>
      <c r="L46" s="115"/>
      <c r="M46" s="115"/>
      <c r="N46" s="116"/>
      <c r="O46" s="116"/>
      <c r="P46" s="116"/>
      <c r="Q46" s="115">
        <f>SUMIFS(wallet_records!$D:$D,wallet_records!$B:$B,'EEFF 2023'!$C46,wallet_records!$O:$O,'EEFF 2023'!$B$1,wallet_records!$N:$N,'EEFF 2023'!Q$2,wallet_records!$H:$H,'EEFF 2023'!$B46)</f>
        <v>0</v>
      </c>
      <c r="R46" s="119"/>
      <c r="S46" s="119"/>
      <c r="T46" s="119"/>
      <c r="U46" s="128"/>
      <c r="V46" s="128"/>
      <c r="X46" s="115">
        <f>SUMIFS(wallet_records!$D:$D,wallet_records!$B:$B,'EEFF 2023'!$C46,wallet_records!$O:$O,'EEFF 2023'!$B$1,wallet_records!$N:$N,'EEFF 2023'!X$2,wallet_records!$H:$H,'EEFF 2023'!$B46)</f>
        <v>0</v>
      </c>
      <c r="Y46" s="128"/>
      <c r="Z46" s="128"/>
      <c r="AA46" s="128"/>
      <c r="AB46" s="128"/>
      <c r="AC46" s="128"/>
      <c r="AE46" s="115">
        <f>SUMIFS(wallet_records!$D:$D,wallet_records!$B:$B,'EEFF 2023'!$C46,wallet_records!$O:$O,'EEFF 2023'!$B$1,wallet_records!$N:$N,'EEFF 2023'!AE$2,wallet_records!$H:$H,'EEFF 2023'!$B46)</f>
        <v>0</v>
      </c>
      <c r="AF46" s="128"/>
      <c r="AG46" s="128"/>
      <c r="AH46" s="128"/>
      <c r="AI46" s="128"/>
      <c r="AJ46" s="128"/>
      <c r="AL46" s="115">
        <f>SUMIFS(wallet_records!$D:$D,wallet_records!$B:$B,'EEFF 2023'!$C46,wallet_records!$O:$O,'EEFF 2023'!$B$1,wallet_records!$N:$N,'EEFF 2023'!AL$2,wallet_records!$H:$H,'EEFF 2023'!$B46)</f>
        <v>0</v>
      </c>
      <c r="AM46" s="128"/>
      <c r="AN46" s="128"/>
      <c r="AO46" s="128"/>
      <c r="AP46" s="128"/>
      <c r="AQ46" s="128"/>
      <c r="AS46" s="115">
        <f>SUMIFS(wallet_records!$D:$D,wallet_records!$B:$B,'EEFF 2023'!$C46,wallet_records!$O:$O,'EEFF 2023'!$B$1,wallet_records!$N:$N,'EEFF 2023'!AS$2,wallet_records!$H:$H,'EEFF 2023'!$B46)</f>
        <v>0</v>
      </c>
      <c r="AT46" s="128"/>
      <c r="AU46" s="128"/>
      <c r="AV46" s="128"/>
      <c r="AW46" s="128"/>
      <c r="AX46" s="128"/>
      <c r="AZ46" s="115">
        <f>SUMIFS(wallet_records!$D:$D,wallet_records!$B:$B,'EEFF 2023'!$C46,wallet_records!$O:$O,'EEFF 2023'!$B$1,wallet_records!$N:$N,'EEFF 2023'!AZ$2,wallet_records!$H:$H,'EEFF 2023'!$B46)</f>
        <v>0</v>
      </c>
      <c r="BA46" s="128"/>
      <c r="BB46" s="128"/>
      <c r="BC46" s="128"/>
      <c r="BD46" s="128"/>
      <c r="BE46" s="128"/>
      <c r="BG46" s="115">
        <f>SUMIFS(wallet_records!$D:$D,wallet_records!$B:$B,'EEFF 2023'!$C46,wallet_records!$O:$O,'EEFF 2023'!$B$1,wallet_records!$N:$N,'EEFF 2023'!BG$2,wallet_records!$H:$H,'EEFF 2023'!$B46)</f>
        <v>0</v>
      </c>
      <c r="BH46" s="128"/>
      <c r="BI46" s="128"/>
      <c r="BJ46" s="128"/>
      <c r="BK46" s="128"/>
      <c r="BL46" s="128"/>
      <c r="BN46" s="115">
        <f>SUMIFS(wallet_records!$D:$D,wallet_records!$B:$B,'EEFF 2023'!$C46,wallet_records!$O:$O,'EEFF 2023'!$B$1,wallet_records!$N:$N,'EEFF 2023'!BN$2,wallet_records!$H:$H,'EEFF 2023'!$B46)</f>
        <v>0</v>
      </c>
      <c r="BO46" s="128"/>
      <c r="BP46" s="128"/>
      <c r="BQ46" s="128"/>
      <c r="BR46" s="128"/>
      <c r="BS46" s="128"/>
      <c r="BU46" s="115">
        <f>SUMIFS(wallet_records!$D:$D,wallet_records!$B:$B,'EEFF 2023'!$C46,wallet_records!$O:$O,'EEFF 2023'!$B$1,wallet_records!$N:$N,'EEFF 2023'!BU$2,wallet_records!$H:$H,'EEFF 2023'!$B46)</f>
        <v>0</v>
      </c>
      <c r="BV46" s="128"/>
      <c r="BW46" s="128"/>
      <c r="BX46" s="128"/>
      <c r="BY46" s="128"/>
      <c r="BZ46" s="128"/>
      <c r="CB46" s="115">
        <f>SUMIFS(wallet_records!$D:$D,wallet_records!$B:$B,'EEFF 2023'!$C46,wallet_records!$O:$O,'EEFF 2023'!$B$1,wallet_records!$N:$N,'EEFF 2023'!CB$2,wallet_records!$H:$H,'EEFF 2023'!$B46)</f>
        <v>0</v>
      </c>
      <c r="CC46" s="128"/>
      <c r="CD46" s="128"/>
      <c r="CE46" s="128"/>
      <c r="CF46" s="128"/>
      <c r="CG46" s="128"/>
      <c r="CI46" s="115">
        <f>SUMIFS(wallet_records!$D:$D,wallet_records!$B:$B,'EEFF 2023'!$C46,wallet_records!$O:$O,'EEFF 2023'!$B$1,wallet_records!$N:$N,'EEFF 2023'!CI$2,wallet_records!$H:$H,'EEFF 2023'!$B46)</f>
        <v>0</v>
      </c>
      <c r="CJ46" s="128"/>
      <c r="CK46" s="128"/>
      <c r="CL46" s="128"/>
      <c r="CM46" s="128"/>
      <c r="CN46" s="128"/>
      <c r="CP46" s="115">
        <f>SUMIFS(wallet_records!$D:$D,wallet_records!$B:$B,'EEFF 2023'!$C46,wallet_records!$O:$O,'EEFF 2023'!$B$1,wallet_records!$H:$H,'EEFF 2023'!$B46)</f>
        <v>0</v>
      </c>
      <c r="CQ46" s="107"/>
      <c r="CR46" s="111">
        <f t="shared" si="30"/>
        <v>0</v>
      </c>
      <c r="CS46" s="111">
        <f t="shared" si="1"/>
        <v>0</v>
      </c>
      <c r="CT46" s="111">
        <f t="shared" si="2"/>
        <v>0</v>
      </c>
      <c r="CU46" s="111">
        <f t="shared" si="3"/>
        <v>0</v>
      </c>
      <c r="CV46" s="111">
        <f t="shared" si="4"/>
        <v>0</v>
      </c>
      <c r="CW46" s="111">
        <f t="shared" si="5"/>
        <v>0</v>
      </c>
      <c r="CX46" s="111">
        <f t="shared" si="6"/>
        <v>0</v>
      </c>
      <c r="CY46" s="111">
        <f t="shared" si="7"/>
        <v>0</v>
      </c>
      <c r="CZ46" s="111">
        <f t="shared" si="8"/>
        <v>0</v>
      </c>
      <c r="DA46" s="111">
        <f t="shared" si="9"/>
        <v>0</v>
      </c>
      <c r="DB46" s="111">
        <f t="shared" si="10"/>
        <v>0</v>
      </c>
      <c r="DC46" s="111">
        <f t="shared" si="11"/>
        <v>0</v>
      </c>
    </row>
    <row r="47" spans="2:107" ht="16" x14ac:dyDescent="0.2">
      <c r="B47" s="129" t="s">
        <v>352</v>
      </c>
      <c r="C47" s="206"/>
      <c r="D47" s="130"/>
      <c r="E47" s="130"/>
      <c r="F47" s="130"/>
      <c r="G47" s="130"/>
      <c r="H47" s="130"/>
      <c r="I47" s="130"/>
      <c r="J47" s="110">
        <f>J45-J46</f>
        <v>-8296761.4199999999</v>
      </c>
      <c r="K47" s="110"/>
      <c r="L47" s="110"/>
      <c r="M47" s="110"/>
      <c r="N47" s="110"/>
      <c r="O47" s="110"/>
      <c r="P47" s="110"/>
      <c r="Q47" s="110">
        <f>Q45-Q46</f>
        <v>171013.72999999992</v>
      </c>
      <c r="R47" s="110"/>
      <c r="S47" s="110"/>
      <c r="T47" s="110"/>
      <c r="U47" s="110"/>
      <c r="V47" s="110"/>
      <c r="W47" s="110"/>
      <c r="X47" s="110">
        <f>X45-X46</f>
        <v>-917919.74</v>
      </c>
      <c r="Y47" s="110"/>
      <c r="Z47" s="110"/>
      <c r="AA47" s="110"/>
      <c r="AB47" s="110"/>
      <c r="AC47" s="110"/>
      <c r="AD47" s="110"/>
      <c r="AE47" s="110">
        <f>AE45-AE46</f>
        <v>754353.49000000022</v>
      </c>
      <c r="AF47" s="110"/>
      <c r="AG47" s="110"/>
      <c r="AH47" s="110"/>
      <c r="AI47" s="110"/>
      <c r="AJ47" s="110"/>
      <c r="AK47" s="110"/>
      <c r="AL47" s="110">
        <f>AL45-AL46</f>
        <v>4424339.88</v>
      </c>
      <c r="AM47" s="110"/>
      <c r="AN47" s="110"/>
      <c r="AO47" s="110"/>
      <c r="AP47" s="110"/>
      <c r="AQ47" s="110"/>
      <c r="AR47" s="110"/>
      <c r="AS47" s="110">
        <f>AS45-AS46</f>
        <v>2146539.4500000002</v>
      </c>
      <c r="AT47" s="110"/>
      <c r="AU47" s="110"/>
      <c r="AV47" s="110"/>
      <c r="AW47" s="110"/>
      <c r="AX47" s="110"/>
      <c r="AY47" s="110"/>
      <c r="AZ47" s="110">
        <f>AZ45-AZ46</f>
        <v>561631.71</v>
      </c>
      <c r="BA47" s="110"/>
      <c r="BB47" s="110"/>
      <c r="BC47" s="110"/>
      <c r="BD47" s="110"/>
      <c r="BE47" s="110"/>
      <c r="BF47" s="110"/>
      <c r="BG47" s="110">
        <f>BG45-BG46</f>
        <v>2668281.5999999992</v>
      </c>
      <c r="BH47" s="110"/>
      <c r="BI47" s="110"/>
      <c r="BJ47" s="110"/>
      <c r="BK47" s="110"/>
      <c r="BL47" s="110"/>
      <c r="BM47" s="110"/>
      <c r="BN47" s="110">
        <f>BN45-BN46</f>
        <v>9321918</v>
      </c>
      <c r="BO47" s="110"/>
      <c r="BP47" s="110"/>
      <c r="BQ47" s="110"/>
      <c r="BR47" s="110"/>
      <c r="BS47" s="110"/>
      <c r="BT47" s="110"/>
      <c r="BU47" s="110">
        <f>BU45-BU46</f>
        <v>-9491694.5299999975</v>
      </c>
      <c r="BV47" s="110"/>
      <c r="BW47" s="110"/>
      <c r="BX47" s="110"/>
      <c r="BY47" s="110"/>
      <c r="BZ47" s="110"/>
      <c r="CA47" s="110"/>
      <c r="CB47" s="110">
        <f>CB45-CB46</f>
        <v>-16920058.68</v>
      </c>
      <c r="CC47" s="110"/>
      <c r="CD47" s="110"/>
      <c r="CE47" s="110"/>
      <c r="CF47" s="110"/>
      <c r="CG47" s="110"/>
      <c r="CH47" s="110"/>
      <c r="CI47" s="110">
        <f>CI45-CI46</f>
        <v>3386925.5900000003</v>
      </c>
      <c r="CJ47" s="110"/>
      <c r="CK47" s="110"/>
      <c r="CL47" s="110"/>
      <c r="CM47" s="110"/>
      <c r="CN47" s="110"/>
      <c r="CO47" s="110"/>
      <c r="CP47" s="263">
        <f>J47+Q47+X47+AE47+AL47+AS47+AZ47+BG47+BN47+BU47+CB47+CI47</f>
        <v>-12191430.919999998</v>
      </c>
      <c r="CQ47" s="107"/>
      <c r="CR47" s="131">
        <f t="shared" si="30"/>
        <v>-2.370503262857143</v>
      </c>
      <c r="CS47" s="131">
        <f t="shared" si="1"/>
        <v>3.3014233590733577E-2</v>
      </c>
      <c r="CT47" s="131">
        <f>X47/X$6</f>
        <v>-0.21053205045871559</v>
      </c>
      <c r="CU47" s="131">
        <f>AE47/AE$6</f>
        <v>0.18953605276381916</v>
      </c>
      <c r="CV47" s="131">
        <f>AL47/AL$6</f>
        <v>0.95331606981254036</v>
      </c>
      <c r="CW47" s="131">
        <f>AS47/AS$6</f>
        <v>0.39451193714390742</v>
      </c>
      <c r="CX47" s="131">
        <f>AZ47/AZ$6</f>
        <v>0.26988549255165784</v>
      </c>
      <c r="CY47" s="131">
        <f>BG47/BG$6</f>
        <v>0.34554281274281262</v>
      </c>
      <c r="CZ47" s="131">
        <f>BN47/BN$6</f>
        <v>1.0402765316370941</v>
      </c>
      <c r="DA47" s="131">
        <f>BU47/BU$6</f>
        <v>-5.2731636277777767</v>
      </c>
      <c r="DB47" s="131">
        <f>CB47/CB$6</f>
        <v>-4.7249535548729407</v>
      </c>
      <c r="DC47" s="131">
        <f>CI47/CI$6</f>
        <v>0.77860358390804607</v>
      </c>
    </row>
    <row r="48" spans="2:107" x14ac:dyDescent="0.2">
      <c r="D48" s="106"/>
      <c r="E48" s="106"/>
      <c r="F48" s="132"/>
      <c r="I48" s="133"/>
      <c r="J48" s="133"/>
      <c r="K48" s="106"/>
      <c r="L48" s="106"/>
      <c r="M48" s="134"/>
      <c r="P48" s="116"/>
      <c r="Q48" s="133"/>
      <c r="R48" s="133"/>
      <c r="S48" s="133"/>
      <c r="T48" s="133"/>
      <c r="U48" s="133"/>
      <c r="V48" s="133"/>
      <c r="Y48" s="133"/>
      <c r="Z48" s="133"/>
      <c r="AA48" s="133"/>
      <c r="AB48" s="133"/>
      <c r="AC48" s="133"/>
      <c r="AF48" s="133"/>
      <c r="AG48" s="133"/>
      <c r="AH48" s="133"/>
      <c r="AI48" s="133"/>
      <c r="AJ48" s="133"/>
      <c r="AM48" s="133"/>
      <c r="AN48" s="133"/>
      <c r="AO48" s="133"/>
      <c r="AP48" s="133"/>
      <c r="AQ48" s="133"/>
      <c r="AT48" s="133"/>
      <c r="AU48" s="133"/>
      <c r="AV48" s="133"/>
      <c r="AW48" s="133"/>
      <c r="AX48" s="133"/>
      <c r="BA48" s="133"/>
      <c r="BB48" s="133"/>
      <c r="BC48" s="133"/>
      <c r="BD48" s="133"/>
      <c r="BE48" s="133"/>
      <c r="BH48" s="133"/>
      <c r="BI48" s="133"/>
      <c r="BJ48" s="133"/>
      <c r="BK48" s="133"/>
      <c r="BL48" s="133"/>
      <c r="BO48" s="133"/>
      <c r="BP48" s="133"/>
      <c r="BQ48" s="133"/>
      <c r="BR48" s="133"/>
      <c r="BS48" s="133"/>
      <c r="BV48" s="133"/>
      <c r="BW48" s="133"/>
      <c r="BX48" s="133"/>
      <c r="BY48" s="133"/>
      <c r="BZ48" s="133"/>
      <c r="CC48" s="133"/>
      <c r="CD48" s="133"/>
      <c r="CE48" s="133"/>
      <c r="CF48" s="133"/>
      <c r="CG48" s="133"/>
      <c r="CJ48" s="133"/>
      <c r="CK48" s="133"/>
      <c r="CL48" s="133"/>
      <c r="CM48" s="133"/>
      <c r="CN48" s="133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</row>
    <row r="49" spans="2:107" ht="16" x14ac:dyDescent="0.2">
      <c r="D49" s="106"/>
      <c r="E49" s="106"/>
      <c r="F49" s="106"/>
      <c r="K49" s="106"/>
      <c r="L49" s="106"/>
      <c r="M49" s="106"/>
      <c r="P49" s="120"/>
    </row>
    <row r="50" spans="2:107" s="181" customFormat="1" ht="16" x14ac:dyDescent="0.2">
      <c r="B50" s="183" t="s">
        <v>403</v>
      </c>
      <c r="C50" s="214"/>
      <c r="D50" s="184"/>
      <c r="E50" s="185"/>
      <c r="F50" s="185"/>
      <c r="G50" s="185"/>
      <c r="I50" s="186"/>
      <c r="J50" s="186"/>
      <c r="K50" s="184"/>
      <c r="L50" s="185"/>
      <c r="M50" s="185"/>
      <c r="N50" s="185"/>
      <c r="P50" s="115"/>
      <c r="Q50" s="186"/>
      <c r="R50" s="186"/>
      <c r="S50" s="186"/>
      <c r="T50" s="186"/>
      <c r="U50" s="186"/>
      <c r="V50" s="186"/>
      <c r="Y50" s="186"/>
      <c r="Z50" s="186"/>
      <c r="AA50" s="186"/>
      <c r="AB50" s="186"/>
      <c r="AC50" s="186"/>
      <c r="AF50" s="186"/>
      <c r="AG50" s="186"/>
      <c r="AH50" s="186"/>
      <c r="AI50" s="186"/>
      <c r="AJ50" s="186"/>
      <c r="AM50" s="186"/>
      <c r="AN50" s="186"/>
      <c r="AO50" s="186"/>
      <c r="AP50" s="186"/>
      <c r="AQ50" s="186"/>
      <c r="AT50" s="186"/>
      <c r="AU50" s="186"/>
      <c r="AV50" s="186"/>
      <c r="AW50" s="186"/>
      <c r="AX50" s="186"/>
      <c r="BA50" s="186"/>
      <c r="BB50" s="186"/>
      <c r="BC50" s="186"/>
      <c r="BD50" s="186"/>
      <c r="BE50" s="186"/>
      <c r="BH50" s="186"/>
      <c r="BI50" s="186"/>
      <c r="BJ50" s="186"/>
      <c r="BK50" s="186"/>
      <c r="BL50" s="186"/>
      <c r="BO50" s="186"/>
      <c r="BP50" s="186"/>
      <c r="BQ50" s="186"/>
      <c r="BR50" s="186"/>
      <c r="BS50" s="186"/>
      <c r="BV50" s="186"/>
      <c r="BW50" s="186"/>
      <c r="BX50" s="186"/>
      <c r="BY50" s="186"/>
      <c r="BZ50" s="186"/>
      <c r="CC50" s="186"/>
      <c r="CD50" s="186"/>
      <c r="CE50" s="186"/>
      <c r="CF50" s="186"/>
      <c r="CG50" s="186"/>
      <c r="CJ50" s="186"/>
      <c r="CK50" s="186"/>
      <c r="CL50" s="186"/>
      <c r="CM50" s="186"/>
      <c r="CN50" s="186"/>
    </row>
    <row r="51" spans="2:107" x14ac:dyDescent="0.2">
      <c r="B51" s="105" t="s">
        <v>404</v>
      </c>
      <c r="D51" s="136"/>
      <c r="E51" s="136"/>
      <c r="F51" s="136"/>
      <c r="G51" s="137"/>
      <c r="H51" s="137"/>
      <c r="I51" s="137"/>
      <c r="J51" s="137">
        <f>SUM(J52:P57)</f>
        <v>21854980.259999998</v>
      </c>
      <c r="K51" s="138"/>
      <c r="L51" s="138"/>
      <c r="M51" s="138"/>
      <c r="N51" s="137"/>
      <c r="O51" s="137"/>
      <c r="P51" s="115"/>
      <c r="Q51" s="137">
        <f>SUM(Q52:W57)</f>
        <v>22025993.990000002</v>
      </c>
      <c r="R51" s="137"/>
      <c r="S51" s="137"/>
      <c r="T51" s="137"/>
      <c r="U51" s="137"/>
      <c r="V51" s="137"/>
      <c r="X51" s="137">
        <f>SUM(X52:AD57)</f>
        <v>21108074.25</v>
      </c>
      <c r="Y51" s="137"/>
      <c r="Z51" s="137"/>
      <c r="AA51" s="137"/>
      <c r="AB51" s="137"/>
      <c r="AC51" s="137"/>
      <c r="AE51" s="137">
        <f>SUM(AE52:AK57)</f>
        <v>21862427.740000002</v>
      </c>
      <c r="AF51" s="137"/>
      <c r="AG51" s="137"/>
      <c r="AH51" s="137"/>
      <c r="AI51" s="137"/>
      <c r="AJ51" s="137"/>
      <c r="AL51" s="137">
        <f>SUM(AL52:AR57)</f>
        <v>26286767.620000001</v>
      </c>
      <c r="AM51" s="137"/>
      <c r="AN51" s="137"/>
      <c r="AO51" s="137"/>
      <c r="AP51" s="137"/>
      <c r="AQ51" s="137"/>
      <c r="AS51" s="137">
        <f>SUM(AS52:AY57)</f>
        <v>28433307.07</v>
      </c>
      <c r="AT51" s="137"/>
      <c r="AU51" s="137"/>
      <c r="AV51" s="137"/>
      <c r="AW51" s="137"/>
      <c r="AX51" s="137"/>
      <c r="AZ51" s="137">
        <f>SUM(AZ52:BF57)</f>
        <v>28994938.780000001</v>
      </c>
      <c r="BA51" s="137"/>
      <c r="BB51" s="137"/>
      <c r="BC51" s="137"/>
      <c r="BD51" s="137"/>
      <c r="BE51" s="137"/>
      <c r="BG51" s="137">
        <f>SUM(BG52:BM57)</f>
        <v>31663220.379999999</v>
      </c>
      <c r="BH51" s="137"/>
      <c r="BI51" s="137"/>
      <c r="BJ51" s="137"/>
      <c r="BK51" s="137"/>
      <c r="BL51" s="137"/>
      <c r="BN51" s="137">
        <f>SUM(BN52:BT57)</f>
        <v>56633804.390000001</v>
      </c>
      <c r="BO51" s="137"/>
      <c r="BP51" s="137"/>
      <c r="BQ51" s="137"/>
      <c r="BR51" s="137"/>
      <c r="BS51" s="137"/>
      <c r="BU51" s="137">
        <f>SUM(BU52:CA57)</f>
        <v>47142109.859999999</v>
      </c>
      <c r="BV51" s="137"/>
      <c r="BW51" s="137"/>
      <c r="BX51" s="137"/>
      <c r="BY51" s="137"/>
      <c r="BZ51" s="137"/>
      <c r="CB51" s="137">
        <f>SUM(CB52:CH57)</f>
        <v>48747751.18</v>
      </c>
      <c r="CC51" s="137"/>
      <c r="CD51" s="137"/>
      <c r="CE51" s="137"/>
      <c r="CF51" s="137"/>
      <c r="CG51" s="137"/>
      <c r="CI51" s="137">
        <f>SUM(CI52:CO57)</f>
        <v>52134676.769999996</v>
      </c>
      <c r="CJ51" s="137"/>
      <c r="CK51" s="137"/>
      <c r="CL51" s="137"/>
      <c r="CM51" s="137"/>
      <c r="CN51" s="137"/>
      <c r="CP51" s="137">
        <f>CI51</f>
        <v>52134676.769999996</v>
      </c>
      <c r="CR51" s="139">
        <f>J51/J$64</f>
        <v>1.1456833905375738E-2</v>
      </c>
      <c r="CS51" s="139">
        <f>Q51/Q$64</f>
        <v>1.154544781211253E-2</v>
      </c>
      <c r="CT51" s="139">
        <f>X51/X$64</f>
        <v>1.1069624525625122E-2</v>
      </c>
      <c r="CU51" s="139">
        <f>AE51/AE$64</f>
        <v>1.1460693284884291E-2</v>
      </c>
      <c r="CV51" s="139">
        <f>AL51/AL$64</f>
        <v>1.3748128619393975E-2</v>
      </c>
      <c r="CW51" s="139">
        <f>AS51/AS$64</f>
        <v>1.4854104936204747E-2</v>
      </c>
      <c r="CX51" s="139">
        <f>AZ51/AZ$64</f>
        <v>1.5143069027919728E-2</v>
      </c>
      <c r="CY51" s="139">
        <f>BG51/BG$64</f>
        <v>1.65136090495374E-2</v>
      </c>
      <c r="CZ51" s="139">
        <f>BN51/BN$64</f>
        <v>2.9157030210336676E-2</v>
      </c>
      <c r="DA51" s="139">
        <f>BU51/BU$64</f>
        <v>2.4389562710082243E-2</v>
      </c>
      <c r="DB51" s="139">
        <f>CB51/CB$64</f>
        <v>2.5199328366724026E-2</v>
      </c>
      <c r="DC51" s="139">
        <f>CI51/CI$64</f>
        <v>2.6903040244268692E-2</v>
      </c>
    </row>
    <row r="52" spans="2:107" x14ac:dyDescent="0.2">
      <c r="C52" s="204" t="s">
        <v>505</v>
      </c>
      <c r="D52" s="136"/>
      <c r="E52" s="136"/>
      <c r="F52" s="136"/>
      <c r="G52" s="137"/>
      <c r="H52" s="137"/>
      <c r="I52" s="137"/>
      <c r="J52" s="137">
        <v>0</v>
      </c>
      <c r="K52" s="138"/>
      <c r="L52" s="138"/>
      <c r="M52" s="138"/>
      <c r="N52" s="137"/>
      <c r="O52" s="137"/>
      <c r="P52" s="115"/>
      <c r="Q52" s="137">
        <v>0</v>
      </c>
      <c r="R52" s="137"/>
      <c r="S52" s="137"/>
      <c r="T52" s="137"/>
      <c r="U52" s="137"/>
      <c r="V52" s="137"/>
      <c r="X52" s="137">
        <v>0</v>
      </c>
      <c r="Y52" s="137"/>
      <c r="Z52" s="137"/>
      <c r="AA52" s="137"/>
      <c r="AB52" s="137"/>
      <c r="AC52" s="137"/>
      <c r="AE52" s="137">
        <v>0</v>
      </c>
      <c r="AF52" s="137"/>
      <c r="AG52" s="137"/>
      <c r="AH52" s="137"/>
      <c r="AI52" s="137"/>
      <c r="AJ52" s="137"/>
      <c r="AL52" s="137">
        <v>0</v>
      </c>
      <c r="AM52" s="137"/>
      <c r="AN52" s="137"/>
      <c r="AO52" s="137"/>
      <c r="AP52" s="137"/>
      <c r="AQ52" s="137"/>
      <c r="AS52" s="137">
        <v>0</v>
      </c>
      <c r="AT52" s="137"/>
      <c r="AU52" s="137"/>
      <c r="AV52" s="137"/>
      <c r="AW52" s="137"/>
      <c r="AX52" s="137"/>
      <c r="AZ52" s="137">
        <v>0</v>
      </c>
      <c r="BA52" s="137"/>
      <c r="BB52" s="137"/>
      <c r="BC52" s="137"/>
      <c r="BD52" s="137"/>
      <c r="BE52" s="137"/>
      <c r="BG52" s="137">
        <v>0</v>
      </c>
      <c r="BH52" s="137"/>
      <c r="BI52" s="137"/>
      <c r="BJ52" s="137"/>
      <c r="BK52" s="137"/>
      <c r="BL52" s="137"/>
      <c r="BN52" s="137">
        <v>0</v>
      </c>
      <c r="BO52" s="137"/>
      <c r="BP52" s="137"/>
      <c r="BQ52" s="137"/>
      <c r="BR52" s="137"/>
      <c r="BS52" s="137"/>
      <c r="BU52" s="137">
        <v>0</v>
      </c>
      <c r="BV52" s="137"/>
      <c r="BW52" s="137"/>
      <c r="BX52" s="137"/>
      <c r="BY52" s="137"/>
      <c r="BZ52" s="137"/>
      <c r="CB52" s="137">
        <v>0</v>
      </c>
      <c r="CC52" s="137"/>
      <c r="CD52" s="137"/>
      <c r="CE52" s="137"/>
      <c r="CF52" s="137"/>
      <c r="CG52" s="137"/>
      <c r="CI52" s="137">
        <v>0</v>
      </c>
      <c r="CJ52" s="137"/>
      <c r="CK52" s="137"/>
      <c r="CL52" s="137"/>
      <c r="CM52" s="137"/>
      <c r="CN52" s="137"/>
      <c r="CP52" s="137">
        <f t="shared" ref="CP52:CP57" si="31">CI52</f>
        <v>0</v>
      </c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</row>
    <row r="53" spans="2:107" x14ac:dyDescent="0.2">
      <c r="C53" s="204" t="s">
        <v>127</v>
      </c>
      <c r="D53" s="136"/>
      <c r="E53" s="136"/>
      <c r="F53" s="136"/>
      <c r="G53" s="137"/>
      <c r="H53" s="137"/>
      <c r="I53" s="137"/>
      <c r="J53" s="115">
        <f>SUMIFS(Saldos!$D:$D,Saldos!$B:$B,'EEFF 2023'!J$2,Saldos!$C:$C,'EEFF 2023'!$B$1)</f>
        <v>1808563.26</v>
      </c>
      <c r="K53" s="138"/>
      <c r="L53" s="138"/>
      <c r="M53" s="138"/>
      <c r="N53" s="137"/>
      <c r="O53" s="137"/>
      <c r="P53" s="115"/>
      <c r="Q53" s="115">
        <f>SUMIFS(Saldos!$D:$D,Saldos!$B:$B,'EEFF 2023'!Q$2,Saldos!$C:$C,'EEFF 2023'!$B$1)</f>
        <v>9770943.9900000002</v>
      </c>
      <c r="R53" s="137"/>
      <c r="S53" s="137"/>
      <c r="T53" s="137"/>
      <c r="U53" s="137"/>
      <c r="V53" s="137"/>
      <c r="X53" s="115">
        <f>SUMIFS(Saldos!$D:$D,Saldos!$B:$B,'EEFF 2023'!X$2,Saldos!$C:$C,'EEFF 2023'!$B$1)</f>
        <v>6202048.25</v>
      </c>
      <c r="Y53" s="137"/>
      <c r="Z53" s="137"/>
      <c r="AA53" s="137"/>
      <c r="AB53" s="137"/>
      <c r="AC53" s="137"/>
      <c r="AE53" s="115">
        <f>SUMIFS(Saldos!$D:$D,Saldos!$B:$B,'EEFF 2023'!AE$2,Saldos!$C:$C,'EEFF 2023'!$B$1)</f>
        <v>5047075.74</v>
      </c>
      <c r="AF53" s="137"/>
      <c r="AG53" s="137"/>
      <c r="AH53" s="137"/>
      <c r="AI53" s="137"/>
      <c r="AJ53" s="137"/>
      <c r="AL53" s="115">
        <f>SUMIFS(Saldos!$D:$D,Saldos!$B:$B,'EEFF 2023'!AL$2,Saldos!$C:$C,'EEFF 2023'!$B$1)</f>
        <v>6777409.6200000001</v>
      </c>
      <c r="AM53" s="137"/>
      <c r="AN53" s="137"/>
      <c r="AO53" s="137"/>
      <c r="AP53" s="137"/>
      <c r="AQ53" s="137"/>
      <c r="AS53" s="115">
        <f>SUMIFS(Saldos!$D:$D,Saldos!$B:$B,'EEFF 2023'!AS$2,Saldos!$C:$C,'EEFF 2023'!$B$1)</f>
        <v>5677604.0700000003</v>
      </c>
      <c r="AT53" s="137"/>
      <c r="AU53" s="137"/>
      <c r="AV53" s="137"/>
      <c r="AW53" s="137"/>
      <c r="AX53" s="137"/>
      <c r="AZ53" s="115">
        <f>SUMIFS(Saldos!$D:$D,Saldos!$B:$B,'EEFF 2023'!AZ$2,Saldos!$C:$C,'EEFF 2023'!$B$1)</f>
        <v>2965039.78</v>
      </c>
      <c r="BA53" s="137"/>
      <c r="BB53" s="137"/>
      <c r="BC53" s="137"/>
      <c r="BD53" s="137"/>
      <c r="BE53" s="137"/>
      <c r="BG53" s="115">
        <f>SUMIFS(Saldos!$D:$D,Saldos!$B:$B,'EEFF 2023'!BG$2,Saldos!$C:$C,'EEFF 2023'!$B$1)</f>
        <v>3233857.38</v>
      </c>
      <c r="BH53" s="137"/>
      <c r="BI53" s="137"/>
      <c r="BJ53" s="137"/>
      <c r="BK53" s="137"/>
      <c r="BL53" s="137"/>
      <c r="BN53" s="115">
        <f>SUMIFS(Saldos!$D:$D,Saldos!$B:$B,'EEFF 2023'!BN$2,Saldos!$C:$C,'EEFF 2023'!$B$1)</f>
        <v>24197818.390000001</v>
      </c>
      <c r="BO53" s="137"/>
      <c r="BP53" s="137"/>
      <c r="BQ53" s="137"/>
      <c r="BR53" s="137"/>
      <c r="BS53" s="137"/>
      <c r="BU53" s="115">
        <f>SUMIFS(Saldos!$D:$D,Saldos!$B:$B,'EEFF 2023'!BU$2,Saldos!$C:$C,'EEFF 2023'!$B$1)</f>
        <v>9396066.8599999994</v>
      </c>
      <c r="BV53" s="137"/>
      <c r="BW53" s="137"/>
      <c r="BX53" s="137"/>
      <c r="BY53" s="137"/>
      <c r="BZ53" s="137"/>
      <c r="CB53" s="115">
        <f>SUMIFS(Saldos!$D:$D,Saldos!$B:$B,'EEFF 2023'!CB$2,Saldos!$C:$C,'EEFF 2023'!$B$1)</f>
        <v>7278059.1799999997</v>
      </c>
      <c r="CC53" s="137"/>
      <c r="CD53" s="137"/>
      <c r="CE53" s="137"/>
      <c r="CF53" s="137"/>
      <c r="CG53" s="137"/>
      <c r="CI53" s="115">
        <f>SUMIFS(Saldos!$D:$D,Saldos!$B:$B,'EEFF 2023'!CI$2,Saldos!$C:$C,'EEFF 2023'!$B$1)</f>
        <v>8349632.7699999996</v>
      </c>
      <c r="CJ53" s="137"/>
      <c r="CK53" s="137"/>
      <c r="CL53" s="137"/>
      <c r="CM53" s="137"/>
      <c r="CN53" s="137"/>
      <c r="CP53" s="137">
        <f t="shared" si="31"/>
        <v>8349632.7699999996</v>
      </c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</row>
    <row r="54" spans="2:107" x14ac:dyDescent="0.2">
      <c r="C54" s="204" t="s">
        <v>118</v>
      </c>
      <c r="D54" s="136"/>
      <c r="E54" s="136"/>
      <c r="F54" s="136"/>
      <c r="G54" s="137"/>
      <c r="H54" s="137"/>
      <c r="I54" s="137"/>
      <c r="J54" s="115">
        <f>SUMIFS(Saldos!$E:$E,Saldos!$B:$B,'EEFF 2023'!J$2,Saldos!$C:$C,'EEFF 2023'!$B$1)</f>
        <v>4113189</v>
      </c>
      <c r="K54" s="138"/>
      <c r="L54" s="138"/>
      <c r="M54" s="138"/>
      <c r="N54" s="137"/>
      <c r="O54" s="137"/>
      <c r="P54" s="115"/>
      <c r="Q54" s="115">
        <f>SUMIFS(Saldos!$E:$E,Saldos!$B:$B,'EEFF 2023'!Q$2,Saldos!$C:$C,'EEFF 2023'!$B$1)</f>
        <v>4626180</v>
      </c>
      <c r="R54" s="137"/>
      <c r="S54" s="137"/>
      <c r="T54" s="137"/>
      <c r="U54" s="137"/>
      <c r="V54" s="137"/>
      <c r="X54" s="115">
        <f>SUMIFS(Saldos!$E:$E,Saldos!$B:$B,'EEFF 2023'!X$2,Saldos!$C:$C,'EEFF 2023'!$B$1)</f>
        <v>5114298</v>
      </c>
      <c r="Y54" s="137"/>
      <c r="Z54" s="137"/>
      <c r="AA54" s="137"/>
      <c r="AB54" s="137"/>
      <c r="AC54" s="137"/>
      <c r="AE54" s="115">
        <f>SUMIFS(Saldos!$E:$E,Saldos!$B:$B,'EEFF 2023'!AE$2,Saldos!$C:$C,'EEFF 2023'!$B$1)</f>
        <v>5607184</v>
      </c>
      <c r="AF54" s="137"/>
      <c r="AG54" s="137"/>
      <c r="AH54" s="137"/>
      <c r="AI54" s="137"/>
      <c r="AJ54" s="137"/>
      <c r="AL54" s="115">
        <f>SUMIFS(Saldos!$E:$E,Saldos!$B:$B,'EEFF 2023'!AL$2,Saldos!$C:$C,'EEFF 2023'!$B$1)</f>
        <v>6107204</v>
      </c>
      <c r="AM54" s="137"/>
      <c r="AN54" s="137"/>
      <c r="AO54" s="137"/>
      <c r="AP54" s="137"/>
      <c r="AQ54" s="137"/>
      <c r="AS54" s="115">
        <f>SUMIFS(Saldos!$E:$E,Saldos!$B:$B,'EEFF 2023'!AS$2,Saldos!$C:$C,'EEFF 2023'!$B$1)</f>
        <v>6750955</v>
      </c>
      <c r="AT54" s="137"/>
      <c r="AU54" s="137"/>
      <c r="AV54" s="137"/>
      <c r="AW54" s="137"/>
      <c r="AX54" s="137"/>
      <c r="AZ54" s="115">
        <f>SUMIFS(Saldos!$E:$E,Saldos!$B:$B,'EEFF 2023'!AZ$2,Saldos!$C:$C,'EEFF 2023'!$B$1)</f>
        <v>7402634</v>
      </c>
      <c r="BA54" s="137"/>
      <c r="BB54" s="137"/>
      <c r="BC54" s="137"/>
      <c r="BD54" s="137"/>
      <c r="BE54" s="137"/>
      <c r="BG54" s="115">
        <f>SUMIFS(Saldos!$E:$E,Saldos!$B:$B,'EEFF 2023'!BG$2,Saldos!$C:$C,'EEFF 2023'!$B$1)</f>
        <v>8076442</v>
      </c>
      <c r="BH54" s="137"/>
      <c r="BI54" s="137"/>
      <c r="BJ54" s="137"/>
      <c r="BK54" s="137"/>
      <c r="BL54" s="137"/>
      <c r="BN54" s="115">
        <f>SUMIFS(Saldos!$E:$E,Saldos!$B:$B,'EEFF 2023'!BN$2,Saldos!$C:$C,'EEFF 2023'!$B$1)</f>
        <v>8756969</v>
      </c>
      <c r="BO54" s="137"/>
      <c r="BP54" s="137"/>
      <c r="BQ54" s="137"/>
      <c r="BR54" s="137"/>
      <c r="BS54" s="137"/>
      <c r="BU54" s="115">
        <f>SUMIFS(Saldos!$E:$E,Saldos!$B:$B,'EEFF 2023'!BU$2,Saldos!$C:$C,'EEFF 2023'!$B$1)</f>
        <v>9444281</v>
      </c>
      <c r="BV54" s="137"/>
      <c r="BW54" s="137"/>
      <c r="BX54" s="137"/>
      <c r="BY54" s="137"/>
      <c r="BZ54" s="137"/>
      <c r="CB54" s="115">
        <f>SUMIFS(Saldos!$E:$E,Saldos!$B:$B,'EEFF 2023'!CB$2,Saldos!$C:$C,'EEFF 2023'!$B$1)</f>
        <v>10133024</v>
      </c>
      <c r="CC54" s="137"/>
      <c r="CD54" s="137"/>
      <c r="CE54" s="137"/>
      <c r="CF54" s="137"/>
      <c r="CG54" s="137"/>
      <c r="CI54" s="115">
        <f>SUMIFS(Saldos!$E:$E,Saldos!$B:$B,'EEFF 2023'!CI$2,Saldos!$C:$C,'EEFF 2023'!$B$1)</f>
        <v>10925330</v>
      </c>
      <c r="CJ54" s="137"/>
      <c r="CK54" s="137"/>
      <c r="CL54" s="137"/>
      <c r="CM54" s="137"/>
      <c r="CN54" s="137"/>
      <c r="CP54" s="137">
        <f t="shared" si="31"/>
        <v>10925330</v>
      </c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</row>
    <row r="55" spans="2:107" x14ac:dyDescent="0.2">
      <c r="C55" s="204" t="s">
        <v>515</v>
      </c>
      <c r="D55" s="136"/>
      <c r="E55" s="136"/>
      <c r="F55" s="136"/>
      <c r="G55" s="137"/>
      <c r="H55" s="137"/>
      <c r="I55" s="137"/>
      <c r="J55" s="115">
        <f>SUMIFS(Saldos!$F:$F,Saldos!$B:$B,'EEFF 2023'!J$2,Saldos!$C:$C,'EEFF 2023'!$B$1)</f>
        <v>14422866</v>
      </c>
      <c r="K55" s="138"/>
      <c r="L55" s="138"/>
      <c r="M55" s="138"/>
      <c r="N55" s="137"/>
      <c r="O55" s="137"/>
      <c r="P55" s="115"/>
      <c r="Q55" s="115">
        <f>SUMIFS(Saldos!$F:$F,Saldos!$B:$B,'EEFF 2023'!Q$2,Saldos!$C:$C,'EEFF 2023'!$B$1)</f>
        <v>4982392</v>
      </c>
      <c r="R55" s="137"/>
      <c r="S55" s="137"/>
      <c r="T55" s="137"/>
      <c r="U55" s="137"/>
      <c r="V55" s="137"/>
      <c r="X55" s="115">
        <f>SUMIFS(Saldos!$F:$F,Saldos!$B:$B,'EEFF 2023'!X$2,Saldos!$C:$C,'EEFF 2023'!$B$1)</f>
        <v>6623445</v>
      </c>
      <c r="Y55" s="137"/>
      <c r="Z55" s="137"/>
      <c r="AA55" s="137"/>
      <c r="AB55" s="137"/>
      <c r="AC55" s="137"/>
      <c r="AE55" s="115">
        <f>SUMIFS(Saldos!$F:$F,Saldos!$B:$B,'EEFF 2023'!AE$2,Saldos!$C:$C,'EEFF 2023'!$B$1)</f>
        <v>7513317</v>
      </c>
      <c r="AF55" s="137"/>
      <c r="AG55" s="137"/>
      <c r="AH55" s="137"/>
      <c r="AI55" s="137"/>
      <c r="AJ55" s="137"/>
      <c r="AL55" s="115">
        <f>SUMIFS(Saldos!$F:$F,Saldos!$B:$B,'EEFF 2023'!AL$2,Saldos!$C:$C,'EEFF 2023'!$B$1)</f>
        <v>9176320</v>
      </c>
      <c r="AM55" s="137"/>
      <c r="AN55" s="137"/>
      <c r="AO55" s="137"/>
      <c r="AP55" s="137"/>
      <c r="AQ55" s="137"/>
      <c r="AS55" s="115">
        <f>SUMIFS(Saldos!$F:$F,Saldos!$B:$B,'EEFF 2023'!AS$2,Saldos!$C:$C,'EEFF 2023'!$B$1)</f>
        <v>11246565</v>
      </c>
      <c r="AT55" s="137"/>
      <c r="AU55" s="137"/>
      <c r="AV55" s="137"/>
      <c r="AW55" s="137"/>
      <c r="AX55" s="137"/>
      <c r="AZ55" s="115">
        <f>SUMIFS(Saldos!$F:$F,Saldos!$B:$B,'EEFF 2023'!AZ$2,Saldos!$C:$C,'EEFF 2023'!$B$1)</f>
        <v>13332658</v>
      </c>
      <c r="BA55" s="137"/>
      <c r="BB55" s="137"/>
      <c r="BC55" s="137"/>
      <c r="BD55" s="137"/>
      <c r="BE55" s="137"/>
      <c r="BG55" s="115">
        <f>SUMIFS(Saldos!$F:$F,Saldos!$B:$B,'EEFF 2023'!BG$2,Saldos!$C:$C,'EEFF 2023'!$B$1)</f>
        <v>16352921</v>
      </c>
      <c r="BH55" s="137"/>
      <c r="BI55" s="137"/>
      <c r="BJ55" s="137"/>
      <c r="BK55" s="137"/>
      <c r="BL55" s="137"/>
      <c r="BN55" s="115">
        <f>SUMIFS(Saldos!$F:$F,Saldos!$B:$B,'EEFF 2023'!BN$2,Saldos!$C:$C,'EEFF 2023'!$B$1)</f>
        <v>18679017</v>
      </c>
      <c r="BO55" s="137"/>
      <c r="BP55" s="137"/>
      <c r="BQ55" s="137"/>
      <c r="BR55" s="137"/>
      <c r="BS55" s="137"/>
      <c r="BU55" s="115">
        <f>SUMIFS(Saldos!$F:$F,Saldos!$B:$B,'EEFF 2023'!BU$2,Saldos!$C:$C,'EEFF 2023'!$B$1)</f>
        <v>21051497</v>
      </c>
      <c r="BV55" s="137"/>
      <c r="BW55" s="137"/>
      <c r="BX55" s="137"/>
      <c r="BY55" s="137"/>
      <c r="BZ55" s="137"/>
      <c r="CB55" s="115">
        <f>SUMIFS(Saldos!$F:$F,Saldos!$B:$B,'EEFF 2023'!CB$2,Saldos!$C:$C,'EEFF 2023'!$B$1)</f>
        <v>23450149</v>
      </c>
      <c r="CC55" s="137"/>
      <c r="CD55" s="137"/>
      <c r="CE55" s="137"/>
      <c r="CF55" s="137"/>
      <c r="CG55" s="137"/>
      <c r="CI55" s="115">
        <f>SUMIFS(Saldos!$F:$F,Saldos!$B:$B,'EEFF 2023'!CI$2,Saldos!$C:$C,'EEFF 2023'!$B$1)</f>
        <v>24229512</v>
      </c>
      <c r="CJ55" s="137"/>
      <c r="CK55" s="137"/>
      <c r="CL55" s="137"/>
      <c r="CM55" s="137"/>
      <c r="CN55" s="137"/>
      <c r="CP55" s="137">
        <f t="shared" si="31"/>
        <v>24229512</v>
      </c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</row>
    <row r="56" spans="2:107" x14ac:dyDescent="0.2">
      <c r="C56" s="204" t="s">
        <v>516</v>
      </c>
      <c r="D56" s="136"/>
      <c r="E56" s="136"/>
      <c r="F56" s="136"/>
      <c r="G56" s="137"/>
      <c r="H56" s="137"/>
      <c r="I56" s="137"/>
      <c r="J56" s="115">
        <f>SUMIFS(Saldos!$H:$H,Saldos!$B:$B,'EEFF 2023'!J$2,Saldos!$C:$C,'EEFF 2023'!$B$1)</f>
        <v>0</v>
      </c>
      <c r="K56" s="138"/>
      <c r="L56" s="138"/>
      <c r="M56" s="138"/>
      <c r="N56" s="137"/>
      <c r="O56" s="137"/>
      <c r="P56" s="115"/>
      <c r="Q56" s="115">
        <f>SUMIFS(Saldos!$H:$H,Saldos!$B:$B,'EEFF 2023'!Q$2,Saldos!$C:$C,'EEFF 2023'!$B$1)</f>
        <v>0</v>
      </c>
      <c r="R56" s="137"/>
      <c r="S56" s="137"/>
      <c r="T56" s="137"/>
      <c r="U56" s="137"/>
      <c r="V56" s="137"/>
      <c r="X56" s="115">
        <f>SUMIFS(Saldos!$H:$H,Saldos!$B:$B,'EEFF 2023'!X$2,Saldos!$C:$C,'EEFF 2023'!$B$1)</f>
        <v>0</v>
      </c>
      <c r="Y56" s="137"/>
      <c r="Z56" s="137"/>
      <c r="AA56" s="137"/>
      <c r="AB56" s="137"/>
      <c r="AC56" s="137"/>
      <c r="AE56" s="115">
        <f>SUMIFS(Saldos!$H:$H,Saldos!$B:$B,'EEFF 2023'!AE$2,Saldos!$C:$C,'EEFF 2023'!$B$1)</f>
        <v>0</v>
      </c>
      <c r="AF56" s="137"/>
      <c r="AG56" s="137"/>
      <c r="AH56" s="137"/>
      <c r="AI56" s="137"/>
      <c r="AJ56" s="137"/>
      <c r="AL56" s="115">
        <f>SUMIFS(Saldos!$H:$H,Saldos!$B:$B,'EEFF 2023'!AL$2,Saldos!$C:$C,'EEFF 2023'!$B$1)</f>
        <v>0</v>
      </c>
      <c r="AM56" s="137"/>
      <c r="AN56" s="137"/>
      <c r="AO56" s="137"/>
      <c r="AP56" s="137"/>
      <c r="AQ56" s="137"/>
      <c r="AS56" s="115">
        <f>SUMIFS(Saldos!$H:$H,Saldos!$B:$B,'EEFF 2023'!AS$2,Saldos!$C:$C,'EEFF 2023'!$B$1)</f>
        <v>0</v>
      </c>
      <c r="AT56" s="137"/>
      <c r="AU56" s="137"/>
      <c r="AV56" s="137"/>
      <c r="AW56" s="137"/>
      <c r="AX56" s="137"/>
      <c r="AZ56" s="115">
        <f>SUMIFS(Saldos!$H:$H,Saldos!$B:$B,'EEFF 2023'!AZ$2,Saldos!$C:$C,'EEFF 2023'!$B$1)</f>
        <v>0</v>
      </c>
      <c r="BA56" s="137"/>
      <c r="BB56" s="137"/>
      <c r="BC56" s="137"/>
      <c r="BD56" s="137"/>
      <c r="BE56" s="137"/>
      <c r="BG56" s="115">
        <f>SUMIFS(Saldos!$H:$H,Saldos!$B:$B,'EEFF 2023'!BG$2,Saldos!$C:$C,'EEFF 2023'!$B$1)</f>
        <v>0</v>
      </c>
      <c r="BH56" s="137"/>
      <c r="BI56" s="137"/>
      <c r="BJ56" s="137"/>
      <c r="BK56" s="137"/>
      <c r="BL56" s="137"/>
      <c r="BN56" s="115">
        <f>SUMIFS(Saldos!$H:$H,Saldos!$B:$B,'EEFF 2023'!BN$2,Saldos!$C:$C,'EEFF 2023'!$B$1)</f>
        <v>0</v>
      </c>
      <c r="BO56" s="137"/>
      <c r="BP56" s="137"/>
      <c r="BQ56" s="137"/>
      <c r="BR56" s="137"/>
      <c r="BS56" s="137"/>
      <c r="BU56" s="115">
        <f>SUMIFS(Saldos!$H:$H,Saldos!$B:$B,'EEFF 2023'!BU$2,Saldos!$C:$C,'EEFF 2023'!$B$1)</f>
        <v>0</v>
      </c>
      <c r="BV56" s="137"/>
      <c r="BW56" s="137"/>
      <c r="BX56" s="137"/>
      <c r="BY56" s="137"/>
      <c r="BZ56" s="137"/>
      <c r="CB56" s="115">
        <f>SUMIFS(Saldos!$H:$H,Saldos!$B:$B,'EEFF 2023'!CB$2,Saldos!$C:$C,'EEFF 2023'!$B$1)</f>
        <v>0</v>
      </c>
      <c r="CC56" s="137"/>
      <c r="CD56" s="137"/>
      <c r="CE56" s="137"/>
      <c r="CF56" s="137"/>
      <c r="CG56" s="137"/>
      <c r="CI56" s="115">
        <f>SUMIFS(Saldos!$H:$H,Saldos!$B:$B,'EEFF 2023'!CI$2,Saldos!$C:$C,'EEFF 2023'!$B$1)</f>
        <v>0</v>
      </c>
      <c r="CJ56" s="137"/>
      <c r="CK56" s="137"/>
      <c r="CL56" s="137"/>
      <c r="CM56" s="137"/>
      <c r="CN56" s="137"/>
      <c r="CP56" s="137">
        <f t="shared" si="31"/>
        <v>0</v>
      </c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</row>
    <row r="57" spans="2:107" x14ac:dyDescent="0.2">
      <c r="C57" s="204" t="s">
        <v>126</v>
      </c>
      <c r="D57" s="136"/>
      <c r="E57" s="136"/>
      <c r="F57" s="136"/>
      <c r="G57" s="137"/>
      <c r="H57" s="137"/>
      <c r="I57" s="137"/>
      <c r="J57" s="115">
        <f>SUMIFS(Saldos!$I:$I,Saldos!$B:$B,'EEFF 2023'!J$2,Saldos!$C:$C,'EEFF 2023'!$B$1)</f>
        <v>1510362</v>
      </c>
      <c r="K57" s="138"/>
      <c r="L57" s="138"/>
      <c r="M57" s="138"/>
      <c r="N57" s="137"/>
      <c r="O57" s="137"/>
      <c r="P57" s="115"/>
      <c r="Q57" s="115">
        <f>SUMIFS(Saldos!$I:$I,Saldos!$B:$B,'EEFF 2023'!Q$2,Saldos!$C:$C,'EEFF 2023'!$B$1)</f>
        <v>2646478</v>
      </c>
      <c r="R57" s="137"/>
      <c r="S57" s="137"/>
      <c r="T57" s="137"/>
      <c r="U57" s="137"/>
      <c r="V57" s="137"/>
      <c r="X57" s="115">
        <f>SUMIFS(Saldos!$I:$I,Saldos!$B:$B,'EEFF 2023'!X$2,Saldos!$C:$C,'EEFF 2023'!$B$1)</f>
        <v>3168283</v>
      </c>
      <c r="Y57" s="137"/>
      <c r="Z57" s="137"/>
      <c r="AA57" s="137"/>
      <c r="AB57" s="137"/>
      <c r="AC57" s="137"/>
      <c r="AE57" s="115">
        <f>SUMIFS(Saldos!$I:$I,Saldos!$B:$B,'EEFF 2023'!AE$2,Saldos!$C:$C,'EEFF 2023'!$B$1)</f>
        <v>3694851</v>
      </c>
      <c r="AF57" s="137"/>
      <c r="AG57" s="137"/>
      <c r="AH57" s="137"/>
      <c r="AI57" s="137"/>
      <c r="AJ57" s="137"/>
      <c r="AL57" s="115">
        <f>SUMIFS(Saldos!$I:$I,Saldos!$B:$B,'EEFF 2023'!AL$2,Saldos!$C:$C,'EEFF 2023'!$B$1)</f>
        <v>4225834</v>
      </c>
      <c r="AM57" s="137"/>
      <c r="AN57" s="137"/>
      <c r="AO57" s="137"/>
      <c r="AP57" s="137"/>
      <c r="AQ57" s="137"/>
      <c r="AS57" s="115">
        <f>SUMIFS(Saldos!$I:$I,Saldos!$B:$B,'EEFF 2023'!AS$2,Saldos!$C:$C,'EEFF 2023'!$B$1)</f>
        <v>4758183</v>
      </c>
      <c r="AT57" s="137"/>
      <c r="AU57" s="137"/>
      <c r="AV57" s="137"/>
      <c r="AW57" s="137"/>
      <c r="AX57" s="137"/>
      <c r="AZ57" s="115">
        <f>SUMIFS(Saldos!$I:$I,Saldos!$B:$B,'EEFF 2023'!AZ$2,Saldos!$C:$C,'EEFF 2023'!$B$1)</f>
        <v>5294607</v>
      </c>
      <c r="BA57" s="137"/>
      <c r="BB57" s="137"/>
      <c r="BC57" s="137"/>
      <c r="BD57" s="137"/>
      <c r="BE57" s="137"/>
      <c r="BG57" s="115">
        <f>SUMIFS(Saldos!$I:$I,Saldos!$B:$B,'EEFF 2023'!BG$2,Saldos!$C:$C,'EEFF 2023'!$B$1)</f>
        <v>4000000</v>
      </c>
      <c r="BH57" s="137"/>
      <c r="BI57" s="137"/>
      <c r="BJ57" s="137"/>
      <c r="BK57" s="137"/>
      <c r="BL57" s="137"/>
      <c r="BN57" s="115">
        <f>SUMIFS(Saldos!$I:$I,Saldos!$B:$B,'EEFF 2023'!BN$2,Saldos!$C:$C,'EEFF 2023'!$B$1)</f>
        <v>5000000</v>
      </c>
      <c r="BO57" s="137"/>
      <c r="BP57" s="137"/>
      <c r="BQ57" s="137"/>
      <c r="BR57" s="137"/>
      <c r="BS57" s="137"/>
      <c r="BU57" s="115">
        <f>SUMIFS(Saldos!$I:$I,Saldos!$B:$B,'EEFF 2023'!BU$2,Saldos!$C:$C,'EEFF 2023'!$B$1)</f>
        <v>7250265</v>
      </c>
      <c r="BV57" s="137"/>
      <c r="BW57" s="137"/>
      <c r="BX57" s="137"/>
      <c r="BY57" s="137"/>
      <c r="BZ57" s="137"/>
      <c r="CB57" s="115">
        <f>SUMIFS(Saldos!$I:$I,Saldos!$B:$B,'EEFF 2023'!CB$2,Saldos!$C:$C,'EEFF 2023'!$B$1)</f>
        <v>7886519</v>
      </c>
      <c r="CC57" s="137"/>
      <c r="CD57" s="137"/>
      <c r="CE57" s="137"/>
      <c r="CF57" s="137"/>
      <c r="CG57" s="137"/>
      <c r="CI57" s="115">
        <f>SUMIFS(Saldos!$I:$I,Saldos!$B:$B,'EEFF 2023'!CI$2,Saldos!$C:$C,'EEFF 2023'!$B$1)</f>
        <v>8630202</v>
      </c>
      <c r="CJ57" s="137"/>
      <c r="CK57" s="137"/>
      <c r="CL57" s="137"/>
      <c r="CM57" s="137"/>
      <c r="CN57" s="137"/>
      <c r="CP57" s="137">
        <f t="shared" si="31"/>
        <v>8630202</v>
      </c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</row>
    <row r="58" spans="2:107" x14ac:dyDescent="0.2">
      <c r="B58" s="105" t="s">
        <v>405</v>
      </c>
      <c r="D58" s="136"/>
      <c r="E58" s="136"/>
      <c r="F58" s="136"/>
      <c r="G58" s="133"/>
      <c r="H58" s="133"/>
      <c r="I58" s="133"/>
      <c r="K58" s="138"/>
      <c r="L58" s="138"/>
      <c r="M58" s="138"/>
      <c r="N58" s="133"/>
      <c r="O58" s="133"/>
      <c r="P58" s="115"/>
      <c r="R58" s="133"/>
      <c r="S58" s="133"/>
      <c r="T58" s="133"/>
      <c r="U58" s="133"/>
      <c r="V58" s="133"/>
      <c r="Y58" s="133"/>
      <c r="Z58" s="133"/>
      <c r="AA58" s="133"/>
      <c r="AB58" s="133"/>
      <c r="AC58" s="133"/>
      <c r="AF58" s="133"/>
      <c r="AG58" s="133"/>
      <c r="AH58" s="133"/>
      <c r="AI58" s="133"/>
      <c r="AJ58" s="133"/>
      <c r="AM58" s="133"/>
      <c r="AN58" s="133"/>
      <c r="AO58" s="133"/>
      <c r="AP58" s="133"/>
      <c r="AQ58" s="133"/>
      <c r="AT58" s="133"/>
      <c r="AU58" s="133"/>
      <c r="AV58" s="133"/>
      <c r="AW58" s="133"/>
      <c r="AX58" s="133"/>
      <c r="BA58" s="133"/>
      <c r="BB58" s="133"/>
      <c r="BC58" s="133"/>
      <c r="BD58" s="133"/>
      <c r="BE58" s="133"/>
      <c r="BH58" s="133"/>
      <c r="BI58" s="133"/>
      <c r="BJ58" s="133"/>
      <c r="BK58" s="133"/>
      <c r="BL58" s="133"/>
      <c r="BO58" s="133"/>
      <c r="BP58" s="133"/>
      <c r="BQ58" s="133"/>
      <c r="BR58" s="133"/>
      <c r="BS58" s="133"/>
      <c r="BV58" s="133"/>
      <c r="BW58" s="133"/>
      <c r="BX58" s="133"/>
      <c r="BY58" s="133"/>
      <c r="BZ58" s="133"/>
      <c r="CC58" s="133"/>
      <c r="CD58" s="133"/>
      <c r="CE58" s="133"/>
      <c r="CF58" s="133"/>
      <c r="CG58" s="133"/>
      <c r="CJ58" s="133"/>
      <c r="CK58" s="133"/>
      <c r="CL58" s="133"/>
      <c r="CM58" s="133"/>
      <c r="CN58" s="133"/>
      <c r="CR58" s="139">
        <f>J58/J$64</f>
        <v>0</v>
      </c>
      <c r="CS58" s="139">
        <f>Q58/Q$64</f>
        <v>0</v>
      </c>
      <c r="CT58" s="139">
        <f>X58/X$64</f>
        <v>0</v>
      </c>
      <c r="CU58" s="139">
        <f>AE58/AE$64</f>
        <v>0</v>
      </c>
      <c r="CV58" s="139">
        <f>AL58/AL$64</f>
        <v>0</v>
      </c>
      <c r="CW58" s="139">
        <f>AS58/AS$64</f>
        <v>0</v>
      </c>
      <c r="CX58" s="139">
        <f>AZ58/AZ$64</f>
        <v>0</v>
      </c>
      <c r="CY58" s="139">
        <f>BG58/BG$64</f>
        <v>0</v>
      </c>
      <c r="CZ58" s="139">
        <f>BN58/BN$64</f>
        <v>0</v>
      </c>
      <c r="DA58" s="139">
        <f>BU58/BU$64</f>
        <v>0</v>
      </c>
      <c r="DB58" s="139">
        <f>CB58/CB$64</f>
        <v>0</v>
      </c>
      <c r="DC58" s="139">
        <f>CI58/CI$64</f>
        <v>0</v>
      </c>
    </row>
    <row r="59" spans="2:107" x14ac:dyDescent="0.2">
      <c r="B59" s="105" t="s">
        <v>406</v>
      </c>
      <c r="D59" s="136"/>
      <c r="E59" s="136"/>
      <c r="F59" s="136"/>
      <c r="G59" s="133"/>
      <c r="H59" s="133"/>
      <c r="I59" s="133"/>
      <c r="K59" s="138"/>
      <c r="L59" s="138"/>
      <c r="M59" s="138"/>
      <c r="N59" s="133"/>
      <c r="O59" s="133"/>
      <c r="P59" s="115"/>
      <c r="R59" s="133"/>
      <c r="S59" s="133"/>
      <c r="T59" s="133"/>
      <c r="U59" s="133"/>
      <c r="V59" s="133"/>
      <c r="Y59" s="133"/>
      <c r="Z59" s="133"/>
      <c r="AA59" s="133"/>
      <c r="AB59" s="133"/>
      <c r="AC59" s="133"/>
      <c r="AF59" s="133"/>
      <c r="AG59" s="133"/>
      <c r="AH59" s="133"/>
      <c r="AI59" s="133"/>
      <c r="AJ59" s="133"/>
      <c r="AM59" s="133"/>
      <c r="AN59" s="133"/>
      <c r="AO59" s="133"/>
      <c r="AP59" s="133"/>
      <c r="AQ59" s="133"/>
      <c r="AT59" s="133"/>
      <c r="AU59" s="133"/>
      <c r="AV59" s="133"/>
      <c r="AW59" s="133"/>
      <c r="AX59" s="133"/>
      <c r="BA59" s="133"/>
      <c r="BB59" s="133"/>
      <c r="BC59" s="133"/>
      <c r="BD59" s="133"/>
      <c r="BE59" s="133"/>
      <c r="BH59" s="133"/>
      <c r="BI59" s="133"/>
      <c r="BJ59" s="133"/>
      <c r="BK59" s="133"/>
      <c r="BL59" s="133"/>
      <c r="BO59" s="133"/>
      <c r="BP59" s="133"/>
      <c r="BQ59" s="133"/>
      <c r="BR59" s="133"/>
      <c r="BS59" s="133"/>
      <c r="BV59" s="133"/>
      <c r="BW59" s="133"/>
      <c r="BX59" s="133"/>
      <c r="BY59" s="133"/>
      <c r="BZ59" s="133"/>
      <c r="CC59" s="133"/>
      <c r="CD59" s="133"/>
      <c r="CE59" s="133"/>
      <c r="CF59" s="133"/>
      <c r="CG59" s="133"/>
      <c r="CJ59" s="133"/>
      <c r="CK59" s="133"/>
      <c r="CL59" s="133"/>
      <c r="CM59" s="133"/>
      <c r="CN59" s="133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</row>
    <row r="60" spans="2:107" ht="16" x14ac:dyDescent="0.2">
      <c r="B60" s="105" t="s">
        <v>407</v>
      </c>
      <c r="D60" s="136"/>
      <c r="E60" s="136"/>
      <c r="F60" s="136"/>
      <c r="G60" s="140"/>
      <c r="H60" s="140"/>
      <c r="I60" s="140"/>
      <c r="K60" s="138"/>
      <c r="L60" s="138"/>
      <c r="M60" s="138"/>
      <c r="N60" s="140"/>
      <c r="O60" s="140"/>
      <c r="P60" s="120"/>
      <c r="R60" s="140"/>
      <c r="S60" s="140"/>
      <c r="T60" s="140"/>
      <c r="U60" s="140"/>
      <c r="V60" s="140"/>
      <c r="Y60" s="140"/>
      <c r="Z60" s="140"/>
      <c r="AA60" s="140"/>
      <c r="AB60" s="140"/>
      <c r="AC60" s="140"/>
      <c r="AF60" s="140"/>
      <c r="AG60" s="140"/>
      <c r="AH60" s="140"/>
      <c r="AI60" s="140"/>
      <c r="AJ60" s="140"/>
      <c r="AM60" s="140"/>
      <c r="AN60" s="140"/>
      <c r="AO60" s="140"/>
      <c r="AP60" s="140"/>
      <c r="AQ60" s="140"/>
      <c r="AT60" s="140"/>
      <c r="AU60" s="140"/>
      <c r="AV60" s="140"/>
      <c r="AW60" s="140"/>
      <c r="AX60" s="140"/>
      <c r="BA60" s="140"/>
      <c r="BB60" s="140"/>
      <c r="BC60" s="140"/>
      <c r="BD60" s="140"/>
      <c r="BE60" s="140"/>
      <c r="BH60" s="140"/>
      <c r="BI60" s="140"/>
      <c r="BJ60" s="140"/>
      <c r="BK60" s="140"/>
      <c r="BL60" s="140"/>
      <c r="BO60" s="140"/>
      <c r="BP60" s="140"/>
      <c r="BQ60" s="140"/>
      <c r="BR60" s="140"/>
      <c r="BS60" s="140"/>
      <c r="BV60" s="140"/>
      <c r="BW60" s="140"/>
      <c r="BX60" s="140"/>
      <c r="BY60" s="140"/>
      <c r="BZ60" s="140"/>
      <c r="CC60" s="140"/>
      <c r="CD60" s="140"/>
      <c r="CE60" s="140"/>
      <c r="CF60" s="140"/>
      <c r="CG60" s="140"/>
      <c r="CJ60" s="140"/>
      <c r="CK60" s="140"/>
      <c r="CL60" s="140"/>
      <c r="CM60" s="140"/>
      <c r="CN60" s="140"/>
      <c r="CR60" s="139">
        <f t="shared" ref="CR60:CR80" si="32">J60/J$64</f>
        <v>0</v>
      </c>
      <c r="CS60" s="139">
        <f>Q60/Q$64</f>
        <v>0</v>
      </c>
      <c r="CT60" s="139">
        <f>X60/X$64</f>
        <v>0</v>
      </c>
      <c r="CU60" s="139">
        <f>AE60/AE$64</f>
        <v>0</v>
      </c>
      <c r="CV60" s="139">
        <f>AL60/AL$64</f>
        <v>0</v>
      </c>
      <c r="CW60" s="139">
        <f>AS60/AS$64</f>
        <v>0</v>
      </c>
      <c r="CX60" s="139">
        <f>AZ60/AZ$64</f>
        <v>0</v>
      </c>
      <c r="CY60" s="139">
        <f>BG60/BG$64</f>
        <v>0</v>
      </c>
      <c r="CZ60" s="139">
        <f>BN60/BN$64</f>
        <v>0</v>
      </c>
      <c r="DA60" s="139">
        <f t="shared" ref="DA60:DA80" si="33">BU60/BU$64</f>
        <v>0</v>
      </c>
      <c r="DB60" s="139">
        <f t="shared" ref="DB60:DB80" si="34">CB60/CB$64</f>
        <v>0</v>
      </c>
      <c r="DC60" s="139">
        <f t="shared" ref="DC60:DC80" si="35">CI60/CI$64</f>
        <v>0</v>
      </c>
    </row>
    <row r="61" spans="2:107" ht="16" x14ac:dyDescent="0.2">
      <c r="B61" s="141" t="s">
        <v>408</v>
      </c>
      <c r="C61" s="207"/>
      <c r="D61" s="142"/>
      <c r="E61" s="142"/>
      <c r="F61" s="142"/>
      <c r="G61" s="142"/>
      <c r="H61" s="142"/>
      <c r="I61" s="142"/>
      <c r="J61" s="142">
        <f>SUM(J58:J60)+J51</f>
        <v>21854980.259999998</v>
      </c>
      <c r="K61" s="142"/>
      <c r="L61" s="142"/>
      <c r="M61" s="142"/>
      <c r="N61" s="142"/>
      <c r="O61" s="142"/>
      <c r="P61" s="142"/>
      <c r="Q61" s="142">
        <f>SUM(Q58:Q60)+Q51</f>
        <v>22025993.990000002</v>
      </c>
      <c r="R61" s="142"/>
      <c r="S61" s="142"/>
      <c r="T61" s="142"/>
      <c r="U61" s="142"/>
      <c r="V61" s="142"/>
      <c r="W61" s="142"/>
      <c r="X61" s="142">
        <f>SUM(X58:X60)+X51</f>
        <v>21108074.25</v>
      </c>
      <c r="Y61" s="142"/>
      <c r="Z61" s="142"/>
      <c r="AA61" s="142"/>
      <c r="AB61" s="142"/>
      <c r="AC61" s="142"/>
      <c r="AD61" s="142"/>
      <c r="AE61" s="142">
        <f>SUM(AE58:AE60)+AE51</f>
        <v>21862427.740000002</v>
      </c>
      <c r="AF61" s="142"/>
      <c r="AG61" s="142"/>
      <c r="AH61" s="142"/>
      <c r="AI61" s="142"/>
      <c r="AJ61" s="142"/>
      <c r="AK61" s="142"/>
      <c r="AL61" s="142">
        <f>SUM(AL58:AL60)+AL51</f>
        <v>26286767.620000001</v>
      </c>
      <c r="AM61" s="142"/>
      <c r="AN61" s="142"/>
      <c r="AO61" s="142"/>
      <c r="AP61" s="142"/>
      <c r="AQ61" s="142"/>
      <c r="AR61" s="142"/>
      <c r="AS61" s="142">
        <f>SUM(AS58:AS60)+AS51</f>
        <v>28433307.07</v>
      </c>
      <c r="AT61" s="142"/>
      <c r="AU61" s="142"/>
      <c r="AV61" s="142"/>
      <c r="AW61" s="142"/>
      <c r="AX61" s="142"/>
      <c r="AY61" s="142"/>
      <c r="AZ61" s="142">
        <f>SUM(AZ58:AZ60)+AZ51</f>
        <v>28994938.780000001</v>
      </c>
      <c r="BA61" s="142"/>
      <c r="BB61" s="142"/>
      <c r="BC61" s="142"/>
      <c r="BD61" s="142"/>
      <c r="BE61" s="142"/>
      <c r="BF61" s="142"/>
      <c r="BG61" s="142">
        <f>SUM(BG58:BG60)+BG51</f>
        <v>31663220.379999999</v>
      </c>
      <c r="BH61" s="142"/>
      <c r="BI61" s="142"/>
      <c r="BJ61" s="142"/>
      <c r="BK61" s="142"/>
      <c r="BL61" s="142"/>
      <c r="BM61" s="142"/>
      <c r="BN61" s="142">
        <f>SUM(BN58:BN60)+BN51</f>
        <v>56633804.390000001</v>
      </c>
      <c r="BO61" s="142"/>
      <c r="BP61" s="142"/>
      <c r="BQ61" s="142"/>
      <c r="BR61" s="142"/>
      <c r="BS61" s="142"/>
      <c r="BT61" s="142"/>
      <c r="BU61" s="142">
        <f>SUM(BU58:BU60)+BU51</f>
        <v>47142109.859999999</v>
      </c>
      <c r="BV61" s="142"/>
      <c r="BW61" s="142"/>
      <c r="BX61" s="142"/>
      <c r="BY61" s="142"/>
      <c r="BZ61" s="142"/>
      <c r="CA61" s="142"/>
      <c r="CB61" s="142">
        <f>SUM(CB58:CB60)+CB51</f>
        <v>48747751.18</v>
      </c>
      <c r="CC61" s="142"/>
      <c r="CD61" s="142"/>
      <c r="CE61" s="142"/>
      <c r="CF61" s="142"/>
      <c r="CG61" s="142"/>
      <c r="CH61" s="142"/>
      <c r="CI61" s="142">
        <f>SUM(CI58:CI60)+CI51</f>
        <v>52134676.769999996</v>
      </c>
      <c r="CJ61" s="142"/>
      <c r="CK61" s="142"/>
      <c r="CL61" s="142"/>
      <c r="CM61" s="142"/>
      <c r="CN61" s="142"/>
      <c r="CO61" s="142"/>
      <c r="CP61" s="142">
        <f>SUM(CP58:CP60)+CP51</f>
        <v>52134676.769999996</v>
      </c>
      <c r="CR61" s="145">
        <f t="shared" si="32"/>
        <v>1.1456833905375738E-2</v>
      </c>
      <c r="CS61" s="145">
        <f t="shared" ref="CS61:CS80" si="36">Q61/Q$64</f>
        <v>1.154544781211253E-2</v>
      </c>
      <c r="CT61" s="145">
        <f t="shared" ref="CT61:CT80" si="37">X61/X$64</f>
        <v>1.1069624525625122E-2</v>
      </c>
      <c r="CU61" s="145">
        <f t="shared" ref="CU61:CU80" si="38">AE61/AE$64</f>
        <v>1.1460693284884291E-2</v>
      </c>
      <c r="CV61" s="145">
        <f t="shared" ref="CV61:CV80" si="39">AL61/AL$64</f>
        <v>1.3748128619393975E-2</v>
      </c>
      <c r="CW61" s="145">
        <f t="shared" ref="CW61:CW80" si="40">AS61/AS$64</f>
        <v>1.4854104936204747E-2</v>
      </c>
      <c r="CX61" s="145">
        <f t="shared" ref="CX61:CX80" si="41">AZ61/AZ$64</f>
        <v>1.5143069027919728E-2</v>
      </c>
      <c r="CY61" s="145">
        <f t="shared" ref="CY61:CY80" si="42">BG61/BG$64</f>
        <v>1.65136090495374E-2</v>
      </c>
      <c r="CZ61" s="145">
        <f t="shared" ref="CZ61:CZ80" si="43">BN61/BN$64</f>
        <v>2.9157030210336676E-2</v>
      </c>
      <c r="DA61" s="145">
        <f t="shared" si="33"/>
        <v>2.4389562710082243E-2</v>
      </c>
      <c r="DB61" s="145">
        <f t="shared" si="34"/>
        <v>2.5199328366724026E-2</v>
      </c>
      <c r="DC61" s="145">
        <f t="shared" si="35"/>
        <v>2.6903040244268692E-2</v>
      </c>
    </row>
    <row r="62" spans="2:107" x14ac:dyDescent="0.2">
      <c r="B62" s="147" t="s">
        <v>409</v>
      </c>
      <c r="C62" s="208"/>
      <c r="D62" s="148">
        <f>Activos!$H$129</f>
        <v>269047800</v>
      </c>
      <c r="E62" s="148">
        <f>Activos!$H$110</f>
        <v>993789999.99999988</v>
      </c>
      <c r="F62" s="148">
        <f>Activos!$H$34</f>
        <v>239852199.99999997</v>
      </c>
      <c r="G62" s="148">
        <f>Activos!$H$91</f>
        <v>56763000</v>
      </c>
      <c r="H62" s="148">
        <f>Activos!$H$53</f>
        <v>215607000</v>
      </c>
      <c r="I62" s="148">
        <f>Activos!$H$72</f>
        <v>110678377.59999999</v>
      </c>
      <c r="J62" s="148">
        <f>SUM(D62:I62)</f>
        <v>1885738377.5999999</v>
      </c>
      <c r="K62" s="148">
        <f>Activos!$H$129</f>
        <v>269047800</v>
      </c>
      <c r="L62" s="148">
        <f>Activos!$H$110</f>
        <v>993789999.99999988</v>
      </c>
      <c r="M62" s="148">
        <f>Activos!$H$34</f>
        <v>239852199.99999997</v>
      </c>
      <c r="N62" s="148">
        <f>Activos!$H$91</f>
        <v>56763000</v>
      </c>
      <c r="O62" s="148">
        <f>Activos!$H$53</f>
        <v>215607000</v>
      </c>
      <c r="P62" s="148">
        <f>Activos!$H$72</f>
        <v>110678377.59999999</v>
      </c>
      <c r="Q62" s="148">
        <f>SUM(K62:P62)</f>
        <v>1885738377.5999999</v>
      </c>
      <c r="R62" s="148">
        <f>Activos!$H$129</f>
        <v>269047800</v>
      </c>
      <c r="S62" s="148">
        <f>Activos!$H$110</f>
        <v>993789999.99999988</v>
      </c>
      <c r="T62" s="148">
        <f>Activos!$H$34</f>
        <v>239852199.99999997</v>
      </c>
      <c r="U62" s="148">
        <f>Activos!$H$91</f>
        <v>56763000</v>
      </c>
      <c r="V62" s="148">
        <f>Activos!$H$53</f>
        <v>215607000</v>
      </c>
      <c r="W62" s="148">
        <f>Activos!$H$72</f>
        <v>110678377.59999999</v>
      </c>
      <c r="X62" s="148">
        <f>SUM(R62:W62)</f>
        <v>1885738377.5999999</v>
      </c>
      <c r="Y62" s="148">
        <f>Activos!$H$129</f>
        <v>269047800</v>
      </c>
      <c r="Z62" s="148">
        <f>Activos!$H$110</f>
        <v>993789999.99999988</v>
      </c>
      <c r="AA62" s="148">
        <f>Activos!$H$34</f>
        <v>239852199.99999997</v>
      </c>
      <c r="AB62" s="148">
        <f>Activos!$H$91</f>
        <v>56763000</v>
      </c>
      <c r="AC62" s="148">
        <f>Activos!$H$53</f>
        <v>215607000</v>
      </c>
      <c r="AD62" s="148">
        <f>Activos!$H$72</f>
        <v>110678377.59999999</v>
      </c>
      <c r="AE62" s="148">
        <f>SUM(Y62:AD62)</f>
        <v>1885738377.5999999</v>
      </c>
      <c r="AF62" s="148">
        <f>Activos!$H$129</f>
        <v>269047800</v>
      </c>
      <c r="AG62" s="148">
        <f>Activos!$H$110</f>
        <v>993789999.99999988</v>
      </c>
      <c r="AH62" s="148">
        <f>Activos!$H$34</f>
        <v>239852199.99999997</v>
      </c>
      <c r="AI62" s="148">
        <f>Activos!$H$91</f>
        <v>56763000</v>
      </c>
      <c r="AJ62" s="148">
        <f>Activos!$H$53</f>
        <v>215607000</v>
      </c>
      <c r="AK62" s="148">
        <f>Activos!$H$72</f>
        <v>110678377.59999999</v>
      </c>
      <c r="AL62" s="148">
        <f>SUM(AF62:AK62)</f>
        <v>1885738377.5999999</v>
      </c>
      <c r="AM62" s="148">
        <f>Activos!$H$129</f>
        <v>269047800</v>
      </c>
      <c r="AN62" s="148">
        <f>Activos!$H$110</f>
        <v>993789999.99999988</v>
      </c>
      <c r="AO62" s="148">
        <f>Activos!$H$34</f>
        <v>239852199.99999997</v>
      </c>
      <c r="AP62" s="148">
        <f>Activos!$H$91</f>
        <v>56763000</v>
      </c>
      <c r="AQ62" s="148">
        <f>Activos!$H$53</f>
        <v>215607000</v>
      </c>
      <c r="AR62" s="148">
        <f>Activos!$H$72</f>
        <v>110678377.59999999</v>
      </c>
      <c r="AS62" s="148">
        <f>SUM(AM62:AR62)</f>
        <v>1885738377.5999999</v>
      </c>
      <c r="AT62" s="148">
        <f>Activos!$H$129</f>
        <v>269047800</v>
      </c>
      <c r="AU62" s="148">
        <f>Activos!$H$110</f>
        <v>993789999.99999988</v>
      </c>
      <c r="AV62" s="148">
        <f>Activos!$H$34</f>
        <v>239852199.99999997</v>
      </c>
      <c r="AW62" s="148">
        <f>Activos!$H$91</f>
        <v>56763000</v>
      </c>
      <c r="AX62" s="148">
        <f>Activos!$H$53</f>
        <v>215607000</v>
      </c>
      <c r="AY62" s="148">
        <f>Activos!$H$72</f>
        <v>110678377.59999999</v>
      </c>
      <c r="AZ62" s="148">
        <f>SUM(AT62:AY62)</f>
        <v>1885738377.5999999</v>
      </c>
      <c r="BA62" s="148">
        <f>Activos!$H$129</f>
        <v>269047800</v>
      </c>
      <c r="BB62" s="148">
        <f>Activos!$H$110</f>
        <v>993789999.99999988</v>
      </c>
      <c r="BC62" s="148">
        <f>Activos!$H$34</f>
        <v>239852199.99999997</v>
      </c>
      <c r="BD62" s="148">
        <f>Activos!$H$91</f>
        <v>56763000</v>
      </c>
      <c r="BE62" s="148">
        <f>Activos!$H$53</f>
        <v>215607000</v>
      </c>
      <c r="BF62" s="148">
        <f>Activos!$H$72</f>
        <v>110678377.59999999</v>
      </c>
      <c r="BG62" s="148">
        <f>SUM(BA62:BF62)</f>
        <v>1885738377.5999999</v>
      </c>
      <c r="BH62" s="148">
        <f>Activos!$H$129</f>
        <v>269047800</v>
      </c>
      <c r="BI62" s="148">
        <f>Activos!$H$110</f>
        <v>993789999.99999988</v>
      </c>
      <c r="BJ62" s="148">
        <f>Activos!$H$34</f>
        <v>239852199.99999997</v>
      </c>
      <c r="BK62" s="148">
        <f>Activos!$H$91</f>
        <v>56763000</v>
      </c>
      <c r="BL62" s="148">
        <f>Activos!$H$53</f>
        <v>215607000</v>
      </c>
      <c r="BM62" s="148">
        <f>Activos!$H$72</f>
        <v>110678377.59999999</v>
      </c>
      <c r="BN62" s="148">
        <f>SUM(BH62:BM62)</f>
        <v>1885738377.5999999</v>
      </c>
      <c r="BO62" s="148">
        <f>Activos!$H$129</f>
        <v>269047800</v>
      </c>
      <c r="BP62" s="148">
        <f>Activos!$H$110</f>
        <v>993789999.99999988</v>
      </c>
      <c r="BQ62" s="148">
        <f>Activos!$H$34</f>
        <v>239852199.99999997</v>
      </c>
      <c r="BR62" s="148">
        <f>Activos!$H$91</f>
        <v>56763000</v>
      </c>
      <c r="BS62" s="148">
        <f>Activos!$H$53</f>
        <v>215607000</v>
      </c>
      <c r="BT62" s="148">
        <f>Activos!$H$72</f>
        <v>110678377.59999999</v>
      </c>
      <c r="BU62" s="148">
        <f>SUM(BO62:BT62)</f>
        <v>1885738377.5999999</v>
      </c>
      <c r="BV62" s="148">
        <f>Activos!$H$129</f>
        <v>269047800</v>
      </c>
      <c r="BW62" s="148">
        <f>Activos!$H$110</f>
        <v>993789999.99999988</v>
      </c>
      <c r="BX62" s="148">
        <f>Activos!$H$34</f>
        <v>239852199.99999997</v>
      </c>
      <c r="BY62" s="148">
        <f>Activos!$H$91</f>
        <v>56763000</v>
      </c>
      <c r="BZ62" s="148">
        <f>Activos!$H$53</f>
        <v>215607000</v>
      </c>
      <c r="CA62" s="148">
        <f>Activos!$H$72</f>
        <v>110678377.59999999</v>
      </c>
      <c r="CB62" s="148">
        <f>SUM(BV62:CA62)</f>
        <v>1885738377.5999999</v>
      </c>
      <c r="CC62" s="148">
        <f>Activos!$H$129</f>
        <v>269047800</v>
      </c>
      <c r="CD62" s="148">
        <f>Activos!$H$110</f>
        <v>993789999.99999988</v>
      </c>
      <c r="CE62" s="148">
        <f>Activos!$H$34</f>
        <v>239852199.99999997</v>
      </c>
      <c r="CF62" s="148">
        <f>Activos!$H$91</f>
        <v>56763000</v>
      </c>
      <c r="CG62" s="148">
        <f>Activos!$H$53</f>
        <v>215607000</v>
      </c>
      <c r="CH62" s="148">
        <f>Activos!$H$72</f>
        <v>110678377.59999999</v>
      </c>
      <c r="CI62" s="148">
        <f>SUM(CC62:CH62)</f>
        <v>1885738377.5999999</v>
      </c>
      <c r="CJ62" s="148">
        <f>Activos!$H$129</f>
        <v>269047800</v>
      </c>
      <c r="CK62" s="148">
        <f>Activos!$H$110</f>
        <v>993789999.99999988</v>
      </c>
      <c r="CL62" s="148">
        <f>Activos!$H$34</f>
        <v>239852199.99999997</v>
      </c>
      <c r="CM62" s="148">
        <f>Activos!$H$91</f>
        <v>56763000</v>
      </c>
      <c r="CN62" s="148">
        <f>Activos!$H$53</f>
        <v>215607000</v>
      </c>
      <c r="CO62" s="148">
        <f>Activos!$H$72</f>
        <v>110678377.59999999</v>
      </c>
      <c r="CP62" s="148">
        <f>CI62</f>
        <v>1885738377.5999999</v>
      </c>
      <c r="CR62" s="149">
        <f t="shared" si="32"/>
        <v>0.98854316609462423</v>
      </c>
      <c r="CS62" s="149">
        <f t="shared" si="36"/>
        <v>0.98845455218788747</v>
      </c>
      <c r="CT62" s="149">
        <f t="shared" si="37"/>
        <v>0.9889303754743749</v>
      </c>
      <c r="CU62" s="149">
        <f t="shared" si="38"/>
        <v>0.9885393067151157</v>
      </c>
      <c r="CV62" s="149">
        <f t="shared" si="39"/>
        <v>0.9862518713806061</v>
      </c>
      <c r="CW62" s="149">
        <f t="shared" si="40"/>
        <v>0.98514589506379524</v>
      </c>
      <c r="CX62" s="149">
        <f t="shared" si="41"/>
        <v>0.98485693097208027</v>
      </c>
      <c r="CY62" s="149">
        <f t="shared" si="42"/>
        <v>0.98348639095046253</v>
      </c>
      <c r="CZ62" s="149">
        <f t="shared" si="43"/>
        <v>0.97084296978966322</v>
      </c>
      <c r="DA62" s="149">
        <f t="shared" si="33"/>
        <v>0.97561043728991781</v>
      </c>
      <c r="DB62" s="149">
        <f t="shared" si="34"/>
        <v>0.97480067163327599</v>
      </c>
      <c r="DC62" s="149">
        <f t="shared" si="35"/>
        <v>0.97309695975573129</v>
      </c>
    </row>
    <row r="63" spans="2:107" ht="16" x14ac:dyDescent="0.2">
      <c r="B63" s="141" t="s">
        <v>410</v>
      </c>
      <c r="C63" s="207"/>
      <c r="D63" s="142"/>
      <c r="E63" s="142"/>
      <c r="F63" s="142"/>
      <c r="G63" s="142"/>
      <c r="H63" s="142"/>
      <c r="I63" s="142"/>
      <c r="J63" s="142">
        <f>J62</f>
        <v>1885738377.5999999</v>
      </c>
      <c r="K63" s="142"/>
      <c r="L63" s="142"/>
      <c r="M63" s="142"/>
      <c r="N63" s="142"/>
      <c r="O63" s="142"/>
      <c r="P63" s="142"/>
      <c r="Q63" s="142">
        <f>Q62</f>
        <v>1885738377.5999999</v>
      </c>
      <c r="R63" s="142"/>
      <c r="S63" s="142"/>
      <c r="T63" s="142"/>
      <c r="U63" s="142"/>
      <c r="V63" s="142"/>
      <c r="W63" s="142"/>
      <c r="X63" s="142">
        <f>X62</f>
        <v>1885738377.5999999</v>
      </c>
      <c r="Y63" s="142"/>
      <c r="Z63" s="142"/>
      <c r="AA63" s="142"/>
      <c r="AB63" s="142"/>
      <c r="AC63" s="142"/>
      <c r="AD63" s="142"/>
      <c r="AE63" s="142">
        <f>AE62</f>
        <v>1885738377.5999999</v>
      </c>
      <c r="AF63" s="143"/>
      <c r="AG63" s="143"/>
      <c r="AH63" s="143"/>
      <c r="AI63" s="143"/>
      <c r="AJ63" s="143"/>
      <c r="AK63" s="143"/>
      <c r="AL63" s="142">
        <f>AL62</f>
        <v>1885738377.5999999</v>
      </c>
      <c r="AM63" s="142"/>
      <c r="AN63" s="142"/>
      <c r="AO63" s="142"/>
      <c r="AP63" s="142"/>
      <c r="AQ63" s="142"/>
      <c r="AR63" s="142"/>
      <c r="AS63" s="142">
        <f>AS62</f>
        <v>1885738377.5999999</v>
      </c>
      <c r="AT63" s="143"/>
      <c r="AU63" s="143"/>
      <c r="AV63" s="143"/>
      <c r="AW63" s="143"/>
      <c r="AX63" s="143"/>
      <c r="AY63" s="143"/>
      <c r="AZ63" s="142">
        <f>AZ62</f>
        <v>1885738377.5999999</v>
      </c>
      <c r="BA63" s="143"/>
      <c r="BB63" s="143"/>
      <c r="BC63" s="143"/>
      <c r="BD63" s="143"/>
      <c r="BE63" s="143"/>
      <c r="BF63" s="143"/>
      <c r="BG63" s="142">
        <f>BG62</f>
        <v>1885738377.5999999</v>
      </c>
      <c r="BH63" s="143"/>
      <c r="BI63" s="143"/>
      <c r="BJ63" s="143"/>
      <c r="BK63" s="143"/>
      <c r="BL63" s="143"/>
      <c r="BM63" s="143"/>
      <c r="BN63" s="142">
        <f>BN62</f>
        <v>1885738377.5999999</v>
      </c>
      <c r="BO63" s="143"/>
      <c r="BP63" s="143"/>
      <c r="BQ63" s="143"/>
      <c r="BR63" s="143"/>
      <c r="BS63" s="143"/>
      <c r="BT63" s="143"/>
      <c r="BU63" s="142">
        <f>BU62</f>
        <v>1885738377.5999999</v>
      </c>
      <c r="BV63" s="143"/>
      <c r="BW63" s="143"/>
      <c r="BX63" s="143"/>
      <c r="BY63" s="143"/>
      <c r="BZ63" s="143"/>
      <c r="CA63" s="143"/>
      <c r="CB63" s="142">
        <f>CB62</f>
        <v>1885738377.5999999</v>
      </c>
      <c r="CC63" s="142"/>
      <c r="CD63" s="142"/>
      <c r="CE63" s="142"/>
      <c r="CF63" s="142"/>
      <c r="CG63" s="142"/>
      <c r="CH63" s="143"/>
      <c r="CI63" s="142">
        <f>CI62</f>
        <v>1885738377.5999999</v>
      </c>
      <c r="CJ63" s="142"/>
      <c r="CK63" s="142"/>
      <c r="CL63" s="142"/>
      <c r="CM63" s="142"/>
      <c r="CN63" s="142"/>
      <c r="CO63" s="142"/>
      <c r="CP63" s="142">
        <f>CP62</f>
        <v>1885738377.5999999</v>
      </c>
      <c r="CR63" s="145">
        <f t="shared" si="32"/>
        <v>0.98854316609462423</v>
      </c>
      <c r="CS63" s="145">
        <f t="shared" si="36"/>
        <v>0.98845455218788747</v>
      </c>
      <c r="CT63" s="145">
        <f t="shared" si="37"/>
        <v>0.9889303754743749</v>
      </c>
      <c r="CU63" s="145">
        <f t="shared" si="38"/>
        <v>0.9885393067151157</v>
      </c>
      <c r="CV63" s="145">
        <f t="shared" si="39"/>
        <v>0.9862518713806061</v>
      </c>
      <c r="CW63" s="145">
        <f t="shared" si="40"/>
        <v>0.98514589506379524</v>
      </c>
      <c r="CX63" s="145">
        <f t="shared" si="41"/>
        <v>0.98485693097208027</v>
      </c>
      <c r="CY63" s="145">
        <f t="shared" si="42"/>
        <v>0.98348639095046253</v>
      </c>
      <c r="CZ63" s="145">
        <f t="shared" si="43"/>
        <v>0.97084296978966322</v>
      </c>
      <c r="DA63" s="145">
        <f t="shared" si="33"/>
        <v>0.97561043728991781</v>
      </c>
      <c r="DB63" s="145">
        <f t="shared" si="34"/>
        <v>0.97480067163327599</v>
      </c>
      <c r="DC63" s="145">
        <f t="shared" si="35"/>
        <v>0.97309695975573129</v>
      </c>
    </row>
    <row r="64" spans="2:107" ht="16" x14ac:dyDescent="0.2">
      <c r="B64" s="150" t="s">
        <v>411</v>
      </c>
      <c r="C64" s="209"/>
      <c r="D64" s="151"/>
      <c r="E64" s="151"/>
      <c r="F64" s="151"/>
      <c r="G64" s="151"/>
      <c r="H64" s="151"/>
      <c r="I64" s="151"/>
      <c r="J64" s="151">
        <f>J61+J63</f>
        <v>1907593357.8599999</v>
      </c>
      <c r="K64" s="151"/>
      <c r="L64" s="151"/>
      <c r="M64" s="151"/>
      <c r="N64" s="151"/>
      <c r="O64" s="151"/>
      <c r="P64" s="151"/>
      <c r="Q64" s="151">
        <f>Q61+Q63</f>
        <v>1907764371.5899999</v>
      </c>
      <c r="R64" s="151"/>
      <c r="S64" s="151"/>
      <c r="T64" s="151"/>
      <c r="U64" s="151"/>
      <c r="V64" s="151"/>
      <c r="W64" s="151"/>
      <c r="X64" s="151">
        <f>X61+X63</f>
        <v>1906846451.8499999</v>
      </c>
      <c r="Y64" s="151"/>
      <c r="Z64" s="151"/>
      <c r="AA64" s="151"/>
      <c r="AB64" s="151"/>
      <c r="AC64" s="151"/>
      <c r="AD64" s="151"/>
      <c r="AE64" s="151">
        <f>AE61+AE63</f>
        <v>1907600805.3399999</v>
      </c>
      <c r="AF64" s="152"/>
      <c r="AG64" s="152"/>
      <c r="AH64" s="152"/>
      <c r="AI64" s="152"/>
      <c r="AJ64" s="152"/>
      <c r="AK64" s="152"/>
      <c r="AL64" s="151">
        <f>AL61+AL63</f>
        <v>1912025145.2199998</v>
      </c>
      <c r="AM64" s="151"/>
      <c r="AN64" s="151"/>
      <c r="AO64" s="151"/>
      <c r="AP64" s="151"/>
      <c r="AQ64" s="151"/>
      <c r="AR64" s="151"/>
      <c r="AS64" s="151">
        <f>AS61+AS63</f>
        <v>1914171684.6699998</v>
      </c>
      <c r="AT64" s="152"/>
      <c r="AU64" s="152"/>
      <c r="AV64" s="152"/>
      <c r="AW64" s="152"/>
      <c r="AX64" s="152"/>
      <c r="AY64" s="152"/>
      <c r="AZ64" s="151">
        <f>AZ61+AZ63</f>
        <v>1914733316.3799999</v>
      </c>
      <c r="BA64" s="152"/>
      <c r="BB64" s="152"/>
      <c r="BC64" s="152"/>
      <c r="BD64" s="152"/>
      <c r="BE64" s="152"/>
      <c r="BF64" s="152"/>
      <c r="BG64" s="151">
        <f>BG61+BG63</f>
        <v>1917401597.98</v>
      </c>
      <c r="BH64" s="152"/>
      <c r="BI64" s="152"/>
      <c r="BJ64" s="152"/>
      <c r="BK64" s="152"/>
      <c r="BL64" s="152"/>
      <c r="BM64" s="152"/>
      <c r="BN64" s="151">
        <f>BN61+BN63</f>
        <v>1942372181.99</v>
      </c>
      <c r="BO64" s="152"/>
      <c r="BP64" s="152"/>
      <c r="BQ64" s="152"/>
      <c r="BR64" s="152"/>
      <c r="BS64" s="152"/>
      <c r="BT64" s="152"/>
      <c r="BU64" s="151">
        <f>BU61+BU63</f>
        <v>1932880487.4599998</v>
      </c>
      <c r="BV64" s="152"/>
      <c r="BW64" s="152"/>
      <c r="BX64" s="152"/>
      <c r="BY64" s="152"/>
      <c r="BZ64" s="152"/>
      <c r="CA64" s="152"/>
      <c r="CB64" s="151">
        <f>CB61+CB63</f>
        <v>1934486128.78</v>
      </c>
      <c r="CC64" s="151"/>
      <c r="CD64" s="151"/>
      <c r="CE64" s="151"/>
      <c r="CF64" s="151"/>
      <c r="CG64" s="151"/>
      <c r="CH64" s="152"/>
      <c r="CI64" s="151">
        <f>CI61+CI63</f>
        <v>1937873054.3699999</v>
      </c>
      <c r="CJ64" s="151"/>
      <c r="CK64" s="151"/>
      <c r="CL64" s="151"/>
      <c r="CM64" s="151"/>
      <c r="CN64" s="151"/>
      <c r="CO64" s="151"/>
      <c r="CP64" s="151">
        <f>CP61+CP63</f>
        <v>1937873054.3699999</v>
      </c>
      <c r="CR64" s="153">
        <f t="shared" si="32"/>
        <v>1</v>
      </c>
      <c r="CS64" s="153">
        <f t="shared" si="36"/>
        <v>1</v>
      </c>
      <c r="CT64" s="153">
        <f t="shared" si="37"/>
        <v>1</v>
      </c>
      <c r="CU64" s="153">
        <f t="shared" si="38"/>
        <v>1</v>
      </c>
      <c r="CV64" s="153">
        <f t="shared" si="39"/>
        <v>1</v>
      </c>
      <c r="CW64" s="153">
        <f t="shared" si="40"/>
        <v>1</v>
      </c>
      <c r="CX64" s="153">
        <f t="shared" si="41"/>
        <v>1</v>
      </c>
      <c r="CY64" s="153">
        <f t="shared" si="42"/>
        <v>1</v>
      </c>
      <c r="CZ64" s="153">
        <f t="shared" si="43"/>
        <v>1</v>
      </c>
      <c r="DA64" s="153">
        <f t="shared" si="33"/>
        <v>1</v>
      </c>
      <c r="DB64" s="153">
        <f t="shared" si="34"/>
        <v>1</v>
      </c>
      <c r="DC64" s="153">
        <f t="shared" si="35"/>
        <v>1</v>
      </c>
    </row>
    <row r="65" spans="2:107" x14ac:dyDescent="0.2">
      <c r="B65" s="105" t="s">
        <v>412</v>
      </c>
      <c r="D65" s="134"/>
      <c r="E65" s="134"/>
      <c r="F65" s="132"/>
      <c r="G65" s="133"/>
      <c r="H65" s="133"/>
      <c r="I65" s="133"/>
      <c r="K65" s="134"/>
      <c r="L65" s="134"/>
      <c r="M65" s="134"/>
      <c r="N65" s="133"/>
      <c r="O65" s="133"/>
      <c r="P65" s="133"/>
      <c r="R65" s="133"/>
      <c r="S65" s="133"/>
      <c r="T65" s="133"/>
      <c r="U65" s="133"/>
      <c r="V65" s="133"/>
      <c r="Y65" s="133"/>
      <c r="Z65" s="133"/>
      <c r="AA65" s="133"/>
      <c r="AB65" s="133"/>
      <c r="AC65" s="133"/>
      <c r="AF65" s="133"/>
      <c r="AG65" s="133"/>
      <c r="AH65" s="133"/>
      <c r="AI65" s="133"/>
      <c r="AJ65" s="133"/>
      <c r="AM65" s="133"/>
      <c r="AN65" s="133"/>
      <c r="AO65" s="133"/>
      <c r="AP65" s="133"/>
      <c r="AQ65" s="133"/>
      <c r="AT65" s="133"/>
      <c r="AU65" s="133"/>
      <c r="AV65" s="133"/>
      <c r="AW65" s="133"/>
      <c r="AX65" s="133"/>
      <c r="BA65" s="133"/>
      <c r="BB65" s="133"/>
      <c r="BC65" s="133"/>
      <c r="BD65" s="133"/>
      <c r="BE65" s="133"/>
      <c r="BH65" s="133"/>
      <c r="BI65" s="133"/>
      <c r="BJ65" s="133"/>
      <c r="BK65" s="133"/>
      <c r="BL65" s="133"/>
      <c r="BO65" s="133"/>
      <c r="BP65" s="133"/>
      <c r="BQ65" s="133"/>
      <c r="BR65" s="133"/>
      <c r="BS65" s="133"/>
      <c r="BV65" s="133"/>
      <c r="BW65" s="133"/>
      <c r="BX65" s="133"/>
      <c r="BY65" s="133"/>
      <c r="BZ65" s="133"/>
      <c r="CC65" s="133"/>
      <c r="CD65" s="133"/>
      <c r="CE65" s="133"/>
      <c r="CF65" s="133"/>
      <c r="CG65" s="133"/>
      <c r="CJ65" s="133"/>
      <c r="CK65" s="133"/>
      <c r="CL65" s="133"/>
      <c r="CM65" s="133"/>
      <c r="CN65" s="133"/>
      <c r="CR65" s="139">
        <f t="shared" si="32"/>
        <v>0</v>
      </c>
      <c r="CS65" s="139">
        <f t="shared" si="36"/>
        <v>0</v>
      </c>
      <c r="CT65" s="139">
        <f t="shared" si="37"/>
        <v>0</v>
      </c>
      <c r="CU65" s="139">
        <f t="shared" si="38"/>
        <v>0</v>
      </c>
      <c r="CV65" s="139">
        <f t="shared" si="39"/>
        <v>0</v>
      </c>
      <c r="CW65" s="139">
        <f t="shared" si="40"/>
        <v>0</v>
      </c>
      <c r="CX65" s="139">
        <f t="shared" si="41"/>
        <v>0</v>
      </c>
      <c r="CY65" s="139">
        <f t="shared" si="42"/>
        <v>0</v>
      </c>
      <c r="CZ65" s="139">
        <f t="shared" si="43"/>
        <v>0</v>
      </c>
      <c r="DA65" s="139">
        <f t="shared" si="33"/>
        <v>0</v>
      </c>
      <c r="DB65" s="139">
        <f t="shared" si="34"/>
        <v>0</v>
      </c>
      <c r="DC65" s="139">
        <f t="shared" si="35"/>
        <v>0</v>
      </c>
    </row>
    <row r="66" spans="2:107" x14ac:dyDescent="0.2">
      <c r="B66" s="105" t="s">
        <v>413</v>
      </c>
      <c r="D66" s="134"/>
      <c r="E66" s="134"/>
      <c r="F66" s="132"/>
      <c r="G66" s="133"/>
      <c r="H66" s="133"/>
      <c r="I66" s="133"/>
      <c r="K66" s="134"/>
      <c r="L66" s="134"/>
      <c r="M66" s="134"/>
      <c r="N66" s="133"/>
      <c r="O66" s="133"/>
      <c r="P66" s="133"/>
      <c r="R66" s="133"/>
      <c r="S66" s="133"/>
      <c r="T66" s="133"/>
      <c r="U66" s="133"/>
      <c r="V66" s="133"/>
      <c r="Y66" s="133"/>
      <c r="Z66" s="133"/>
      <c r="AA66" s="133"/>
      <c r="AB66" s="133"/>
      <c r="AC66" s="133"/>
      <c r="AF66" s="133"/>
      <c r="AG66" s="133"/>
      <c r="AH66" s="133"/>
      <c r="AI66" s="133"/>
      <c r="AJ66" s="133"/>
      <c r="AM66" s="133"/>
      <c r="AN66" s="133"/>
      <c r="AO66" s="133"/>
      <c r="AP66" s="133"/>
      <c r="AQ66" s="133"/>
      <c r="AT66" s="133"/>
      <c r="AU66" s="133"/>
      <c r="AV66" s="133"/>
      <c r="AW66" s="133"/>
      <c r="AX66" s="133"/>
      <c r="BA66" s="133"/>
      <c r="BB66" s="133"/>
      <c r="BC66" s="133"/>
      <c r="BD66" s="133"/>
      <c r="BE66" s="133"/>
      <c r="BH66" s="133"/>
      <c r="BI66" s="133"/>
      <c r="BJ66" s="133"/>
      <c r="BK66" s="133"/>
      <c r="BL66" s="133"/>
      <c r="BO66" s="133"/>
      <c r="BP66" s="133"/>
      <c r="BQ66" s="133"/>
      <c r="BR66" s="133"/>
      <c r="BS66" s="133"/>
      <c r="BV66" s="133"/>
      <c r="BW66" s="133"/>
      <c r="BX66" s="133"/>
      <c r="BY66" s="133"/>
      <c r="BZ66" s="133"/>
      <c r="CC66" s="133"/>
      <c r="CD66" s="133"/>
      <c r="CE66" s="133"/>
      <c r="CF66" s="133"/>
      <c r="CG66" s="133"/>
      <c r="CJ66" s="133"/>
      <c r="CK66" s="133"/>
      <c r="CL66" s="133"/>
      <c r="CM66" s="133"/>
      <c r="CN66" s="133"/>
      <c r="CR66" s="139">
        <f t="shared" si="32"/>
        <v>0</v>
      </c>
      <c r="CS66" s="139">
        <f t="shared" si="36"/>
        <v>0</v>
      </c>
      <c r="CT66" s="139">
        <f t="shared" si="37"/>
        <v>0</v>
      </c>
      <c r="CU66" s="139">
        <f t="shared" si="38"/>
        <v>0</v>
      </c>
      <c r="CV66" s="139">
        <f t="shared" si="39"/>
        <v>0</v>
      </c>
      <c r="CW66" s="139">
        <f t="shared" si="40"/>
        <v>0</v>
      </c>
      <c r="CX66" s="139">
        <f t="shared" si="41"/>
        <v>0</v>
      </c>
      <c r="CY66" s="139">
        <f t="shared" si="42"/>
        <v>0</v>
      </c>
      <c r="CZ66" s="139">
        <f t="shared" si="43"/>
        <v>0</v>
      </c>
      <c r="DA66" s="139">
        <f t="shared" si="33"/>
        <v>0</v>
      </c>
      <c r="DB66" s="139">
        <f t="shared" si="34"/>
        <v>0</v>
      </c>
      <c r="DC66" s="139">
        <f t="shared" si="35"/>
        <v>0</v>
      </c>
    </row>
    <row r="67" spans="2:107" x14ac:dyDescent="0.2">
      <c r="B67" s="105" t="s">
        <v>414</v>
      </c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3"/>
      <c r="S67" s="133"/>
      <c r="T67" s="133"/>
      <c r="U67" s="133"/>
      <c r="V67" s="133"/>
      <c r="Y67" s="133"/>
      <c r="Z67" s="133"/>
      <c r="AA67" s="133"/>
      <c r="AB67" s="133"/>
      <c r="AC67" s="133"/>
      <c r="AF67" s="133"/>
      <c r="AG67" s="133"/>
      <c r="AH67" s="133"/>
      <c r="AI67" s="133"/>
      <c r="AJ67" s="133"/>
      <c r="AM67" s="133"/>
      <c r="AN67" s="133"/>
      <c r="AO67" s="133"/>
      <c r="AP67" s="133"/>
      <c r="AQ67" s="133"/>
      <c r="AT67" s="133"/>
      <c r="AU67" s="133"/>
      <c r="AV67" s="133"/>
      <c r="AW67" s="133"/>
      <c r="AX67" s="133"/>
      <c r="BA67" s="133"/>
      <c r="BB67" s="133"/>
      <c r="BC67" s="133"/>
      <c r="BD67" s="133"/>
      <c r="BE67" s="133"/>
      <c r="BH67" s="133"/>
      <c r="BI67" s="133"/>
      <c r="BJ67" s="133"/>
      <c r="BK67" s="133"/>
      <c r="BL67" s="133"/>
      <c r="BO67" s="133"/>
      <c r="BP67" s="133"/>
      <c r="BQ67" s="133"/>
      <c r="BR67" s="133"/>
      <c r="BS67" s="133"/>
      <c r="BV67" s="133"/>
      <c r="BW67" s="133"/>
      <c r="BX67" s="133"/>
      <c r="BY67" s="133"/>
      <c r="BZ67" s="133"/>
      <c r="CC67" s="133"/>
      <c r="CD67" s="133"/>
      <c r="CE67" s="133"/>
      <c r="CF67" s="133"/>
      <c r="CG67" s="133"/>
      <c r="CJ67" s="133"/>
      <c r="CK67" s="133"/>
      <c r="CL67" s="133"/>
      <c r="CM67" s="133"/>
      <c r="CN67" s="133"/>
      <c r="CQ67" s="154"/>
      <c r="CR67" s="139">
        <f t="shared" si="32"/>
        <v>0</v>
      </c>
      <c r="CS67" s="139">
        <f t="shared" si="36"/>
        <v>0</v>
      </c>
      <c r="CT67" s="139">
        <f t="shared" si="37"/>
        <v>0</v>
      </c>
      <c r="CU67" s="139">
        <f t="shared" si="38"/>
        <v>0</v>
      </c>
      <c r="CV67" s="139">
        <f t="shared" si="39"/>
        <v>0</v>
      </c>
      <c r="CW67" s="139">
        <f t="shared" si="40"/>
        <v>0</v>
      </c>
      <c r="CX67" s="139">
        <f t="shared" si="41"/>
        <v>0</v>
      </c>
      <c r="CY67" s="139">
        <f t="shared" si="42"/>
        <v>0</v>
      </c>
      <c r="CZ67" s="139">
        <f t="shared" si="43"/>
        <v>0</v>
      </c>
      <c r="DA67" s="139">
        <f t="shared" si="33"/>
        <v>0</v>
      </c>
      <c r="DB67" s="139">
        <f t="shared" si="34"/>
        <v>0</v>
      </c>
      <c r="DC67" s="139">
        <f t="shared" si="35"/>
        <v>0</v>
      </c>
    </row>
    <row r="68" spans="2:107" ht="16" x14ac:dyDescent="0.2">
      <c r="B68" s="105" t="s">
        <v>415</v>
      </c>
      <c r="D68" s="134"/>
      <c r="E68" s="134"/>
      <c r="F68" s="132"/>
      <c r="G68" s="155"/>
      <c r="H68" s="156"/>
      <c r="I68" s="156"/>
      <c r="K68" s="134"/>
      <c r="L68" s="134"/>
      <c r="M68" s="134"/>
      <c r="N68" s="155"/>
      <c r="O68" s="144"/>
      <c r="P68" s="144"/>
      <c r="R68" s="144"/>
      <c r="S68" s="144"/>
      <c r="T68" s="144"/>
      <c r="U68" s="144"/>
      <c r="V68" s="144"/>
      <c r="Y68" s="144"/>
      <c r="Z68" s="144"/>
      <c r="AA68" s="144"/>
      <c r="AB68" s="144"/>
      <c r="AC68" s="144"/>
      <c r="AF68" s="144"/>
      <c r="AG68" s="144"/>
      <c r="AH68" s="144"/>
      <c r="AI68" s="144"/>
      <c r="AJ68" s="144"/>
      <c r="AM68" s="144"/>
      <c r="AN68" s="144"/>
      <c r="AO68" s="144"/>
      <c r="AP68" s="144"/>
      <c r="AQ68" s="144"/>
      <c r="AT68" s="144"/>
      <c r="AU68" s="144"/>
      <c r="AV68" s="144"/>
      <c r="AW68" s="144"/>
      <c r="AX68" s="144"/>
      <c r="BA68" s="144"/>
      <c r="BB68" s="144"/>
      <c r="BC68" s="144"/>
      <c r="BD68" s="144"/>
      <c r="BE68" s="144"/>
      <c r="BH68" s="144"/>
      <c r="BI68" s="144"/>
      <c r="BJ68" s="144"/>
      <c r="BK68" s="144"/>
      <c r="BL68" s="144"/>
      <c r="BO68" s="144"/>
      <c r="BP68" s="144"/>
      <c r="BQ68" s="144"/>
      <c r="BR68" s="144"/>
      <c r="BS68" s="144"/>
      <c r="BV68" s="144"/>
      <c r="BW68" s="144"/>
      <c r="BX68" s="144"/>
      <c r="BY68" s="144"/>
      <c r="BZ68" s="144"/>
      <c r="CC68" s="144"/>
      <c r="CD68" s="144"/>
      <c r="CE68" s="144"/>
      <c r="CF68" s="144"/>
      <c r="CG68" s="144"/>
      <c r="CJ68" s="144"/>
      <c r="CK68" s="156"/>
      <c r="CL68" s="156"/>
      <c r="CM68" s="156"/>
      <c r="CN68" s="156"/>
      <c r="CQ68" s="154"/>
      <c r="CR68" s="139">
        <f t="shared" si="32"/>
        <v>0</v>
      </c>
      <c r="CS68" s="139">
        <f t="shared" si="36"/>
        <v>0</v>
      </c>
      <c r="CT68" s="139">
        <f t="shared" si="37"/>
        <v>0</v>
      </c>
      <c r="CU68" s="139">
        <f t="shared" si="38"/>
        <v>0</v>
      </c>
      <c r="CV68" s="139">
        <f t="shared" si="39"/>
        <v>0</v>
      </c>
      <c r="CW68" s="139">
        <f t="shared" si="40"/>
        <v>0</v>
      </c>
      <c r="CX68" s="139">
        <f t="shared" si="41"/>
        <v>0</v>
      </c>
      <c r="CY68" s="139">
        <f t="shared" si="42"/>
        <v>0</v>
      </c>
      <c r="CZ68" s="139">
        <f t="shared" si="43"/>
        <v>0</v>
      </c>
      <c r="DA68" s="139">
        <f t="shared" si="33"/>
        <v>0</v>
      </c>
      <c r="DB68" s="139">
        <f t="shared" si="34"/>
        <v>0</v>
      </c>
      <c r="DC68" s="139">
        <f t="shared" si="35"/>
        <v>0</v>
      </c>
    </row>
    <row r="69" spans="2:107" x14ac:dyDescent="0.2">
      <c r="B69" s="105" t="s">
        <v>416</v>
      </c>
      <c r="D69" s="134"/>
      <c r="E69" s="134"/>
      <c r="F69" s="132"/>
      <c r="G69" s="133"/>
      <c r="H69" s="133"/>
      <c r="I69" s="133"/>
      <c r="K69" s="134"/>
      <c r="L69" s="134"/>
      <c r="M69" s="134"/>
      <c r="N69" s="133"/>
      <c r="O69" s="133"/>
      <c r="P69" s="133"/>
      <c r="R69" s="133"/>
      <c r="S69" s="133"/>
      <c r="T69" s="133"/>
      <c r="U69" s="133"/>
      <c r="V69" s="133"/>
      <c r="Y69" s="133"/>
      <c r="Z69" s="133"/>
      <c r="AA69" s="133"/>
      <c r="AB69" s="133"/>
      <c r="AC69" s="133"/>
      <c r="AF69" s="133"/>
      <c r="AG69" s="133"/>
      <c r="AH69" s="133"/>
      <c r="AI69" s="133"/>
      <c r="AJ69" s="133"/>
      <c r="AM69" s="133"/>
      <c r="AN69" s="133"/>
      <c r="AO69" s="133"/>
      <c r="AP69" s="133"/>
      <c r="AQ69" s="133"/>
      <c r="AT69" s="133"/>
      <c r="AU69" s="133"/>
      <c r="AV69" s="133"/>
      <c r="AW69" s="133"/>
      <c r="AX69" s="133"/>
      <c r="BA69" s="133"/>
      <c r="BB69" s="133"/>
      <c r="BC69" s="133"/>
      <c r="BD69" s="133"/>
      <c r="BE69" s="133"/>
      <c r="BH69" s="133"/>
      <c r="BI69" s="133"/>
      <c r="BJ69" s="133"/>
      <c r="BK69" s="133"/>
      <c r="BL69" s="133"/>
      <c r="BO69" s="133"/>
      <c r="BP69" s="133"/>
      <c r="BQ69" s="133"/>
      <c r="BR69" s="133"/>
      <c r="BS69" s="133"/>
      <c r="BV69" s="133"/>
      <c r="BW69" s="133"/>
      <c r="BX69" s="133"/>
      <c r="BY69" s="133"/>
      <c r="BZ69" s="133"/>
      <c r="CC69" s="133"/>
      <c r="CD69" s="133"/>
      <c r="CE69" s="133"/>
      <c r="CF69" s="133"/>
      <c r="CG69" s="133"/>
      <c r="CJ69" s="133"/>
      <c r="CK69" s="133"/>
      <c r="CL69" s="133"/>
      <c r="CM69" s="133"/>
      <c r="CN69" s="133"/>
      <c r="CQ69" s="154"/>
      <c r="CR69" s="139">
        <f t="shared" si="32"/>
        <v>0</v>
      </c>
      <c r="CS69" s="139">
        <f t="shared" si="36"/>
        <v>0</v>
      </c>
      <c r="CT69" s="139">
        <f t="shared" si="37"/>
        <v>0</v>
      </c>
      <c r="CU69" s="139">
        <f t="shared" si="38"/>
        <v>0</v>
      </c>
      <c r="CV69" s="139">
        <f t="shared" si="39"/>
        <v>0</v>
      </c>
      <c r="CW69" s="139">
        <f t="shared" si="40"/>
        <v>0</v>
      </c>
      <c r="CX69" s="139">
        <f t="shared" si="41"/>
        <v>0</v>
      </c>
      <c r="CY69" s="139">
        <f t="shared" si="42"/>
        <v>0</v>
      </c>
      <c r="CZ69" s="139">
        <f t="shared" si="43"/>
        <v>0</v>
      </c>
      <c r="DA69" s="139">
        <f t="shared" si="33"/>
        <v>0</v>
      </c>
      <c r="DB69" s="139">
        <f t="shared" si="34"/>
        <v>0</v>
      </c>
      <c r="DC69" s="139">
        <f t="shared" si="35"/>
        <v>0</v>
      </c>
    </row>
    <row r="70" spans="2:107" ht="16" x14ac:dyDescent="0.2">
      <c r="B70" s="141" t="s">
        <v>417</v>
      </c>
      <c r="C70" s="207"/>
      <c r="D70" s="142"/>
      <c r="E70" s="142"/>
      <c r="F70" s="142"/>
      <c r="G70" s="142"/>
      <c r="H70" s="142"/>
      <c r="I70" s="142"/>
      <c r="J70" s="142">
        <f>SUM(J65:J69)</f>
        <v>0</v>
      </c>
      <c r="K70" s="143"/>
      <c r="L70" s="143"/>
      <c r="M70" s="143"/>
      <c r="N70" s="143"/>
      <c r="O70" s="143"/>
      <c r="P70" s="143"/>
      <c r="Q70" s="142">
        <f>SUM(Q65:Q69)</f>
        <v>0</v>
      </c>
      <c r="R70" s="143"/>
      <c r="S70" s="143"/>
      <c r="T70" s="143"/>
      <c r="U70" s="143"/>
      <c r="V70" s="143"/>
      <c r="W70" s="143"/>
      <c r="X70" s="142">
        <f>SUM(X65:X69)</f>
        <v>0</v>
      </c>
      <c r="Y70" s="143"/>
      <c r="Z70" s="143"/>
      <c r="AA70" s="143"/>
      <c r="AB70" s="143"/>
      <c r="AC70" s="143"/>
      <c r="AD70" s="143"/>
      <c r="AE70" s="142">
        <f>SUM(AE65:AE69)</f>
        <v>0</v>
      </c>
      <c r="AF70" s="143"/>
      <c r="AG70" s="143"/>
      <c r="AH70" s="143"/>
      <c r="AI70" s="143"/>
      <c r="AJ70" s="143"/>
      <c r="AK70" s="143"/>
      <c r="AL70" s="142">
        <f>SUM(AL65:AL69)</f>
        <v>0</v>
      </c>
      <c r="AM70" s="143"/>
      <c r="AN70" s="143"/>
      <c r="AO70" s="143"/>
      <c r="AP70" s="143"/>
      <c r="AQ70" s="143"/>
      <c r="AR70" s="143"/>
      <c r="AS70" s="142">
        <f>SUM(AS65:AS69)</f>
        <v>0</v>
      </c>
      <c r="AT70" s="143"/>
      <c r="AU70" s="143"/>
      <c r="AV70" s="143"/>
      <c r="AW70" s="143"/>
      <c r="AX70" s="143"/>
      <c r="AY70" s="143"/>
      <c r="AZ70" s="142">
        <f>SUM(AZ65:AZ69)</f>
        <v>0</v>
      </c>
      <c r="BA70" s="143"/>
      <c r="BB70" s="143"/>
      <c r="BC70" s="143"/>
      <c r="BD70" s="143"/>
      <c r="BE70" s="143"/>
      <c r="BF70" s="143"/>
      <c r="BG70" s="142">
        <f>SUM(BG65:BG69)</f>
        <v>0</v>
      </c>
      <c r="BH70" s="143"/>
      <c r="BI70" s="143"/>
      <c r="BJ70" s="143"/>
      <c r="BK70" s="143"/>
      <c r="BL70" s="143"/>
      <c r="BM70" s="143"/>
      <c r="BN70" s="142">
        <f>SUM(BN65:BN69)</f>
        <v>0</v>
      </c>
      <c r="BO70" s="143"/>
      <c r="BP70" s="143"/>
      <c r="BQ70" s="143"/>
      <c r="BR70" s="143"/>
      <c r="BS70" s="143"/>
      <c r="BT70" s="143"/>
      <c r="BU70" s="142">
        <f>SUM(BU65:BU69)</f>
        <v>0</v>
      </c>
      <c r="BV70" s="143"/>
      <c r="BW70" s="143"/>
      <c r="BX70" s="143"/>
      <c r="BY70" s="143"/>
      <c r="BZ70" s="143"/>
      <c r="CA70" s="143"/>
      <c r="CB70" s="142">
        <f>SUM(CB65:CB69)</f>
        <v>0</v>
      </c>
      <c r="CC70" s="143"/>
      <c r="CD70" s="143"/>
      <c r="CE70" s="143"/>
      <c r="CF70" s="143"/>
      <c r="CG70" s="143"/>
      <c r="CH70" s="143"/>
      <c r="CI70" s="142">
        <f>SUM(CI65:CI69)</f>
        <v>0</v>
      </c>
      <c r="CJ70" s="143"/>
      <c r="CK70" s="143"/>
      <c r="CL70" s="143"/>
      <c r="CM70" s="143"/>
      <c r="CN70" s="143"/>
      <c r="CO70" s="143"/>
      <c r="CP70" s="142"/>
      <c r="CQ70" s="154"/>
      <c r="CR70" s="145">
        <f t="shared" si="32"/>
        <v>0</v>
      </c>
      <c r="CS70" s="145">
        <f t="shared" si="36"/>
        <v>0</v>
      </c>
      <c r="CT70" s="145">
        <f t="shared" si="37"/>
        <v>0</v>
      </c>
      <c r="CU70" s="145">
        <f t="shared" si="38"/>
        <v>0</v>
      </c>
      <c r="CV70" s="145">
        <f t="shared" si="39"/>
        <v>0</v>
      </c>
      <c r="CW70" s="145">
        <f t="shared" si="40"/>
        <v>0</v>
      </c>
      <c r="CX70" s="145">
        <f t="shared" si="41"/>
        <v>0</v>
      </c>
      <c r="CY70" s="145">
        <f t="shared" si="42"/>
        <v>0</v>
      </c>
      <c r="CZ70" s="145">
        <f t="shared" si="43"/>
        <v>0</v>
      </c>
      <c r="DA70" s="145">
        <f t="shared" si="33"/>
        <v>0</v>
      </c>
      <c r="DB70" s="145">
        <f t="shared" si="34"/>
        <v>0</v>
      </c>
      <c r="DC70" s="145">
        <f t="shared" si="35"/>
        <v>0</v>
      </c>
    </row>
    <row r="71" spans="2:107" x14ac:dyDescent="0.2">
      <c r="B71" s="105" t="s">
        <v>418</v>
      </c>
      <c r="C71" s="210"/>
      <c r="D71" s="157"/>
      <c r="E71" s="157"/>
      <c r="F71" s="157"/>
      <c r="G71" s="133"/>
      <c r="H71" s="133"/>
      <c r="I71" s="133"/>
      <c r="J71" s="212">
        <f>'EEFF 2022'!CI71+J17</f>
        <v>19135085.939999998</v>
      </c>
      <c r="K71" s="116"/>
      <c r="L71" s="116"/>
      <c r="M71" s="116"/>
      <c r="N71" s="116"/>
      <c r="O71" s="116"/>
      <c r="P71" s="116"/>
      <c r="Q71" s="212">
        <f>J71+Q17</f>
        <v>19135085.939999998</v>
      </c>
      <c r="R71" s="116"/>
      <c r="S71" s="116"/>
      <c r="T71" s="116"/>
      <c r="U71" s="116"/>
      <c r="V71" s="116"/>
      <c r="W71" s="116"/>
      <c r="X71" s="212">
        <f>Q71+X17</f>
        <v>19135085.939999998</v>
      </c>
      <c r="Y71" s="116"/>
      <c r="Z71" s="116"/>
      <c r="AA71" s="116"/>
      <c r="AB71" s="116"/>
      <c r="AC71" s="116"/>
      <c r="AD71" s="116"/>
      <c r="AE71" s="212">
        <f>X71+AE17</f>
        <v>19135085.939999998</v>
      </c>
      <c r="AF71" s="116"/>
      <c r="AG71" s="116"/>
      <c r="AH71" s="116"/>
      <c r="AI71" s="116"/>
      <c r="AJ71" s="116"/>
      <c r="AK71" s="116"/>
      <c r="AL71" s="212">
        <f>AE71+AL17</f>
        <v>19135085.939999998</v>
      </c>
      <c r="AM71" s="116"/>
      <c r="AN71" s="116"/>
      <c r="AO71" s="116"/>
      <c r="AP71" s="116"/>
      <c r="AQ71" s="116"/>
      <c r="AR71" s="116"/>
      <c r="AS71" s="212">
        <f>AL71+AS17</f>
        <v>19135085.939999998</v>
      </c>
      <c r="AT71" s="116"/>
      <c r="AU71" s="116"/>
      <c r="AV71" s="116"/>
      <c r="AW71" s="116"/>
      <c r="AX71" s="116"/>
      <c r="AY71" s="116"/>
      <c r="AZ71" s="212">
        <f>AS71+AZ17</f>
        <v>19135085.939999998</v>
      </c>
      <c r="BA71" s="116"/>
      <c r="BB71" s="116"/>
      <c r="BC71" s="116"/>
      <c r="BD71" s="116"/>
      <c r="BE71" s="116"/>
      <c r="BF71" s="116"/>
      <c r="BG71" s="212">
        <f>AZ71+BG17</f>
        <v>19135085.939999998</v>
      </c>
      <c r="BH71" s="116"/>
      <c r="BI71" s="116"/>
      <c r="BJ71" s="116"/>
      <c r="BK71" s="116"/>
      <c r="BL71" s="116"/>
      <c r="BM71" s="116"/>
      <c r="BN71" s="212">
        <f>BG71+BN17</f>
        <v>34783751.949999996</v>
      </c>
      <c r="BO71" s="116"/>
      <c r="BP71" s="116"/>
      <c r="BQ71" s="116"/>
      <c r="BR71" s="116"/>
      <c r="BS71" s="116"/>
      <c r="BT71" s="116"/>
      <c r="BU71" s="212">
        <f>BN71+BU17</f>
        <v>34783751.949999996</v>
      </c>
      <c r="BV71" s="116"/>
      <c r="BW71" s="116"/>
      <c r="BX71" s="116"/>
      <c r="BY71" s="116"/>
      <c r="BZ71" s="116"/>
      <c r="CA71" s="116"/>
      <c r="CB71" s="212">
        <f>BU71+CB17</f>
        <v>53309451.949999996</v>
      </c>
      <c r="CC71" s="116"/>
      <c r="CD71" s="116"/>
      <c r="CE71" s="116"/>
      <c r="CF71" s="116"/>
      <c r="CG71" s="116"/>
      <c r="CH71" s="116"/>
      <c r="CI71" s="212">
        <f>CB71+CI17</f>
        <v>53309451.949999996</v>
      </c>
      <c r="CJ71" s="116"/>
      <c r="CK71" s="116"/>
      <c r="CL71" s="116"/>
      <c r="CM71" s="116"/>
      <c r="CN71" s="116"/>
      <c r="CO71" s="116"/>
      <c r="CP71" s="212">
        <f>CI71</f>
        <v>53309451.949999996</v>
      </c>
      <c r="CQ71" s="154"/>
      <c r="CR71" s="146">
        <f t="shared" si="32"/>
        <v>1.003100889461387E-2</v>
      </c>
      <c r="CS71" s="146">
        <f t="shared" si="36"/>
        <v>1.0030109705871131E-2</v>
      </c>
      <c r="CT71" s="146">
        <f t="shared" si="37"/>
        <v>1.003493801057519E-2</v>
      </c>
      <c r="CU71" s="146">
        <f t="shared" si="38"/>
        <v>1.0030969732469508E-2</v>
      </c>
      <c r="CV71" s="146">
        <f t="shared" si="39"/>
        <v>1.0007758521291986E-2</v>
      </c>
      <c r="CW71" s="146">
        <f t="shared" si="40"/>
        <v>9.9965358871656577E-3</v>
      </c>
      <c r="CX71" s="146">
        <f t="shared" si="41"/>
        <v>9.9936036921198217E-3</v>
      </c>
      <c r="CY71" s="146">
        <f t="shared" si="42"/>
        <v>9.9796964601255068E-3</v>
      </c>
      <c r="CZ71" s="146">
        <f t="shared" si="43"/>
        <v>1.790787176243604E-2</v>
      </c>
      <c r="DA71" s="146">
        <f t="shared" si="33"/>
        <v>1.7995811006250757E-2</v>
      </c>
      <c r="DB71" s="146">
        <f t="shared" si="34"/>
        <v>2.7557422695824681E-2</v>
      </c>
      <c r="DC71" s="146">
        <f t="shared" si="35"/>
        <v>2.7509259097124313E-2</v>
      </c>
    </row>
    <row r="72" spans="2:107" ht="16" x14ac:dyDescent="0.2">
      <c r="B72" s="141" t="s">
        <v>419</v>
      </c>
      <c r="C72" s="207"/>
      <c r="D72" s="142"/>
      <c r="E72" s="142"/>
      <c r="F72" s="142"/>
      <c r="G72" s="142"/>
      <c r="H72" s="142"/>
      <c r="I72" s="142"/>
      <c r="J72" s="142">
        <f>J71</f>
        <v>19135085.939999998</v>
      </c>
      <c r="K72" s="143"/>
      <c r="L72" s="143"/>
      <c r="M72" s="143"/>
      <c r="N72" s="143"/>
      <c r="O72" s="143"/>
      <c r="P72" s="143"/>
      <c r="Q72" s="142">
        <f>Q71</f>
        <v>19135085.939999998</v>
      </c>
      <c r="R72" s="143"/>
      <c r="S72" s="143"/>
      <c r="T72" s="143"/>
      <c r="U72" s="143"/>
      <c r="V72" s="143"/>
      <c r="W72" s="143"/>
      <c r="X72" s="142">
        <f>X71</f>
        <v>19135085.939999998</v>
      </c>
      <c r="Y72" s="143"/>
      <c r="Z72" s="143"/>
      <c r="AA72" s="143"/>
      <c r="AB72" s="143"/>
      <c r="AC72" s="143"/>
      <c r="AD72" s="143"/>
      <c r="AE72" s="142">
        <f>AE71</f>
        <v>19135085.939999998</v>
      </c>
      <c r="AF72" s="143"/>
      <c r="AG72" s="143"/>
      <c r="AH72" s="143"/>
      <c r="AI72" s="143"/>
      <c r="AJ72" s="143"/>
      <c r="AK72" s="143"/>
      <c r="AL72" s="142">
        <f>AL71</f>
        <v>19135085.939999998</v>
      </c>
      <c r="AM72" s="143"/>
      <c r="AN72" s="143"/>
      <c r="AO72" s="143"/>
      <c r="AP72" s="143"/>
      <c r="AQ72" s="143"/>
      <c r="AR72" s="143"/>
      <c r="AS72" s="142">
        <f>AS71</f>
        <v>19135085.939999998</v>
      </c>
      <c r="AT72" s="143"/>
      <c r="AU72" s="143"/>
      <c r="AV72" s="143"/>
      <c r="AW72" s="143"/>
      <c r="AX72" s="143"/>
      <c r="AY72" s="143"/>
      <c r="AZ72" s="142">
        <f>AZ71</f>
        <v>19135085.939999998</v>
      </c>
      <c r="BA72" s="143"/>
      <c r="BB72" s="143"/>
      <c r="BC72" s="143"/>
      <c r="BD72" s="143"/>
      <c r="BE72" s="143"/>
      <c r="BF72" s="143"/>
      <c r="BG72" s="142">
        <f>BG71</f>
        <v>19135085.939999998</v>
      </c>
      <c r="BH72" s="143"/>
      <c r="BI72" s="143"/>
      <c r="BJ72" s="143"/>
      <c r="BK72" s="143"/>
      <c r="BL72" s="143"/>
      <c r="BM72" s="143"/>
      <c r="BN72" s="142">
        <f>BN71</f>
        <v>34783751.949999996</v>
      </c>
      <c r="BO72" s="143"/>
      <c r="BP72" s="143"/>
      <c r="BQ72" s="143"/>
      <c r="BR72" s="143"/>
      <c r="BS72" s="143"/>
      <c r="BT72" s="143"/>
      <c r="BU72" s="142">
        <f>BU71</f>
        <v>34783751.949999996</v>
      </c>
      <c r="BV72" s="143"/>
      <c r="BW72" s="143"/>
      <c r="BX72" s="143"/>
      <c r="BY72" s="143"/>
      <c r="BZ72" s="143"/>
      <c r="CA72" s="143"/>
      <c r="CB72" s="142">
        <f>CB71</f>
        <v>53309451.949999996</v>
      </c>
      <c r="CC72" s="143"/>
      <c r="CD72" s="143"/>
      <c r="CE72" s="143"/>
      <c r="CF72" s="143"/>
      <c r="CG72" s="143"/>
      <c r="CH72" s="143"/>
      <c r="CI72" s="142">
        <f>CI71</f>
        <v>53309451.949999996</v>
      </c>
      <c r="CJ72" s="143"/>
      <c r="CK72" s="143"/>
      <c r="CL72" s="143"/>
      <c r="CM72" s="143"/>
      <c r="CN72" s="143"/>
      <c r="CO72" s="143"/>
      <c r="CP72" s="142">
        <f>CP71</f>
        <v>53309451.949999996</v>
      </c>
      <c r="CQ72" s="154"/>
      <c r="CR72" s="146">
        <f t="shared" si="32"/>
        <v>1.003100889461387E-2</v>
      </c>
      <c r="CS72" s="146">
        <f t="shared" si="36"/>
        <v>1.0030109705871131E-2</v>
      </c>
      <c r="CT72" s="146">
        <f t="shared" si="37"/>
        <v>1.003493801057519E-2</v>
      </c>
      <c r="CU72" s="146">
        <f t="shared" si="38"/>
        <v>1.0030969732469508E-2</v>
      </c>
      <c r="CV72" s="146">
        <f t="shared" si="39"/>
        <v>1.0007758521291986E-2</v>
      </c>
      <c r="CW72" s="146">
        <f t="shared" si="40"/>
        <v>9.9965358871656577E-3</v>
      </c>
      <c r="CX72" s="146">
        <f t="shared" si="41"/>
        <v>9.9936036921198217E-3</v>
      </c>
      <c r="CY72" s="146">
        <f t="shared" si="42"/>
        <v>9.9796964601255068E-3</v>
      </c>
      <c r="CZ72" s="146">
        <f t="shared" si="43"/>
        <v>1.790787176243604E-2</v>
      </c>
      <c r="DA72" s="146">
        <f t="shared" si="33"/>
        <v>1.7995811006250757E-2</v>
      </c>
      <c r="DB72" s="146">
        <f t="shared" si="34"/>
        <v>2.7557422695824681E-2</v>
      </c>
      <c r="DC72" s="146">
        <f t="shared" si="35"/>
        <v>2.7509259097124313E-2</v>
      </c>
    </row>
    <row r="73" spans="2:107" ht="16" x14ac:dyDescent="0.2">
      <c r="B73" s="141" t="s">
        <v>420</v>
      </c>
      <c r="C73" s="207"/>
      <c r="D73" s="142"/>
      <c r="E73" s="142"/>
      <c r="F73" s="142"/>
      <c r="G73" s="142"/>
      <c r="H73" s="142"/>
      <c r="I73" s="142"/>
      <c r="J73" s="142">
        <f>J70+J72</f>
        <v>19135085.939999998</v>
      </c>
      <c r="K73" s="143"/>
      <c r="L73" s="143"/>
      <c r="M73" s="143"/>
      <c r="N73" s="143"/>
      <c r="O73" s="143"/>
      <c r="P73" s="143"/>
      <c r="Q73" s="142">
        <f>Q70+Q72</f>
        <v>19135085.939999998</v>
      </c>
      <c r="R73" s="143"/>
      <c r="S73" s="143"/>
      <c r="T73" s="143"/>
      <c r="U73" s="143"/>
      <c r="V73" s="143"/>
      <c r="W73" s="143"/>
      <c r="X73" s="142">
        <f>X70+X72</f>
        <v>19135085.939999998</v>
      </c>
      <c r="Y73" s="143"/>
      <c r="Z73" s="143"/>
      <c r="AA73" s="143"/>
      <c r="AB73" s="143"/>
      <c r="AC73" s="143"/>
      <c r="AD73" s="143"/>
      <c r="AE73" s="142">
        <f>AE70+AE72</f>
        <v>19135085.939999998</v>
      </c>
      <c r="AF73" s="143"/>
      <c r="AG73" s="143"/>
      <c r="AH73" s="143"/>
      <c r="AI73" s="143"/>
      <c r="AJ73" s="143"/>
      <c r="AK73" s="143"/>
      <c r="AL73" s="142">
        <f>AL70+AL72</f>
        <v>19135085.939999998</v>
      </c>
      <c r="AM73" s="143"/>
      <c r="AN73" s="143"/>
      <c r="AO73" s="143"/>
      <c r="AP73" s="143"/>
      <c r="AQ73" s="143"/>
      <c r="AR73" s="143"/>
      <c r="AS73" s="142">
        <f>AS70+AS72</f>
        <v>19135085.939999998</v>
      </c>
      <c r="AT73" s="143"/>
      <c r="AU73" s="143"/>
      <c r="AV73" s="143"/>
      <c r="AW73" s="143"/>
      <c r="AX73" s="143"/>
      <c r="AY73" s="143"/>
      <c r="AZ73" s="142">
        <f>AZ70+AZ72</f>
        <v>19135085.939999998</v>
      </c>
      <c r="BA73" s="143"/>
      <c r="BB73" s="143"/>
      <c r="BC73" s="143"/>
      <c r="BD73" s="143"/>
      <c r="BE73" s="143"/>
      <c r="BF73" s="143"/>
      <c r="BG73" s="142">
        <f>BG70+BG72</f>
        <v>19135085.939999998</v>
      </c>
      <c r="BH73" s="143"/>
      <c r="BI73" s="143"/>
      <c r="BJ73" s="143"/>
      <c r="BK73" s="143"/>
      <c r="BL73" s="143"/>
      <c r="BM73" s="143"/>
      <c r="BN73" s="142">
        <f>BN70+BN72</f>
        <v>34783751.949999996</v>
      </c>
      <c r="BO73" s="143"/>
      <c r="BP73" s="143"/>
      <c r="BQ73" s="143"/>
      <c r="BR73" s="143"/>
      <c r="BS73" s="143"/>
      <c r="BT73" s="143"/>
      <c r="BU73" s="142">
        <f>BU70+BU72</f>
        <v>34783751.949999996</v>
      </c>
      <c r="BV73" s="143"/>
      <c r="BW73" s="143"/>
      <c r="BX73" s="143"/>
      <c r="BY73" s="143"/>
      <c r="BZ73" s="143"/>
      <c r="CA73" s="143"/>
      <c r="CB73" s="142">
        <f>CB70+CB72</f>
        <v>53309451.949999996</v>
      </c>
      <c r="CC73" s="143"/>
      <c r="CD73" s="143"/>
      <c r="CE73" s="143"/>
      <c r="CF73" s="143"/>
      <c r="CG73" s="143"/>
      <c r="CH73" s="143"/>
      <c r="CI73" s="142">
        <f>CI70+CI72</f>
        <v>53309451.949999996</v>
      </c>
      <c r="CJ73" s="143"/>
      <c r="CK73" s="143"/>
      <c r="CL73" s="143"/>
      <c r="CM73" s="143"/>
      <c r="CN73" s="143"/>
      <c r="CO73" s="143"/>
      <c r="CP73" s="142">
        <f>CP70+CP72</f>
        <v>53309451.949999996</v>
      </c>
      <c r="CQ73" s="154"/>
      <c r="CR73" s="145">
        <f t="shared" si="32"/>
        <v>1.003100889461387E-2</v>
      </c>
      <c r="CS73" s="145">
        <f t="shared" si="36"/>
        <v>1.0030109705871131E-2</v>
      </c>
      <c r="CT73" s="145">
        <f t="shared" si="37"/>
        <v>1.003493801057519E-2</v>
      </c>
      <c r="CU73" s="145">
        <f t="shared" si="38"/>
        <v>1.0030969732469508E-2</v>
      </c>
      <c r="CV73" s="145">
        <f t="shared" si="39"/>
        <v>1.0007758521291986E-2</v>
      </c>
      <c r="CW73" s="145">
        <f t="shared" si="40"/>
        <v>9.9965358871656577E-3</v>
      </c>
      <c r="CX73" s="145">
        <f t="shared" si="41"/>
        <v>9.9936036921198217E-3</v>
      </c>
      <c r="CY73" s="145">
        <f t="shared" si="42"/>
        <v>9.9796964601255068E-3</v>
      </c>
      <c r="CZ73" s="145">
        <f t="shared" si="43"/>
        <v>1.790787176243604E-2</v>
      </c>
      <c r="DA73" s="145">
        <f t="shared" si="33"/>
        <v>1.7995811006250757E-2</v>
      </c>
      <c r="DB73" s="145">
        <f t="shared" si="34"/>
        <v>2.7557422695824681E-2</v>
      </c>
      <c r="DC73" s="145">
        <f t="shared" si="35"/>
        <v>2.7509259097124313E-2</v>
      </c>
    </row>
    <row r="74" spans="2:107" ht="16" x14ac:dyDescent="0.2">
      <c r="B74" s="105" t="s">
        <v>421</v>
      </c>
      <c r="D74" s="134"/>
      <c r="E74" s="134"/>
      <c r="F74" s="134"/>
      <c r="G74" s="158"/>
      <c r="H74" s="158"/>
      <c r="I74" s="158"/>
      <c r="J74" s="158">
        <f>J62</f>
        <v>1885738377.5999999</v>
      </c>
      <c r="K74" s="134"/>
      <c r="L74" s="134"/>
      <c r="M74" s="134"/>
      <c r="N74" s="158"/>
      <c r="O74" s="158"/>
      <c r="P74" s="158"/>
      <c r="Q74" s="158">
        <f>Q62</f>
        <v>1885738377.5999999</v>
      </c>
      <c r="R74" s="158"/>
      <c r="S74" s="158"/>
      <c r="T74" s="158"/>
      <c r="U74" s="158"/>
      <c r="V74" s="158"/>
      <c r="W74" s="158"/>
      <c r="X74" s="158">
        <f>X62</f>
        <v>1885738377.5999999</v>
      </c>
      <c r="Y74" s="158"/>
      <c r="Z74" s="158"/>
      <c r="AA74" s="158"/>
      <c r="AB74" s="158"/>
      <c r="AC74" s="158"/>
      <c r="AD74" s="158"/>
      <c r="AE74" s="158">
        <f>AE62</f>
        <v>1885738377.5999999</v>
      </c>
      <c r="AF74" s="158"/>
      <c r="AG74" s="158"/>
      <c r="AH74" s="158"/>
      <c r="AI74" s="158"/>
      <c r="AJ74" s="158"/>
      <c r="AK74" s="158"/>
      <c r="AL74" s="158">
        <f>AL62</f>
        <v>1885738377.5999999</v>
      </c>
      <c r="AM74" s="158"/>
      <c r="AN74" s="158"/>
      <c r="AO74" s="158"/>
      <c r="AP74" s="158"/>
      <c r="AQ74" s="158"/>
      <c r="AR74" s="158"/>
      <c r="AS74" s="158">
        <f>AS62</f>
        <v>1885738377.5999999</v>
      </c>
      <c r="AT74" s="158"/>
      <c r="AU74" s="158"/>
      <c r="AV74" s="158"/>
      <c r="AW74" s="158"/>
      <c r="AX74" s="158"/>
      <c r="AY74" s="158"/>
      <c r="AZ74" s="158">
        <f>AZ62</f>
        <v>1885738377.5999999</v>
      </c>
      <c r="BA74" s="158"/>
      <c r="BB74" s="158"/>
      <c r="BC74" s="158"/>
      <c r="BD74" s="158"/>
      <c r="BE74" s="158"/>
      <c r="BF74" s="158"/>
      <c r="BG74" s="158">
        <f>BG62</f>
        <v>1885738377.5999999</v>
      </c>
      <c r="BH74" s="158"/>
      <c r="BI74" s="158"/>
      <c r="BJ74" s="158"/>
      <c r="BK74" s="158"/>
      <c r="BL74" s="158"/>
      <c r="BM74" s="158"/>
      <c r="BN74" s="158">
        <f>BN62</f>
        <v>1885738377.5999999</v>
      </c>
      <c r="BO74" s="158"/>
      <c r="BP74" s="158"/>
      <c r="BQ74" s="158"/>
      <c r="BR74" s="158"/>
      <c r="BS74" s="158"/>
      <c r="BT74" s="158"/>
      <c r="BU74" s="158">
        <f>BU62</f>
        <v>1885738377.5999999</v>
      </c>
      <c r="BV74" s="158"/>
      <c r="BW74" s="158"/>
      <c r="BX74" s="158"/>
      <c r="BY74" s="158"/>
      <c r="BZ74" s="158"/>
      <c r="CA74" s="158"/>
      <c r="CB74" s="158">
        <f>CB62</f>
        <v>1885738377.5999999</v>
      </c>
      <c r="CC74" s="158"/>
      <c r="CD74" s="158"/>
      <c r="CE74" s="158"/>
      <c r="CF74" s="158"/>
      <c r="CG74" s="158"/>
      <c r="CH74" s="158"/>
      <c r="CI74" s="158">
        <f>CI62</f>
        <v>1885738377.5999999</v>
      </c>
      <c r="CJ74" s="158"/>
      <c r="CK74" s="158"/>
      <c r="CL74" s="158"/>
      <c r="CM74" s="158"/>
      <c r="CN74" s="158"/>
      <c r="CO74" s="158"/>
      <c r="CP74" s="158">
        <f>CP62</f>
        <v>1885738377.5999999</v>
      </c>
      <c r="CQ74" s="154"/>
      <c r="CR74" s="139">
        <f t="shared" si="32"/>
        <v>0.98854316609462423</v>
      </c>
      <c r="CS74" s="139">
        <f t="shared" si="36"/>
        <v>0.98845455218788747</v>
      </c>
      <c r="CT74" s="139">
        <f t="shared" si="37"/>
        <v>0.9889303754743749</v>
      </c>
      <c r="CU74" s="139">
        <f t="shared" si="38"/>
        <v>0.9885393067151157</v>
      </c>
      <c r="CV74" s="139">
        <f t="shared" si="39"/>
        <v>0.9862518713806061</v>
      </c>
      <c r="CW74" s="139">
        <f t="shared" si="40"/>
        <v>0.98514589506379524</v>
      </c>
      <c r="CX74" s="139">
        <f t="shared" si="41"/>
        <v>0.98485693097208027</v>
      </c>
      <c r="CY74" s="139">
        <f t="shared" si="42"/>
        <v>0.98348639095046253</v>
      </c>
      <c r="CZ74" s="139">
        <f t="shared" si="43"/>
        <v>0.97084296978966322</v>
      </c>
      <c r="DA74" s="139">
        <f t="shared" si="33"/>
        <v>0.97561043728991781</v>
      </c>
      <c r="DB74" s="139">
        <f t="shared" si="34"/>
        <v>0.97480067163327599</v>
      </c>
      <c r="DC74" s="139">
        <f t="shared" si="35"/>
        <v>0.97309695975573129</v>
      </c>
    </row>
    <row r="75" spans="2:107" ht="16" x14ac:dyDescent="0.2">
      <c r="B75" s="105" t="s">
        <v>422</v>
      </c>
      <c r="D75" s="134"/>
      <c r="E75" s="134"/>
      <c r="F75" s="134"/>
      <c r="G75" s="158"/>
      <c r="H75" s="158"/>
      <c r="I75" s="158"/>
      <c r="K75" s="134"/>
      <c r="L75" s="134"/>
      <c r="M75" s="134"/>
      <c r="N75" s="158"/>
      <c r="O75" s="158"/>
      <c r="P75" s="158"/>
      <c r="R75" s="158"/>
      <c r="S75" s="158"/>
      <c r="T75" s="158"/>
      <c r="U75" s="158"/>
      <c r="V75" s="158"/>
      <c r="Y75" s="158"/>
      <c r="Z75" s="158"/>
      <c r="AA75" s="158"/>
      <c r="AB75" s="158"/>
      <c r="AC75" s="158"/>
      <c r="AF75" s="158"/>
      <c r="AG75" s="158"/>
      <c r="AH75" s="158"/>
      <c r="AI75" s="158"/>
      <c r="AJ75" s="158"/>
      <c r="AM75" s="158"/>
      <c r="AN75" s="158"/>
      <c r="AO75" s="158"/>
      <c r="AP75" s="158"/>
      <c r="AQ75" s="158"/>
      <c r="AT75" s="158"/>
      <c r="AU75" s="158"/>
      <c r="AV75" s="158"/>
      <c r="AW75" s="158"/>
      <c r="AX75" s="158"/>
      <c r="BA75" s="158"/>
      <c r="BB75" s="158"/>
      <c r="BC75" s="158"/>
      <c r="BD75" s="158"/>
      <c r="BE75" s="158"/>
      <c r="BH75" s="158"/>
      <c r="BI75" s="158"/>
      <c r="BJ75" s="158"/>
      <c r="BK75" s="158"/>
      <c r="BL75" s="158"/>
      <c r="BO75" s="158"/>
      <c r="BP75" s="158"/>
      <c r="BQ75" s="158"/>
      <c r="BR75" s="158"/>
      <c r="BS75" s="158"/>
      <c r="BV75" s="158"/>
      <c r="BW75" s="158"/>
      <c r="BX75" s="158"/>
      <c r="BY75" s="158"/>
      <c r="BZ75" s="158"/>
      <c r="CC75" s="158"/>
      <c r="CD75" s="158"/>
      <c r="CE75" s="158"/>
      <c r="CF75" s="158"/>
      <c r="CG75" s="158"/>
      <c r="CJ75" s="158"/>
      <c r="CK75" s="158"/>
      <c r="CL75" s="158"/>
      <c r="CM75" s="158"/>
      <c r="CN75" s="158"/>
      <c r="CQ75" s="154"/>
      <c r="CR75" s="139">
        <f t="shared" si="32"/>
        <v>0</v>
      </c>
      <c r="CS75" s="139">
        <f t="shared" si="36"/>
        <v>0</v>
      </c>
      <c r="CT75" s="139">
        <f t="shared" si="37"/>
        <v>0</v>
      </c>
      <c r="CU75" s="139">
        <f t="shared" si="38"/>
        <v>0</v>
      </c>
      <c r="CV75" s="139">
        <f t="shared" si="39"/>
        <v>0</v>
      </c>
      <c r="CW75" s="139">
        <f t="shared" si="40"/>
        <v>0</v>
      </c>
      <c r="CX75" s="139">
        <f t="shared" si="41"/>
        <v>0</v>
      </c>
      <c r="CY75" s="139">
        <f t="shared" si="42"/>
        <v>0</v>
      </c>
      <c r="CZ75" s="139">
        <f t="shared" si="43"/>
        <v>0</v>
      </c>
      <c r="DA75" s="139">
        <f t="shared" si="33"/>
        <v>0</v>
      </c>
      <c r="DB75" s="139">
        <f t="shared" si="34"/>
        <v>0</v>
      </c>
      <c r="DC75" s="139">
        <f t="shared" si="35"/>
        <v>0</v>
      </c>
    </row>
    <row r="76" spans="2:107" ht="16" x14ac:dyDescent="0.2">
      <c r="B76" s="105" t="s">
        <v>423</v>
      </c>
      <c r="D76" s="134"/>
      <c r="E76" s="134"/>
      <c r="F76" s="134"/>
      <c r="G76" s="158"/>
      <c r="H76" s="158"/>
      <c r="I76" s="158"/>
      <c r="K76" s="134"/>
      <c r="L76" s="134"/>
      <c r="M76" s="134"/>
      <c r="N76" s="158"/>
      <c r="O76" s="158"/>
      <c r="P76" s="158"/>
      <c r="R76" s="158"/>
      <c r="S76" s="158"/>
      <c r="T76" s="158"/>
      <c r="U76" s="158"/>
      <c r="V76" s="158"/>
      <c r="Y76" s="158"/>
      <c r="Z76" s="158"/>
      <c r="AA76" s="158"/>
      <c r="AB76" s="158"/>
      <c r="AC76" s="158"/>
      <c r="AF76" s="158"/>
      <c r="AG76" s="158"/>
      <c r="AH76" s="158"/>
      <c r="AI76" s="158"/>
      <c r="AJ76" s="158"/>
      <c r="AM76" s="158"/>
      <c r="AN76" s="158"/>
      <c r="AO76" s="158"/>
      <c r="AP76" s="158"/>
      <c r="AQ76" s="158"/>
      <c r="AT76" s="158"/>
      <c r="AU76" s="158"/>
      <c r="AV76" s="158"/>
      <c r="AW76" s="158"/>
      <c r="AX76" s="158"/>
      <c r="BA76" s="158"/>
      <c r="BB76" s="158"/>
      <c r="BC76" s="158"/>
      <c r="BD76" s="158"/>
      <c r="BE76" s="158"/>
      <c r="BH76" s="158"/>
      <c r="BI76" s="158"/>
      <c r="BJ76" s="158"/>
      <c r="BK76" s="158"/>
      <c r="BL76" s="158"/>
      <c r="BO76" s="158"/>
      <c r="BP76" s="158"/>
      <c r="BQ76" s="158"/>
      <c r="BR76" s="158"/>
      <c r="BS76" s="158"/>
      <c r="BV76" s="158"/>
      <c r="BW76" s="158"/>
      <c r="BX76" s="158"/>
      <c r="BY76" s="158"/>
      <c r="BZ76" s="158"/>
      <c r="CC76" s="158"/>
      <c r="CD76" s="158"/>
      <c r="CE76" s="158"/>
      <c r="CF76" s="158"/>
      <c r="CG76" s="158"/>
      <c r="CJ76" s="158"/>
      <c r="CK76" s="158"/>
      <c r="CL76" s="158"/>
      <c r="CM76" s="158"/>
      <c r="CN76" s="158"/>
      <c r="CQ76" s="154"/>
      <c r="CR76" s="139">
        <f t="shared" si="32"/>
        <v>0</v>
      </c>
      <c r="CS76" s="139">
        <f t="shared" si="36"/>
        <v>0</v>
      </c>
      <c r="CT76" s="139">
        <f t="shared" si="37"/>
        <v>0</v>
      </c>
      <c r="CU76" s="139">
        <f t="shared" si="38"/>
        <v>0</v>
      </c>
      <c r="CV76" s="139">
        <f t="shared" si="39"/>
        <v>0</v>
      </c>
      <c r="CW76" s="139">
        <f t="shared" si="40"/>
        <v>0</v>
      </c>
      <c r="CX76" s="139">
        <f t="shared" si="41"/>
        <v>0</v>
      </c>
      <c r="CY76" s="139">
        <f t="shared" si="42"/>
        <v>0</v>
      </c>
      <c r="CZ76" s="139">
        <f t="shared" si="43"/>
        <v>0</v>
      </c>
      <c r="DA76" s="139">
        <f t="shared" si="33"/>
        <v>0</v>
      </c>
      <c r="DB76" s="139">
        <f t="shared" si="34"/>
        <v>0</v>
      </c>
      <c r="DC76" s="139">
        <f t="shared" si="35"/>
        <v>0</v>
      </c>
    </row>
    <row r="77" spans="2:107" x14ac:dyDescent="0.2">
      <c r="B77" s="105" t="s">
        <v>424</v>
      </c>
      <c r="D77" s="134"/>
      <c r="E77" s="134"/>
      <c r="F77" s="134"/>
      <c r="G77" s="159"/>
      <c r="H77" s="159"/>
      <c r="I77" s="159"/>
      <c r="J77" s="137">
        <f>J47</f>
        <v>-8296761.4199999999</v>
      </c>
      <c r="K77" s="137"/>
      <c r="L77" s="137"/>
      <c r="M77" s="137"/>
      <c r="N77" s="137"/>
      <c r="O77" s="137"/>
      <c r="P77" s="137"/>
      <c r="Q77" s="137">
        <f>Q47</f>
        <v>171013.72999999992</v>
      </c>
      <c r="R77" s="137"/>
      <c r="S77" s="137"/>
      <c r="T77" s="137"/>
      <c r="U77" s="137"/>
      <c r="V77" s="137"/>
      <c r="W77" s="137"/>
      <c r="X77" s="137">
        <f>X47</f>
        <v>-917919.74</v>
      </c>
      <c r="Y77" s="137"/>
      <c r="Z77" s="137"/>
      <c r="AA77" s="137"/>
      <c r="AB77" s="137"/>
      <c r="AC77" s="137"/>
      <c r="AD77" s="137"/>
      <c r="AE77" s="137">
        <f>AE47</f>
        <v>754353.49000000022</v>
      </c>
      <c r="AF77" s="137"/>
      <c r="AG77" s="137"/>
      <c r="AH77" s="137"/>
      <c r="AI77" s="137"/>
      <c r="AJ77" s="137"/>
      <c r="AK77" s="137"/>
      <c r="AL77" s="137">
        <f>AL47</f>
        <v>4424339.88</v>
      </c>
      <c r="AM77" s="137"/>
      <c r="AN77" s="137"/>
      <c r="AO77" s="137"/>
      <c r="AP77" s="137"/>
      <c r="AQ77" s="137"/>
      <c r="AR77" s="137"/>
      <c r="AS77" s="137">
        <f>AS47</f>
        <v>2146539.4500000002</v>
      </c>
      <c r="AT77" s="137"/>
      <c r="AU77" s="137"/>
      <c r="AV77" s="137"/>
      <c r="AW77" s="137"/>
      <c r="AX77" s="137"/>
      <c r="AY77" s="137"/>
      <c r="AZ77" s="137">
        <f>AZ47</f>
        <v>561631.71</v>
      </c>
      <c r="BA77" s="137"/>
      <c r="BB77" s="137"/>
      <c r="BC77" s="137"/>
      <c r="BD77" s="137"/>
      <c r="BE77" s="137"/>
      <c r="BF77" s="137"/>
      <c r="BG77" s="137">
        <f>BG47</f>
        <v>2668281.5999999992</v>
      </c>
      <c r="BH77" s="137"/>
      <c r="BI77" s="137"/>
      <c r="BJ77" s="137"/>
      <c r="BK77" s="137"/>
      <c r="BL77" s="137"/>
      <c r="BM77" s="137"/>
      <c r="BN77" s="137">
        <f>BN47</f>
        <v>9321918</v>
      </c>
      <c r="BO77" s="137"/>
      <c r="BP77" s="137"/>
      <c r="BQ77" s="137"/>
      <c r="BR77" s="137"/>
      <c r="BS77" s="137"/>
      <c r="BT77" s="137"/>
      <c r="BU77" s="137">
        <f>BU47</f>
        <v>-9491694.5299999975</v>
      </c>
      <c r="BV77" s="137"/>
      <c r="BW77" s="137"/>
      <c r="BX77" s="137"/>
      <c r="BY77" s="137"/>
      <c r="BZ77" s="137"/>
      <c r="CA77" s="137"/>
      <c r="CB77" s="137">
        <f>CB47</f>
        <v>-16920058.68</v>
      </c>
      <c r="CC77" s="137"/>
      <c r="CD77" s="137"/>
      <c r="CE77" s="137"/>
      <c r="CF77" s="137"/>
      <c r="CG77" s="137"/>
      <c r="CH77" s="137"/>
      <c r="CI77" s="137">
        <f>CI47</f>
        <v>3386925.5900000003</v>
      </c>
      <c r="CJ77" s="137"/>
      <c r="CK77" s="137"/>
      <c r="CL77" s="137"/>
      <c r="CM77" s="137"/>
      <c r="CN77" s="137"/>
      <c r="CO77" s="137"/>
      <c r="CP77" s="137">
        <f>CP47</f>
        <v>-12191430.919999998</v>
      </c>
      <c r="CQ77" s="154"/>
      <c r="CR77" s="139">
        <f t="shared" si="32"/>
        <v>-4.3493344039043915E-3</v>
      </c>
      <c r="CS77" s="139">
        <f t="shared" si="36"/>
        <v>8.9640907727756177E-5</v>
      </c>
      <c r="CT77" s="139">
        <f t="shared" si="37"/>
        <v>-4.8138104623444907E-4</v>
      </c>
      <c r="CU77" s="139">
        <f t="shared" si="38"/>
        <v>3.954462002156413E-4</v>
      </c>
      <c r="CV77" s="139">
        <f t="shared" si="39"/>
        <v>2.3139548614518508E-3</v>
      </c>
      <c r="CW77" s="139">
        <f t="shared" si="40"/>
        <v>1.121393377193363E-3</v>
      </c>
      <c r="CX77" s="139">
        <f t="shared" si="41"/>
        <v>2.9332111432720166E-4</v>
      </c>
      <c r="CY77" s="139">
        <f t="shared" si="42"/>
        <v>1.391613318154662E-3</v>
      </c>
      <c r="CZ77" s="139">
        <f t="shared" si="43"/>
        <v>4.7992439793127107E-3</v>
      </c>
      <c r="DA77" s="139">
        <f t="shared" si="33"/>
        <v>-4.9106473946938347E-3</v>
      </c>
      <c r="DB77" s="139">
        <f t="shared" si="34"/>
        <v>-8.7465391600769857E-3</v>
      </c>
      <c r="DC77" s="139">
        <f t="shared" si="35"/>
        <v>1.7477541071961938E-3</v>
      </c>
    </row>
    <row r="78" spans="2:107" x14ac:dyDescent="0.2">
      <c r="B78" s="105" t="s">
        <v>425</v>
      </c>
      <c r="D78" s="134"/>
      <c r="E78" s="134"/>
      <c r="F78" s="134"/>
      <c r="G78" s="133"/>
      <c r="H78" s="133"/>
      <c r="I78" s="133"/>
      <c r="J78" s="137">
        <f>'EEFF 2022'!CI78+'EEFF 2022'!CI77</f>
        <v>11016655.739999998</v>
      </c>
      <c r="K78" s="134"/>
      <c r="L78" s="134"/>
      <c r="M78" s="134"/>
      <c r="N78" s="133"/>
      <c r="O78" s="133"/>
      <c r="P78" s="133"/>
      <c r="Q78" s="137">
        <f>J78+J77</f>
        <v>2719894.3199999984</v>
      </c>
      <c r="R78" s="137">
        <f t="shared" ref="R78:CA78" si="44">K78+K77</f>
        <v>0</v>
      </c>
      <c r="S78" s="137">
        <f t="shared" si="44"/>
        <v>0</v>
      </c>
      <c r="T78" s="137">
        <f t="shared" si="44"/>
        <v>0</v>
      </c>
      <c r="U78" s="137">
        <f t="shared" si="44"/>
        <v>0</v>
      </c>
      <c r="V78" s="137">
        <f t="shared" si="44"/>
        <v>0</v>
      </c>
      <c r="W78" s="137">
        <f t="shared" si="44"/>
        <v>0</v>
      </c>
      <c r="X78" s="137">
        <f>Q78+Q77</f>
        <v>2890908.0499999984</v>
      </c>
      <c r="Y78" s="137">
        <f t="shared" si="44"/>
        <v>0</v>
      </c>
      <c r="Z78" s="137">
        <f t="shared" si="44"/>
        <v>0</v>
      </c>
      <c r="AA78" s="137">
        <f t="shared" si="44"/>
        <v>0</v>
      </c>
      <c r="AB78" s="137">
        <f t="shared" si="44"/>
        <v>0</v>
      </c>
      <c r="AC78" s="137">
        <f t="shared" si="44"/>
        <v>0</v>
      </c>
      <c r="AD78" s="137">
        <f t="shared" si="44"/>
        <v>0</v>
      </c>
      <c r="AE78" s="137">
        <f>X78+X77</f>
        <v>1972988.3099999984</v>
      </c>
      <c r="AF78" s="137">
        <f t="shared" si="44"/>
        <v>0</v>
      </c>
      <c r="AG78" s="137">
        <f t="shared" si="44"/>
        <v>0</v>
      </c>
      <c r="AH78" s="137">
        <f t="shared" si="44"/>
        <v>0</v>
      </c>
      <c r="AI78" s="137">
        <f t="shared" si="44"/>
        <v>0</v>
      </c>
      <c r="AJ78" s="137">
        <f t="shared" si="44"/>
        <v>0</v>
      </c>
      <c r="AK78" s="137">
        <f t="shared" si="44"/>
        <v>0</v>
      </c>
      <c r="AL78" s="137">
        <f>AE78+AE77</f>
        <v>2727341.7999999989</v>
      </c>
      <c r="AM78" s="137">
        <f t="shared" si="44"/>
        <v>0</v>
      </c>
      <c r="AN78" s="137">
        <f t="shared" si="44"/>
        <v>0</v>
      </c>
      <c r="AO78" s="137">
        <f t="shared" si="44"/>
        <v>0</v>
      </c>
      <c r="AP78" s="137">
        <f t="shared" si="44"/>
        <v>0</v>
      </c>
      <c r="AQ78" s="137">
        <f t="shared" si="44"/>
        <v>0</v>
      </c>
      <c r="AR78" s="137">
        <f t="shared" si="44"/>
        <v>0</v>
      </c>
      <c r="AS78" s="137">
        <f>AL78+AL77</f>
        <v>7151681.6799999988</v>
      </c>
      <c r="AT78" s="137">
        <f t="shared" si="44"/>
        <v>0</v>
      </c>
      <c r="AU78" s="137">
        <f t="shared" si="44"/>
        <v>0</v>
      </c>
      <c r="AV78" s="137">
        <f t="shared" si="44"/>
        <v>0</v>
      </c>
      <c r="AW78" s="137">
        <f t="shared" si="44"/>
        <v>0</v>
      </c>
      <c r="AX78" s="137">
        <f t="shared" si="44"/>
        <v>0</v>
      </c>
      <c r="AY78" s="137">
        <f t="shared" si="44"/>
        <v>0</v>
      </c>
      <c r="AZ78" s="137">
        <f>AS78+AS77</f>
        <v>9298221.129999999</v>
      </c>
      <c r="BA78" s="137">
        <f t="shared" si="44"/>
        <v>0</v>
      </c>
      <c r="BB78" s="137">
        <f t="shared" si="44"/>
        <v>0</v>
      </c>
      <c r="BC78" s="137">
        <f t="shared" si="44"/>
        <v>0</v>
      </c>
      <c r="BD78" s="137">
        <f t="shared" si="44"/>
        <v>0</v>
      </c>
      <c r="BE78" s="137">
        <f t="shared" si="44"/>
        <v>0</v>
      </c>
      <c r="BF78" s="137">
        <f t="shared" si="44"/>
        <v>0</v>
      </c>
      <c r="BG78" s="137">
        <f>AZ78+AZ77</f>
        <v>9859852.8399999999</v>
      </c>
      <c r="BH78" s="137">
        <f t="shared" si="44"/>
        <v>0</v>
      </c>
      <c r="BI78" s="137">
        <f t="shared" si="44"/>
        <v>0</v>
      </c>
      <c r="BJ78" s="137">
        <f t="shared" si="44"/>
        <v>0</v>
      </c>
      <c r="BK78" s="137">
        <f t="shared" si="44"/>
        <v>0</v>
      </c>
      <c r="BL78" s="137">
        <f t="shared" si="44"/>
        <v>0</v>
      </c>
      <c r="BM78" s="137">
        <f t="shared" si="44"/>
        <v>0</v>
      </c>
      <c r="BN78" s="137">
        <f>BG78+BG77</f>
        <v>12528134.439999999</v>
      </c>
      <c r="BO78" s="137">
        <f t="shared" si="44"/>
        <v>0</v>
      </c>
      <c r="BP78" s="137">
        <f t="shared" si="44"/>
        <v>0</v>
      </c>
      <c r="BQ78" s="137">
        <f t="shared" si="44"/>
        <v>0</v>
      </c>
      <c r="BR78" s="137">
        <f t="shared" si="44"/>
        <v>0</v>
      </c>
      <c r="BS78" s="137">
        <f t="shared" si="44"/>
        <v>0</v>
      </c>
      <c r="BT78" s="137">
        <f t="shared" si="44"/>
        <v>0</v>
      </c>
      <c r="BU78" s="137">
        <f>BN78+BN77</f>
        <v>21850052.439999998</v>
      </c>
      <c r="BV78" s="137">
        <f t="shared" si="44"/>
        <v>0</v>
      </c>
      <c r="BW78" s="137">
        <f t="shared" si="44"/>
        <v>0</v>
      </c>
      <c r="BX78" s="137">
        <f t="shared" si="44"/>
        <v>0</v>
      </c>
      <c r="BY78" s="137">
        <f t="shared" si="44"/>
        <v>0</v>
      </c>
      <c r="BZ78" s="137">
        <f t="shared" si="44"/>
        <v>0</v>
      </c>
      <c r="CA78" s="137">
        <f t="shared" si="44"/>
        <v>0</v>
      </c>
      <c r="CB78" s="137">
        <f>BU78+BU77</f>
        <v>12358357.91</v>
      </c>
      <c r="CC78" s="133"/>
      <c r="CD78" s="133"/>
      <c r="CE78" s="133"/>
      <c r="CF78" s="133"/>
      <c r="CG78" s="133"/>
      <c r="CI78" s="137">
        <f>CB78+CB77</f>
        <v>-4561700.7699999996</v>
      </c>
      <c r="CJ78" s="133"/>
      <c r="CK78" s="133"/>
      <c r="CL78" s="133"/>
      <c r="CM78" s="133"/>
      <c r="CN78" s="133"/>
      <c r="CP78" s="137">
        <f>J78</f>
        <v>11016655.739999998</v>
      </c>
      <c r="CR78" s="139">
        <f t="shared" si="32"/>
        <v>5.7751594146662581E-3</v>
      </c>
      <c r="CS78" s="139">
        <f t="shared" si="36"/>
        <v>1.4256971985136403E-3</v>
      </c>
      <c r="CT78" s="139">
        <f t="shared" si="37"/>
        <v>1.516067561284378E-3</v>
      </c>
      <c r="CU78" s="139">
        <f t="shared" si="38"/>
        <v>1.034277352199138E-3</v>
      </c>
      <c r="CV78" s="139">
        <f t="shared" si="39"/>
        <v>1.4264152366501371E-3</v>
      </c>
      <c r="CW78" s="139">
        <f t="shared" si="40"/>
        <v>3.7361756718457245E-3</v>
      </c>
      <c r="CX78" s="139">
        <f t="shared" si="41"/>
        <v>4.8561442214727019E-3</v>
      </c>
      <c r="CY78" s="139">
        <f t="shared" si="42"/>
        <v>5.1422992712572288E-3</v>
      </c>
      <c r="CZ78" s="139">
        <f t="shared" si="43"/>
        <v>6.4499144685879247E-3</v>
      </c>
      <c r="DA78" s="139">
        <f t="shared" si="33"/>
        <v>1.1304399098525318E-2</v>
      </c>
      <c r="DB78" s="139">
        <f t="shared" si="34"/>
        <v>6.3884448309763295E-3</v>
      </c>
      <c r="DC78" s="139">
        <f t="shared" si="35"/>
        <v>-2.3539729600518147E-3</v>
      </c>
    </row>
    <row r="79" spans="2:107" ht="16" x14ac:dyDescent="0.2">
      <c r="B79" s="141" t="s">
        <v>426</v>
      </c>
      <c r="C79" s="207"/>
      <c r="D79" s="142"/>
      <c r="E79" s="142"/>
      <c r="F79" s="142"/>
      <c r="G79" s="142"/>
      <c r="H79" s="142"/>
      <c r="I79" s="142"/>
      <c r="J79" s="142">
        <f>SUM(J74:J78)</f>
        <v>1888458271.9199998</v>
      </c>
      <c r="K79" s="142"/>
      <c r="L79" s="142"/>
      <c r="M79" s="142"/>
      <c r="N79" s="142"/>
      <c r="O79" s="142"/>
      <c r="P79" s="142"/>
      <c r="Q79" s="142">
        <f>SUM(Q74:Q78)</f>
        <v>1888629285.6499999</v>
      </c>
      <c r="R79" s="142"/>
      <c r="S79" s="142"/>
      <c r="T79" s="142"/>
      <c r="U79" s="142"/>
      <c r="V79" s="142"/>
      <c r="W79" s="142"/>
      <c r="X79" s="142">
        <f>SUM(X74:X78)</f>
        <v>1887711365.9099998</v>
      </c>
      <c r="Y79" s="143"/>
      <c r="Z79" s="143"/>
      <c r="AA79" s="143"/>
      <c r="AB79" s="143"/>
      <c r="AC79" s="143"/>
      <c r="AD79" s="143"/>
      <c r="AE79" s="142">
        <f>SUM(AE74:AE78)</f>
        <v>1888465719.3999999</v>
      </c>
      <c r="AF79" s="143"/>
      <c r="AG79" s="143"/>
      <c r="AH79" s="143"/>
      <c r="AI79" s="143"/>
      <c r="AJ79" s="143"/>
      <c r="AK79" s="143"/>
      <c r="AL79" s="142">
        <f>SUM(AL74:AL78)</f>
        <v>1892890059.28</v>
      </c>
      <c r="AM79" s="143"/>
      <c r="AN79" s="143"/>
      <c r="AO79" s="143"/>
      <c r="AP79" s="143"/>
      <c r="AQ79" s="143"/>
      <c r="AR79" s="143"/>
      <c r="AS79" s="142">
        <f>SUM(AS74:AS78)</f>
        <v>1895036598.73</v>
      </c>
      <c r="AT79" s="143"/>
      <c r="AU79" s="143"/>
      <c r="AV79" s="143"/>
      <c r="AW79" s="143"/>
      <c r="AX79" s="143"/>
      <c r="AY79" s="143"/>
      <c r="AZ79" s="142">
        <f>SUM(AZ74:AZ78)</f>
        <v>1895598230.4400001</v>
      </c>
      <c r="BA79" s="143"/>
      <c r="BB79" s="143"/>
      <c r="BC79" s="143"/>
      <c r="BD79" s="143"/>
      <c r="BE79" s="143"/>
      <c r="BF79" s="143"/>
      <c r="BG79" s="142">
        <f>SUM(BG74:BG78)</f>
        <v>1898266512.0399997</v>
      </c>
      <c r="BH79" s="143"/>
      <c r="BI79" s="143"/>
      <c r="BJ79" s="143"/>
      <c r="BK79" s="143"/>
      <c r="BL79" s="143"/>
      <c r="BM79" s="143"/>
      <c r="BN79" s="142">
        <f>SUM(BN74:BN78)</f>
        <v>1907588430.04</v>
      </c>
      <c r="BO79" s="143"/>
      <c r="BP79" s="143"/>
      <c r="BQ79" s="143"/>
      <c r="BR79" s="143"/>
      <c r="BS79" s="143"/>
      <c r="BT79" s="143"/>
      <c r="BU79" s="142">
        <f>SUM(BU74:BU78)</f>
        <v>1898096735.51</v>
      </c>
      <c r="BV79" s="143"/>
      <c r="BW79" s="143"/>
      <c r="BX79" s="143"/>
      <c r="BY79" s="143"/>
      <c r="BZ79" s="143"/>
      <c r="CA79" s="143"/>
      <c r="CB79" s="142">
        <f>SUM(CB74:CB78)</f>
        <v>1881176676.8299999</v>
      </c>
      <c r="CC79" s="143"/>
      <c r="CD79" s="143"/>
      <c r="CE79" s="143"/>
      <c r="CF79" s="143"/>
      <c r="CG79" s="143"/>
      <c r="CH79" s="143"/>
      <c r="CI79" s="142">
        <f>SUM(CI74:CI78)</f>
        <v>1884563602.4199998</v>
      </c>
      <c r="CJ79" s="143"/>
      <c r="CK79" s="143"/>
      <c r="CL79" s="143"/>
      <c r="CM79" s="143"/>
      <c r="CN79" s="143"/>
      <c r="CO79" s="143"/>
      <c r="CP79" s="142">
        <f>SUM(CP74:CP78)</f>
        <v>1884563602.4199998</v>
      </c>
      <c r="CR79" s="145">
        <f t="shared" si="32"/>
        <v>0.98996899110538605</v>
      </c>
      <c r="CS79" s="145">
        <f t="shared" si="36"/>
        <v>0.98996989029412885</v>
      </c>
      <c r="CT79" s="145">
        <f t="shared" si="37"/>
        <v>0.9899650619894248</v>
      </c>
      <c r="CU79" s="145">
        <f t="shared" si="38"/>
        <v>0.98996903026753047</v>
      </c>
      <c r="CV79" s="145">
        <f t="shared" si="39"/>
        <v>0.98999224147870812</v>
      </c>
      <c r="CW79" s="145">
        <f t="shared" si="40"/>
        <v>0.99000346411283446</v>
      </c>
      <c r="CX79" s="145">
        <f t="shared" si="41"/>
        <v>0.99000639630788023</v>
      </c>
      <c r="CY79" s="145">
        <f t="shared" si="42"/>
        <v>0.99002030353987436</v>
      </c>
      <c r="CZ79" s="145">
        <f t="shared" si="43"/>
        <v>0.98209212823756398</v>
      </c>
      <c r="DA79" s="145">
        <f t="shared" si="33"/>
        <v>0.98200418899374931</v>
      </c>
      <c r="DB79" s="145">
        <f t="shared" si="34"/>
        <v>0.97244257730417527</v>
      </c>
      <c r="DC79" s="145">
        <f t="shared" si="35"/>
        <v>0.97249074090287568</v>
      </c>
    </row>
    <row r="80" spans="2:107" ht="16" x14ac:dyDescent="0.2">
      <c r="B80" s="141" t="s">
        <v>427</v>
      </c>
      <c r="C80" s="207"/>
      <c r="D80" s="142"/>
      <c r="E80" s="142"/>
      <c r="F80" s="142"/>
      <c r="G80" s="142"/>
      <c r="H80" s="142"/>
      <c r="I80" s="142"/>
      <c r="J80" s="142">
        <f>J73+J79</f>
        <v>1907593357.8599999</v>
      </c>
      <c r="K80" s="142"/>
      <c r="L80" s="142"/>
      <c r="M80" s="142"/>
      <c r="N80" s="142"/>
      <c r="O80" s="142"/>
      <c r="P80" s="142"/>
      <c r="Q80" s="142">
        <f>Q73+Q79</f>
        <v>1907764371.5899999</v>
      </c>
      <c r="R80" s="142"/>
      <c r="S80" s="142"/>
      <c r="T80" s="142"/>
      <c r="U80" s="142"/>
      <c r="V80" s="142"/>
      <c r="W80" s="142"/>
      <c r="X80" s="142">
        <f>X73+X79</f>
        <v>1906846451.8499999</v>
      </c>
      <c r="Y80" s="143"/>
      <c r="Z80" s="143"/>
      <c r="AA80" s="143"/>
      <c r="AB80" s="143"/>
      <c r="AC80" s="143"/>
      <c r="AD80" s="143"/>
      <c r="AE80" s="142">
        <f>AE73+AE79</f>
        <v>1907600805.3399999</v>
      </c>
      <c r="AF80" s="143"/>
      <c r="AG80" s="143"/>
      <c r="AH80" s="143"/>
      <c r="AI80" s="143"/>
      <c r="AJ80" s="143"/>
      <c r="AK80" s="143"/>
      <c r="AL80" s="142">
        <f>AL73+AL79</f>
        <v>1912025145.22</v>
      </c>
      <c r="AM80" s="143"/>
      <c r="AN80" s="143"/>
      <c r="AO80" s="143"/>
      <c r="AP80" s="143"/>
      <c r="AQ80" s="143"/>
      <c r="AR80" s="143"/>
      <c r="AS80" s="142">
        <f>AS73+AS79</f>
        <v>1914171684.6700001</v>
      </c>
      <c r="AT80" s="143"/>
      <c r="AU80" s="143"/>
      <c r="AV80" s="143"/>
      <c r="AW80" s="143"/>
      <c r="AX80" s="143"/>
      <c r="AY80" s="143"/>
      <c r="AZ80" s="142">
        <f>AZ73+AZ79</f>
        <v>1914733316.3800001</v>
      </c>
      <c r="BA80" s="143"/>
      <c r="BB80" s="143"/>
      <c r="BC80" s="143"/>
      <c r="BD80" s="143"/>
      <c r="BE80" s="143"/>
      <c r="BF80" s="143"/>
      <c r="BG80" s="142">
        <f>BG73+BG79</f>
        <v>1917401597.9799998</v>
      </c>
      <c r="BH80" s="143"/>
      <c r="BI80" s="143"/>
      <c r="BJ80" s="143"/>
      <c r="BK80" s="143"/>
      <c r="BL80" s="143"/>
      <c r="BM80" s="143"/>
      <c r="BN80" s="142">
        <f>BN73+BN79</f>
        <v>1942372181.99</v>
      </c>
      <c r="BO80" s="143"/>
      <c r="BP80" s="143"/>
      <c r="BQ80" s="143"/>
      <c r="BR80" s="143"/>
      <c r="BS80" s="143"/>
      <c r="BT80" s="143"/>
      <c r="BU80" s="142">
        <f>BU73+BU79</f>
        <v>1932880487.46</v>
      </c>
      <c r="BV80" s="143"/>
      <c r="BW80" s="143"/>
      <c r="BX80" s="143"/>
      <c r="BY80" s="143"/>
      <c r="BZ80" s="143"/>
      <c r="CA80" s="143"/>
      <c r="CB80" s="142">
        <f>CB73+CB79</f>
        <v>1934486128.78</v>
      </c>
      <c r="CC80" s="143"/>
      <c r="CD80" s="143"/>
      <c r="CE80" s="143"/>
      <c r="CF80" s="143"/>
      <c r="CG80" s="143"/>
      <c r="CH80" s="143"/>
      <c r="CI80" s="142">
        <f>CI73+CI79</f>
        <v>1937873054.3699999</v>
      </c>
      <c r="CJ80" s="143"/>
      <c r="CK80" s="143"/>
      <c r="CL80" s="143"/>
      <c r="CM80" s="143"/>
      <c r="CN80" s="143"/>
      <c r="CO80" s="143"/>
      <c r="CP80" s="142">
        <f>CP73+CP79</f>
        <v>1937873054.3699999</v>
      </c>
      <c r="CR80" s="145">
        <f t="shared" si="32"/>
        <v>1</v>
      </c>
      <c r="CS80" s="145">
        <f t="shared" si="36"/>
        <v>1</v>
      </c>
      <c r="CT80" s="145">
        <f t="shared" si="37"/>
        <v>1</v>
      </c>
      <c r="CU80" s="145">
        <f t="shared" si="38"/>
        <v>1</v>
      </c>
      <c r="CV80" s="145">
        <f t="shared" si="39"/>
        <v>1.0000000000000002</v>
      </c>
      <c r="CW80" s="145">
        <f t="shared" si="40"/>
        <v>1.0000000000000002</v>
      </c>
      <c r="CX80" s="145">
        <f t="shared" si="41"/>
        <v>1.0000000000000002</v>
      </c>
      <c r="CY80" s="145">
        <f t="shared" si="42"/>
        <v>0.99999999999999989</v>
      </c>
      <c r="CZ80" s="145">
        <f t="shared" si="43"/>
        <v>1</v>
      </c>
      <c r="DA80" s="145">
        <f t="shared" si="33"/>
        <v>1.0000000000000002</v>
      </c>
      <c r="DB80" s="145">
        <f t="shared" si="34"/>
        <v>1</v>
      </c>
      <c r="DC80" s="145">
        <f t="shared" si="35"/>
        <v>1</v>
      </c>
    </row>
    <row r="81" spans="2:96" ht="16" x14ac:dyDescent="0.2">
      <c r="B81" s="160" t="s">
        <v>428</v>
      </c>
      <c r="D81" s="161"/>
      <c r="E81" s="161"/>
      <c r="F81" s="161"/>
      <c r="G81" s="161"/>
      <c r="H81" s="161"/>
      <c r="I81" s="161"/>
      <c r="J81" s="234">
        <f>J64-J80</f>
        <v>0</v>
      </c>
      <c r="K81" s="234"/>
      <c r="L81" s="234"/>
      <c r="M81" s="234"/>
      <c r="N81" s="234"/>
      <c r="O81" s="234"/>
      <c r="P81" s="234"/>
      <c r="Q81" s="234">
        <f>Q64-Q80</f>
        <v>0</v>
      </c>
      <c r="R81" s="234"/>
      <c r="S81" s="234"/>
      <c r="T81" s="234"/>
      <c r="U81" s="234"/>
      <c r="V81" s="234"/>
      <c r="W81" s="234"/>
      <c r="X81" s="234">
        <f>X64-X80</f>
        <v>0</v>
      </c>
      <c r="Y81" s="234"/>
      <c r="Z81" s="234"/>
      <c r="AA81" s="234"/>
      <c r="AB81" s="234"/>
      <c r="AC81" s="234"/>
      <c r="AD81" s="234"/>
      <c r="AE81" s="234">
        <f>AE64-AE80</f>
        <v>0</v>
      </c>
      <c r="AF81" s="234"/>
      <c r="AG81" s="234"/>
      <c r="AH81" s="234"/>
      <c r="AI81" s="234"/>
      <c r="AJ81" s="234"/>
      <c r="AK81" s="234"/>
      <c r="AL81" s="234">
        <f>AL64-AL80</f>
        <v>0</v>
      </c>
      <c r="AM81" s="234"/>
      <c r="AN81" s="234"/>
      <c r="AO81" s="234"/>
      <c r="AP81" s="234"/>
      <c r="AQ81" s="234"/>
      <c r="AR81" s="234"/>
      <c r="AS81" s="234">
        <f>AS64-AS80</f>
        <v>0</v>
      </c>
      <c r="AT81" s="234"/>
      <c r="AU81" s="234"/>
      <c r="AV81" s="234"/>
      <c r="AW81" s="234"/>
      <c r="AX81" s="234"/>
      <c r="AY81" s="234"/>
      <c r="AZ81" s="234">
        <f>AZ64-AZ80</f>
        <v>0</v>
      </c>
      <c r="BA81" s="234"/>
      <c r="BB81" s="234"/>
      <c r="BC81" s="234"/>
      <c r="BD81" s="234"/>
      <c r="BE81" s="234"/>
      <c r="BF81" s="234"/>
      <c r="BG81" s="234">
        <f>BG64-BG80</f>
        <v>0</v>
      </c>
      <c r="BH81" s="234"/>
      <c r="BI81" s="234"/>
      <c r="BJ81" s="234"/>
      <c r="BK81" s="234"/>
      <c r="BL81" s="234"/>
      <c r="BM81" s="234"/>
      <c r="BN81" s="234">
        <f>BN64-BN80</f>
        <v>0</v>
      </c>
      <c r="BO81" s="234"/>
      <c r="BP81" s="234"/>
      <c r="BQ81" s="234"/>
      <c r="BR81" s="234"/>
      <c r="BS81" s="234"/>
      <c r="BT81" s="234"/>
      <c r="BU81" s="234">
        <f>BU64-BU80</f>
        <v>0</v>
      </c>
      <c r="BV81" s="234"/>
      <c r="BW81" s="234"/>
      <c r="BX81" s="234"/>
      <c r="BY81" s="234"/>
      <c r="BZ81" s="234"/>
      <c r="CA81" s="234"/>
      <c r="CB81" s="234">
        <f>CB64-CB80</f>
        <v>0</v>
      </c>
      <c r="CC81" s="234"/>
      <c r="CD81" s="234"/>
      <c r="CE81" s="234"/>
      <c r="CF81" s="234"/>
      <c r="CG81" s="234"/>
      <c r="CH81" s="234"/>
      <c r="CI81" s="234">
        <f>CI64-CI80</f>
        <v>0</v>
      </c>
      <c r="CJ81" s="213"/>
      <c r="CK81" s="213"/>
      <c r="CL81" s="213"/>
      <c r="CM81" s="213"/>
      <c r="CN81" s="213"/>
      <c r="CO81" s="213"/>
      <c r="CP81" s="234">
        <f>CP64-CP80</f>
        <v>0</v>
      </c>
    </row>
    <row r="82" spans="2:96" x14ac:dyDescent="0.2">
      <c r="D82" s="106"/>
      <c r="E82" s="106"/>
      <c r="F82" s="106"/>
      <c r="G82" s="133"/>
      <c r="H82" s="133"/>
      <c r="K82" s="106"/>
      <c r="L82" s="106"/>
      <c r="M82" s="106"/>
      <c r="N82" s="133"/>
      <c r="O82" s="133"/>
      <c r="CQ82" s="105">
        <v>-12191431</v>
      </c>
    </row>
    <row r="83" spans="2:96" x14ac:dyDescent="0.2">
      <c r="D83" s="106"/>
      <c r="E83" s="106"/>
      <c r="K83" s="106"/>
      <c r="L83" s="106"/>
      <c r="CQ83" s="137">
        <f>CI78-CQ82</f>
        <v>7629730.2300000004</v>
      </c>
      <c r="CR83" s="105">
        <f>CQ83/12</f>
        <v>635810.85250000004</v>
      </c>
    </row>
    <row r="84" spans="2:96" s="181" customFormat="1" ht="16" x14ac:dyDescent="0.2">
      <c r="B84" s="183" t="s">
        <v>353</v>
      </c>
      <c r="C84" s="211"/>
      <c r="E84" s="186"/>
      <c r="L84" s="186"/>
    </row>
    <row r="85" spans="2:96" x14ac:dyDescent="0.2">
      <c r="B85" s="105" t="s">
        <v>352</v>
      </c>
      <c r="D85" s="137"/>
      <c r="E85" s="137"/>
      <c r="F85" s="137"/>
      <c r="G85" s="137"/>
      <c r="H85" s="137"/>
      <c r="I85" s="137"/>
      <c r="J85" s="137">
        <f>J47</f>
        <v>-8296761.4199999999</v>
      </c>
      <c r="K85" s="137"/>
      <c r="L85" s="137"/>
      <c r="M85" s="137"/>
      <c r="N85" s="137"/>
      <c r="O85" s="137"/>
      <c r="P85" s="137"/>
      <c r="Q85" s="137">
        <f>Q47</f>
        <v>171013.72999999992</v>
      </c>
      <c r="R85" s="137"/>
      <c r="S85" s="137"/>
      <c r="T85" s="137"/>
      <c r="U85" s="137"/>
      <c r="V85" s="137"/>
      <c r="W85" s="137"/>
      <c r="X85" s="137">
        <f>X47</f>
        <v>-917919.74</v>
      </c>
      <c r="Y85" s="137"/>
      <c r="Z85" s="137"/>
      <c r="AA85" s="137"/>
      <c r="AB85" s="137"/>
      <c r="AC85" s="137"/>
      <c r="AD85" s="137"/>
      <c r="AE85" s="137">
        <f>AE47</f>
        <v>754353.49000000022</v>
      </c>
      <c r="AF85" s="137"/>
      <c r="AG85" s="137"/>
      <c r="AH85" s="137"/>
      <c r="AI85" s="137"/>
      <c r="AJ85" s="137"/>
      <c r="AK85" s="137"/>
      <c r="AL85" s="137">
        <f>AL47</f>
        <v>4424339.88</v>
      </c>
      <c r="AM85" s="137"/>
      <c r="AN85" s="137"/>
      <c r="AO85" s="137"/>
      <c r="AP85" s="137"/>
      <c r="AQ85" s="137"/>
      <c r="AR85" s="137"/>
      <c r="AS85" s="137">
        <f>AS47</f>
        <v>2146539.4500000002</v>
      </c>
      <c r="AT85" s="137"/>
      <c r="AU85" s="137"/>
      <c r="AV85" s="137"/>
      <c r="AW85" s="137"/>
      <c r="AX85" s="137"/>
      <c r="AY85" s="137"/>
      <c r="AZ85" s="137">
        <f>AZ47</f>
        <v>561631.71</v>
      </c>
      <c r="BA85" s="137"/>
      <c r="BB85" s="137"/>
      <c r="BC85" s="137"/>
      <c r="BD85" s="137"/>
      <c r="BE85" s="137"/>
      <c r="BF85" s="137"/>
      <c r="BG85" s="137">
        <f>BG47</f>
        <v>2668281.5999999992</v>
      </c>
      <c r="BH85" s="137"/>
      <c r="BI85" s="137"/>
      <c r="BJ85" s="137"/>
      <c r="BK85" s="137"/>
      <c r="BL85" s="137"/>
      <c r="BM85" s="137"/>
      <c r="BN85" s="137">
        <f>BN47</f>
        <v>9321918</v>
      </c>
      <c r="BO85" s="137"/>
      <c r="BP85" s="137"/>
      <c r="BQ85" s="137"/>
      <c r="BR85" s="137"/>
      <c r="BS85" s="137"/>
      <c r="BT85" s="137"/>
      <c r="BU85" s="137">
        <f>BU47</f>
        <v>-9491694.5299999975</v>
      </c>
      <c r="BV85" s="137"/>
      <c r="BW85" s="137"/>
      <c r="BX85" s="137"/>
      <c r="BY85" s="137"/>
      <c r="BZ85" s="137"/>
      <c r="CA85" s="137"/>
      <c r="CB85" s="137">
        <f>CB47</f>
        <v>-16920058.68</v>
      </c>
      <c r="CC85" s="137"/>
      <c r="CD85" s="137"/>
      <c r="CE85" s="137"/>
      <c r="CF85" s="137"/>
      <c r="CG85" s="137"/>
      <c r="CH85" s="137"/>
      <c r="CI85" s="137">
        <f>CI47</f>
        <v>3386925.5900000003</v>
      </c>
      <c r="CJ85" s="137"/>
      <c r="CK85" s="137"/>
      <c r="CL85" s="137"/>
      <c r="CM85" s="137"/>
      <c r="CN85" s="137"/>
      <c r="CR85" s="154">
        <f>CQ82-CQ86</f>
        <v>-11016655.82</v>
      </c>
    </row>
    <row r="86" spans="2:96" x14ac:dyDescent="0.2">
      <c r="B86" s="105" t="s">
        <v>429</v>
      </c>
      <c r="D86" s="137"/>
      <c r="E86" s="137"/>
      <c r="F86" s="137"/>
      <c r="G86" s="137"/>
      <c r="H86" s="137"/>
      <c r="I86" s="137"/>
      <c r="J86" s="137">
        <f>+J15</f>
        <v>0</v>
      </c>
      <c r="K86" s="137"/>
      <c r="L86" s="137"/>
      <c r="M86" s="137"/>
      <c r="N86" s="137"/>
      <c r="O86" s="137"/>
      <c r="P86" s="137"/>
      <c r="Q86" s="137">
        <f>+Q15</f>
        <v>0</v>
      </c>
      <c r="R86" s="137"/>
      <c r="S86" s="137"/>
      <c r="T86" s="137"/>
      <c r="U86" s="137"/>
      <c r="V86" s="137"/>
      <c r="W86" s="137"/>
      <c r="X86" s="137">
        <f>+X15</f>
        <v>0</v>
      </c>
      <c r="Y86" s="137"/>
      <c r="Z86" s="137"/>
      <c r="AA86" s="137"/>
      <c r="AB86" s="137"/>
      <c r="AC86" s="137"/>
      <c r="AD86" s="137"/>
      <c r="AE86" s="137">
        <f>+AE15</f>
        <v>0</v>
      </c>
      <c r="AF86" s="137"/>
      <c r="AG86" s="137"/>
      <c r="AH86" s="137"/>
      <c r="AI86" s="137"/>
      <c r="AJ86" s="137"/>
      <c r="AK86" s="137"/>
      <c r="AL86" s="137">
        <f>+AL15</f>
        <v>0</v>
      </c>
      <c r="AM86" s="137"/>
      <c r="AN86" s="137"/>
      <c r="AO86" s="137"/>
      <c r="AP86" s="137"/>
      <c r="AQ86" s="137"/>
      <c r="AR86" s="137"/>
      <c r="AS86" s="137">
        <f>+AS15</f>
        <v>0</v>
      </c>
      <c r="AT86" s="137"/>
      <c r="AU86" s="137"/>
      <c r="AV86" s="137"/>
      <c r="AW86" s="137"/>
      <c r="AX86" s="137"/>
      <c r="AY86" s="137"/>
      <c r="AZ86" s="137">
        <f>+AZ15</f>
        <v>0</v>
      </c>
      <c r="BA86" s="137"/>
      <c r="BB86" s="137"/>
      <c r="BC86" s="137"/>
      <c r="BD86" s="137"/>
      <c r="BE86" s="137"/>
      <c r="BF86" s="137"/>
      <c r="BG86" s="137">
        <f>+BG15</f>
        <v>0</v>
      </c>
      <c r="BH86" s="137"/>
      <c r="BI86" s="137"/>
      <c r="BJ86" s="137"/>
      <c r="BK86" s="137"/>
      <c r="BL86" s="137"/>
      <c r="BM86" s="137"/>
      <c r="BN86" s="137">
        <f>+BN15</f>
        <v>0</v>
      </c>
      <c r="BO86" s="137"/>
      <c r="BP86" s="137"/>
      <c r="BQ86" s="137"/>
      <c r="BR86" s="137"/>
      <c r="BS86" s="137"/>
      <c r="BT86" s="137"/>
      <c r="BU86" s="137">
        <f>+BU15</f>
        <v>0</v>
      </c>
      <c r="BV86" s="137"/>
      <c r="BW86" s="137"/>
      <c r="BX86" s="137"/>
      <c r="BY86" s="137"/>
      <c r="BZ86" s="137"/>
      <c r="CA86" s="137"/>
      <c r="CB86" s="137">
        <f>+CB15</f>
        <v>0</v>
      </c>
      <c r="CC86" s="137"/>
      <c r="CD86" s="137"/>
      <c r="CE86" s="137"/>
      <c r="CF86" s="137"/>
      <c r="CG86" s="137"/>
      <c r="CH86" s="137"/>
      <c r="CI86" s="137">
        <f>+CI15</f>
        <v>0</v>
      </c>
      <c r="CJ86" s="137"/>
      <c r="CK86" s="137"/>
      <c r="CL86" s="137"/>
      <c r="CM86" s="137"/>
      <c r="CN86" s="137"/>
      <c r="CQ86" s="269">
        <f>CI77+CI78</f>
        <v>-1174775.1799999992</v>
      </c>
    </row>
    <row r="87" spans="2:96" x14ac:dyDescent="0.2">
      <c r="B87" s="105" t="s">
        <v>430</v>
      </c>
      <c r="D87" s="137"/>
      <c r="E87" s="137"/>
      <c r="F87" s="137"/>
      <c r="G87" s="137"/>
      <c r="H87" s="137"/>
      <c r="I87" s="137"/>
      <c r="J87" s="137">
        <f>-(J58-C58)</f>
        <v>0</v>
      </c>
      <c r="K87" s="137"/>
      <c r="L87" s="137"/>
      <c r="M87" s="137"/>
      <c r="N87" s="137"/>
      <c r="O87" s="137"/>
      <c r="P87" s="137"/>
      <c r="Q87" s="137">
        <f>-(Q58-J58)</f>
        <v>0</v>
      </c>
      <c r="R87" s="137"/>
      <c r="S87" s="137"/>
      <c r="T87" s="137"/>
      <c r="U87" s="137"/>
      <c r="V87" s="137"/>
      <c r="W87" s="137"/>
      <c r="X87" s="137">
        <f>-(X58-Q58)</f>
        <v>0</v>
      </c>
      <c r="Y87" s="137"/>
      <c r="Z87" s="137"/>
      <c r="AA87" s="137"/>
      <c r="AB87" s="137"/>
      <c r="AC87" s="137"/>
      <c r="AD87" s="137"/>
      <c r="AE87" s="137">
        <f>-(AE58-X58)</f>
        <v>0</v>
      </c>
      <c r="AF87" s="137"/>
      <c r="AG87" s="137"/>
      <c r="AH87" s="137"/>
      <c r="AI87" s="137"/>
      <c r="AJ87" s="137"/>
      <c r="AK87" s="137"/>
      <c r="AL87" s="137">
        <f>-(AL58-AE58)</f>
        <v>0</v>
      </c>
      <c r="AM87" s="137"/>
      <c r="AN87" s="137"/>
      <c r="AO87" s="137"/>
      <c r="AP87" s="137"/>
      <c r="AQ87" s="137"/>
      <c r="AR87" s="137"/>
      <c r="AS87" s="137">
        <f>-(AS58-AL58)</f>
        <v>0</v>
      </c>
      <c r="AT87" s="137"/>
      <c r="AU87" s="137"/>
      <c r="AV87" s="137"/>
      <c r="AW87" s="137"/>
      <c r="AX87" s="137"/>
      <c r="AY87" s="137"/>
      <c r="AZ87" s="137">
        <f>-(AZ58-AS58)</f>
        <v>0</v>
      </c>
      <c r="BA87" s="137"/>
      <c r="BB87" s="137"/>
      <c r="BC87" s="137"/>
      <c r="BD87" s="137"/>
      <c r="BE87" s="137"/>
      <c r="BF87" s="137"/>
      <c r="BG87" s="137">
        <f>-(BG58-AZ58)</f>
        <v>0</v>
      </c>
      <c r="BH87" s="137"/>
      <c r="BI87" s="137"/>
      <c r="BJ87" s="137"/>
      <c r="BK87" s="137"/>
      <c r="BL87" s="137"/>
      <c r="BM87" s="137"/>
      <c r="BN87" s="137">
        <f>-(BN58-BG58)</f>
        <v>0</v>
      </c>
      <c r="BO87" s="137"/>
      <c r="BP87" s="137"/>
      <c r="BQ87" s="137"/>
      <c r="BR87" s="137"/>
      <c r="BS87" s="137"/>
      <c r="BT87" s="137"/>
      <c r="BU87" s="137">
        <f>-(BU58-BN58)</f>
        <v>0</v>
      </c>
      <c r="BV87" s="137"/>
      <c r="BW87" s="137"/>
      <c r="BX87" s="137"/>
      <c r="BY87" s="137"/>
      <c r="BZ87" s="137"/>
      <c r="CA87" s="137"/>
      <c r="CB87" s="137">
        <f>-(CB58-BU58)</f>
        <v>0</v>
      </c>
      <c r="CC87" s="137"/>
      <c r="CD87" s="137"/>
      <c r="CE87" s="137"/>
      <c r="CF87" s="137"/>
      <c r="CG87" s="137"/>
      <c r="CH87" s="137"/>
      <c r="CI87" s="137">
        <f>-(CI58-CB58)</f>
        <v>0</v>
      </c>
      <c r="CJ87" s="137"/>
      <c r="CK87" s="137"/>
      <c r="CL87" s="137"/>
      <c r="CM87" s="137"/>
      <c r="CN87" s="137"/>
    </row>
    <row r="88" spans="2:96" x14ac:dyDescent="0.2">
      <c r="B88" s="105" t="s">
        <v>431</v>
      </c>
      <c r="D88" s="137"/>
      <c r="E88" s="137"/>
      <c r="F88" s="137"/>
      <c r="G88" s="137"/>
      <c r="H88" s="137"/>
      <c r="I88" s="137"/>
      <c r="J88" s="137">
        <f>-(J59-C59)</f>
        <v>0</v>
      </c>
      <c r="K88" s="137"/>
      <c r="L88" s="137"/>
      <c r="M88" s="137"/>
      <c r="N88" s="137"/>
      <c r="O88" s="137"/>
      <c r="P88" s="137"/>
      <c r="Q88" s="137">
        <f>-(Q59-J59)</f>
        <v>0</v>
      </c>
      <c r="R88" s="137"/>
      <c r="S88" s="137"/>
      <c r="T88" s="137"/>
      <c r="U88" s="137"/>
      <c r="V88" s="137"/>
      <c r="W88" s="137"/>
      <c r="X88" s="137">
        <f>-(X59-Q59)</f>
        <v>0</v>
      </c>
      <c r="Y88" s="137"/>
      <c r="Z88" s="137"/>
      <c r="AA88" s="137"/>
      <c r="AB88" s="137"/>
      <c r="AC88" s="137"/>
      <c r="AD88" s="137"/>
      <c r="AE88" s="137">
        <f>-(AE59-X59)</f>
        <v>0</v>
      </c>
      <c r="AF88" s="137"/>
      <c r="AG88" s="137"/>
      <c r="AH88" s="137"/>
      <c r="AI88" s="137"/>
      <c r="AJ88" s="137"/>
      <c r="AK88" s="137"/>
      <c r="AL88" s="137">
        <f>-(AL59-AE59)</f>
        <v>0</v>
      </c>
      <c r="AM88" s="137"/>
      <c r="AN88" s="137"/>
      <c r="AO88" s="137"/>
      <c r="AP88" s="137"/>
      <c r="AQ88" s="137"/>
      <c r="AR88" s="137"/>
      <c r="AS88" s="137">
        <f>-(AS59-AL59)</f>
        <v>0</v>
      </c>
      <c r="AT88" s="137"/>
      <c r="AU88" s="137"/>
      <c r="AV88" s="137"/>
      <c r="AW88" s="137"/>
      <c r="AX88" s="137"/>
      <c r="AY88" s="137"/>
      <c r="AZ88" s="137">
        <f>-(AZ59-AS59)</f>
        <v>0</v>
      </c>
      <c r="BA88" s="137"/>
      <c r="BB88" s="137"/>
      <c r="BC88" s="137"/>
      <c r="BD88" s="137"/>
      <c r="BE88" s="137"/>
      <c r="BF88" s="137"/>
      <c r="BG88" s="137">
        <f>-(BG59-AZ59)</f>
        <v>0</v>
      </c>
      <c r="BH88" s="137"/>
      <c r="BI88" s="137"/>
      <c r="BJ88" s="137"/>
      <c r="BK88" s="137"/>
      <c r="BL88" s="137"/>
      <c r="BM88" s="137"/>
      <c r="BN88" s="137">
        <f>-(BN59-BG59)</f>
        <v>0</v>
      </c>
      <c r="BO88" s="137"/>
      <c r="BP88" s="137"/>
      <c r="BQ88" s="137"/>
      <c r="BR88" s="137"/>
      <c r="BS88" s="137"/>
      <c r="BT88" s="137"/>
      <c r="BU88" s="137">
        <f>-(BU59-BN59)</f>
        <v>0</v>
      </c>
      <c r="BV88" s="137"/>
      <c r="BW88" s="137"/>
      <c r="BX88" s="137"/>
      <c r="BY88" s="137"/>
      <c r="BZ88" s="137"/>
      <c r="CA88" s="137"/>
      <c r="CB88" s="137">
        <f>-(CB59-BU59)</f>
        <v>0</v>
      </c>
      <c r="CC88" s="137"/>
      <c r="CD88" s="137"/>
      <c r="CE88" s="137"/>
      <c r="CF88" s="137"/>
      <c r="CG88" s="137"/>
      <c r="CH88" s="137"/>
      <c r="CI88" s="137">
        <f>-(CI59-CB59)</f>
        <v>0</v>
      </c>
      <c r="CJ88" s="137"/>
      <c r="CK88" s="137"/>
      <c r="CL88" s="137"/>
      <c r="CM88" s="137"/>
      <c r="CN88" s="137"/>
    </row>
    <row r="89" spans="2:96" x14ac:dyDescent="0.2">
      <c r="B89" s="105" t="s">
        <v>432</v>
      </c>
      <c r="D89" s="137"/>
      <c r="E89" s="137"/>
      <c r="F89" s="137"/>
      <c r="G89" s="137"/>
      <c r="H89" s="137"/>
      <c r="I89" s="137"/>
      <c r="J89" s="137">
        <f>-(J60-C60)</f>
        <v>0</v>
      </c>
      <c r="K89" s="137"/>
      <c r="L89" s="137"/>
      <c r="M89" s="137"/>
      <c r="N89" s="137"/>
      <c r="O89" s="137"/>
      <c r="P89" s="137"/>
      <c r="Q89" s="137">
        <f>-(Q60-J60)</f>
        <v>0</v>
      </c>
      <c r="R89" s="137"/>
      <c r="S89" s="137"/>
      <c r="T89" s="137"/>
      <c r="U89" s="137"/>
      <c r="V89" s="137"/>
      <c r="W89" s="137"/>
      <c r="X89" s="137">
        <f>-(X60-Q60)</f>
        <v>0</v>
      </c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  <c r="AT89" s="137"/>
      <c r="AU89" s="137"/>
      <c r="AV89" s="137"/>
      <c r="AW89" s="137"/>
      <c r="AX89" s="137"/>
      <c r="AY89" s="137"/>
      <c r="AZ89" s="137">
        <f>-(AZ60-AS60)</f>
        <v>0</v>
      </c>
      <c r="BA89" s="137"/>
      <c r="BB89" s="137"/>
      <c r="BC89" s="137"/>
      <c r="BD89" s="137"/>
      <c r="BE89" s="137"/>
      <c r="BF89" s="137"/>
      <c r="BG89" s="137">
        <f>-(BG60-AZ60)</f>
        <v>0</v>
      </c>
      <c r="BH89" s="137"/>
      <c r="BI89" s="137"/>
      <c r="BJ89" s="137"/>
      <c r="BK89" s="137"/>
      <c r="BL89" s="137"/>
      <c r="BM89" s="137"/>
      <c r="BN89" s="137">
        <f>-(BN60-BG60)</f>
        <v>0</v>
      </c>
      <c r="BO89" s="137"/>
      <c r="BP89" s="137"/>
      <c r="BQ89" s="137"/>
      <c r="BR89" s="137"/>
      <c r="BS89" s="137"/>
      <c r="BT89" s="137"/>
      <c r="BU89" s="137">
        <f>-(BU60-BN60)</f>
        <v>0</v>
      </c>
      <c r="BV89" s="137"/>
      <c r="BW89" s="137"/>
      <c r="BX89" s="137"/>
      <c r="BY89" s="137"/>
      <c r="BZ89" s="137"/>
      <c r="CA89" s="137"/>
      <c r="CB89" s="137">
        <f>-(CB60-BU60)</f>
        <v>0</v>
      </c>
      <c r="CC89" s="137"/>
      <c r="CD89" s="137"/>
      <c r="CE89" s="137"/>
      <c r="CF89" s="137"/>
      <c r="CG89" s="137"/>
      <c r="CH89" s="137"/>
      <c r="CI89" s="137">
        <f>-(CI60-CB60)</f>
        <v>0</v>
      </c>
      <c r="CJ89" s="137"/>
      <c r="CK89" s="137"/>
      <c r="CL89" s="137"/>
      <c r="CM89" s="137"/>
      <c r="CN89" s="137"/>
    </row>
    <row r="90" spans="2:96" x14ac:dyDescent="0.2">
      <c r="B90" s="105" t="s">
        <v>433</v>
      </c>
      <c r="D90" s="137"/>
      <c r="E90" s="137"/>
      <c r="F90" s="137"/>
      <c r="G90" s="137"/>
      <c r="H90" s="137"/>
      <c r="I90" s="137"/>
      <c r="J90" s="137">
        <f>(J66-C66)</f>
        <v>0</v>
      </c>
      <c r="K90" s="137"/>
      <c r="L90" s="137"/>
      <c r="M90" s="137"/>
      <c r="N90" s="137"/>
      <c r="O90" s="137"/>
      <c r="P90" s="137"/>
      <c r="Q90" s="137">
        <f>(Q66-J66)</f>
        <v>0</v>
      </c>
      <c r="R90" s="137"/>
      <c r="S90" s="137"/>
      <c r="T90" s="137"/>
      <c r="U90" s="137"/>
      <c r="V90" s="137"/>
      <c r="W90" s="137"/>
      <c r="X90" s="137">
        <f>(X66-Q66)</f>
        <v>0</v>
      </c>
      <c r="Y90" s="137"/>
      <c r="Z90" s="137"/>
      <c r="AA90" s="137"/>
      <c r="AB90" s="137"/>
      <c r="AC90" s="137"/>
      <c r="AD90" s="137"/>
      <c r="AE90" s="137">
        <f>(AE66-X66)</f>
        <v>0</v>
      </c>
      <c r="AF90" s="137"/>
      <c r="AG90" s="137"/>
      <c r="AH90" s="137"/>
      <c r="AI90" s="137"/>
      <c r="AJ90" s="137"/>
      <c r="AK90" s="137"/>
      <c r="AL90" s="137">
        <f>(AL66-AE66)</f>
        <v>0</v>
      </c>
      <c r="AM90" s="137"/>
      <c r="AN90" s="137"/>
      <c r="AO90" s="137"/>
      <c r="AP90" s="137"/>
      <c r="AQ90" s="137"/>
      <c r="AR90" s="137"/>
      <c r="AS90" s="137">
        <f>(AS66-AL66)</f>
        <v>0</v>
      </c>
      <c r="AT90" s="137"/>
      <c r="AU90" s="137"/>
      <c r="AV90" s="137"/>
      <c r="AW90" s="137"/>
      <c r="AX90" s="137"/>
      <c r="AY90" s="137"/>
      <c r="AZ90" s="137">
        <f>(AZ66-AS66)</f>
        <v>0</v>
      </c>
      <c r="BA90" s="137"/>
      <c r="BB90" s="137"/>
      <c r="BC90" s="137"/>
      <c r="BD90" s="137"/>
      <c r="BE90" s="137"/>
      <c r="BF90" s="137"/>
      <c r="BG90" s="137">
        <f>(BG66-AZ66)</f>
        <v>0</v>
      </c>
      <c r="BH90" s="137"/>
      <c r="BI90" s="137"/>
      <c r="BJ90" s="137"/>
      <c r="BK90" s="137"/>
      <c r="BL90" s="137"/>
      <c r="BM90" s="137"/>
      <c r="BN90" s="137">
        <f>(BN66-BG66)</f>
        <v>0</v>
      </c>
      <c r="BO90" s="137"/>
      <c r="BP90" s="137"/>
      <c r="BQ90" s="137"/>
      <c r="BR90" s="137"/>
      <c r="BS90" s="137"/>
      <c r="BT90" s="137"/>
      <c r="BU90" s="137">
        <f>(BU66-BN66)</f>
        <v>0</v>
      </c>
      <c r="BV90" s="137"/>
      <c r="BW90" s="137"/>
      <c r="BX90" s="137"/>
      <c r="BY90" s="137"/>
      <c r="BZ90" s="137"/>
      <c r="CA90" s="137"/>
      <c r="CB90" s="137">
        <f>(CB66-BU66)</f>
        <v>0</v>
      </c>
      <c r="CC90" s="137"/>
      <c r="CD90" s="137"/>
      <c r="CE90" s="137"/>
      <c r="CF90" s="137"/>
      <c r="CG90" s="137"/>
      <c r="CH90" s="137"/>
      <c r="CI90" s="137">
        <f>(CI66-CB66)</f>
        <v>0</v>
      </c>
      <c r="CJ90" s="137"/>
      <c r="CK90" s="137"/>
      <c r="CL90" s="137"/>
      <c r="CM90" s="137"/>
      <c r="CN90" s="137"/>
    </row>
    <row r="91" spans="2:96" x14ac:dyDescent="0.2">
      <c r="B91" s="105" t="s">
        <v>434</v>
      </c>
      <c r="D91" s="137"/>
      <c r="E91" s="137"/>
      <c r="F91" s="137"/>
      <c r="G91" s="137"/>
      <c r="H91" s="137"/>
      <c r="I91" s="137"/>
      <c r="J91" s="137">
        <f>(J65-C65)</f>
        <v>0</v>
      </c>
      <c r="K91" s="137"/>
      <c r="L91" s="137"/>
      <c r="M91" s="137"/>
      <c r="N91" s="137"/>
      <c r="O91" s="137"/>
      <c r="P91" s="137"/>
      <c r="Q91" s="137">
        <f>(Q65-J65)</f>
        <v>0</v>
      </c>
      <c r="R91" s="137"/>
      <c r="S91" s="137"/>
      <c r="T91" s="137"/>
      <c r="U91" s="137"/>
      <c r="V91" s="137"/>
      <c r="W91" s="137"/>
      <c r="X91" s="137">
        <f>(X65-Q65)</f>
        <v>0</v>
      </c>
      <c r="Y91" s="137"/>
      <c r="Z91" s="137"/>
      <c r="AA91" s="137"/>
      <c r="AB91" s="137"/>
      <c r="AC91" s="137"/>
      <c r="AD91" s="137"/>
      <c r="AE91" s="137">
        <f>(AE65-X65)</f>
        <v>0</v>
      </c>
      <c r="AF91" s="137"/>
      <c r="AG91" s="137"/>
      <c r="AH91" s="137"/>
      <c r="AI91" s="137"/>
      <c r="AJ91" s="137"/>
      <c r="AK91" s="137"/>
      <c r="AL91" s="137">
        <f>(AL65-AE65)</f>
        <v>0</v>
      </c>
      <c r="AM91" s="137"/>
      <c r="AN91" s="137"/>
      <c r="AO91" s="137"/>
      <c r="AP91" s="137"/>
      <c r="AQ91" s="137"/>
      <c r="AR91" s="137"/>
      <c r="AS91" s="137">
        <f>(AS65-AL65)</f>
        <v>0</v>
      </c>
      <c r="AT91" s="137"/>
      <c r="AU91" s="137"/>
      <c r="AV91" s="137"/>
      <c r="AW91" s="137"/>
      <c r="AX91" s="137"/>
      <c r="AY91" s="137"/>
      <c r="AZ91" s="137">
        <f>(AZ65-AS65)</f>
        <v>0</v>
      </c>
      <c r="BA91" s="137"/>
      <c r="BB91" s="137"/>
      <c r="BC91" s="137"/>
      <c r="BD91" s="137"/>
      <c r="BE91" s="137"/>
      <c r="BF91" s="137"/>
      <c r="BG91" s="137">
        <f>(BG65-AZ65)</f>
        <v>0</v>
      </c>
      <c r="BH91" s="137"/>
      <c r="BI91" s="137"/>
      <c r="BJ91" s="137"/>
      <c r="BK91" s="137"/>
      <c r="BL91" s="137"/>
      <c r="BM91" s="137"/>
      <c r="BN91" s="137">
        <f>(BN65-BG65)</f>
        <v>0</v>
      </c>
      <c r="BO91" s="137"/>
      <c r="BP91" s="137"/>
      <c r="BQ91" s="137"/>
      <c r="BR91" s="137"/>
      <c r="BS91" s="137"/>
      <c r="BT91" s="137"/>
      <c r="BU91" s="137">
        <f>(BU65-BN65)</f>
        <v>0</v>
      </c>
      <c r="BV91" s="137"/>
      <c r="BW91" s="137"/>
      <c r="BX91" s="137"/>
      <c r="BY91" s="137"/>
      <c r="BZ91" s="137"/>
      <c r="CA91" s="137"/>
      <c r="CB91" s="137">
        <f>(CB65-BU65)</f>
        <v>0</v>
      </c>
      <c r="CC91" s="137"/>
      <c r="CD91" s="137"/>
      <c r="CE91" s="137"/>
      <c r="CF91" s="137"/>
      <c r="CG91" s="137"/>
      <c r="CH91" s="137"/>
      <c r="CI91" s="137">
        <f>(CI65-CB65)</f>
        <v>0</v>
      </c>
      <c r="CJ91" s="137"/>
      <c r="CK91" s="137"/>
      <c r="CL91" s="137"/>
      <c r="CM91" s="137"/>
      <c r="CN91" s="137"/>
    </row>
    <row r="92" spans="2:96" x14ac:dyDescent="0.2">
      <c r="B92" s="105" t="s">
        <v>435</v>
      </c>
      <c r="D92" s="137"/>
      <c r="E92" s="137"/>
      <c r="F92" s="137"/>
      <c r="G92" s="137"/>
      <c r="H92" s="137"/>
      <c r="I92" s="137"/>
      <c r="J92" s="137">
        <f>(J67-C67)</f>
        <v>0</v>
      </c>
      <c r="K92" s="137"/>
      <c r="L92" s="137"/>
      <c r="M92" s="137"/>
      <c r="N92" s="137"/>
      <c r="O92" s="137"/>
      <c r="P92" s="137"/>
      <c r="Q92" s="137">
        <f>(Q67-J67)</f>
        <v>0</v>
      </c>
      <c r="R92" s="137"/>
      <c r="S92" s="137"/>
      <c r="T92" s="137"/>
      <c r="U92" s="137"/>
      <c r="V92" s="137"/>
      <c r="W92" s="137"/>
      <c r="X92" s="137">
        <f>(X67-Q67)</f>
        <v>0</v>
      </c>
      <c r="Y92" s="137"/>
      <c r="Z92" s="137"/>
      <c r="AA92" s="137"/>
      <c r="AB92" s="137"/>
      <c r="AC92" s="137"/>
      <c r="AD92" s="137"/>
      <c r="AE92" s="137">
        <f>(AE67-X67)</f>
        <v>0</v>
      </c>
      <c r="AF92" s="137"/>
      <c r="AG92" s="137"/>
      <c r="AH92" s="137"/>
      <c r="AI92" s="137"/>
      <c r="AJ92" s="137"/>
      <c r="AK92" s="137"/>
      <c r="AL92" s="137">
        <f>(AL67-AE67)</f>
        <v>0</v>
      </c>
      <c r="AM92" s="137"/>
      <c r="AN92" s="137"/>
      <c r="AO92" s="137"/>
      <c r="AP92" s="137"/>
      <c r="AQ92" s="137"/>
      <c r="AR92" s="137"/>
      <c r="AS92" s="137">
        <f>(AS67-AL67)</f>
        <v>0</v>
      </c>
      <c r="AT92" s="137"/>
      <c r="AU92" s="137"/>
      <c r="AV92" s="137"/>
      <c r="AW92" s="137"/>
      <c r="AX92" s="137"/>
      <c r="AY92" s="137"/>
      <c r="AZ92" s="137">
        <f>(AZ67-AS67)</f>
        <v>0</v>
      </c>
      <c r="BA92" s="137"/>
      <c r="BB92" s="137"/>
      <c r="BC92" s="137"/>
      <c r="BD92" s="137"/>
      <c r="BE92" s="137"/>
      <c r="BF92" s="137"/>
      <c r="BG92" s="137">
        <f>(BG67-AZ67)</f>
        <v>0</v>
      </c>
      <c r="BH92" s="137"/>
      <c r="BI92" s="137"/>
      <c r="BJ92" s="137"/>
      <c r="BK92" s="137"/>
      <c r="BL92" s="137"/>
      <c r="BM92" s="137"/>
      <c r="BN92" s="137">
        <f>(BN67-BG67)</f>
        <v>0</v>
      </c>
      <c r="BO92" s="137"/>
      <c r="BP92" s="137"/>
      <c r="BQ92" s="137"/>
      <c r="BR92" s="137"/>
      <c r="BS92" s="137"/>
      <c r="BT92" s="137"/>
      <c r="BU92" s="137">
        <f>(BU67-BN67)</f>
        <v>0</v>
      </c>
      <c r="BV92" s="137"/>
      <c r="BW92" s="137"/>
      <c r="BX92" s="137"/>
      <c r="BY92" s="137"/>
      <c r="BZ92" s="137"/>
      <c r="CA92" s="137"/>
      <c r="CB92" s="137">
        <f>(CB67-BU67)</f>
        <v>0</v>
      </c>
      <c r="CC92" s="137"/>
      <c r="CD92" s="137"/>
      <c r="CE92" s="137"/>
      <c r="CF92" s="137"/>
      <c r="CG92" s="137"/>
      <c r="CH92" s="137"/>
      <c r="CI92" s="137">
        <f>(CI67-CB67)</f>
        <v>0</v>
      </c>
      <c r="CJ92" s="137"/>
      <c r="CK92" s="137"/>
      <c r="CL92" s="137"/>
      <c r="CM92" s="137"/>
      <c r="CN92" s="137"/>
    </row>
    <row r="93" spans="2:96" x14ac:dyDescent="0.2">
      <c r="B93" s="105" t="s">
        <v>436</v>
      </c>
      <c r="D93" s="137"/>
      <c r="E93" s="137"/>
      <c r="F93" s="137"/>
      <c r="G93" s="137"/>
      <c r="H93" s="137"/>
      <c r="I93" s="137"/>
      <c r="J93" s="137">
        <f>(J69-C69)</f>
        <v>0</v>
      </c>
      <c r="K93" s="137"/>
      <c r="L93" s="137"/>
      <c r="M93" s="137"/>
      <c r="N93" s="137"/>
      <c r="O93" s="137"/>
      <c r="P93" s="137"/>
      <c r="Q93" s="137">
        <f>(Q69-J69)</f>
        <v>0</v>
      </c>
      <c r="R93" s="137"/>
      <c r="S93" s="137"/>
      <c r="T93" s="137"/>
      <c r="U93" s="137"/>
      <c r="V93" s="137"/>
      <c r="W93" s="137"/>
      <c r="X93" s="137">
        <f>(X69-Q69)</f>
        <v>0</v>
      </c>
      <c r="Y93" s="137"/>
      <c r="Z93" s="137"/>
      <c r="AA93" s="137"/>
      <c r="AB93" s="137"/>
      <c r="AC93" s="137"/>
      <c r="AD93" s="137"/>
      <c r="AE93" s="137">
        <f>(AE69-X69)</f>
        <v>0</v>
      </c>
      <c r="AF93" s="137"/>
      <c r="AG93" s="137"/>
      <c r="AH93" s="137"/>
      <c r="AI93" s="137"/>
      <c r="AJ93" s="137"/>
      <c r="AK93" s="137"/>
      <c r="AL93" s="137">
        <f>(AL69-AE69)</f>
        <v>0</v>
      </c>
      <c r="AM93" s="137"/>
      <c r="AN93" s="137"/>
      <c r="AO93" s="137"/>
      <c r="AP93" s="137"/>
      <c r="AQ93" s="137"/>
      <c r="AR93" s="137"/>
      <c r="AS93" s="137">
        <f>(AS69-AL69)</f>
        <v>0</v>
      </c>
      <c r="AT93" s="137"/>
      <c r="AU93" s="137"/>
      <c r="AV93" s="137"/>
      <c r="AW93" s="137"/>
      <c r="AX93" s="137"/>
      <c r="AY93" s="137"/>
      <c r="AZ93" s="137">
        <f>(AZ69-AS69)</f>
        <v>0</v>
      </c>
      <c r="BA93" s="137"/>
      <c r="BB93" s="137"/>
      <c r="BC93" s="137"/>
      <c r="BD93" s="137"/>
      <c r="BE93" s="137"/>
      <c r="BF93" s="137"/>
      <c r="BG93" s="137">
        <f>(BG69-AZ69)</f>
        <v>0</v>
      </c>
      <c r="BH93" s="137"/>
      <c r="BI93" s="137"/>
      <c r="BJ93" s="137"/>
      <c r="BK93" s="137"/>
      <c r="BL93" s="137"/>
      <c r="BM93" s="137"/>
      <c r="BN93" s="137">
        <f>(BN69-BG69)</f>
        <v>0</v>
      </c>
      <c r="BO93" s="137"/>
      <c r="BP93" s="137"/>
      <c r="BQ93" s="137"/>
      <c r="BR93" s="137"/>
      <c r="BS93" s="137"/>
      <c r="BT93" s="137"/>
      <c r="BU93" s="137">
        <f>(BU69-BN69)</f>
        <v>0</v>
      </c>
      <c r="BV93" s="137"/>
      <c r="BW93" s="137"/>
      <c r="BX93" s="137"/>
      <c r="BY93" s="137"/>
      <c r="BZ93" s="137"/>
      <c r="CA93" s="137"/>
      <c r="CB93" s="137">
        <f>(CB69-BU69)</f>
        <v>0</v>
      </c>
      <c r="CC93" s="137"/>
      <c r="CD93" s="137"/>
      <c r="CE93" s="137"/>
      <c r="CF93" s="137"/>
      <c r="CG93" s="137"/>
      <c r="CH93" s="137"/>
      <c r="CI93" s="137">
        <f>(CI69-CB69)</f>
        <v>0</v>
      </c>
      <c r="CJ93" s="137"/>
      <c r="CK93" s="137"/>
      <c r="CL93" s="137"/>
      <c r="CM93" s="137"/>
      <c r="CN93" s="137"/>
    </row>
    <row r="94" spans="2:96" ht="16" x14ac:dyDescent="0.2">
      <c r="B94" s="141" t="s">
        <v>354</v>
      </c>
      <c r="C94" s="207"/>
      <c r="D94" s="162"/>
      <c r="E94" s="162"/>
      <c r="F94" s="162"/>
      <c r="G94" s="162"/>
      <c r="H94" s="162"/>
      <c r="I94" s="162"/>
      <c r="J94" s="162">
        <f>SUM(J85:J93)</f>
        <v>-8296761.4199999999</v>
      </c>
      <c r="K94" s="162"/>
      <c r="L94" s="162"/>
      <c r="M94" s="162"/>
      <c r="N94" s="162"/>
      <c r="O94" s="162"/>
      <c r="P94" s="162"/>
      <c r="Q94" s="162">
        <f>SUM(Q85:Q93)</f>
        <v>171013.72999999992</v>
      </c>
      <c r="R94" s="162"/>
      <c r="S94" s="162"/>
      <c r="T94" s="162"/>
      <c r="U94" s="162"/>
      <c r="V94" s="162"/>
      <c r="W94" s="162"/>
      <c r="X94" s="162">
        <f>SUM(X85:X93)</f>
        <v>-917919.74</v>
      </c>
      <c r="Y94" s="162"/>
      <c r="Z94" s="162"/>
      <c r="AA94" s="162"/>
      <c r="AB94" s="162"/>
      <c r="AC94" s="162"/>
      <c r="AD94" s="162"/>
      <c r="AE94" s="162">
        <f>SUM(AE85:AE93)</f>
        <v>754353.49000000022</v>
      </c>
      <c r="AF94" s="162"/>
      <c r="AG94" s="162"/>
      <c r="AH94" s="162"/>
      <c r="AI94" s="162"/>
      <c r="AJ94" s="162"/>
      <c r="AK94" s="162"/>
      <c r="AL94" s="162">
        <f>SUM(AL85:AL93)</f>
        <v>4424339.88</v>
      </c>
      <c r="AM94" s="162"/>
      <c r="AN94" s="162"/>
      <c r="AO94" s="162"/>
      <c r="AP94" s="162"/>
      <c r="AQ94" s="162"/>
      <c r="AR94" s="162"/>
      <c r="AS94" s="162">
        <f>SUM(AS85:AS93)</f>
        <v>2146539.4500000002</v>
      </c>
      <c r="AT94" s="162"/>
      <c r="AU94" s="162"/>
      <c r="AV94" s="162"/>
      <c r="AW94" s="162"/>
      <c r="AX94" s="162"/>
      <c r="AY94" s="162"/>
      <c r="AZ94" s="162">
        <f>SUM(AZ85:AZ93)</f>
        <v>561631.71</v>
      </c>
      <c r="BA94" s="162"/>
      <c r="BB94" s="162"/>
      <c r="BC94" s="162"/>
      <c r="BD94" s="162"/>
      <c r="BE94" s="162"/>
      <c r="BF94" s="162"/>
      <c r="BG94" s="162">
        <f>SUM(BG85:BG93)</f>
        <v>2668281.5999999992</v>
      </c>
      <c r="BH94" s="162"/>
      <c r="BI94" s="162"/>
      <c r="BJ94" s="162"/>
      <c r="BK94" s="162"/>
      <c r="BL94" s="162"/>
      <c r="BM94" s="162"/>
      <c r="BN94" s="162">
        <f>SUM(BN85:BN93)</f>
        <v>9321918</v>
      </c>
      <c r="BO94" s="162"/>
      <c r="BP94" s="162"/>
      <c r="BQ94" s="162"/>
      <c r="BR94" s="162"/>
      <c r="BS94" s="162"/>
      <c r="BT94" s="162"/>
      <c r="BU94" s="162">
        <f>SUM(BU85:BU93)</f>
        <v>-9491694.5299999975</v>
      </c>
      <c r="BV94" s="162"/>
      <c r="BW94" s="162"/>
      <c r="BX94" s="162"/>
      <c r="BY94" s="162"/>
      <c r="BZ94" s="162"/>
      <c r="CA94" s="162"/>
      <c r="CB94" s="162">
        <f>SUM(CB85:CB93)</f>
        <v>-16920058.68</v>
      </c>
      <c r="CC94" s="162"/>
      <c r="CD94" s="162"/>
      <c r="CE94" s="162"/>
      <c r="CF94" s="162"/>
      <c r="CG94" s="162"/>
      <c r="CH94" s="162"/>
      <c r="CI94" s="162">
        <f>SUM(CI85:CI93)</f>
        <v>3386925.5900000003</v>
      </c>
      <c r="CJ94" s="163"/>
      <c r="CK94" s="163"/>
      <c r="CL94" s="163"/>
      <c r="CM94" s="163"/>
      <c r="CN94" s="163"/>
    </row>
    <row r="95" spans="2:96" x14ac:dyDescent="0.2">
      <c r="B95" s="105" t="s">
        <v>437</v>
      </c>
      <c r="D95" s="137"/>
      <c r="E95" s="137"/>
      <c r="F95" s="137"/>
      <c r="G95" s="137"/>
      <c r="H95" s="137"/>
      <c r="I95" s="137"/>
      <c r="J95" s="137">
        <f>-(J62-'EEFF 2022'!CI62+J15)</f>
        <v>0</v>
      </c>
      <c r="K95" s="137"/>
      <c r="L95" s="137"/>
      <c r="M95" s="137"/>
      <c r="N95" s="137"/>
      <c r="O95" s="137"/>
      <c r="P95" s="137"/>
      <c r="Q95" s="137">
        <f>-(Q62-J62+Q15)</f>
        <v>0</v>
      </c>
      <c r="R95" s="137"/>
      <c r="S95" s="137"/>
      <c r="T95" s="137"/>
      <c r="U95" s="137"/>
      <c r="V95" s="137"/>
      <c r="W95" s="137"/>
      <c r="X95" s="137">
        <f>-(X62-Q62+X15)</f>
        <v>0</v>
      </c>
      <c r="Y95" s="137"/>
      <c r="Z95" s="137"/>
      <c r="AA95" s="137"/>
      <c r="AB95" s="137"/>
      <c r="AC95" s="137"/>
      <c r="AD95" s="137"/>
      <c r="AE95" s="137">
        <f>-(AE62-X62+AE15)</f>
        <v>0</v>
      </c>
      <c r="AF95" s="137"/>
      <c r="AG95" s="137"/>
      <c r="AH95" s="137"/>
      <c r="AI95" s="137"/>
      <c r="AJ95" s="137"/>
      <c r="AK95" s="137"/>
      <c r="AL95" s="137">
        <f>-(AL62-AE62+AL15)</f>
        <v>0</v>
      </c>
      <c r="AM95" s="137"/>
      <c r="AN95" s="137"/>
      <c r="AO95" s="137"/>
      <c r="AP95" s="137"/>
      <c r="AQ95" s="137"/>
      <c r="AR95" s="137"/>
      <c r="AS95" s="137">
        <f>-(AS62-AL62+AS15)</f>
        <v>0</v>
      </c>
      <c r="AT95" s="137"/>
      <c r="AU95" s="137"/>
      <c r="AV95" s="137"/>
      <c r="AW95" s="137"/>
      <c r="AX95" s="137"/>
      <c r="AY95" s="137"/>
      <c r="AZ95" s="137">
        <f>-(AZ62-AS62+AZ15)</f>
        <v>0</v>
      </c>
      <c r="BA95" s="137"/>
      <c r="BB95" s="137"/>
      <c r="BC95" s="137"/>
      <c r="BD95" s="137"/>
      <c r="BE95" s="137"/>
      <c r="BF95" s="137"/>
      <c r="BG95" s="137">
        <f>-(BG62-AZ62+BG15)</f>
        <v>0</v>
      </c>
      <c r="BH95" s="137"/>
      <c r="BI95" s="137"/>
      <c r="BJ95" s="137"/>
      <c r="BK95" s="137"/>
      <c r="BL95" s="137"/>
      <c r="BM95" s="137"/>
      <c r="BN95" s="137">
        <f>-(BN62-BG62+BN15)</f>
        <v>0</v>
      </c>
      <c r="BO95" s="137"/>
      <c r="BP95" s="137"/>
      <c r="BQ95" s="137"/>
      <c r="BR95" s="137"/>
      <c r="BS95" s="137"/>
      <c r="BT95" s="137"/>
      <c r="BU95" s="137">
        <f>-(BU62-BN62+BU15)</f>
        <v>0</v>
      </c>
      <c r="BV95" s="137"/>
      <c r="BW95" s="137"/>
      <c r="BX95" s="137"/>
      <c r="BY95" s="137"/>
      <c r="BZ95" s="137"/>
      <c r="CA95" s="137"/>
      <c r="CB95" s="137">
        <f>-(CB62-BU62+CB15)</f>
        <v>0</v>
      </c>
      <c r="CC95" s="137"/>
      <c r="CD95" s="137"/>
      <c r="CE95" s="137"/>
      <c r="CF95" s="137"/>
      <c r="CG95" s="137"/>
      <c r="CH95" s="137"/>
      <c r="CI95" s="137">
        <f>-(CI62-CB62+CI15)</f>
        <v>0</v>
      </c>
      <c r="CJ95" s="137"/>
      <c r="CK95" s="137"/>
      <c r="CL95" s="137"/>
      <c r="CM95" s="137"/>
      <c r="CN95" s="137"/>
    </row>
    <row r="96" spans="2:96" ht="16" x14ac:dyDescent="0.2">
      <c r="B96" s="141" t="s">
        <v>355</v>
      </c>
      <c r="C96" s="207"/>
      <c r="D96" s="162"/>
      <c r="E96" s="162"/>
      <c r="F96" s="162"/>
      <c r="G96" s="162"/>
      <c r="H96" s="162"/>
      <c r="I96" s="162"/>
      <c r="J96" s="162">
        <f>SUM(J95)</f>
        <v>0</v>
      </c>
      <c r="K96" s="162"/>
      <c r="L96" s="162"/>
      <c r="M96" s="162"/>
      <c r="N96" s="162"/>
      <c r="O96" s="162"/>
      <c r="P96" s="162"/>
      <c r="Q96" s="162">
        <f>SUM(Q95)</f>
        <v>0</v>
      </c>
      <c r="R96" s="162"/>
      <c r="S96" s="162"/>
      <c r="T96" s="162"/>
      <c r="U96" s="162"/>
      <c r="V96" s="162"/>
      <c r="W96" s="162"/>
      <c r="X96" s="162">
        <f>SUM(X95)</f>
        <v>0</v>
      </c>
      <c r="Y96" s="162"/>
      <c r="Z96" s="162"/>
      <c r="AA96" s="162"/>
      <c r="AB96" s="162"/>
      <c r="AC96" s="162"/>
      <c r="AD96" s="162"/>
      <c r="AE96" s="162">
        <f>SUM(AE95)</f>
        <v>0</v>
      </c>
      <c r="AF96" s="162"/>
      <c r="AG96" s="162"/>
      <c r="AH96" s="162"/>
      <c r="AI96" s="162"/>
      <c r="AJ96" s="162"/>
      <c r="AK96" s="162"/>
      <c r="AL96" s="162">
        <f>SUM(AL95)</f>
        <v>0</v>
      </c>
      <c r="AM96" s="162"/>
      <c r="AN96" s="162"/>
      <c r="AO96" s="162"/>
      <c r="AP96" s="162"/>
      <c r="AQ96" s="162"/>
      <c r="AR96" s="162"/>
      <c r="AS96" s="162">
        <f>SUM(AS95)</f>
        <v>0</v>
      </c>
      <c r="AT96" s="162"/>
      <c r="AU96" s="162"/>
      <c r="AV96" s="162"/>
      <c r="AW96" s="162"/>
      <c r="AX96" s="162"/>
      <c r="AY96" s="162"/>
      <c r="AZ96" s="162">
        <f>SUM(AZ95)</f>
        <v>0</v>
      </c>
      <c r="BA96" s="162"/>
      <c r="BB96" s="162"/>
      <c r="BC96" s="162"/>
      <c r="BD96" s="162"/>
      <c r="BE96" s="162"/>
      <c r="BF96" s="162"/>
      <c r="BG96" s="162">
        <f>SUM(BG95)</f>
        <v>0</v>
      </c>
      <c r="BH96" s="162"/>
      <c r="BI96" s="162"/>
      <c r="BJ96" s="162"/>
      <c r="BK96" s="162"/>
      <c r="BL96" s="162"/>
      <c r="BM96" s="162"/>
      <c r="BN96" s="162">
        <f>SUM(BN95)</f>
        <v>0</v>
      </c>
      <c r="BO96" s="162"/>
      <c r="BP96" s="162"/>
      <c r="BQ96" s="162"/>
      <c r="BR96" s="162"/>
      <c r="BS96" s="162"/>
      <c r="BT96" s="162"/>
      <c r="BU96" s="162">
        <f>SUM(BU95)</f>
        <v>0</v>
      </c>
      <c r="BV96" s="162"/>
      <c r="BW96" s="162"/>
      <c r="BX96" s="162"/>
      <c r="BY96" s="162"/>
      <c r="BZ96" s="162"/>
      <c r="CA96" s="162"/>
      <c r="CB96" s="162">
        <f>SUM(CB95)</f>
        <v>0</v>
      </c>
      <c r="CC96" s="162"/>
      <c r="CD96" s="162"/>
      <c r="CE96" s="162"/>
      <c r="CF96" s="162"/>
      <c r="CG96" s="162"/>
      <c r="CH96" s="162"/>
      <c r="CI96" s="162">
        <f>SUM(CI95)</f>
        <v>0</v>
      </c>
      <c r="CJ96" s="163"/>
      <c r="CK96" s="163"/>
      <c r="CL96" s="163"/>
      <c r="CM96" s="163"/>
      <c r="CN96" s="163"/>
    </row>
    <row r="97" spans="2:94" x14ac:dyDescent="0.2">
      <c r="B97" s="105" t="s">
        <v>438</v>
      </c>
      <c r="D97" s="137"/>
      <c r="E97" s="137"/>
      <c r="F97" s="137"/>
      <c r="G97" s="137"/>
      <c r="H97" s="137"/>
      <c r="I97" s="137"/>
      <c r="J97" s="137">
        <f>((J68+J71)-('EEFF 2022'!CI68+'EEFF 2022'!CI71))</f>
        <v>10582797.069999998</v>
      </c>
      <c r="K97" s="137"/>
      <c r="L97" s="137"/>
      <c r="M97" s="137"/>
      <c r="N97" s="137"/>
      <c r="O97" s="137"/>
      <c r="P97" s="137"/>
      <c r="Q97" s="137">
        <f>((Q68+Q71)-(J68+J71))</f>
        <v>0</v>
      </c>
      <c r="R97" s="137"/>
      <c r="S97" s="137"/>
      <c r="T97" s="137"/>
      <c r="U97" s="137"/>
      <c r="V97" s="137"/>
      <c r="W97" s="137"/>
      <c r="X97" s="137">
        <f>((X68+X71)-(Q68+Q71))</f>
        <v>0</v>
      </c>
      <c r="Y97" s="137"/>
      <c r="Z97" s="137"/>
      <c r="AA97" s="137"/>
      <c r="AB97" s="137"/>
      <c r="AC97" s="137"/>
      <c r="AD97" s="137"/>
      <c r="AE97" s="137">
        <f>((AE68+AE71)-(X68+X71))</f>
        <v>0</v>
      </c>
      <c r="AF97" s="137"/>
      <c r="AG97" s="137"/>
      <c r="AH97" s="137"/>
      <c r="AI97" s="137"/>
      <c r="AJ97" s="137"/>
      <c r="AK97" s="137"/>
      <c r="AL97" s="137">
        <f>((AL68+AL71)-(AE68+AE71))</f>
        <v>0</v>
      </c>
      <c r="AM97" s="137"/>
      <c r="AN97" s="137"/>
      <c r="AO97" s="137"/>
      <c r="AP97" s="137"/>
      <c r="AQ97" s="137"/>
      <c r="AR97" s="137"/>
      <c r="AS97" s="137">
        <f>((AS68+AS71)-(AL68+AL71))</f>
        <v>0</v>
      </c>
      <c r="AT97" s="137"/>
      <c r="AU97" s="137"/>
      <c r="AV97" s="137"/>
      <c r="AW97" s="137"/>
      <c r="AX97" s="137"/>
      <c r="AY97" s="137"/>
      <c r="AZ97" s="137">
        <f>((AZ68+AZ71)-(AS68+AS71))</f>
        <v>0</v>
      </c>
      <c r="BA97" s="137"/>
      <c r="BB97" s="137"/>
      <c r="BC97" s="137"/>
      <c r="BD97" s="137"/>
      <c r="BE97" s="137"/>
      <c r="BF97" s="137"/>
      <c r="BG97" s="137">
        <f>((BG68+BG71)-(AZ68+AZ71))</f>
        <v>0</v>
      </c>
      <c r="BH97" s="137"/>
      <c r="BI97" s="137"/>
      <c r="BJ97" s="137"/>
      <c r="BK97" s="137"/>
      <c r="BL97" s="137"/>
      <c r="BM97" s="137"/>
      <c r="BN97" s="137">
        <f>((BN68+BN71)-(BG68+BG71))</f>
        <v>15648666.009999998</v>
      </c>
      <c r="BO97" s="137"/>
      <c r="BP97" s="137"/>
      <c r="BQ97" s="137"/>
      <c r="BR97" s="137"/>
      <c r="BS97" s="137"/>
      <c r="BT97" s="137"/>
      <c r="BU97" s="137">
        <f>((BU68+BU71)-(BN68+BN71))</f>
        <v>0</v>
      </c>
      <c r="BV97" s="137"/>
      <c r="BW97" s="137"/>
      <c r="BX97" s="137"/>
      <c r="BY97" s="137"/>
      <c r="BZ97" s="137"/>
      <c r="CA97" s="137"/>
      <c r="CB97" s="137">
        <f>((CB68+CB71)-(BU68+BU71))</f>
        <v>18525700</v>
      </c>
      <c r="CC97" s="137"/>
      <c r="CD97" s="137"/>
      <c r="CE97" s="137"/>
      <c r="CF97" s="137"/>
      <c r="CG97" s="137"/>
      <c r="CH97" s="137"/>
      <c r="CI97" s="137">
        <f>((CI68+CI71)-(CB68+CB71))</f>
        <v>0</v>
      </c>
      <c r="CJ97" s="137"/>
      <c r="CK97" s="137"/>
      <c r="CL97" s="137"/>
      <c r="CM97" s="137"/>
      <c r="CN97" s="137"/>
    </row>
    <row r="98" spans="2:94" x14ac:dyDescent="0.2">
      <c r="B98" s="105" t="s">
        <v>356</v>
      </c>
      <c r="D98" s="137"/>
      <c r="E98" s="137"/>
      <c r="F98" s="137"/>
      <c r="G98" s="137"/>
      <c r="H98" s="137"/>
      <c r="I98" s="137"/>
      <c r="J98" s="137">
        <f>(J78-('EEFF 2022'!CI77+'EEFF 2022'!CI78))</f>
        <v>0</v>
      </c>
      <c r="K98" s="137"/>
      <c r="L98" s="137"/>
      <c r="M98" s="137"/>
      <c r="N98" s="137"/>
      <c r="O98" s="137"/>
      <c r="P98" s="137"/>
      <c r="Q98" s="137">
        <f>(Q78-(J77+J78))</f>
        <v>0</v>
      </c>
      <c r="R98" s="137"/>
      <c r="S98" s="137"/>
      <c r="T98" s="137"/>
      <c r="U98" s="137"/>
      <c r="V98" s="137"/>
      <c r="W98" s="137"/>
      <c r="X98" s="137">
        <f>(X78-(Q77+Q78))</f>
        <v>0</v>
      </c>
      <c r="Y98" s="137"/>
      <c r="Z98" s="137"/>
      <c r="AA98" s="137"/>
      <c r="AB98" s="137"/>
      <c r="AC98" s="137"/>
      <c r="AD98" s="137"/>
      <c r="AE98" s="137">
        <f>(AE78-(X77+X78))</f>
        <v>0</v>
      </c>
      <c r="AF98" s="137"/>
      <c r="AG98" s="137"/>
      <c r="AH98" s="137"/>
      <c r="AI98" s="137"/>
      <c r="AJ98" s="137"/>
      <c r="AK98" s="137"/>
      <c r="AL98" s="137">
        <f>(AL78-(AE77+AE78))</f>
        <v>0</v>
      </c>
      <c r="AM98" s="137"/>
      <c r="AN98" s="137"/>
      <c r="AO98" s="137"/>
      <c r="AP98" s="137"/>
      <c r="AQ98" s="137"/>
      <c r="AR98" s="137"/>
      <c r="AS98" s="137">
        <f>(AS78-(AL77+AL78))</f>
        <v>0</v>
      </c>
      <c r="AT98" s="137"/>
      <c r="AU98" s="137"/>
      <c r="AV98" s="137"/>
      <c r="AW98" s="137"/>
      <c r="AX98" s="137"/>
      <c r="AY98" s="137"/>
      <c r="AZ98" s="137">
        <f>(AZ78-(AS77+AS78))</f>
        <v>0</v>
      </c>
      <c r="BA98" s="137"/>
      <c r="BB98" s="137"/>
      <c r="BC98" s="137"/>
      <c r="BD98" s="137"/>
      <c r="BE98" s="137"/>
      <c r="BF98" s="137"/>
      <c r="BG98" s="137">
        <f>(BG78-(AZ77+AZ78))</f>
        <v>0</v>
      </c>
      <c r="BH98" s="137"/>
      <c r="BI98" s="137"/>
      <c r="BJ98" s="137"/>
      <c r="BK98" s="137"/>
      <c r="BL98" s="137"/>
      <c r="BM98" s="137"/>
      <c r="BN98" s="137">
        <f>(BN78-(BG77+BG78))</f>
        <v>0</v>
      </c>
      <c r="BO98" s="137"/>
      <c r="BP98" s="137"/>
      <c r="BQ98" s="137"/>
      <c r="BR98" s="137"/>
      <c r="BS98" s="137"/>
      <c r="BT98" s="137"/>
      <c r="BU98" s="137">
        <f>(BU78-(BN77+BN78))</f>
        <v>0</v>
      </c>
      <c r="BV98" s="137"/>
      <c r="BW98" s="137"/>
      <c r="BX98" s="137"/>
      <c r="BY98" s="137"/>
      <c r="BZ98" s="137"/>
      <c r="CA98" s="137"/>
      <c r="CB98" s="137">
        <f>(CB78-(BU77+BU78))</f>
        <v>0</v>
      </c>
      <c r="CC98" s="137"/>
      <c r="CD98" s="137"/>
      <c r="CE98" s="137"/>
      <c r="CF98" s="137"/>
      <c r="CG98" s="137"/>
      <c r="CH98" s="137"/>
      <c r="CI98" s="137">
        <f>(CI78-(CB77+CB78))</f>
        <v>0</v>
      </c>
      <c r="CJ98" s="137"/>
      <c r="CK98" s="137"/>
      <c r="CL98" s="137"/>
      <c r="CM98" s="137"/>
      <c r="CN98" s="137"/>
    </row>
    <row r="99" spans="2:94" ht="16" x14ac:dyDescent="0.2">
      <c r="B99" s="141" t="s">
        <v>357</v>
      </c>
      <c r="C99" s="207"/>
      <c r="D99" s="162"/>
      <c r="E99" s="162"/>
      <c r="F99" s="162"/>
      <c r="G99" s="162"/>
      <c r="H99" s="162"/>
      <c r="I99" s="162"/>
      <c r="J99" s="162">
        <f>SUM(J97:J98)</f>
        <v>10582797.069999998</v>
      </c>
      <c r="K99" s="162"/>
      <c r="L99" s="162"/>
      <c r="M99" s="162"/>
      <c r="N99" s="162"/>
      <c r="O99" s="162"/>
      <c r="P99" s="162"/>
      <c r="Q99" s="162">
        <f>SUM(Q97:Q98)</f>
        <v>0</v>
      </c>
      <c r="R99" s="162"/>
      <c r="S99" s="162"/>
      <c r="T99" s="162"/>
      <c r="U99" s="162"/>
      <c r="V99" s="162"/>
      <c r="W99" s="162"/>
      <c r="X99" s="162">
        <f>SUM(X97:X98)</f>
        <v>0</v>
      </c>
      <c r="Y99" s="162"/>
      <c r="Z99" s="162"/>
      <c r="AA99" s="162"/>
      <c r="AB99" s="162"/>
      <c r="AC99" s="162"/>
      <c r="AD99" s="162"/>
      <c r="AE99" s="162">
        <f>SUM(AE97:AE98)</f>
        <v>0</v>
      </c>
      <c r="AF99" s="162"/>
      <c r="AG99" s="162"/>
      <c r="AH99" s="162"/>
      <c r="AI99" s="162"/>
      <c r="AJ99" s="162"/>
      <c r="AK99" s="162"/>
      <c r="AL99" s="162">
        <f>SUM(AL97:AL98)</f>
        <v>0</v>
      </c>
      <c r="AM99" s="162"/>
      <c r="AN99" s="162"/>
      <c r="AO99" s="162"/>
      <c r="AP99" s="162"/>
      <c r="AQ99" s="162"/>
      <c r="AR99" s="162"/>
      <c r="AS99" s="162">
        <f>SUM(AS97:AS98)</f>
        <v>0</v>
      </c>
      <c r="AT99" s="162"/>
      <c r="AU99" s="162"/>
      <c r="AV99" s="162"/>
      <c r="AW99" s="162"/>
      <c r="AX99" s="162"/>
      <c r="AY99" s="162"/>
      <c r="AZ99" s="162">
        <f>SUM(AZ97:AZ98)</f>
        <v>0</v>
      </c>
      <c r="BA99" s="162"/>
      <c r="BB99" s="162"/>
      <c r="BC99" s="162"/>
      <c r="BD99" s="162"/>
      <c r="BE99" s="162"/>
      <c r="BF99" s="162"/>
      <c r="BG99" s="162">
        <f>SUM(BG97:BG98)</f>
        <v>0</v>
      </c>
      <c r="BH99" s="162"/>
      <c r="BI99" s="162"/>
      <c r="BJ99" s="162"/>
      <c r="BK99" s="162"/>
      <c r="BL99" s="162"/>
      <c r="BM99" s="162"/>
      <c r="BN99" s="162">
        <f>SUM(BN97:BN98)</f>
        <v>15648666.009999998</v>
      </c>
      <c r="BO99" s="162"/>
      <c r="BP99" s="162"/>
      <c r="BQ99" s="162"/>
      <c r="BR99" s="162"/>
      <c r="BS99" s="162"/>
      <c r="BT99" s="162"/>
      <c r="BU99" s="162">
        <f>SUM(BU97:BU98)</f>
        <v>0</v>
      </c>
      <c r="BV99" s="162"/>
      <c r="BW99" s="162"/>
      <c r="BX99" s="162"/>
      <c r="BY99" s="162"/>
      <c r="BZ99" s="162"/>
      <c r="CA99" s="162"/>
      <c r="CB99" s="162">
        <f>SUM(CB97:CB98)</f>
        <v>18525700</v>
      </c>
      <c r="CC99" s="162"/>
      <c r="CD99" s="162"/>
      <c r="CE99" s="162"/>
      <c r="CF99" s="162"/>
      <c r="CG99" s="162"/>
      <c r="CH99" s="162"/>
      <c r="CI99" s="162">
        <f>SUM(CI97:CI98)</f>
        <v>0</v>
      </c>
      <c r="CJ99" s="163"/>
      <c r="CK99" s="163"/>
      <c r="CL99" s="163"/>
      <c r="CM99" s="163"/>
      <c r="CN99" s="163"/>
    </row>
    <row r="100" spans="2:94" ht="16" x14ac:dyDescent="0.2">
      <c r="B100" s="141" t="s">
        <v>353</v>
      </c>
      <c r="C100" s="207"/>
      <c r="D100" s="162"/>
      <c r="E100" s="162"/>
      <c r="F100" s="162"/>
      <c r="G100" s="162"/>
      <c r="H100" s="162"/>
      <c r="I100" s="162"/>
      <c r="J100" s="162">
        <f>J94+J96+J99</f>
        <v>2286035.6499999985</v>
      </c>
      <c r="K100" s="162"/>
      <c r="L100" s="162"/>
      <c r="M100" s="162"/>
      <c r="N100" s="162"/>
      <c r="O100" s="162"/>
      <c r="P100" s="162"/>
      <c r="Q100" s="162">
        <f>Q94+Q96+Q99</f>
        <v>171013.72999999992</v>
      </c>
      <c r="R100" s="162"/>
      <c r="S100" s="162"/>
      <c r="T100" s="162"/>
      <c r="U100" s="162"/>
      <c r="V100" s="162"/>
      <c r="W100" s="162"/>
      <c r="X100" s="162">
        <f>X94+X96+X99</f>
        <v>-917919.74</v>
      </c>
      <c r="Y100" s="162"/>
      <c r="Z100" s="162"/>
      <c r="AA100" s="162"/>
      <c r="AB100" s="162"/>
      <c r="AC100" s="162"/>
      <c r="AD100" s="162"/>
      <c r="AE100" s="162">
        <f>AE94+AE96+AE99</f>
        <v>754353.49000000022</v>
      </c>
      <c r="AF100" s="162"/>
      <c r="AG100" s="162"/>
      <c r="AH100" s="162"/>
      <c r="AI100" s="162"/>
      <c r="AJ100" s="162"/>
      <c r="AK100" s="162"/>
      <c r="AL100" s="162">
        <f>AL94+AL96+AL99</f>
        <v>4424339.88</v>
      </c>
      <c r="AM100" s="162"/>
      <c r="AN100" s="162"/>
      <c r="AO100" s="162"/>
      <c r="AP100" s="162"/>
      <c r="AQ100" s="162"/>
      <c r="AR100" s="162"/>
      <c r="AS100" s="162">
        <f>AS94+AS96+AS99</f>
        <v>2146539.4500000002</v>
      </c>
      <c r="AT100" s="162"/>
      <c r="AU100" s="162"/>
      <c r="AV100" s="162"/>
      <c r="AW100" s="162"/>
      <c r="AX100" s="162"/>
      <c r="AY100" s="162"/>
      <c r="AZ100" s="162">
        <f>AZ94+AZ96+AZ99</f>
        <v>561631.71</v>
      </c>
      <c r="BA100" s="162"/>
      <c r="BB100" s="162"/>
      <c r="BC100" s="162"/>
      <c r="BD100" s="162"/>
      <c r="BE100" s="162"/>
      <c r="BF100" s="162"/>
      <c r="BG100" s="162">
        <f>BG94+BG96+BG99</f>
        <v>2668281.5999999992</v>
      </c>
      <c r="BH100" s="162"/>
      <c r="BI100" s="162"/>
      <c r="BJ100" s="162"/>
      <c r="BK100" s="162"/>
      <c r="BL100" s="162"/>
      <c r="BM100" s="162"/>
      <c r="BN100" s="162">
        <f>BN94+BN96+BN99</f>
        <v>24970584.009999998</v>
      </c>
      <c r="BO100" s="162"/>
      <c r="BP100" s="162"/>
      <c r="BQ100" s="162"/>
      <c r="BR100" s="162"/>
      <c r="BS100" s="162"/>
      <c r="BT100" s="162"/>
      <c r="BU100" s="162">
        <f>BU94+BU96+BU99</f>
        <v>-9491694.5299999975</v>
      </c>
      <c r="BV100" s="162"/>
      <c r="BW100" s="162"/>
      <c r="BX100" s="162"/>
      <c r="BY100" s="162"/>
      <c r="BZ100" s="162"/>
      <c r="CA100" s="162"/>
      <c r="CB100" s="162">
        <f>CB94+CB96+CB99</f>
        <v>1605641.3200000003</v>
      </c>
      <c r="CC100" s="162"/>
      <c r="CD100" s="162"/>
      <c r="CE100" s="162"/>
      <c r="CF100" s="162"/>
      <c r="CG100" s="162"/>
      <c r="CH100" s="162"/>
      <c r="CI100" s="162">
        <f>CI94+CI96+CI99</f>
        <v>3386925.5900000003</v>
      </c>
      <c r="CJ100" s="163"/>
      <c r="CK100" s="163"/>
      <c r="CL100" s="163"/>
      <c r="CM100" s="163"/>
      <c r="CN100" s="163"/>
    </row>
    <row r="101" spans="2:94" x14ac:dyDescent="0.2">
      <c r="B101" s="105" t="s">
        <v>358</v>
      </c>
      <c r="D101" s="137"/>
      <c r="E101" s="137"/>
      <c r="F101" s="137"/>
      <c r="G101" s="137"/>
      <c r="H101" s="137"/>
      <c r="I101" s="137"/>
      <c r="J101" s="137">
        <f>'EEFF 2022'!CI51</f>
        <v>19568944.609999999</v>
      </c>
      <c r="K101" s="137"/>
      <c r="L101" s="137"/>
      <c r="M101" s="137"/>
      <c r="N101" s="137"/>
      <c r="O101" s="137"/>
      <c r="P101" s="137"/>
      <c r="Q101" s="137">
        <f>J51</f>
        <v>21854980.259999998</v>
      </c>
      <c r="R101" s="137"/>
      <c r="S101" s="137"/>
      <c r="T101" s="137"/>
      <c r="U101" s="137"/>
      <c r="V101" s="137"/>
      <c r="W101" s="137"/>
      <c r="X101" s="137">
        <f>Q51</f>
        <v>22025993.990000002</v>
      </c>
      <c r="Y101" s="137"/>
      <c r="Z101" s="137"/>
      <c r="AA101" s="137"/>
      <c r="AB101" s="137"/>
      <c r="AC101" s="137"/>
      <c r="AD101" s="137"/>
      <c r="AE101" s="137">
        <f>X51</f>
        <v>21108074.25</v>
      </c>
      <c r="AF101" s="137"/>
      <c r="AG101" s="137"/>
      <c r="AH101" s="137"/>
      <c r="AI101" s="137"/>
      <c r="AJ101" s="137"/>
      <c r="AK101" s="137"/>
      <c r="AL101" s="137">
        <f>AE51</f>
        <v>21862427.740000002</v>
      </c>
      <c r="AM101" s="137"/>
      <c r="AN101" s="137"/>
      <c r="AO101" s="137"/>
      <c r="AP101" s="137"/>
      <c r="AQ101" s="137"/>
      <c r="AR101" s="137"/>
      <c r="AS101" s="137">
        <f>AL51</f>
        <v>26286767.620000001</v>
      </c>
      <c r="AT101" s="137"/>
      <c r="AU101" s="137"/>
      <c r="AV101" s="137"/>
      <c r="AW101" s="137"/>
      <c r="AX101" s="137"/>
      <c r="AY101" s="137"/>
      <c r="AZ101" s="137">
        <f>AS51</f>
        <v>28433307.07</v>
      </c>
      <c r="BA101" s="137"/>
      <c r="BB101" s="137"/>
      <c r="BC101" s="137"/>
      <c r="BD101" s="137"/>
      <c r="BE101" s="137"/>
      <c r="BF101" s="137"/>
      <c r="BG101" s="137">
        <f>AZ51</f>
        <v>28994938.780000001</v>
      </c>
      <c r="BH101" s="137"/>
      <c r="BI101" s="137"/>
      <c r="BJ101" s="137"/>
      <c r="BK101" s="137"/>
      <c r="BL101" s="137"/>
      <c r="BM101" s="137"/>
      <c r="BN101" s="137">
        <f>BG51</f>
        <v>31663220.379999999</v>
      </c>
      <c r="BO101" s="137"/>
      <c r="BP101" s="137"/>
      <c r="BQ101" s="137"/>
      <c r="BR101" s="137"/>
      <c r="BS101" s="137"/>
      <c r="BT101" s="137"/>
      <c r="BU101" s="137">
        <f>BN51</f>
        <v>56633804.390000001</v>
      </c>
      <c r="BV101" s="137"/>
      <c r="BW101" s="137"/>
      <c r="BX101" s="137"/>
      <c r="BY101" s="137"/>
      <c r="BZ101" s="137"/>
      <c r="CA101" s="137"/>
      <c r="CB101" s="137">
        <f>BU51</f>
        <v>47142109.859999999</v>
      </c>
      <c r="CC101" s="137"/>
      <c r="CD101" s="137"/>
      <c r="CE101" s="137"/>
      <c r="CF101" s="137"/>
      <c r="CG101" s="137"/>
      <c r="CH101" s="137"/>
      <c r="CI101" s="137">
        <f>CB51</f>
        <v>48747751.18</v>
      </c>
      <c r="CJ101" s="137"/>
      <c r="CK101" s="137"/>
      <c r="CL101" s="137"/>
      <c r="CM101" s="137"/>
      <c r="CN101" s="137"/>
    </row>
    <row r="102" spans="2:94" ht="16" x14ac:dyDescent="0.2">
      <c r="B102" s="141" t="s">
        <v>359</v>
      </c>
      <c r="C102" s="207"/>
      <c r="D102" s="162"/>
      <c r="E102" s="162"/>
      <c r="F102" s="162"/>
      <c r="G102" s="162"/>
      <c r="H102" s="162"/>
      <c r="I102" s="162"/>
      <c r="J102" s="162">
        <f>+J100+J101</f>
        <v>21854980.259999998</v>
      </c>
      <c r="K102" s="162"/>
      <c r="L102" s="162"/>
      <c r="M102" s="162"/>
      <c r="N102" s="162"/>
      <c r="O102" s="162"/>
      <c r="P102" s="162"/>
      <c r="Q102" s="162">
        <f>+Q100+Q101</f>
        <v>22025993.989999998</v>
      </c>
      <c r="R102" s="162"/>
      <c r="S102" s="162"/>
      <c r="T102" s="162"/>
      <c r="U102" s="162"/>
      <c r="V102" s="162"/>
      <c r="W102" s="162"/>
      <c r="X102" s="162">
        <f>+X100+X101</f>
        <v>21108074.250000004</v>
      </c>
      <c r="Y102" s="162"/>
      <c r="Z102" s="162"/>
      <c r="AA102" s="162"/>
      <c r="AB102" s="162"/>
      <c r="AC102" s="162"/>
      <c r="AD102" s="162"/>
      <c r="AE102" s="162">
        <f>+AE100+AE101</f>
        <v>21862427.740000002</v>
      </c>
      <c r="AF102" s="162"/>
      <c r="AG102" s="162"/>
      <c r="AH102" s="162"/>
      <c r="AI102" s="162"/>
      <c r="AJ102" s="162"/>
      <c r="AK102" s="162"/>
      <c r="AL102" s="162">
        <f>+AL100+AL101</f>
        <v>26286767.620000001</v>
      </c>
      <c r="AM102" s="162"/>
      <c r="AN102" s="162"/>
      <c r="AO102" s="162"/>
      <c r="AP102" s="162"/>
      <c r="AQ102" s="162"/>
      <c r="AR102" s="162"/>
      <c r="AS102" s="162">
        <f>+AS100+AS101</f>
        <v>28433307.07</v>
      </c>
      <c r="AT102" s="162"/>
      <c r="AU102" s="162"/>
      <c r="AV102" s="162"/>
      <c r="AW102" s="162"/>
      <c r="AX102" s="162"/>
      <c r="AY102" s="162"/>
      <c r="AZ102" s="162">
        <f>+AZ100+AZ101</f>
        <v>28994938.780000001</v>
      </c>
      <c r="BA102" s="162"/>
      <c r="BB102" s="162"/>
      <c r="BC102" s="162"/>
      <c r="BD102" s="162"/>
      <c r="BE102" s="162"/>
      <c r="BF102" s="162"/>
      <c r="BG102" s="162">
        <f>+BG100+BG101</f>
        <v>31663220.379999999</v>
      </c>
      <c r="BH102" s="162"/>
      <c r="BI102" s="162"/>
      <c r="BJ102" s="162"/>
      <c r="BK102" s="162"/>
      <c r="BL102" s="162"/>
      <c r="BM102" s="162"/>
      <c r="BN102" s="162">
        <f>+BN100+BN101</f>
        <v>56633804.390000001</v>
      </c>
      <c r="BO102" s="162"/>
      <c r="BP102" s="162"/>
      <c r="BQ102" s="162"/>
      <c r="BR102" s="162"/>
      <c r="BS102" s="162"/>
      <c r="BT102" s="162"/>
      <c r="BU102" s="162">
        <f>+BU100+BU101</f>
        <v>47142109.859999999</v>
      </c>
      <c r="BV102" s="162"/>
      <c r="BW102" s="162"/>
      <c r="BX102" s="162"/>
      <c r="BY102" s="162"/>
      <c r="BZ102" s="162"/>
      <c r="CA102" s="162"/>
      <c r="CB102" s="162">
        <f>+CB100+CB101</f>
        <v>48747751.18</v>
      </c>
      <c r="CC102" s="162"/>
      <c r="CD102" s="162"/>
      <c r="CE102" s="162"/>
      <c r="CF102" s="162"/>
      <c r="CG102" s="162"/>
      <c r="CH102" s="162"/>
      <c r="CI102" s="162">
        <f>+CI100+CI101</f>
        <v>52134676.770000003</v>
      </c>
      <c r="CJ102" s="163"/>
      <c r="CK102" s="163"/>
      <c r="CL102" s="163"/>
      <c r="CM102" s="163"/>
      <c r="CN102" s="163"/>
    </row>
    <row r="103" spans="2:94" x14ac:dyDescent="0.2">
      <c r="B103" s="105" t="s">
        <v>350</v>
      </c>
      <c r="D103" s="137"/>
      <c r="E103" s="137"/>
      <c r="F103" s="137"/>
      <c r="G103" s="137"/>
      <c r="H103" s="137"/>
      <c r="I103" s="137"/>
      <c r="J103" s="233">
        <f>J102-J51</f>
        <v>0</v>
      </c>
      <c r="K103" s="233"/>
      <c r="L103" s="233"/>
      <c r="M103" s="233"/>
      <c r="N103" s="233"/>
      <c r="O103" s="233"/>
      <c r="P103" s="233"/>
      <c r="Q103" s="233">
        <f>Q102-Q51</f>
        <v>0</v>
      </c>
      <c r="R103" s="233"/>
      <c r="S103" s="233"/>
      <c r="T103" s="233"/>
      <c r="U103" s="233"/>
      <c r="V103" s="233"/>
      <c r="W103" s="233"/>
      <c r="X103" s="233">
        <f>X102-X51</f>
        <v>0</v>
      </c>
      <c r="Y103" s="233"/>
      <c r="Z103" s="233"/>
      <c r="AA103" s="233"/>
      <c r="AB103" s="233"/>
      <c r="AC103" s="233"/>
      <c r="AD103" s="233"/>
      <c r="AE103" s="233">
        <f>AE102-AE51</f>
        <v>0</v>
      </c>
      <c r="AF103" s="233"/>
      <c r="AG103" s="233"/>
      <c r="AH103" s="233"/>
      <c r="AI103" s="233"/>
      <c r="AJ103" s="233"/>
      <c r="AK103" s="233"/>
      <c r="AL103" s="233">
        <f>AL102-AL51</f>
        <v>0</v>
      </c>
      <c r="AM103" s="233"/>
      <c r="AN103" s="233"/>
      <c r="AO103" s="233"/>
      <c r="AP103" s="233"/>
      <c r="AQ103" s="233"/>
      <c r="AR103" s="233"/>
      <c r="AS103" s="233">
        <f>AS102-AS51</f>
        <v>0</v>
      </c>
      <c r="AT103" s="233"/>
      <c r="AU103" s="233"/>
      <c r="AV103" s="233"/>
      <c r="AW103" s="233"/>
      <c r="AX103" s="233"/>
      <c r="AY103" s="233"/>
      <c r="AZ103" s="233">
        <f>AZ102-AZ51</f>
        <v>0</v>
      </c>
      <c r="BA103" s="233"/>
      <c r="BB103" s="233"/>
      <c r="BC103" s="233"/>
      <c r="BD103" s="233"/>
      <c r="BE103" s="233"/>
      <c r="BF103" s="233"/>
      <c r="BG103" s="233">
        <f>BG102-BG51</f>
        <v>0</v>
      </c>
      <c r="BH103" s="233"/>
      <c r="BI103" s="233"/>
      <c r="BJ103" s="233"/>
      <c r="BK103" s="233"/>
      <c r="BL103" s="233"/>
      <c r="BM103" s="233"/>
      <c r="BN103" s="233">
        <f>BN102-BN51</f>
        <v>0</v>
      </c>
      <c r="BO103" s="233"/>
      <c r="BP103" s="233"/>
      <c r="BQ103" s="233"/>
      <c r="BR103" s="233"/>
      <c r="BS103" s="233"/>
      <c r="BT103" s="233"/>
      <c r="BU103" s="233">
        <f>BU102-BU51</f>
        <v>0</v>
      </c>
      <c r="BV103" s="233"/>
      <c r="BW103" s="233"/>
      <c r="BX103" s="233"/>
      <c r="BY103" s="233"/>
      <c r="BZ103" s="233"/>
      <c r="CA103" s="233"/>
      <c r="CB103" s="233">
        <f>CB102-CB51</f>
        <v>0</v>
      </c>
      <c r="CC103" s="233"/>
      <c r="CD103" s="233"/>
      <c r="CE103" s="233"/>
      <c r="CF103" s="233"/>
      <c r="CG103" s="233"/>
      <c r="CH103" s="233"/>
      <c r="CI103" s="233">
        <f>CI102-CI51</f>
        <v>0</v>
      </c>
      <c r="CJ103" s="137"/>
      <c r="CK103" s="137"/>
      <c r="CL103" s="137"/>
      <c r="CM103" s="137"/>
      <c r="CN103" s="137"/>
    </row>
    <row r="104" spans="2:94" x14ac:dyDescent="0.2"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</row>
    <row r="106" spans="2:94" ht="16" x14ac:dyDescent="0.2">
      <c r="B106" s="183" t="s">
        <v>360</v>
      </c>
      <c r="C106" s="220"/>
      <c r="CJ106" s="164" t="e">
        <f t="shared" ref="CJ106:CO106" si="45">CJ61/CJ70</f>
        <v>#DIV/0!</v>
      </c>
      <c r="CK106" s="164" t="e">
        <f t="shared" si="45"/>
        <v>#DIV/0!</v>
      </c>
      <c r="CL106" s="164" t="e">
        <f t="shared" si="45"/>
        <v>#DIV/0!</v>
      </c>
      <c r="CM106" s="164" t="e">
        <f t="shared" si="45"/>
        <v>#DIV/0!</v>
      </c>
      <c r="CN106" s="164" t="e">
        <f t="shared" si="45"/>
        <v>#DIV/0!</v>
      </c>
      <c r="CO106" s="164" t="e">
        <f t="shared" si="45"/>
        <v>#DIV/0!</v>
      </c>
      <c r="CP106" s="164"/>
    </row>
    <row r="107" spans="2:94" x14ac:dyDescent="0.2">
      <c r="B107" s="105" t="s">
        <v>439</v>
      </c>
      <c r="D107" s="164"/>
      <c r="E107" s="164"/>
      <c r="F107" s="164"/>
      <c r="G107" s="164"/>
      <c r="H107" s="164"/>
      <c r="I107" s="164"/>
      <c r="J107" s="164" t="e">
        <f>J61/J70</f>
        <v>#DIV/0!</v>
      </c>
      <c r="K107" s="164"/>
      <c r="L107" s="164"/>
      <c r="M107" s="164"/>
      <c r="N107" s="164"/>
      <c r="O107" s="164"/>
      <c r="P107" s="164"/>
      <c r="Q107" s="164" t="e">
        <f>Q61/Q70</f>
        <v>#DIV/0!</v>
      </c>
      <c r="R107" s="164"/>
      <c r="S107" s="164"/>
      <c r="T107" s="164"/>
      <c r="U107" s="164"/>
      <c r="V107" s="164"/>
      <c r="W107" s="164"/>
      <c r="X107" s="164" t="e">
        <f>X61/X70</f>
        <v>#DIV/0!</v>
      </c>
      <c r="Y107" s="164"/>
      <c r="Z107" s="164"/>
      <c r="AA107" s="164"/>
      <c r="AB107" s="164"/>
      <c r="AC107" s="164"/>
      <c r="AD107" s="164"/>
      <c r="AE107" s="164" t="e">
        <f>AE61/AE70</f>
        <v>#DIV/0!</v>
      </c>
      <c r="AF107" s="164"/>
      <c r="AG107" s="164"/>
      <c r="AH107" s="164"/>
      <c r="AI107" s="164"/>
      <c r="AJ107" s="164"/>
      <c r="AK107" s="164"/>
      <c r="AL107" s="164" t="e">
        <f>AL61/AL70</f>
        <v>#DIV/0!</v>
      </c>
      <c r="AM107" s="164"/>
      <c r="AN107" s="164"/>
      <c r="AO107" s="164"/>
      <c r="AP107" s="164"/>
      <c r="AQ107" s="164"/>
      <c r="AR107" s="164"/>
      <c r="AS107" s="164" t="e">
        <f>AS61/AS70</f>
        <v>#DIV/0!</v>
      </c>
      <c r="AT107" s="164"/>
      <c r="AU107" s="164"/>
      <c r="AV107" s="164"/>
      <c r="AW107" s="164"/>
      <c r="AX107" s="164"/>
      <c r="AY107" s="164"/>
      <c r="AZ107" s="164" t="e">
        <f>AZ61/AZ70</f>
        <v>#DIV/0!</v>
      </c>
      <c r="BA107" s="164"/>
      <c r="BB107" s="164"/>
      <c r="BC107" s="164"/>
      <c r="BD107" s="164"/>
      <c r="BE107" s="164"/>
      <c r="BF107" s="164"/>
      <c r="BG107" s="164" t="e">
        <f>BG61/BG70</f>
        <v>#DIV/0!</v>
      </c>
      <c r="BH107" s="164"/>
      <c r="BI107" s="164"/>
      <c r="BJ107" s="164"/>
      <c r="BK107" s="164"/>
      <c r="BL107" s="164"/>
      <c r="BM107" s="164"/>
      <c r="BN107" s="164" t="e">
        <f>BN61/BN70</f>
        <v>#DIV/0!</v>
      </c>
      <c r="BO107" s="164"/>
      <c r="BP107" s="164"/>
      <c r="BQ107" s="164"/>
      <c r="BR107" s="164"/>
      <c r="BS107" s="164"/>
      <c r="BT107" s="164"/>
      <c r="BU107" s="164" t="e">
        <f>BU61/BU70</f>
        <v>#DIV/0!</v>
      </c>
      <c r="BV107" s="164"/>
      <c r="BW107" s="164"/>
      <c r="BX107" s="164"/>
      <c r="BY107" s="164"/>
      <c r="BZ107" s="164"/>
      <c r="CA107" s="164"/>
      <c r="CB107" s="164" t="e">
        <f>CB61/CB70</f>
        <v>#DIV/0!</v>
      </c>
      <c r="CC107" s="164"/>
      <c r="CD107" s="164"/>
      <c r="CE107" s="164"/>
      <c r="CF107" s="164"/>
      <c r="CG107" s="164"/>
      <c r="CH107" s="164"/>
      <c r="CI107" s="164" t="e">
        <f>CI61/CI70</f>
        <v>#DIV/0!</v>
      </c>
      <c r="CJ107" s="164" t="e">
        <f>(CJ61-#REF!)/CJ70</f>
        <v>#REF!</v>
      </c>
      <c r="CK107" s="164" t="e">
        <f>(CK61-#REF!)/CK70</f>
        <v>#REF!</v>
      </c>
      <c r="CL107" s="164" t="e">
        <f>(CL61-#REF!)/CL70</f>
        <v>#REF!</v>
      </c>
      <c r="CM107" s="164" t="e">
        <f>(CM61-#REF!)/CM70</f>
        <v>#REF!</v>
      </c>
      <c r="CN107" s="164" t="e">
        <f>(CN61-#REF!)/CN70</f>
        <v>#REF!</v>
      </c>
      <c r="CO107" s="164" t="e">
        <f>(CO61-#REF!)/CO70</f>
        <v>#REF!</v>
      </c>
      <c r="CP107" s="164"/>
    </row>
    <row r="108" spans="2:94" x14ac:dyDescent="0.2">
      <c r="B108" s="105" t="s">
        <v>361</v>
      </c>
      <c r="D108" s="164"/>
      <c r="E108" s="164"/>
      <c r="F108" s="164"/>
      <c r="G108" s="164"/>
      <c r="H108" s="164"/>
      <c r="I108" s="164"/>
      <c r="J108" s="164" t="e">
        <f>(J61-J59)/J70</f>
        <v>#DIV/0!</v>
      </c>
      <c r="K108" s="164"/>
      <c r="L108" s="164"/>
      <c r="M108" s="164"/>
      <c r="N108" s="164"/>
      <c r="O108" s="164"/>
      <c r="P108" s="164"/>
      <c r="Q108" s="164" t="e">
        <f>(Q61-Q59)/Q70</f>
        <v>#DIV/0!</v>
      </c>
      <c r="R108" s="164"/>
      <c r="S108" s="164"/>
      <c r="T108" s="164"/>
      <c r="U108" s="164"/>
      <c r="V108" s="164"/>
      <c r="W108" s="164"/>
      <c r="X108" s="164" t="e">
        <f>(X61-X59)/X70</f>
        <v>#DIV/0!</v>
      </c>
      <c r="Y108" s="164"/>
      <c r="Z108" s="164"/>
      <c r="AA108" s="164"/>
      <c r="AB108" s="164"/>
      <c r="AC108" s="164"/>
      <c r="AD108" s="164"/>
      <c r="AE108" s="164" t="e">
        <f>(AE61-AE59)/AE70</f>
        <v>#DIV/0!</v>
      </c>
      <c r="AF108" s="164"/>
      <c r="AG108" s="164"/>
      <c r="AH108" s="164"/>
      <c r="AI108" s="164"/>
      <c r="AJ108" s="164"/>
      <c r="AK108" s="164"/>
      <c r="AL108" s="164" t="e">
        <f>(AL61-AL59)/AL70</f>
        <v>#DIV/0!</v>
      </c>
      <c r="AM108" s="164"/>
      <c r="AN108" s="164"/>
      <c r="AO108" s="164"/>
      <c r="AP108" s="164"/>
      <c r="AQ108" s="164"/>
      <c r="AR108" s="164"/>
      <c r="AS108" s="164" t="e">
        <f>(AS61-AS59)/AS70</f>
        <v>#DIV/0!</v>
      </c>
      <c r="AT108" s="164"/>
      <c r="AU108" s="164"/>
      <c r="AV108" s="164"/>
      <c r="AW108" s="164"/>
      <c r="AX108" s="164"/>
      <c r="AY108" s="164"/>
      <c r="AZ108" s="164" t="e">
        <f>(AZ61-AZ59)/AZ70</f>
        <v>#DIV/0!</v>
      </c>
      <c r="BA108" s="164"/>
      <c r="BB108" s="164"/>
      <c r="BC108" s="164"/>
      <c r="BD108" s="164"/>
      <c r="BE108" s="164"/>
      <c r="BF108" s="164"/>
      <c r="BG108" s="164" t="e">
        <f>(BG61-BG59)/BG70</f>
        <v>#DIV/0!</v>
      </c>
      <c r="BH108" s="164"/>
      <c r="BI108" s="164"/>
      <c r="BJ108" s="164"/>
      <c r="BK108" s="164"/>
      <c r="BL108" s="164"/>
      <c r="BM108" s="164"/>
      <c r="BN108" s="164" t="e">
        <f>(BN61-BN59)/BN70</f>
        <v>#DIV/0!</v>
      </c>
      <c r="BO108" s="164"/>
      <c r="BP108" s="164"/>
      <c r="BQ108" s="164"/>
      <c r="BR108" s="164"/>
      <c r="BS108" s="164"/>
      <c r="BT108" s="164"/>
      <c r="BU108" s="164" t="e">
        <f>(BU61-BU59)/BU70</f>
        <v>#DIV/0!</v>
      </c>
      <c r="BV108" s="164"/>
      <c r="BW108" s="164"/>
      <c r="BX108" s="164"/>
      <c r="BY108" s="164"/>
      <c r="BZ108" s="164"/>
      <c r="CA108" s="164"/>
      <c r="CB108" s="164" t="e">
        <f>(CB61-CB59)/CB70</f>
        <v>#DIV/0!</v>
      </c>
      <c r="CC108" s="164"/>
      <c r="CD108" s="164"/>
      <c r="CE108" s="164"/>
      <c r="CF108" s="164"/>
      <c r="CG108" s="164"/>
      <c r="CH108" s="164"/>
      <c r="CI108" s="164" t="e">
        <f>(CI61-CI59)/CI70</f>
        <v>#DIV/0!</v>
      </c>
      <c r="CJ108" s="137">
        <f t="shared" ref="CJ108:CO108" si="46">CJ61-CJ70</f>
        <v>0</v>
      </c>
      <c r="CK108" s="137">
        <f t="shared" si="46"/>
        <v>0</v>
      </c>
      <c r="CL108" s="137">
        <f t="shared" si="46"/>
        <v>0</v>
      </c>
      <c r="CM108" s="137">
        <f t="shared" si="46"/>
        <v>0</v>
      </c>
      <c r="CN108" s="137">
        <f t="shared" si="46"/>
        <v>0</v>
      </c>
      <c r="CO108" s="137">
        <f t="shared" si="46"/>
        <v>0</v>
      </c>
      <c r="CP108" s="137"/>
    </row>
    <row r="109" spans="2:94" x14ac:dyDescent="0.2">
      <c r="B109" s="105" t="s">
        <v>362</v>
      </c>
      <c r="D109" s="137"/>
      <c r="E109" s="137"/>
      <c r="F109" s="137"/>
      <c r="G109" s="137"/>
      <c r="H109" s="137"/>
      <c r="I109" s="137"/>
      <c r="J109" s="137">
        <f>J61-J70</f>
        <v>21854980.259999998</v>
      </c>
      <c r="K109" s="137"/>
      <c r="L109" s="137"/>
      <c r="M109" s="137"/>
      <c r="N109" s="137"/>
      <c r="O109" s="137"/>
      <c r="P109" s="137"/>
      <c r="Q109" s="137">
        <f>Q61-Q70</f>
        <v>22025993.990000002</v>
      </c>
      <c r="R109" s="137"/>
      <c r="S109" s="137"/>
      <c r="T109" s="137"/>
      <c r="U109" s="137"/>
      <c r="V109" s="137"/>
      <c r="W109" s="137"/>
      <c r="X109" s="137">
        <f>X61-X70</f>
        <v>21108074.25</v>
      </c>
      <c r="Y109" s="137"/>
      <c r="Z109" s="137"/>
      <c r="AA109" s="137"/>
      <c r="AB109" s="137"/>
      <c r="AC109" s="137"/>
      <c r="AD109" s="137"/>
      <c r="AE109" s="137">
        <f>AE61-AE70</f>
        <v>21862427.740000002</v>
      </c>
      <c r="AF109" s="137"/>
      <c r="AG109" s="137"/>
      <c r="AH109" s="137"/>
      <c r="AI109" s="137"/>
      <c r="AJ109" s="137"/>
      <c r="AK109" s="137"/>
      <c r="AL109" s="137">
        <f>AL61-AL70</f>
        <v>26286767.620000001</v>
      </c>
      <c r="AM109" s="137"/>
      <c r="AN109" s="137"/>
      <c r="AO109" s="137"/>
      <c r="AP109" s="137"/>
      <c r="AQ109" s="137"/>
      <c r="AR109" s="137"/>
      <c r="AS109" s="137">
        <f>AS61-AS70</f>
        <v>28433307.07</v>
      </c>
      <c r="AT109" s="137"/>
      <c r="AU109" s="137"/>
      <c r="AV109" s="137"/>
      <c r="AW109" s="137"/>
      <c r="AX109" s="137"/>
      <c r="AY109" s="137"/>
      <c r="AZ109" s="137">
        <f>AZ61-AZ70</f>
        <v>28994938.780000001</v>
      </c>
      <c r="BA109" s="137"/>
      <c r="BB109" s="137"/>
      <c r="BC109" s="137"/>
      <c r="BD109" s="137"/>
      <c r="BE109" s="137"/>
      <c r="BF109" s="137"/>
      <c r="BG109" s="137">
        <f>BG61-BG70</f>
        <v>31663220.379999999</v>
      </c>
      <c r="BH109" s="137"/>
      <c r="BI109" s="137"/>
      <c r="BJ109" s="137"/>
      <c r="BK109" s="137"/>
      <c r="BL109" s="137"/>
      <c r="BM109" s="137"/>
      <c r="BN109" s="137">
        <f>BN61-BN70</f>
        <v>56633804.390000001</v>
      </c>
      <c r="BO109" s="137"/>
      <c r="BP109" s="137"/>
      <c r="BQ109" s="137"/>
      <c r="BR109" s="137"/>
      <c r="BS109" s="137"/>
      <c r="BT109" s="137"/>
      <c r="BU109" s="137">
        <f>BU61-BU70</f>
        <v>47142109.859999999</v>
      </c>
      <c r="BV109" s="137"/>
      <c r="BW109" s="137"/>
      <c r="BX109" s="137"/>
      <c r="BY109" s="137"/>
      <c r="BZ109" s="137"/>
      <c r="CA109" s="137"/>
      <c r="CB109" s="137">
        <f>CB61-CB70</f>
        <v>48747751.18</v>
      </c>
      <c r="CC109" s="137"/>
      <c r="CD109" s="137"/>
      <c r="CE109" s="137"/>
      <c r="CF109" s="137"/>
      <c r="CG109" s="137"/>
      <c r="CH109" s="137"/>
      <c r="CI109" s="137">
        <f>CI61-CI70</f>
        <v>52134676.769999996</v>
      </c>
      <c r="CJ109" s="137" t="e">
        <f>CJ58+#REF!-CJ66</f>
        <v>#REF!</v>
      </c>
      <c r="CK109" s="137" t="e">
        <f>CK58+#REF!-CK66</f>
        <v>#REF!</v>
      </c>
      <c r="CL109" s="137" t="e">
        <f>CL58+#REF!-CL66</f>
        <v>#REF!</v>
      </c>
      <c r="CM109" s="137" t="e">
        <f>CM58+#REF!-CM66</f>
        <v>#REF!</v>
      </c>
      <c r="CN109" s="137" t="e">
        <f>CN58+#REF!-CN66</f>
        <v>#REF!</v>
      </c>
      <c r="CO109" s="137" t="e">
        <f>CO58+#REF!-CO66</f>
        <v>#REF!</v>
      </c>
      <c r="CP109" s="137"/>
    </row>
    <row r="110" spans="2:94" x14ac:dyDescent="0.2">
      <c r="B110" s="105" t="s">
        <v>363</v>
      </c>
      <c r="D110" s="137"/>
      <c r="E110" s="137"/>
      <c r="F110" s="137"/>
      <c r="G110" s="137"/>
      <c r="H110" s="137"/>
      <c r="I110" s="137"/>
      <c r="J110" s="137">
        <f>J58+J59-J66</f>
        <v>0</v>
      </c>
      <c r="K110" s="137"/>
      <c r="L110" s="137"/>
      <c r="M110" s="137"/>
      <c r="N110" s="137"/>
      <c r="O110" s="137"/>
      <c r="P110" s="137"/>
      <c r="Q110" s="137">
        <f>Q58+Q59-Q66</f>
        <v>0</v>
      </c>
      <c r="R110" s="137"/>
      <c r="S110" s="137"/>
      <c r="T110" s="137"/>
      <c r="U110" s="137"/>
      <c r="V110" s="137"/>
      <c r="W110" s="137"/>
      <c r="X110" s="137">
        <f>X58+X59-X66</f>
        <v>0</v>
      </c>
      <c r="Y110" s="137"/>
      <c r="Z110" s="137"/>
      <c r="AA110" s="137"/>
      <c r="AB110" s="137"/>
      <c r="AC110" s="137"/>
      <c r="AD110" s="137"/>
      <c r="AE110" s="137">
        <f>AE58+AE59-AE66</f>
        <v>0</v>
      </c>
      <c r="AF110" s="137"/>
      <c r="AG110" s="137"/>
      <c r="AH110" s="137"/>
      <c r="AI110" s="137"/>
      <c r="AJ110" s="137"/>
      <c r="AK110" s="137"/>
      <c r="AL110" s="137">
        <f>AL58+AL59-AL66</f>
        <v>0</v>
      </c>
      <c r="AM110" s="137"/>
      <c r="AN110" s="137"/>
      <c r="AO110" s="137"/>
      <c r="AP110" s="137"/>
      <c r="AQ110" s="137"/>
      <c r="AR110" s="137"/>
      <c r="AS110" s="137">
        <f>AS58+AS59-AS66</f>
        <v>0</v>
      </c>
      <c r="AT110" s="137"/>
      <c r="AU110" s="137"/>
      <c r="AV110" s="137"/>
      <c r="AW110" s="137"/>
      <c r="AX110" s="137"/>
      <c r="AY110" s="137"/>
      <c r="AZ110" s="137">
        <f>AZ58+AZ59-AZ66</f>
        <v>0</v>
      </c>
      <c r="BA110" s="137"/>
      <c r="BB110" s="137"/>
      <c r="BC110" s="137"/>
      <c r="BD110" s="137"/>
      <c r="BE110" s="137"/>
      <c r="BF110" s="137"/>
      <c r="BG110" s="137">
        <f>BG58+BG59-BG66</f>
        <v>0</v>
      </c>
      <c r="BH110" s="137"/>
      <c r="BI110" s="137"/>
      <c r="BJ110" s="137"/>
      <c r="BK110" s="137"/>
      <c r="BL110" s="137"/>
      <c r="BM110" s="137"/>
      <c r="BN110" s="137">
        <f>BN58+BN59-BN66</f>
        <v>0</v>
      </c>
      <c r="BO110" s="137"/>
      <c r="BP110" s="137"/>
      <c r="BQ110" s="137"/>
      <c r="BR110" s="137"/>
      <c r="BS110" s="137"/>
      <c r="BT110" s="137"/>
      <c r="BU110" s="137">
        <f>BU58+BU59-BU66</f>
        <v>0</v>
      </c>
      <c r="BV110" s="137"/>
      <c r="BW110" s="137"/>
      <c r="BX110" s="137"/>
      <c r="BY110" s="137"/>
      <c r="BZ110" s="137"/>
      <c r="CA110" s="137"/>
      <c r="CB110" s="137">
        <f>CB58+CB59-CB66</f>
        <v>0</v>
      </c>
      <c r="CC110" s="137"/>
      <c r="CD110" s="137"/>
      <c r="CE110" s="137"/>
      <c r="CF110" s="137"/>
      <c r="CG110" s="137"/>
      <c r="CH110" s="137"/>
      <c r="CI110" s="137">
        <f>CI58+CI59-CI66</f>
        <v>0</v>
      </c>
    </row>
    <row r="112" spans="2:94" ht="16" x14ac:dyDescent="0.2">
      <c r="B112" s="183" t="s">
        <v>364</v>
      </c>
      <c r="C112" s="214"/>
      <c r="CJ112" s="165">
        <f t="shared" ref="CJ112:CO112" si="47">CJ58*365/CJ6</f>
        <v>0</v>
      </c>
      <c r="CK112" s="165" t="e">
        <f t="shared" si="47"/>
        <v>#DIV/0!</v>
      </c>
      <c r="CL112" s="165">
        <f t="shared" si="47"/>
        <v>0</v>
      </c>
      <c r="CM112" s="165">
        <f t="shared" si="47"/>
        <v>0</v>
      </c>
      <c r="CN112" s="165">
        <f t="shared" si="47"/>
        <v>0</v>
      </c>
      <c r="CO112" s="165">
        <f t="shared" si="47"/>
        <v>0</v>
      </c>
      <c r="CP112" s="165"/>
    </row>
    <row r="113" spans="2:94" x14ac:dyDescent="0.2">
      <c r="B113" s="105" t="s">
        <v>440</v>
      </c>
      <c r="D113" s="165"/>
      <c r="E113" s="165"/>
      <c r="F113" s="165"/>
      <c r="G113" s="165"/>
      <c r="H113" s="165"/>
      <c r="I113" s="165"/>
      <c r="J113" s="165">
        <f>J58*365/J6</f>
        <v>0</v>
      </c>
      <c r="K113" s="165"/>
      <c r="L113" s="165"/>
      <c r="M113" s="165"/>
      <c r="N113" s="165"/>
      <c r="O113" s="165"/>
      <c r="P113" s="165"/>
      <c r="Q113" s="165">
        <f>Q58*365/Q6</f>
        <v>0</v>
      </c>
      <c r="R113" s="165"/>
      <c r="S113" s="165"/>
      <c r="T113" s="165"/>
      <c r="U113" s="165"/>
      <c r="V113" s="165"/>
      <c r="W113" s="165"/>
      <c r="X113" s="165">
        <f>X58*365/X6</f>
        <v>0</v>
      </c>
      <c r="Y113" s="165"/>
      <c r="Z113" s="165"/>
      <c r="AA113" s="165"/>
      <c r="AB113" s="165"/>
      <c r="AC113" s="165"/>
      <c r="AD113" s="165"/>
      <c r="AE113" s="165">
        <f>AE58*365/AE6</f>
        <v>0</v>
      </c>
      <c r="AF113" s="165"/>
      <c r="AG113" s="165"/>
      <c r="AH113" s="165"/>
      <c r="AI113" s="165"/>
      <c r="AJ113" s="165"/>
      <c r="AK113" s="165"/>
      <c r="AL113" s="165">
        <f>AL58*365/AL6</f>
        <v>0</v>
      </c>
      <c r="AM113" s="165"/>
      <c r="AN113" s="165"/>
      <c r="AO113" s="165"/>
      <c r="AP113" s="165"/>
      <c r="AQ113" s="165"/>
      <c r="AR113" s="165"/>
      <c r="AS113" s="165">
        <f>AS58*365/AS6</f>
        <v>0</v>
      </c>
      <c r="AT113" s="165"/>
      <c r="AU113" s="165"/>
      <c r="AV113" s="165"/>
      <c r="AW113" s="165"/>
      <c r="AX113" s="165"/>
      <c r="AY113" s="165"/>
      <c r="AZ113" s="165">
        <f>AZ58*365/AZ6</f>
        <v>0</v>
      </c>
      <c r="BA113" s="165"/>
      <c r="BB113" s="165"/>
      <c r="BC113" s="165"/>
      <c r="BD113" s="165"/>
      <c r="BE113" s="165"/>
      <c r="BF113" s="165"/>
      <c r="BG113" s="165">
        <f>BG58*365/BG6</f>
        <v>0</v>
      </c>
      <c r="BH113" s="165"/>
      <c r="BI113" s="165"/>
      <c r="BJ113" s="165"/>
      <c r="BK113" s="165"/>
      <c r="BL113" s="165"/>
      <c r="BM113" s="165"/>
      <c r="BN113" s="165">
        <f>BN58*365/BN6</f>
        <v>0</v>
      </c>
      <c r="BO113" s="165"/>
      <c r="BP113" s="165"/>
      <c r="BQ113" s="165"/>
      <c r="BR113" s="165"/>
      <c r="BS113" s="165"/>
      <c r="BT113" s="165"/>
      <c r="BU113" s="165">
        <f>BU58*365/BU6</f>
        <v>0</v>
      </c>
      <c r="BV113" s="165"/>
      <c r="BW113" s="165"/>
      <c r="BX113" s="165"/>
      <c r="BY113" s="165"/>
      <c r="BZ113" s="165"/>
      <c r="CA113" s="165"/>
      <c r="CB113" s="165">
        <f>CB58*365/CB6</f>
        <v>0</v>
      </c>
      <c r="CC113" s="165"/>
      <c r="CD113" s="165"/>
      <c r="CE113" s="165"/>
      <c r="CF113" s="165"/>
      <c r="CG113" s="165"/>
      <c r="CH113" s="165"/>
      <c r="CI113" s="165">
        <f>CI58*365/CI6</f>
        <v>0</v>
      </c>
      <c r="CJ113" s="165" t="e">
        <f>#REF!*365/CJ7</f>
        <v>#REF!</v>
      </c>
      <c r="CK113" s="165" t="e">
        <f>#REF!*365/CK7</f>
        <v>#REF!</v>
      </c>
      <c r="CL113" s="165" t="e">
        <f>#REF!*365/CL7</f>
        <v>#REF!</v>
      </c>
      <c r="CM113" s="165" t="e">
        <f>#REF!*365/CM7</f>
        <v>#REF!</v>
      </c>
      <c r="CN113" s="165" t="e">
        <f>#REF!*365/CN7</f>
        <v>#REF!</v>
      </c>
      <c r="CO113" s="165" t="e">
        <f>#REF!*365/CO7</f>
        <v>#REF!</v>
      </c>
      <c r="CP113" s="165"/>
    </row>
    <row r="114" spans="2:94" x14ac:dyDescent="0.2">
      <c r="B114" s="105" t="s">
        <v>441</v>
      </c>
      <c r="D114" s="165"/>
      <c r="E114" s="165"/>
      <c r="F114" s="165"/>
      <c r="G114" s="165"/>
      <c r="H114" s="165"/>
      <c r="I114" s="165"/>
      <c r="J114" s="165" t="e">
        <f>J59*365/J7</f>
        <v>#DIV/0!</v>
      </c>
      <c r="K114" s="165"/>
      <c r="L114" s="165"/>
      <c r="M114" s="165"/>
      <c r="N114" s="165"/>
      <c r="O114" s="165"/>
      <c r="P114" s="165"/>
      <c r="Q114" s="165" t="e">
        <f>Q59*365/Q7</f>
        <v>#DIV/0!</v>
      </c>
      <c r="R114" s="165"/>
      <c r="S114" s="165"/>
      <c r="T114" s="165"/>
      <c r="U114" s="165"/>
      <c r="V114" s="165"/>
      <c r="W114" s="165"/>
      <c r="X114" s="165" t="e">
        <f>X59*365/X7</f>
        <v>#DIV/0!</v>
      </c>
      <c r="Y114" s="165"/>
      <c r="Z114" s="165"/>
      <c r="AA114" s="165"/>
      <c r="AB114" s="165"/>
      <c r="AC114" s="165"/>
      <c r="AD114" s="165"/>
      <c r="AE114" s="165" t="e">
        <f>AE59*365/AE7</f>
        <v>#DIV/0!</v>
      </c>
      <c r="AF114" s="165"/>
      <c r="AG114" s="165"/>
      <c r="AH114" s="165"/>
      <c r="AI114" s="165"/>
      <c r="AJ114" s="165"/>
      <c r="AK114" s="165"/>
      <c r="AL114" s="165" t="e">
        <f>AL59*365/AL7</f>
        <v>#DIV/0!</v>
      </c>
      <c r="AM114" s="165"/>
      <c r="AN114" s="165"/>
      <c r="AO114" s="165"/>
      <c r="AP114" s="165"/>
      <c r="AQ114" s="165"/>
      <c r="AR114" s="165"/>
      <c r="AS114" s="165" t="e">
        <f>AS59*365/AS7</f>
        <v>#DIV/0!</v>
      </c>
      <c r="AT114" s="165"/>
      <c r="AU114" s="165"/>
      <c r="AV114" s="165"/>
      <c r="AW114" s="165"/>
      <c r="AX114" s="165"/>
      <c r="AY114" s="165"/>
      <c r="AZ114" s="165" t="e">
        <f>AZ59*365/AZ7</f>
        <v>#DIV/0!</v>
      </c>
      <c r="BA114" s="165"/>
      <c r="BB114" s="165"/>
      <c r="BC114" s="165"/>
      <c r="BD114" s="165"/>
      <c r="BE114" s="165"/>
      <c r="BF114" s="165"/>
      <c r="BG114" s="165" t="e">
        <f>BG59*365/BG7</f>
        <v>#DIV/0!</v>
      </c>
      <c r="BH114" s="165"/>
      <c r="BI114" s="165"/>
      <c r="BJ114" s="165"/>
      <c r="BK114" s="165"/>
      <c r="BL114" s="165"/>
      <c r="BM114" s="165"/>
      <c r="BN114" s="165" t="e">
        <f>BN59*365/BN7</f>
        <v>#DIV/0!</v>
      </c>
      <c r="BO114" s="165"/>
      <c r="BP114" s="165"/>
      <c r="BQ114" s="165"/>
      <c r="BR114" s="165"/>
      <c r="BS114" s="165"/>
      <c r="BT114" s="165"/>
      <c r="BU114" s="165" t="e">
        <f>BU59*365/BU7</f>
        <v>#DIV/0!</v>
      </c>
      <c r="BV114" s="165"/>
      <c r="BW114" s="165"/>
      <c r="BX114" s="165"/>
      <c r="BY114" s="165"/>
      <c r="BZ114" s="165"/>
      <c r="CA114" s="165"/>
      <c r="CB114" s="165" t="e">
        <f>CB59*365/CB7</f>
        <v>#DIV/0!</v>
      </c>
      <c r="CC114" s="165"/>
      <c r="CD114" s="165"/>
      <c r="CE114" s="165"/>
      <c r="CF114" s="165"/>
      <c r="CG114" s="165"/>
      <c r="CH114" s="165"/>
      <c r="CI114" s="165" t="e">
        <f>CI59*365/CI7</f>
        <v>#DIV/0!</v>
      </c>
      <c r="CJ114" s="165" t="e">
        <f t="shared" ref="CJ114:CO114" si="48">CJ66*365/CJ7</f>
        <v>#DIV/0!</v>
      </c>
      <c r="CK114" s="165" t="e">
        <f t="shared" si="48"/>
        <v>#DIV/0!</v>
      </c>
      <c r="CL114" s="165" t="e">
        <f t="shared" si="48"/>
        <v>#DIV/0!</v>
      </c>
      <c r="CM114" s="165" t="e">
        <f t="shared" si="48"/>
        <v>#DIV/0!</v>
      </c>
      <c r="CN114" s="165" t="e">
        <f t="shared" si="48"/>
        <v>#DIV/0!</v>
      </c>
      <c r="CO114" s="165" t="e">
        <f t="shared" si="48"/>
        <v>#DIV/0!</v>
      </c>
      <c r="CP114" s="165"/>
    </row>
    <row r="115" spans="2:94" x14ac:dyDescent="0.2">
      <c r="B115" s="105" t="s">
        <v>442</v>
      </c>
      <c r="D115" s="165"/>
      <c r="E115" s="165"/>
      <c r="F115" s="165"/>
      <c r="G115" s="165"/>
      <c r="H115" s="165"/>
      <c r="I115" s="165"/>
      <c r="J115" s="165" t="e">
        <f>J66*365/J7</f>
        <v>#DIV/0!</v>
      </c>
      <c r="K115" s="165"/>
      <c r="L115" s="165"/>
      <c r="M115" s="165"/>
      <c r="N115" s="165"/>
      <c r="O115" s="165"/>
      <c r="P115" s="165"/>
      <c r="Q115" s="165" t="e">
        <f>Q66*365/Q7</f>
        <v>#DIV/0!</v>
      </c>
      <c r="R115" s="165"/>
      <c r="S115" s="165"/>
      <c r="T115" s="165"/>
      <c r="U115" s="165"/>
      <c r="V115" s="165"/>
      <c r="W115" s="165"/>
      <c r="X115" s="165" t="e">
        <f>X66*365/X7</f>
        <v>#DIV/0!</v>
      </c>
      <c r="Y115" s="165"/>
      <c r="Z115" s="165"/>
      <c r="AA115" s="165"/>
      <c r="AB115" s="165"/>
      <c r="AC115" s="165"/>
      <c r="AD115" s="165"/>
      <c r="AE115" s="165" t="e">
        <f>AE66*365/AE7</f>
        <v>#DIV/0!</v>
      </c>
      <c r="AF115" s="165"/>
      <c r="AG115" s="165"/>
      <c r="AH115" s="165"/>
      <c r="AI115" s="165"/>
      <c r="AJ115" s="165"/>
      <c r="AK115" s="165"/>
      <c r="AL115" s="165" t="e">
        <f>AL66*365/AL7</f>
        <v>#DIV/0!</v>
      </c>
      <c r="AM115" s="165"/>
      <c r="AN115" s="165"/>
      <c r="AO115" s="165"/>
      <c r="AP115" s="165"/>
      <c r="AQ115" s="165"/>
      <c r="AR115" s="165"/>
      <c r="AS115" s="165" t="e">
        <f>AS66*365/AS7</f>
        <v>#DIV/0!</v>
      </c>
      <c r="AT115" s="165"/>
      <c r="AU115" s="165"/>
      <c r="AV115" s="165"/>
      <c r="AW115" s="165"/>
      <c r="AX115" s="165"/>
      <c r="AY115" s="165"/>
      <c r="AZ115" s="165" t="e">
        <f>AZ66*365/AZ7</f>
        <v>#DIV/0!</v>
      </c>
      <c r="BA115" s="165"/>
      <c r="BB115" s="165"/>
      <c r="BC115" s="165"/>
      <c r="BD115" s="165"/>
      <c r="BE115" s="165"/>
      <c r="BF115" s="165"/>
      <c r="BG115" s="165" t="e">
        <f>BG66*365/BG7</f>
        <v>#DIV/0!</v>
      </c>
      <c r="BH115" s="165"/>
      <c r="BI115" s="165"/>
      <c r="BJ115" s="165"/>
      <c r="BK115" s="165"/>
      <c r="BL115" s="165"/>
      <c r="BM115" s="165"/>
      <c r="BN115" s="165" t="e">
        <f>BN66*365/BN7</f>
        <v>#DIV/0!</v>
      </c>
      <c r="BO115" s="165"/>
      <c r="BP115" s="165"/>
      <c r="BQ115" s="165"/>
      <c r="BR115" s="165"/>
      <c r="BS115" s="165"/>
      <c r="BT115" s="165"/>
      <c r="BU115" s="165" t="e">
        <f>BU66*365/BU7</f>
        <v>#DIV/0!</v>
      </c>
      <c r="BV115" s="165"/>
      <c r="BW115" s="165"/>
      <c r="BX115" s="165"/>
      <c r="BY115" s="165"/>
      <c r="BZ115" s="165"/>
      <c r="CA115" s="165"/>
      <c r="CB115" s="165" t="e">
        <f>CB66*365/CB7</f>
        <v>#DIV/0!</v>
      </c>
      <c r="CC115" s="165"/>
      <c r="CD115" s="165"/>
      <c r="CE115" s="165"/>
      <c r="CF115" s="165"/>
      <c r="CG115" s="165"/>
      <c r="CH115" s="165"/>
      <c r="CI115" s="165" t="e">
        <f>CI66*365/CI7</f>
        <v>#DIV/0!</v>
      </c>
      <c r="CJ115" s="165" t="e">
        <f t="shared" ref="CJ115:CO115" si="49">CJ112+CJ113-CJ114</f>
        <v>#REF!</v>
      </c>
      <c r="CK115" s="165" t="e">
        <f t="shared" si="49"/>
        <v>#DIV/0!</v>
      </c>
      <c r="CL115" s="165" t="e">
        <f t="shared" si="49"/>
        <v>#REF!</v>
      </c>
      <c r="CM115" s="165" t="e">
        <f t="shared" si="49"/>
        <v>#REF!</v>
      </c>
      <c r="CN115" s="165" t="e">
        <f t="shared" si="49"/>
        <v>#REF!</v>
      </c>
      <c r="CO115" s="165" t="e">
        <f t="shared" si="49"/>
        <v>#REF!</v>
      </c>
      <c r="CP115" s="165"/>
    </row>
    <row r="116" spans="2:94" x14ac:dyDescent="0.2">
      <c r="B116" s="105" t="s">
        <v>365</v>
      </c>
      <c r="D116" s="165"/>
      <c r="E116" s="165"/>
      <c r="F116" s="165"/>
      <c r="G116" s="165"/>
      <c r="H116" s="165"/>
      <c r="I116" s="165"/>
      <c r="J116" s="165" t="e">
        <f>J113+J114-J115</f>
        <v>#DIV/0!</v>
      </c>
      <c r="K116" s="165"/>
      <c r="L116" s="165"/>
      <c r="M116" s="165"/>
      <c r="N116" s="165"/>
      <c r="O116" s="165"/>
      <c r="P116" s="165"/>
      <c r="Q116" s="165" t="e">
        <f>Q113+Q114-Q115</f>
        <v>#DIV/0!</v>
      </c>
      <c r="R116" s="165"/>
      <c r="S116" s="165"/>
      <c r="T116" s="165"/>
      <c r="U116" s="165"/>
      <c r="V116" s="165"/>
      <c r="W116" s="165"/>
      <c r="X116" s="165" t="e">
        <f>X113+X114-X115</f>
        <v>#DIV/0!</v>
      </c>
      <c r="Y116" s="165"/>
      <c r="Z116" s="165"/>
      <c r="AA116" s="165"/>
      <c r="AB116" s="165"/>
      <c r="AC116" s="165"/>
      <c r="AD116" s="165"/>
      <c r="AE116" s="165" t="e">
        <f>AE113+AE114-AE115</f>
        <v>#DIV/0!</v>
      </c>
      <c r="AF116" s="165"/>
      <c r="AG116" s="165"/>
      <c r="AH116" s="165"/>
      <c r="AI116" s="165"/>
      <c r="AJ116" s="165"/>
      <c r="AK116" s="165"/>
      <c r="AL116" s="165" t="e">
        <f>AL113+AL114-AL115</f>
        <v>#DIV/0!</v>
      </c>
      <c r="AM116" s="165"/>
      <c r="AN116" s="165"/>
      <c r="AO116" s="165"/>
      <c r="AP116" s="165"/>
      <c r="AQ116" s="165"/>
      <c r="AR116" s="165"/>
      <c r="AS116" s="165" t="e">
        <f>AS113+AS114-AS115</f>
        <v>#DIV/0!</v>
      </c>
      <c r="AT116" s="165"/>
      <c r="AU116" s="165"/>
      <c r="AV116" s="165"/>
      <c r="AW116" s="165"/>
      <c r="AX116" s="165"/>
      <c r="AY116" s="165"/>
      <c r="AZ116" s="165" t="e">
        <f>AZ113+AZ114-AZ115</f>
        <v>#DIV/0!</v>
      </c>
      <c r="BA116" s="165"/>
      <c r="BB116" s="165"/>
      <c r="BC116" s="165"/>
      <c r="BD116" s="165"/>
      <c r="BE116" s="165"/>
      <c r="BF116" s="165"/>
      <c r="BG116" s="165" t="e">
        <f>BG113+BG114-BG115</f>
        <v>#DIV/0!</v>
      </c>
      <c r="BH116" s="165"/>
      <c r="BI116" s="165"/>
      <c r="BJ116" s="165"/>
      <c r="BK116" s="165"/>
      <c r="BL116" s="165"/>
      <c r="BM116" s="165"/>
      <c r="BN116" s="165" t="e">
        <f>BN113+BN114-BN115</f>
        <v>#DIV/0!</v>
      </c>
      <c r="BO116" s="165"/>
      <c r="BP116" s="165"/>
      <c r="BQ116" s="165"/>
      <c r="BR116" s="165"/>
      <c r="BS116" s="165"/>
      <c r="BT116" s="165"/>
      <c r="BU116" s="165" t="e">
        <f>BU113+BU114-BU115</f>
        <v>#DIV/0!</v>
      </c>
      <c r="BV116" s="165"/>
      <c r="BW116" s="165"/>
      <c r="BX116" s="165"/>
      <c r="BY116" s="165"/>
      <c r="BZ116" s="165"/>
      <c r="CA116" s="165"/>
      <c r="CB116" s="165" t="e">
        <f>CB113+CB114-CB115</f>
        <v>#DIV/0!</v>
      </c>
      <c r="CC116" s="165"/>
      <c r="CD116" s="165"/>
      <c r="CE116" s="165"/>
      <c r="CF116" s="165"/>
      <c r="CG116" s="165"/>
      <c r="CH116" s="165"/>
      <c r="CI116" s="165" t="e">
        <f>CI113+CI114-CI115</f>
        <v>#DIV/0!</v>
      </c>
    </row>
    <row r="118" spans="2:94" ht="16" x14ac:dyDescent="0.2">
      <c r="B118" s="183" t="s">
        <v>366</v>
      </c>
      <c r="C118" s="214"/>
      <c r="CJ118" s="166">
        <f t="shared" ref="CJ118:CO118" si="50">CJ8/CJ6</f>
        <v>1</v>
      </c>
      <c r="CK118" s="166" t="e">
        <f t="shared" si="50"/>
        <v>#DIV/0!</v>
      </c>
      <c r="CL118" s="166">
        <f t="shared" si="50"/>
        <v>1</v>
      </c>
      <c r="CM118" s="166">
        <f t="shared" si="50"/>
        <v>1</v>
      </c>
      <c r="CN118" s="166">
        <f t="shared" si="50"/>
        <v>1</v>
      </c>
      <c r="CO118" s="166">
        <f t="shared" si="50"/>
        <v>1</v>
      </c>
      <c r="CP118" s="166"/>
    </row>
    <row r="119" spans="2:94" x14ac:dyDescent="0.2">
      <c r="B119" s="105" t="s">
        <v>367</v>
      </c>
      <c r="D119" s="166"/>
      <c r="E119" s="166"/>
      <c r="F119" s="166"/>
      <c r="G119" s="166"/>
      <c r="H119" s="166"/>
      <c r="I119" s="166"/>
      <c r="J119" s="166">
        <f>J8/J6</f>
        <v>1</v>
      </c>
      <c r="K119" s="166"/>
      <c r="L119" s="166"/>
      <c r="M119" s="166"/>
      <c r="N119" s="166"/>
      <c r="O119" s="166"/>
      <c r="P119" s="166"/>
      <c r="Q119" s="166">
        <f>Q8/Q6</f>
        <v>1</v>
      </c>
      <c r="R119" s="166"/>
      <c r="S119" s="166"/>
      <c r="T119" s="166"/>
      <c r="U119" s="166"/>
      <c r="V119" s="166"/>
      <c r="W119" s="166"/>
      <c r="X119" s="166">
        <f>X8/X6</f>
        <v>1</v>
      </c>
      <c r="Y119" s="166"/>
      <c r="Z119" s="166"/>
      <c r="AA119" s="166"/>
      <c r="AB119" s="166"/>
      <c r="AC119" s="166"/>
      <c r="AD119" s="166"/>
      <c r="AE119" s="166">
        <f>AE8/AE6</f>
        <v>1</v>
      </c>
      <c r="AF119" s="166"/>
      <c r="AG119" s="166"/>
      <c r="AH119" s="166"/>
      <c r="AI119" s="166"/>
      <c r="AJ119" s="166"/>
      <c r="AK119" s="166"/>
      <c r="AL119" s="166">
        <f>AL8/AL6</f>
        <v>1</v>
      </c>
      <c r="AM119" s="166"/>
      <c r="AN119" s="166"/>
      <c r="AO119" s="166"/>
      <c r="AP119" s="166"/>
      <c r="AQ119" s="166"/>
      <c r="AR119" s="166"/>
      <c r="AS119" s="166">
        <f>AS8/AS6</f>
        <v>1</v>
      </c>
      <c r="AT119" s="166"/>
      <c r="AU119" s="166"/>
      <c r="AV119" s="166"/>
      <c r="AW119" s="166"/>
      <c r="AX119" s="166"/>
      <c r="AY119" s="166"/>
      <c r="AZ119" s="166">
        <f>AZ8/AZ6</f>
        <v>1</v>
      </c>
      <c r="BA119" s="166"/>
      <c r="BB119" s="166"/>
      <c r="BC119" s="166"/>
      <c r="BD119" s="166"/>
      <c r="BE119" s="166"/>
      <c r="BF119" s="166"/>
      <c r="BG119" s="166">
        <f>BG8/BG6</f>
        <v>1</v>
      </c>
      <c r="BH119" s="166"/>
      <c r="BI119" s="166"/>
      <c r="BJ119" s="166"/>
      <c r="BK119" s="166"/>
      <c r="BL119" s="166"/>
      <c r="BM119" s="166"/>
      <c r="BN119" s="166">
        <f>BN8/BN6</f>
        <v>1</v>
      </c>
      <c r="BO119" s="166"/>
      <c r="BP119" s="166"/>
      <c r="BQ119" s="166"/>
      <c r="BR119" s="166"/>
      <c r="BS119" s="166"/>
      <c r="BT119" s="166"/>
      <c r="BU119" s="166">
        <f>BU8/BU6</f>
        <v>1</v>
      </c>
      <c r="BV119" s="166"/>
      <c r="BW119" s="166"/>
      <c r="BX119" s="166"/>
      <c r="BY119" s="166"/>
      <c r="BZ119" s="166"/>
      <c r="CA119" s="166"/>
      <c r="CB119" s="166">
        <f>CB8/CB6</f>
        <v>1</v>
      </c>
      <c r="CC119" s="166"/>
      <c r="CD119" s="166"/>
      <c r="CE119" s="166"/>
      <c r="CF119" s="166"/>
      <c r="CG119" s="166"/>
      <c r="CH119" s="166"/>
      <c r="CI119" s="166">
        <f>CI8/CI6</f>
        <v>1</v>
      </c>
      <c r="CJ119" s="166" t="e">
        <f>#REF!/CJ6</f>
        <v>#REF!</v>
      </c>
      <c r="CK119" s="166" t="e">
        <f>CJ16/CK6</f>
        <v>#DIV/0!</v>
      </c>
      <c r="CL119" s="166">
        <f>CL16/CL6</f>
        <v>0.23390089731543631</v>
      </c>
      <c r="CM119" s="166" t="e">
        <f>#REF!/CM6</f>
        <v>#REF!</v>
      </c>
      <c r="CN119" s="166">
        <f>CM16/CN6</f>
        <v>-0.91849561728395057</v>
      </c>
      <c r="CO119" s="166">
        <f>CO16/CO6</f>
        <v>0.83100685490452098</v>
      </c>
      <c r="CP119" s="166"/>
    </row>
    <row r="120" spans="2:94" x14ac:dyDescent="0.2">
      <c r="B120" s="105" t="s">
        <v>443</v>
      </c>
      <c r="D120" s="166"/>
      <c r="E120" s="166"/>
      <c r="F120" s="166"/>
      <c r="G120" s="166"/>
      <c r="H120" s="166"/>
      <c r="I120" s="166"/>
      <c r="J120" s="166">
        <f>J16/J6</f>
        <v>-1.2570159999999999</v>
      </c>
      <c r="K120" s="166"/>
      <c r="L120" s="166"/>
      <c r="M120" s="166"/>
      <c r="N120" s="166"/>
      <c r="O120" s="166"/>
      <c r="P120" s="166"/>
      <c r="Q120" s="166">
        <f>Q16/Q6</f>
        <v>0.81666447876447879</v>
      </c>
      <c r="R120" s="166"/>
      <c r="S120" s="166"/>
      <c r="T120" s="166"/>
      <c r="U120" s="166"/>
      <c r="V120" s="166"/>
      <c r="W120" s="166"/>
      <c r="X120" s="166">
        <f>X16/X6</f>
        <v>0.66184013761467886</v>
      </c>
      <c r="Y120" s="166"/>
      <c r="Z120" s="166"/>
      <c r="AA120" s="166"/>
      <c r="AB120" s="166"/>
      <c r="AC120" s="166"/>
      <c r="AD120" s="166"/>
      <c r="AE120" s="166">
        <f>AE16/AE6</f>
        <v>0.76632261306532667</v>
      </c>
      <c r="AF120" s="166"/>
      <c r="AG120" s="166"/>
      <c r="AH120" s="166"/>
      <c r="AI120" s="166"/>
      <c r="AJ120" s="166"/>
      <c r="AK120" s="166"/>
      <c r="AL120" s="166">
        <f>AL16/AL6</f>
        <v>0.83597543632837745</v>
      </c>
      <c r="AM120" s="166"/>
      <c r="AN120" s="166"/>
      <c r="AO120" s="166"/>
      <c r="AP120" s="166"/>
      <c r="AQ120" s="166"/>
      <c r="AR120" s="166"/>
      <c r="AS120" s="166">
        <f>AS16/AS6</f>
        <v>0.86857103473626174</v>
      </c>
      <c r="AT120" s="166"/>
      <c r="AU120" s="166"/>
      <c r="AV120" s="166"/>
      <c r="AW120" s="166"/>
      <c r="AX120" s="166"/>
      <c r="AY120" s="166"/>
      <c r="AZ120" s="166">
        <f>AZ16/AZ6</f>
        <v>0.5615521383950024</v>
      </c>
      <c r="BA120" s="166"/>
      <c r="BB120" s="166"/>
      <c r="BC120" s="166"/>
      <c r="BD120" s="166"/>
      <c r="BE120" s="166"/>
      <c r="BF120" s="166"/>
      <c r="BG120" s="166">
        <f>BG16/BG6</f>
        <v>0.76386752136752134</v>
      </c>
      <c r="BH120" s="166"/>
      <c r="BI120" s="166"/>
      <c r="BJ120" s="166"/>
      <c r="BK120" s="166"/>
      <c r="BL120" s="166"/>
      <c r="BM120" s="166"/>
      <c r="BN120" s="166">
        <f>BN16/BN6</f>
        <v>0.87631849123981698</v>
      </c>
      <c r="BO120" s="166"/>
      <c r="BP120" s="166"/>
      <c r="BQ120" s="166"/>
      <c r="BR120" s="166"/>
      <c r="BS120" s="166"/>
      <c r="BT120" s="166"/>
      <c r="BU120" s="166">
        <f>BU16/BU6</f>
        <v>-1.3533781277777777</v>
      </c>
      <c r="BV120" s="166"/>
      <c r="BW120" s="166"/>
      <c r="BX120" s="166"/>
      <c r="BY120" s="166"/>
      <c r="BZ120" s="166"/>
      <c r="CA120" s="166"/>
      <c r="CB120" s="166">
        <f>CB16/CB6</f>
        <v>-4.3183203015917337</v>
      </c>
      <c r="CC120" s="166"/>
      <c r="CD120" s="166"/>
      <c r="CE120" s="166"/>
      <c r="CF120" s="166"/>
      <c r="CG120" s="166"/>
      <c r="CH120" s="166"/>
      <c r="CI120" s="166">
        <f>CI16/CI6</f>
        <v>0.74499793103448275</v>
      </c>
      <c r="CJ120" s="168" t="e">
        <f>#REF!+CJ14</f>
        <v>#REF!</v>
      </c>
      <c r="CK120" s="169">
        <f>CJ16+CK14</f>
        <v>11257707</v>
      </c>
      <c r="CL120" s="169">
        <f>CL16+CL14</f>
        <v>3485123.370000001</v>
      </c>
      <c r="CM120" s="168" t="e">
        <f>#REF!+CM14</f>
        <v>#REF!</v>
      </c>
      <c r="CN120" s="169">
        <f>CM16+CN14</f>
        <v>-14879629</v>
      </c>
      <c r="CO120" s="169">
        <f>CO16+CO14</f>
        <v>5091579</v>
      </c>
      <c r="CP120" s="168"/>
    </row>
    <row r="121" spans="2:94" x14ac:dyDescent="0.2">
      <c r="B121" s="105" t="s">
        <v>368</v>
      </c>
      <c r="D121" s="168"/>
      <c r="E121" s="169"/>
      <c r="F121" s="169"/>
      <c r="G121" s="168"/>
      <c r="H121" s="169"/>
      <c r="I121" s="169"/>
      <c r="J121" s="168">
        <f>J16+J15</f>
        <v>-4399556</v>
      </c>
      <c r="K121" s="169"/>
      <c r="L121" s="169"/>
      <c r="M121" s="168"/>
      <c r="N121" s="169"/>
      <c r="O121" s="169"/>
      <c r="P121" s="168"/>
      <c r="Q121" s="168">
        <f>Q16+Q15</f>
        <v>4230322</v>
      </c>
      <c r="R121" s="169"/>
      <c r="S121" s="168"/>
      <c r="T121" s="169"/>
      <c r="U121" s="169"/>
      <c r="V121" s="168"/>
      <c r="W121" s="169"/>
      <c r="X121" s="168">
        <f>X16+X15</f>
        <v>2885623</v>
      </c>
      <c r="Y121" s="168"/>
      <c r="Z121" s="169"/>
      <c r="AA121" s="169"/>
      <c r="AB121" s="168"/>
      <c r="AC121" s="169"/>
      <c r="AD121" s="169"/>
      <c r="AE121" s="168">
        <f>AE16+AE15</f>
        <v>3049964</v>
      </c>
      <c r="AF121" s="169"/>
      <c r="AG121" s="169"/>
      <c r="AH121" s="168"/>
      <c r="AI121" s="169"/>
      <c r="AJ121" s="169"/>
      <c r="AK121" s="168"/>
      <c r="AL121" s="168">
        <f>AL16+AL15</f>
        <v>3879762</v>
      </c>
      <c r="AM121" s="169"/>
      <c r="AN121" s="168"/>
      <c r="AO121" s="169"/>
      <c r="AP121" s="169"/>
      <c r="AQ121" s="168"/>
      <c r="AR121" s="169"/>
      <c r="AS121" s="168">
        <f>AS16+AS15</f>
        <v>4725895</v>
      </c>
      <c r="AT121" s="168"/>
      <c r="AU121" s="169"/>
      <c r="AV121" s="169"/>
      <c r="AW121" s="168"/>
      <c r="AX121" s="169"/>
      <c r="AY121" s="169"/>
      <c r="AZ121" s="168">
        <f>AZ16+AZ15</f>
        <v>1168590</v>
      </c>
      <c r="BA121" s="169"/>
      <c r="BB121" s="169"/>
      <c r="BC121" s="168"/>
      <c r="BD121" s="169"/>
      <c r="BE121" s="169"/>
      <c r="BF121" s="168"/>
      <c r="BG121" s="168">
        <f>BG16+BG15</f>
        <v>5898585</v>
      </c>
      <c r="BH121" s="169"/>
      <c r="BI121" s="168"/>
      <c r="BJ121" s="169"/>
      <c r="BK121" s="169"/>
      <c r="BL121" s="168"/>
      <c r="BM121" s="169"/>
      <c r="BN121" s="168">
        <f>BN16+BN15</f>
        <v>7852690</v>
      </c>
      <c r="BO121" s="168"/>
      <c r="BP121" s="169"/>
      <c r="BQ121" s="169"/>
      <c r="BR121" s="168"/>
      <c r="BS121" s="169"/>
      <c r="BT121" s="169"/>
      <c r="BU121" s="168">
        <f>BU16+BU15</f>
        <v>-2436080.63</v>
      </c>
      <c r="BV121" s="169"/>
      <c r="BW121" s="169"/>
      <c r="BX121" s="168"/>
      <c r="BY121" s="169"/>
      <c r="BZ121" s="169"/>
      <c r="CA121" s="168"/>
      <c r="CB121" s="168">
        <f>CB16+CB15</f>
        <v>-15463905</v>
      </c>
      <c r="CC121" s="169"/>
      <c r="CD121" s="168"/>
      <c r="CE121" s="169"/>
      <c r="CF121" s="169"/>
      <c r="CG121" s="168"/>
      <c r="CH121" s="169"/>
      <c r="CI121" s="168">
        <f>CI16+CI15</f>
        <v>3240741</v>
      </c>
      <c r="CJ121" s="166" t="e">
        <f t="shared" ref="CJ121:CO121" si="51">CJ120/CJ6</f>
        <v>#REF!</v>
      </c>
      <c r="CK121" s="166" t="e">
        <f t="shared" si="51"/>
        <v>#DIV/0!</v>
      </c>
      <c r="CL121" s="166">
        <f t="shared" si="51"/>
        <v>0.23390089731543631</v>
      </c>
      <c r="CM121" s="166" t="e">
        <f t="shared" si="51"/>
        <v>#REF!</v>
      </c>
      <c r="CN121" s="166">
        <f t="shared" si="51"/>
        <v>-0.91849561728395057</v>
      </c>
      <c r="CO121" s="166">
        <f t="shared" si="51"/>
        <v>0.83100685490452098</v>
      </c>
      <c r="CP121" s="166"/>
    </row>
    <row r="122" spans="2:94" x14ac:dyDescent="0.2">
      <c r="B122" s="105" t="s">
        <v>369</v>
      </c>
      <c r="D122" s="166"/>
      <c r="E122" s="166"/>
      <c r="F122" s="166"/>
      <c r="G122" s="166"/>
      <c r="H122" s="166"/>
      <c r="I122" s="166"/>
      <c r="J122" s="166">
        <f>J121/J6</f>
        <v>-1.2570159999999999</v>
      </c>
      <c r="K122" s="166"/>
      <c r="L122" s="166"/>
      <c r="M122" s="166"/>
      <c r="N122" s="166"/>
      <c r="O122" s="166"/>
      <c r="P122" s="166"/>
      <c r="Q122" s="166">
        <f>Q121/Q6</f>
        <v>0.81666447876447879</v>
      </c>
      <c r="R122" s="166"/>
      <c r="S122" s="166"/>
      <c r="T122" s="166"/>
      <c r="U122" s="166"/>
      <c r="V122" s="166"/>
      <c r="W122" s="166"/>
      <c r="X122" s="166">
        <f>X121/X6</f>
        <v>0.66184013761467886</v>
      </c>
      <c r="Y122" s="166"/>
      <c r="Z122" s="166"/>
      <c r="AA122" s="166"/>
      <c r="AB122" s="166"/>
      <c r="AC122" s="166"/>
      <c r="AD122" s="166"/>
      <c r="AE122" s="166">
        <f>AE121/AE6</f>
        <v>0.76632261306532667</v>
      </c>
      <c r="AF122" s="166"/>
      <c r="AG122" s="166"/>
      <c r="AH122" s="166"/>
      <c r="AI122" s="166"/>
      <c r="AJ122" s="166"/>
      <c r="AK122" s="166"/>
      <c r="AL122" s="166">
        <f>AL121/AL6</f>
        <v>0.83597543632837745</v>
      </c>
      <c r="AM122" s="166"/>
      <c r="AN122" s="166"/>
      <c r="AO122" s="166"/>
      <c r="AP122" s="166"/>
      <c r="AQ122" s="166"/>
      <c r="AR122" s="166"/>
      <c r="AS122" s="166">
        <f>AS121/AS6</f>
        <v>0.86857103473626174</v>
      </c>
      <c r="AT122" s="166"/>
      <c r="AU122" s="166"/>
      <c r="AV122" s="166"/>
      <c r="AW122" s="166"/>
      <c r="AX122" s="166"/>
      <c r="AY122" s="166"/>
      <c r="AZ122" s="166">
        <f>AZ121/AZ6</f>
        <v>0.5615521383950024</v>
      </c>
      <c r="BA122" s="166"/>
      <c r="BB122" s="166"/>
      <c r="BC122" s="166"/>
      <c r="BD122" s="166"/>
      <c r="BE122" s="166"/>
      <c r="BF122" s="166"/>
      <c r="BG122" s="166">
        <f>BG121/BG6</f>
        <v>0.76386752136752134</v>
      </c>
      <c r="BH122" s="166"/>
      <c r="BI122" s="166"/>
      <c r="BJ122" s="166"/>
      <c r="BK122" s="166"/>
      <c r="BL122" s="166"/>
      <c r="BM122" s="166"/>
      <c r="BN122" s="166">
        <f>BN121/BN6</f>
        <v>0.87631849123981698</v>
      </c>
      <c r="BO122" s="166"/>
      <c r="BP122" s="166"/>
      <c r="BQ122" s="166"/>
      <c r="BR122" s="166"/>
      <c r="BS122" s="166"/>
      <c r="BT122" s="166"/>
      <c r="BU122" s="166">
        <f>BU121/BU6</f>
        <v>-1.3533781277777777</v>
      </c>
      <c r="BV122" s="166"/>
      <c r="BW122" s="166"/>
      <c r="BX122" s="166"/>
      <c r="BY122" s="166"/>
      <c r="BZ122" s="166"/>
      <c r="CA122" s="166"/>
      <c r="CB122" s="166">
        <f>CB121/CB6</f>
        <v>-4.3183203015917337</v>
      </c>
      <c r="CC122" s="166"/>
      <c r="CD122" s="166"/>
      <c r="CE122" s="166"/>
      <c r="CF122" s="166"/>
      <c r="CG122" s="166"/>
      <c r="CH122" s="166"/>
      <c r="CI122" s="166">
        <f>CI121/CI6</f>
        <v>0.74499793103448275</v>
      </c>
      <c r="CJ122" s="166">
        <f t="shared" ref="CJ122:CO122" si="52">CJ47/CJ6</f>
        <v>0</v>
      </c>
      <c r="CK122" s="166" t="e">
        <f t="shared" si="52"/>
        <v>#DIV/0!</v>
      </c>
      <c r="CL122" s="166">
        <f t="shared" si="52"/>
        <v>0</v>
      </c>
      <c r="CM122" s="166">
        <f t="shared" si="52"/>
        <v>0</v>
      </c>
      <c r="CN122" s="166">
        <f t="shared" si="52"/>
        <v>0</v>
      </c>
      <c r="CO122" s="166">
        <f t="shared" si="52"/>
        <v>0</v>
      </c>
      <c r="CP122" s="166"/>
    </row>
    <row r="123" spans="2:94" x14ac:dyDescent="0.2">
      <c r="B123" s="170" t="s">
        <v>370</v>
      </c>
      <c r="D123" s="166"/>
      <c r="E123" s="166"/>
      <c r="F123" s="166"/>
      <c r="G123" s="166"/>
      <c r="H123" s="166"/>
      <c r="I123" s="166"/>
      <c r="J123" s="166">
        <f>J47/J6</f>
        <v>-2.370503262857143</v>
      </c>
      <c r="K123" s="166"/>
      <c r="L123" s="166"/>
      <c r="M123" s="166"/>
      <c r="N123" s="166"/>
      <c r="O123" s="166"/>
      <c r="P123" s="166"/>
      <c r="Q123" s="166">
        <f>Q47/Q6</f>
        <v>3.3014233590733577E-2</v>
      </c>
      <c r="R123" s="166"/>
      <c r="S123" s="166"/>
      <c r="T123" s="166"/>
      <c r="U123" s="166"/>
      <c r="V123" s="166"/>
      <c r="W123" s="166"/>
      <c r="X123" s="166">
        <f>X47/X6</f>
        <v>-0.21053205045871559</v>
      </c>
      <c r="Y123" s="166"/>
      <c r="Z123" s="166"/>
      <c r="AA123" s="166"/>
      <c r="AB123" s="166"/>
      <c r="AC123" s="166"/>
      <c r="AD123" s="166"/>
      <c r="AE123" s="166">
        <f>AE47/AE6</f>
        <v>0.18953605276381916</v>
      </c>
      <c r="AF123" s="166"/>
      <c r="AG123" s="166"/>
      <c r="AH123" s="166"/>
      <c r="AI123" s="166"/>
      <c r="AJ123" s="166"/>
      <c r="AK123" s="166"/>
      <c r="AL123" s="166">
        <f>AL47/AL6</f>
        <v>0.95331606981254036</v>
      </c>
      <c r="AM123" s="166"/>
      <c r="AN123" s="166"/>
      <c r="AO123" s="166"/>
      <c r="AP123" s="166"/>
      <c r="AQ123" s="166"/>
      <c r="AR123" s="166"/>
      <c r="AS123" s="166">
        <f>AS47/AS6</f>
        <v>0.39451193714390742</v>
      </c>
      <c r="AT123" s="166"/>
      <c r="AU123" s="166"/>
      <c r="AV123" s="166"/>
      <c r="AW123" s="166"/>
      <c r="AX123" s="166"/>
      <c r="AY123" s="166"/>
      <c r="AZ123" s="166">
        <f>AZ47/AZ6</f>
        <v>0.26988549255165784</v>
      </c>
      <c r="BA123" s="166"/>
      <c r="BB123" s="166"/>
      <c r="BC123" s="166"/>
      <c r="BD123" s="166"/>
      <c r="BE123" s="166"/>
      <c r="BF123" s="166"/>
      <c r="BG123" s="166">
        <f>BG47/BG6</f>
        <v>0.34554281274281262</v>
      </c>
      <c r="BH123" s="166"/>
      <c r="BI123" s="166"/>
      <c r="BJ123" s="166"/>
      <c r="BK123" s="166"/>
      <c r="BL123" s="166"/>
      <c r="BM123" s="166"/>
      <c r="BN123" s="166">
        <f>BN47/BN6</f>
        <v>1.0402765316370941</v>
      </c>
      <c r="BO123" s="166"/>
      <c r="BP123" s="166"/>
      <c r="BQ123" s="166"/>
      <c r="BR123" s="166"/>
      <c r="BS123" s="166"/>
      <c r="BT123" s="166"/>
      <c r="BU123" s="166">
        <f>BU47/BU6</f>
        <v>-5.2731636277777767</v>
      </c>
      <c r="BV123" s="166"/>
      <c r="BW123" s="166"/>
      <c r="BX123" s="166"/>
      <c r="BY123" s="166"/>
      <c r="BZ123" s="166"/>
      <c r="CA123" s="166"/>
      <c r="CB123" s="166">
        <f>CB47/CB6</f>
        <v>-4.7249535548729407</v>
      </c>
      <c r="CC123" s="166"/>
      <c r="CD123" s="166"/>
      <c r="CE123" s="166"/>
      <c r="CF123" s="166"/>
      <c r="CG123" s="166"/>
      <c r="CH123" s="166"/>
      <c r="CI123" s="166">
        <f>CI47/CI6</f>
        <v>0.77860358390804607</v>
      </c>
      <c r="CJ123" s="171" t="e">
        <f t="shared" ref="CJ123:CO123" si="53">CJ47/CJ64</f>
        <v>#DIV/0!</v>
      </c>
      <c r="CK123" s="171" t="e">
        <f t="shared" si="53"/>
        <v>#DIV/0!</v>
      </c>
      <c r="CL123" s="171" t="e">
        <f t="shared" si="53"/>
        <v>#DIV/0!</v>
      </c>
      <c r="CM123" s="171" t="e">
        <f t="shared" si="53"/>
        <v>#DIV/0!</v>
      </c>
      <c r="CN123" s="171" t="e">
        <f t="shared" si="53"/>
        <v>#DIV/0!</v>
      </c>
      <c r="CO123" s="171" t="e">
        <f t="shared" si="53"/>
        <v>#DIV/0!</v>
      </c>
      <c r="CP123" s="171"/>
    </row>
    <row r="124" spans="2:94" x14ac:dyDescent="0.2">
      <c r="B124" s="105" t="s">
        <v>371</v>
      </c>
      <c r="D124" s="171"/>
      <c r="E124" s="171"/>
      <c r="F124" s="171"/>
      <c r="G124" s="171"/>
      <c r="H124" s="171"/>
      <c r="I124" s="171"/>
      <c r="J124" s="171">
        <f>J47/J64</f>
        <v>-4.3493344039043915E-3</v>
      </c>
      <c r="K124" s="171"/>
      <c r="L124" s="171"/>
      <c r="M124" s="171"/>
      <c r="N124" s="171"/>
      <c r="O124" s="171"/>
      <c r="P124" s="171"/>
      <c r="Q124" s="171">
        <f>Q47/Q64</f>
        <v>8.9640907727756177E-5</v>
      </c>
      <c r="R124" s="171"/>
      <c r="S124" s="171"/>
      <c r="T124" s="171"/>
      <c r="U124" s="171"/>
      <c r="V124" s="171"/>
      <c r="W124" s="171"/>
      <c r="X124" s="171">
        <f>X47/X64</f>
        <v>-4.8138104623444907E-4</v>
      </c>
      <c r="Y124" s="171"/>
      <c r="Z124" s="171"/>
      <c r="AA124" s="171"/>
      <c r="AB124" s="171"/>
      <c r="AC124" s="171"/>
      <c r="AD124" s="171"/>
      <c r="AE124" s="171">
        <f>AE47/AE64</f>
        <v>3.954462002156413E-4</v>
      </c>
      <c r="AF124" s="171"/>
      <c r="AG124" s="171"/>
      <c r="AH124" s="171"/>
      <c r="AI124" s="171"/>
      <c r="AJ124" s="171"/>
      <c r="AK124" s="171"/>
      <c r="AL124" s="171">
        <f>AL47/AL64</f>
        <v>2.3139548614518508E-3</v>
      </c>
      <c r="AM124" s="171"/>
      <c r="AN124" s="171"/>
      <c r="AO124" s="171"/>
      <c r="AP124" s="171"/>
      <c r="AQ124" s="171"/>
      <c r="AR124" s="171"/>
      <c r="AS124" s="171">
        <f>AS47/AS64</f>
        <v>1.121393377193363E-3</v>
      </c>
      <c r="AT124" s="171"/>
      <c r="AU124" s="171"/>
      <c r="AV124" s="171"/>
      <c r="AW124" s="171"/>
      <c r="AX124" s="171"/>
      <c r="AY124" s="171"/>
      <c r="AZ124" s="171">
        <f>AZ47/AZ64</f>
        <v>2.9332111432720166E-4</v>
      </c>
      <c r="BA124" s="171"/>
      <c r="BB124" s="171"/>
      <c r="BC124" s="171"/>
      <c r="BD124" s="171"/>
      <c r="BE124" s="171"/>
      <c r="BF124" s="171"/>
      <c r="BG124" s="171">
        <f>BG47/BG64</f>
        <v>1.391613318154662E-3</v>
      </c>
      <c r="BH124" s="171"/>
      <c r="BI124" s="171"/>
      <c r="BJ124" s="171"/>
      <c r="BK124" s="171"/>
      <c r="BL124" s="171"/>
      <c r="BM124" s="171"/>
      <c r="BN124" s="171">
        <f>BN47/BN64</f>
        <v>4.7992439793127107E-3</v>
      </c>
      <c r="BO124" s="171"/>
      <c r="BP124" s="171"/>
      <c r="BQ124" s="171"/>
      <c r="BR124" s="171"/>
      <c r="BS124" s="171"/>
      <c r="BT124" s="171"/>
      <c r="BU124" s="171">
        <f>BU47/BU64</f>
        <v>-4.9106473946938347E-3</v>
      </c>
      <c r="BV124" s="171"/>
      <c r="BW124" s="171"/>
      <c r="BX124" s="171"/>
      <c r="BY124" s="171"/>
      <c r="BZ124" s="171"/>
      <c r="CA124" s="171"/>
      <c r="CB124" s="171">
        <f>CB47/CB64</f>
        <v>-8.7465391600769857E-3</v>
      </c>
      <c r="CC124" s="171"/>
      <c r="CD124" s="171"/>
      <c r="CE124" s="171"/>
      <c r="CF124" s="171"/>
      <c r="CG124" s="171"/>
      <c r="CH124" s="171"/>
      <c r="CI124" s="171">
        <f>CI47/CI64</f>
        <v>1.7477541071961938E-3</v>
      </c>
      <c r="CJ124" s="171" t="e">
        <f t="shared" ref="CJ124:CO124" si="54">CJ47/CJ79</f>
        <v>#DIV/0!</v>
      </c>
      <c r="CK124" s="171" t="e">
        <f t="shared" si="54"/>
        <v>#DIV/0!</v>
      </c>
      <c r="CL124" s="171" t="e">
        <f t="shared" si="54"/>
        <v>#DIV/0!</v>
      </c>
      <c r="CM124" s="171" t="e">
        <f t="shared" si="54"/>
        <v>#DIV/0!</v>
      </c>
      <c r="CN124" s="171" t="e">
        <f t="shared" si="54"/>
        <v>#DIV/0!</v>
      </c>
      <c r="CO124" s="171" t="e">
        <f t="shared" si="54"/>
        <v>#DIV/0!</v>
      </c>
      <c r="CP124" s="171"/>
    </row>
    <row r="125" spans="2:94" x14ac:dyDescent="0.2">
      <c r="B125" s="105" t="s">
        <v>372</v>
      </c>
      <c r="D125" s="171"/>
      <c r="E125" s="171"/>
      <c r="F125" s="171"/>
      <c r="G125" s="171"/>
      <c r="H125" s="171"/>
      <c r="I125" s="171"/>
      <c r="J125" s="171">
        <f>J47/J79</f>
        <v>-4.3934046853810879E-3</v>
      </c>
      <c r="K125" s="171"/>
      <c r="L125" s="171"/>
      <c r="M125" s="171"/>
      <c r="N125" s="171"/>
      <c r="O125" s="171"/>
      <c r="P125" s="171"/>
      <c r="Q125" s="171">
        <f>Q47/Q79</f>
        <v>9.0549125389180338E-5</v>
      </c>
      <c r="R125" s="171"/>
      <c r="S125" s="171"/>
      <c r="T125" s="171"/>
      <c r="U125" s="171"/>
      <c r="V125" s="171"/>
      <c r="W125" s="171"/>
      <c r="X125" s="171">
        <f>X47/X79</f>
        <v>-4.8626064163019057E-4</v>
      </c>
      <c r="Y125" s="171"/>
      <c r="Z125" s="171"/>
      <c r="AA125" s="171"/>
      <c r="AB125" s="171"/>
      <c r="AC125" s="171"/>
      <c r="AD125" s="171"/>
      <c r="AE125" s="171">
        <f>AE47/AE79</f>
        <v>3.9945310219328321E-4</v>
      </c>
      <c r="AF125" s="171"/>
      <c r="AG125" s="171"/>
      <c r="AH125" s="171"/>
      <c r="AI125" s="171"/>
      <c r="AJ125" s="171"/>
      <c r="AK125" s="171"/>
      <c r="AL125" s="171">
        <f>AL47/AL79</f>
        <v>2.3373464604082126E-3</v>
      </c>
      <c r="AM125" s="171"/>
      <c r="AN125" s="171"/>
      <c r="AO125" s="171"/>
      <c r="AP125" s="171"/>
      <c r="AQ125" s="171"/>
      <c r="AR125" s="171"/>
      <c r="AS125" s="171">
        <f>AS47/AS79</f>
        <v>1.1327166195304883E-3</v>
      </c>
      <c r="AT125" s="171"/>
      <c r="AU125" s="171"/>
      <c r="AV125" s="171"/>
      <c r="AW125" s="171"/>
      <c r="AX125" s="171"/>
      <c r="AY125" s="171"/>
      <c r="AZ125" s="171">
        <f>AZ47/AZ79</f>
        <v>2.962820396121787E-4</v>
      </c>
      <c r="BA125" s="171"/>
      <c r="BB125" s="171"/>
      <c r="BC125" s="171"/>
      <c r="BD125" s="171"/>
      <c r="BE125" s="171"/>
      <c r="BF125" s="171"/>
      <c r="BG125" s="171">
        <f>BG47/BG79</f>
        <v>1.4056411905683842E-3</v>
      </c>
      <c r="BH125" s="171"/>
      <c r="BI125" s="171"/>
      <c r="BJ125" s="171"/>
      <c r="BK125" s="171"/>
      <c r="BL125" s="171"/>
      <c r="BM125" s="171"/>
      <c r="BN125" s="171">
        <f>BN47/BN79</f>
        <v>4.8867553677731891E-3</v>
      </c>
      <c r="BO125" s="171"/>
      <c r="BP125" s="171"/>
      <c r="BQ125" s="171"/>
      <c r="BR125" s="171"/>
      <c r="BS125" s="171"/>
      <c r="BT125" s="171"/>
      <c r="BU125" s="171">
        <f>BU47/BU79</f>
        <v>-5.0006379297890067E-3</v>
      </c>
      <c r="BV125" s="171"/>
      <c r="BW125" s="171"/>
      <c r="BX125" s="171"/>
      <c r="BY125" s="171"/>
      <c r="BZ125" s="171"/>
      <c r="CA125" s="171"/>
      <c r="CB125" s="171">
        <f>CB47/CB79</f>
        <v>-8.9944016893257761E-3</v>
      </c>
      <c r="CC125" s="171"/>
      <c r="CD125" s="171"/>
      <c r="CE125" s="171"/>
      <c r="CF125" s="171"/>
      <c r="CG125" s="171"/>
      <c r="CH125" s="171"/>
      <c r="CI125" s="171">
        <f>CI47/CI79</f>
        <v>1.7971935707825368E-3</v>
      </c>
    </row>
    <row r="127" spans="2:94" ht="16" x14ac:dyDescent="0.2">
      <c r="B127" s="183" t="s">
        <v>373</v>
      </c>
      <c r="C127" s="214"/>
      <c r="CJ127" s="166" t="e">
        <f t="shared" ref="CJ127:CO127" si="55">CJ73/CJ64</f>
        <v>#DIV/0!</v>
      </c>
      <c r="CK127" s="166" t="e">
        <f t="shared" si="55"/>
        <v>#DIV/0!</v>
      </c>
      <c r="CL127" s="166" t="e">
        <f t="shared" si="55"/>
        <v>#DIV/0!</v>
      </c>
      <c r="CM127" s="166" t="e">
        <f t="shared" si="55"/>
        <v>#DIV/0!</v>
      </c>
      <c r="CN127" s="166" t="e">
        <f t="shared" si="55"/>
        <v>#DIV/0!</v>
      </c>
      <c r="CO127" s="166" t="e">
        <f t="shared" si="55"/>
        <v>#DIV/0!</v>
      </c>
      <c r="CP127" s="166"/>
    </row>
    <row r="128" spans="2:94" x14ac:dyDescent="0.2">
      <c r="B128" s="105" t="s">
        <v>374</v>
      </c>
      <c r="D128" s="166"/>
      <c r="E128" s="166"/>
      <c r="F128" s="166"/>
      <c r="G128" s="166"/>
      <c r="H128" s="166"/>
      <c r="I128" s="166"/>
      <c r="J128" s="166">
        <f>J73/J64</f>
        <v>1.003100889461387E-2</v>
      </c>
      <c r="K128" s="166"/>
      <c r="L128" s="166"/>
      <c r="M128" s="166"/>
      <c r="N128" s="166"/>
      <c r="O128" s="166"/>
      <c r="P128" s="166"/>
      <c r="Q128" s="166">
        <f>Q73/Q64</f>
        <v>1.0030109705871131E-2</v>
      </c>
      <c r="R128" s="166"/>
      <c r="S128" s="166"/>
      <c r="T128" s="166"/>
      <c r="U128" s="166"/>
      <c r="V128" s="166"/>
      <c r="W128" s="166"/>
      <c r="X128" s="166">
        <f>X73/X64</f>
        <v>1.003493801057519E-2</v>
      </c>
      <c r="Y128" s="166"/>
      <c r="Z128" s="166"/>
      <c r="AA128" s="166"/>
      <c r="AB128" s="166"/>
      <c r="AC128" s="166"/>
      <c r="AD128" s="166"/>
      <c r="AE128" s="166">
        <f>AE73/AE64</f>
        <v>1.0030969732469508E-2</v>
      </c>
      <c r="AF128" s="166"/>
      <c r="AG128" s="166"/>
      <c r="AH128" s="166"/>
      <c r="AI128" s="166"/>
      <c r="AJ128" s="166"/>
      <c r="AK128" s="166"/>
      <c r="AL128" s="166">
        <f>AL73/AL64</f>
        <v>1.0007758521291986E-2</v>
      </c>
      <c r="AM128" s="166"/>
      <c r="AN128" s="166"/>
      <c r="AO128" s="166"/>
      <c r="AP128" s="166"/>
      <c r="AQ128" s="166"/>
      <c r="AR128" s="166"/>
      <c r="AS128" s="166">
        <f>AS73/AS64</f>
        <v>9.9965358871656577E-3</v>
      </c>
      <c r="AT128" s="166"/>
      <c r="AU128" s="166"/>
      <c r="AV128" s="166"/>
      <c r="AW128" s="166"/>
      <c r="AX128" s="166"/>
      <c r="AY128" s="166"/>
      <c r="AZ128" s="166">
        <f>AZ73/AZ64</f>
        <v>9.9936036921198217E-3</v>
      </c>
      <c r="BA128" s="166"/>
      <c r="BB128" s="166"/>
      <c r="BC128" s="166"/>
      <c r="BD128" s="166"/>
      <c r="BE128" s="166"/>
      <c r="BF128" s="166"/>
      <c r="BG128" s="166">
        <f>BG73/BG64</f>
        <v>9.9796964601255068E-3</v>
      </c>
      <c r="BH128" s="166"/>
      <c r="BI128" s="166"/>
      <c r="BJ128" s="166"/>
      <c r="BK128" s="166"/>
      <c r="BL128" s="166"/>
      <c r="BM128" s="166"/>
      <c r="BN128" s="166">
        <f>BN73/BN64</f>
        <v>1.790787176243604E-2</v>
      </c>
      <c r="BO128" s="166"/>
      <c r="BP128" s="166"/>
      <c r="BQ128" s="166"/>
      <c r="BR128" s="166"/>
      <c r="BS128" s="166"/>
      <c r="BT128" s="166"/>
      <c r="BU128" s="166">
        <f>BU73/BU64</f>
        <v>1.7995811006250757E-2</v>
      </c>
      <c r="BV128" s="166"/>
      <c r="BW128" s="166"/>
      <c r="BX128" s="166"/>
      <c r="BY128" s="166"/>
      <c r="BZ128" s="166"/>
      <c r="CA128" s="166"/>
      <c r="CB128" s="166">
        <f>CB73/CB64</f>
        <v>2.7557422695824681E-2</v>
      </c>
      <c r="CC128" s="166"/>
      <c r="CD128" s="166"/>
      <c r="CE128" s="166"/>
      <c r="CF128" s="166"/>
      <c r="CG128" s="166"/>
      <c r="CH128" s="166"/>
      <c r="CI128" s="166">
        <f>CI73/CI64</f>
        <v>2.7509259097124313E-2</v>
      </c>
      <c r="CJ128" s="164" t="e">
        <f t="shared" ref="CJ128:CO128" si="56">CJ73/CJ79</f>
        <v>#DIV/0!</v>
      </c>
      <c r="CK128" s="164" t="e">
        <f t="shared" si="56"/>
        <v>#DIV/0!</v>
      </c>
      <c r="CL128" s="164" t="e">
        <f t="shared" si="56"/>
        <v>#DIV/0!</v>
      </c>
      <c r="CM128" s="164" t="e">
        <f t="shared" si="56"/>
        <v>#DIV/0!</v>
      </c>
      <c r="CN128" s="164" t="e">
        <f t="shared" si="56"/>
        <v>#DIV/0!</v>
      </c>
      <c r="CO128" s="164" t="e">
        <f t="shared" si="56"/>
        <v>#DIV/0!</v>
      </c>
      <c r="CP128" s="164"/>
    </row>
    <row r="129" spans="2:94" x14ac:dyDescent="0.2">
      <c r="B129" s="105" t="s">
        <v>375</v>
      </c>
      <c r="D129" s="164"/>
      <c r="E129" s="164"/>
      <c r="F129" s="164"/>
      <c r="G129" s="164"/>
      <c r="H129" s="164"/>
      <c r="I129" s="164"/>
      <c r="J129" s="164">
        <f>J73/J79</f>
        <v>1.0132649592805305E-2</v>
      </c>
      <c r="K129" s="164"/>
      <c r="L129" s="164"/>
      <c r="M129" s="164"/>
      <c r="N129" s="164"/>
      <c r="O129" s="164"/>
      <c r="P129" s="164"/>
      <c r="Q129" s="164">
        <f>Q73/Q79</f>
        <v>1.0131732090246802E-2</v>
      </c>
      <c r="R129" s="164"/>
      <c r="S129" s="164"/>
      <c r="T129" s="164"/>
      <c r="U129" s="164"/>
      <c r="V129" s="164"/>
      <c r="W129" s="164"/>
      <c r="X129" s="164">
        <f>X73/X79</f>
        <v>1.0136658752793831E-2</v>
      </c>
      <c r="Y129" s="164"/>
      <c r="Z129" s="164"/>
      <c r="AA129" s="164"/>
      <c r="AB129" s="164"/>
      <c r="AC129" s="164"/>
      <c r="AD129" s="164"/>
      <c r="AE129" s="164">
        <f>AE73/AE79</f>
        <v>1.0132609633009153E-2</v>
      </c>
      <c r="AF129" s="164"/>
      <c r="AG129" s="164"/>
      <c r="AH129" s="164"/>
      <c r="AI129" s="164"/>
      <c r="AJ129" s="164"/>
      <c r="AK129" s="164"/>
      <c r="AL129" s="164">
        <f>AL73/AL79</f>
        <v>1.010892621374874E-2</v>
      </c>
      <c r="AM129" s="164"/>
      <c r="AN129" s="164"/>
      <c r="AO129" s="164"/>
      <c r="AP129" s="164"/>
      <c r="AQ129" s="164"/>
      <c r="AR129" s="164"/>
      <c r="AS129" s="164">
        <f>AS73/AS79</f>
        <v>1.009747566502082E-2</v>
      </c>
      <c r="AT129" s="164"/>
      <c r="AU129" s="164"/>
      <c r="AV129" s="164"/>
      <c r="AW129" s="164"/>
      <c r="AX129" s="164"/>
      <c r="AY129" s="164"/>
      <c r="AZ129" s="164">
        <f>AZ73/AZ79</f>
        <v>1.0094483964335852E-2</v>
      </c>
      <c r="BA129" s="164"/>
      <c r="BB129" s="164"/>
      <c r="BC129" s="164"/>
      <c r="BD129" s="164"/>
      <c r="BE129" s="164"/>
      <c r="BF129" s="164"/>
      <c r="BG129" s="164">
        <f>BG73/BG79</f>
        <v>1.008029474187805E-2</v>
      </c>
      <c r="BH129" s="164"/>
      <c r="BI129" s="164"/>
      <c r="BJ129" s="164"/>
      <c r="BK129" s="164"/>
      <c r="BL129" s="164"/>
      <c r="BM129" s="164"/>
      <c r="BN129" s="164">
        <f>BN73/BN79</f>
        <v>1.8234411260960846E-2</v>
      </c>
      <c r="BO129" s="164"/>
      <c r="BP129" s="164"/>
      <c r="BQ129" s="164"/>
      <c r="BR129" s="164"/>
      <c r="BS129" s="164"/>
      <c r="BT129" s="164"/>
      <c r="BU129" s="164">
        <f>BU73/BU79</f>
        <v>1.8325594949539777E-2</v>
      </c>
      <c r="BV129" s="164"/>
      <c r="BW129" s="164"/>
      <c r="BX129" s="164"/>
      <c r="BY129" s="164"/>
      <c r="BZ129" s="164"/>
      <c r="CA129" s="164"/>
      <c r="CB129" s="164">
        <f>CB73/CB79</f>
        <v>2.8338354715216108E-2</v>
      </c>
      <c r="CC129" s="164"/>
      <c r="CD129" s="164"/>
      <c r="CE129" s="164"/>
      <c r="CF129" s="164"/>
      <c r="CG129" s="164"/>
      <c r="CH129" s="164"/>
      <c r="CI129" s="164">
        <f>CI73/CI79</f>
        <v>2.8287425206315366E-2</v>
      </c>
      <c r="CJ129" s="139" t="e">
        <f t="shared" ref="CJ129:CO129" si="57">CJ44/CJ120</f>
        <v>#REF!</v>
      </c>
      <c r="CK129" s="139">
        <f t="shared" si="57"/>
        <v>0</v>
      </c>
      <c r="CL129" s="139">
        <f t="shared" si="57"/>
        <v>0</v>
      </c>
      <c r="CM129" s="139" t="e">
        <f t="shared" si="57"/>
        <v>#REF!</v>
      </c>
      <c r="CN129" s="139">
        <f t="shared" si="57"/>
        <v>0</v>
      </c>
      <c r="CO129" s="139">
        <f t="shared" si="57"/>
        <v>0</v>
      </c>
      <c r="CP129" s="139"/>
    </row>
    <row r="130" spans="2:94" x14ac:dyDescent="0.2">
      <c r="B130" s="105" t="s">
        <v>376</v>
      </c>
      <c r="D130" s="139"/>
      <c r="E130" s="139"/>
      <c r="F130" s="139"/>
      <c r="G130" s="139"/>
      <c r="H130" s="139"/>
      <c r="I130" s="139"/>
      <c r="J130" s="217">
        <f>J44/J121</f>
        <v>0</v>
      </c>
      <c r="K130" s="139"/>
      <c r="L130" s="139"/>
      <c r="M130" s="139"/>
      <c r="N130" s="139"/>
      <c r="O130" s="139"/>
      <c r="P130" s="139"/>
      <c r="Q130" s="217">
        <f>Q44/Q121</f>
        <v>0</v>
      </c>
      <c r="R130" s="139"/>
      <c r="S130" s="139"/>
      <c r="T130" s="139"/>
      <c r="U130" s="139"/>
      <c r="V130" s="139"/>
      <c r="W130" s="139"/>
      <c r="X130" s="217">
        <f>X44/X121</f>
        <v>0</v>
      </c>
      <c r="Y130" s="139"/>
      <c r="Z130" s="139"/>
      <c r="AA130" s="139"/>
      <c r="AB130" s="139"/>
      <c r="AC130" s="139"/>
      <c r="AD130" s="139"/>
      <c r="AE130" s="217">
        <f>AE44/AE121</f>
        <v>0</v>
      </c>
      <c r="AF130" s="139"/>
      <c r="AG130" s="139"/>
      <c r="AH130" s="139"/>
      <c r="AI130" s="139"/>
      <c r="AJ130" s="139"/>
      <c r="AK130" s="139"/>
      <c r="AL130" s="217">
        <f>AL44/AL121</f>
        <v>0</v>
      </c>
      <c r="AM130" s="139"/>
      <c r="AN130" s="139"/>
      <c r="AO130" s="139"/>
      <c r="AP130" s="139"/>
      <c r="AQ130" s="139"/>
      <c r="AR130" s="139"/>
      <c r="AS130" s="217">
        <f>AS44/AS121</f>
        <v>0</v>
      </c>
      <c r="AT130" s="139"/>
      <c r="AU130" s="139"/>
      <c r="AV130" s="139"/>
      <c r="AW130" s="139"/>
      <c r="AX130" s="139"/>
      <c r="AY130" s="139"/>
      <c r="AZ130" s="217">
        <f>AZ44/AZ121</f>
        <v>0</v>
      </c>
      <c r="BA130" s="139"/>
      <c r="BB130" s="139"/>
      <c r="BC130" s="139"/>
      <c r="BD130" s="139"/>
      <c r="BE130" s="139"/>
      <c r="BF130" s="139"/>
      <c r="BG130" s="217">
        <f>BG44/BG121</f>
        <v>0</v>
      </c>
      <c r="BH130" s="139"/>
      <c r="BI130" s="139"/>
      <c r="BJ130" s="139"/>
      <c r="BK130" s="139"/>
      <c r="BL130" s="139"/>
      <c r="BM130" s="139"/>
      <c r="BN130" s="217">
        <f>BN44/BN121</f>
        <v>0</v>
      </c>
      <c r="BO130" s="139"/>
      <c r="BP130" s="139"/>
      <c r="BQ130" s="139"/>
      <c r="BR130" s="139"/>
      <c r="BS130" s="139"/>
      <c r="BT130" s="139"/>
      <c r="BU130" s="217">
        <f>BU44/BU121</f>
        <v>0</v>
      </c>
      <c r="BV130" s="139"/>
      <c r="BW130" s="139"/>
      <c r="BX130" s="139"/>
      <c r="BY130" s="139"/>
      <c r="BZ130" s="139"/>
      <c r="CA130" s="139"/>
      <c r="CB130" s="217">
        <f>CB44/CB121</f>
        <v>0</v>
      </c>
      <c r="CC130" s="139"/>
      <c r="CD130" s="139"/>
      <c r="CE130" s="139"/>
      <c r="CF130" s="139"/>
      <c r="CG130" s="139"/>
      <c r="CH130" s="139"/>
      <c r="CI130" s="217">
        <f>CI44/CI121</f>
        <v>0</v>
      </c>
      <c r="CJ130" s="164" t="e">
        <f t="shared" ref="CJ130:CO130" si="58">CJ120/(CJ44+CJ68)</f>
        <v>#REF!</v>
      </c>
      <c r="CK130" s="164" t="e">
        <f t="shared" si="58"/>
        <v>#DIV/0!</v>
      </c>
      <c r="CL130" s="164" t="e">
        <f t="shared" si="58"/>
        <v>#DIV/0!</v>
      </c>
      <c r="CM130" s="164" t="e">
        <f t="shared" si="58"/>
        <v>#REF!</v>
      </c>
      <c r="CN130" s="164" t="e">
        <f t="shared" si="58"/>
        <v>#DIV/0!</v>
      </c>
      <c r="CO130" s="164" t="e">
        <f t="shared" si="58"/>
        <v>#DIV/0!</v>
      </c>
      <c r="CP130" s="164"/>
    </row>
    <row r="131" spans="2:94" x14ac:dyDescent="0.2">
      <c r="B131" s="105" t="s">
        <v>377</v>
      </c>
      <c r="D131" s="164"/>
      <c r="E131" s="164"/>
      <c r="F131" s="164"/>
      <c r="G131" s="164"/>
      <c r="H131" s="164"/>
      <c r="I131" s="164"/>
      <c r="J131" s="218" t="e">
        <f>J121/(J44+J68)</f>
        <v>#DIV/0!</v>
      </c>
      <c r="K131" s="164"/>
      <c r="L131" s="164"/>
      <c r="M131" s="164"/>
      <c r="N131" s="164"/>
      <c r="O131" s="164"/>
      <c r="P131" s="164"/>
      <c r="Q131" s="218" t="e">
        <f>Q121/(Q44+Q68)</f>
        <v>#DIV/0!</v>
      </c>
      <c r="R131" s="164"/>
      <c r="S131" s="164"/>
      <c r="T131" s="164"/>
      <c r="U131" s="164"/>
      <c r="V131" s="164"/>
      <c r="W131" s="164"/>
      <c r="X131" s="218" t="e">
        <f>X121/(X44+X68)</f>
        <v>#DIV/0!</v>
      </c>
      <c r="Y131" s="164"/>
      <c r="Z131" s="164"/>
      <c r="AA131" s="164"/>
      <c r="AB131" s="164"/>
      <c r="AC131" s="164"/>
      <c r="AD131" s="164"/>
      <c r="AE131" s="218" t="e">
        <f>AE121/(AE44+AE68)</f>
        <v>#DIV/0!</v>
      </c>
      <c r="AF131" s="164"/>
      <c r="AG131" s="164"/>
      <c r="AH131" s="164"/>
      <c r="AI131" s="164"/>
      <c r="AJ131" s="164"/>
      <c r="AK131" s="164"/>
      <c r="AL131" s="218" t="e">
        <f>AL121/(AL44+AL68)</f>
        <v>#DIV/0!</v>
      </c>
      <c r="AM131" s="164"/>
      <c r="AN131" s="164"/>
      <c r="AO131" s="164"/>
      <c r="AP131" s="164"/>
      <c r="AQ131" s="164"/>
      <c r="AR131" s="164"/>
      <c r="AS131" s="218" t="e">
        <f>AS121/(AS44+AS68)</f>
        <v>#DIV/0!</v>
      </c>
      <c r="AT131" s="164"/>
      <c r="AU131" s="164"/>
      <c r="AV131" s="164"/>
      <c r="AW131" s="164"/>
      <c r="AX131" s="164"/>
      <c r="AY131" s="164"/>
      <c r="AZ131" s="218" t="e">
        <f>AZ121/(AZ44+AZ68)</f>
        <v>#DIV/0!</v>
      </c>
      <c r="BA131" s="164"/>
      <c r="BB131" s="164"/>
      <c r="BC131" s="164"/>
      <c r="BD131" s="164"/>
      <c r="BE131" s="164"/>
      <c r="BF131" s="164"/>
      <c r="BG131" s="218" t="e">
        <f>BG121/(BG44+BG68)</f>
        <v>#DIV/0!</v>
      </c>
      <c r="BH131" s="164"/>
      <c r="BI131" s="164"/>
      <c r="BJ131" s="164"/>
      <c r="BK131" s="164"/>
      <c r="BL131" s="164"/>
      <c r="BM131" s="164"/>
      <c r="BN131" s="218" t="e">
        <f>BN121/(BN44+BN68)</f>
        <v>#DIV/0!</v>
      </c>
      <c r="BO131" s="164"/>
      <c r="BP131" s="164"/>
      <c r="BQ131" s="164"/>
      <c r="BR131" s="164"/>
      <c r="BS131" s="164"/>
      <c r="BT131" s="164"/>
      <c r="BU131" s="218" t="e">
        <f>BU121/(BU44+BU68)</f>
        <v>#DIV/0!</v>
      </c>
      <c r="BV131" s="164"/>
      <c r="BW131" s="164"/>
      <c r="BX131" s="164"/>
      <c r="BY131" s="164"/>
      <c r="BZ131" s="164"/>
      <c r="CA131" s="164"/>
      <c r="CB131" s="218" t="e">
        <f>CB121/(CB44+CB68)</f>
        <v>#DIV/0!</v>
      </c>
      <c r="CC131" s="164"/>
      <c r="CD131" s="164"/>
      <c r="CE131" s="164"/>
      <c r="CF131" s="164"/>
      <c r="CG131" s="164"/>
      <c r="CH131" s="164"/>
      <c r="CI131" s="218" t="e">
        <f>CI121/(CI44+CI68)</f>
        <v>#DIV/0!</v>
      </c>
    </row>
    <row r="133" spans="2:94" ht="16" x14ac:dyDescent="0.2">
      <c r="B133" s="183" t="s">
        <v>378</v>
      </c>
      <c r="C133" s="220"/>
      <c r="CJ133" s="164" t="e">
        <f t="shared" ref="CJ133:CO133" si="59">CJ109/CJ6</f>
        <v>#REF!</v>
      </c>
      <c r="CK133" s="164" t="e">
        <f t="shared" si="59"/>
        <v>#REF!</v>
      </c>
      <c r="CL133" s="164" t="e">
        <f t="shared" si="59"/>
        <v>#REF!</v>
      </c>
      <c r="CM133" s="164" t="e">
        <f t="shared" si="59"/>
        <v>#REF!</v>
      </c>
      <c r="CN133" s="164" t="e">
        <f t="shared" si="59"/>
        <v>#REF!</v>
      </c>
      <c r="CO133" s="164" t="e">
        <f t="shared" si="59"/>
        <v>#REF!</v>
      </c>
      <c r="CP133" s="164"/>
    </row>
    <row r="134" spans="2:94" x14ac:dyDescent="0.2">
      <c r="B134" s="105" t="s">
        <v>379</v>
      </c>
      <c r="D134" s="164"/>
      <c r="E134" s="164"/>
      <c r="F134" s="164"/>
      <c r="G134" s="164"/>
      <c r="H134" s="164"/>
      <c r="I134" s="164"/>
      <c r="J134" s="164">
        <f>J110/J6</f>
        <v>0</v>
      </c>
      <c r="K134" s="164"/>
      <c r="L134" s="164"/>
      <c r="M134" s="164"/>
      <c r="N134" s="164"/>
      <c r="O134" s="164"/>
      <c r="P134" s="164"/>
      <c r="Q134" s="164">
        <f>Q110/Q6</f>
        <v>0</v>
      </c>
      <c r="R134" s="164"/>
      <c r="S134" s="164"/>
      <c r="T134" s="164"/>
      <c r="U134" s="164"/>
      <c r="V134" s="164"/>
      <c r="W134" s="164"/>
      <c r="X134" s="164">
        <f>X110/X6</f>
        <v>0</v>
      </c>
      <c r="Y134" s="164"/>
      <c r="Z134" s="164"/>
      <c r="AA134" s="164"/>
      <c r="AB134" s="164"/>
      <c r="AC134" s="164"/>
      <c r="AD134" s="164"/>
      <c r="AE134" s="164">
        <f>AE110/AE6</f>
        <v>0</v>
      </c>
      <c r="AF134" s="164"/>
      <c r="AG134" s="164"/>
      <c r="AH134" s="164"/>
      <c r="AI134" s="164"/>
      <c r="AJ134" s="164"/>
      <c r="AK134" s="164"/>
      <c r="AL134" s="164">
        <f>AL110/AL6</f>
        <v>0</v>
      </c>
      <c r="AM134" s="164"/>
      <c r="AN134" s="164"/>
      <c r="AO134" s="164"/>
      <c r="AP134" s="164"/>
      <c r="AQ134" s="164"/>
      <c r="AR134" s="164"/>
      <c r="AS134" s="164">
        <f>AS110/AS6</f>
        <v>0</v>
      </c>
      <c r="AT134" s="164"/>
      <c r="AU134" s="164"/>
      <c r="AV134" s="164"/>
      <c r="AW134" s="164"/>
      <c r="AX134" s="164"/>
      <c r="AY134" s="164"/>
      <c r="AZ134" s="164">
        <f>AZ110/AZ6</f>
        <v>0</v>
      </c>
      <c r="BA134" s="164"/>
      <c r="BB134" s="164"/>
      <c r="BC134" s="164"/>
      <c r="BD134" s="164"/>
      <c r="BE134" s="164"/>
      <c r="BF134" s="164"/>
      <c r="BG134" s="164">
        <f>BG110/BG6</f>
        <v>0</v>
      </c>
      <c r="BH134" s="164"/>
      <c r="BI134" s="164"/>
      <c r="BJ134" s="164"/>
      <c r="BK134" s="164"/>
      <c r="BL134" s="164"/>
      <c r="BM134" s="164"/>
      <c r="BN134" s="164">
        <f>BN110/BN6</f>
        <v>0</v>
      </c>
      <c r="BO134" s="164"/>
      <c r="BP134" s="164"/>
      <c r="BQ134" s="164"/>
      <c r="BR134" s="164"/>
      <c r="BS134" s="164"/>
      <c r="BT134" s="164"/>
      <c r="BU134" s="164">
        <f>BU110/BU6</f>
        <v>0</v>
      </c>
      <c r="BV134" s="164"/>
      <c r="BW134" s="164"/>
      <c r="BX134" s="164"/>
      <c r="BY134" s="164"/>
      <c r="BZ134" s="164"/>
      <c r="CA134" s="164"/>
      <c r="CB134" s="164">
        <f>CB110/CB6</f>
        <v>0</v>
      </c>
      <c r="CC134" s="164"/>
      <c r="CD134" s="164"/>
      <c r="CE134" s="164"/>
      <c r="CF134" s="164"/>
      <c r="CG134" s="164"/>
      <c r="CH134" s="164"/>
      <c r="CI134" s="164">
        <f>CI110/CI6</f>
        <v>0</v>
      </c>
      <c r="CJ134" s="174">
        <f t="shared" ref="CJ134:CO134" si="60">CJ6/CJ62</f>
        <v>5.4079609645572277E-2</v>
      </c>
      <c r="CK134" s="174">
        <f t="shared" si="60"/>
        <v>0</v>
      </c>
      <c r="CL134" s="174">
        <f t="shared" si="60"/>
        <v>6.2121589879100554E-2</v>
      </c>
      <c r="CM134" s="174">
        <f t="shared" si="60"/>
        <v>6.7297359195250428E-2</v>
      </c>
      <c r="CN134" s="174">
        <f t="shared" si="60"/>
        <v>7.5136707064241887E-2</v>
      </c>
      <c r="CO134" s="174">
        <f t="shared" si="60"/>
        <v>5.5358599690930058E-2</v>
      </c>
      <c r="CP134" s="174"/>
    </row>
    <row r="135" spans="2:94" x14ac:dyDescent="0.2">
      <c r="B135" s="105" t="s">
        <v>444</v>
      </c>
      <c r="D135" s="174"/>
      <c r="E135" s="174"/>
      <c r="F135" s="174"/>
      <c r="G135" s="174"/>
      <c r="H135" s="174"/>
      <c r="I135" s="174"/>
      <c r="J135" s="219">
        <f>J6/J62</f>
        <v>1.8560368933332569E-3</v>
      </c>
      <c r="K135" s="174"/>
      <c r="L135" s="174"/>
      <c r="M135" s="174"/>
      <c r="N135" s="174"/>
      <c r="O135" s="174"/>
      <c r="P135" s="174"/>
      <c r="Q135" s="219">
        <f>Q6/Q62</f>
        <v>2.7469346021332204E-3</v>
      </c>
      <c r="R135" s="174"/>
      <c r="S135" s="174"/>
      <c r="T135" s="174"/>
      <c r="U135" s="174"/>
      <c r="V135" s="174"/>
      <c r="W135" s="174"/>
      <c r="X135" s="219">
        <f>X6/X62</f>
        <v>2.3120916728380002E-3</v>
      </c>
      <c r="Y135" s="174"/>
      <c r="Z135" s="174"/>
      <c r="AA135" s="174"/>
      <c r="AB135" s="174"/>
      <c r="AC135" s="174"/>
      <c r="AD135" s="174"/>
      <c r="AE135" s="219">
        <f>AE6/AE62</f>
        <v>2.1105790958475322E-3</v>
      </c>
      <c r="AF135" s="174"/>
      <c r="AG135" s="174"/>
      <c r="AH135" s="174"/>
      <c r="AI135" s="174"/>
      <c r="AJ135" s="174"/>
      <c r="AK135" s="174"/>
      <c r="AL135" s="219">
        <f>AL6/AL62</f>
        <v>2.4611049205598987E-3</v>
      </c>
      <c r="AM135" s="174"/>
      <c r="AN135" s="174"/>
      <c r="AO135" s="174"/>
      <c r="AP135" s="174"/>
      <c r="AQ135" s="174"/>
      <c r="AR135" s="174"/>
      <c r="AS135" s="219">
        <f>AS6/AS62</f>
        <v>2.8853419247503575E-3</v>
      </c>
      <c r="AT135" s="174"/>
      <c r="AU135" s="174"/>
      <c r="AV135" s="174"/>
      <c r="AW135" s="174"/>
      <c r="AX135" s="174"/>
      <c r="AY135" s="174"/>
      <c r="AZ135" s="219">
        <f>AZ6/AZ62</f>
        <v>1.1035465071504308E-3</v>
      </c>
      <c r="BA135" s="174"/>
      <c r="BB135" s="174"/>
      <c r="BC135" s="174"/>
      <c r="BD135" s="174"/>
      <c r="BE135" s="174"/>
      <c r="BF135" s="174"/>
      <c r="BG135" s="219">
        <f>BG6/BG62</f>
        <v>4.0949476829484025E-3</v>
      </c>
      <c r="BH135" s="174"/>
      <c r="BI135" s="174"/>
      <c r="BJ135" s="174"/>
      <c r="BK135" s="174"/>
      <c r="BL135" s="174"/>
      <c r="BM135" s="174"/>
      <c r="BN135" s="219">
        <f>BN6/BN62</f>
        <v>4.7519847431883762E-3</v>
      </c>
      <c r="BO135" s="174"/>
      <c r="BP135" s="174"/>
      <c r="BQ135" s="174"/>
      <c r="BR135" s="174"/>
      <c r="BS135" s="174"/>
      <c r="BT135" s="174"/>
      <c r="BU135" s="219">
        <f>BU6/BU62</f>
        <v>9.5453325942853218E-4</v>
      </c>
      <c r="BV135" s="174"/>
      <c r="BW135" s="174"/>
      <c r="BX135" s="174"/>
      <c r="BY135" s="174"/>
      <c r="BZ135" s="174"/>
      <c r="CA135" s="174"/>
      <c r="CB135" s="219">
        <f>CB6/CB62</f>
        <v>1.8989908900075409E-3</v>
      </c>
      <c r="CC135" s="174"/>
      <c r="CD135" s="174"/>
      <c r="CE135" s="174"/>
      <c r="CF135" s="174"/>
      <c r="CG135" s="174"/>
      <c r="CH135" s="174"/>
      <c r="CI135" s="219">
        <f>CI6/CI62</f>
        <v>2.3067887102856195E-3</v>
      </c>
    </row>
    <row r="137" spans="2:94" ht="16" x14ac:dyDescent="0.2">
      <c r="B137" s="183" t="s">
        <v>380</v>
      </c>
      <c r="C137" s="220"/>
      <c r="CJ137" s="171" t="e">
        <f t="shared" ref="CJ137:CO137" si="61">CJ46/CJ45</f>
        <v>#DIV/0!</v>
      </c>
      <c r="CK137" s="171" t="e">
        <f t="shared" si="61"/>
        <v>#DIV/0!</v>
      </c>
      <c r="CL137" s="171" t="e">
        <f t="shared" si="61"/>
        <v>#DIV/0!</v>
      </c>
      <c r="CM137" s="171" t="e">
        <f t="shared" si="61"/>
        <v>#DIV/0!</v>
      </c>
      <c r="CN137" s="171" t="e">
        <f t="shared" si="61"/>
        <v>#DIV/0!</v>
      </c>
      <c r="CO137" s="171" t="e">
        <f t="shared" si="61"/>
        <v>#DIV/0!</v>
      </c>
      <c r="CP137" s="171"/>
    </row>
    <row r="138" spans="2:94" x14ac:dyDescent="0.2">
      <c r="B138" s="105" t="s">
        <v>381</v>
      </c>
      <c r="D138" s="171"/>
      <c r="E138" s="171"/>
      <c r="F138" s="171"/>
      <c r="G138" s="171"/>
      <c r="H138" s="171"/>
      <c r="I138" s="171"/>
      <c r="J138" s="171">
        <f>J46/J45</f>
        <v>0</v>
      </c>
      <c r="K138" s="171"/>
      <c r="L138" s="171"/>
      <c r="M138" s="171"/>
      <c r="N138" s="171"/>
      <c r="O138" s="171"/>
      <c r="P138" s="171"/>
      <c r="Q138" s="171">
        <f>Q46/Q45</f>
        <v>0</v>
      </c>
      <c r="R138" s="171"/>
      <c r="S138" s="171"/>
      <c r="T138" s="171"/>
      <c r="U138" s="171"/>
      <c r="V138" s="171"/>
      <c r="W138" s="171"/>
      <c r="X138" s="171">
        <f>X46/X45</f>
        <v>0</v>
      </c>
      <c r="Y138" s="171"/>
      <c r="Z138" s="171"/>
      <c r="AA138" s="171"/>
      <c r="AB138" s="171"/>
      <c r="AC138" s="171"/>
      <c r="AD138" s="171"/>
      <c r="AE138" s="171">
        <f>AE46/AE45</f>
        <v>0</v>
      </c>
      <c r="AF138" s="171"/>
      <c r="AG138" s="171"/>
      <c r="AH138" s="171"/>
      <c r="AI138" s="171"/>
      <c r="AJ138" s="171"/>
      <c r="AK138" s="171"/>
      <c r="AL138" s="171">
        <f>AL46/AL45</f>
        <v>0</v>
      </c>
      <c r="AM138" s="171"/>
      <c r="AN138" s="171"/>
      <c r="AO138" s="171"/>
      <c r="AP138" s="171"/>
      <c r="AQ138" s="171"/>
      <c r="AR138" s="171"/>
      <c r="AS138" s="171">
        <f>AS46/AS45</f>
        <v>0</v>
      </c>
      <c r="AT138" s="171"/>
      <c r="AU138" s="171"/>
      <c r="AV138" s="171"/>
      <c r="AW138" s="171"/>
      <c r="AX138" s="171"/>
      <c r="AY138" s="171"/>
      <c r="AZ138" s="171">
        <f>AZ46/AZ45</f>
        <v>0</v>
      </c>
      <c r="BA138" s="171"/>
      <c r="BB138" s="171"/>
      <c r="BC138" s="171"/>
      <c r="BD138" s="171"/>
      <c r="BE138" s="171"/>
      <c r="BF138" s="171"/>
      <c r="BG138" s="171">
        <f>BG46/BG45</f>
        <v>0</v>
      </c>
      <c r="BH138" s="171"/>
      <c r="BI138" s="171"/>
      <c r="BJ138" s="171"/>
      <c r="BK138" s="171"/>
      <c r="BL138" s="171"/>
      <c r="BM138" s="171"/>
      <c r="BN138" s="171">
        <f>BN46/BN45</f>
        <v>0</v>
      </c>
      <c r="BO138" s="171"/>
      <c r="BP138" s="171"/>
      <c r="BQ138" s="171"/>
      <c r="BR138" s="171"/>
      <c r="BS138" s="171"/>
      <c r="BT138" s="171"/>
      <c r="BU138" s="171">
        <f>BU46/BU45</f>
        <v>0</v>
      </c>
      <c r="BV138" s="171"/>
      <c r="BW138" s="171"/>
      <c r="BX138" s="171"/>
      <c r="BY138" s="171"/>
      <c r="BZ138" s="171"/>
      <c r="CA138" s="171"/>
      <c r="CB138" s="171">
        <f>CB46/CB45</f>
        <v>0</v>
      </c>
      <c r="CC138" s="171"/>
      <c r="CD138" s="171"/>
      <c r="CE138" s="171"/>
      <c r="CF138" s="171"/>
      <c r="CG138" s="171"/>
      <c r="CH138" s="171"/>
      <c r="CI138" s="171">
        <f>CI46/CI45</f>
        <v>0</v>
      </c>
      <c r="CJ138" s="137" t="e">
        <f>#REF!*(1-CJ137)</f>
        <v>#REF!</v>
      </c>
      <c r="CK138" s="137" t="e">
        <f>CJ16*(1-CK137)</f>
        <v>#DIV/0!</v>
      </c>
      <c r="CL138" s="137" t="e">
        <f>CL16*(1-CL137)</f>
        <v>#DIV/0!</v>
      </c>
      <c r="CM138" s="137" t="e">
        <f>#REF!*(1-CM137)</f>
        <v>#REF!</v>
      </c>
      <c r="CN138" s="137" t="e">
        <f>CM16*(1-CN137)</f>
        <v>#DIV/0!</v>
      </c>
      <c r="CO138" s="137" t="e">
        <f>CO16*(1-CO137)</f>
        <v>#DIV/0!</v>
      </c>
      <c r="CP138" s="137"/>
    </row>
    <row r="139" spans="2:94" x14ac:dyDescent="0.2">
      <c r="B139" s="105" t="s">
        <v>382</v>
      </c>
      <c r="D139" s="137"/>
      <c r="E139" s="137"/>
      <c r="F139" s="137"/>
      <c r="G139" s="137"/>
      <c r="H139" s="137"/>
      <c r="I139" s="137"/>
      <c r="J139" s="137">
        <f>J16*(1-J138)</f>
        <v>-4399556</v>
      </c>
      <c r="K139" s="137"/>
      <c r="L139" s="137"/>
      <c r="M139" s="137"/>
      <c r="N139" s="137"/>
      <c r="O139" s="137"/>
      <c r="P139" s="137"/>
      <c r="Q139" s="137">
        <f>Q16*(1-Q138)</f>
        <v>4230322</v>
      </c>
      <c r="R139" s="137"/>
      <c r="S139" s="137"/>
      <c r="T139" s="137"/>
      <c r="U139" s="137"/>
      <c r="V139" s="137"/>
      <c r="W139" s="137"/>
      <c r="X139" s="137">
        <f>X16*(1-X138)</f>
        <v>2885623</v>
      </c>
      <c r="Y139" s="137"/>
      <c r="Z139" s="137"/>
      <c r="AA139" s="137"/>
      <c r="AB139" s="137"/>
      <c r="AC139" s="137"/>
      <c r="AD139" s="137"/>
      <c r="AE139" s="137">
        <f>AE16*(1-AE138)</f>
        <v>3049964</v>
      </c>
      <c r="AF139" s="137"/>
      <c r="AG139" s="137"/>
      <c r="AH139" s="137"/>
      <c r="AI139" s="137"/>
      <c r="AJ139" s="137"/>
      <c r="AK139" s="137"/>
      <c r="AL139" s="137">
        <f>AL16*(1-AL138)</f>
        <v>3879762</v>
      </c>
      <c r="AM139" s="137"/>
      <c r="AN139" s="137"/>
      <c r="AO139" s="137"/>
      <c r="AP139" s="137"/>
      <c r="AQ139" s="137"/>
      <c r="AR139" s="137"/>
      <c r="AS139" s="137">
        <f>AS16*(1-AS138)</f>
        <v>4725895</v>
      </c>
      <c r="AT139" s="137"/>
      <c r="AU139" s="137"/>
      <c r="AV139" s="137"/>
      <c r="AW139" s="137"/>
      <c r="AX139" s="137"/>
      <c r="AY139" s="137"/>
      <c r="AZ139" s="137">
        <f>AZ16*(1-AZ138)</f>
        <v>1168590</v>
      </c>
      <c r="BA139" s="137"/>
      <c r="BB139" s="137"/>
      <c r="BC139" s="137"/>
      <c r="BD139" s="137"/>
      <c r="BE139" s="137"/>
      <c r="BF139" s="137"/>
      <c r="BG139" s="137">
        <f>BG16*(1-BG138)</f>
        <v>5898585</v>
      </c>
      <c r="BH139" s="137"/>
      <c r="BI139" s="137"/>
      <c r="BJ139" s="137"/>
      <c r="BK139" s="137"/>
      <c r="BL139" s="137"/>
      <c r="BM139" s="137"/>
      <c r="BN139" s="137">
        <f>BN16*(1-BN138)</f>
        <v>7852690</v>
      </c>
      <c r="BO139" s="137"/>
      <c r="BP139" s="137"/>
      <c r="BQ139" s="137"/>
      <c r="BR139" s="137"/>
      <c r="BS139" s="137"/>
      <c r="BT139" s="137"/>
      <c r="BU139" s="137">
        <f>BU16*(1-BU138)</f>
        <v>-2436080.63</v>
      </c>
      <c r="BV139" s="137"/>
      <c r="BW139" s="137"/>
      <c r="BX139" s="137"/>
      <c r="BY139" s="137"/>
      <c r="BZ139" s="137"/>
      <c r="CA139" s="137"/>
      <c r="CB139" s="137">
        <f>CB16*(1-CB138)</f>
        <v>-15463905</v>
      </c>
      <c r="CC139" s="137"/>
      <c r="CD139" s="137"/>
      <c r="CE139" s="137"/>
      <c r="CF139" s="137"/>
      <c r="CG139" s="137"/>
      <c r="CH139" s="137"/>
      <c r="CI139" s="137">
        <f>CI16*(1-CI138)</f>
        <v>3240741</v>
      </c>
      <c r="CJ139" s="137" t="e">
        <f t="shared" ref="CJ139:CO139" si="62">CJ109+CJ62</f>
        <v>#REF!</v>
      </c>
      <c r="CK139" s="137" t="e">
        <f t="shared" si="62"/>
        <v>#REF!</v>
      </c>
      <c r="CL139" s="137" t="e">
        <f t="shared" si="62"/>
        <v>#REF!</v>
      </c>
      <c r="CM139" s="137" t="e">
        <f t="shared" si="62"/>
        <v>#REF!</v>
      </c>
      <c r="CN139" s="137" t="e">
        <f t="shared" si="62"/>
        <v>#REF!</v>
      </c>
      <c r="CO139" s="137" t="e">
        <f t="shared" si="62"/>
        <v>#REF!</v>
      </c>
      <c r="CP139" s="137"/>
    </row>
    <row r="140" spans="2:94" x14ac:dyDescent="0.2">
      <c r="B140" s="105" t="s">
        <v>383</v>
      </c>
      <c r="D140" s="137"/>
      <c r="E140" s="137"/>
      <c r="F140" s="137"/>
      <c r="G140" s="137"/>
      <c r="H140" s="137"/>
      <c r="I140" s="137"/>
      <c r="J140" s="137">
        <f>J110+J62</f>
        <v>1885738377.5999999</v>
      </c>
      <c r="K140" s="137"/>
      <c r="L140" s="137"/>
      <c r="M140" s="137"/>
      <c r="N140" s="137"/>
      <c r="O140" s="137"/>
      <c r="P140" s="137"/>
      <c r="Q140" s="137">
        <f>Q110+Q62</f>
        <v>1885738377.5999999</v>
      </c>
      <c r="R140" s="137"/>
      <c r="S140" s="137"/>
      <c r="T140" s="137"/>
      <c r="U140" s="137"/>
      <c r="V140" s="137"/>
      <c r="W140" s="137"/>
      <c r="X140" s="137">
        <f>X110+X62</f>
        <v>1885738377.5999999</v>
      </c>
      <c r="Y140" s="137"/>
      <c r="Z140" s="137"/>
      <c r="AA140" s="137"/>
      <c r="AB140" s="137"/>
      <c r="AC140" s="137"/>
      <c r="AD140" s="137"/>
      <c r="AE140" s="137">
        <f>AE110+AE62</f>
        <v>1885738377.5999999</v>
      </c>
      <c r="AF140" s="137"/>
      <c r="AG140" s="137"/>
      <c r="AH140" s="137"/>
      <c r="AI140" s="137"/>
      <c r="AJ140" s="137"/>
      <c r="AK140" s="137"/>
      <c r="AL140" s="137">
        <f>AL110+AL62</f>
        <v>1885738377.5999999</v>
      </c>
      <c r="AM140" s="137"/>
      <c r="AN140" s="137"/>
      <c r="AO140" s="137"/>
      <c r="AP140" s="137"/>
      <c r="AQ140" s="137"/>
      <c r="AR140" s="137"/>
      <c r="AS140" s="137">
        <f>AS110+AS62</f>
        <v>1885738377.5999999</v>
      </c>
      <c r="AT140" s="137"/>
      <c r="AU140" s="137"/>
      <c r="AV140" s="137"/>
      <c r="AW140" s="137"/>
      <c r="AX140" s="137"/>
      <c r="AY140" s="137"/>
      <c r="AZ140" s="137">
        <f>AZ110+AZ62</f>
        <v>1885738377.5999999</v>
      </c>
      <c r="BA140" s="137"/>
      <c r="BB140" s="137"/>
      <c r="BC140" s="137"/>
      <c r="BD140" s="137"/>
      <c r="BE140" s="137"/>
      <c r="BF140" s="137"/>
      <c r="BG140" s="137">
        <f>BG110+BG62</f>
        <v>1885738377.5999999</v>
      </c>
      <c r="BH140" s="137"/>
      <c r="BI140" s="137"/>
      <c r="BJ140" s="137"/>
      <c r="BK140" s="137"/>
      <c r="BL140" s="137"/>
      <c r="BM140" s="137"/>
      <c r="BN140" s="137">
        <f>BN110+BN62</f>
        <v>1885738377.5999999</v>
      </c>
      <c r="BO140" s="137"/>
      <c r="BP140" s="137"/>
      <c r="BQ140" s="137"/>
      <c r="BR140" s="137"/>
      <c r="BS140" s="137"/>
      <c r="BT140" s="137"/>
      <c r="BU140" s="137">
        <f>BU110+BU62</f>
        <v>1885738377.5999999</v>
      </c>
      <c r="BV140" s="137"/>
      <c r="BW140" s="137"/>
      <c r="BX140" s="137"/>
      <c r="BY140" s="137"/>
      <c r="BZ140" s="137"/>
      <c r="CA140" s="137"/>
      <c r="CB140" s="137">
        <f>CB110+CB62</f>
        <v>1885738377.5999999</v>
      </c>
      <c r="CC140" s="137"/>
      <c r="CD140" s="137"/>
      <c r="CE140" s="137"/>
      <c r="CF140" s="137"/>
      <c r="CG140" s="137"/>
      <c r="CH140" s="137"/>
      <c r="CI140" s="137">
        <f>CI110+CI62</f>
        <v>1885738377.5999999</v>
      </c>
      <c r="CJ140" s="166" t="e">
        <f t="shared" ref="CJ140:CO140" si="63">CJ138/CJ139</f>
        <v>#REF!</v>
      </c>
      <c r="CK140" s="166" t="e">
        <f t="shared" si="63"/>
        <v>#DIV/0!</v>
      </c>
      <c r="CL140" s="166" t="e">
        <f t="shared" si="63"/>
        <v>#DIV/0!</v>
      </c>
      <c r="CM140" s="166" t="e">
        <f t="shared" si="63"/>
        <v>#REF!</v>
      </c>
      <c r="CN140" s="166" t="e">
        <f t="shared" si="63"/>
        <v>#DIV/0!</v>
      </c>
      <c r="CO140" s="166" t="e">
        <f t="shared" si="63"/>
        <v>#DIV/0!</v>
      </c>
      <c r="CP140" s="166"/>
    </row>
    <row r="141" spans="2:94" x14ac:dyDescent="0.2">
      <c r="B141" s="105" t="s">
        <v>384</v>
      </c>
      <c r="D141" s="166"/>
      <c r="E141" s="166"/>
      <c r="F141" s="166"/>
      <c r="G141" s="166"/>
      <c r="H141" s="166"/>
      <c r="I141" s="166"/>
      <c r="J141" s="139">
        <f>J139/J140</f>
        <v>-2.3330680715101973E-3</v>
      </c>
      <c r="K141" s="166"/>
      <c r="L141" s="166"/>
      <c r="M141" s="166"/>
      <c r="N141" s="166"/>
      <c r="O141" s="166"/>
      <c r="P141" s="166"/>
      <c r="Q141" s="139">
        <f>Q139/Q140</f>
        <v>2.2433239150512372E-3</v>
      </c>
      <c r="R141" s="166"/>
      <c r="S141" s="166"/>
      <c r="T141" s="166"/>
      <c r="U141" s="166"/>
      <c r="V141" s="166"/>
      <c r="W141" s="166"/>
      <c r="X141" s="139">
        <f>X139/X140</f>
        <v>1.530235070928855E-3</v>
      </c>
      <c r="Y141" s="166"/>
      <c r="Z141" s="166"/>
      <c r="AA141" s="166"/>
      <c r="AB141" s="166"/>
      <c r="AC141" s="166"/>
      <c r="AD141" s="166"/>
      <c r="AE141" s="139">
        <f>AE139/AE140</f>
        <v>1.6173844878109352E-3</v>
      </c>
      <c r="AF141" s="166"/>
      <c r="AG141" s="166"/>
      <c r="AH141" s="166"/>
      <c r="AI141" s="166"/>
      <c r="AJ141" s="166"/>
      <c r="AK141" s="166"/>
      <c r="AL141" s="139">
        <f>AL139/AL140</f>
        <v>2.0574232598149782E-3</v>
      </c>
      <c r="AM141" s="166"/>
      <c r="AN141" s="166"/>
      <c r="AO141" s="166"/>
      <c r="AP141" s="166"/>
      <c r="AQ141" s="166"/>
      <c r="AR141" s="166"/>
      <c r="AS141" s="139">
        <f>AS139/AS140</f>
        <v>2.5061244211483347E-3</v>
      </c>
      <c r="AT141" s="166"/>
      <c r="AU141" s="166"/>
      <c r="AV141" s="166"/>
      <c r="AW141" s="166"/>
      <c r="AX141" s="166"/>
      <c r="AY141" s="166"/>
      <c r="AZ141" s="139">
        <f>AZ139/AZ140</f>
        <v>6.1969890090866019E-4</v>
      </c>
      <c r="BA141" s="166"/>
      <c r="BB141" s="166"/>
      <c r="BC141" s="166"/>
      <c r="BD141" s="166"/>
      <c r="BE141" s="166"/>
      <c r="BF141" s="166"/>
      <c r="BG141" s="139">
        <f>BG139/BG140</f>
        <v>3.1279975367034711E-3</v>
      </c>
      <c r="BH141" s="166"/>
      <c r="BI141" s="166"/>
      <c r="BJ141" s="166"/>
      <c r="BK141" s="166"/>
      <c r="BL141" s="166"/>
      <c r="BM141" s="166"/>
      <c r="BN141" s="139">
        <f>BN139/BN140</f>
        <v>4.1642521005454663E-3</v>
      </c>
      <c r="BO141" s="166"/>
      <c r="BP141" s="166"/>
      <c r="BQ141" s="166"/>
      <c r="BR141" s="166"/>
      <c r="BS141" s="166"/>
      <c r="BT141" s="166"/>
      <c r="BU141" s="139">
        <f>BU139/BU140</f>
        <v>-1.2918444355470066E-3</v>
      </c>
      <c r="BV141" s="166"/>
      <c r="BW141" s="166"/>
      <c r="BX141" s="166"/>
      <c r="BY141" s="166"/>
      <c r="BZ141" s="166"/>
      <c r="CA141" s="166"/>
      <c r="CB141" s="139">
        <f>CB139/CB140</f>
        <v>-8.200450912857319E-3</v>
      </c>
      <c r="CC141" s="166"/>
      <c r="CD141" s="166"/>
      <c r="CE141" s="166"/>
      <c r="CF141" s="166"/>
      <c r="CG141" s="166"/>
      <c r="CH141" s="166"/>
      <c r="CI141" s="139">
        <f>CI139/CI140</f>
        <v>1.7185528164964893E-3</v>
      </c>
      <c r="CJ141" s="137">
        <f t="shared" ref="CJ141:CO141" si="64">CJ71+CJ68</f>
        <v>0</v>
      </c>
      <c r="CK141" s="137">
        <f t="shared" si="64"/>
        <v>0</v>
      </c>
      <c r="CL141" s="137">
        <f t="shared" si="64"/>
        <v>0</v>
      </c>
      <c r="CM141" s="137">
        <f t="shared" si="64"/>
        <v>0</v>
      </c>
      <c r="CN141" s="137">
        <f t="shared" si="64"/>
        <v>0</v>
      </c>
      <c r="CO141" s="137">
        <f t="shared" si="64"/>
        <v>0</v>
      </c>
      <c r="CP141" s="137"/>
    </row>
    <row r="142" spans="2:94" x14ac:dyDescent="0.2">
      <c r="B142" s="105" t="s">
        <v>385</v>
      </c>
      <c r="D142" s="137"/>
      <c r="E142" s="137"/>
      <c r="F142" s="137"/>
      <c r="G142" s="137"/>
      <c r="H142" s="137"/>
      <c r="I142" s="137"/>
      <c r="J142" s="137">
        <f>J71+J68</f>
        <v>19135085.939999998</v>
      </c>
      <c r="K142" s="137"/>
      <c r="L142" s="137"/>
      <c r="M142" s="137"/>
      <c r="N142" s="137"/>
      <c r="O142" s="137"/>
      <c r="P142" s="137"/>
      <c r="Q142" s="137">
        <f>Q71+Q68</f>
        <v>19135085.939999998</v>
      </c>
      <c r="R142" s="137"/>
      <c r="S142" s="137"/>
      <c r="T142" s="137"/>
      <c r="U142" s="137"/>
      <c r="V142" s="137"/>
      <c r="W142" s="137"/>
      <c r="X142" s="137">
        <f>X71+X68</f>
        <v>19135085.939999998</v>
      </c>
      <c r="Y142" s="137"/>
      <c r="Z142" s="137"/>
      <c r="AA142" s="137"/>
      <c r="AB142" s="137"/>
      <c r="AC142" s="137"/>
      <c r="AD142" s="137"/>
      <c r="AE142" s="137">
        <f>AE71+AE68</f>
        <v>19135085.939999998</v>
      </c>
      <c r="AF142" s="137"/>
      <c r="AG142" s="137"/>
      <c r="AH142" s="137"/>
      <c r="AI142" s="137"/>
      <c r="AJ142" s="137"/>
      <c r="AK142" s="137"/>
      <c r="AL142" s="137">
        <f>AL71+AL68</f>
        <v>19135085.939999998</v>
      </c>
      <c r="AM142" s="137"/>
      <c r="AN142" s="137"/>
      <c r="AO142" s="137"/>
      <c r="AP142" s="137"/>
      <c r="AQ142" s="137"/>
      <c r="AR142" s="137"/>
      <c r="AS142" s="137">
        <f>AS71+AS68</f>
        <v>19135085.939999998</v>
      </c>
      <c r="AT142" s="137"/>
      <c r="AU142" s="137"/>
      <c r="AV142" s="137"/>
      <c r="AW142" s="137"/>
      <c r="AX142" s="137"/>
      <c r="AY142" s="137"/>
      <c r="AZ142" s="137">
        <f>AZ71+AZ68</f>
        <v>19135085.939999998</v>
      </c>
      <c r="BA142" s="137"/>
      <c r="BB142" s="137"/>
      <c r="BC142" s="137"/>
      <c r="BD142" s="137"/>
      <c r="BE142" s="137"/>
      <c r="BF142" s="137"/>
      <c r="BG142" s="137">
        <f>BG71+BG68</f>
        <v>19135085.939999998</v>
      </c>
      <c r="BH142" s="137"/>
      <c r="BI142" s="137"/>
      <c r="BJ142" s="137"/>
      <c r="BK142" s="137"/>
      <c r="BL142" s="137"/>
      <c r="BM142" s="137"/>
      <c r="BN142" s="137">
        <f>BN71+BN68</f>
        <v>34783751.949999996</v>
      </c>
      <c r="BO142" s="137"/>
      <c r="BP142" s="137"/>
      <c r="BQ142" s="137"/>
      <c r="BR142" s="137"/>
      <c r="BS142" s="137"/>
      <c r="BT142" s="137"/>
      <c r="BU142" s="137">
        <f>BU71+BU68</f>
        <v>34783751.949999996</v>
      </c>
      <c r="BV142" s="137"/>
      <c r="BW142" s="137"/>
      <c r="BX142" s="137"/>
      <c r="BY142" s="137"/>
      <c r="BZ142" s="137"/>
      <c r="CA142" s="137"/>
      <c r="CB142" s="137">
        <f>CB71+CB68</f>
        <v>53309451.949999996</v>
      </c>
      <c r="CC142" s="137"/>
      <c r="CD142" s="137"/>
      <c r="CE142" s="137"/>
      <c r="CF142" s="137"/>
      <c r="CG142" s="137"/>
      <c r="CH142" s="137"/>
      <c r="CI142" s="137">
        <f>CI71+CI68</f>
        <v>53309451.949999996</v>
      </c>
      <c r="CJ142" s="137">
        <f t="shared" ref="CJ142:CO142" si="65">CJ79</f>
        <v>0</v>
      </c>
      <c r="CK142" s="137">
        <f t="shared" si="65"/>
        <v>0</v>
      </c>
      <c r="CL142" s="137">
        <f t="shared" si="65"/>
        <v>0</v>
      </c>
      <c r="CM142" s="137">
        <f t="shared" si="65"/>
        <v>0</v>
      </c>
      <c r="CN142" s="137">
        <f t="shared" si="65"/>
        <v>0</v>
      </c>
      <c r="CO142" s="137">
        <f t="shared" si="65"/>
        <v>0</v>
      </c>
      <c r="CP142" s="137"/>
    </row>
    <row r="143" spans="2:94" x14ac:dyDescent="0.2">
      <c r="B143" s="105" t="s">
        <v>386</v>
      </c>
      <c r="D143" s="137"/>
      <c r="E143" s="137"/>
      <c r="F143" s="137"/>
      <c r="G143" s="137"/>
      <c r="H143" s="137"/>
      <c r="I143" s="137"/>
      <c r="J143" s="137">
        <f>J79</f>
        <v>1888458271.9199998</v>
      </c>
      <c r="K143" s="137"/>
      <c r="L143" s="137"/>
      <c r="M143" s="137"/>
      <c r="N143" s="137"/>
      <c r="O143" s="137"/>
      <c r="P143" s="137"/>
      <c r="Q143" s="137">
        <f>Q79</f>
        <v>1888629285.6499999</v>
      </c>
      <c r="R143" s="137"/>
      <c r="S143" s="137"/>
      <c r="T143" s="137"/>
      <c r="U143" s="137"/>
      <c r="V143" s="137"/>
      <c r="W143" s="137"/>
      <c r="X143" s="137">
        <f>X79</f>
        <v>1887711365.9099998</v>
      </c>
      <c r="Y143" s="137"/>
      <c r="Z143" s="137"/>
      <c r="AA143" s="137"/>
      <c r="AB143" s="137"/>
      <c r="AC143" s="137"/>
      <c r="AD143" s="137"/>
      <c r="AE143" s="137">
        <f>AE79</f>
        <v>1888465719.3999999</v>
      </c>
      <c r="AF143" s="137"/>
      <c r="AG143" s="137"/>
      <c r="AH143" s="137"/>
      <c r="AI143" s="137"/>
      <c r="AJ143" s="137"/>
      <c r="AK143" s="137"/>
      <c r="AL143" s="137">
        <f>AL79</f>
        <v>1892890059.28</v>
      </c>
      <c r="AM143" s="137"/>
      <c r="AN143" s="137"/>
      <c r="AO143" s="137"/>
      <c r="AP143" s="137"/>
      <c r="AQ143" s="137"/>
      <c r="AR143" s="137"/>
      <c r="AS143" s="137">
        <f>AS79</f>
        <v>1895036598.73</v>
      </c>
      <c r="AT143" s="137"/>
      <c r="AU143" s="137"/>
      <c r="AV143" s="137"/>
      <c r="AW143" s="137"/>
      <c r="AX143" s="137"/>
      <c r="AY143" s="137"/>
      <c r="AZ143" s="137">
        <f>AZ79</f>
        <v>1895598230.4400001</v>
      </c>
      <c r="BA143" s="137"/>
      <c r="BB143" s="137"/>
      <c r="BC143" s="137"/>
      <c r="BD143" s="137"/>
      <c r="BE143" s="137"/>
      <c r="BF143" s="137"/>
      <c r="BG143" s="137">
        <f>BG79</f>
        <v>1898266512.0399997</v>
      </c>
      <c r="BH143" s="137"/>
      <c r="BI143" s="137"/>
      <c r="BJ143" s="137"/>
      <c r="BK143" s="137"/>
      <c r="BL143" s="137"/>
      <c r="BM143" s="137"/>
      <c r="BN143" s="137">
        <f>BN79</f>
        <v>1907588430.04</v>
      </c>
      <c r="BO143" s="137"/>
      <c r="BP143" s="137"/>
      <c r="BQ143" s="137"/>
      <c r="BR143" s="137"/>
      <c r="BS143" s="137"/>
      <c r="BT143" s="137"/>
      <c r="BU143" s="137">
        <f>BU79</f>
        <v>1898096735.51</v>
      </c>
      <c r="BV143" s="137"/>
      <c r="BW143" s="137"/>
      <c r="BX143" s="137"/>
      <c r="BY143" s="137"/>
      <c r="BZ143" s="137"/>
      <c r="CA143" s="137"/>
      <c r="CB143" s="137">
        <f>CB79</f>
        <v>1881176676.8299999</v>
      </c>
      <c r="CC143" s="137"/>
      <c r="CD143" s="137"/>
      <c r="CE143" s="137"/>
      <c r="CF143" s="137"/>
      <c r="CG143" s="137"/>
      <c r="CH143" s="137"/>
      <c r="CI143" s="137">
        <f>CI79</f>
        <v>1884563602.4199998</v>
      </c>
      <c r="CJ143" s="139" t="e">
        <f t="shared" ref="CJ143:CO143" si="66">CJ141/(CJ141+CJ142)</f>
        <v>#DIV/0!</v>
      </c>
      <c r="CK143" s="139" t="e">
        <f t="shared" si="66"/>
        <v>#DIV/0!</v>
      </c>
      <c r="CL143" s="139" t="e">
        <f t="shared" si="66"/>
        <v>#DIV/0!</v>
      </c>
      <c r="CM143" s="139" t="e">
        <f t="shared" si="66"/>
        <v>#DIV/0!</v>
      </c>
      <c r="CN143" s="139" t="e">
        <f t="shared" si="66"/>
        <v>#DIV/0!</v>
      </c>
      <c r="CO143" s="139" t="e">
        <f t="shared" si="66"/>
        <v>#DIV/0!</v>
      </c>
      <c r="CP143" s="139"/>
    </row>
    <row r="144" spans="2:94" x14ac:dyDescent="0.2">
      <c r="B144" s="105" t="s">
        <v>387</v>
      </c>
      <c r="D144" s="139"/>
      <c r="E144" s="139"/>
      <c r="F144" s="139"/>
      <c r="G144" s="139"/>
      <c r="H144" s="139"/>
      <c r="I144" s="139"/>
      <c r="J144" s="139">
        <f>J142/(J142+J143)</f>
        <v>1.003100889461387E-2</v>
      </c>
      <c r="K144" s="139"/>
      <c r="L144" s="139"/>
      <c r="M144" s="139"/>
      <c r="N144" s="139"/>
      <c r="O144" s="139"/>
      <c r="P144" s="139"/>
      <c r="Q144" s="139">
        <f>Q142/(Q142+Q143)</f>
        <v>1.0030109705871131E-2</v>
      </c>
      <c r="R144" s="139"/>
      <c r="S144" s="139"/>
      <c r="T144" s="139"/>
      <c r="U144" s="139"/>
      <c r="V144" s="139"/>
      <c r="W144" s="139"/>
      <c r="X144" s="139">
        <f>X142/(X142+X143)</f>
        <v>1.003493801057519E-2</v>
      </c>
      <c r="Y144" s="139"/>
      <c r="Z144" s="139"/>
      <c r="AA144" s="139"/>
      <c r="AB144" s="139"/>
      <c r="AC144" s="139"/>
      <c r="AD144" s="139"/>
      <c r="AE144" s="139">
        <f>AE142/(AE142+AE143)</f>
        <v>1.0030969732469508E-2</v>
      </c>
      <c r="AF144" s="139"/>
      <c r="AG144" s="139"/>
      <c r="AH144" s="139"/>
      <c r="AI144" s="139"/>
      <c r="AJ144" s="139"/>
      <c r="AK144" s="139"/>
      <c r="AL144" s="139">
        <f>AL142/(AL142+AL143)</f>
        <v>1.0007758521291984E-2</v>
      </c>
      <c r="AM144" s="139"/>
      <c r="AN144" s="139"/>
      <c r="AO144" s="139"/>
      <c r="AP144" s="139"/>
      <c r="AQ144" s="139"/>
      <c r="AR144" s="139"/>
      <c r="AS144" s="139">
        <f>AS142/(AS142+AS143)</f>
        <v>9.996535887165656E-3</v>
      </c>
      <c r="AT144" s="139"/>
      <c r="AU144" s="139"/>
      <c r="AV144" s="139"/>
      <c r="AW144" s="139"/>
      <c r="AX144" s="139"/>
      <c r="AY144" s="139"/>
      <c r="AZ144" s="139">
        <f>AZ142/(AZ142+AZ143)</f>
        <v>9.99360369211982E-3</v>
      </c>
      <c r="BA144" s="139"/>
      <c r="BB144" s="139"/>
      <c r="BC144" s="139"/>
      <c r="BD144" s="139"/>
      <c r="BE144" s="139"/>
      <c r="BF144" s="139"/>
      <c r="BG144" s="139">
        <f>BG142/(BG142+BG143)</f>
        <v>9.9796964601255086E-3</v>
      </c>
      <c r="BH144" s="139"/>
      <c r="BI144" s="139"/>
      <c r="BJ144" s="139"/>
      <c r="BK144" s="139"/>
      <c r="BL144" s="139"/>
      <c r="BM144" s="139"/>
      <c r="BN144" s="139">
        <f>BN142/(BN142+BN143)</f>
        <v>1.790787176243604E-2</v>
      </c>
      <c r="BO144" s="139"/>
      <c r="BP144" s="139"/>
      <c r="BQ144" s="139"/>
      <c r="BR144" s="139"/>
      <c r="BS144" s="139"/>
      <c r="BT144" s="139"/>
      <c r="BU144" s="139">
        <f>BU142/(BU142+BU143)</f>
        <v>1.7995811006250757E-2</v>
      </c>
      <c r="BV144" s="139"/>
      <c r="BW144" s="139"/>
      <c r="BX144" s="139"/>
      <c r="BY144" s="139"/>
      <c r="BZ144" s="139"/>
      <c r="CA144" s="139"/>
      <c r="CB144" s="139">
        <f>CB142/(CB142+CB143)</f>
        <v>2.7557422695824681E-2</v>
      </c>
      <c r="CC144" s="139"/>
      <c r="CD144" s="139"/>
      <c r="CE144" s="139"/>
      <c r="CF144" s="139"/>
      <c r="CG144" s="139"/>
      <c r="CH144" s="139"/>
      <c r="CI144" s="139">
        <f>CI142/(CI142+CI143)</f>
        <v>2.7509259097124313E-2</v>
      </c>
      <c r="CJ144" s="139" t="e">
        <f t="shared" ref="CJ144:CO144" si="67">CJ142/(CJ141+CJ142)</f>
        <v>#DIV/0!</v>
      </c>
      <c r="CK144" s="139" t="e">
        <f t="shared" si="67"/>
        <v>#DIV/0!</v>
      </c>
      <c r="CL144" s="139" t="e">
        <f t="shared" si="67"/>
        <v>#DIV/0!</v>
      </c>
      <c r="CM144" s="139" t="e">
        <f t="shared" si="67"/>
        <v>#DIV/0!</v>
      </c>
      <c r="CN144" s="139" t="e">
        <f t="shared" si="67"/>
        <v>#DIV/0!</v>
      </c>
      <c r="CO144" s="139" t="e">
        <f t="shared" si="67"/>
        <v>#DIV/0!</v>
      </c>
      <c r="CP144" s="139"/>
    </row>
    <row r="145" spans="2:94" x14ac:dyDescent="0.2">
      <c r="B145" s="105" t="s">
        <v>388</v>
      </c>
      <c r="D145" s="139"/>
      <c r="E145" s="139"/>
      <c r="F145" s="139"/>
      <c r="G145" s="139"/>
      <c r="H145" s="139"/>
      <c r="I145" s="139"/>
      <c r="J145" s="139">
        <f>J143/(J142+J143)</f>
        <v>0.98996899110538605</v>
      </c>
      <c r="K145" s="139"/>
      <c r="L145" s="139"/>
      <c r="M145" s="139"/>
      <c r="N145" s="139"/>
      <c r="O145" s="139"/>
      <c r="P145" s="139"/>
      <c r="Q145" s="139">
        <f>Q143/(Q142+Q143)</f>
        <v>0.98996989029412885</v>
      </c>
      <c r="R145" s="139"/>
      <c r="S145" s="139"/>
      <c r="T145" s="139"/>
      <c r="U145" s="139"/>
      <c r="V145" s="139"/>
      <c r="W145" s="139"/>
      <c r="X145" s="139">
        <f>X143/(X142+X143)</f>
        <v>0.9899650619894248</v>
      </c>
      <c r="Y145" s="139"/>
      <c r="Z145" s="139"/>
      <c r="AA145" s="139"/>
      <c r="AB145" s="139"/>
      <c r="AC145" s="139"/>
      <c r="AD145" s="139"/>
      <c r="AE145" s="139">
        <f>AE143/(AE142+AE143)</f>
        <v>0.98996903026753047</v>
      </c>
      <c r="AF145" s="139"/>
      <c r="AG145" s="139"/>
      <c r="AH145" s="139"/>
      <c r="AI145" s="139"/>
      <c r="AJ145" s="139"/>
      <c r="AK145" s="139"/>
      <c r="AL145" s="139">
        <f>AL143/(AL142+AL143)</f>
        <v>0.98999224147870801</v>
      </c>
      <c r="AM145" s="139"/>
      <c r="AN145" s="139"/>
      <c r="AO145" s="139"/>
      <c r="AP145" s="139"/>
      <c r="AQ145" s="139"/>
      <c r="AR145" s="139"/>
      <c r="AS145" s="139">
        <f>AS143/(AS142+AS143)</f>
        <v>0.99000346411283435</v>
      </c>
      <c r="AT145" s="139"/>
      <c r="AU145" s="139"/>
      <c r="AV145" s="139"/>
      <c r="AW145" s="139"/>
      <c r="AX145" s="139"/>
      <c r="AY145" s="139"/>
      <c r="AZ145" s="139">
        <f>AZ143/(AZ142+AZ143)</f>
        <v>0.99000639630788012</v>
      </c>
      <c r="BA145" s="139"/>
      <c r="BB145" s="139"/>
      <c r="BC145" s="139"/>
      <c r="BD145" s="139"/>
      <c r="BE145" s="139"/>
      <c r="BF145" s="139"/>
      <c r="BG145" s="139">
        <f>BG143/(BG142+BG143)</f>
        <v>0.99002030353987447</v>
      </c>
      <c r="BH145" s="139"/>
      <c r="BI145" s="139"/>
      <c r="BJ145" s="139"/>
      <c r="BK145" s="139"/>
      <c r="BL145" s="139"/>
      <c r="BM145" s="139"/>
      <c r="BN145" s="139">
        <f>BN143/(BN142+BN143)</f>
        <v>0.98209212823756398</v>
      </c>
      <c r="BO145" s="139"/>
      <c r="BP145" s="139"/>
      <c r="BQ145" s="139"/>
      <c r="BR145" s="139"/>
      <c r="BS145" s="139"/>
      <c r="BT145" s="139"/>
      <c r="BU145" s="139">
        <f>BU143/(BU142+BU143)</f>
        <v>0.98200418899374919</v>
      </c>
      <c r="BV145" s="139"/>
      <c r="BW145" s="139"/>
      <c r="BX145" s="139"/>
      <c r="BY145" s="139"/>
      <c r="BZ145" s="139"/>
      <c r="CA145" s="139"/>
      <c r="CB145" s="139">
        <f>CB143/(CB142+CB143)</f>
        <v>0.97244257730417527</v>
      </c>
      <c r="CC145" s="139"/>
      <c r="CD145" s="139"/>
      <c r="CE145" s="139"/>
      <c r="CF145" s="139"/>
      <c r="CG145" s="139"/>
      <c r="CH145" s="139"/>
      <c r="CI145" s="139">
        <f>CI143/(CI142+CI143)</f>
        <v>0.97249074090287568</v>
      </c>
      <c r="CJ145" s="139" t="e">
        <f t="shared" ref="CJ145:CO145" si="68">CJ44/CJ141</f>
        <v>#DIV/0!</v>
      </c>
      <c r="CK145" s="139" t="e">
        <f t="shared" si="68"/>
        <v>#DIV/0!</v>
      </c>
      <c r="CL145" s="139" t="e">
        <f t="shared" si="68"/>
        <v>#DIV/0!</v>
      </c>
      <c r="CM145" s="139" t="e">
        <f t="shared" si="68"/>
        <v>#DIV/0!</v>
      </c>
      <c r="CN145" s="139" t="e">
        <f t="shared" si="68"/>
        <v>#DIV/0!</v>
      </c>
      <c r="CO145" s="139" t="e">
        <f t="shared" si="68"/>
        <v>#DIV/0!</v>
      </c>
      <c r="CP145" s="139"/>
    </row>
    <row r="146" spans="2:94" x14ac:dyDescent="0.2">
      <c r="B146" s="105" t="s">
        <v>389</v>
      </c>
      <c r="D146" s="139"/>
      <c r="E146" s="139"/>
      <c r="F146" s="139"/>
      <c r="G146" s="139"/>
      <c r="H146" s="139"/>
      <c r="I146" s="139"/>
      <c r="J146" s="139">
        <f>J44/J142</f>
        <v>0</v>
      </c>
      <c r="K146" s="139"/>
      <c r="L146" s="139"/>
      <c r="M146" s="139"/>
      <c r="N146" s="139"/>
      <c r="O146" s="139"/>
      <c r="P146" s="139"/>
      <c r="Q146" s="139">
        <f>Q44/Q142</f>
        <v>0</v>
      </c>
      <c r="R146" s="139"/>
      <c r="S146" s="139"/>
      <c r="T146" s="139"/>
      <c r="U146" s="139"/>
      <c r="V146" s="139"/>
      <c r="W146" s="139"/>
      <c r="X146" s="139">
        <f>X44/X142</f>
        <v>0</v>
      </c>
      <c r="Y146" s="139"/>
      <c r="Z146" s="139"/>
      <c r="AA146" s="139"/>
      <c r="AB146" s="139"/>
      <c r="AC146" s="139"/>
      <c r="AD146" s="139"/>
      <c r="AE146" s="139">
        <f>AE44/AE142</f>
        <v>0</v>
      </c>
      <c r="AF146" s="139"/>
      <c r="AG146" s="139"/>
      <c r="AH146" s="139"/>
      <c r="AI146" s="139"/>
      <c r="AJ146" s="139"/>
      <c r="AK146" s="139"/>
      <c r="AL146" s="139">
        <f>AL44/AL142</f>
        <v>0</v>
      </c>
      <c r="AM146" s="139"/>
      <c r="AN146" s="139"/>
      <c r="AO146" s="139"/>
      <c r="AP146" s="139"/>
      <c r="AQ146" s="139"/>
      <c r="AR146" s="139"/>
      <c r="AS146" s="139">
        <f>AS44/AS142</f>
        <v>0</v>
      </c>
      <c r="AT146" s="139"/>
      <c r="AU146" s="139"/>
      <c r="AV146" s="139"/>
      <c r="AW146" s="139"/>
      <c r="AX146" s="139"/>
      <c r="AY146" s="139"/>
      <c r="AZ146" s="139">
        <f>AZ44/AZ142</f>
        <v>0</v>
      </c>
      <c r="BA146" s="139"/>
      <c r="BB146" s="139"/>
      <c r="BC146" s="139"/>
      <c r="BD146" s="139"/>
      <c r="BE146" s="139"/>
      <c r="BF146" s="139"/>
      <c r="BG146" s="139">
        <f>BG44/BG142</f>
        <v>0</v>
      </c>
      <c r="BH146" s="139"/>
      <c r="BI146" s="139"/>
      <c r="BJ146" s="139"/>
      <c r="BK146" s="139"/>
      <c r="BL146" s="139"/>
      <c r="BM146" s="139"/>
      <c r="BN146" s="139">
        <f>BN44/BN142</f>
        <v>0</v>
      </c>
      <c r="BO146" s="139"/>
      <c r="BP146" s="139"/>
      <c r="BQ146" s="139"/>
      <c r="BR146" s="139"/>
      <c r="BS146" s="139"/>
      <c r="BT146" s="139"/>
      <c r="BU146" s="139">
        <f>BU44/BU142</f>
        <v>0</v>
      </c>
      <c r="BV146" s="139"/>
      <c r="BW146" s="139"/>
      <c r="BX146" s="139"/>
      <c r="BY146" s="139"/>
      <c r="BZ146" s="139"/>
      <c r="CA146" s="139"/>
      <c r="CB146" s="139">
        <f>CB44/CB142</f>
        <v>0</v>
      </c>
      <c r="CC146" s="139"/>
      <c r="CD146" s="139"/>
      <c r="CE146" s="139"/>
      <c r="CF146" s="139"/>
      <c r="CG146" s="139"/>
      <c r="CH146" s="139"/>
      <c r="CI146" s="139">
        <f>CI44/CI142</f>
        <v>0</v>
      </c>
      <c r="CJ146" s="135" t="e">
        <f t="shared" ref="CJ146:CO146" si="69">CJ145*(1-CJ137)</f>
        <v>#DIV/0!</v>
      </c>
      <c r="CK146" s="135" t="e">
        <f t="shared" si="69"/>
        <v>#DIV/0!</v>
      </c>
      <c r="CL146" s="135" t="e">
        <f t="shared" si="69"/>
        <v>#DIV/0!</v>
      </c>
      <c r="CM146" s="135" t="e">
        <f t="shared" si="69"/>
        <v>#DIV/0!</v>
      </c>
      <c r="CN146" s="135" t="e">
        <f t="shared" si="69"/>
        <v>#DIV/0!</v>
      </c>
      <c r="CO146" s="135" t="e">
        <f t="shared" si="69"/>
        <v>#DIV/0!</v>
      </c>
      <c r="CP146" s="135"/>
    </row>
    <row r="147" spans="2:94" ht="16" x14ac:dyDescent="0.2">
      <c r="B147" s="105" t="s">
        <v>390</v>
      </c>
      <c r="D147" s="135"/>
      <c r="E147" s="135"/>
      <c r="F147" s="135"/>
      <c r="G147" s="135"/>
      <c r="H147" s="135"/>
      <c r="I147" s="135"/>
      <c r="J147" s="135">
        <f>J146*(1-J138)</f>
        <v>0</v>
      </c>
      <c r="K147" s="135"/>
      <c r="L147" s="135"/>
      <c r="M147" s="135"/>
      <c r="N147" s="135"/>
      <c r="O147" s="135"/>
      <c r="P147" s="135"/>
      <c r="Q147" s="135">
        <f>Q146*(1-Q138)</f>
        <v>0</v>
      </c>
      <c r="R147" s="135"/>
      <c r="S147" s="135"/>
      <c r="T147" s="135"/>
      <c r="U147" s="135"/>
      <c r="V147" s="135"/>
      <c r="W147" s="135"/>
      <c r="X147" s="135">
        <f>X146*(1-X138)</f>
        <v>0</v>
      </c>
      <c r="Y147" s="135"/>
      <c r="Z147" s="135"/>
      <c r="AA147" s="135"/>
      <c r="AB147" s="135"/>
      <c r="AC147" s="135"/>
      <c r="AD147" s="135"/>
      <c r="AE147" s="135">
        <f>AE146*(1-AE138)</f>
        <v>0</v>
      </c>
      <c r="AF147" s="135"/>
      <c r="AG147" s="135"/>
      <c r="AH147" s="135"/>
      <c r="AI147" s="135"/>
      <c r="AJ147" s="135"/>
      <c r="AK147" s="135"/>
      <c r="AL147" s="135">
        <f>AL146*(1-AL138)</f>
        <v>0</v>
      </c>
      <c r="AM147" s="135"/>
      <c r="AN147" s="135"/>
      <c r="AO147" s="135"/>
      <c r="AP147" s="135"/>
      <c r="AQ147" s="135"/>
      <c r="AR147" s="135"/>
      <c r="AS147" s="135">
        <f>AS146*(1-AS138)</f>
        <v>0</v>
      </c>
      <c r="AT147" s="135"/>
      <c r="AU147" s="135"/>
      <c r="AV147" s="135"/>
      <c r="AW147" s="135"/>
      <c r="AX147" s="135"/>
      <c r="AY147" s="135"/>
      <c r="AZ147" s="135">
        <f>AZ146*(1-AZ138)</f>
        <v>0</v>
      </c>
      <c r="BA147" s="135"/>
      <c r="BB147" s="135"/>
      <c r="BC147" s="135"/>
      <c r="BD147" s="135"/>
      <c r="BE147" s="135"/>
      <c r="BF147" s="135"/>
      <c r="BG147" s="135">
        <f>BG146*(1-BG138)</f>
        <v>0</v>
      </c>
      <c r="BH147" s="135"/>
      <c r="BI147" s="135"/>
      <c r="BJ147" s="135"/>
      <c r="BK147" s="135"/>
      <c r="BL147" s="135"/>
      <c r="BM147" s="135"/>
      <c r="BN147" s="135">
        <f>BN146*(1-BN138)</f>
        <v>0</v>
      </c>
      <c r="BO147" s="135"/>
      <c r="BP147" s="135"/>
      <c r="BQ147" s="135"/>
      <c r="BR147" s="135"/>
      <c r="BS147" s="135"/>
      <c r="BT147" s="135"/>
      <c r="BU147" s="135">
        <f>BU146*(1-BU138)</f>
        <v>0</v>
      </c>
      <c r="BV147" s="135"/>
      <c r="BW147" s="135"/>
      <c r="BX147" s="135"/>
      <c r="BY147" s="135"/>
      <c r="BZ147" s="135"/>
      <c r="CA147" s="135"/>
      <c r="CB147" s="135">
        <f>CB146*(1-CB138)</f>
        <v>0</v>
      </c>
      <c r="CC147" s="135"/>
      <c r="CD147" s="135"/>
      <c r="CE147" s="135"/>
      <c r="CF147" s="135"/>
      <c r="CG147" s="135"/>
      <c r="CH147" s="135"/>
      <c r="CI147" s="135">
        <f>CI146*(1-CI138)</f>
        <v>0</v>
      </c>
      <c r="CJ147" s="175">
        <v>28.73</v>
      </c>
      <c r="CK147" s="175">
        <f>CJ147</f>
        <v>28.73</v>
      </c>
      <c r="CL147" s="175">
        <f>CK147</f>
        <v>28.73</v>
      </c>
      <c r="CM147" s="175">
        <v>29.73</v>
      </c>
      <c r="CN147" s="175">
        <f>CM147</f>
        <v>29.73</v>
      </c>
      <c r="CO147" s="175">
        <f>CN147</f>
        <v>29.73</v>
      </c>
      <c r="CP147" s="175"/>
    </row>
    <row r="148" spans="2:94" ht="16" x14ac:dyDescent="0.2">
      <c r="B148" s="237" t="s">
        <v>445</v>
      </c>
      <c r="C148" s="238"/>
      <c r="D148" s="241"/>
      <c r="E148" s="241"/>
      <c r="F148" s="241"/>
      <c r="G148" s="241"/>
      <c r="H148" s="241"/>
      <c r="I148" s="241"/>
      <c r="J148" s="241">
        <v>0.89</v>
      </c>
      <c r="K148" s="241"/>
      <c r="L148" s="241"/>
      <c r="M148" s="241"/>
      <c r="N148" s="241"/>
      <c r="O148" s="241"/>
      <c r="P148" s="241"/>
      <c r="Q148" s="241">
        <v>0.89</v>
      </c>
      <c r="R148" s="241"/>
      <c r="S148" s="241"/>
      <c r="T148" s="241"/>
      <c r="U148" s="241"/>
      <c r="V148" s="241"/>
      <c r="W148" s="241"/>
      <c r="X148" s="241">
        <v>0.89</v>
      </c>
      <c r="Y148" s="241"/>
      <c r="Z148" s="241"/>
      <c r="AA148" s="241"/>
      <c r="AB148" s="241"/>
      <c r="AC148" s="241"/>
      <c r="AD148" s="241"/>
      <c r="AE148" s="241">
        <v>0.89</v>
      </c>
      <c r="AF148" s="241"/>
      <c r="AG148" s="241"/>
      <c r="AH148" s="241"/>
      <c r="AI148" s="241"/>
      <c r="AJ148" s="241"/>
      <c r="AK148" s="241"/>
      <c r="AL148" s="241">
        <v>0.89</v>
      </c>
      <c r="AM148" s="241"/>
      <c r="AN148" s="241"/>
      <c r="AO148" s="241"/>
      <c r="AP148" s="241"/>
      <c r="AQ148" s="241"/>
      <c r="AR148" s="241"/>
      <c r="AS148" s="241">
        <v>0.89</v>
      </c>
      <c r="AT148" s="241"/>
      <c r="AU148" s="241"/>
      <c r="AV148" s="241"/>
      <c r="AW148" s="241"/>
      <c r="AX148" s="241"/>
      <c r="AY148" s="241"/>
      <c r="AZ148" s="241">
        <v>0.89</v>
      </c>
      <c r="BA148" s="241"/>
      <c r="BB148" s="241"/>
      <c r="BC148" s="241"/>
      <c r="BD148" s="241"/>
      <c r="BE148" s="241"/>
      <c r="BF148" s="241"/>
      <c r="BG148" s="241">
        <v>0.89</v>
      </c>
      <c r="BH148" s="241"/>
      <c r="BI148" s="241"/>
      <c r="BJ148" s="241"/>
      <c r="BK148" s="241"/>
      <c r="BL148" s="241"/>
      <c r="BM148" s="241"/>
      <c r="BN148" s="241">
        <v>0.89</v>
      </c>
      <c r="BO148" s="241"/>
      <c r="BP148" s="241"/>
      <c r="BQ148" s="241"/>
      <c r="BR148" s="241"/>
      <c r="BS148" s="241"/>
      <c r="BT148" s="241"/>
      <c r="BU148" s="241">
        <v>0.89</v>
      </c>
      <c r="BV148" s="241"/>
      <c r="BW148" s="241"/>
      <c r="BX148" s="241"/>
      <c r="BY148" s="241"/>
      <c r="BZ148" s="241"/>
      <c r="CA148" s="241"/>
      <c r="CB148" s="241">
        <v>0.89</v>
      </c>
      <c r="CC148" s="241"/>
      <c r="CD148" s="241"/>
      <c r="CE148" s="241"/>
      <c r="CF148" s="241"/>
      <c r="CG148" s="241"/>
      <c r="CH148" s="241"/>
      <c r="CI148" s="241">
        <v>0.89</v>
      </c>
      <c r="CJ148" s="164" t="e">
        <f t="shared" ref="CJ148:CO148" si="70">CJ147*(1+(1-CJ137)*(CJ141/CJ142))</f>
        <v>#DIV/0!</v>
      </c>
      <c r="CK148" s="164" t="e">
        <f t="shared" si="70"/>
        <v>#DIV/0!</v>
      </c>
      <c r="CL148" s="164" t="e">
        <f t="shared" si="70"/>
        <v>#DIV/0!</v>
      </c>
      <c r="CM148" s="164" t="e">
        <f t="shared" si="70"/>
        <v>#DIV/0!</v>
      </c>
      <c r="CN148" s="164" t="e">
        <f t="shared" si="70"/>
        <v>#DIV/0!</v>
      </c>
      <c r="CO148" s="164" t="e">
        <f t="shared" si="70"/>
        <v>#DIV/0!</v>
      </c>
      <c r="CP148" s="164"/>
    </row>
    <row r="149" spans="2:94" ht="16" x14ac:dyDescent="0.2">
      <c r="B149" s="105" t="s">
        <v>446</v>
      </c>
      <c r="D149" s="164"/>
      <c r="E149" s="164"/>
      <c r="F149" s="164"/>
      <c r="G149" s="164"/>
      <c r="H149" s="164"/>
      <c r="I149" s="164"/>
      <c r="J149" s="164">
        <f>J148*(1+(1-J138)*(J142/J143))</f>
        <v>0.89901805813759683</v>
      </c>
      <c r="K149" s="164"/>
      <c r="L149" s="164"/>
      <c r="M149" s="164"/>
      <c r="N149" s="164"/>
      <c r="O149" s="164"/>
      <c r="P149" s="164"/>
      <c r="Q149" s="164">
        <f>Q148*(1+(1-Q138)*(Q142/Q143))</f>
        <v>0.89901724156031959</v>
      </c>
      <c r="R149" s="164"/>
      <c r="S149" s="164"/>
      <c r="T149" s="164"/>
      <c r="U149" s="164"/>
      <c r="V149" s="164"/>
      <c r="W149" s="164"/>
      <c r="X149" s="164">
        <f>X148*(1+(1-X138)*(X142/X143))</f>
        <v>0.8990216262899865</v>
      </c>
      <c r="Y149" s="164"/>
      <c r="Z149" s="164"/>
      <c r="AA149" s="164"/>
      <c r="AB149" s="164"/>
      <c r="AC149" s="164"/>
      <c r="AD149" s="164"/>
      <c r="AE149" s="164">
        <f>AE148*(1+(1-AE138)*(AE142/AE143))</f>
        <v>0.89901802257337826</v>
      </c>
      <c r="AF149" s="164"/>
      <c r="AG149" s="164"/>
      <c r="AH149" s="164"/>
      <c r="AI149" s="164"/>
      <c r="AJ149" s="164"/>
      <c r="AK149" s="164"/>
      <c r="AL149" s="164">
        <f>AL148*(1+(1-AL138)*(AL142/AL143))</f>
        <v>0.89899694433023647</v>
      </c>
      <c r="AM149" s="164"/>
      <c r="AN149" s="164"/>
      <c r="AO149" s="164"/>
      <c r="AP149" s="164"/>
      <c r="AQ149" s="164"/>
      <c r="AR149" s="164"/>
      <c r="AS149" s="164">
        <f>AS148*(1+(1-AS138)*(AS142/AS143))</f>
        <v>0.89898675334186851</v>
      </c>
      <c r="AT149" s="164"/>
      <c r="AU149" s="164"/>
      <c r="AV149" s="164"/>
      <c r="AW149" s="164"/>
      <c r="AX149" s="164"/>
      <c r="AY149" s="164"/>
      <c r="AZ149" s="164">
        <f>AZ148*(1+(1-AZ138)*(AZ142/AZ143))</f>
        <v>0.8989840907282588</v>
      </c>
      <c r="BA149" s="164"/>
      <c r="BB149" s="164"/>
      <c r="BC149" s="164"/>
      <c r="BD149" s="164"/>
      <c r="BE149" s="164"/>
      <c r="BF149" s="164"/>
      <c r="BG149" s="164">
        <f>BG148*(1+(1-BG138)*(BG142/BG143))</f>
        <v>0.89897146232027147</v>
      </c>
      <c r="BH149" s="164"/>
      <c r="BI149" s="164"/>
      <c r="BJ149" s="164"/>
      <c r="BK149" s="164"/>
      <c r="BL149" s="164"/>
      <c r="BM149" s="164"/>
      <c r="BN149" s="164">
        <f>BN148*(1+(1-BN138)*(BN142/BN143))</f>
        <v>0.90622862602225529</v>
      </c>
      <c r="BO149" s="164"/>
      <c r="BP149" s="164"/>
      <c r="BQ149" s="164"/>
      <c r="BR149" s="164"/>
      <c r="BS149" s="164"/>
      <c r="BT149" s="164"/>
      <c r="BU149" s="164">
        <f>BU148*(1+(1-BU138)*(BU142/BU143))</f>
        <v>0.9063097795050904</v>
      </c>
      <c r="BV149" s="164"/>
      <c r="BW149" s="164"/>
      <c r="BX149" s="164"/>
      <c r="BY149" s="164"/>
      <c r="BZ149" s="164"/>
      <c r="CA149" s="164"/>
      <c r="CB149" s="164">
        <f>CB148*(1+(1-CB138)*(CB142/CB143))</f>
        <v>0.91522113569654229</v>
      </c>
      <c r="CC149" s="164"/>
      <c r="CD149" s="164"/>
      <c r="CE149" s="164"/>
      <c r="CF149" s="164"/>
      <c r="CG149" s="164"/>
      <c r="CH149" s="164"/>
      <c r="CI149" s="164">
        <f>CI148*(1+(1-CI138)*(CI142/CI143))</f>
        <v>0.91517580843362079</v>
      </c>
      <c r="CJ149" s="176">
        <v>4.7899999999999998E-2</v>
      </c>
      <c r="CK149" s="176">
        <f>CJ149</f>
        <v>4.7899999999999998E-2</v>
      </c>
      <c r="CL149" s="176">
        <v>4.7899999999999998E-2</v>
      </c>
      <c r="CM149" s="176">
        <v>4.7899999999999998E-2</v>
      </c>
      <c r="CN149" s="176">
        <f>CM149</f>
        <v>4.7899999999999998E-2</v>
      </c>
      <c r="CO149" s="176">
        <v>4.7899999999999998E-2</v>
      </c>
      <c r="CP149" s="176"/>
    </row>
    <row r="150" spans="2:94" ht="16" x14ac:dyDescent="0.2">
      <c r="B150" s="237" t="s">
        <v>447</v>
      </c>
      <c r="C150" s="238"/>
      <c r="D150" s="239"/>
      <c r="E150" s="239"/>
      <c r="F150" s="239"/>
      <c r="G150" s="239"/>
      <c r="H150" s="239"/>
      <c r="I150" s="239"/>
      <c r="J150" s="239">
        <v>4.7899999999999998E-2</v>
      </c>
      <c r="K150" s="239"/>
      <c r="L150" s="239"/>
      <c r="M150" s="239"/>
      <c r="N150" s="239"/>
      <c r="O150" s="239"/>
      <c r="P150" s="239"/>
      <c r="Q150" s="239">
        <v>4.7899999999999998E-2</v>
      </c>
      <c r="R150" s="239"/>
      <c r="S150" s="239"/>
      <c r="T150" s="239"/>
      <c r="U150" s="239"/>
      <c r="V150" s="239"/>
      <c r="W150" s="239"/>
      <c r="X150" s="239">
        <v>4.7899999999999998E-2</v>
      </c>
      <c r="Y150" s="239"/>
      <c r="Z150" s="239"/>
      <c r="AA150" s="239"/>
      <c r="AB150" s="239"/>
      <c r="AC150" s="239"/>
      <c r="AD150" s="239"/>
      <c r="AE150" s="239">
        <v>4.7899999999999998E-2</v>
      </c>
      <c r="AF150" s="239"/>
      <c r="AG150" s="239"/>
      <c r="AH150" s="239"/>
      <c r="AI150" s="239"/>
      <c r="AJ150" s="239"/>
      <c r="AK150" s="239"/>
      <c r="AL150" s="239">
        <v>4.7899999999999998E-2</v>
      </c>
      <c r="AM150" s="239"/>
      <c r="AN150" s="239"/>
      <c r="AO150" s="239"/>
      <c r="AP150" s="239"/>
      <c r="AQ150" s="239"/>
      <c r="AR150" s="239"/>
      <c r="AS150" s="239">
        <v>4.7899999999999998E-2</v>
      </c>
      <c r="AT150" s="239"/>
      <c r="AU150" s="239"/>
      <c r="AV150" s="239"/>
      <c r="AW150" s="239"/>
      <c r="AX150" s="239"/>
      <c r="AY150" s="239"/>
      <c r="AZ150" s="239">
        <v>4.7899999999999998E-2</v>
      </c>
      <c r="BA150" s="239"/>
      <c r="BB150" s="239"/>
      <c r="BC150" s="239"/>
      <c r="BD150" s="239"/>
      <c r="BE150" s="239"/>
      <c r="BF150" s="239"/>
      <c r="BG150" s="239">
        <v>4.7899999999999998E-2</v>
      </c>
      <c r="BH150" s="239"/>
      <c r="BI150" s="239"/>
      <c r="BJ150" s="239"/>
      <c r="BK150" s="239"/>
      <c r="BL150" s="239"/>
      <c r="BM150" s="239"/>
      <c r="BN150" s="239">
        <v>4.7899999999999998E-2</v>
      </c>
      <c r="BO150" s="239"/>
      <c r="BP150" s="239"/>
      <c r="BQ150" s="239"/>
      <c r="BR150" s="239"/>
      <c r="BS150" s="239"/>
      <c r="BT150" s="239"/>
      <c r="BU150" s="239">
        <v>4.7899999999999998E-2</v>
      </c>
      <c r="BV150" s="239"/>
      <c r="BW150" s="239"/>
      <c r="BX150" s="239"/>
      <c r="BY150" s="239"/>
      <c r="BZ150" s="239"/>
      <c r="CA150" s="239"/>
      <c r="CB150" s="239">
        <v>4.7899999999999998E-2</v>
      </c>
      <c r="CC150" s="239"/>
      <c r="CD150" s="239"/>
      <c r="CE150" s="239"/>
      <c r="CF150" s="239"/>
      <c r="CG150" s="239"/>
      <c r="CH150" s="239"/>
      <c r="CI150" s="239">
        <v>4.7899999999999998E-2</v>
      </c>
      <c r="CJ150" s="176">
        <v>0.1179</v>
      </c>
      <c r="CK150" s="176">
        <f>CJ150</f>
        <v>0.1179</v>
      </c>
      <c r="CL150" s="176">
        <v>0.1179</v>
      </c>
      <c r="CM150" s="176">
        <v>0.1179</v>
      </c>
      <c r="CN150" s="176">
        <f>CM150</f>
        <v>0.1179</v>
      </c>
      <c r="CO150" s="176">
        <v>0.1179</v>
      </c>
      <c r="CP150" s="176"/>
    </row>
    <row r="151" spans="2:94" ht="16" x14ac:dyDescent="0.2">
      <c r="B151" s="237" t="s">
        <v>448</v>
      </c>
      <c r="C151" s="238"/>
      <c r="D151" s="239"/>
      <c r="E151" s="239"/>
      <c r="F151" s="239"/>
      <c r="G151" s="239"/>
      <c r="H151" s="239"/>
      <c r="I151" s="239"/>
      <c r="J151" s="239">
        <v>0.1179</v>
      </c>
      <c r="K151" s="239"/>
      <c r="L151" s="239"/>
      <c r="M151" s="239"/>
      <c r="N151" s="239"/>
      <c r="O151" s="239"/>
      <c r="P151" s="239"/>
      <c r="Q151" s="239">
        <v>0.1179</v>
      </c>
      <c r="R151" s="239"/>
      <c r="S151" s="239"/>
      <c r="T151" s="239"/>
      <c r="U151" s="239"/>
      <c r="V151" s="239"/>
      <c r="W151" s="239"/>
      <c r="X151" s="239">
        <v>0.1179</v>
      </c>
      <c r="Y151" s="239"/>
      <c r="Z151" s="239"/>
      <c r="AA151" s="239"/>
      <c r="AB151" s="239"/>
      <c r="AC151" s="239"/>
      <c r="AD151" s="239"/>
      <c r="AE151" s="239">
        <v>0.1179</v>
      </c>
      <c r="AF151" s="239"/>
      <c r="AG151" s="239"/>
      <c r="AH151" s="239"/>
      <c r="AI151" s="239"/>
      <c r="AJ151" s="239"/>
      <c r="AK151" s="239"/>
      <c r="AL151" s="239">
        <v>0.1179</v>
      </c>
      <c r="AM151" s="239"/>
      <c r="AN151" s="239"/>
      <c r="AO151" s="239"/>
      <c r="AP151" s="239"/>
      <c r="AQ151" s="239"/>
      <c r="AR151" s="239"/>
      <c r="AS151" s="239">
        <v>0.1179</v>
      </c>
      <c r="AT151" s="239"/>
      <c r="AU151" s="239"/>
      <c r="AV151" s="239"/>
      <c r="AW151" s="239"/>
      <c r="AX151" s="239"/>
      <c r="AY151" s="239"/>
      <c r="AZ151" s="239">
        <v>0.1179</v>
      </c>
      <c r="BA151" s="239"/>
      <c r="BB151" s="239"/>
      <c r="BC151" s="239"/>
      <c r="BD151" s="239"/>
      <c r="BE151" s="239"/>
      <c r="BF151" s="239"/>
      <c r="BG151" s="239">
        <v>0.1179</v>
      </c>
      <c r="BH151" s="239"/>
      <c r="BI151" s="239"/>
      <c r="BJ151" s="239"/>
      <c r="BK151" s="239"/>
      <c r="BL151" s="239"/>
      <c r="BM151" s="239"/>
      <c r="BN151" s="239">
        <v>0.1179</v>
      </c>
      <c r="BO151" s="239"/>
      <c r="BP151" s="239"/>
      <c r="BQ151" s="239"/>
      <c r="BR151" s="239"/>
      <c r="BS151" s="239"/>
      <c r="BT151" s="239"/>
      <c r="BU151" s="239">
        <v>0.1179</v>
      </c>
      <c r="BV151" s="239"/>
      <c r="BW151" s="239"/>
      <c r="BX151" s="239"/>
      <c r="BY151" s="239"/>
      <c r="BZ151" s="239"/>
      <c r="CA151" s="239"/>
      <c r="CB151" s="239">
        <v>0.1179</v>
      </c>
      <c r="CC151" s="239"/>
      <c r="CD151" s="239"/>
      <c r="CE151" s="239"/>
      <c r="CF151" s="239"/>
      <c r="CG151" s="239"/>
      <c r="CH151" s="239"/>
      <c r="CI151" s="239">
        <v>0.1179</v>
      </c>
      <c r="CJ151" s="176">
        <v>7.2900000000000006E-2</v>
      </c>
      <c r="CK151" s="176">
        <f>CJ151</f>
        <v>7.2900000000000006E-2</v>
      </c>
      <c r="CL151" s="176">
        <v>7.2900000000000006E-2</v>
      </c>
      <c r="CM151" s="176">
        <v>7.2900000000000006E-2</v>
      </c>
      <c r="CN151" s="176">
        <f>CM151</f>
        <v>7.2900000000000006E-2</v>
      </c>
      <c r="CO151" s="176">
        <v>7.2900000000000006E-2</v>
      </c>
      <c r="CP151" s="176"/>
    </row>
    <row r="152" spans="2:94" ht="16" x14ac:dyDescent="0.2">
      <c r="B152" s="237" t="s">
        <v>449</v>
      </c>
      <c r="C152" s="238"/>
      <c r="D152" s="239"/>
      <c r="E152" s="239"/>
      <c r="F152" s="239"/>
      <c r="G152" s="239"/>
      <c r="H152" s="239"/>
      <c r="I152" s="239"/>
      <c r="J152" s="239">
        <v>7.2900000000000006E-2</v>
      </c>
      <c r="K152" s="239"/>
      <c r="L152" s="239"/>
      <c r="M152" s="239"/>
      <c r="N152" s="239"/>
      <c r="O152" s="239"/>
      <c r="P152" s="239"/>
      <c r="Q152" s="239">
        <v>7.2900000000000006E-2</v>
      </c>
      <c r="R152" s="239"/>
      <c r="S152" s="239"/>
      <c r="T152" s="239"/>
      <c r="U152" s="239"/>
      <c r="V152" s="239"/>
      <c r="W152" s="239"/>
      <c r="X152" s="239">
        <v>7.2900000000000006E-2</v>
      </c>
      <c r="Y152" s="239"/>
      <c r="Z152" s="239"/>
      <c r="AA152" s="239"/>
      <c r="AB152" s="239"/>
      <c r="AC152" s="239"/>
      <c r="AD152" s="239"/>
      <c r="AE152" s="239">
        <v>7.2900000000000006E-2</v>
      </c>
      <c r="AF152" s="239"/>
      <c r="AG152" s="239"/>
      <c r="AH152" s="239"/>
      <c r="AI152" s="239"/>
      <c r="AJ152" s="239"/>
      <c r="AK152" s="239"/>
      <c r="AL152" s="239">
        <v>7.2900000000000006E-2</v>
      </c>
      <c r="AM152" s="239"/>
      <c r="AN152" s="239"/>
      <c r="AO152" s="239"/>
      <c r="AP152" s="239"/>
      <c r="AQ152" s="239"/>
      <c r="AR152" s="239"/>
      <c r="AS152" s="239">
        <v>7.2900000000000006E-2</v>
      </c>
      <c r="AT152" s="239"/>
      <c r="AU152" s="239"/>
      <c r="AV152" s="239"/>
      <c r="AW152" s="239"/>
      <c r="AX152" s="239"/>
      <c r="AY152" s="239"/>
      <c r="AZ152" s="239">
        <v>7.2900000000000006E-2</v>
      </c>
      <c r="BA152" s="239"/>
      <c r="BB152" s="239"/>
      <c r="BC152" s="239"/>
      <c r="BD152" s="239"/>
      <c r="BE152" s="239"/>
      <c r="BF152" s="239"/>
      <c r="BG152" s="239">
        <v>7.2900000000000006E-2</v>
      </c>
      <c r="BH152" s="239"/>
      <c r="BI152" s="239"/>
      <c r="BJ152" s="239"/>
      <c r="BK152" s="239"/>
      <c r="BL152" s="239"/>
      <c r="BM152" s="239"/>
      <c r="BN152" s="239">
        <v>7.2900000000000006E-2</v>
      </c>
      <c r="BO152" s="239"/>
      <c r="BP152" s="239"/>
      <c r="BQ152" s="239"/>
      <c r="BR152" s="239"/>
      <c r="BS152" s="239"/>
      <c r="BT152" s="239"/>
      <c r="BU152" s="239">
        <v>7.2900000000000006E-2</v>
      </c>
      <c r="BV152" s="239"/>
      <c r="BW152" s="239"/>
      <c r="BX152" s="239"/>
      <c r="BY152" s="239"/>
      <c r="BZ152" s="239"/>
      <c r="CA152" s="239"/>
      <c r="CB152" s="239">
        <v>7.2900000000000006E-2</v>
      </c>
      <c r="CC152" s="239"/>
      <c r="CD152" s="239"/>
      <c r="CE152" s="239"/>
      <c r="CF152" s="239"/>
      <c r="CG152" s="239"/>
      <c r="CH152" s="239"/>
      <c r="CI152" s="239">
        <v>7.2900000000000006E-2</v>
      </c>
      <c r="CJ152" s="176">
        <v>4.7E-2</v>
      </c>
      <c r="CK152" s="176">
        <f>CJ152</f>
        <v>4.7E-2</v>
      </c>
      <c r="CL152" s="176">
        <v>4.7E-2</v>
      </c>
      <c r="CM152" s="176">
        <v>4.7E-2</v>
      </c>
      <c r="CN152" s="176">
        <f>CM152</f>
        <v>4.7E-2</v>
      </c>
      <c r="CO152" s="176">
        <v>4.7E-2</v>
      </c>
      <c r="CP152" s="176"/>
    </row>
    <row r="153" spans="2:94" ht="16" x14ac:dyDescent="0.2">
      <c r="B153" s="105" t="s">
        <v>450</v>
      </c>
      <c r="D153" s="176"/>
      <c r="E153" s="176"/>
      <c r="F153" s="176"/>
      <c r="G153" s="176"/>
      <c r="H153" s="176"/>
      <c r="I153" s="176"/>
      <c r="J153" s="176">
        <v>4.7E-2</v>
      </c>
      <c r="K153" s="176"/>
      <c r="L153" s="176"/>
      <c r="M153" s="176"/>
      <c r="N153" s="176"/>
      <c r="O153" s="176"/>
      <c r="P153" s="176"/>
      <c r="Q153" s="176">
        <v>4.7E-2</v>
      </c>
      <c r="R153" s="176"/>
      <c r="S153" s="176"/>
      <c r="T153" s="176"/>
      <c r="U153" s="176"/>
      <c r="V153" s="176"/>
      <c r="W153" s="176"/>
      <c r="X153" s="176">
        <v>4.7E-2</v>
      </c>
      <c r="Y153" s="176"/>
      <c r="Z153" s="176"/>
      <c r="AA153" s="176"/>
      <c r="AB153" s="176"/>
      <c r="AC153" s="176"/>
      <c r="AD153" s="176"/>
      <c r="AE153" s="176">
        <v>4.7E-2</v>
      </c>
      <c r="AF153" s="176"/>
      <c r="AG153" s="176"/>
      <c r="AH153" s="176"/>
      <c r="AI153" s="176"/>
      <c r="AJ153" s="176"/>
      <c r="AK153" s="176"/>
      <c r="AL153" s="176">
        <v>4.7E-2</v>
      </c>
      <c r="AM153" s="176"/>
      <c r="AN153" s="176"/>
      <c r="AO153" s="176"/>
      <c r="AP153" s="176"/>
      <c r="AQ153" s="176"/>
      <c r="AR153" s="176"/>
      <c r="AS153" s="176">
        <v>4.7E-2</v>
      </c>
      <c r="AT153" s="176"/>
      <c r="AU153" s="176"/>
      <c r="AV153" s="176"/>
      <c r="AW153" s="176"/>
      <c r="AX153" s="176"/>
      <c r="AY153" s="176"/>
      <c r="AZ153" s="176">
        <v>4.7E-2</v>
      </c>
      <c r="BA153" s="176"/>
      <c r="BB153" s="176"/>
      <c r="BC153" s="176"/>
      <c r="BD153" s="176"/>
      <c r="BE153" s="176"/>
      <c r="BF153" s="176"/>
      <c r="BG153" s="176">
        <v>4.7E-2</v>
      </c>
      <c r="BH153" s="176"/>
      <c r="BI153" s="176"/>
      <c r="BJ153" s="176"/>
      <c r="BK153" s="176"/>
      <c r="BL153" s="176"/>
      <c r="BM153" s="176"/>
      <c r="BN153" s="176">
        <v>4.7E-2</v>
      </c>
      <c r="BO153" s="176"/>
      <c r="BP153" s="176"/>
      <c r="BQ153" s="176"/>
      <c r="BR153" s="176"/>
      <c r="BS153" s="176"/>
      <c r="BT153" s="176"/>
      <c r="BU153" s="176">
        <v>4.7E-2</v>
      </c>
      <c r="BV153" s="176"/>
      <c r="BW153" s="176"/>
      <c r="BX153" s="176"/>
      <c r="BY153" s="176"/>
      <c r="BZ153" s="176"/>
      <c r="CA153" s="176"/>
      <c r="CB153" s="176">
        <v>4.7E-2</v>
      </c>
      <c r="CC153" s="176"/>
      <c r="CD153" s="176"/>
      <c r="CE153" s="176"/>
      <c r="CF153" s="176"/>
      <c r="CG153" s="176"/>
      <c r="CH153" s="176"/>
      <c r="CI153" s="176">
        <v>4.7E-2</v>
      </c>
      <c r="CJ153" s="176">
        <v>0.03</v>
      </c>
      <c r="CK153" s="176">
        <f>CJ153</f>
        <v>0.03</v>
      </c>
      <c r="CL153" s="176">
        <v>0.03</v>
      </c>
      <c r="CM153" s="176">
        <v>0.03</v>
      </c>
      <c r="CN153" s="176">
        <f>CM153</f>
        <v>0.03</v>
      </c>
      <c r="CO153" s="176">
        <v>0.03</v>
      </c>
      <c r="CP153" s="176"/>
    </row>
    <row r="154" spans="2:94" ht="16" x14ac:dyDescent="0.2">
      <c r="B154" s="105" t="s">
        <v>451</v>
      </c>
      <c r="D154" s="176"/>
      <c r="E154" s="176"/>
      <c r="F154" s="176"/>
      <c r="G154" s="176"/>
      <c r="H154" s="176"/>
      <c r="I154" s="176"/>
      <c r="J154" s="176">
        <v>0.03</v>
      </c>
      <c r="K154" s="176"/>
      <c r="L154" s="176"/>
      <c r="M154" s="176"/>
      <c r="N154" s="176"/>
      <c r="O154" s="176"/>
      <c r="P154" s="176"/>
      <c r="Q154" s="176">
        <v>0.03</v>
      </c>
      <c r="R154" s="176"/>
      <c r="S154" s="176"/>
      <c r="T154" s="176"/>
      <c r="U154" s="176"/>
      <c r="V154" s="176"/>
      <c r="W154" s="176"/>
      <c r="X154" s="176">
        <v>0.03</v>
      </c>
      <c r="Y154" s="176"/>
      <c r="Z154" s="176"/>
      <c r="AA154" s="176"/>
      <c r="AB154" s="176"/>
      <c r="AC154" s="176"/>
      <c r="AD154" s="176"/>
      <c r="AE154" s="176">
        <v>0.03</v>
      </c>
      <c r="AF154" s="176"/>
      <c r="AG154" s="176"/>
      <c r="AH154" s="176"/>
      <c r="AI154" s="176"/>
      <c r="AJ154" s="176"/>
      <c r="AK154" s="176"/>
      <c r="AL154" s="176">
        <v>0.03</v>
      </c>
      <c r="AM154" s="176"/>
      <c r="AN154" s="176"/>
      <c r="AO154" s="176"/>
      <c r="AP154" s="176"/>
      <c r="AQ154" s="176"/>
      <c r="AR154" s="176"/>
      <c r="AS154" s="176">
        <v>0.03</v>
      </c>
      <c r="AT154" s="176"/>
      <c r="AU154" s="176"/>
      <c r="AV154" s="176"/>
      <c r="AW154" s="176"/>
      <c r="AX154" s="176"/>
      <c r="AY154" s="176"/>
      <c r="AZ154" s="176">
        <v>0.03</v>
      </c>
      <c r="BA154" s="176"/>
      <c r="BB154" s="176"/>
      <c r="BC154" s="176"/>
      <c r="BD154" s="176"/>
      <c r="BE154" s="176"/>
      <c r="BF154" s="176"/>
      <c r="BG154" s="176">
        <v>0.03</v>
      </c>
      <c r="BH154" s="176"/>
      <c r="BI154" s="176"/>
      <c r="BJ154" s="176"/>
      <c r="BK154" s="176"/>
      <c r="BL154" s="176"/>
      <c r="BM154" s="176"/>
      <c r="BN154" s="176">
        <v>0.03</v>
      </c>
      <c r="BO154" s="176"/>
      <c r="BP154" s="176"/>
      <c r="BQ154" s="176"/>
      <c r="BR154" s="176"/>
      <c r="BS154" s="176"/>
      <c r="BT154" s="176"/>
      <c r="BU154" s="176">
        <v>0.03</v>
      </c>
      <c r="BV154" s="176"/>
      <c r="BW154" s="176"/>
      <c r="BX154" s="176"/>
      <c r="BY154" s="176"/>
      <c r="BZ154" s="176"/>
      <c r="CA154" s="176"/>
      <c r="CB154" s="176">
        <v>0.03</v>
      </c>
      <c r="CC154" s="176"/>
      <c r="CD154" s="176"/>
      <c r="CE154" s="176"/>
      <c r="CF154" s="176"/>
      <c r="CG154" s="176"/>
      <c r="CH154" s="176"/>
      <c r="CI154" s="176">
        <v>0.03</v>
      </c>
      <c r="CJ154" s="135">
        <f t="shared" ref="CJ154:CO154" si="71">((1+CJ152)/(1+CJ153))-1</f>
        <v>1.6504854368931898E-2</v>
      </c>
      <c r="CK154" s="135">
        <f t="shared" si="71"/>
        <v>1.6504854368931898E-2</v>
      </c>
      <c r="CL154" s="135">
        <f t="shared" si="71"/>
        <v>1.6504854368931898E-2</v>
      </c>
      <c r="CM154" s="135">
        <f t="shared" si="71"/>
        <v>1.6504854368931898E-2</v>
      </c>
      <c r="CN154" s="135">
        <f t="shared" si="71"/>
        <v>1.6504854368931898E-2</v>
      </c>
      <c r="CO154" s="135">
        <f t="shared" si="71"/>
        <v>1.6504854368931898E-2</v>
      </c>
      <c r="CP154" s="135"/>
    </row>
    <row r="155" spans="2:94" x14ac:dyDescent="0.2">
      <c r="B155" s="105" t="s">
        <v>452</v>
      </c>
      <c r="D155" s="135"/>
      <c r="E155" s="135"/>
      <c r="F155" s="135"/>
      <c r="G155" s="135"/>
      <c r="H155" s="135"/>
      <c r="I155" s="135"/>
      <c r="J155" s="135">
        <f>((1+J153)/(1+J154))-1</f>
        <v>1.6504854368931898E-2</v>
      </c>
      <c r="K155" s="135"/>
      <c r="L155" s="135"/>
      <c r="M155" s="135"/>
      <c r="N155" s="135"/>
      <c r="O155" s="135"/>
      <c r="P155" s="135"/>
      <c r="Q155" s="135">
        <f>((1+Q153)/(1+Q154))-1</f>
        <v>1.6504854368931898E-2</v>
      </c>
      <c r="R155" s="135"/>
      <c r="S155" s="135"/>
      <c r="T155" s="135"/>
      <c r="U155" s="135"/>
      <c r="V155" s="135"/>
      <c r="W155" s="135"/>
      <c r="X155" s="135">
        <f>((1+X153)/(1+X154))-1</f>
        <v>1.6504854368931898E-2</v>
      </c>
      <c r="Y155" s="135"/>
      <c r="Z155" s="135"/>
      <c r="AA155" s="135"/>
      <c r="AB155" s="135"/>
      <c r="AC155" s="135"/>
      <c r="AD155" s="135"/>
      <c r="AE155" s="135">
        <f>((1+AE153)/(1+AE154))-1</f>
        <v>1.6504854368931898E-2</v>
      </c>
      <c r="AF155" s="135"/>
      <c r="AG155" s="135"/>
      <c r="AH155" s="135"/>
      <c r="AI155" s="135"/>
      <c r="AJ155" s="135"/>
      <c r="AK155" s="135"/>
      <c r="AL155" s="135">
        <f>((1+AL153)/(1+AL154))-1</f>
        <v>1.6504854368931898E-2</v>
      </c>
      <c r="AM155" s="135"/>
      <c r="AN155" s="135"/>
      <c r="AO155" s="135"/>
      <c r="AP155" s="135"/>
      <c r="AQ155" s="135"/>
      <c r="AR155" s="135"/>
      <c r="AS155" s="135">
        <f>((1+AS153)/(1+AS154))-1</f>
        <v>1.6504854368931898E-2</v>
      </c>
      <c r="AT155" s="135"/>
      <c r="AU155" s="135"/>
      <c r="AV155" s="135"/>
      <c r="AW155" s="135"/>
      <c r="AX155" s="135"/>
      <c r="AY155" s="135"/>
      <c r="AZ155" s="135">
        <f>((1+AZ153)/(1+AZ154))-1</f>
        <v>1.6504854368931898E-2</v>
      </c>
      <c r="BA155" s="135"/>
      <c r="BB155" s="135"/>
      <c r="BC155" s="135"/>
      <c r="BD155" s="135"/>
      <c r="BE155" s="135"/>
      <c r="BF155" s="135"/>
      <c r="BG155" s="135">
        <f>((1+BG153)/(1+BG154))-1</f>
        <v>1.6504854368931898E-2</v>
      </c>
      <c r="BH155" s="135"/>
      <c r="BI155" s="135"/>
      <c r="BJ155" s="135"/>
      <c r="BK155" s="135"/>
      <c r="BL155" s="135"/>
      <c r="BM155" s="135"/>
      <c r="BN155" s="135">
        <f>((1+BN153)/(1+BN154))-1</f>
        <v>1.6504854368931898E-2</v>
      </c>
      <c r="BO155" s="135"/>
      <c r="BP155" s="135"/>
      <c r="BQ155" s="135"/>
      <c r="BR155" s="135"/>
      <c r="BS155" s="135"/>
      <c r="BT155" s="135"/>
      <c r="BU155" s="135">
        <f>((1+BU153)/(1+BU154))-1</f>
        <v>1.6504854368931898E-2</v>
      </c>
      <c r="BV155" s="135"/>
      <c r="BW155" s="135"/>
      <c r="BX155" s="135"/>
      <c r="BY155" s="135"/>
      <c r="BZ155" s="135"/>
      <c r="CA155" s="135"/>
      <c r="CB155" s="135">
        <f>((1+CB153)/(1+CB154))-1</f>
        <v>1.6504854368931898E-2</v>
      </c>
      <c r="CC155" s="135"/>
      <c r="CD155" s="135"/>
      <c r="CE155" s="135"/>
      <c r="CF155" s="135"/>
      <c r="CG155" s="135"/>
      <c r="CH155" s="135"/>
      <c r="CI155" s="135">
        <f>((1+CI153)/(1+CI154))-1</f>
        <v>1.6504854368931898E-2</v>
      </c>
      <c r="CJ155" s="135" t="e">
        <f t="shared" ref="CJ155:CO155" si="72">CJ149+(CJ148*(CJ150-CJ149))+CJ151</f>
        <v>#DIV/0!</v>
      </c>
      <c r="CK155" s="135" t="e">
        <f t="shared" si="72"/>
        <v>#DIV/0!</v>
      </c>
      <c r="CL155" s="135" t="e">
        <f t="shared" si="72"/>
        <v>#DIV/0!</v>
      </c>
      <c r="CM155" s="135" t="e">
        <f t="shared" si="72"/>
        <v>#DIV/0!</v>
      </c>
      <c r="CN155" s="135" t="e">
        <f t="shared" si="72"/>
        <v>#DIV/0!</v>
      </c>
      <c r="CO155" s="135" t="e">
        <f t="shared" si="72"/>
        <v>#DIV/0!</v>
      </c>
      <c r="CP155" s="135"/>
    </row>
    <row r="156" spans="2:94" x14ac:dyDescent="0.2">
      <c r="B156" s="105" t="s">
        <v>453</v>
      </c>
      <c r="D156" s="135"/>
      <c r="E156" s="135"/>
      <c r="F156" s="135"/>
      <c r="G156" s="135"/>
      <c r="H156" s="135"/>
      <c r="I156" s="135"/>
      <c r="J156" s="135">
        <f>J150+(J149*(J151-J150))+J152</f>
        <v>0.18373126406963181</v>
      </c>
      <c r="K156" s="135"/>
      <c r="L156" s="135"/>
      <c r="M156" s="135"/>
      <c r="N156" s="135"/>
      <c r="O156" s="135"/>
      <c r="P156" s="135"/>
      <c r="Q156" s="135">
        <f>Q150+(Q149*(Q151-Q150))+Q152</f>
        <v>0.1837312069092224</v>
      </c>
      <c r="R156" s="135"/>
      <c r="S156" s="135"/>
      <c r="T156" s="135"/>
      <c r="U156" s="135"/>
      <c r="V156" s="135"/>
      <c r="W156" s="135"/>
      <c r="X156" s="135">
        <f>X150+(X149*(X151-X150))+X152</f>
        <v>0.18373151384029907</v>
      </c>
      <c r="Y156" s="135"/>
      <c r="Z156" s="135"/>
      <c r="AA156" s="135"/>
      <c r="AB156" s="135"/>
      <c r="AC156" s="135"/>
      <c r="AD156" s="135"/>
      <c r="AE156" s="135">
        <f>AE150+(AE149*(AE151-AE150))+AE152</f>
        <v>0.18373126158013647</v>
      </c>
      <c r="AF156" s="135"/>
      <c r="AG156" s="135"/>
      <c r="AH156" s="135"/>
      <c r="AI156" s="135"/>
      <c r="AJ156" s="135"/>
      <c r="AK156" s="135"/>
      <c r="AL156" s="135">
        <f>AL150+(AL149*(AL151-AL150))+AL152</f>
        <v>0.18372978610311658</v>
      </c>
      <c r="AM156" s="135"/>
      <c r="AN156" s="135"/>
      <c r="AO156" s="135"/>
      <c r="AP156" s="135"/>
      <c r="AQ156" s="135"/>
      <c r="AR156" s="135"/>
      <c r="AS156" s="135">
        <f>AS150+(AS149*(AS151-AS150))+AS152</f>
        <v>0.1837290727339308</v>
      </c>
      <c r="AT156" s="135"/>
      <c r="AU156" s="135"/>
      <c r="AV156" s="135"/>
      <c r="AW156" s="135"/>
      <c r="AX156" s="135"/>
      <c r="AY156" s="135"/>
      <c r="AZ156" s="135">
        <f>AZ150+(AZ149*(AZ151-AZ150))+AZ152</f>
        <v>0.18372888635097812</v>
      </c>
      <c r="BA156" s="135"/>
      <c r="BB156" s="135"/>
      <c r="BC156" s="135"/>
      <c r="BD156" s="135"/>
      <c r="BE156" s="135"/>
      <c r="BF156" s="135"/>
      <c r="BG156" s="135">
        <f>BG150+(BG149*(BG151-BG150))+BG152</f>
        <v>0.18372800236241901</v>
      </c>
      <c r="BH156" s="135"/>
      <c r="BI156" s="135"/>
      <c r="BJ156" s="135"/>
      <c r="BK156" s="135"/>
      <c r="BL156" s="135"/>
      <c r="BM156" s="135"/>
      <c r="BN156" s="135">
        <f>BN150+(BN149*(BN151-BN150))+BN152</f>
        <v>0.18423600382155789</v>
      </c>
      <c r="BO156" s="135"/>
      <c r="BP156" s="135"/>
      <c r="BQ156" s="135"/>
      <c r="BR156" s="135"/>
      <c r="BS156" s="135"/>
      <c r="BT156" s="135"/>
      <c r="BU156" s="135">
        <f>BU150+(BU149*(BU151-BU150))+BU152</f>
        <v>0.18424168456535633</v>
      </c>
      <c r="BV156" s="135"/>
      <c r="BW156" s="135"/>
      <c r="BX156" s="135"/>
      <c r="BY156" s="135"/>
      <c r="BZ156" s="135"/>
      <c r="CA156" s="135"/>
      <c r="CB156" s="135">
        <f>CB150+(CB149*(CB151-CB150))+CB152</f>
        <v>0.18486547949875798</v>
      </c>
      <c r="CC156" s="135"/>
      <c r="CD156" s="135"/>
      <c r="CE156" s="135"/>
      <c r="CF156" s="135"/>
      <c r="CG156" s="135"/>
      <c r="CH156" s="135"/>
      <c r="CI156" s="135">
        <f>CI150+(CI149*(CI151-CI150))+CI152</f>
        <v>0.18486230659035346</v>
      </c>
      <c r="CJ156" s="135" t="e">
        <f t="shared" ref="CJ156:CO156" si="73">(1+CJ155)*(1+CJ154)-1</f>
        <v>#DIV/0!</v>
      </c>
      <c r="CK156" s="135" t="e">
        <f t="shared" si="73"/>
        <v>#DIV/0!</v>
      </c>
      <c r="CL156" s="135" t="e">
        <f t="shared" si="73"/>
        <v>#DIV/0!</v>
      </c>
      <c r="CM156" s="135" t="e">
        <f t="shared" si="73"/>
        <v>#DIV/0!</v>
      </c>
      <c r="CN156" s="135" t="e">
        <f t="shared" si="73"/>
        <v>#DIV/0!</v>
      </c>
      <c r="CO156" s="135" t="e">
        <f t="shared" si="73"/>
        <v>#DIV/0!</v>
      </c>
      <c r="CP156" s="135"/>
    </row>
    <row r="157" spans="2:94" x14ac:dyDescent="0.2">
      <c r="B157" s="105" t="s">
        <v>454</v>
      </c>
      <c r="D157" s="135"/>
      <c r="E157" s="135"/>
      <c r="F157" s="135"/>
      <c r="G157" s="135"/>
      <c r="H157" s="135"/>
      <c r="I157" s="135"/>
      <c r="J157" s="135">
        <f>(1+J156)*(1+J155)-1</f>
        <v>0.20326857619505279</v>
      </c>
      <c r="K157" s="135"/>
      <c r="L157" s="135"/>
      <c r="M157" s="135"/>
      <c r="N157" s="135"/>
      <c r="O157" s="135"/>
      <c r="P157" s="135"/>
      <c r="Q157" s="135">
        <f>(1+Q156)*(1+Q155)-1</f>
        <v>0.20326851809121926</v>
      </c>
      <c r="R157" s="135"/>
      <c r="S157" s="135"/>
      <c r="T157" s="135"/>
      <c r="U157" s="135"/>
      <c r="V157" s="135"/>
      <c r="W157" s="135"/>
      <c r="X157" s="135">
        <f>(1+X156)*(1+X155)-1</f>
        <v>0.20326883008814844</v>
      </c>
      <c r="Y157" s="135"/>
      <c r="Z157" s="135"/>
      <c r="AA157" s="135"/>
      <c r="AB157" s="135"/>
      <c r="AC157" s="135"/>
      <c r="AD157" s="135"/>
      <c r="AE157" s="135">
        <f>(1+AE156)*(1+AE155)-1</f>
        <v>0.20326857366446882</v>
      </c>
      <c r="AF157" s="135"/>
      <c r="AG157" s="135"/>
      <c r="AH157" s="135"/>
      <c r="AI157" s="135"/>
      <c r="AJ157" s="135"/>
      <c r="AK157" s="135"/>
      <c r="AL157" s="135">
        <f>(1+AL156)*(1+AL155)-1</f>
        <v>0.20326707383491538</v>
      </c>
      <c r="AM157" s="135"/>
      <c r="AN157" s="135"/>
      <c r="AO157" s="135"/>
      <c r="AP157" s="135"/>
      <c r="AQ157" s="135"/>
      <c r="AR157" s="135"/>
      <c r="AS157" s="135">
        <f>(1+AS156)*(1+AS155)-1</f>
        <v>0.20326634869167526</v>
      </c>
      <c r="AT157" s="135"/>
      <c r="AU157" s="135"/>
      <c r="AV157" s="135"/>
      <c r="AW157" s="135"/>
      <c r="AX157" s="135"/>
      <c r="AY157" s="135"/>
      <c r="AZ157" s="135">
        <f>(1+AZ156)*(1+AZ155)-1</f>
        <v>0.20326615923249891</v>
      </c>
      <c r="BA157" s="135"/>
      <c r="BB157" s="135"/>
      <c r="BC157" s="135"/>
      <c r="BD157" s="135"/>
      <c r="BE157" s="135"/>
      <c r="BF157" s="135"/>
      <c r="BG157" s="135">
        <f>(1+BG156)*(1+BG155)-1</f>
        <v>0.20326526065383743</v>
      </c>
      <c r="BH157" s="135"/>
      <c r="BI157" s="135"/>
      <c r="BJ157" s="135"/>
      <c r="BK157" s="135"/>
      <c r="BL157" s="135"/>
      <c r="BM157" s="135"/>
      <c r="BN157" s="135">
        <f>(1+BN156)*(1+BN155)-1</f>
        <v>0.2037816466030784</v>
      </c>
      <c r="BO157" s="135"/>
      <c r="BP157" s="135"/>
      <c r="BQ157" s="135"/>
      <c r="BR157" s="135"/>
      <c r="BS157" s="135"/>
      <c r="BT157" s="135"/>
      <c r="BU157" s="135">
        <f>(1+BU156)*(1+BU155)-1</f>
        <v>0.2037874211067261</v>
      </c>
      <c r="BV157" s="135"/>
      <c r="BW157" s="135"/>
      <c r="BX157" s="135"/>
      <c r="BY157" s="135"/>
      <c r="BZ157" s="135"/>
      <c r="CA157" s="135"/>
      <c r="CB157" s="135">
        <f>(1+CB156)*(1+CB155)-1</f>
        <v>0.2044215116846595</v>
      </c>
      <c r="CC157" s="135"/>
      <c r="CD157" s="135"/>
      <c r="CE157" s="135"/>
      <c r="CF157" s="135"/>
      <c r="CG157" s="135"/>
      <c r="CH157" s="135"/>
      <c r="CI157" s="135">
        <f>(1+CI156)*(1+CI155)-1</f>
        <v>0.20441828640786386</v>
      </c>
      <c r="CJ157" s="135" t="e">
        <f t="shared" ref="CJ157:CO157" si="74">CJ146*CJ143+CJ156*CJ144</f>
        <v>#DIV/0!</v>
      </c>
      <c r="CK157" s="135" t="e">
        <f t="shared" si="74"/>
        <v>#DIV/0!</v>
      </c>
      <c r="CL157" s="135" t="e">
        <f t="shared" si="74"/>
        <v>#DIV/0!</v>
      </c>
      <c r="CM157" s="135" t="e">
        <f t="shared" si="74"/>
        <v>#DIV/0!</v>
      </c>
      <c r="CN157" s="135" t="e">
        <f t="shared" si="74"/>
        <v>#DIV/0!</v>
      </c>
      <c r="CO157" s="135" t="e">
        <f t="shared" si="74"/>
        <v>#DIV/0!</v>
      </c>
      <c r="CP157" s="135"/>
    </row>
    <row r="158" spans="2:94" x14ac:dyDescent="0.2">
      <c r="B158" s="105" t="s">
        <v>391</v>
      </c>
      <c r="D158" s="135"/>
      <c r="E158" s="135"/>
      <c r="F158" s="135"/>
      <c r="G158" s="135"/>
      <c r="H158" s="135"/>
      <c r="I158" s="135"/>
      <c r="J158" s="135">
        <f>J147*J144+J157*J145</f>
        <v>0.2012295872992447</v>
      </c>
      <c r="K158" s="135"/>
      <c r="L158" s="135"/>
      <c r="M158" s="135"/>
      <c r="N158" s="135"/>
      <c r="O158" s="135"/>
      <c r="P158" s="135"/>
      <c r="Q158" s="135">
        <f>Q147*Q144+Q157*Q145</f>
        <v>0.20122971255501448</v>
      </c>
      <c r="R158" s="135"/>
      <c r="S158" s="135"/>
      <c r="T158" s="135"/>
      <c r="U158" s="135"/>
      <c r="V158" s="135"/>
      <c r="W158" s="135"/>
      <c r="X158" s="135">
        <f>X147*X144+X157*X145</f>
        <v>0.20122903997873173</v>
      </c>
      <c r="Y158" s="135"/>
      <c r="Z158" s="135"/>
      <c r="AA158" s="135"/>
      <c r="AB158" s="135"/>
      <c r="AC158" s="135"/>
      <c r="AD158" s="135"/>
      <c r="AE158" s="135">
        <f>AE147*AE144+AE157*AE145</f>
        <v>0.20122959275447827</v>
      </c>
      <c r="AF158" s="135"/>
      <c r="AG158" s="135"/>
      <c r="AH158" s="135"/>
      <c r="AI158" s="135"/>
      <c r="AJ158" s="135"/>
      <c r="AK158" s="135"/>
      <c r="AL158" s="135">
        <f>AL147*AL144+AL157*AL145</f>
        <v>0.20123282604464593</v>
      </c>
      <c r="AM158" s="135"/>
      <c r="AN158" s="135"/>
      <c r="AO158" s="135"/>
      <c r="AP158" s="135"/>
      <c r="AQ158" s="135"/>
      <c r="AR158" s="135"/>
      <c r="AS158" s="135">
        <f>AS147*AS144+AS157*AS145</f>
        <v>0.20123438934232579</v>
      </c>
      <c r="AT158" s="135"/>
      <c r="AU158" s="135"/>
      <c r="AV158" s="135"/>
      <c r="AW158" s="135"/>
      <c r="AX158" s="135"/>
      <c r="AY158" s="135"/>
      <c r="AZ158" s="135">
        <f>AZ147*AZ144+AZ157*AZ145</f>
        <v>0.20123479779310999</v>
      </c>
      <c r="BA158" s="135"/>
      <c r="BB158" s="135"/>
      <c r="BC158" s="135"/>
      <c r="BD158" s="135"/>
      <c r="BE158" s="135"/>
      <c r="BF158" s="135"/>
      <c r="BG158" s="135">
        <f>BG147*BG144+BG157*BG145</f>
        <v>0.20123673505162384</v>
      </c>
      <c r="BH158" s="135"/>
      <c r="BI158" s="135"/>
      <c r="BJ158" s="135"/>
      <c r="BK158" s="135"/>
      <c r="BL158" s="135"/>
      <c r="BM158" s="135"/>
      <c r="BN158" s="135">
        <f>BN147*BN144+BN157*BN145</f>
        <v>0.20013235100817242</v>
      </c>
      <c r="BO158" s="135"/>
      <c r="BP158" s="135"/>
      <c r="BQ158" s="135"/>
      <c r="BR158" s="135"/>
      <c r="BS158" s="135"/>
      <c r="BT158" s="135"/>
      <c r="BU158" s="135">
        <f>BU147*BU144+BU157*BU145</f>
        <v>0.20012010119103821</v>
      </c>
      <c r="BV158" s="135"/>
      <c r="BW158" s="135"/>
      <c r="BX158" s="135"/>
      <c r="BY158" s="135"/>
      <c r="BZ158" s="135"/>
      <c r="CA158" s="135"/>
      <c r="CB158" s="135">
        <f>CB147*CB144+CB157*CB145</f>
        <v>0.19878818167904586</v>
      </c>
      <c r="CC158" s="135"/>
      <c r="CD158" s="135"/>
      <c r="CE158" s="135"/>
      <c r="CF158" s="135"/>
      <c r="CG158" s="135"/>
      <c r="CH158" s="135"/>
      <c r="CI158" s="135">
        <f>CI147*CI144+CI157*CI145</f>
        <v>0.19879489080287976</v>
      </c>
      <c r="CJ158" s="177" t="e">
        <f t="shared" ref="CJ158:CO158" si="75">CJ140-CJ157</f>
        <v>#REF!</v>
      </c>
      <c r="CK158" s="177" t="e">
        <f t="shared" si="75"/>
        <v>#DIV/0!</v>
      </c>
      <c r="CL158" s="177" t="e">
        <f t="shared" si="75"/>
        <v>#DIV/0!</v>
      </c>
      <c r="CM158" s="177" t="e">
        <f t="shared" si="75"/>
        <v>#REF!</v>
      </c>
      <c r="CN158" s="177" t="e">
        <f t="shared" si="75"/>
        <v>#DIV/0!</v>
      </c>
      <c r="CO158" s="177" t="e">
        <f t="shared" si="75"/>
        <v>#DIV/0!</v>
      </c>
      <c r="CP158" s="177"/>
    </row>
    <row r="159" spans="2:94" x14ac:dyDescent="0.2">
      <c r="B159" s="105" t="s">
        <v>392</v>
      </c>
      <c r="D159" s="177"/>
      <c r="E159" s="177"/>
      <c r="F159" s="177"/>
      <c r="G159" s="177"/>
      <c r="H159" s="177"/>
      <c r="I159" s="177"/>
      <c r="J159" s="177">
        <f>J141-J158</f>
        <v>-0.20356265537075491</v>
      </c>
      <c r="K159" s="177"/>
      <c r="L159" s="177"/>
      <c r="M159" s="177"/>
      <c r="N159" s="177"/>
      <c r="O159" s="177"/>
      <c r="P159" s="177"/>
      <c r="Q159" s="177">
        <f>Q141-Q158</f>
        <v>-0.19898638863996324</v>
      </c>
      <c r="R159" s="177"/>
      <c r="S159" s="177"/>
      <c r="T159" s="177"/>
      <c r="U159" s="177"/>
      <c r="V159" s="177"/>
      <c r="W159" s="177"/>
      <c r="X159" s="177">
        <f>X141-X158</f>
        <v>-0.19969880490780287</v>
      </c>
      <c r="Y159" s="177"/>
      <c r="Z159" s="177"/>
      <c r="AA159" s="177"/>
      <c r="AB159" s="177"/>
      <c r="AC159" s="177"/>
      <c r="AD159" s="177"/>
      <c r="AE159" s="177">
        <f>AE141-AE158</f>
        <v>-0.19961220826666734</v>
      </c>
      <c r="AF159" s="177"/>
      <c r="AG159" s="177"/>
      <c r="AH159" s="177"/>
      <c r="AI159" s="177"/>
      <c r="AJ159" s="177"/>
      <c r="AK159" s="177"/>
      <c r="AL159" s="177">
        <f>AL141-AL158</f>
        <v>-0.19917540278483095</v>
      </c>
      <c r="AM159" s="177"/>
      <c r="AN159" s="177"/>
      <c r="AO159" s="177"/>
      <c r="AP159" s="177"/>
      <c r="AQ159" s="177"/>
      <c r="AR159" s="177"/>
      <c r="AS159" s="177">
        <f>AS141-AS158</f>
        <v>-0.19872826492117746</v>
      </c>
      <c r="AT159" s="177"/>
      <c r="AU159" s="177"/>
      <c r="AV159" s="177"/>
      <c r="AW159" s="177"/>
      <c r="AX159" s="177"/>
      <c r="AY159" s="177"/>
      <c r="AZ159" s="177">
        <f>AZ141-AZ158</f>
        <v>-0.20061509889220133</v>
      </c>
      <c r="BA159" s="177"/>
      <c r="BB159" s="177"/>
      <c r="BC159" s="177"/>
      <c r="BD159" s="177"/>
      <c r="BE159" s="177"/>
      <c r="BF159" s="177"/>
      <c r="BG159" s="177">
        <f>BG141-BG158</f>
        <v>-0.19810873751492036</v>
      </c>
      <c r="BH159" s="177"/>
      <c r="BI159" s="177"/>
      <c r="BJ159" s="177"/>
      <c r="BK159" s="177"/>
      <c r="BL159" s="177"/>
      <c r="BM159" s="177"/>
      <c r="BN159" s="177">
        <f>BN141-BN158</f>
        <v>-0.19596809890762695</v>
      </c>
      <c r="BO159" s="177"/>
      <c r="BP159" s="177"/>
      <c r="BQ159" s="177"/>
      <c r="BR159" s="177"/>
      <c r="BS159" s="177"/>
      <c r="BT159" s="177"/>
      <c r="BU159" s="177">
        <f>BU141-BU158</f>
        <v>-0.20141194562658521</v>
      </c>
      <c r="BV159" s="177"/>
      <c r="BW159" s="177"/>
      <c r="BX159" s="177"/>
      <c r="BY159" s="177"/>
      <c r="BZ159" s="177"/>
      <c r="CA159" s="177"/>
      <c r="CB159" s="177">
        <f>CB141-CB158</f>
        <v>-0.20698863259190317</v>
      </c>
      <c r="CC159" s="177"/>
      <c r="CD159" s="177"/>
      <c r="CE159" s="177"/>
      <c r="CF159" s="177"/>
      <c r="CG159" s="177"/>
      <c r="CH159" s="177"/>
      <c r="CI159" s="177">
        <f>CI141-CI158</f>
        <v>-0.19707633798638327</v>
      </c>
      <c r="CJ159" s="178" t="e">
        <f t="shared" ref="CJ159:CO159" si="76">CJ158*CJ139</f>
        <v>#REF!</v>
      </c>
      <c r="CK159" s="178" t="e">
        <f t="shared" si="76"/>
        <v>#DIV/0!</v>
      </c>
      <c r="CL159" s="178" t="e">
        <f t="shared" si="76"/>
        <v>#DIV/0!</v>
      </c>
      <c r="CM159" s="178" t="e">
        <f t="shared" si="76"/>
        <v>#REF!</v>
      </c>
      <c r="CN159" s="178" t="e">
        <f t="shared" si="76"/>
        <v>#DIV/0!</v>
      </c>
      <c r="CO159" s="178" t="e">
        <f t="shared" si="76"/>
        <v>#DIV/0!</v>
      </c>
      <c r="CP159" s="178"/>
    </row>
    <row r="160" spans="2:94" x14ac:dyDescent="0.2">
      <c r="B160" s="105" t="s">
        <v>393</v>
      </c>
      <c r="D160" s="178"/>
      <c r="E160" s="178"/>
      <c r="F160" s="178"/>
      <c r="G160" s="178"/>
      <c r="H160" s="178"/>
      <c r="I160" s="178"/>
      <c r="J160" s="178">
        <f>J159*J140</f>
        <v>-383865911.47879529</v>
      </c>
      <c r="K160" s="178"/>
      <c r="L160" s="178"/>
      <c r="M160" s="178"/>
      <c r="N160" s="178"/>
      <c r="O160" s="178"/>
      <c r="P160" s="178"/>
      <c r="Q160" s="178">
        <f>Q159*Q140</f>
        <v>-375236269.67840731</v>
      </c>
      <c r="R160" s="178"/>
      <c r="S160" s="178"/>
      <c r="T160" s="178"/>
      <c r="U160" s="178"/>
      <c r="V160" s="178"/>
      <c r="W160" s="178"/>
      <c r="X160" s="178">
        <f>X159*X140</f>
        <v>-376579700.37549907</v>
      </c>
      <c r="Y160" s="178"/>
      <c r="Z160" s="178"/>
      <c r="AA160" s="178"/>
      <c r="AB160" s="178"/>
      <c r="AC160" s="178"/>
      <c r="AD160" s="178"/>
      <c r="AE160" s="178">
        <f>AE159*AE140</f>
        <v>-376416401.76593858</v>
      </c>
      <c r="AF160" s="178"/>
      <c r="AG160" s="178"/>
      <c r="AH160" s="178"/>
      <c r="AI160" s="178"/>
      <c r="AJ160" s="178"/>
      <c r="AK160" s="178"/>
      <c r="AL160" s="178">
        <f>AL159*AL140</f>
        <v>-375592700.90529364</v>
      </c>
      <c r="AM160" s="178"/>
      <c r="AN160" s="178"/>
      <c r="AO160" s="178"/>
      <c r="AP160" s="178"/>
      <c r="AQ160" s="178"/>
      <c r="AR160" s="178"/>
      <c r="AS160" s="178">
        <f>AS159*AS140</f>
        <v>-374749515.87572414</v>
      </c>
      <c r="AT160" s="178"/>
      <c r="AU160" s="178"/>
      <c r="AV160" s="178"/>
      <c r="AW160" s="178"/>
      <c r="AX160" s="178"/>
      <c r="AY160" s="178"/>
      <c r="AZ160" s="178">
        <f>AZ159*AZ140</f>
        <v>-378307591.10704327</v>
      </c>
      <c r="BA160" s="178"/>
      <c r="BB160" s="178"/>
      <c r="BC160" s="178"/>
      <c r="BD160" s="178"/>
      <c r="BE160" s="178"/>
      <c r="BF160" s="178"/>
      <c r="BG160" s="178">
        <f>BG159*BG140</f>
        <v>-373581249.26977015</v>
      </c>
      <c r="BH160" s="178"/>
      <c r="BI160" s="178"/>
      <c r="BJ160" s="178"/>
      <c r="BK160" s="178"/>
      <c r="BL160" s="178"/>
      <c r="BM160" s="178"/>
      <c r="BN160" s="178">
        <f>BN159*BN140</f>
        <v>-369544564.89542478</v>
      </c>
      <c r="BO160" s="178"/>
      <c r="BP160" s="178"/>
      <c r="BQ160" s="178"/>
      <c r="BR160" s="178"/>
      <c r="BS160" s="178"/>
      <c r="BT160" s="178"/>
      <c r="BU160" s="178">
        <f>BU159*BU140</f>
        <v>-379810235.57513618</v>
      </c>
      <c r="BV160" s="178"/>
      <c r="BW160" s="178"/>
      <c r="BX160" s="178"/>
      <c r="BY160" s="178"/>
      <c r="BZ160" s="178"/>
      <c r="CA160" s="178"/>
      <c r="CB160" s="178">
        <f>CB159*CB140</f>
        <v>-390326408.20549792</v>
      </c>
      <c r="CC160" s="178"/>
      <c r="CD160" s="178"/>
      <c r="CE160" s="178"/>
      <c r="CF160" s="178"/>
      <c r="CG160" s="178"/>
      <c r="CH160" s="178"/>
      <c r="CI160" s="178">
        <f>CI159*CI140</f>
        <v>-371634413.8577916</v>
      </c>
    </row>
    <row r="161" spans="2:94" x14ac:dyDescent="0.2">
      <c r="CJ161" s="166">
        <f t="shared" ref="CJ161:CO161" si="77">CJ14/CJ62</f>
        <v>0</v>
      </c>
      <c r="CK161" s="166">
        <f t="shared" si="77"/>
        <v>0</v>
      </c>
      <c r="CL161" s="166">
        <f t="shared" si="77"/>
        <v>0</v>
      </c>
      <c r="CM161" s="166">
        <f t="shared" si="77"/>
        <v>0</v>
      </c>
      <c r="CN161" s="166">
        <f t="shared" si="77"/>
        <v>0</v>
      </c>
      <c r="CO161" s="166">
        <f t="shared" si="77"/>
        <v>0</v>
      </c>
      <c r="CP161" s="166"/>
    </row>
    <row r="162" spans="2:94" x14ac:dyDescent="0.2">
      <c r="B162" s="105" t="s">
        <v>394</v>
      </c>
      <c r="D162" s="166"/>
      <c r="E162" s="166"/>
      <c r="F162" s="166"/>
      <c r="G162" s="166"/>
      <c r="H162" s="166"/>
      <c r="I162" s="166"/>
      <c r="J162" s="166">
        <f>J14/J62</f>
        <v>0</v>
      </c>
      <c r="K162" s="166"/>
      <c r="L162" s="166"/>
      <c r="M162" s="166"/>
      <c r="N162" s="166"/>
      <c r="O162" s="166"/>
      <c r="P162" s="166"/>
      <c r="Q162" s="166">
        <f>Q14/Q62</f>
        <v>0</v>
      </c>
      <c r="R162" s="166"/>
      <c r="S162" s="166"/>
      <c r="T162" s="166"/>
      <c r="U162" s="166"/>
      <c r="V162" s="166"/>
      <c r="W162" s="166"/>
      <c r="X162" s="166">
        <f>X14/X62</f>
        <v>0</v>
      </c>
      <c r="Y162" s="166"/>
      <c r="Z162" s="166"/>
      <c r="AA162" s="166"/>
      <c r="AB162" s="166"/>
      <c r="AC162" s="166"/>
      <c r="AD162" s="166"/>
      <c r="AE162" s="166">
        <f>AE14/AE62</f>
        <v>0</v>
      </c>
      <c r="AF162" s="166"/>
      <c r="AG162" s="166"/>
      <c r="AH162" s="166"/>
      <c r="AI162" s="166"/>
      <c r="AJ162" s="166"/>
      <c r="AK162" s="166"/>
      <c r="AL162" s="166">
        <f>AL14/AL62</f>
        <v>0</v>
      </c>
      <c r="AM162" s="166"/>
      <c r="AN162" s="166"/>
      <c r="AO162" s="166"/>
      <c r="AP162" s="166"/>
      <c r="AQ162" s="166"/>
      <c r="AR162" s="166"/>
      <c r="AS162" s="166">
        <f>AS14/AS62</f>
        <v>0</v>
      </c>
      <c r="AT162" s="166"/>
      <c r="AU162" s="166"/>
      <c r="AV162" s="166"/>
      <c r="AW162" s="166"/>
      <c r="AX162" s="166"/>
      <c r="AY162" s="166"/>
      <c r="AZ162" s="166">
        <f>AZ14/AZ62</f>
        <v>0</v>
      </c>
      <c r="BA162" s="166"/>
      <c r="BB162" s="166"/>
      <c r="BC162" s="166"/>
      <c r="BD162" s="166"/>
      <c r="BE162" s="166"/>
      <c r="BF162" s="166"/>
      <c r="BG162" s="166">
        <f>BG14/BG62</f>
        <v>0</v>
      </c>
      <c r="BH162" s="166"/>
      <c r="BI162" s="166"/>
      <c r="BJ162" s="166"/>
      <c r="BK162" s="166"/>
      <c r="BL162" s="166"/>
      <c r="BM162" s="166"/>
      <c r="BN162" s="166">
        <f>BN14/BN62</f>
        <v>0</v>
      </c>
      <c r="BO162" s="166"/>
      <c r="BP162" s="166"/>
      <c r="BQ162" s="166"/>
      <c r="BR162" s="166"/>
      <c r="BS162" s="166"/>
      <c r="BT162" s="166"/>
      <c r="BU162" s="166">
        <f>BU14/BU62</f>
        <v>0</v>
      </c>
      <c r="BV162" s="166"/>
      <c r="BW162" s="166"/>
      <c r="BX162" s="166"/>
      <c r="BY162" s="166"/>
      <c r="BZ162" s="166"/>
      <c r="CA162" s="166"/>
      <c r="CB162" s="166">
        <f>CB14/CB62</f>
        <v>0</v>
      </c>
      <c r="CC162" s="166"/>
      <c r="CD162" s="166"/>
      <c r="CE162" s="166"/>
      <c r="CF162" s="166"/>
      <c r="CG162" s="166"/>
      <c r="CH162" s="166"/>
      <c r="CI162" s="166">
        <f>CI14/CI62</f>
        <v>0</v>
      </c>
      <c r="CJ162" s="137">
        <f t="shared" ref="CJ162:CO162" si="78">-CJ98</f>
        <v>0</v>
      </c>
      <c r="CK162" s="137">
        <f t="shared" si="78"/>
        <v>0</v>
      </c>
      <c r="CL162" s="137">
        <f t="shared" si="78"/>
        <v>0</v>
      </c>
      <c r="CM162" s="137">
        <f t="shared" si="78"/>
        <v>0</v>
      </c>
      <c r="CN162" s="137">
        <f t="shared" si="78"/>
        <v>0</v>
      </c>
      <c r="CO162" s="137">
        <f t="shared" si="78"/>
        <v>0</v>
      </c>
      <c r="CP162" s="137"/>
    </row>
    <row r="163" spans="2:94" x14ac:dyDescent="0.2">
      <c r="B163" s="105" t="s">
        <v>395</v>
      </c>
      <c r="D163" s="137"/>
      <c r="E163" s="137"/>
      <c r="F163" s="137"/>
      <c r="G163" s="137"/>
      <c r="H163" s="137"/>
      <c r="I163" s="137"/>
      <c r="J163" s="137">
        <f>-J98</f>
        <v>0</v>
      </c>
      <c r="K163" s="137"/>
      <c r="L163" s="137"/>
      <c r="M163" s="137"/>
      <c r="N163" s="137"/>
      <c r="O163" s="137"/>
      <c r="P163" s="137"/>
      <c r="Q163" s="137">
        <f>-Q98</f>
        <v>0</v>
      </c>
      <c r="R163" s="137"/>
      <c r="S163" s="137"/>
      <c r="T163" s="137"/>
      <c r="U163" s="137"/>
      <c r="V163" s="137"/>
      <c r="W163" s="137"/>
      <c r="X163" s="137">
        <f>-X98</f>
        <v>0</v>
      </c>
      <c r="Y163" s="137"/>
      <c r="Z163" s="137"/>
      <c r="AA163" s="137"/>
      <c r="AB163" s="137"/>
      <c r="AC163" s="137"/>
      <c r="AD163" s="137"/>
      <c r="AE163" s="137">
        <f>-AE98</f>
        <v>0</v>
      </c>
      <c r="AF163" s="137"/>
      <c r="AG163" s="137"/>
      <c r="AH163" s="137"/>
      <c r="AI163" s="137"/>
      <c r="AJ163" s="137"/>
      <c r="AK163" s="137"/>
      <c r="AL163" s="137">
        <f>-AL98</f>
        <v>0</v>
      </c>
      <c r="AM163" s="137"/>
      <c r="AN163" s="137"/>
      <c r="AO163" s="137"/>
      <c r="AP163" s="137"/>
      <c r="AQ163" s="137"/>
      <c r="AR163" s="137"/>
      <c r="AS163" s="137">
        <f>-AS98</f>
        <v>0</v>
      </c>
      <c r="AT163" s="137"/>
      <c r="AU163" s="137"/>
      <c r="AV163" s="137"/>
      <c r="AW163" s="137"/>
      <c r="AX163" s="137"/>
      <c r="AY163" s="137"/>
      <c r="AZ163" s="137">
        <f>-AZ98</f>
        <v>0</v>
      </c>
      <c r="BA163" s="137"/>
      <c r="BB163" s="137"/>
      <c r="BC163" s="137"/>
      <c r="BD163" s="137"/>
      <c r="BE163" s="137"/>
      <c r="BF163" s="137"/>
      <c r="BG163" s="137">
        <f>-BG98</f>
        <v>0</v>
      </c>
      <c r="BH163" s="137"/>
      <c r="BI163" s="137"/>
      <c r="BJ163" s="137"/>
      <c r="BK163" s="137"/>
      <c r="BL163" s="137"/>
      <c r="BM163" s="137"/>
      <c r="BN163" s="137">
        <f>-BN98</f>
        <v>0</v>
      </c>
      <c r="BO163" s="137"/>
      <c r="BP163" s="137"/>
      <c r="BQ163" s="137"/>
      <c r="BR163" s="137"/>
      <c r="BS163" s="137"/>
      <c r="BT163" s="137"/>
      <c r="BU163" s="137">
        <f>-BU98</f>
        <v>0</v>
      </c>
      <c r="BV163" s="137"/>
      <c r="BW163" s="137"/>
      <c r="BX163" s="137"/>
      <c r="BY163" s="137"/>
      <c r="BZ163" s="137"/>
      <c r="CA163" s="137"/>
      <c r="CB163" s="137">
        <f>-CB98</f>
        <v>0</v>
      </c>
      <c r="CC163" s="137"/>
      <c r="CD163" s="137"/>
      <c r="CE163" s="137"/>
      <c r="CF163" s="137"/>
      <c r="CG163" s="137"/>
      <c r="CH163" s="137"/>
      <c r="CI163" s="137">
        <f>-CI98</f>
        <v>0</v>
      </c>
      <c r="CK163" s="171" t="e">
        <f>CK162/CK47</f>
        <v>#DIV/0!</v>
      </c>
      <c r="CL163" s="171" t="e">
        <f>CL162/CL47</f>
        <v>#DIV/0!</v>
      </c>
      <c r="CN163" s="171" t="e">
        <f>CN162/CN47</f>
        <v>#DIV/0!</v>
      </c>
      <c r="CO163" s="171" t="e">
        <f>CO162/CO47</f>
        <v>#DIV/0!</v>
      </c>
    </row>
    <row r="164" spans="2:94" x14ac:dyDescent="0.2">
      <c r="B164" s="105" t="s">
        <v>396</v>
      </c>
      <c r="E164" s="171"/>
      <c r="F164" s="171"/>
      <c r="H164" s="171"/>
      <c r="I164" s="171"/>
      <c r="J164" s="171">
        <f>J163/J47</f>
        <v>0</v>
      </c>
      <c r="K164" s="171"/>
      <c r="L164" s="171"/>
      <c r="N164" s="171"/>
      <c r="O164" s="171"/>
      <c r="Q164" s="171">
        <f>Q163/Q47</f>
        <v>0</v>
      </c>
      <c r="R164" s="171"/>
      <c r="T164" s="171"/>
      <c r="U164" s="171"/>
      <c r="W164" s="171"/>
      <c r="X164" s="171">
        <f>X163/X47</f>
        <v>0</v>
      </c>
      <c r="Z164" s="171"/>
      <c r="AA164" s="171"/>
      <c r="AC164" s="171"/>
      <c r="AD164" s="171"/>
      <c r="AE164" s="171">
        <f>AE163/AE47</f>
        <v>0</v>
      </c>
      <c r="AF164" s="171"/>
      <c r="AG164" s="171"/>
      <c r="AI164" s="171"/>
      <c r="AJ164" s="171"/>
      <c r="AL164" s="171">
        <f>AL163/AL47</f>
        <v>0</v>
      </c>
      <c r="AM164" s="171"/>
      <c r="AO164" s="171"/>
      <c r="AP164" s="171"/>
      <c r="AR164" s="171"/>
      <c r="AS164" s="171">
        <f>AS163/AS47</f>
        <v>0</v>
      </c>
      <c r="AU164" s="171"/>
      <c r="AV164" s="171"/>
      <c r="AX164" s="171"/>
      <c r="AY164" s="171"/>
      <c r="AZ164" s="171">
        <f>AZ163/AZ47</f>
        <v>0</v>
      </c>
      <c r="BA164" s="171"/>
      <c r="BB164" s="171"/>
      <c r="BD164" s="171"/>
      <c r="BE164" s="171"/>
      <c r="BG164" s="171">
        <f>BG163/BG47</f>
        <v>0</v>
      </c>
      <c r="BH164" s="171"/>
      <c r="BJ164" s="171"/>
      <c r="BK164" s="171"/>
      <c r="BM164" s="171"/>
      <c r="BN164" s="171">
        <f>BN163/BN47</f>
        <v>0</v>
      </c>
      <c r="BP164" s="171"/>
      <c r="BQ164" s="171"/>
      <c r="BS164" s="171"/>
      <c r="BT164" s="171"/>
      <c r="BU164" s="171">
        <f>BU163/BU47</f>
        <v>0</v>
      </c>
      <c r="BV164" s="171"/>
      <c r="BW164" s="171"/>
      <c r="BY164" s="171"/>
      <c r="BZ164" s="171"/>
      <c r="CB164" s="171">
        <f>CB163/CB47</f>
        <v>0</v>
      </c>
      <c r="CC164" s="171"/>
      <c r="CE164" s="171"/>
      <c r="CF164" s="171"/>
      <c r="CH164" s="171"/>
      <c r="CI164" s="171">
        <f>CI163/CI47</f>
        <v>0</v>
      </c>
    </row>
  </sheetData>
  <mergeCells count="2">
    <mergeCell ref="CR1:DC1"/>
    <mergeCell ref="DE1:DP1"/>
  </mergeCells>
  <conditionalFormatting sqref="A1:DB1 DC1:XFD2 CU2:DB2 A2:CT12 CU3:XFD12 A13:XFD16 A17:A18 D17:I18 K17:XFD25 A19:I1048576 K26:CT47 CU26:XFD50 K48:AR50 AT48:CT50 K51:XFD1048576 J166:J1048576 J17:J164">
    <cfRule type="cellIs" dxfId="21" priority="10" operator="lessThan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C9C1-7AFB-9242-822B-417EF11A5E04}">
  <dimension ref="B1:DP164"/>
  <sheetViews>
    <sheetView zoomScale="80" zoomScaleNormal="80" workbookViewId="0">
      <pane xSplit="3" ySplit="4" topLeftCell="J5" activePane="bottomRight" state="frozen"/>
      <selection activeCell="AE32" sqref="AE32"/>
      <selection pane="topRight" activeCell="AE32" sqref="AE32"/>
      <selection pane="bottomLeft" activeCell="AE32" sqref="AE32"/>
      <selection pane="bottomRight" activeCell="A122" sqref="A122:XFD122"/>
    </sheetView>
  </sheetViews>
  <sheetFormatPr baseColWidth="10" defaultColWidth="10.83203125" defaultRowHeight="15" outlineLevelCol="1" x14ac:dyDescent="0.2"/>
  <cols>
    <col min="1" max="1" width="10.83203125" style="105"/>
    <col min="2" max="2" width="32" style="105" customWidth="1"/>
    <col min="3" max="3" width="29.83203125" style="204" bestFit="1" customWidth="1"/>
    <col min="4" max="4" width="12.5" style="105" hidden="1" customWidth="1" outlineLevel="1"/>
    <col min="5" max="5" width="13.1640625" style="105" hidden="1" customWidth="1" outlineLevel="1"/>
    <col min="6" max="7" width="12.5" style="105" hidden="1" customWidth="1" outlineLevel="1"/>
    <col min="8" max="8" width="15" style="105" hidden="1" customWidth="1" outlineLevel="1"/>
    <col min="9" max="9" width="12.5" style="105" hidden="1" customWidth="1" outlineLevel="1"/>
    <col min="10" max="10" width="18.33203125" style="105" bestFit="1" customWidth="1" collapsed="1"/>
    <col min="11" max="11" width="14.1640625" style="105" hidden="1" customWidth="1" outlineLevel="1"/>
    <col min="12" max="12" width="13.1640625" style="105" hidden="1" customWidth="1" outlineLevel="1"/>
    <col min="13" max="14" width="12.5" style="105" hidden="1" customWidth="1" outlineLevel="1"/>
    <col min="15" max="15" width="13.1640625" style="105" hidden="1" customWidth="1" outlineLevel="1"/>
    <col min="16" max="16" width="12.5" style="105" hidden="1" customWidth="1" outlineLevel="1"/>
    <col min="17" max="17" width="16.6640625" style="105" bestFit="1" customWidth="1" collapsed="1"/>
    <col min="18" max="18" width="14.1640625" style="105" hidden="1" customWidth="1" outlineLevel="1"/>
    <col min="19" max="19" width="13.1640625" style="105" hidden="1" customWidth="1" outlineLevel="1"/>
    <col min="20" max="21" width="12.5" style="105" hidden="1" customWidth="1" outlineLevel="1"/>
    <col min="22" max="22" width="13.1640625" style="105" hidden="1" customWidth="1" outlineLevel="1"/>
    <col min="23" max="23" width="12.5" style="105" hidden="1" customWidth="1" outlineLevel="1"/>
    <col min="24" max="24" width="16.6640625" style="105" bestFit="1" customWidth="1" collapsed="1"/>
    <col min="25" max="25" width="14.1640625" style="105" hidden="1" customWidth="1" outlineLevel="1"/>
    <col min="26" max="26" width="13.1640625" style="105" hidden="1" customWidth="1" outlineLevel="1"/>
    <col min="27" max="28" width="12.5" style="105" hidden="1" customWidth="1" outlineLevel="1"/>
    <col min="29" max="29" width="13.1640625" style="105" hidden="1" customWidth="1" outlineLevel="1"/>
    <col min="30" max="30" width="12.5" style="105" hidden="1" customWidth="1" outlineLevel="1"/>
    <col min="31" max="31" width="16.6640625" style="105" bestFit="1" customWidth="1" collapsed="1"/>
    <col min="32" max="32" width="14.1640625" style="105" hidden="1" customWidth="1" outlineLevel="1"/>
    <col min="33" max="33" width="13.1640625" style="105" hidden="1" customWidth="1" outlineLevel="1"/>
    <col min="34" max="35" width="12.5" style="105" hidden="1" customWidth="1" outlineLevel="1"/>
    <col min="36" max="36" width="13.1640625" style="105" hidden="1" customWidth="1" outlineLevel="1"/>
    <col min="37" max="37" width="12.5" style="105" hidden="1" customWidth="1" outlineLevel="1"/>
    <col min="38" max="38" width="16.6640625" style="105" bestFit="1" customWidth="1" collapsed="1"/>
    <col min="39" max="41" width="12.5" style="105" hidden="1" customWidth="1" outlineLevel="1"/>
    <col min="42" max="42" width="11.5" style="105" hidden="1" customWidth="1" outlineLevel="1"/>
    <col min="43" max="44" width="12.5" style="105" hidden="1" customWidth="1" outlineLevel="1"/>
    <col min="45" max="45" width="16.6640625" style="105" bestFit="1" customWidth="1" collapsed="1"/>
    <col min="46" max="48" width="12.5" style="105" hidden="1" customWidth="1" outlineLevel="1"/>
    <col min="49" max="49" width="11.5" style="105" hidden="1" customWidth="1" outlineLevel="1"/>
    <col min="50" max="51" width="12.5" style="105" hidden="1" customWidth="1" outlineLevel="1"/>
    <col min="52" max="52" width="16.6640625" style="105" bestFit="1" customWidth="1" collapsed="1"/>
    <col min="53" max="55" width="12.5" style="105" hidden="1" customWidth="1" outlineLevel="1"/>
    <col min="56" max="56" width="11.5" style="105" hidden="1" customWidth="1" outlineLevel="1"/>
    <col min="57" max="58" width="12.5" style="105" hidden="1" customWidth="1" outlineLevel="1"/>
    <col min="59" max="59" width="16.6640625" style="105" bestFit="1" customWidth="1" collapsed="1"/>
    <col min="60" max="62" width="12.5" style="105" hidden="1" customWidth="1" outlineLevel="1"/>
    <col min="63" max="63" width="11.5" style="105" hidden="1" customWidth="1" outlineLevel="1"/>
    <col min="64" max="65" width="12.5" style="105" hidden="1" customWidth="1" outlineLevel="1"/>
    <col min="66" max="66" width="16.6640625" style="105" bestFit="1" customWidth="1" collapsed="1"/>
    <col min="67" max="69" width="12.5" style="105" hidden="1" customWidth="1" outlineLevel="1"/>
    <col min="70" max="70" width="11.5" style="105" hidden="1" customWidth="1" outlineLevel="1"/>
    <col min="71" max="72" width="12.5" style="105" hidden="1" customWidth="1" outlineLevel="1"/>
    <col min="73" max="73" width="16.6640625" style="105" bestFit="1" customWidth="1" collapsed="1"/>
    <col min="74" max="76" width="12.5" style="105" hidden="1" customWidth="1" outlineLevel="1"/>
    <col min="77" max="77" width="11.5" style="105" hidden="1" customWidth="1" outlineLevel="1"/>
    <col min="78" max="79" width="12.5" style="105" hidden="1" customWidth="1" outlineLevel="1"/>
    <col min="80" max="80" width="16.6640625" style="105" bestFit="1" customWidth="1" collapsed="1"/>
    <col min="81" max="83" width="12.5" style="105" hidden="1" customWidth="1" outlineLevel="1"/>
    <col min="84" max="84" width="11.5" style="105" hidden="1" customWidth="1" outlineLevel="1"/>
    <col min="85" max="86" width="12.1640625" style="105" hidden="1" customWidth="1" outlineLevel="1"/>
    <col min="87" max="87" width="16.6640625" style="105" bestFit="1" customWidth="1" collapsed="1"/>
    <col min="88" max="90" width="12.5" style="105" hidden="1" customWidth="1" outlineLevel="1"/>
    <col min="91" max="91" width="11.5" style="105" hidden="1" customWidth="1" outlineLevel="1"/>
    <col min="92" max="93" width="12.5" style="105" hidden="1" customWidth="1" outlineLevel="1"/>
    <col min="94" max="94" width="16.33203125" style="105" bestFit="1" customWidth="1" collapsed="1"/>
    <col min="95" max="95" width="10.83203125" style="105"/>
    <col min="96" max="107" width="9.83203125" style="105" bestFit="1" customWidth="1"/>
    <col min="108" max="16384" width="10.83203125" style="105"/>
  </cols>
  <sheetData>
    <row r="1" spans="2:120" s="181" customFormat="1" ht="16" x14ac:dyDescent="0.2">
      <c r="B1" s="179">
        <v>2024</v>
      </c>
      <c r="C1" s="201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R1" s="288" t="s">
        <v>504</v>
      </c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E1" s="288" t="s">
        <v>491</v>
      </c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</row>
    <row r="2" spans="2:120" s="190" customFormat="1" ht="31" customHeight="1" x14ac:dyDescent="0.2">
      <c r="B2" s="182"/>
      <c r="C2" s="202"/>
      <c r="D2" s="189">
        <v>1</v>
      </c>
      <c r="E2" s="182">
        <v>1</v>
      </c>
      <c r="F2" s="182">
        <v>1</v>
      </c>
      <c r="G2" s="182">
        <v>1</v>
      </c>
      <c r="H2" s="182">
        <v>1</v>
      </c>
      <c r="I2" s="182">
        <v>1</v>
      </c>
      <c r="J2" s="182">
        <v>1</v>
      </c>
      <c r="K2" s="189">
        <v>2</v>
      </c>
      <c r="L2" s="182">
        <v>2</v>
      </c>
      <c r="M2" s="182">
        <v>2</v>
      </c>
      <c r="N2" s="182">
        <v>2</v>
      </c>
      <c r="O2" s="189">
        <v>2</v>
      </c>
      <c r="P2" s="182">
        <v>2</v>
      </c>
      <c r="Q2" s="182">
        <v>2</v>
      </c>
      <c r="R2" s="189">
        <v>3</v>
      </c>
      <c r="S2" s="182">
        <v>3</v>
      </c>
      <c r="T2" s="182">
        <v>3</v>
      </c>
      <c r="U2" s="182">
        <v>3</v>
      </c>
      <c r="V2" s="182">
        <v>3</v>
      </c>
      <c r="W2" s="182">
        <v>3</v>
      </c>
      <c r="X2" s="182">
        <v>3</v>
      </c>
      <c r="Y2" s="189">
        <v>4</v>
      </c>
      <c r="Z2" s="182">
        <v>4</v>
      </c>
      <c r="AA2" s="182">
        <v>4</v>
      </c>
      <c r="AB2" s="182">
        <v>4</v>
      </c>
      <c r="AC2" s="182">
        <v>4</v>
      </c>
      <c r="AD2" s="182">
        <v>4</v>
      </c>
      <c r="AE2" s="182">
        <v>4</v>
      </c>
      <c r="AF2" s="189">
        <v>5</v>
      </c>
      <c r="AG2" s="182">
        <v>5</v>
      </c>
      <c r="AH2" s="182">
        <v>5</v>
      </c>
      <c r="AI2" s="182">
        <v>5</v>
      </c>
      <c r="AJ2" s="182">
        <v>5</v>
      </c>
      <c r="AK2" s="182">
        <v>5</v>
      </c>
      <c r="AL2" s="182">
        <v>5</v>
      </c>
      <c r="AM2" s="189">
        <v>6</v>
      </c>
      <c r="AN2" s="182">
        <v>6</v>
      </c>
      <c r="AO2" s="182">
        <v>6</v>
      </c>
      <c r="AP2" s="182">
        <v>6</v>
      </c>
      <c r="AQ2" s="182">
        <v>6</v>
      </c>
      <c r="AR2" s="182">
        <v>6</v>
      </c>
      <c r="AS2" s="182">
        <v>6</v>
      </c>
      <c r="AT2" s="189">
        <v>7</v>
      </c>
      <c r="AU2" s="182">
        <v>7</v>
      </c>
      <c r="AV2" s="182">
        <v>7</v>
      </c>
      <c r="AW2" s="182">
        <v>7</v>
      </c>
      <c r="AX2" s="182">
        <v>7</v>
      </c>
      <c r="AY2" s="182">
        <v>7</v>
      </c>
      <c r="AZ2" s="182">
        <v>7</v>
      </c>
      <c r="BA2" s="189">
        <v>8</v>
      </c>
      <c r="BB2" s="182">
        <v>8</v>
      </c>
      <c r="BC2" s="182">
        <v>8</v>
      </c>
      <c r="BD2" s="182">
        <v>8</v>
      </c>
      <c r="BE2" s="182">
        <v>8</v>
      </c>
      <c r="BF2" s="182">
        <v>8</v>
      </c>
      <c r="BG2" s="182">
        <v>8</v>
      </c>
      <c r="BH2" s="189">
        <v>9</v>
      </c>
      <c r="BI2" s="182">
        <v>9</v>
      </c>
      <c r="BJ2" s="182">
        <v>9</v>
      </c>
      <c r="BK2" s="182">
        <v>9</v>
      </c>
      <c r="BL2" s="182">
        <v>9</v>
      </c>
      <c r="BM2" s="182">
        <v>9</v>
      </c>
      <c r="BN2" s="182">
        <v>9</v>
      </c>
      <c r="BO2" s="189">
        <v>10</v>
      </c>
      <c r="BP2" s="189">
        <v>10</v>
      </c>
      <c r="BQ2" s="189">
        <v>10</v>
      </c>
      <c r="BR2" s="189">
        <v>10</v>
      </c>
      <c r="BS2" s="189">
        <v>10</v>
      </c>
      <c r="BT2" s="189">
        <v>10</v>
      </c>
      <c r="BU2" s="182">
        <v>10</v>
      </c>
      <c r="BV2" s="189">
        <v>11</v>
      </c>
      <c r="BW2" s="189">
        <v>11</v>
      </c>
      <c r="BX2" s="189">
        <v>11</v>
      </c>
      <c r="BY2" s="189">
        <v>11</v>
      </c>
      <c r="BZ2" s="189">
        <v>11</v>
      </c>
      <c r="CA2" s="189">
        <v>11</v>
      </c>
      <c r="CB2" s="182">
        <v>11</v>
      </c>
      <c r="CC2" s="189">
        <v>12</v>
      </c>
      <c r="CD2" s="189">
        <v>12</v>
      </c>
      <c r="CE2" s="189">
        <v>12</v>
      </c>
      <c r="CF2" s="189">
        <v>12</v>
      </c>
      <c r="CG2" s="189">
        <v>12</v>
      </c>
      <c r="CH2" s="189">
        <v>12</v>
      </c>
      <c r="CI2" s="189">
        <v>12</v>
      </c>
      <c r="CJ2" s="195"/>
      <c r="CK2" s="195"/>
      <c r="CL2" s="195"/>
      <c r="CM2" s="195"/>
      <c r="CN2" s="195"/>
      <c r="CO2" s="195"/>
      <c r="CP2" s="196">
        <v>2024</v>
      </c>
      <c r="CR2" s="182" t="s">
        <v>492</v>
      </c>
      <c r="CS2" s="182" t="s">
        <v>493</v>
      </c>
      <c r="CT2" s="182" t="s">
        <v>494</v>
      </c>
      <c r="CU2" s="182" t="s">
        <v>495</v>
      </c>
      <c r="CV2" s="182" t="s">
        <v>496</v>
      </c>
      <c r="CW2" s="182" t="s">
        <v>497</v>
      </c>
      <c r="CX2" s="182" t="s">
        <v>498</v>
      </c>
      <c r="CY2" s="182" t="s">
        <v>499</v>
      </c>
      <c r="CZ2" s="182" t="s">
        <v>500</v>
      </c>
      <c r="DA2" s="182" t="s">
        <v>501</v>
      </c>
      <c r="DB2" s="182" t="s">
        <v>502</v>
      </c>
      <c r="DC2" s="182" t="s">
        <v>503</v>
      </c>
      <c r="DE2" s="182" t="s">
        <v>481</v>
      </c>
      <c r="DF2" s="182" t="s">
        <v>482</v>
      </c>
      <c r="DG2" s="182" t="s">
        <v>483</v>
      </c>
      <c r="DH2" s="182" t="s">
        <v>484</v>
      </c>
      <c r="DI2" s="182" t="s">
        <v>485</v>
      </c>
      <c r="DJ2" s="182" t="s">
        <v>486</v>
      </c>
      <c r="DK2" s="182" t="s">
        <v>487</v>
      </c>
      <c r="DL2" s="182" t="s">
        <v>488</v>
      </c>
      <c r="DM2" s="182" t="s">
        <v>489</v>
      </c>
      <c r="DN2" s="182" t="s">
        <v>490</v>
      </c>
      <c r="DO2" s="182" t="s">
        <v>480</v>
      </c>
      <c r="DP2" s="182" t="s">
        <v>479</v>
      </c>
    </row>
    <row r="3" spans="2:120" s="181" customFormat="1" ht="32" x14ac:dyDescent="0.2">
      <c r="B3" s="104"/>
      <c r="C3" s="203"/>
      <c r="D3" s="104" t="s">
        <v>455</v>
      </c>
      <c r="E3" s="104" t="s">
        <v>456</v>
      </c>
      <c r="F3" s="104" t="s">
        <v>457</v>
      </c>
      <c r="G3" s="104" t="s">
        <v>458</v>
      </c>
      <c r="H3" s="104" t="s">
        <v>459</v>
      </c>
      <c r="I3" s="104" t="s">
        <v>460</v>
      </c>
      <c r="J3" s="104" t="s">
        <v>461</v>
      </c>
      <c r="K3" s="104" t="s">
        <v>455</v>
      </c>
      <c r="L3" s="104" t="s">
        <v>456</v>
      </c>
      <c r="M3" s="104" t="s">
        <v>457</v>
      </c>
      <c r="N3" s="104" t="s">
        <v>458</v>
      </c>
      <c r="O3" s="104" t="s">
        <v>459</v>
      </c>
      <c r="P3" s="104" t="s">
        <v>460</v>
      </c>
      <c r="Q3" s="104" t="s">
        <v>462</v>
      </c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463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464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465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466</v>
      </c>
      <c r="AT3" s="104" t="s">
        <v>455</v>
      </c>
      <c r="AU3" s="104" t="s">
        <v>456</v>
      </c>
      <c r="AV3" s="104" t="s">
        <v>457</v>
      </c>
      <c r="AW3" s="104" t="s">
        <v>458</v>
      </c>
      <c r="AX3" s="104" t="s">
        <v>459</v>
      </c>
      <c r="AY3" s="104" t="s">
        <v>460</v>
      </c>
      <c r="AZ3" s="104" t="s">
        <v>467</v>
      </c>
      <c r="BA3" s="104" t="s">
        <v>455</v>
      </c>
      <c r="BB3" s="104" t="s">
        <v>456</v>
      </c>
      <c r="BC3" s="104" t="s">
        <v>457</v>
      </c>
      <c r="BD3" s="104" t="s">
        <v>458</v>
      </c>
      <c r="BE3" s="104" t="s">
        <v>459</v>
      </c>
      <c r="BF3" s="104" t="s">
        <v>460</v>
      </c>
      <c r="BG3" s="104" t="s">
        <v>468</v>
      </c>
      <c r="BH3" s="104" t="s">
        <v>455</v>
      </c>
      <c r="BI3" s="104" t="s">
        <v>456</v>
      </c>
      <c r="BJ3" s="104" t="s">
        <v>457</v>
      </c>
      <c r="BK3" s="104" t="s">
        <v>458</v>
      </c>
      <c r="BL3" s="104" t="s">
        <v>459</v>
      </c>
      <c r="BM3" s="104" t="s">
        <v>460</v>
      </c>
      <c r="BN3" s="104" t="s">
        <v>469</v>
      </c>
      <c r="BO3" s="104" t="s">
        <v>455</v>
      </c>
      <c r="BP3" s="104" t="s">
        <v>456</v>
      </c>
      <c r="BQ3" s="104" t="s">
        <v>457</v>
      </c>
      <c r="BR3" s="104" t="s">
        <v>458</v>
      </c>
      <c r="BS3" s="104" t="s">
        <v>459</v>
      </c>
      <c r="BT3" s="104" t="s">
        <v>460</v>
      </c>
      <c r="BU3" s="104" t="s">
        <v>470</v>
      </c>
      <c r="BV3" s="104" t="s">
        <v>455</v>
      </c>
      <c r="BW3" s="104" t="s">
        <v>456</v>
      </c>
      <c r="BX3" s="104" t="s">
        <v>457</v>
      </c>
      <c r="BY3" s="104" t="s">
        <v>458</v>
      </c>
      <c r="BZ3" s="104" t="s">
        <v>459</v>
      </c>
      <c r="CA3" s="104" t="s">
        <v>460</v>
      </c>
      <c r="CB3" s="104" t="s">
        <v>471</v>
      </c>
      <c r="CC3" s="104" t="s">
        <v>455</v>
      </c>
      <c r="CD3" s="104" t="s">
        <v>456</v>
      </c>
      <c r="CE3" s="104" t="s">
        <v>457</v>
      </c>
      <c r="CF3" s="104" t="s">
        <v>458</v>
      </c>
      <c r="CG3" s="104" t="s">
        <v>459</v>
      </c>
      <c r="CH3" s="104" t="s">
        <v>460</v>
      </c>
      <c r="CI3" s="104" t="s">
        <v>472</v>
      </c>
      <c r="CJ3" s="104" t="s">
        <v>455</v>
      </c>
      <c r="CK3" s="104" t="s">
        <v>456</v>
      </c>
      <c r="CL3" s="104" t="s">
        <v>457</v>
      </c>
      <c r="CM3" s="104" t="s">
        <v>458</v>
      </c>
      <c r="CN3" s="104" t="s">
        <v>459</v>
      </c>
      <c r="CO3" s="104" t="s">
        <v>460</v>
      </c>
      <c r="CP3" s="104" t="s">
        <v>473</v>
      </c>
    </row>
    <row r="4" spans="2:120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  <c r="AT4" s="106"/>
      <c r="AU4" s="106"/>
      <c r="BA4" s="106"/>
      <c r="BB4" s="106"/>
      <c r="BH4" s="106"/>
      <c r="BI4" s="106"/>
      <c r="BO4" s="106"/>
      <c r="BP4" s="106"/>
      <c r="BV4" s="106"/>
      <c r="BW4" s="106"/>
      <c r="CC4" s="106"/>
      <c r="CD4" s="106"/>
      <c r="CJ4" s="106"/>
      <c r="CK4" s="106"/>
    </row>
    <row r="5" spans="2:120" ht="16" x14ac:dyDescent="0.2">
      <c r="B5" s="183" t="s">
        <v>397</v>
      </c>
      <c r="C5" s="205"/>
      <c r="D5" s="108"/>
      <c r="E5" s="108"/>
      <c r="G5" s="107"/>
      <c r="H5" s="107"/>
      <c r="I5" s="107"/>
      <c r="J5" s="107"/>
      <c r="K5" s="107"/>
      <c r="L5" s="107"/>
      <c r="M5" s="107"/>
      <c r="N5" s="107"/>
      <c r="O5" s="107"/>
      <c r="R5" s="107"/>
      <c r="S5" s="107"/>
      <c r="T5" s="107"/>
      <c r="U5" s="107"/>
      <c r="V5" s="107"/>
      <c r="Y5" s="107"/>
      <c r="Z5" s="107"/>
      <c r="AA5" s="107"/>
      <c r="AB5" s="107"/>
      <c r="AC5" s="107"/>
      <c r="AF5" s="107"/>
      <c r="AG5" s="107"/>
      <c r="AH5" s="107"/>
      <c r="AI5" s="107"/>
      <c r="AJ5" s="107"/>
      <c r="AM5" s="107"/>
      <c r="AN5" s="107"/>
      <c r="AO5" s="107"/>
      <c r="AP5" s="107"/>
      <c r="AQ5" s="107"/>
      <c r="AT5" s="107"/>
      <c r="AU5" s="107"/>
      <c r="AV5" s="107"/>
      <c r="AW5" s="107"/>
      <c r="AX5" s="107"/>
      <c r="BA5" s="107"/>
      <c r="BB5" s="107"/>
      <c r="BC5" s="107"/>
      <c r="BD5" s="107"/>
      <c r="BE5" s="107"/>
      <c r="BH5" s="107"/>
      <c r="BI5" s="107"/>
      <c r="BJ5" s="107"/>
      <c r="BK5" s="107"/>
      <c r="BL5" s="107"/>
      <c r="BO5" s="107"/>
      <c r="BP5" s="107"/>
      <c r="BQ5" s="107"/>
      <c r="BR5" s="107"/>
      <c r="BS5" s="107"/>
      <c r="BV5" s="107"/>
      <c r="BW5" s="107"/>
      <c r="BX5" s="107"/>
      <c r="BY5" s="107"/>
      <c r="BZ5" s="107"/>
      <c r="CC5" s="107"/>
      <c r="CD5" s="107"/>
      <c r="CE5" s="107"/>
      <c r="CF5" s="107"/>
      <c r="CG5" s="107"/>
      <c r="CJ5" s="107"/>
      <c r="CK5" s="107"/>
      <c r="CL5" s="107"/>
      <c r="CM5" s="107"/>
      <c r="CN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</row>
    <row r="6" spans="2:120" ht="16" x14ac:dyDescent="0.2">
      <c r="B6" s="109" t="s">
        <v>398</v>
      </c>
      <c r="C6" s="193" t="s">
        <v>130</v>
      </c>
      <c r="D6" s="110">
        <f>SUMIFS(wallet_records!$D:$D,wallet_records!$B:$B,'EEFF 2024'!$C6,wallet_records!$L:$L,'EEFF 2024'!D$3,wallet_records!$O:$O,'EEFF 2024'!$B$1,wallet_records!$N:$N,'EEFF 2024'!D$2)</f>
        <v>1350000</v>
      </c>
      <c r="E6" s="110">
        <f>SUMIFS(wallet_records!$D:$D,wallet_records!$B:$B,'EEFF 2024'!$C6,wallet_records!$L:$L,'EEFF 2024'!E$3,wallet_records!$O:$O,'EEFF 2024'!$B$1,wallet_records!$N:$N,'EEFF 2024'!E$2)</f>
        <v>0</v>
      </c>
      <c r="F6" s="110">
        <f>SUMIFS(wallet_records!$D:$D,wallet_records!$B:$B,'EEFF 2024'!$C6,wallet_records!$L:$L,'EEFF 2024'!F$3,wallet_records!$O:$O,'EEFF 2024'!$B$1,wallet_records!$N:$N,'EEFF 2024'!F$2)</f>
        <v>1500000</v>
      </c>
      <c r="G6" s="110">
        <f>SUMIFS(wallet_records!$D:$D,wallet_records!$B:$B,'EEFF 2024'!$C6,wallet_records!$L:$L,'EEFF 2024'!G$3,wallet_records!$O:$O,'EEFF 2024'!$B$1,wallet_records!$N:$N,'EEFF 2024'!G$2)</f>
        <v>400000</v>
      </c>
      <c r="H6" s="110">
        <f>SUMIFS(wallet_records!$D:$D,wallet_records!$B:$B,'EEFF 2024'!$C6,wallet_records!$L:$L,'EEFF 2024'!H$3,wallet_records!$O:$O,'EEFF 2024'!$B$1,wallet_records!$N:$N,'EEFF 2024'!H$2)</f>
        <v>3000000</v>
      </c>
      <c r="I6" s="110">
        <f>SUMIFS(wallet_records!$D:$D,wallet_records!$B:$B,'EEFF 2024'!$C6,wallet_records!$L:$L,'EEFF 2024'!I$3,wallet_records!$O:$O,'EEFF 2024'!$B$1,wallet_records!$N:$N,'EEFF 2024'!I$2)</f>
        <v>0</v>
      </c>
      <c r="J6" s="110">
        <f>SUM(D6:I6)</f>
        <v>6250000</v>
      </c>
      <c r="K6" s="110">
        <f>SUMIFS(wallet_records!$D:$D,wallet_records!$B:$B,'EEFF 2024'!$C6,wallet_records!$L:$L,'EEFF 2024'!K$3,wallet_records!$O:$O,'EEFF 2024'!$B$1,wallet_records!$N:$N,'EEFF 2024'!K$2)</f>
        <v>1350000</v>
      </c>
      <c r="L6" s="110">
        <f>SUMIFS(wallet_records!$D:$D,wallet_records!$B:$B,'EEFF 2024'!$C6,wallet_records!$L:$L,'EEFF 2024'!L$3,wallet_records!$O:$O,'EEFF 2024'!$B$1,wallet_records!$N:$N,'EEFF 2024'!L$2)</f>
        <v>0</v>
      </c>
      <c r="M6" s="110">
        <f>SUMIFS(wallet_records!$D:$D,wallet_records!$B:$B,'EEFF 2024'!$C6,wallet_records!$L:$L,'EEFF 2024'!M$3,wallet_records!$O:$O,'EEFF 2024'!$B$1,wallet_records!$N:$N,'EEFF 2024'!M$2)</f>
        <v>1500000</v>
      </c>
      <c r="N6" s="110">
        <f>SUMIFS(wallet_records!$D:$D,wallet_records!$B:$B,'EEFF 2024'!$C6,wallet_records!$L:$L,'EEFF 2024'!N$3,wallet_records!$O:$O,'EEFF 2024'!$B$1,wallet_records!$N:$N,'EEFF 2024'!N$2)</f>
        <v>0</v>
      </c>
      <c r="O6" s="110">
        <f>SUMIFS(wallet_records!$D:$D,wallet_records!$B:$B,'EEFF 2024'!$C6,wallet_records!$L:$L,'EEFF 2024'!O$3,wallet_records!$O:$O,'EEFF 2024'!$B$1,wallet_records!$N:$N,'EEFF 2024'!O$2)</f>
        <v>0</v>
      </c>
      <c r="P6" s="110">
        <f>SUMIFS(wallet_records!$D:$D,wallet_records!$B:$B,'EEFF 2024'!$C6,wallet_records!$L:$L,'EEFF 2024'!P$3,wallet_records!$O:$O,'EEFF 2024'!$B$1,wallet_records!$N:$N,'EEFF 2024'!P$2)</f>
        <v>0</v>
      </c>
      <c r="Q6" s="110">
        <f>SUM(K6:P6)</f>
        <v>2850000</v>
      </c>
      <c r="R6" s="110">
        <f>SUMIFS(wallet_records!$D:$D,wallet_records!$B:$B,'EEFF 2024'!$C6,wallet_records!$L:$L,'EEFF 2024'!R$3,wallet_records!$O:$O,'EEFF 2024'!$B$1,wallet_records!$N:$N,'EEFF 2024'!R$2)</f>
        <v>1350000</v>
      </c>
      <c r="S6" s="110">
        <f>SUMIFS(wallet_records!$D:$D,wallet_records!$B:$B,'EEFF 2024'!$C6,wallet_records!$L:$L,'EEFF 2024'!S$3,wallet_records!$O:$O,'EEFF 2024'!$B$1,wallet_records!$N:$N,'EEFF 2024'!S$2)</f>
        <v>0</v>
      </c>
      <c r="T6" s="110">
        <f>SUMIFS(wallet_records!$D:$D,wallet_records!$B:$B,'EEFF 2024'!$C6,wallet_records!$L:$L,'EEFF 2024'!T$3,wallet_records!$O:$O,'EEFF 2024'!$B$1,wallet_records!$N:$N,'EEFF 2024'!T$2)</f>
        <v>1500000</v>
      </c>
      <c r="U6" s="110">
        <f>SUMIFS(wallet_records!$D:$D,wallet_records!$B:$B,'EEFF 2024'!$C6,wallet_records!$L:$L,'EEFF 2024'!U$3,wallet_records!$O:$O,'EEFF 2024'!$B$1,wallet_records!$N:$N,'EEFF 2024'!U$2)</f>
        <v>800000</v>
      </c>
      <c r="V6" s="110">
        <f>SUMIFS(wallet_records!$D:$D,wallet_records!$B:$B,'EEFF 2024'!$C6,wallet_records!$L:$L,'EEFF 2024'!V$3,wallet_records!$O:$O,'EEFF 2024'!$B$1,wallet_records!$N:$N,'EEFF 2024'!V$2)</f>
        <v>3000000</v>
      </c>
      <c r="W6" s="110">
        <f>SUMIFS(wallet_records!$D:$D,wallet_records!$B:$B,'EEFF 2024'!$C6,wallet_records!$L:$L,'EEFF 2024'!W$3,wallet_records!$O:$O,'EEFF 2024'!$B$1,wallet_records!$N:$N,'EEFF 2024'!W$2)</f>
        <v>0</v>
      </c>
      <c r="X6" s="110">
        <f>SUM(R6:W6)</f>
        <v>6650000</v>
      </c>
      <c r="Y6" s="110">
        <f>SUMIFS(wallet_records!$D:$D,wallet_records!$B:$B,'EEFF 2024'!$C6,wallet_records!$L:$L,'EEFF 2024'!Y$3,wallet_records!$O:$O,'EEFF 2024'!$B$1,wallet_records!$N:$N,'EEFF 2024'!Y$2)</f>
        <v>1350000</v>
      </c>
      <c r="Z6" s="110">
        <f>SUMIFS(wallet_records!$D:$D,wallet_records!$B:$B,'EEFF 2024'!$C6,wallet_records!$L:$L,'EEFF 2024'!Z$3,wallet_records!$O:$O,'EEFF 2024'!$B$1,wallet_records!$N:$N,'EEFF 2024'!Z$2)</f>
        <v>0</v>
      </c>
      <c r="AA6" s="110">
        <f>SUMIFS(wallet_records!$D:$D,wallet_records!$B:$B,'EEFF 2024'!$C6,wallet_records!$L:$L,'EEFF 2024'!AA$3,wallet_records!$O:$O,'EEFF 2024'!$B$1,wallet_records!$N:$N,'EEFF 2024'!AA$2)</f>
        <v>1500000</v>
      </c>
      <c r="AB6" s="110">
        <f>SUMIFS(wallet_records!$D:$D,wallet_records!$B:$B,'EEFF 2024'!$C6,wallet_records!$L:$L,'EEFF 2024'!AB$3,wallet_records!$O:$O,'EEFF 2024'!$B$1,wallet_records!$N:$N,'EEFF 2024'!AB$2)</f>
        <v>0</v>
      </c>
      <c r="AC6" s="110">
        <f>SUMIFS(wallet_records!$D:$D,wallet_records!$B:$B,'EEFF 2024'!$C6,wallet_records!$L:$L,'EEFF 2024'!AC$3,wallet_records!$O:$O,'EEFF 2024'!$B$1,wallet_records!$N:$N,'EEFF 2024'!AC$2)</f>
        <v>0</v>
      </c>
      <c r="AD6" s="110">
        <f>SUMIFS(wallet_records!$D:$D,wallet_records!$B:$B,'EEFF 2024'!$C6,wallet_records!$L:$L,'EEFF 2024'!AD$3,wallet_records!$O:$O,'EEFF 2024'!$B$1,wallet_records!$N:$N,'EEFF 2024'!AD$2)</f>
        <v>881000</v>
      </c>
      <c r="AE6" s="110">
        <f>SUM(Y6:AD6)</f>
        <v>3731000</v>
      </c>
      <c r="AF6" s="110">
        <f>SUMIFS(wallet_records!$D:$D,wallet_records!$B:$B,'EEFF 2024'!$C6,wallet_records!$L:$L,'EEFF 2024'!AF$3,wallet_records!$O:$O,'EEFF 2024'!$B$1,wallet_records!$N:$N,'EEFF 2024'!AF$2)</f>
        <v>1350000</v>
      </c>
      <c r="AG6" s="110">
        <f>SUMIFS(wallet_records!$D:$D,wallet_records!$B:$B,'EEFF 2024'!$C6,wallet_records!$L:$L,'EEFF 2024'!AG$3,wallet_records!$O:$O,'EEFF 2024'!$B$1,wallet_records!$N:$N,'EEFF 2024'!AG$2)</f>
        <v>3000000</v>
      </c>
      <c r="AH6" s="110">
        <f>SUMIFS(wallet_records!$D:$D,wallet_records!$B:$B,'EEFF 2024'!$C6,wallet_records!$L:$L,'EEFF 2024'!AH$3,wallet_records!$O:$O,'EEFF 2024'!$B$1,wallet_records!$N:$N,'EEFF 2024'!AH$2)</f>
        <v>750000</v>
      </c>
      <c r="AI6" s="110">
        <f>SUMIFS(wallet_records!$D:$D,wallet_records!$B:$B,'EEFF 2024'!$C6,wallet_records!$L:$L,'EEFF 2024'!AI$3,wallet_records!$O:$O,'EEFF 2024'!$B$1,wallet_records!$N:$N,'EEFF 2024'!AI$2)</f>
        <v>400000</v>
      </c>
      <c r="AJ6" s="110">
        <f>SUMIFS(wallet_records!$D:$D,wallet_records!$B:$B,'EEFF 2024'!$C6,wallet_records!$L:$L,'EEFF 2024'!AJ$3,wallet_records!$O:$O,'EEFF 2024'!$B$1,wallet_records!$N:$N,'EEFF 2024'!AJ$2)</f>
        <v>3000000</v>
      </c>
      <c r="AK6" s="110">
        <f>SUMIFS(wallet_records!$D:$D,wallet_records!$B:$B,'EEFF 2024'!$C6,wallet_records!$L:$L,'EEFF 2024'!AK$3,wallet_records!$O:$O,'EEFF 2024'!$B$1,wallet_records!$N:$N,'EEFF 2024'!AK$2)</f>
        <v>881000</v>
      </c>
      <c r="AL6" s="110">
        <f>SUM(AF6:AK6)</f>
        <v>9381000</v>
      </c>
      <c r="AM6" s="110">
        <f>SUMIFS(wallet_records!$D:$D,wallet_records!$B:$B,'EEFF 2024'!$C6,wallet_records!$L:$L,'EEFF 2024'!AM$3,wallet_records!$O:$O,'EEFF 2024'!$B$1,wallet_records!$N:$N,'EEFF 2024'!AM$2)</f>
        <v>1350000</v>
      </c>
      <c r="AN6" s="110">
        <f>SUMIFS(wallet_records!$D:$D,wallet_records!$B:$B,'EEFF 2024'!$C6,wallet_records!$L:$L,'EEFF 2024'!AN$3,wallet_records!$O:$O,'EEFF 2024'!$B$1,wallet_records!$N:$N,'EEFF 2024'!AN$2)</f>
        <v>2000000</v>
      </c>
      <c r="AO6" s="110">
        <f>SUMIFS(wallet_records!$D:$D,wallet_records!$B:$B,'EEFF 2024'!$C6,wallet_records!$L:$L,'EEFF 2024'!AO$3,wallet_records!$O:$O,'EEFF 2024'!$B$1,wallet_records!$N:$N,'EEFF 2024'!AO$2)</f>
        <v>1400000</v>
      </c>
      <c r="AP6" s="110">
        <f>SUMIFS(wallet_records!$D:$D,wallet_records!$B:$B,'EEFF 2024'!$C6,wallet_records!$L:$L,'EEFF 2024'!AP$3,wallet_records!$O:$O,'EEFF 2024'!$B$1,wallet_records!$N:$N,'EEFF 2024'!AP$2)</f>
        <v>850000</v>
      </c>
      <c r="AQ6" s="110">
        <f>SUMIFS(wallet_records!$D:$D,wallet_records!$B:$B,'EEFF 2024'!$C6,wallet_records!$L:$L,'EEFF 2024'!AQ$3,wallet_records!$O:$O,'EEFF 2024'!$B$1,wallet_records!$N:$N,'EEFF 2024'!AQ$2)</f>
        <v>1500000</v>
      </c>
      <c r="AR6" s="110">
        <f>SUMIFS(wallet_records!$D:$D,wallet_records!$B:$B,'EEFF 2024'!$C6,wallet_records!$L:$L,'EEFF 2024'!AR$3,wallet_records!$O:$O,'EEFF 2024'!$B$1,wallet_records!$N:$N,'EEFF 2024'!AR$2)</f>
        <v>881000</v>
      </c>
      <c r="AS6" s="110">
        <f>SUM(AM6:AR6)</f>
        <v>7981000</v>
      </c>
      <c r="AT6" s="110">
        <f>SUMIFS(wallet_records!$D:$D,wallet_records!$B:$B,'EEFF 2024'!$C6,wallet_records!$L:$L,'EEFF 2024'!AT$3,wallet_records!$O:$O,'EEFF 2024'!$B$1,wallet_records!$N:$N,'EEFF 2024'!AT$2)</f>
        <v>1350000</v>
      </c>
      <c r="AU6" s="110">
        <f>SUMIFS(wallet_records!$D:$D,wallet_records!$B:$B,'EEFF 2024'!$C6,wallet_records!$L:$L,'EEFF 2024'!AU$3,wallet_records!$O:$O,'EEFF 2024'!$B$1,wallet_records!$N:$N,'EEFF 2024'!AU$2)</f>
        <v>3000000</v>
      </c>
      <c r="AV6" s="110">
        <f>SUMIFS(wallet_records!$D:$D,wallet_records!$B:$B,'EEFF 2024'!$C6,wallet_records!$L:$L,'EEFF 2024'!AV$3,wallet_records!$O:$O,'EEFF 2024'!$B$1,wallet_records!$N:$N,'EEFF 2024'!AV$2)</f>
        <v>1400000</v>
      </c>
      <c r="AW6" s="110">
        <f>SUMIFS(wallet_records!$D:$D,wallet_records!$B:$B,'EEFF 2024'!$C6,wallet_records!$L:$L,'EEFF 2024'!AW$3,wallet_records!$O:$O,'EEFF 2024'!$B$1,wallet_records!$N:$N,'EEFF 2024'!AW$2)</f>
        <v>0</v>
      </c>
      <c r="AX6" s="110">
        <f>SUMIFS(wallet_records!$D:$D,wallet_records!$B:$B,'EEFF 2024'!$C6,wallet_records!$L:$L,'EEFF 2024'!AX$3,wallet_records!$O:$O,'EEFF 2024'!$B$1,wallet_records!$N:$N,'EEFF 2024'!AX$2)</f>
        <v>1500000</v>
      </c>
      <c r="AY6" s="110">
        <f>SUMIFS(wallet_records!$D:$D,wallet_records!$B:$B,'EEFF 2024'!$C6,wallet_records!$L:$L,'EEFF 2024'!AY$3,wallet_records!$O:$O,'EEFF 2024'!$B$1,wallet_records!$N:$N,'EEFF 2024'!AY$2)</f>
        <v>881000</v>
      </c>
      <c r="AZ6" s="110">
        <f>SUM(AT6:AY6)</f>
        <v>8131000</v>
      </c>
      <c r="BA6" s="110">
        <f>SUMIFS(wallet_records!$D:$D,wallet_records!$B:$B,'EEFF 2024'!$C6,wallet_records!$L:$L,'EEFF 2024'!BA$3,wallet_records!$O:$O,'EEFF 2024'!$B$1,wallet_records!$N:$N,'EEFF 2024'!BA$2)</f>
        <v>1350000</v>
      </c>
      <c r="BB6" s="110">
        <f>SUMIFS(wallet_records!$D:$D,wallet_records!$B:$B,'EEFF 2024'!$C6,wallet_records!$L:$L,'EEFF 2024'!BB$3,wallet_records!$O:$O,'EEFF 2024'!$B$1,wallet_records!$N:$N,'EEFF 2024'!BB$2)</f>
        <v>3000000</v>
      </c>
      <c r="BC6" s="110">
        <f>SUMIFS(wallet_records!$D:$D,wallet_records!$B:$B,'EEFF 2024'!$C6,wallet_records!$L:$L,'EEFF 2024'!BC$3,wallet_records!$O:$O,'EEFF 2024'!$B$1,wallet_records!$N:$N,'EEFF 2024'!BC$2)</f>
        <v>1400000</v>
      </c>
      <c r="BD6" s="110">
        <f>SUMIFS(wallet_records!$D:$D,wallet_records!$B:$B,'EEFF 2024'!$C6,wallet_records!$L:$L,'EEFF 2024'!BD$3,wallet_records!$O:$O,'EEFF 2024'!$B$1,wallet_records!$N:$N,'EEFF 2024'!BD$2)</f>
        <v>480000</v>
      </c>
      <c r="BE6" s="110">
        <f>SUMIFS(wallet_records!$D:$D,wallet_records!$B:$B,'EEFF 2024'!$C6,wallet_records!$L:$L,'EEFF 2024'!BE$3,wallet_records!$O:$O,'EEFF 2024'!$B$1,wallet_records!$N:$N,'EEFF 2024'!BE$2)</f>
        <v>1500000</v>
      </c>
      <c r="BF6" s="110">
        <f>SUMIFS(wallet_records!$D:$D,wallet_records!$B:$B,'EEFF 2024'!$C6,wallet_records!$L:$L,'EEFF 2024'!BF$3,wallet_records!$O:$O,'EEFF 2024'!$B$1,wallet_records!$N:$N,'EEFF 2024'!BF$2)</f>
        <v>797500</v>
      </c>
      <c r="BG6" s="110">
        <f>SUM(BA6:BF6)</f>
        <v>8527500</v>
      </c>
      <c r="BH6" s="110">
        <f>SUMIFS(wallet_records!$D:$D,wallet_records!$B:$B,'EEFF 2024'!$C6,wallet_records!$L:$L,'EEFF 2024'!BH$3,wallet_records!$O:$O,'EEFF 2024'!$B$1,wallet_records!$N:$N,'EEFF 2024'!BH$2)</f>
        <v>1350000</v>
      </c>
      <c r="BI6" s="110">
        <f>SUMIFS(wallet_records!$D:$D,wallet_records!$B:$B,'EEFF 2024'!$C6,wallet_records!$L:$L,'EEFF 2024'!BI$3,wallet_records!$O:$O,'EEFF 2024'!$B$1,wallet_records!$N:$N,'EEFF 2024'!BI$2)</f>
        <v>3000000</v>
      </c>
      <c r="BJ6" s="110">
        <f>SUMIFS(wallet_records!$D:$D,wallet_records!$B:$B,'EEFF 2024'!$C6,wallet_records!$L:$L,'EEFF 2024'!BJ$3,wallet_records!$O:$O,'EEFF 2024'!$B$1,wallet_records!$N:$N,'EEFF 2024'!BJ$2)</f>
        <v>1400000</v>
      </c>
      <c r="BK6" s="110">
        <f>SUMIFS(wallet_records!$D:$D,wallet_records!$B:$B,'EEFF 2024'!$C6,wallet_records!$L:$L,'EEFF 2024'!BK$3,wallet_records!$O:$O,'EEFF 2024'!$B$1,wallet_records!$N:$N,'EEFF 2024'!BK$2)</f>
        <v>480000</v>
      </c>
      <c r="BL6" s="110">
        <f>SUMIFS(wallet_records!$D:$D,wallet_records!$B:$B,'EEFF 2024'!$C6,wallet_records!$L:$L,'EEFF 2024'!BL$3,wallet_records!$O:$O,'EEFF 2024'!$B$1,wallet_records!$N:$N,'EEFF 2024'!BL$2)</f>
        <v>0</v>
      </c>
      <c r="BM6" s="110">
        <f>SUMIFS(wallet_records!$D:$D,wallet_records!$B:$B,'EEFF 2024'!$C6,wallet_records!$L:$L,'EEFF 2024'!BM$3,wallet_records!$O:$O,'EEFF 2024'!$B$1,wallet_records!$N:$N,'EEFF 2024'!BM$2)</f>
        <v>881000</v>
      </c>
      <c r="BN6" s="110">
        <f>SUM(BH6:BM6)</f>
        <v>7111000</v>
      </c>
      <c r="BO6" s="110">
        <f>SUMIFS(wallet_records!$D:$D,wallet_records!$B:$B,'EEFF 2024'!$C6,wallet_records!$L:$L,'EEFF 2024'!BO$3,wallet_records!$O:$O,'EEFF 2024'!$B$1,wallet_records!$N:$N,'EEFF 2024'!BO$2)</f>
        <v>1350000</v>
      </c>
      <c r="BP6" s="110">
        <f>SUMIFS(wallet_records!$D:$D,wallet_records!$B:$B,'EEFF 2024'!$C6,wallet_records!$L:$L,'EEFF 2024'!BP$3,wallet_records!$O:$O,'EEFF 2024'!$B$1,wallet_records!$N:$N,'EEFF 2024'!BP$2)</f>
        <v>0</v>
      </c>
      <c r="BQ6" s="110">
        <f>SUMIFS(wallet_records!$D:$D,wallet_records!$B:$B,'EEFF 2024'!$C6,wallet_records!$L:$L,'EEFF 2024'!BQ$3,wallet_records!$O:$O,'EEFF 2024'!$B$1,wallet_records!$N:$N,'EEFF 2024'!BQ$2)</f>
        <v>1400000</v>
      </c>
      <c r="BR6" s="110">
        <f>SUMIFS(wallet_records!$D:$D,wallet_records!$B:$B,'EEFF 2024'!$C6,wallet_records!$L:$L,'EEFF 2024'!BR$3,wallet_records!$O:$O,'EEFF 2024'!$B$1,wallet_records!$N:$N,'EEFF 2024'!BR$2)</f>
        <v>950000</v>
      </c>
      <c r="BS6" s="110">
        <f>SUMIFS(wallet_records!$D:$D,wallet_records!$B:$B,'EEFF 2024'!$C6,wallet_records!$L:$L,'EEFF 2024'!BS$3,wallet_records!$O:$O,'EEFF 2024'!$B$1,wallet_records!$N:$N,'EEFF 2024'!BS$2)</f>
        <v>1500000</v>
      </c>
      <c r="BT6" s="110">
        <f>SUMIFS(wallet_records!$D:$D,wallet_records!$B:$B,'EEFF 2024'!$C6,wallet_records!$L:$L,'EEFF 2024'!BT$3,wallet_records!$O:$O,'EEFF 2024'!$B$1,wallet_records!$N:$N,'EEFF 2024'!BT$2)</f>
        <v>881000</v>
      </c>
      <c r="BU6" s="110">
        <f>SUM(BO6:BT6)</f>
        <v>6081000</v>
      </c>
      <c r="BV6" s="110">
        <f>SUMIFS(wallet_records!$D:$D,wallet_records!$B:$B,'EEFF 2024'!$C6,wallet_records!$L:$L,'EEFF 2024'!BV$3,wallet_records!$O:$O,'EEFF 2024'!$B$1,wallet_records!$N:$N,'EEFF 2024'!BV$2)</f>
        <v>675000</v>
      </c>
      <c r="BW6" s="110">
        <f>SUMIFS(wallet_records!$D:$D,wallet_records!$B:$B,'EEFF 2024'!$C6,wallet_records!$L:$L,'EEFF 2024'!BW$3,wallet_records!$O:$O,'EEFF 2024'!$B$1,wallet_records!$N:$N,'EEFF 2024'!BW$2)</f>
        <v>5500000</v>
      </c>
      <c r="BX6" s="110">
        <f>SUMIFS(wallet_records!$D:$D,wallet_records!$B:$B,'EEFF 2024'!$C6,wallet_records!$L:$L,'EEFF 2024'!BX$3,wallet_records!$O:$O,'EEFF 2024'!$B$1,wallet_records!$N:$N,'EEFF 2024'!BX$2)</f>
        <v>2800000</v>
      </c>
      <c r="BY6" s="110">
        <f>SUMIFS(wallet_records!$D:$D,wallet_records!$B:$B,'EEFF 2024'!$C6,wallet_records!$L:$L,'EEFF 2024'!BY$3,wallet_records!$O:$O,'EEFF 2024'!$B$1,wallet_records!$N:$N,'EEFF 2024'!BY$2)</f>
        <v>500000</v>
      </c>
      <c r="BZ6" s="110">
        <f>SUMIFS(wallet_records!$D:$D,wallet_records!$B:$B,'EEFF 2024'!$C6,wallet_records!$L:$L,'EEFF 2024'!BZ$3,wallet_records!$O:$O,'EEFF 2024'!$B$1,wallet_records!$N:$N,'EEFF 2024'!BZ$2)</f>
        <v>3130000</v>
      </c>
      <c r="CA6" s="110">
        <f>SUMIFS(wallet_records!$D:$D,wallet_records!$B:$B,'EEFF 2024'!$C6,wallet_records!$L:$L,'EEFF 2024'!CA$3,wallet_records!$O:$O,'EEFF 2024'!$B$1,wallet_records!$N:$N,'EEFF 2024'!CA$2)</f>
        <v>869500</v>
      </c>
      <c r="CB6" s="110">
        <f>SUM(BV6:CA6)</f>
        <v>13474500</v>
      </c>
      <c r="CC6" s="110">
        <f>SUMIFS(wallet_records!$D:$D,wallet_records!$B:$B,'EEFF 2024'!$C6,wallet_records!$L:$L,'EEFF 2024'!CC$3,wallet_records!$O:$O,'EEFF 2024'!$B$1,wallet_records!$N:$N,'EEFF 2024'!CC$2)</f>
        <v>0</v>
      </c>
      <c r="CD6" s="110">
        <f>SUMIFS(wallet_records!$D:$D,wallet_records!$B:$B,'EEFF 2024'!$C6,wallet_records!$L:$L,'EEFF 2024'!CD$3,wallet_records!$O:$O,'EEFF 2024'!$B$1,wallet_records!$N:$N,'EEFF 2024'!CD$2)</f>
        <v>3000000</v>
      </c>
      <c r="CE6" s="110">
        <f>SUMIFS(wallet_records!$D:$D,wallet_records!$B:$B,'EEFF 2024'!$C6,wallet_records!$L:$L,'EEFF 2024'!CE$3,wallet_records!$O:$O,'EEFF 2024'!$B$1,wallet_records!$N:$N,'EEFF 2024'!CE$2)</f>
        <v>0</v>
      </c>
      <c r="CF6" s="110">
        <f>SUMIFS(wallet_records!$D:$D,wallet_records!$B:$B,'EEFF 2024'!$C6,wallet_records!$L:$L,'EEFF 2024'!CF$3,wallet_records!$O:$O,'EEFF 2024'!$B$1,wallet_records!$N:$N,'EEFF 2024'!CF$2)</f>
        <v>450000</v>
      </c>
      <c r="CG6" s="110">
        <f>SUMIFS(wallet_records!$D:$D,wallet_records!$B:$B,'EEFF 2024'!$C6,wallet_records!$L:$L,'EEFF 2024'!CG$3,wallet_records!$O:$O,'EEFF 2024'!$B$1,wallet_records!$N:$N,'EEFF 2024'!CG$2)</f>
        <v>1630000</v>
      </c>
      <c r="CH6" s="110">
        <f>SUMIFS(wallet_records!$D:$D,wallet_records!$B:$B,'EEFF 2024'!$C6,wallet_records!$L:$L,'EEFF 2024'!CH$3,wallet_records!$O:$O,'EEFF 2024'!$B$1,wallet_records!$N:$N,'EEFF 2024'!CH$2)</f>
        <v>881000</v>
      </c>
      <c r="CI6" s="110">
        <f>SUM(CC6:CH6)</f>
        <v>5961000</v>
      </c>
      <c r="CJ6" s="110">
        <f>SUMIFS(wallet_records!$D:$D,wallet_records!$B:$B,'EEFF 2024'!$C$6,wallet_records!$L:$L,'EEFF 2024'!CJ3,wallet_records!$O:$O,'EEFF 2024'!$B$1)</f>
        <v>14175000</v>
      </c>
      <c r="CK6" s="110">
        <f>SUMIFS(wallet_records!$D:$D,wallet_records!$B:$B,'EEFF 2024'!$C$6,wallet_records!$L:$L,'EEFF 2024'!CK3,wallet_records!$O:$O,'EEFF 2024'!$B$1)</f>
        <v>22500000</v>
      </c>
      <c r="CL6" s="110">
        <f>SUMIFS(wallet_records!$D:$D,wallet_records!$B:$B,'EEFF 2024'!$C$6,wallet_records!$L:$L,'EEFF 2024'!CL3,wallet_records!$O:$O,'EEFF 2024'!$B$1)</f>
        <v>16550000</v>
      </c>
      <c r="CM6" s="110">
        <f>SUMIFS(wallet_records!$D:$D,wallet_records!$B:$B,'EEFF 2024'!$C$6,wallet_records!$L:$L,'EEFF 2024'!CM3,wallet_records!$O:$O,'EEFF 2024'!$B$1)</f>
        <v>5310000</v>
      </c>
      <c r="CN6" s="110">
        <f>SUMIFS(wallet_records!$D:$D,wallet_records!$B:$B,'EEFF 2024'!$C$6,wallet_records!$L:$L,'EEFF 2024'!CN3,wallet_records!$O:$O,'EEFF 2024'!$B$1)</f>
        <v>19760000</v>
      </c>
      <c r="CO6" s="110">
        <f>SUMIFS(wallet_records!$D:$D,wallet_records!$B:$B,'EEFF 2024'!$C$6,wallet_records!$L:$L,'EEFF 2024'!CO3,wallet_records!$O:$O,'EEFF 2024'!$B$1)</f>
        <v>7834000</v>
      </c>
      <c r="CP6" s="110">
        <f>SUM(CJ6:CO6)</f>
        <v>86129000</v>
      </c>
      <c r="CQ6" s="107"/>
      <c r="CR6" s="111">
        <f t="shared" ref="CR6:CR47" si="0">J6/J$6</f>
        <v>1</v>
      </c>
      <c r="CS6" s="111">
        <f t="shared" ref="CS6:CS47" si="1">Q6/Q$6</f>
        <v>1</v>
      </c>
      <c r="CT6" s="111">
        <f t="shared" ref="CT6:CT46" si="2">X6/X$6</f>
        <v>1</v>
      </c>
      <c r="CU6" s="111">
        <f t="shared" ref="CU6:CU46" si="3">AE6/AE$6</f>
        <v>1</v>
      </c>
      <c r="CV6" s="111">
        <f t="shared" ref="CV6:CV46" si="4">AL6/AL$6</f>
        <v>1</v>
      </c>
      <c r="CW6" s="111">
        <f t="shared" ref="CW6:CW46" si="5">AS6/AS$6</f>
        <v>1</v>
      </c>
      <c r="CX6" s="111">
        <f t="shared" ref="CX6:CX46" si="6">AZ6/AZ$6</f>
        <v>1</v>
      </c>
      <c r="CY6" s="111">
        <f t="shared" ref="CY6:CY46" si="7">BG6/BG$6</f>
        <v>1</v>
      </c>
      <c r="CZ6" s="111">
        <f t="shared" ref="CZ6:CZ46" si="8">BN6/BN$6</f>
        <v>1</v>
      </c>
      <c r="DA6" s="111">
        <f t="shared" ref="DA6:DA46" si="9">BU6/BU$6</f>
        <v>1</v>
      </c>
      <c r="DB6" s="111">
        <f t="shared" ref="DB6:DB46" si="10">CB6/CB$6</f>
        <v>1</v>
      </c>
      <c r="DC6" s="111">
        <f t="shared" ref="DC6:DC46" si="11">CI6/CI$6</f>
        <v>1</v>
      </c>
    </row>
    <row r="7" spans="2:120" x14ac:dyDescent="0.2">
      <c r="B7" s="112" t="s">
        <v>399</v>
      </c>
      <c r="C7" s="192"/>
      <c r="D7" s="113">
        <v>0</v>
      </c>
      <c r="E7" s="113">
        <v>0</v>
      </c>
      <c r="F7" s="113">
        <v>0</v>
      </c>
      <c r="G7" s="114">
        <v>0</v>
      </c>
      <c r="H7" s="114">
        <v>0</v>
      </c>
      <c r="I7" s="114">
        <v>0</v>
      </c>
      <c r="J7" s="114">
        <f>SUM(D7:I7)</f>
        <v>0</v>
      </c>
      <c r="K7" s="113">
        <v>0</v>
      </c>
      <c r="L7" s="113">
        <v>0</v>
      </c>
      <c r="M7" s="113">
        <v>0</v>
      </c>
      <c r="N7" s="114">
        <v>0</v>
      </c>
      <c r="O7" s="114">
        <v>0</v>
      </c>
      <c r="P7" s="114">
        <v>0</v>
      </c>
      <c r="Q7" s="114">
        <f>SUM(K7:P7)</f>
        <v>0</v>
      </c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T7" s="113">
        <v>0</v>
      </c>
      <c r="AU7" s="113">
        <v>0</v>
      </c>
      <c r="AV7" s="113">
        <v>0</v>
      </c>
      <c r="AW7" s="114">
        <v>0</v>
      </c>
      <c r="AX7" s="114">
        <v>0</v>
      </c>
      <c r="AY7" s="114">
        <v>0</v>
      </c>
      <c r="AZ7" s="114">
        <f>SUM(AT7:AY7)</f>
        <v>0</v>
      </c>
      <c r="BA7" s="113">
        <v>0</v>
      </c>
      <c r="BB7" s="113">
        <v>0</v>
      </c>
      <c r="BC7" s="113">
        <v>0</v>
      </c>
      <c r="BD7" s="114">
        <v>0</v>
      </c>
      <c r="BE7" s="114">
        <v>0</v>
      </c>
      <c r="BF7" s="114">
        <v>0</v>
      </c>
      <c r="BG7" s="114">
        <f>SUM(BA7:BF7)</f>
        <v>0</v>
      </c>
      <c r="BH7" s="113">
        <v>0</v>
      </c>
      <c r="BI7" s="113">
        <v>0</v>
      </c>
      <c r="BJ7" s="113">
        <v>0</v>
      </c>
      <c r="BK7" s="114">
        <v>0</v>
      </c>
      <c r="BL7" s="114">
        <v>0</v>
      </c>
      <c r="BM7" s="114">
        <v>0</v>
      </c>
      <c r="BN7" s="114">
        <f>SUM(BH7:BM7)</f>
        <v>0</v>
      </c>
      <c r="BO7" s="113">
        <v>0</v>
      </c>
      <c r="BP7" s="113">
        <v>0</v>
      </c>
      <c r="BQ7" s="113">
        <v>0</v>
      </c>
      <c r="BR7" s="114">
        <v>0</v>
      </c>
      <c r="BS7" s="114">
        <v>0</v>
      </c>
      <c r="BT7" s="114">
        <v>0</v>
      </c>
      <c r="BU7" s="114">
        <f>SUM(BO7:BT7)</f>
        <v>0</v>
      </c>
      <c r="BV7" s="113">
        <v>0</v>
      </c>
      <c r="BW7" s="113">
        <v>0</v>
      </c>
      <c r="BX7" s="113">
        <v>0</v>
      </c>
      <c r="BY7" s="114">
        <v>0</v>
      </c>
      <c r="BZ7" s="114">
        <v>0</v>
      </c>
      <c r="CA7" s="114">
        <v>0</v>
      </c>
      <c r="CB7" s="114">
        <f>SUM(BV7:CA7)</f>
        <v>0</v>
      </c>
      <c r="CC7" s="113">
        <v>0</v>
      </c>
      <c r="CD7" s="113">
        <v>0</v>
      </c>
      <c r="CE7" s="113">
        <v>0</v>
      </c>
      <c r="CF7" s="114">
        <v>0</v>
      </c>
      <c r="CG7" s="114">
        <v>0</v>
      </c>
      <c r="CH7" s="114">
        <v>0</v>
      </c>
      <c r="CI7" s="114">
        <f>SUM(CC7:CH7)</f>
        <v>0</v>
      </c>
      <c r="CJ7" s="113">
        <v>0</v>
      </c>
      <c r="CK7" s="113">
        <v>0</v>
      </c>
      <c r="CL7" s="113">
        <v>0</v>
      </c>
      <c r="CM7" s="114">
        <v>0</v>
      </c>
      <c r="CN7" s="114">
        <v>0</v>
      </c>
      <c r="CO7" s="114">
        <v>0</v>
      </c>
      <c r="CP7" s="114">
        <f>SUM(CJ7:CO7)</f>
        <v>0</v>
      </c>
      <c r="CQ7" s="107"/>
      <c r="CR7" s="111">
        <f t="shared" si="0"/>
        <v>0</v>
      </c>
      <c r="CS7" s="111">
        <f t="shared" si="1"/>
        <v>0</v>
      </c>
      <c r="CT7" s="111">
        <f t="shared" si="2"/>
        <v>0</v>
      </c>
      <c r="CU7" s="111">
        <f t="shared" si="3"/>
        <v>0</v>
      </c>
      <c r="CV7" s="111">
        <f t="shared" si="4"/>
        <v>0</v>
      </c>
      <c r="CW7" s="111">
        <f t="shared" si="5"/>
        <v>0</v>
      </c>
      <c r="CX7" s="111">
        <f t="shared" si="6"/>
        <v>0</v>
      </c>
      <c r="CY7" s="111">
        <f t="shared" si="7"/>
        <v>0</v>
      </c>
      <c r="CZ7" s="111">
        <f t="shared" si="8"/>
        <v>0</v>
      </c>
      <c r="DA7" s="111">
        <f t="shared" si="9"/>
        <v>0</v>
      </c>
      <c r="DB7" s="111">
        <f t="shared" si="10"/>
        <v>0</v>
      </c>
      <c r="DC7" s="111">
        <f t="shared" si="11"/>
        <v>0</v>
      </c>
    </row>
    <row r="8" spans="2:120" ht="16" x14ac:dyDescent="0.2">
      <c r="B8" s="109" t="s">
        <v>351</v>
      </c>
      <c r="C8" s="193"/>
      <c r="D8" s="117">
        <f>D6-D7</f>
        <v>1350000</v>
      </c>
      <c r="E8" s="117">
        <f t="shared" ref="E8:BP8" si="12">E6-E7</f>
        <v>0</v>
      </c>
      <c r="F8" s="117">
        <f t="shared" si="12"/>
        <v>1500000</v>
      </c>
      <c r="G8" s="117">
        <f t="shared" si="12"/>
        <v>400000</v>
      </c>
      <c r="H8" s="117">
        <f t="shared" si="12"/>
        <v>3000000</v>
      </c>
      <c r="I8" s="117">
        <f t="shared" si="12"/>
        <v>0</v>
      </c>
      <c r="J8" s="117">
        <f t="shared" si="12"/>
        <v>6250000</v>
      </c>
      <c r="K8" s="117">
        <f t="shared" si="12"/>
        <v>1350000</v>
      </c>
      <c r="L8" s="117">
        <f t="shared" si="12"/>
        <v>0</v>
      </c>
      <c r="M8" s="117">
        <f t="shared" si="12"/>
        <v>1500000</v>
      </c>
      <c r="N8" s="117">
        <f t="shared" si="12"/>
        <v>0</v>
      </c>
      <c r="O8" s="117">
        <f t="shared" si="12"/>
        <v>0</v>
      </c>
      <c r="P8" s="117">
        <f t="shared" si="12"/>
        <v>0</v>
      </c>
      <c r="Q8" s="117">
        <f t="shared" si="12"/>
        <v>2850000</v>
      </c>
      <c r="R8" s="117">
        <f t="shared" si="12"/>
        <v>1350000</v>
      </c>
      <c r="S8" s="117">
        <f t="shared" si="12"/>
        <v>0</v>
      </c>
      <c r="T8" s="117">
        <f t="shared" si="12"/>
        <v>1500000</v>
      </c>
      <c r="U8" s="117">
        <f t="shared" si="12"/>
        <v>800000</v>
      </c>
      <c r="V8" s="117">
        <f t="shared" si="12"/>
        <v>3000000</v>
      </c>
      <c r="W8" s="117">
        <f t="shared" si="12"/>
        <v>0</v>
      </c>
      <c r="X8" s="117">
        <f t="shared" si="12"/>
        <v>6650000</v>
      </c>
      <c r="Y8" s="117">
        <f t="shared" si="12"/>
        <v>1350000</v>
      </c>
      <c r="Z8" s="117">
        <f t="shared" si="12"/>
        <v>0</v>
      </c>
      <c r="AA8" s="117">
        <f t="shared" si="12"/>
        <v>1500000</v>
      </c>
      <c r="AB8" s="117">
        <f t="shared" si="12"/>
        <v>0</v>
      </c>
      <c r="AC8" s="117">
        <f t="shared" si="12"/>
        <v>0</v>
      </c>
      <c r="AD8" s="117">
        <f t="shared" si="12"/>
        <v>881000</v>
      </c>
      <c r="AE8" s="117">
        <f t="shared" si="12"/>
        <v>3731000</v>
      </c>
      <c r="AF8" s="117">
        <f t="shared" si="12"/>
        <v>1350000</v>
      </c>
      <c r="AG8" s="117">
        <f t="shared" si="12"/>
        <v>3000000</v>
      </c>
      <c r="AH8" s="117">
        <f t="shared" si="12"/>
        <v>750000</v>
      </c>
      <c r="AI8" s="117">
        <f t="shared" si="12"/>
        <v>400000</v>
      </c>
      <c r="AJ8" s="117">
        <f t="shared" si="12"/>
        <v>3000000</v>
      </c>
      <c r="AK8" s="117">
        <f t="shared" si="12"/>
        <v>881000</v>
      </c>
      <c r="AL8" s="117">
        <f t="shared" si="12"/>
        <v>9381000</v>
      </c>
      <c r="AM8" s="117">
        <f t="shared" si="12"/>
        <v>1350000</v>
      </c>
      <c r="AN8" s="117">
        <f t="shared" si="12"/>
        <v>2000000</v>
      </c>
      <c r="AO8" s="117">
        <f t="shared" si="12"/>
        <v>1400000</v>
      </c>
      <c r="AP8" s="117">
        <f t="shared" si="12"/>
        <v>850000</v>
      </c>
      <c r="AQ8" s="117">
        <f t="shared" si="12"/>
        <v>1500000</v>
      </c>
      <c r="AR8" s="117">
        <f t="shared" si="12"/>
        <v>881000</v>
      </c>
      <c r="AS8" s="117">
        <f t="shared" si="12"/>
        <v>7981000</v>
      </c>
      <c r="AT8" s="117">
        <f t="shared" si="12"/>
        <v>1350000</v>
      </c>
      <c r="AU8" s="117">
        <f t="shared" si="12"/>
        <v>3000000</v>
      </c>
      <c r="AV8" s="117">
        <f t="shared" si="12"/>
        <v>1400000</v>
      </c>
      <c r="AW8" s="117">
        <f t="shared" si="12"/>
        <v>0</v>
      </c>
      <c r="AX8" s="117">
        <f t="shared" si="12"/>
        <v>1500000</v>
      </c>
      <c r="AY8" s="117">
        <f t="shared" si="12"/>
        <v>881000</v>
      </c>
      <c r="AZ8" s="117">
        <f t="shared" si="12"/>
        <v>8131000</v>
      </c>
      <c r="BA8" s="117">
        <f t="shared" si="12"/>
        <v>1350000</v>
      </c>
      <c r="BB8" s="117">
        <f t="shared" si="12"/>
        <v>3000000</v>
      </c>
      <c r="BC8" s="117">
        <f t="shared" si="12"/>
        <v>1400000</v>
      </c>
      <c r="BD8" s="117">
        <f t="shared" si="12"/>
        <v>480000</v>
      </c>
      <c r="BE8" s="117">
        <f t="shared" si="12"/>
        <v>1500000</v>
      </c>
      <c r="BF8" s="117">
        <f t="shared" si="12"/>
        <v>797500</v>
      </c>
      <c r="BG8" s="117">
        <f t="shared" si="12"/>
        <v>8527500</v>
      </c>
      <c r="BH8" s="117">
        <f t="shared" si="12"/>
        <v>1350000</v>
      </c>
      <c r="BI8" s="117">
        <f t="shared" si="12"/>
        <v>3000000</v>
      </c>
      <c r="BJ8" s="117">
        <f t="shared" si="12"/>
        <v>1400000</v>
      </c>
      <c r="BK8" s="117">
        <f t="shared" si="12"/>
        <v>480000</v>
      </c>
      <c r="BL8" s="117">
        <f t="shared" si="12"/>
        <v>0</v>
      </c>
      <c r="BM8" s="117">
        <f t="shared" si="12"/>
        <v>881000</v>
      </c>
      <c r="BN8" s="117">
        <f t="shared" si="12"/>
        <v>7111000</v>
      </c>
      <c r="BO8" s="117">
        <f t="shared" si="12"/>
        <v>1350000</v>
      </c>
      <c r="BP8" s="117">
        <f t="shared" si="12"/>
        <v>0</v>
      </c>
      <c r="BQ8" s="117">
        <f t="shared" ref="BQ8:CP8" si="13">BQ6-BQ7</f>
        <v>1400000</v>
      </c>
      <c r="BR8" s="117">
        <f t="shared" si="13"/>
        <v>950000</v>
      </c>
      <c r="BS8" s="117">
        <f t="shared" si="13"/>
        <v>1500000</v>
      </c>
      <c r="BT8" s="117">
        <f t="shared" si="13"/>
        <v>881000</v>
      </c>
      <c r="BU8" s="117">
        <f t="shared" si="13"/>
        <v>6081000</v>
      </c>
      <c r="BV8" s="117">
        <f t="shared" si="13"/>
        <v>675000</v>
      </c>
      <c r="BW8" s="117">
        <f t="shared" si="13"/>
        <v>5500000</v>
      </c>
      <c r="BX8" s="117">
        <f t="shared" si="13"/>
        <v>2800000</v>
      </c>
      <c r="BY8" s="117">
        <f t="shared" si="13"/>
        <v>500000</v>
      </c>
      <c r="BZ8" s="117">
        <f t="shared" si="13"/>
        <v>3130000</v>
      </c>
      <c r="CA8" s="117">
        <f t="shared" si="13"/>
        <v>869500</v>
      </c>
      <c r="CB8" s="117">
        <f t="shared" si="13"/>
        <v>13474500</v>
      </c>
      <c r="CC8" s="117">
        <f t="shared" si="13"/>
        <v>0</v>
      </c>
      <c r="CD8" s="117">
        <f t="shared" si="13"/>
        <v>3000000</v>
      </c>
      <c r="CE8" s="117">
        <f t="shared" si="13"/>
        <v>0</v>
      </c>
      <c r="CF8" s="117">
        <f t="shared" si="13"/>
        <v>450000</v>
      </c>
      <c r="CG8" s="117">
        <f t="shared" si="13"/>
        <v>1630000</v>
      </c>
      <c r="CH8" s="117">
        <f t="shared" si="13"/>
        <v>881000</v>
      </c>
      <c r="CI8" s="117">
        <f t="shared" si="13"/>
        <v>5961000</v>
      </c>
      <c r="CJ8" s="117">
        <f t="shared" si="13"/>
        <v>14175000</v>
      </c>
      <c r="CK8" s="117">
        <f t="shared" si="13"/>
        <v>22500000</v>
      </c>
      <c r="CL8" s="117">
        <f t="shared" si="13"/>
        <v>16550000</v>
      </c>
      <c r="CM8" s="117">
        <f t="shared" si="13"/>
        <v>5310000</v>
      </c>
      <c r="CN8" s="117">
        <f t="shared" si="13"/>
        <v>19760000</v>
      </c>
      <c r="CO8" s="117">
        <f t="shared" si="13"/>
        <v>7834000</v>
      </c>
      <c r="CP8" s="117">
        <f t="shared" si="13"/>
        <v>86129000</v>
      </c>
      <c r="CQ8" s="107"/>
      <c r="CR8" s="111">
        <f t="shared" si="0"/>
        <v>1</v>
      </c>
      <c r="CS8" s="111">
        <f t="shared" si="1"/>
        <v>1</v>
      </c>
      <c r="CT8" s="111">
        <f t="shared" si="2"/>
        <v>1</v>
      </c>
      <c r="CU8" s="111">
        <f t="shared" si="3"/>
        <v>1</v>
      </c>
      <c r="CV8" s="111">
        <f t="shared" si="4"/>
        <v>1</v>
      </c>
      <c r="CW8" s="111">
        <f t="shared" si="5"/>
        <v>1</v>
      </c>
      <c r="CX8" s="111">
        <f t="shared" si="6"/>
        <v>1</v>
      </c>
      <c r="CY8" s="111">
        <f t="shared" si="7"/>
        <v>1</v>
      </c>
      <c r="CZ8" s="111">
        <f t="shared" si="8"/>
        <v>1</v>
      </c>
      <c r="DA8" s="111">
        <f t="shared" si="9"/>
        <v>1</v>
      </c>
      <c r="DB8" s="111">
        <f t="shared" si="10"/>
        <v>1</v>
      </c>
      <c r="DC8" s="111">
        <f t="shared" si="11"/>
        <v>1</v>
      </c>
    </row>
    <row r="9" spans="2:120" x14ac:dyDescent="0.2">
      <c r="B9" s="107" t="s">
        <v>478</v>
      </c>
      <c r="C9" s="191" t="s">
        <v>306</v>
      </c>
      <c r="D9" s="115">
        <f>SUMIFS(wallet_records!$D:$D,wallet_records!$B:$B,'EEFF 2024'!$C9,wallet_records!$L:$L,'EEFF 2024'!D$3,wallet_records!$O:$O,'EEFF 2024'!$B$1,wallet_records!$N:$N,'EEFF 2024'!D$2,wallet_records!$H:$H,'EEFF 2024'!$B9)</f>
        <v>0</v>
      </c>
      <c r="E9" s="115">
        <f>SUMIFS(wallet_records!$D:$D,wallet_records!$B:$B,'EEFF 2024'!$C9,wallet_records!$L:$L,'EEFF 2024'!E$3,wallet_records!$O:$O,'EEFF 2024'!$B$1,wallet_records!$N:$N,'EEFF 2024'!E$2,wallet_records!$H:$H,'EEFF 2024'!$B9)</f>
        <v>0</v>
      </c>
      <c r="F9" s="115">
        <f>SUMIFS(wallet_records!$D:$D,wallet_records!$B:$B,'EEFF 2024'!$C9,wallet_records!$L:$L,'EEFF 2024'!F$3,wallet_records!$O:$O,'EEFF 2024'!$B$1,wallet_records!$N:$N,'EEFF 2024'!F$2,wallet_records!$H:$H,'EEFF 2024'!$B9)</f>
        <v>0</v>
      </c>
      <c r="G9" s="115">
        <f>SUMIFS(wallet_records!$D:$D,wallet_records!$B:$B,'EEFF 2024'!$C9,wallet_records!$L:$L,'EEFF 2024'!G$3,wallet_records!$O:$O,'EEFF 2024'!$B$1,wallet_records!$N:$N,'EEFF 2024'!G$2,wallet_records!$H:$H,'EEFF 2024'!$B9)</f>
        <v>0</v>
      </c>
      <c r="H9" s="115">
        <f>SUMIFS(wallet_records!$D:$D,wallet_records!$B:$B,'EEFF 2024'!$C9,wallet_records!$L:$L,'EEFF 2024'!H$3,wallet_records!$O:$O,'EEFF 2024'!$B$1,wallet_records!$N:$N,'EEFF 2024'!H$2,wallet_records!$H:$H,'EEFF 2024'!$B9)</f>
        <v>0</v>
      </c>
      <c r="I9" s="115">
        <f>SUMIFS(wallet_records!$D:$D,wallet_records!$B:$B,'EEFF 2024'!$C9,wallet_records!$L:$L,'EEFF 2024'!I$3,wallet_records!$O:$O,'EEFF 2024'!$B$1,wallet_records!$N:$N,'EEFF 2024'!I$2,wallet_records!$H:$H,'EEFF 2024'!$B9)</f>
        <v>0</v>
      </c>
      <c r="J9" s="116">
        <f t="shared" ref="J9:J14" si="14">SUM(D9:I9)</f>
        <v>0</v>
      </c>
      <c r="K9" s="115">
        <f>SUMIFS(wallet_records!$D:$D,wallet_records!$B:$B,'EEFF 2024'!$C9,wallet_records!$L:$L,'EEFF 2024'!K$3,wallet_records!$O:$O,'EEFF 2024'!$B$1,wallet_records!$N:$N,'EEFF 2024'!K$2,wallet_records!$H:$H,'EEFF 2024'!$B9)</f>
        <v>0</v>
      </c>
      <c r="L9" s="115">
        <f>SUMIFS(wallet_records!$D:$D,wallet_records!$B:$B,'EEFF 2024'!$C9,wallet_records!$L:$L,'EEFF 2024'!L$3,wallet_records!$O:$O,'EEFF 2024'!$B$1,wallet_records!$N:$N,'EEFF 2024'!L$2,wallet_records!$H:$H,'EEFF 2024'!$B9)</f>
        <v>0</v>
      </c>
      <c r="M9" s="115">
        <f>SUMIFS(wallet_records!$D:$D,wallet_records!$B:$B,'EEFF 2024'!$C9,wallet_records!$L:$L,'EEFF 2024'!M$3,wallet_records!$O:$O,'EEFF 2024'!$B$1,wallet_records!$N:$N,'EEFF 2024'!M$2,wallet_records!$H:$H,'EEFF 2024'!$B9)</f>
        <v>0</v>
      </c>
      <c r="N9" s="115">
        <f>SUMIFS(wallet_records!$D:$D,wallet_records!$B:$B,'EEFF 2024'!$C9,wallet_records!$L:$L,'EEFF 2024'!N$3,wallet_records!$O:$O,'EEFF 2024'!$B$1,wallet_records!$N:$N,'EEFF 2024'!N$2,wallet_records!$H:$H,'EEFF 2024'!$B9)</f>
        <v>0</v>
      </c>
      <c r="O9" s="115">
        <f>SUMIFS(wallet_records!$D:$D,wallet_records!$B:$B,'EEFF 2024'!$C9,wallet_records!$L:$L,'EEFF 2024'!O$3,wallet_records!$O:$O,'EEFF 2024'!$B$1,wallet_records!$N:$N,'EEFF 2024'!O$2,wallet_records!$H:$H,'EEFF 2024'!$B9)</f>
        <v>0</v>
      </c>
      <c r="P9" s="115">
        <f>SUMIFS(wallet_records!$D:$D,wallet_records!$B:$B,'EEFF 2024'!$C9,wallet_records!$L:$L,'EEFF 2024'!P$3,wallet_records!$O:$O,'EEFF 2024'!$B$1,wallet_records!$N:$N,'EEFF 2024'!P$2,wallet_records!$H:$H,'EEFF 2024'!$B9)</f>
        <v>0</v>
      </c>
      <c r="Q9" s="116">
        <f t="shared" ref="Q9:Q14" si="15">SUM(K9:P9)</f>
        <v>0</v>
      </c>
      <c r="R9" s="115">
        <f>SUMIFS(wallet_records!$D:$D,wallet_records!$B:$B,'EEFF 2024'!$C9,wallet_records!$L:$L,'EEFF 2024'!R$3,wallet_records!$O:$O,'EEFF 2024'!$B$1,wallet_records!$N:$N,'EEFF 2024'!R$2,wallet_records!$H:$H,'EEFF 2024'!$B9)</f>
        <v>0</v>
      </c>
      <c r="S9" s="115">
        <f>SUMIFS(wallet_records!$D:$D,wallet_records!$B:$B,'EEFF 2024'!$C9,wallet_records!$L:$L,'EEFF 2024'!S$3,wallet_records!$O:$O,'EEFF 2024'!$B$1,wallet_records!$N:$N,'EEFF 2024'!S$2,wallet_records!$H:$H,'EEFF 2024'!$B9)</f>
        <v>0</v>
      </c>
      <c r="T9" s="115">
        <f>SUMIFS(wallet_records!$D:$D,wallet_records!$B:$B,'EEFF 2024'!$C9,wallet_records!$L:$L,'EEFF 2024'!T$3,wallet_records!$O:$O,'EEFF 2024'!$B$1,wallet_records!$N:$N,'EEFF 2024'!T$2,wallet_records!$H:$H,'EEFF 2024'!$B9)</f>
        <v>0</v>
      </c>
      <c r="U9" s="115">
        <f>SUMIFS(wallet_records!$D:$D,wallet_records!$B:$B,'EEFF 2024'!$C9,wallet_records!$L:$L,'EEFF 2024'!U$3,wallet_records!$O:$O,'EEFF 2024'!$B$1,wallet_records!$N:$N,'EEFF 2024'!U$2,wallet_records!$H:$H,'EEFF 2024'!$B9)</f>
        <v>0</v>
      </c>
      <c r="V9" s="115">
        <f>SUMIFS(wallet_records!$D:$D,wallet_records!$B:$B,'EEFF 2024'!$C9,wallet_records!$L:$L,'EEFF 2024'!V$3,wallet_records!$O:$O,'EEFF 2024'!$B$1,wallet_records!$N:$N,'EEFF 2024'!V$2,wallet_records!$H:$H,'EEFF 2024'!$B9)</f>
        <v>0</v>
      </c>
      <c r="W9" s="115">
        <f>SUMIFS(wallet_records!$D:$D,wallet_records!$B:$B,'EEFF 2024'!$C9,wallet_records!$L:$L,'EEFF 2024'!W$3,wallet_records!$O:$O,'EEFF 2024'!$B$1,wallet_records!$N:$N,'EEFF 2024'!W$2,wallet_records!$H:$H,'EEFF 2024'!$B9)</f>
        <v>0</v>
      </c>
      <c r="X9" s="116">
        <f t="shared" ref="X9:X14" si="16">SUM(R9:W9)</f>
        <v>0</v>
      </c>
      <c r="Y9" s="115">
        <f>SUMIFS(wallet_records!$D:$D,wallet_records!$B:$B,'EEFF 2024'!$C9,wallet_records!$L:$L,'EEFF 2024'!Y$3,wallet_records!$O:$O,'EEFF 2024'!$B$1,wallet_records!$N:$N,'EEFF 2024'!Y$2,wallet_records!$H:$H,'EEFF 2024'!$B9)</f>
        <v>0</v>
      </c>
      <c r="Z9" s="115">
        <f>SUMIFS(wallet_records!$D:$D,wallet_records!$B:$B,'EEFF 2024'!$C9,wallet_records!$L:$L,'EEFF 2024'!Z$3,wallet_records!$O:$O,'EEFF 2024'!$B$1,wallet_records!$N:$N,'EEFF 2024'!Z$2,wallet_records!$H:$H,'EEFF 2024'!$B9)</f>
        <v>0</v>
      </c>
      <c r="AA9" s="115">
        <f>SUMIFS(wallet_records!$D:$D,wallet_records!$B:$B,'EEFF 2024'!$C9,wallet_records!$L:$L,'EEFF 2024'!AA$3,wallet_records!$O:$O,'EEFF 2024'!$B$1,wallet_records!$N:$N,'EEFF 2024'!AA$2,wallet_records!$H:$H,'EEFF 2024'!$B9)</f>
        <v>0</v>
      </c>
      <c r="AB9" s="115">
        <f>SUMIFS(wallet_records!$D:$D,wallet_records!$B:$B,'EEFF 2024'!$C9,wallet_records!$L:$L,'EEFF 2024'!AB$3,wallet_records!$O:$O,'EEFF 2024'!$B$1,wallet_records!$N:$N,'EEFF 2024'!AB$2,wallet_records!$H:$H,'EEFF 2024'!$B9)</f>
        <v>0</v>
      </c>
      <c r="AC9" s="115">
        <f>SUMIFS(wallet_records!$D:$D,wallet_records!$B:$B,'EEFF 2024'!$C9,wallet_records!$L:$L,'EEFF 2024'!AC$3,wallet_records!$O:$O,'EEFF 2024'!$B$1,wallet_records!$N:$N,'EEFF 2024'!AC$2,wallet_records!$H:$H,'EEFF 2024'!$B9)</f>
        <v>0</v>
      </c>
      <c r="AD9" s="115">
        <f>SUMIFS(wallet_records!$D:$D,wallet_records!$B:$B,'EEFF 2024'!$C9,wallet_records!$L:$L,'EEFF 2024'!AD$3,wallet_records!$O:$O,'EEFF 2024'!$B$1,wallet_records!$N:$N,'EEFF 2024'!AD$2,wallet_records!$H:$H,'EEFF 2024'!$B9)</f>
        <v>0</v>
      </c>
      <c r="AE9" s="116">
        <f t="shared" ref="AE9:AE14" si="17">SUM(Y9:AD9)</f>
        <v>0</v>
      </c>
      <c r="AF9" s="115">
        <f>SUMIFS(wallet_records!$D:$D,wallet_records!$B:$B,'EEFF 2024'!$C9,wallet_records!$L:$L,'EEFF 2024'!AF$3,wallet_records!$O:$O,'EEFF 2024'!$B$1,wallet_records!$N:$N,'EEFF 2024'!AF$2,wallet_records!$H:$H,'EEFF 2024'!$B9)</f>
        <v>0</v>
      </c>
      <c r="AG9" s="115">
        <f>SUMIFS(wallet_records!$D:$D,wallet_records!$B:$B,'EEFF 2024'!$C9,wallet_records!$L:$L,'EEFF 2024'!AG$3,wallet_records!$O:$O,'EEFF 2024'!$B$1,wallet_records!$N:$N,'EEFF 2024'!AG$2,wallet_records!$H:$H,'EEFF 2024'!$B9)</f>
        <v>0</v>
      </c>
      <c r="AH9" s="115">
        <f>SUMIFS(wallet_records!$D:$D,wallet_records!$B:$B,'EEFF 2024'!$C9,wallet_records!$L:$L,'EEFF 2024'!AH$3,wallet_records!$O:$O,'EEFF 2024'!$B$1,wallet_records!$N:$N,'EEFF 2024'!AH$2,wallet_records!$H:$H,'EEFF 2024'!$B9)</f>
        <v>0</v>
      </c>
      <c r="AI9" s="115">
        <f>SUMIFS(wallet_records!$D:$D,wallet_records!$B:$B,'EEFF 2024'!$C9,wallet_records!$L:$L,'EEFF 2024'!AI$3,wallet_records!$O:$O,'EEFF 2024'!$B$1,wallet_records!$N:$N,'EEFF 2024'!AI$2,wallet_records!$H:$H,'EEFF 2024'!$B9)</f>
        <v>0</v>
      </c>
      <c r="AJ9" s="115">
        <f>SUMIFS(wallet_records!$D:$D,wallet_records!$B:$B,'EEFF 2024'!$C9,wallet_records!$L:$L,'EEFF 2024'!AJ$3,wallet_records!$O:$O,'EEFF 2024'!$B$1,wallet_records!$N:$N,'EEFF 2024'!AJ$2,wallet_records!$H:$H,'EEFF 2024'!$B9)</f>
        <v>0</v>
      </c>
      <c r="AK9" s="115">
        <f>SUMIFS(wallet_records!$D:$D,wallet_records!$B:$B,'EEFF 2024'!$C9,wallet_records!$L:$L,'EEFF 2024'!AK$3,wallet_records!$O:$O,'EEFF 2024'!$B$1,wallet_records!$N:$N,'EEFF 2024'!AK$2,wallet_records!$H:$H,'EEFF 2024'!$B9)</f>
        <v>0</v>
      </c>
      <c r="AL9" s="116">
        <f t="shared" ref="AL9:AL14" si="18">SUM(AF9:AK9)</f>
        <v>0</v>
      </c>
      <c r="AM9" s="115">
        <f>SUMIFS(wallet_records!$D:$D,wallet_records!$B:$B,'EEFF 2024'!$C9,wallet_records!$L:$L,'EEFF 2024'!AM$3,wallet_records!$O:$O,'EEFF 2024'!$B$1,wallet_records!$N:$N,'EEFF 2024'!AM$2,wallet_records!$H:$H,'EEFF 2024'!$B9)</f>
        <v>0</v>
      </c>
      <c r="AN9" s="115">
        <f>SUMIFS(wallet_records!$D:$D,wallet_records!$B:$B,'EEFF 2024'!$C9,wallet_records!$L:$L,'EEFF 2024'!AN$3,wallet_records!$O:$O,'EEFF 2024'!$B$1,wallet_records!$N:$N,'EEFF 2024'!AN$2,wallet_records!$H:$H,'EEFF 2024'!$B9)</f>
        <v>0</v>
      </c>
      <c r="AO9" s="115">
        <f>SUMIFS(wallet_records!$D:$D,wallet_records!$B:$B,'EEFF 2024'!$C9,wallet_records!$L:$L,'EEFF 2024'!AO$3,wallet_records!$O:$O,'EEFF 2024'!$B$1,wallet_records!$N:$N,'EEFF 2024'!AO$2,wallet_records!$H:$H,'EEFF 2024'!$B9)</f>
        <v>0</v>
      </c>
      <c r="AP9" s="115">
        <f>SUMIFS(wallet_records!$D:$D,wallet_records!$B:$B,'EEFF 2024'!$C9,wallet_records!$L:$L,'EEFF 2024'!AP$3,wallet_records!$O:$O,'EEFF 2024'!$B$1,wallet_records!$N:$N,'EEFF 2024'!AP$2,wallet_records!$H:$H,'EEFF 2024'!$B9)</f>
        <v>0</v>
      </c>
      <c r="AQ9" s="115">
        <f>SUMIFS(wallet_records!$D:$D,wallet_records!$B:$B,'EEFF 2024'!$C9,wallet_records!$L:$L,'EEFF 2024'!AQ$3,wallet_records!$O:$O,'EEFF 2024'!$B$1,wallet_records!$N:$N,'EEFF 2024'!AQ$2,wallet_records!$H:$H,'EEFF 2024'!$B9)</f>
        <v>0</v>
      </c>
      <c r="AR9" s="115">
        <f>SUMIFS(wallet_records!$D:$D,wallet_records!$B:$B,'EEFF 2024'!$C9,wallet_records!$L:$L,'EEFF 2024'!AR$3,wallet_records!$O:$O,'EEFF 2024'!$B$1,wallet_records!$N:$N,'EEFF 2024'!AR$2,wallet_records!$H:$H,'EEFF 2024'!$B9)</f>
        <v>0</v>
      </c>
      <c r="AS9" s="116">
        <f t="shared" ref="AS9:AS14" si="19">SUM(AM9:AR9)</f>
        <v>0</v>
      </c>
      <c r="AT9" s="115">
        <f>SUMIFS(wallet_records!$D:$D,wallet_records!$B:$B,'EEFF 2024'!$C9,wallet_records!$L:$L,'EEFF 2024'!AT$3,wallet_records!$O:$O,'EEFF 2024'!$B$1,wallet_records!$N:$N,'EEFF 2024'!AT$2,wallet_records!$H:$H,'EEFF 2024'!$B9)</f>
        <v>0</v>
      </c>
      <c r="AU9" s="115">
        <f>SUMIFS(wallet_records!$D:$D,wallet_records!$B:$B,'EEFF 2024'!$C9,wallet_records!$L:$L,'EEFF 2024'!AU$3,wallet_records!$O:$O,'EEFF 2024'!$B$1,wallet_records!$N:$N,'EEFF 2024'!AU$2,wallet_records!$H:$H,'EEFF 2024'!$B9)</f>
        <v>0</v>
      </c>
      <c r="AV9" s="115">
        <f>SUMIFS(wallet_records!$D:$D,wallet_records!$B:$B,'EEFF 2024'!$C9,wallet_records!$L:$L,'EEFF 2024'!AV$3,wallet_records!$O:$O,'EEFF 2024'!$B$1,wallet_records!$N:$N,'EEFF 2024'!AV$2,wallet_records!$H:$H,'EEFF 2024'!$B9)</f>
        <v>0</v>
      </c>
      <c r="AW9" s="115">
        <f>SUMIFS(wallet_records!$D:$D,wallet_records!$B:$B,'EEFF 2024'!$C9,wallet_records!$L:$L,'EEFF 2024'!AW$3,wallet_records!$O:$O,'EEFF 2024'!$B$1,wallet_records!$N:$N,'EEFF 2024'!AW$2,wallet_records!$H:$H,'EEFF 2024'!$B9)</f>
        <v>0</v>
      </c>
      <c r="AX9" s="115">
        <f>SUMIFS(wallet_records!$D:$D,wallet_records!$B:$B,'EEFF 2024'!$C9,wallet_records!$L:$L,'EEFF 2024'!AX$3,wallet_records!$O:$O,'EEFF 2024'!$B$1,wallet_records!$N:$N,'EEFF 2024'!AX$2,wallet_records!$H:$H,'EEFF 2024'!$B9)</f>
        <v>0</v>
      </c>
      <c r="AY9" s="115">
        <f>SUMIFS(wallet_records!$D:$D,wallet_records!$B:$B,'EEFF 2024'!$C9,wallet_records!$L:$L,'EEFF 2024'!AY$3,wallet_records!$O:$O,'EEFF 2024'!$B$1,wallet_records!$N:$N,'EEFF 2024'!AY$2,wallet_records!$H:$H,'EEFF 2024'!$B9)</f>
        <v>0</v>
      </c>
      <c r="AZ9" s="116">
        <f t="shared" ref="AZ9:AZ14" si="20">SUM(AT9:AY9)</f>
        <v>0</v>
      </c>
      <c r="BA9" s="115">
        <f>SUMIFS(wallet_records!$D:$D,wallet_records!$B:$B,'EEFF 2024'!$C9,wallet_records!$L:$L,'EEFF 2024'!BA$3,wallet_records!$O:$O,'EEFF 2024'!$B$1,wallet_records!$N:$N,'EEFF 2024'!BA$2,wallet_records!$H:$H,'EEFF 2024'!$B9)</f>
        <v>0</v>
      </c>
      <c r="BB9" s="115">
        <f>SUMIFS(wallet_records!$D:$D,wallet_records!$B:$B,'EEFF 2024'!$C9,wallet_records!$L:$L,'EEFF 2024'!BB$3,wallet_records!$O:$O,'EEFF 2024'!$B$1,wallet_records!$N:$N,'EEFF 2024'!BB$2,wallet_records!$H:$H,'EEFF 2024'!$B9)</f>
        <v>0</v>
      </c>
      <c r="BC9" s="115">
        <f>SUMIFS(wallet_records!$D:$D,wallet_records!$B:$B,'EEFF 2024'!$C9,wallet_records!$L:$L,'EEFF 2024'!BC$3,wallet_records!$O:$O,'EEFF 2024'!$B$1,wallet_records!$N:$N,'EEFF 2024'!BC$2,wallet_records!$H:$H,'EEFF 2024'!$B9)</f>
        <v>0</v>
      </c>
      <c r="BD9" s="115">
        <f>SUMIFS(wallet_records!$D:$D,wallet_records!$B:$B,'EEFF 2024'!$C9,wallet_records!$L:$L,'EEFF 2024'!BD$3,wallet_records!$O:$O,'EEFF 2024'!$B$1,wallet_records!$N:$N,'EEFF 2024'!BD$2,wallet_records!$H:$H,'EEFF 2024'!$B9)</f>
        <v>0</v>
      </c>
      <c r="BE9" s="115">
        <f>SUMIFS(wallet_records!$D:$D,wallet_records!$B:$B,'EEFF 2024'!$C9,wallet_records!$L:$L,'EEFF 2024'!BE$3,wallet_records!$O:$O,'EEFF 2024'!$B$1,wallet_records!$N:$N,'EEFF 2024'!BE$2,wallet_records!$H:$H,'EEFF 2024'!$B9)</f>
        <v>0</v>
      </c>
      <c r="BF9" s="115">
        <f>SUMIFS(wallet_records!$D:$D,wallet_records!$B:$B,'EEFF 2024'!$C9,wallet_records!$L:$L,'EEFF 2024'!BF$3,wallet_records!$O:$O,'EEFF 2024'!$B$1,wallet_records!$N:$N,'EEFF 2024'!BF$2,wallet_records!$H:$H,'EEFF 2024'!$B9)</f>
        <v>0</v>
      </c>
      <c r="BG9" s="116">
        <f t="shared" ref="BG9:BG14" si="21">SUM(BA9:BF9)</f>
        <v>0</v>
      </c>
      <c r="BH9" s="115">
        <f>SUMIFS(wallet_records!$D:$D,wallet_records!$B:$B,'EEFF 2024'!$C9,wallet_records!$L:$L,'EEFF 2024'!BH$3,wallet_records!$O:$O,'EEFF 2024'!$B$1,wallet_records!$N:$N,'EEFF 2024'!BH$2,wallet_records!$H:$H,'EEFF 2024'!$B9)</f>
        <v>0</v>
      </c>
      <c r="BI9" s="115">
        <f>SUMIFS(wallet_records!$D:$D,wallet_records!$B:$B,'EEFF 2024'!$C9,wallet_records!$L:$L,'EEFF 2024'!BI$3,wallet_records!$O:$O,'EEFF 2024'!$B$1,wallet_records!$N:$N,'EEFF 2024'!BI$2,wallet_records!$H:$H,'EEFF 2024'!$B9)</f>
        <v>0</v>
      </c>
      <c r="BJ9" s="115">
        <f>SUMIFS(wallet_records!$D:$D,wallet_records!$B:$B,'EEFF 2024'!$C9,wallet_records!$L:$L,'EEFF 2024'!BJ$3,wallet_records!$O:$O,'EEFF 2024'!$B$1,wallet_records!$N:$N,'EEFF 2024'!BJ$2,wallet_records!$H:$H,'EEFF 2024'!$B9)</f>
        <v>0</v>
      </c>
      <c r="BK9" s="115">
        <f>SUMIFS(wallet_records!$D:$D,wallet_records!$B:$B,'EEFF 2024'!$C9,wallet_records!$L:$L,'EEFF 2024'!BK$3,wallet_records!$O:$O,'EEFF 2024'!$B$1,wallet_records!$N:$N,'EEFF 2024'!BK$2,wallet_records!$H:$H,'EEFF 2024'!$B9)</f>
        <v>0</v>
      </c>
      <c r="BL9" s="115">
        <f>SUMIFS(wallet_records!$D:$D,wallet_records!$B:$B,'EEFF 2024'!$C9,wallet_records!$L:$L,'EEFF 2024'!BL$3,wallet_records!$O:$O,'EEFF 2024'!$B$1,wallet_records!$N:$N,'EEFF 2024'!BL$2,wallet_records!$H:$H,'EEFF 2024'!$B9)</f>
        <v>0</v>
      </c>
      <c r="BM9" s="115">
        <f>SUMIFS(wallet_records!$D:$D,wallet_records!$B:$B,'EEFF 2024'!$C9,wallet_records!$L:$L,'EEFF 2024'!BM$3,wallet_records!$O:$O,'EEFF 2024'!$B$1,wallet_records!$N:$N,'EEFF 2024'!BM$2,wallet_records!$H:$H,'EEFF 2024'!$B9)</f>
        <v>0</v>
      </c>
      <c r="BN9" s="116">
        <f t="shared" ref="BN9:BN14" si="22">SUM(BH9:BM9)</f>
        <v>0</v>
      </c>
      <c r="BO9" s="115">
        <f>SUMIFS(wallet_records!$D:$D,wallet_records!$B:$B,'EEFF 2024'!$C9,wallet_records!$L:$L,'EEFF 2024'!BO$3,wallet_records!$O:$O,'EEFF 2024'!$B$1,wallet_records!$N:$N,'EEFF 2024'!BO$2,wallet_records!$H:$H,'EEFF 2024'!$B9)</f>
        <v>0</v>
      </c>
      <c r="BP9" s="115">
        <f>SUMIFS(wallet_records!$D:$D,wallet_records!$B:$B,'EEFF 2024'!$C9,wallet_records!$L:$L,'EEFF 2024'!BP$3,wallet_records!$O:$O,'EEFF 2024'!$B$1,wallet_records!$N:$N,'EEFF 2024'!BP$2,wallet_records!$H:$H,'EEFF 2024'!$B9)</f>
        <v>0</v>
      </c>
      <c r="BQ9" s="115">
        <f>SUMIFS(wallet_records!$D:$D,wallet_records!$B:$B,'EEFF 2024'!$C9,wallet_records!$L:$L,'EEFF 2024'!BQ$3,wallet_records!$O:$O,'EEFF 2024'!$B$1,wallet_records!$N:$N,'EEFF 2024'!BQ$2,wallet_records!$H:$H,'EEFF 2024'!$B9)</f>
        <v>0</v>
      </c>
      <c r="BR9" s="115">
        <f>SUMIFS(wallet_records!$D:$D,wallet_records!$B:$B,'EEFF 2024'!$C9,wallet_records!$L:$L,'EEFF 2024'!BR$3,wallet_records!$O:$O,'EEFF 2024'!$B$1,wallet_records!$N:$N,'EEFF 2024'!BR$2,wallet_records!$H:$H,'EEFF 2024'!$B9)</f>
        <v>0</v>
      </c>
      <c r="BS9" s="115">
        <f>SUMIFS(wallet_records!$D:$D,wallet_records!$B:$B,'EEFF 2024'!$C9,wallet_records!$L:$L,'EEFF 2024'!BS$3,wallet_records!$O:$O,'EEFF 2024'!$B$1,wallet_records!$N:$N,'EEFF 2024'!BS$2,wallet_records!$H:$H,'EEFF 2024'!$B9)</f>
        <v>0</v>
      </c>
      <c r="BT9" s="115">
        <f>SUMIFS(wallet_records!$D:$D,wallet_records!$B:$B,'EEFF 2024'!$C9,wallet_records!$L:$L,'EEFF 2024'!BT$3,wallet_records!$O:$O,'EEFF 2024'!$B$1,wallet_records!$N:$N,'EEFF 2024'!BT$2,wallet_records!$H:$H,'EEFF 2024'!$B9)</f>
        <v>0</v>
      </c>
      <c r="BU9" s="116">
        <f t="shared" ref="BU9:BU14" si="23">SUM(BO9:BT9)</f>
        <v>0</v>
      </c>
      <c r="BV9" s="115">
        <f>SUMIFS(wallet_records!$D:$D,wallet_records!$B:$B,'EEFF 2024'!$C9,wallet_records!$L:$L,'EEFF 2024'!BV$3,wallet_records!$O:$O,'EEFF 2024'!$B$1,wallet_records!$N:$N,'EEFF 2024'!BV$2,wallet_records!$H:$H,'EEFF 2024'!$B9)</f>
        <v>0</v>
      </c>
      <c r="BW9" s="115">
        <f>SUMIFS(wallet_records!$D:$D,wallet_records!$B:$B,'EEFF 2024'!$C9,wallet_records!$L:$L,'EEFF 2024'!BW$3,wallet_records!$O:$O,'EEFF 2024'!$B$1,wallet_records!$N:$N,'EEFF 2024'!BW$2,wallet_records!$H:$H,'EEFF 2024'!$B9)</f>
        <v>0</v>
      </c>
      <c r="BX9" s="115">
        <f>SUMIFS(wallet_records!$D:$D,wallet_records!$B:$B,'EEFF 2024'!$C9,wallet_records!$L:$L,'EEFF 2024'!BX$3,wallet_records!$O:$O,'EEFF 2024'!$B$1,wallet_records!$N:$N,'EEFF 2024'!BX$2,wallet_records!$H:$H,'EEFF 2024'!$B9)</f>
        <v>0</v>
      </c>
      <c r="BY9" s="115">
        <f>SUMIFS(wallet_records!$D:$D,wallet_records!$B:$B,'EEFF 2024'!$C9,wallet_records!$L:$L,'EEFF 2024'!BY$3,wallet_records!$O:$O,'EEFF 2024'!$B$1,wallet_records!$N:$N,'EEFF 2024'!BY$2,wallet_records!$H:$H,'EEFF 2024'!$B9)</f>
        <v>0</v>
      </c>
      <c r="BZ9" s="115">
        <f>SUMIFS(wallet_records!$D:$D,wallet_records!$B:$B,'EEFF 2024'!$C9,wallet_records!$L:$L,'EEFF 2024'!BZ$3,wallet_records!$O:$O,'EEFF 2024'!$B$1,wallet_records!$N:$N,'EEFF 2024'!BZ$2,wallet_records!$H:$H,'EEFF 2024'!$B9)</f>
        <v>0</v>
      </c>
      <c r="CA9" s="115">
        <f>SUMIFS(wallet_records!$D:$D,wallet_records!$B:$B,'EEFF 2024'!$C9,wallet_records!$L:$L,'EEFF 2024'!CA$3,wallet_records!$O:$O,'EEFF 2024'!$B$1,wallet_records!$N:$N,'EEFF 2024'!CA$2,wallet_records!$H:$H,'EEFF 2024'!$B9)</f>
        <v>0</v>
      </c>
      <c r="CB9" s="116">
        <f t="shared" ref="CB9:CB14" si="24">SUM(BV9:CA9)</f>
        <v>0</v>
      </c>
      <c r="CC9" s="115">
        <f>SUMIFS(wallet_records!$D:$D,wallet_records!$B:$B,'EEFF 2024'!$C9,wallet_records!$L:$L,'EEFF 2024'!CC$3,wallet_records!$O:$O,'EEFF 2024'!$B$1,wallet_records!$N:$N,'EEFF 2024'!CC$2,wallet_records!$H:$H,'EEFF 2024'!$B9)</f>
        <v>0</v>
      </c>
      <c r="CD9" s="115">
        <f>SUMIFS(wallet_records!$D:$D,wallet_records!$B:$B,'EEFF 2024'!$C9,wallet_records!$L:$L,'EEFF 2024'!CD$3,wallet_records!$O:$O,'EEFF 2024'!$B$1,wallet_records!$N:$N,'EEFF 2024'!CD$2,wallet_records!$H:$H,'EEFF 2024'!$B9)</f>
        <v>0</v>
      </c>
      <c r="CE9" s="115">
        <f>SUMIFS(wallet_records!$D:$D,wallet_records!$B:$B,'EEFF 2024'!$C9,wallet_records!$L:$L,'EEFF 2024'!CE$3,wallet_records!$O:$O,'EEFF 2024'!$B$1,wallet_records!$N:$N,'EEFF 2024'!CE$2,wallet_records!$H:$H,'EEFF 2024'!$B9)</f>
        <v>0</v>
      </c>
      <c r="CF9" s="115">
        <f>SUMIFS(wallet_records!$D:$D,wallet_records!$B:$B,'EEFF 2024'!$C9,wallet_records!$L:$L,'EEFF 2024'!CF$3,wallet_records!$O:$O,'EEFF 2024'!$B$1,wallet_records!$N:$N,'EEFF 2024'!CF$2,wallet_records!$H:$H,'EEFF 2024'!$B9)</f>
        <v>0</v>
      </c>
      <c r="CG9" s="115">
        <f>SUMIFS(wallet_records!$D:$D,wallet_records!$B:$B,'EEFF 2024'!$C9,wallet_records!$L:$L,'EEFF 2024'!CG$3,wallet_records!$O:$O,'EEFF 2024'!$B$1,wallet_records!$N:$N,'EEFF 2024'!CG$2,wallet_records!$H:$H,'EEFF 2024'!$B9)</f>
        <v>0</v>
      </c>
      <c r="CH9" s="115">
        <f>SUMIFS(wallet_records!$D:$D,wallet_records!$B:$B,'EEFF 2024'!$C9,wallet_records!$L:$L,'EEFF 2024'!CH$3,wallet_records!$O:$O,'EEFF 2024'!$B$1,wallet_records!$N:$N,'EEFF 2024'!CH$2,wallet_records!$H:$H,'EEFF 2024'!$B9)</f>
        <v>0</v>
      </c>
      <c r="CI9" s="116">
        <f t="shared" ref="CI9:CI14" si="25">SUM(CC9:CH9)</f>
        <v>0</v>
      </c>
      <c r="CJ9" s="115">
        <f>SUMIFS(wallet_records!$D:$D,wallet_records!$B:$B,'EEFF 2024'!$C9,wallet_records!$L:$L,'EEFF 2024'!CJ$3,wallet_records!$O:$O,'EEFF 2024'!$B$1,wallet_records!$H:$H,'EEFF 2024'!$B9)</f>
        <v>0</v>
      </c>
      <c r="CK9" s="115">
        <f>SUMIFS(wallet_records!$D:$D,wallet_records!$B:$B,'EEFF 2024'!$C9,wallet_records!$L:$L,'EEFF 2024'!CK$3,wallet_records!$O:$O,'EEFF 2024'!$B$1,wallet_records!$H:$H,'EEFF 2024'!$B9)</f>
        <v>0</v>
      </c>
      <c r="CL9" s="115">
        <f>SUMIFS(wallet_records!$D:$D,wallet_records!$B:$B,'EEFF 2024'!$C9,wallet_records!$L:$L,'EEFF 2024'!CL$3,wallet_records!$O:$O,'EEFF 2024'!$B$1,wallet_records!$H:$H,'EEFF 2024'!$B9)</f>
        <v>0</v>
      </c>
      <c r="CM9" s="115">
        <f>SUMIFS(wallet_records!$D:$D,wallet_records!$B:$B,'EEFF 2024'!$C9,wallet_records!$L:$L,'EEFF 2024'!CM$3,wallet_records!$O:$O,'EEFF 2024'!$B$1,wallet_records!$H:$H,'EEFF 2024'!$B9)</f>
        <v>0</v>
      </c>
      <c r="CN9" s="115">
        <f>SUMIFS(wallet_records!$D:$D,wallet_records!$B:$B,'EEFF 2024'!$C9,wallet_records!$L:$L,'EEFF 2024'!CN$3,wallet_records!$O:$O,'EEFF 2024'!$B$1,wallet_records!$H:$H,'EEFF 2024'!$B9)</f>
        <v>0</v>
      </c>
      <c r="CO9" s="115">
        <f>SUMIFS(wallet_records!$D:$D,wallet_records!$B:$B,'EEFF 2024'!$C9,wallet_records!$L:$L,'EEFF 2024'!CO$3,wallet_records!$O:$O,'EEFF 2024'!$B$1,wallet_records!$H:$H,'EEFF 2024'!$B9)</f>
        <v>0</v>
      </c>
      <c r="CP9" s="116">
        <f t="shared" ref="CP9:CP14" si="26">SUM(CJ9:CO9)</f>
        <v>0</v>
      </c>
      <c r="CQ9" s="107"/>
      <c r="CR9" s="118">
        <f t="shared" si="0"/>
        <v>0</v>
      </c>
      <c r="CS9" s="118">
        <f t="shared" si="1"/>
        <v>0</v>
      </c>
      <c r="CT9" s="118">
        <f t="shared" si="2"/>
        <v>0</v>
      </c>
      <c r="CU9" s="118">
        <f t="shared" si="3"/>
        <v>0</v>
      </c>
      <c r="CV9" s="118">
        <f t="shared" si="4"/>
        <v>0</v>
      </c>
      <c r="CW9" s="118">
        <f t="shared" si="5"/>
        <v>0</v>
      </c>
      <c r="CX9" s="118">
        <f t="shared" si="6"/>
        <v>0</v>
      </c>
      <c r="CY9" s="118">
        <f t="shared" si="7"/>
        <v>0</v>
      </c>
      <c r="CZ9" s="118">
        <f t="shared" si="8"/>
        <v>0</v>
      </c>
      <c r="DA9" s="118">
        <f t="shared" si="9"/>
        <v>0</v>
      </c>
      <c r="DB9" s="118">
        <f t="shared" si="10"/>
        <v>0</v>
      </c>
      <c r="DC9" s="118">
        <f t="shared" si="11"/>
        <v>0</v>
      </c>
    </row>
    <row r="10" spans="2:120" x14ac:dyDescent="0.2">
      <c r="B10" s="107" t="s">
        <v>118</v>
      </c>
      <c r="C10" s="191" t="s">
        <v>114</v>
      </c>
      <c r="D10" s="115">
        <f>SUMIFS(wallet_records!$D:$D,wallet_records!$B:$B,'EEFF 2024'!$C10,wallet_records!$L:$L,'EEFF 2024'!D$3,wallet_records!$O:$O,'EEFF 2024'!$B$1,wallet_records!$N:$N,'EEFF 2024'!D$2,wallet_records!$H:$H,'EEFF 2024'!$B10)</f>
        <v>50000</v>
      </c>
      <c r="E10" s="115">
        <f>SUMIFS(wallet_records!$D:$D,wallet_records!$B:$B,'EEFF 2024'!$C10,wallet_records!$L:$L,'EEFF 2024'!E$3,wallet_records!$O:$O,'EEFF 2024'!$B$1,wallet_records!$N:$N,'EEFF 2024'!E$2,wallet_records!$H:$H,'EEFF 2024'!$B10)</f>
        <v>4150000</v>
      </c>
      <c r="F10" s="115">
        <f>SUMIFS(wallet_records!$D:$D,wallet_records!$B:$B,'EEFF 2024'!$C10,wallet_records!$L:$L,'EEFF 2024'!F$3,wallet_records!$O:$O,'EEFF 2024'!$B$1,wallet_records!$N:$N,'EEFF 2024'!F$2,wallet_records!$H:$H,'EEFF 2024'!$B10)</f>
        <v>250000</v>
      </c>
      <c r="G10" s="115">
        <f>SUMIFS(wallet_records!$D:$D,wallet_records!$B:$B,'EEFF 2024'!$C10,wallet_records!$L:$L,'EEFF 2024'!G$3,wallet_records!$O:$O,'EEFF 2024'!$B$1,wallet_records!$N:$N,'EEFF 2024'!G$2,wallet_records!$H:$H,'EEFF 2024'!$B10)</f>
        <v>726800</v>
      </c>
      <c r="H10" s="115">
        <f>SUMIFS(wallet_records!$D:$D,wallet_records!$B:$B,'EEFF 2024'!$C10,wallet_records!$L:$L,'EEFF 2024'!H$3,wallet_records!$O:$O,'EEFF 2024'!$B$1,wallet_records!$N:$N,'EEFF 2024'!H$2,wallet_records!$H:$H,'EEFF 2024'!$B10)</f>
        <v>0</v>
      </c>
      <c r="I10" s="115">
        <f>SUMIFS(wallet_records!$D:$D,wallet_records!$B:$B,'EEFF 2024'!$C10,wallet_records!$L:$L,'EEFF 2024'!I$3,wallet_records!$O:$O,'EEFF 2024'!$B$1,wallet_records!$N:$N,'EEFF 2024'!I$2,wallet_records!$H:$H,'EEFF 2024'!$B10)</f>
        <v>0</v>
      </c>
      <c r="J10" s="116">
        <f t="shared" si="14"/>
        <v>5176800</v>
      </c>
      <c r="K10" s="115">
        <f>SUMIFS(wallet_records!$D:$D,wallet_records!$B:$B,'EEFF 2024'!$C10,wallet_records!$L:$L,'EEFF 2024'!K$3,wallet_records!$O:$O,'EEFF 2024'!$B$1,wallet_records!$N:$N,'EEFF 2024'!K$2,wallet_records!$H:$H,'EEFF 2024'!$B10)</f>
        <v>0</v>
      </c>
      <c r="L10" s="115">
        <f>SUMIFS(wallet_records!$D:$D,wallet_records!$B:$B,'EEFF 2024'!$C10,wallet_records!$L:$L,'EEFF 2024'!L$3,wallet_records!$O:$O,'EEFF 2024'!$B$1,wallet_records!$N:$N,'EEFF 2024'!L$2,wallet_records!$H:$H,'EEFF 2024'!$B10)</f>
        <v>20741668</v>
      </c>
      <c r="M10" s="115">
        <f>SUMIFS(wallet_records!$D:$D,wallet_records!$B:$B,'EEFF 2024'!$C10,wallet_records!$L:$L,'EEFF 2024'!M$3,wallet_records!$O:$O,'EEFF 2024'!$B$1,wallet_records!$N:$N,'EEFF 2024'!M$2,wallet_records!$H:$H,'EEFF 2024'!$B10)</f>
        <v>0</v>
      </c>
      <c r="N10" s="115">
        <f>SUMIFS(wallet_records!$D:$D,wallet_records!$B:$B,'EEFF 2024'!$C10,wallet_records!$L:$L,'EEFF 2024'!N$3,wallet_records!$O:$O,'EEFF 2024'!$B$1,wallet_records!$N:$N,'EEFF 2024'!N$2,wallet_records!$H:$H,'EEFF 2024'!$B10)</f>
        <v>0</v>
      </c>
      <c r="O10" s="115">
        <f>SUMIFS(wallet_records!$D:$D,wallet_records!$B:$B,'EEFF 2024'!$C10,wallet_records!$L:$L,'EEFF 2024'!O$3,wallet_records!$O:$O,'EEFF 2024'!$B$1,wallet_records!$N:$N,'EEFF 2024'!O$2,wallet_records!$H:$H,'EEFF 2024'!$B10)</f>
        <v>0</v>
      </c>
      <c r="P10" s="115">
        <f>SUMIFS(wallet_records!$D:$D,wallet_records!$B:$B,'EEFF 2024'!$C10,wallet_records!$L:$L,'EEFF 2024'!P$3,wallet_records!$O:$O,'EEFF 2024'!$B$1,wallet_records!$N:$N,'EEFF 2024'!P$2,wallet_records!$H:$H,'EEFF 2024'!$B10)</f>
        <v>560903</v>
      </c>
      <c r="Q10" s="116">
        <f t="shared" si="15"/>
        <v>21302571</v>
      </c>
      <c r="R10" s="115">
        <f>SUMIFS(wallet_records!$D:$D,wallet_records!$B:$B,'EEFF 2024'!$C10,wallet_records!$L:$L,'EEFF 2024'!R$3,wallet_records!$O:$O,'EEFF 2024'!$B$1,wallet_records!$N:$N,'EEFF 2024'!R$2,wallet_records!$H:$H,'EEFF 2024'!$B10)</f>
        <v>0</v>
      </c>
      <c r="S10" s="115">
        <f>SUMIFS(wallet_records!$D:$D,wallet_records!$B:$B,'EEFF 2024'!$C10,wallet_records!$L:$L,'EEFF 2024'!S$3,wallet_records!$O:$O,'EEFF 2024'!$B$1,wallet_records!$N:$N,'EEFF 2024'!S$2,wallet_records!$H:$H,'EEFF 2024'!$B10)</f>
        <v>14708492</v>
      </c>
      <c r="T10" s="115">
        <f>SUMIFS(wallet_records!$D:$D,wallet_records!$B:$B,'EEFF 2024'!$C10,wallet_records!$L:$L,'EEFF 2024'!T$3,wallet_records!$O:$O,'EEFF 2024'!$B$1,wallet_records!$N:$N,'EEFF 2024'!T$2,wallet_records!$H:$H,'EEFF 2024'!$B10)</f>
        <v>0</v>
      </c>
      <c r="U10" s="115">
        <f>SUMIFS(wallet_records!$D:$D,wallet_records!$B:$B,'EEFF 2024'!$C10,wallet_records!$L:$L,'EEFF 2024'!U$3,wallet_records!$O:$O,'EEFF 2024'!$B$1,wallet_records!$N:$N,'EEFF 2024'!U$2,wallet_records!$H:$H,'EEFF 2024'!$B10)</f>
        <v>0</v>
      </c>
      <c r="V10" s="115">
        <f>SUMIFS(wallet_records!$D:$D,wallet_records!$B:$B,'EEFF 2024'!$C10,wallet_records!$L:$L,'EEFF 2024'!V$3,wallet_records!$O:$O,'EEFF 2024'!$B$1,wallet_records!$N:$N,'EEFF 2024'!V$2,wallet_records!$H:$H,'EEFF 2024'!$B10)</f>
        <v>0</v>
      </c>
      <c r="W10" s="115">
        <f>SUMIFS(wallet_records!$D:$D,wallet_records!$B:$B,'EEFF 2024'!$C10,wallet_records!$L:$L,'EEFF 2024'!W$3,wallet_records!$O:$O,'EEFF 2024'!$B$1,wallet_records!$N:$N,'EEFF 2024'!W$2,wallet_records!$H:$H,'EEFF 2024'!$B10)</f>
        <v>0</v>
      </c>
      <c r="X10" s="116">
        <f t="shared" si="16"/>
        <v>14708492</v>
      </c>
      <c r="Y10" s="115">
        <f>SUMIFS(wallet_records!$D:$D,wallet_records!$B:$B,'EEFF 2024'!$C10,wallet_records!$L:$L,'EEFF 2024'!Y$3,wallet_records!$O:$O,'EEFF 2024'!$B$1,wallet_records!$N:$N,'EEFF 2024'!Y$2,wallet_records!$H:$H,'EEFF 2024'!$B10)</f>
        <v>0</v>
      </c>
      <c r="Z10" s="115">
        <f>SUMIFS(wallet_records!$D:$D,wallet_records!$B:$B,'EEFF 2024'!$C10,wallet_records!$L:$L,'EEFF 2024'!Z$3,wallet_records!$O:$O,'EEFF 2024'!$B$1,wallet_records!$N:$N,'EEFF 2024'!Z$2,wallet_records!$H:$H,'EEFF 2024'!$B10)</f>
        <v>3917681</v>
      </c>
      <c r="AA10" s="115">
        <f>SUMIFS(wallet_records!$D:$D,wallet_records!$B:$B,'EEFF 2024'!$C10,wallet_records!$L:$L,'EEFF 2024'!AA$3,wallet_records!$O:$O,'EEFF 2024'!$B$1,wallet_records!$N:$N,'EEFF 2024'!AA$2,wallet_records!$H:$H,'EEFF 2024'!$B10)</f>
        <v>0</v>
      </c>
      <c r="AB10" s="115">
        <f>SUMIFS(wallet_records!$D:$D,wallet_records!$B:$B,'EEFF 2024'!$C10,wallet_records!$L:$L,'EEFF 2024'!AB$3,wallet_records!$O:$O,'EEFF 2024'!$B$1,wallet_records!$N:$N,'EEFF 2024'!AB$2,wallet_records!$H:$H,'EEFF 2024'!$B10)</f>
        <v>0</v>
      </c>
      <c r="AC10" s="115">
        <f>SUMIFS(wallet_records!$D:$D,wallet_records!$B:$B,'EEFF 2024'!$C10,wallet_records!$L:$L,'EEFF 2024'!AC$3,wallet_records!$O:$O,'EEFF 2024'!$B$1,wallet_records!$N:$N,'EEFF 2024'!AC$2,wallet_records!$H:$H,'EEFF 2024'!$B10)</f>
        <v>0</v>
      </c>
      <c r="AD10" s="115">
        <f>SUMIFS(wallet_records!$D:$D,wallet_records!$B:$B,'EEFF 2024'!$C10,wallet_records!$L:$L,'EEFF 2024'!AD$3,wallet_records!$O:$O,'EEFF 2024'!$B$1,wallet_records!$N:$N,'EEFF 2024'!AD$2,wallet_records!$H:$H,'EEFF 2024'!$B10)</f>
        <v>466614</v>
      </c>
      <c r="AE10" s="116">
        <f t="shared" si="17"/>
        <v>4384295</v>
      </c>
      <c r="AF10" s="115">
        <f>SUMIFS(wallet_records!$D:$D,wallet_records!$B:$B,'EEFF 2024'!$C10,wallet_records!$L:$L,'EEFF 2024'!AF$3,wallet_records!$O:$O,'EEFF 2024'!$B$1,wallet_records!$N:$N,'EEFF 2024'!AF$2,wallet_records!$H:$H,'EEFF 2024'!$B10)</f>
        <v>0</v>
      </c>
      <c r="AG10" s="115">
        <f>SUMIFS(wallet_records!$D:$D,wallet_records!$B:$B,'EEFF 2024'!$C10,wallet_records!$L:$L,'EEFF 2024'!AG$3,wallet_records!$O:$O,'EEFF 2024'!$B$1,wallet_records!$N:$N,'EEFF 2024'!AG$2,wallet_records!$H:$H,'EEFF 2024'!$B10)</f>
        <v>5890000</v>
      </c>
      <c r="AH10" s="115">
        <f>SUMIFS(wallet_records!$D:$D,wallet_records!$B:$B,'EEFF 2024'!$C10,wallet_records!$L:$L,'EEFF 2024'!AH$3,wallet_records!$O:$O,'EEFF 2024'!$B$1,wallet_records!$N:$N,'EEFF 2024'!AH$2,wallet_records!$H:$H,'EEFF 2024'!$B10)</f>
        <v>0</v>
      </c>
      <c r="AI10" s="115">
        <f>SUMIFS(wallet_records!$D:$D,wallet_records!$B:$B,'EEFF 2024'!$C10,wallet_records!$L:$L,'EEFF 2024'!AI$3,wallet_records!$O:$O,'EEFF 2024'!$B$1,wallet_records!$N:$N,'EEFF 2024'!AI$2,wallet_records!$H:$H,'EEFF 2024'!$B10)</f>
        <v>0</v>
      </c>
      <c r="AJ10" s="115">
        <f>SUMIFS(wallet_records!$D:$D,wallet_records!$B:$B,'EEFF 2024'!$C10,wallet_records!$L:$L,'EEFF 2024'!AJ$3,wallet_records!$O:$O,'EEFF 2024'!$B$1,wallet_records!$N:$N,'EEFF 2024'!AJ$2,wallet_records!$H:$H,'EEFF 2024'!$B10)</f>
        <v>0</v>
      </c>
      <c r="AK10" s="115">
        <f>SUMIFS(wallet_records!$D:$D,wallet_records!$B:$B,'EEFF 2024'!$C10,wallet_records!$L:$L,'EEFF 2024'!AK$3,wallet_records!$O:$O,'EEFF 2024'!$B$1,wallet_records!$N:$N,'EEFF 2024'!AK$2,wallet_records!$H:$H,'EEFF 2024'!$B10)</f>
        <v>141760</v>
      </c>
      <c r="AL10" s="116">
        <f t="shared" si="18"/>
        <v>6031760</v>
      </c>
      <c r="AM10" s="115">
        <f>SUMIFS(wallet_records!$D:$D,wallet_records!$B:$B,'EEFF 2024'!$C10,wallet_records!$L:$L,'EEFF 2024'!AM$3,wallet_records!$O:$O,'EEFF 2024'!$B$1,wallet_records!$N:$N,'EEFF 2024'!AM$2,wallet_records!$H:$H,'EEFF 2024'!$B10)</f>
        <v>0</v>
      </c>
      <c r="AN10" s="115">
        <f>SUMIFS(wallet_records!$D:$D,wallet_records!$B:$B,'EEFF 2024'!$C10,wallet_records!$L:$L,'EEFF 2024'!AN$3,wallet_records!$O:$O,'EEFF 2024'!$B$1,wallet_records!$N:$N,'EEFF 2024'!AN$2,wallet_records!$H:$H,'EEFF 2024'!$B10)</f>
        <v>0</v>
      </c>
      <c r="AO10" s="115">
        <f>SUMIFS(wallet_records!$D:$D,wallet_records!$B:$B,'EEFF 2024'!$C10,wallet_records!$L:$L,'EEFF 2024'!AO$3,wallet_records!$O:$O,'EEFF 2024'!$B$1,wallet_records!$N:$N,'EEFF 2024'!AO$2,wallet_records!$H:$H,'EEFF 2024'!$B10)</f>
        <v>0</v>
      </c>
      <c r="AP10" s="115">
        <f>SUMIFS(wallet_records!$D:$D,wallet_records!$B:$B,'EEFF 2024'!$C10,wallet_records!$L:$L,'EEFF 2024'!AP$3,wallet_records!$O:$O,'EEFF 2024'!$B$1,wallet_records!$N:$N,'EEFF 2024'!AP$2,wallet_records!$H:$H,'EEFF 2024'!$B10)</f>
        <v>0</v>
      </c>
      <c r="AQ10" s="115">
        <f>SUMIFS(wallet_records!$D:$D,wallet_records!$B:$B,'EEFF 2024'!$C10,wallet_records!$L:$L,'EEFF 2024'!AQ$3,wallet_records!$O:$O,'EEFF 2024'!$B$1,wallet_records!$N:$N,'EEFF 2024'!AQ$2,wallet_records!$H:$H,'EEFF 2024'!$B10)</f>
        <v>0</v>
      </c>
      <c r="AR10" s="115">
        <f>SUMIFS(wallet_records!$D:$D,wallet_records!$B:$B,'EEFF 2024'!$C10,wallet_records!$L:$L,'EEFF 2024'!AR$3,wallet_records!$O:$O,'EEFF 2024'!$B$1,wallet_records!$N:$N,'EEFF 2024'!AR$2,wallet_records!$H:$H,'EEFF 2024'!$B10)</f>
        <v>0</v>
      </c>
      <c r="AS10" s="116">
        <f t="shared" si="19"/>
        <v>0</v>
      </c>
      <c r="AT10" s="115">
        <f>SUMIFS(wallet_records!$D:$D,wallet_records!$B:$B,'EEFF 2024'!$C10,wallet_records!$L:$L,'EEFF 2024'!AT$3,wallet_records!$O:$O,'EEFF 2024'!$B$1,wallet_records!$N:$N,'EEFF 2024'!AT$2,wallet_records!$H:$H,'EEFF 2024'!$B10)</f>
        <v>0</v>
      </c>
      <c r="AU10" s="115">
        <f>SUMIFS(wallet_records!$D:$D,wallet_records!$B:$B,'EEFF 2024'!$C10,wallet_records!$L:$L,'EEFF 2024'!AU$3,wallet_records!$O:$O,'EEFF 2024'!$B$1,wallet_records!$N:$N,'EEFF 2024'!AU$2,wallet_records!$H:$H,'EEFF 2024'!$B10)</f>
        <v>620000</v>
      </c>
      <c r="AV10" s="115">
        <f>SUMIFS(wallet_records!$D:$D,wallet_records!$B:$B,'EEFF 2024'!$C10,wallet_records!$L:$L,'EEFF 2024'!AV$3,wallet_records!$O:$O,'EEFF 2024'!$B$1,wallet_records!$N:$N,'EEFF 2024'!AV$2,wallet_records!$H:$H,'EEFF 2024'!$B10)</f>
        <v>0</v>
      </c>
      <c r="AW10" s="115">
        <f>SUMIFS(wallet_records!$D:$D,wallet_records!$B:$B,'EEFF 2024'!$C10,wallet_records!$L:$L,'EEFF 2024'!AW$3,wallet_records!$O:$O,'EEFF 2024'!$B$1,wallet_records!$N:$N,'EEFF 2024'!AW$2,wallet_records!$H:$H,'EEFF 2024'!$B10)</f>
        <v>0</v>
      </c>
      <c r="AX10" s="115">
        <f>SUMIFS(wallet_records!$D:$D,wallet_records!$B:$B,'EEFF 2024'!$C10,wallet_records!$L:$L,'EEFF 2024'!AX$3,wallet_records!$O:$O,'EEFF 2024'!$B$1,wallet_records!$N:$N,'EEFF 2024'!AX$2,wallet_records!$H:$H,'EEFF 2024'!$B10)</f>
        <v>0</v>
      </c>
      <c r="AY10" s="115">
        <f>SUMIFS(wallet_records!$D:$D,wallet_records!$B:$B,'EEFF 2024'!$C10,wallet_records!$L:$L,'EEFF 2024'!AY$3,wallet_records!$O:$O,'EEFF 2024'!$B$1,wallet_records!$N:$N,'EEFF 2024'!AY$2,wallet_records!$H:$H,'EEFF 2024'!$B10)</f>
        <v>0</v>
      </c>
      <c r="AZ10" s="116">
        <f t="shared" si="20"/>
        <v>620000</v>
      </c>
      <c r="BA10" s="115">
        <f>SUMIFS(wallet_records!$D:$D,wallet_records!$B:$B,'EEFF 2024'!$C10,wallet_records!$L:$L,'EEFF 2024'!BA$3,wallet_records!$O:$O,'EEFF 2024'!$B$1,wallet_records!$N:$N,'EEFF 2024'!BA$2,wallet_records!$H:$H,'EEFF 2024'!$B10)</f>
        <v>0</v>
      </c>
      <c r="BB10" s="115">
        <f>SUMIFS(wallet_records!$D:$D,wallet_records!$B:$B,'EEFF 2024'!$C10,wallet_records!$L:$L,'EEFF 2024'!BB$3,wallet_records!$O:$O,'EEFF 2024'!$B$1,wallet_records!$N:$N,'EEFF 2024'!BB$2,wallet_records!$H:$H,'EEFF 2024'!$B10)</f>
        <v>0</v>
      </c>
      <c r="BC10" s="115">
        <f>SUMIFS(wallet_records!$D:$D,wallet_records!$B:$B,'EEFF 2024'!$C10,wallet_records!$L:$L,'EEFF 2024'!BC$3,wallet_records!$O:$O,'EEFF 2024'!$B$1,wallet_records!$N:$N,'EEFF 2024'!BC$2,wallet_records!$H:$H,'EEFF 2024'!$B10)</f>
        <v>0</v>
      </c>
      <c r="BD10" s="115">
        <f>SUMIFS(wallet_records!$D:$D,wallet_records!$B:$B,'EEFF 2024'!$C10,wallet_records!$L:$L,'EEFF 2024'!BD$3,wallet_records!$O:$O,'EEFF 2024'!$B$1,wallet_records!$N:$N,'EEFF 2024'!BD$2,wallet_records!$H:$H,'EEFF 2024'!$B10)</f>
        <v>0</v>
      </c>
      <c r="BE10" s="115">
        <f>SUMIFS(wallet_records!$D:$D,wallet_records!$B:$B,'EEFF 2024'!$C10,wallet_records!$L:$L,'EEFF 2024'!BE$3,wallet_records!$O:$O,'EEFF 2024'!$B$1,wallet_records!$N:$N,'EEFF 2024'!BE$2,wallet_records!$H:$H,'EEFF 2024'!$B10)</f>
        <v>0</v>
      </c>
      <c r="BF10" s="115">
        <f>SUMIFS(wallet_records!$D:$D,wallet_records!$B:$B,'EEFF 2024'!$C10,wallet_records!$L:$L,'EEFF 2024'!BF$3,wallet_records!$O:$O,'EEFF 2024'!$B$1,wallet_records!$N:$N,'EEFF 2024'!BF$2,wallet_records!$H:$H,'EEFF 2024'!$B10)</f>
        <v>0</v>
      </c>
      <c r="BG10" s="116">
        <f t="shared" si="21"/>
        <v>0</v>
      </c>
      <c r="BH10" s="115">
        <f>SUMIFS(wallet_records!$D:$D,wallet_records!$B:$B,'EEFF 2024'!$C10,wallet_records!$L:$L,'EEFF 2024'!BH$3,wallet_records!$O:$O,'EEFF 2024'!$B$1,wallet_records!$N:$N,'EEFF 2024'!BH$2,wallet_records!$H:$H,'EEFF 2024'!$B10)</f>
        <v>0</v>
      </c>
      <c r="BI10" s="115">
        <f>SUMIFS(wallet_records!$D:$D,wallet_records!$B:$B,'EEFF 2024'!$C10,wallet_records!$L:$L,'EEFF 2024'!BI$3,wallet_records!$O:$O,'EEFF 2024'!$B$1,wallet_records!$N:$N,'EEFF 2024'!BI$2,wallet_records!$H:$H,'EEFF 2024'!$B10)</f>
        <v>0</v>
      </c>
      <c r="BJ10" s="115">
        <f>SUMIFS(wallet_records!$D:$D,wallet_records!$B:$B,'EEFF 2024'!$C10,wallet_records!$L:$L,'EEFF 2024'!BJ$3,wallet_records!$O:$O,'EEFF 2024'!$B$1,wallet_records!$N:$N,'EEFF 2024'!BJ$2,wallet_records!$H:$H,'EEFF 2024'!$B10)</f>
        <v>0</v>
      </c>
      <c r="BK10" s="115">
        <f>SUMIFS(wallet_records!$D:$D,wallet_records!$B:$B,'EEFF 2024'!$C10,wallet_records!$L:$L,'EEFF 2024'!BK$3,wallet_records!$O:$O,'EEFF 2024'!$B$1,wallet_records!$N:$N,'EEFF 2024'!BK$2,wallet_records!$H:$H,'EEFF 2024'!$B10)</f>
        <v>62599.99</v>
      </c>
      <c r="BL10" s="115">
        <f>SUMIFS(wallet_records!$D:$D,wallet_records!$B:$B,'EEFF 2024'!$C10,wallet_records!$L:$L,'EEFF 2024'!BL$3,wallet_records!$O:$O,'EEFF 2024'!$B$1,wallet_records!$N:$N,'EEFF 2024'!BL$2,wallet_records!$H:$H,'EEFF 2024'!$B10)</f>
        <v>0</v>
      </c>
      <c r="BM10" s="115">
        <f>SUMIFS(wallet_records!$D:$D,wallet_records!$B:$B,'EEFF 2024'!$C10,wallet_records!$L:$L,'EEFF 2024'!BM$3,wallet_records!$O:$O,'EEFF 2024'!$B$1,wallet_records!$N:$N,'EEFF 2024'!BM$2,wallet_records!$H:$H,'EEFF 2024'!$B10)</f>
        <v>0</v>
      </c>
      <c r="BN10" s="116">
        <f t="shared" si="22"/>
        <v>62599.99</v>
      </c>
      <c r="BO10" s="115">
        <f>SUMIFS(wallet_records!$D:$D,wallet_records!$B:$B,'EEFF 2024'!$C10,wallet_records!$L:$L,'EEFF 2024'!BO$3,wallet_records!$O:$O,'EEFF 2024'!$B$1,wallet_records!$N:$N,'EEFF 2024'!BO$2,wallet_records!$H:$H,'EEFF 2024'!$B10)</f>
        <v>0</v>
      </c>
      <c r="BP10" s="115">
        <f>SUMIFS(wallet_records!$D:$D,wallet_records!$B:$B,'EEFF 2024'!$C10,wallet_records!$L:$L,'EEFF 2024'!BP$3,wallet_records!$O:$O,'EEFF 2024'!$B$1,wallet_records!$N:$N,'EEFF 2024'!BP$2,wallet_records!$H:$H,'EEFF 2024'!$B10)</f>
        <v>0</v>
      </c>
      <c r="BQ10" s="115">
        <f>SUMIFS(wallet_records!$D:$D,wallet_records!$B:$B,'EEFF 2024'!$C10,wallet_records!$L:$L,'EEFF 2024'!BQ$3,wallet_records!$O:$O,'EEFF 2024'!$B$1,wallet_records!$N:$N,'EEFF 2024'!BQ$2,wallet_records!$H:$H,'EEFF 2024'!$B10)</f>
        <v>0</v>
      </c>
      <c r="BR10" s="115">
        <f>SUMIFS(wallet_records!$D:$D,wallet_records!$B:$B,'EEFF 2024'!$C10,wallet_records!$L:$L,'EEFF 2024'!BR$3,wallet_records!$O:$O,'EEFF 2024'!$B$1,wallet_records!$N:$N,'EEFF 2024'!BR$2,wallet_records!$H:$H,'EEFF 2024'!$B10)</f>
        <v>0</v>
      </c>
      <c r="BS10" s="115">
        <f>SUMIFS(wallet_records!$D:$D,wallet_records!$B:$B,'EEFF 2024'!$C10,wallet_records!$L:$L,'EEFF 2024'!BS$3,wallet_records!$O:$O,'EEFF 2024'!$B$1,wallet_records!$N:$N,'EEFF 2024'!BS$2,wallet_records!$H:$H,'EEFF 2024'!$B10)</f>
        <v>0</v>
      </c>
      <c r="BT10" s="115">
        <f>SUMIFS(wallet_records!$D:$D,wallet_records!$B:$B,'EEFF 2024'!$C10,wallet_records!$L:$L,'EEFF 2024'!BT$3,wallet_records!$O:$O,'EEFF 2024'!$B$1,wallet_records!$N:$N,'EEFF 2024'!BT$2,wallet_records!$H:$H,'EEFF 2024'!$B10)</f>
        <v>142000</v>
      </c>
      <c r="BU10" s="116">
        <f t="shared" si="23"/>
        <v>142000</v>
      </c>
      <c r="BV10" s="115">
        <f>SUMIFS(wallet_records!$D:$D,wallet_records!$B:$B,'EEFF 2024'!$C10,wallet_records!$L:$L,'EEFF 2024'!BV$3,wallet_records!$O:$O,'EEFF 2024'!$B$1,wallet_records!$N:$N,'EEFF 2024'!BV$2,wallet_records!$H:$H,'EEFF 2024'!$B10)</f>
        <v>0</v>
      </c>
      <c r="BW10" s="115">
        <f>SUMIFS(wallet_records!$D:$D,wallet_records!$B:$B,'EEFF 2024'!$C10,wallet_records!$L:$L,'EEFF 2024'!BW$3,wallet_records!$O:$O,'EEFF 2024'!$B$1,wallet_records!$N:$N,'EEFF 2024'!BW$2,wallet_records!$H:$H,'EEFF 2024'!$B10)</f>
        <v>0</v>
      </c>
      <c r="BX10" s="115">
        <f>SUMIFS(wallet_records!$D:$D,wallet_records!$B:$B,'EEFF 2024'!$C10,wallet_records!$L:$L,'EEFF 2024'!BX$3,wallet_records!$O:$O,'EEFF 2024'!$B$1,wallet_records!$N:$N,'EEFF 2024'!BX$2,wallet_records!$H:$H,'EEFF 2024'!$B10)</f>
        <v>0</v>
      </c>
      <c r="BY10" s="115">
        <f>SUMIFS(wallet_records!$D:$D,wallet_records!$B:$B,'EEFF 2024'!$C10,wallet_records!$L:$L,'EEFF 2024'!BY$3,wallet_records!$O:$O,'EEFF 2024'!$B$1,wallet_records!$N:$N,'EEFF 2024'!BY$2,wallet_records!$H:$H,'EEFF 2024'!$B10)</f>
        <v>0</v>
      </c>
      <c r="BZ10" s="115">
        <f>SUMIFS(wallet_records!$D:$D,wallet_records!$B:$B,'EEFF 2024'!$C10,wallet_records!$L:$L,'EEFF 2024'!BZ$3,wallet_records!$O:$O,'EEFF 2024'!$B$1,wallet_records!$N:$N,'EEFF 2024'!BZ$2,wallet_records!$H:$H,'EEFF 2024'!$B10)</f>
        <v>0</v>
      </c>
      <c r="CA10" s="115">
        <f>SUMIFS(wallet_records!$D:$D,wallet_records!$B:$B,'EEFF 2024'!$C10,wallet_records!$L:$L,'EEFF 2024'!CA$3,wallet_records!$O:$O,'EEFF 2024'!$B$1,wallet_records!$N:$N,'EEFF 2024'!CA$2,wallet_records!$H:$H,'EEFF 2024'!$B10)</f>
        <v>0</v>
      </c>
      <c r="CB10" s="116">
        <f t="shared" si="24"/>
        <v>0</v>
      </c>
      <c r="CC10" s="115">
        <f>SUMIFS(wallet_records!$D:$D,wallet_records!$B:$B,'EEFF 2024'!$C10,wallet_records!$L:$L,'EEFF 2024'!CC$3,wallet_records!$O:$O,'EEFF 2024'!$B$1,wallet_records!$N:$N,'EEFF 2024'!CC$2,wallet_records!$H:$H,'EEFF 2024'!$B10)</f>
        <v>15952501</v>
      </c>
      <c r="CD10" s="115">
        <f>SUMIFS(wallet_records!$D:$D,wallet_records!$B:$B,'EEFF 2024'!$C10,wallet_records!$L:$L,'EEFF 2024'!CD$3,wallet_records!$O:$O,'EEFF 2024'!$B$1,wallet_records!$N:$N,'EEFF 2024'!CD$2,wallet_records!$H:$H,'EEFF 2024'!$B10)</f>
        <v>30000</v>
      </c>
      <c r="CE10" s="115">
        <f>SUMIFS(wallet_records!$D:$D,wallet_records!$B:$B,'EEFF 2024'!$C10,wallet_records!$L:$L,'EEFF 2024'!CE$3,wallet_records!$O:$O,'EEFF 2024'!$B$1,wallet_records!$N:$N,'EEFF 2024'!CE$2,wallet_records!$H:$H,'EEFF 2024'!$B10)</f>
        <v>0</v>
      </c>
      <c r="CF10" s="115">
        <f>SUMIFS(wallet_records!$D:$D,wallet_records!$B:$B,'EEFF 2024'!$C10,wallet_records!$L:$L,'EEFF 2024'!CF$3,wallet_records!$O:$O,'EEFF 2024'!$B$1,wallet_records!$N:$N,'EEFF 2024'!CF$2,wallet_records!$H:$H,'EEFF 2024'!$B10)</f>
        <v>0</v>
      </c>
      <c r="CG10" s="115">
        <f>SUMIFS(wallet_records!$D:$D,wallet_records!$B:$B,'EEFF 2024'!$C10,wallet_records!$L:$L,'EEFF 2024'!CG$3,wallet_records!$O:$O,'EEFF 2024'!$B$1,wallet_records!$N:$N,'EEFF 2024'!CG$2,wallet_records!$H:$H,'EEFF 2024'!$B10)</f>
        <v>0</v>
      </c>
      <c r="CH10" s="115">
        <f>SUMIFS(wallet_records!$D:$D,wallet_records!$B:$B,'EEFF 2024'!$C10,wallet_records!$L:$L,'EEFF 2024'!CH$3,wallet_records!$O:$O,'EEFF 2024'!$B$1,wallet_records!$N:$N,'EEFF 2024'!CH$2,wallet_records!$H:$H,'EEFF 2024'!$B10)</f>
        <v>0</v>
      </c>
      <c r="CI10" s="116">
        <f t="shared" si="25"/>
        <v>15982501</v>
      </c>
      <c r="CJ10" s="115">
        <f>SUMIFS(wallet_records!$D:$D,wallet_records!$B:$B,'EEFF 2024'!$C10,wallet_records!$L:$L,'EEFF 2024'!CJ$3,wallet_records!$O:$O,'EEFF 2024'!$B$1,wallet_records!$H:$H,'EEFF 2024'!$B10)</f>
        <v>16002501</v>
      </c>
      <c r="CK10" s="115">
        <f>SUMIFS(wallet_records!$D:$D,wallet_records!$B:$B,'EEFF 2024'!$C10,wallet_records!$L:$L,'EEFF 2024'!CK$3,wallet_records!$O:$O,'EEFF 2024'!$B$1,wallet_records!$H:$H,'EEFF 2024'!$B10)</f>
        <v>50057841</v>
      </c>
      <c r="CL10" s="115">
        <f>SUMIFS(wallet_records!$D:$D,wallet_records!$B:$B,'EEFF 2024'!$C10,wallet_records!$L:$L,'EEFF 2024'!CL$3,wallet_records!$O:$O,'EEFF 2024'!$B$1,wallet_records!$H:$H,'EEFF 2024'!$B10)</f>
        <v>250000</v>
      </c>
      <c r="CM10" s="115">
        <f>SUMIFS(wallet_records!$D:$D,wallet_records!$B:$B,'EEFF 2024'!$C10,wallet_records!$L:$L,'EEFF 2024'!CM$3,wallet_records!$O:$O,'EEFF 2024'!$B$1,wallet_records!$H:$H,'EEFF 2024'!$B10)</f>
        <v>789399.99</v>
      </c>
      <c r="CN10" s="115">
        <f>SUMIFS(wallet_records!$D:$D,wallet_records!$B:$B,'EEFF 2024'!$C10,wallet_records!$L:$L,'EEFF 2024'!CN$3,wallet_records!$O:$O,'EEFF 2024'!$B$1,wallet_records!$H:$H,'EEFF 2024'!$B10)</f>
        <v>0</v>
      </c>
      <c r="CO10" s="115">
        <f>SUMIFS(wallet_records!$D:$D,wallet_records!$B:$B,'EEFF 2024'!$C10,wallet_records!$L:$L,'EEFF 2024'!CO$3,wallet_records!$O:$O,'EEFF 2024'!$B$1,wallet_records!$H:$H,'EEFF 2024'!$B10)</f>
        <v>1311277</v>
      </c>
      <c r="CP10" s="116">
        <f t="shared" si="26"/>
        <v>68411018.99000001</v>
      </c>
      <c r="CQ10" s="107"/>
      <c r="CR10" s="118">
        <f t="shared" si="0"/>
        <v>0.82828800000000002</v>
      </c>
      <c r="CS10" s="118">
        <f t="shared" si="1"/>
        <v>7.4745863157894741</v>
      </c>
      <c r="CT10" s="118">
        <f t="shared" si="2"/>
        <v>2.2118033082706767</v>
      </c>
      <c r="CU10" s="118">
        <f t="shared" si="3"/>
        <v>1.1750991691235593</v>
      </c>
      <c r="CV10" s="118">
        <f t="shared" si="4"/>
        <v>0.64297622854706327</v>
      </c>
      <c r="CW10" s="118">
        <f t="shared" si="5"/>
        <v>0</v>
      </c>
      <c r="CX10" s="118">
        <f t="shared" si="6"/>
        <v>7.6251383593653924E-2</v>
      </c>
      <c r="CY10" s="118">
        <f t="shared" si="7"/>
        <v>0</v>
      </c>
      <c r="CZ10" s="118">
        <f t="shared" si="8"/>
        <v>8.8032611447053863E-3</v>
      </c>
      <c r="DA10" s="118">
        <f t="shared" si="9"/>
        <v>2.3351422463410623E-2</v>
      </c>
      <c r="DB10" s="118">
        <f t="shared" si="10"/>
        <v>0</v>
      </c>
      <c r="DC10" s="118">
        <f t="shared" si="11"/>
        <v>2.6811778225130012</v>
      </c>
    </row>
    <row r="11" spans="2:120" x14ac:dyDescent="0.2">
      <c r="B11" s="107" t="s">
        <v>140</v>
      </c>
      <c r="C11" s="191" t="s">
        <v>136</v>
      </c>
      <c r="D11" s="115">
        <f>SUMIFS(wallet_records!$D:$D,wallet_records!$B:$B,'EEFF 2024'!$C11,wallet_records!$L:$L,'EEFF 2024'!D$3,wallet_records!$O:$O,'EEFF 2024'!$B$1,wallet_records!$N:$N,'EEFF 2024'!D$2,wallet_records!$H:$H,'EEFF 2024'!$B11)</f>
        <v>126000</v>
      </c>
      <c r="E11" s="115">
        <f>SUMIFS(wallet_records!$D:$D,wallet_records!$B:$B,'EEFF 2024'!$C11,wallet_records!$L:$L,'EEFF 2024'!E$3,wallet_records!$O:$O,'EEFF 2024'!$B$1,wallet_records!$N:$N,'EEFF 2024'!E$2,wallet_records!$H:$H,'EEFF 2024'!$B11)</f>
        <v>0</v>
      </c>
      <c r="F11" s="115">
        <f>SUMIFS(wallet_records!$D:$D,wallet_records!$B:$B,'EEFF 2024'!$C11,wallet_records!$L:$L,'EEFF 2024'!F$3,wallet_records!$O:$O,'EEFF 2024'!$B$1,wallet_records!$N:$N,'EEFF 2024'!F$2,wallet_records!$H:$H,'EEFF 2024'!$B11)</f>
        <v>429205</v>
      </c>
      <c r="G11" s="115">
        <f>SUMIFS(wallet_records!$D:$D,wallet_records!$B:$B,'EEFF 2024'!$C11,wallet_records!$L:$L,'EEFF 2024'!G$3,wallet_records!$O:$O,'EEFF 2024'!$B$1,wallet_records!$N:$N,'EEFF 2024'!G$2,wallet_records!$H:$H,'EEFF 2024'!$B11)</f>
        <v>0</v>
      </c>
      <c r="H11" s="115">
        <f>SUMIFS(wallet_records!$D:$D,wallet_records!$B:$B,'EEFF 2024'!$C11,wallet_records!$L:$L,'EEFF 2024'!H$3,wallet_records!$O:$O,'EEFF 2024'!$B$1,wallet_records!$N:$N,'EEFF 2024'!H$2,wallet_records!$H:$H,'EEFF 2024'!$B11)</f>
        <v>428200</v>
      </c>
      <c r="I11" s="115">
        <f>SUMIFS(wallet_records!$D:$D,wallet_records!$B:$B,'EEFF 2024'!$C11,wallet_records!$L:$L,'EEFF 2024'!I$3,wallet_records!$O:$O,'EEFF 2024'!$B$1,wallet_records!$N:$N,'EEFF 2024'!I$2,wallet_records!$H:$H,'EEFF 2024'!$B11)</f>
        <v>0</v>
      </c>
      <c r="J11" s="116">
        <f t="shared" si="14"/>
        <v>983405</v>
      </c>
      <c r="K11" s="115">
        <f>SUMIFS(wallet_records!$D:$D,wallet_records!$B:$B,'EEFF 2024'!$C11,wallet_records!$L:$L,'EEFF 2024'!K$3,wallet_records!$O:$O,'EEFF 2024'!$B$1,wallet_records!$N:$N,'EEFF 2024'!K$2,wallet_records!$H:$H,'EEFF 2024'!$B11)</f>
        <v>138000</v>
      </c>
      <c r="L11" s="115">
        <f>SUMIFS(wallet_records!$D:$D,wallet_records!$B:$B,'EEFF 2024'!$C11,wallet_records!$L:$L,'EEFF 2024'!L$3,wallet_records!$O:$O,'EEFF 2024'!$B$1,wallet_records!$N:$N,'EEFF 2024'!L$2,wallet_records!$H:$H,'EEFF 2024'!$B11)</f>
        <v>0</v>
      </c>
      <c r="M11" s="115">
        <f>SUMIFS(wallet_records!$D:$D,wallet_records!$B:$B,'EEFF 2024'!$C11,wallet_records!$L:$L,'EEFF 2024'!M$3,wallet_records!$O:$O,'EEFF 2024'!$B$1,wallet_records!$N:$N,'EEFF 2024'!M$2,wallet_records!$H:$H,'EEFF 2024'!$B11)</f>
        <v>429205</v>
      </c>
      <c r="N11" s="115">
        <f>SUMIFS(wallet_records!$D:$D,wallet_records!$B:$B,'EEFF 2024'!$C11,wallet_records!$L:$L,'EEFF 2024'!N$3,wallet_records!$O:$O,'EEFF 2024'!$B$1,wallet_records!$N:$N,'EEFF 2024'!N$2,wallet_records!$H:$H,'EEFF 2024'!$B11)</f>
        <v>0</v>
      </c>
      <c r="O11" s="115">
        <f>SUMIFS(wallet_records!$D:$D,wallet_records!$B:$B,'EEFF 2024'!$C11,wallet_records!$L:$L,'EEFF 2024'!O$3,wallet_records!$O:$O,'EEFF 2024'!$B$1,wallet_records!$N:$N,'EEFF 2024'!O$2,wallet_records!$H:$H,'EEFF 2024'!$B11)</f>
        <v>0</v>
      </c>
      <c r="P11" s="115">
        <f>SUMIFS(wallet_records!$D:$D,wallet_records!$B:$B,'EEFF 2024'!$C11,wallet_records!$L:$L,'EEFF 2024'!P$3,wallet_records!$O:$O,'EEFF 2024'!$B$1,wallet_records!$N:$N,'EEFF 2024'!P$2,wallet_records!$H:$H,'EEFF 2024'!$B11)</f>
        <v>0</v>
      </c>
      <c r="Q11" s="116">
        <f t="shared" si="15"/>
        <v>567205</v>
      </c>
      <c r="R11" s="115">
        <f>SUMIFS(wallet_records!$D:$D,wallet_records!$B:$B,'EEFF 2024'!$C11,wallet_records!$L:$L,'EEFF 2024'!R$3,wallet_records!$O:$O,'EEFF 2024'!$B$1,wallet_records!$N:$N,'EEFF 2024'!R$2,wallet_records!$H:$H,'EEFF 2024'!$B11)</f>
        <v>138000</v>
      </c>
      <c r="S11" s="115">
        <f>SUMIFS(wallet_records!$D:$D,wallet_records!$B:$B,'EEFF 2024'!$C11,wallet_records!$L:$L,'EEFF 2024'!S$3,wallet_records!$O:$O,'EEFF 2024'!$B$1,wallet_records!$N:$N,'EEFF 2024'!S$2,wallet_records!$H:$H,'EEFF 2024'!$B11)</f>
        <v>0</v>
      </c>
      <c r="T11" s="115">
        <f>SUMIFS(wallet_records!$D:$D,wallet_records!$B:$B,'EEFF 2024'!$C11,wallet_records!$L:$L,'EEFF 2024'!T$3,wallet_records!$O:$O,'EEFF 2024'!$B$1,wallet_records!$N:$N,'EEFF 2024'!T$2,wallet_records!$H:$H,'EEFF 2024'!$B11)</f>
        <v>429205</v>
      </c>
      <c r="U11" s="115">
        <f>SUMIFS(wallet_records!$D:$D,wallet_records!$B:$B,'EEFF 2024'!$C11,wallet_records!$L:$L,'EEFF 2024'!U$3,wallet_records!$O:$O,'EEFF 2024'!$B$1,wallet_records!$N:$N,'EEFF 2024'!U$2,wallet_records!$H:$H,'EEFF 2024'!$B11)</f>
        <v>0</v>
      </c>
      <c r="V11" s="115">
        <f>SUMIFS(wallet_records!$D:$D,wallet_records!$B:$B,'EEFF 2024'!$C11,wallet_records!$L:$L,'EEFF 2024'!V$3,wallet_records!$O:$O,'EEFF 2024'!$B$1,wallet_records!$N:$N,'EEFF 2024'!V$2,wallet_records!$H:$H,'EEFF 2024'!$B11)</f>
        <v>428200</v>
      </c>
      <c r="W11" s="115">
        <f>SUMIFS(wallet_records!$D:$D,wallet_records!$B:$B,'EEFF 2024'!$C11,wallet_records!$L:$L,'EEFF 2024'!W$3,wallet_records!$O:$O,'EEFF 2024'!$B$1,wallet_records!$N:$N,'EEFF 2024'!W$2,wallet_records!$H:$H,'EEFF 2024'!$B11)</f>
        <v>0</v>
      </c>
      <c r="X11" s="116">
        <f t="shared" si="16"/>
        <v>995405</v>
      </c>
      <c r="Y11" s="115">
        <f>SUMIFS(wallet_records!$D:$D,wallet_records!$B:$B,'EEFF 2024'!$C11,wallet_records!$L:$L,'EEFF 2024'!Y$3,wallet_records!$O:$O,'EEFF 2024'!$B$1,wallet_records!$N:$N,'EEFF 2024'!Y$2,wallet_records!$H:$H,'EEFF 2024'!$B11)</f>
        <v>138000</v>
      </c>
      <c r="Z11" s="115">
        <f>SUMIFS(wallet_records!$D:$D,wallet_records!$B:$B,'EEFF 2024'!$C11,wallet_records!$L:$L,'EEFF 2024'!Z$3,wallet_records!$O:$O,'EEFF 2024'!$B$1,wallet_records!$N:$N,'EEFF 2024'!Z$2,wallet_records!$H:$H,'EEFF 2024'!$B11)</f>
        <v>0</v>
      </c>
      <c r="AA11" s="115">
        <f>SUMIFS(wallet_records!$D:$D,wallet_records!$B:$B,'EEFF 2024'!$C11,wallet_records!$L:$L,'EEFF 2024'!AA$3,wallet_records!$O:$O,'EEFF 2024'!$B$1,wallet_records!$N:$N,'EEFF 2024'!AA$2,wallet_records!$H:$H,'EEFF 2024'!$B11)</f>
        <v>542807</v>
      </c>
      <c r="AB11" s="115">
        <f>SUMIFS(wallet_records!$D:$D,wallet_records!$B:$B,'EEFF 2024'!$C11,wallet_records!$L:$L,'EEFF 2024'!AB$3,wallet_records!$O:$O,'EEFF 2024'!$B$1,wallet_records!$N:$N,'EEFF 2024'!AB$2,wallet_records!$H:$H,'EEFF 2024'!$B11)</f>
        <v>0</v>
      </c>
      <c r="AC11" s="115">
        <f>SUMIFS(wallet_records!$D:$D,wallet_records!$B:$B,'EEFF 2024'!$C11,wallet_records!$L:$L,'EEFF 2024'!AC$3,wallet_records!$O:$O,'EEFF 2024'!$B$1,wallet_records!$N:$N,'EEFF 2024'!AC$2,wallet_records!$H:$H,'EEFF 2024'!$B11)</f>
        <v>0</v>
      </c>
      <c r="AD11" s="115">
        <f>SUMIFS(wallet_records!$D:$D,wallet_records!$B:$B,'EEFF 2024'!$C11,wallet_records!$L:$L,'EEFF 2024'!AD$3,wallet_records!$O:$O,'EEFF 2024'!$B$1,wallet_records!$N:$N,'EEFF 2024'!AD$2,wallet_records!$H:$H,'EEFF 2024'!$B11)</f>
        <v>0</v>
      </c>
      <c r="AE11" s="116">
        <f t="shared" si="17"/>
        <v>680807</v>
      </c>
      <c r="AF11" s="115">
        <f>SUMIFS(wallet_records!$D:$D,wallet_records!$B:$B,'EEFF 2024'!$C11,wallet_records!$L:$L,'EEFF 2024'!AF$3,wallet_records!$O:$O,'EEFF 2024'!$B$1,wallet_records!$N:$N,'EEFF 2024'!AF$2,wallet_records!$H:$H,'EEFF 2024'!$B11)</f>
        <v>138000</v>
      </c>
      <c r="AG11" s="115">
        <f>SUMIFS(wallet_records!$D:$D,wallet_records!$B:$B,'EEFF 2024'!$C11,wallet_records!$L:$L,'EEFF 2024'!AG$3,wallet_records!$O:$O,'EEFF 2024'!$B$1,wallet_records!$N:$N,'EEFF 2024'!AG$2,wallet_records!$H:$H,'EEFF 2024'!$B11)</f>
        <v>0</v>
      </c>
      <c r="AH11" s="115">
        <f>SUMIFS(wallet_records!$D:$D,wallet_records!$B:$B,'EEFF 2024'!$C11,wallet_records!$L:$L,'EEFF 2024'!AH$3,wallet_records!$O:$O,'EEFF 2024'!$B$1,wallet_records!$N:$N,'EEFF 2024'!AH$2,wallet_records!$H:$H,'EEFF 2024'!$B11)</f>
        <v>542807</v>
      </c>
      <c r="AI11" s="115">
        <f>SUMIFS(wallet_records!$D:$D,wallet_records!$B:$B,'EEFF 2024'!$C11,wallet_records!$L:$L,'EEFF 2024'!AI$3,wallet_records!$O:$O,'EEFF 2024'!$B$1,wallet_records!$N:$N,'EEFF 2024'!AI$2,wallet_records!$H:$H,'EEFF 2024'!$B11)</f>
        <v>0</v>
      </c>
      <c r="AJ11" s="115">
        <f>SUMIFS(wallet_records!$D:$D,wallet_records!$B:$B,'EEFF 2024'!$C11,wallet_records!$L:$L,'EEFF 2024'!AJ$3,wallet_records!$O:$O,'EEFF 2024'!$B$1,wallet_records!$N:$N,'EEFF 2024'!AJ$2,wallet_records!$H:$H,'EEFF 2024'!$B11)</f>
        <v>549192</v>
      </c>
      <c r="AK11" s="115">
        <f>SUMIFS(wallet_records!$D:$D,wallet_records!$B:$B,'EEFF 2024'!$C11,wallet_records!$L:$L,'EEFF 2024'!AK$3,wallet_records!$O:$O,'EEFF 2024'!$B$1,wallet_records!$N:$N,'EEFF 2024'!AK$2,wallet_records!$H:$H,'EEFF 2024'!$B11)</f>
        <v>0</v>
      </c>
      <c r="AL11" s="116">
        <f t="shared" si="18"/>
        <v>1229999</v>
      </c>
      <c r="AM11" s="115">
        <f>SUMIFS(wallet_records!$D:$D,wallet_records!$B:$B,'EEFF 2024'!$C11,wallet_records!$L:$L,'EEFF 2024'!AM$3,wallet_records!$O:$O,'EEFF 2024'!$B$1,wallet_records!$N:$N,'EEFF 2024'!AM$2,wallet_records!$H:$H,'EEFF 2024'!$B11)</f>
        <v>138000</v>
      </c>
      <c r="AN11" s="115">
        <f>SUMIFS(wallet_records!$D:$D,wallet_records!$B:$B,'EEFF 2024'!$C11,wallet_records!$L:$L,'EEFF 2024'!AN$3,wallet_records!$O:$O,'EEFF 2024'!$B$1,wallet_records!$N:$N,'EEFF 2024'!AN$2,wallet_records!$H:$H,'EEFF 2024'!$B11)</f>
        <v>0</v>
      </c>
      <c r="AO11" s="115">
        <f>SUMIFS(wallet_records!$D:$D,wallet_records!$B:$B,'EEFF 2024'!$C11,wallet_records!$L:$L,'EEFF 2024'!AO$3,wallet_records!$O:$O,'EEFF 2024'!$B$1,wallet_records!$N:$N,'EEFF 2024'!AO$2,wallet_records!$H:$H,'EEFF 2024'!$B11)</f>
        <v>429205</v>
      </c>
      <c r="AP11" s="115">
        <f>SUMIFS(wallet_records!$D:$D,wallet_records!$B:$B,'EEFF 2024'!$C11,wallet_records!$L:$L,'EEFF 2024'!AP$3,wallet_records!$O:$O,'EEFF 2024'!$B$1,wallet_records!$N:$N,'EEFF 2024'!AP$2,wallet_records!$H:$H,'EEFF 2024'!$B11)</f>
        <v>0</v>
      </c>
      <c r="AQ11" s="115">
        <f>SUMIFS(wallet_records!$D:$D,wallet_records!$B:$B,'EEFF 2024'!$C11,wallet_records!$L:$L,'EEFF 2024'!AQ$3,wallet_records!$O:$O,'EEFF 2024'!$B$1,wallet_records!$N:$N,'EEFF 2024'!AQ$2,wallet_records!$H:$H,'EEFF 2024'!$B11)</f>
        <v>234000</v>
      </c>
      <c r="AR11" s="115">
        <f>SUMIFS(wallet_records!$D:$D,wallet_records!$B:$B,'EEFF 2024'!$C11,wallet_records!$L:$L,'EEFF 2024'!AR$3,wallet_records!$O:$O,'EEFF 2024'!$B$1,wallet_records!$N:$N,'EEFF 2024'!AR$2,wallet_records!$H:$H,'EEFF 2024'!$B11)</f>
        <v>0</v>
      </c>
      <c r="AS11" s="116">
        <f t="shared" si="19"/>
        <v>801205</v>
      </c>
      <c r="AT11" s="115">
        <f>SUMIFS(wallet_records!$D:$D,wallet_records!$B:$B,'EEFF 2024'!$C11,wallet_records!$L:$L,'EEFF 2024'!AT$3,wallet_records!$O:$O,'EEFF 2024'!$B$1,wallet_records!$N:$N,'EEFF 2024'!AT$2,wallet_records!$H:$H,'EEFF 2024'!$B11)</f>
        <v>138000</v>
      </c>
      <c r="AU11" s="115">
        <f>SUMIFS(wallet_records!$D:$D,wallet_records!$B:$B,'EEFF 2024'!$C11,wallet_records!$L:$L,'EEFF 2024'!AU$3,wallet_records!$O:$O,'EEFF 2024'!$B$1,wallet_records!$N:$N,'EEFF 2024'!AU$2,wallet_records!$H:$H,'EEFF 2024'!$B11)</f>
        <v>0</v>
      </c>
      <c r="AV11" s="115">
        <f>SUMIFS(wallet_records!$D:$D,wallet_records!$B:$B,'EEFF 2024'!$C11,wallet_records!$L:$L,'EEFF 2024'!AV$3,wallet_records!$O:$O,'EEFF 2024'!$B$1,wallet_records!$N:$N,'EEFF 2024'!AV$2,wallet_records!$H:$H,'EEFF 2024'!$B11)</f>
        <v>447340</v>
      </c>
      <c r="AW11" s="115">
        <f>SUMIFS(wallet_records!$D:$D,wallet_records!$B:$B,'EEFF 2024'!$C11,wallet_records!$L:$L,'EEFF 2024'!AW$3,wallet_records!$O:$O,'EEFF 2024'!$B$1,wallet_records!$N:$N,'EEFF 2024'!AW$2,wallet_records!$H:$H,'EEFF 2024'!$B11)</f>
        <v>0</v>
      </c>
      <c r="AX11" s="115">
        <f>SUMIFS(wallet_records!$D:$D,wallet_records!$B:$B,'EEFF 2024'!$C11,wallet_records!$L:$L,'EEFF 2024'!AX$3,wallet_records!$O:$O,'EEFF 2024'!$B$1,wallet_records!$N:$N,'EEFF 2024'!AX$2,wallet_records!$H:$H,'EEFF 2024'!$B11)</f>
        <v>234000</v>
      </c>
      <c r="AY11" s="115">
        <f>SUMIFS(wallet_records!$D:$D,wallet_records!$B:$B,'EEFF 2024'!$C11,wallet_records!$L:$L,'EEFF 2024'!AY$3,wallet_records!$O:$O,'EEFF 2024'!$B$1,wallet_records!$N:$N,'EEFF 2024'!AY$2,wallet_records!$H:$H,'EEFF 2024'!$B11)</f>
        <v>0</v>
      </c>
      <c r="AZ11" s="116">
        <f t="shared" si="20"/>
        <v>819340</v>
      </c>
      <c r="BA11" s="115">
        <f>SUMIFS(wallet_records!$D:$D,wallet_records!$B:$B,'EEFF 2024'!$C11,wallet_records!$L:$L,'EEFF 2024'!BA$3,wallet_records!$O:$O,'EEFF 2024'!$B$1,wallet_records!$N:$N,'EEFF 2024'!BA$2,wallet_records!$H:$H,'EEFF 2024'!$B11)</f>
        <v>138000</v>
      </c>
      <c r="BB11" s="115">
        <f>SUMIFS(wallet_records!$D:$D,wallet_records!$B:$B,'EEFF 2024'!$C11,wallet_records!$L:$L,'EEFF 2024'!BB$3,wallet_records!$O:$O,'EEFF 2024'!$B$1,wallet_records!$N:$N,'EEFF 2024'!BB$2,wallet_records!$H:$H,'EEFF 2024'!$B11)</f>
        <v>0</v>
      </c>
      <c r="BC11" s="115">
        <f>SUMIFS(wallet_records!$D:$D,wallet_records!$B:$B,'EEFF 2024'!$C11,wallet_records!$L:$L,'EEFF 2024'!BC$3,wallet_records!$O:$O,'EEFF 2024'!$B$1,wallet_records!$N:$N,'EEFF 2024'!BC$2,wallet_records!$H:$H,'EEFF 2024'!$B11)</f>
        <v>437205</v>
      </c>
      <c r="BD11" s="115">
        <f>SUMIFS(wallet_records!$D:$D,wallet_records!$B:$B,'EEFF 2024'!$C11,wallet_records!$L:$L,'EEFF 2024'!BD$3,wallet_records!$O:$O,'EEFF 2024'!$B$1,wallet_records!$N:$N,'EEFF 2024'!BD$2,wallet_records!$H:$H,'EEFF 2024'!$B11)</f>
        <v>0</v>
      </c>
      <c r="BE11" s="115">
        <f>SUMIFS(wallet_records!$D:$D,wallet_records!$B:$B,'EEFF 2024'!$C11,wallet_records!$L:$L,'EEFF 2024'!BE$3,wallet_records!$O:$O,'EEFF 2024'!$B$1,wallet_records!$N:$N,'EEFF 2024'!BE$2,wallet_records!$H:$H,'EEFF 2024'!$B11)</f>
        <v>243000</v>
      </c>
      <c r="BF11" s="115">
        <f>SUMIFS(wallet_records!$D:$D,wallet_records!$B:$B,'EEFF 2024'!$C11,wallet_records!$L:$L,'EEFF 2024'!BF$3,wallet_records!$O:$O,'EEFF 2024'!$B$1,wallet_records!$N:$N,'EEFF 2024'!BF$2,wallet_records!$H:$H,'EEFF 2024'!$B11)</f>
        <v>0</v>
      </c>
      <c r="BG11" s="116">
        <f t="shared" si="21"/>
        <v>818205</v>
      </c>
      <c r="BH11" s="115">
        <f>SUMIFS(wallet_records!$D:$D,wallet_records!$B:$B,'EEFF 2024'!$C11,wallet_records!$L:$L,'EEFF 2024'!BH$3,wallet_records!$O:$O,'EEFF 2024'!$B$1,wallet_records!$N:$N,'EEFF 2024'!BH$2,wallet_records!$H:$H,'EEFF 2024'!$B11)</f>
        <v>138000</v>
      </c>
      <c r="BI11" s="115">
        <f>SUMIFS(wallet_records!$D:$D,wallet_records!$B:$B,'EEFF 2024'!$C11,wallet_records!$L:$L,'EEFF 2024'!BI$3,wallet_records!$O:$O,'EEFF 2024'!$B$1,wallet_records!$N:$N,'EEFF 2024'!BI$2,wallet_records!$H:$H,'EEFF 2024'!$B11)</f>
        <v>0</v>
      </c>
      <c r="BJ11" s="115">
        <f>SUMIFS(wallet_records!$D:$D,wallet_records!$B:$B,'EEFF 2024'!$C11,wallet_records!$L:$L,'EEFF 2024'!BJ$3,wallet_records!$O:$O,'EEFF 2024'!$B$1,wallet_records!$N:$N,'EEFF 2024'!BJ$2,wallet_records!$H:$H,'EEFF 2024'!$B11)</f>
        <v>437205</v>
      </c>
      <c r="BK11" s="115">
        <f>SUMIFS(wallet_records!$D:$D,wallet_records!$B:$B,'EEFF 2024'!$C11,wallet_records!$L:$L,'EEFF 2024'!BK$3,wallet_records!$O:$O,'EEFF 2024'!$B$1,wallet_records!$N:$N,'EEFF 2024'!BK$2,wallet_records!$H:$H,'EEFF 2024'!$B11)</f>
        <v>0</v>
      </c>
      <c r="BL11" s="115">
        <f>SUMIFS(wallet_records!$D:$D,wallet_records!$B:$B,'EEFF 2024'!$C11,wallet_records!$L:$L,'EEFF 2024'!BL$3,wallet_records!$O:$O,'EEFF 2024'!$B$1,wallet_records!$N:$N,'EEFF 2024'!BL$2,wallet_records!$H:$H,'EEFF 2024'!$B11)</f>
        <v>0</v>
      </c>
      <c r="BM11" s="115">
        <f>SUMIFS(wallet_records!$D:$D,wallet_records!$B:$B,'EEFF 2024'!$C11,wallet_records!$L:$L,'EEFF 2024'!BM$3,wallet_records!$O:$O,'EEFF 2024'!$B$1,wallet_records!$N:$N,'EEFF 2024'!BM$2,wallet_records!$H:$H,'EEFF 2024'!$B11)</f>
        <v>0</v>
      </c>
      <c r="BN11" s="116">
        <f t="shared" si="22"/>
        <v>575205</v>
      </c>
      <c r="BO11" s="115">
        <f>SUMIFS(wallet_records!$D:$D,wallet_records!$B:$B,'EEFF 2024'!$C11,wallet_records!$L:$L,'EEFF 2024'!BO$3,wallet_records!$O:$O,'EEFF 2024'!$B$1,wallet_records!$N:$N,'EEFF 2024'!BO$2,wallet_records!$H:$H,'EEFF 2024'!$B11)</f>
        <v>138000</v>
      </c>
      <c r="BP11" s="115">
        <f>SUMIFS(wallet_records!$D:$D,wallet_records!$B:$B,'EEFF 2024'!$C11,wallet_records!$L:$L,'EEFF 2024'!BP$3,wallet_records!$O:$O,'EEFF 2024'!$B$1,wallet_records!$N:$N,'EEFF 2024'!BP$2,wallet_records!$H:$H,'EEFF 2024'!$B11)</f>
        <v>0</v>
      </c>
      <c r="BQ11" s="115">
        <f>SUMIFS(wallet_records!$D:$D,wallet_records!$B:$B,'EEFF 2024'!$C11,wallet_records!$L:$L,'EEFF 2024'!BQ$3,wallet_records!$O:$O,'EEFF 2024'!$B$1,wallet_records!$N:$N,'EEFF 2024'!BQ$2,wallet_records!$H:$H,'EEFF 2024'!$B11)</f>
        <v>437205</v>
      </c>
      <c r="BR11" s="115">
        <f>SUMIFS(wallet_records!$D:$D,wallet_records!$B:$B,'EEFF 2024'!$C11,wallet_records!$L:$L,'EEFF 2024'!BR$3,wallet_records!$O:$O,'EEFF 2024'!$B$1,wallet_records!$N:$N,'EEFF 2024'!BR$2,wallet_records!$H:$H,'EEFF 2024'!$B11)</f>
        <v>0</v>
      </c>
      <c r="BS11" s="115">
        <f>SUMIFS(wallet_records!$D:$D,wallet_records!$B:$B,'EEFF 2024'!$C11,wallet_records!$L:$L,'EEFF 2024'!BS$3,wallet_records!$O:$O,'EEFF 2024'!$B$1,wallet_records!$N:$N,'EEFF 2024'!BS$2,wallet_records!$H:$H,'EEFF 2024'!$B11)</f>
        <v>243000</v>
      </c>
      <c r="BT11" s="115">
        <f>SUMIFS(wallet_records!$D:$D,wallet_records!$B:$B,'EEFF 2024'!$C11,wallet_records!$L:$L,'EEFF 2024'!BT$3,wallet_records!$O:$O,'EEFF 2024'!$B$1,wallet_records!$N:$N,'EEFF 2024'!BT$2,wallet_records!$H:$H,'EEFF 2024'!$B11)</f>
        <v>0</v>
      </c>
      <c r="BU11" s="116">
        <f t="shared" si="23"/>
        <v>818205</v>
      </c>
      <c r="BV11" s="115">
        <f>SUMIFS(wallet_records!$D:$D,wallet_records!$B:$B,'EEFF 2024'!$C11,wallet_records!$L:$L,'EEFF 2024'!BV$3,wallet_records!$O:$O,'EEFF 2024'!$B$1,wallet_records!$N:$N,'EEFF 2024'!BV$2,wallet_records!$H:$H,'EEFF 2024'!$B11)</f>
        <v>138000</v>
      </c>
      <c r="BW11" s="115">
        <f>SUMIFS(wallet_records!$D:$D,wallet_records!$B:$B,'EEFF 2024'!$C11,wallet_records!$L:$L,'EEFF 2024'!BW$3,wallet_records!$O:$O,'EEFF 2024'!$B$1,wallet_records!$N:$N,'EEFF 2024'!BW$2,wallet_records!$H:$H,'EEFF 2024'!$B11)</f>
        <v>0</v>
      </c>
      <c r="BX11" s="115">
        <f>SUMIFS(wallet_records!$D:$D,wallet_records!$B:$B,'EEFF 2024'!$C11,wallet_records!$L:$L,'EEFF 2024'!BX$3,wallet_records!$O:$O,'EEFF 2024'!$B$1,wallet_records!$N:$N,'EEFF 2024'!BX$2,wallet_records!$H:$H,'EEFF 2024'!$B11)</f>
        <v>874410</v>
      </c>
      <c r="BY11" s="115">
        <f>SUMIFS(wallet_records!$D:$D,wallet_records!$B:$B,'EEFF 2024'!$C11,wallet_records!$L:$L,'EEFF 2024'!BY$3,wallet_records!$O:$O,'EEFF 2024'!$B$1,wallet_records!$N:$N,'EEFF 2024'!BY$2,wallet_records!$H:$H,'EEFF 2024'!$B11)</f>
        <v>0</v>
      </c>
      <c r="BZ11" s="115">
        <f>SUMIFS(wallet_records!$D:$D,wallet_records!$B:$B,'EEFF 2024'!$C11,wallet_records!$L:$L,'EEFF 2024'!BZ$3,wallet_records!$O:$O,'EEFF 2024'!$B$1,wallet_records!$N:$N,'EEFF 2024'!BZ$2,wallet_records!$H:$H,'EEFF 2024'!$B11)</f>
        <v>486000</v>
      </c>
      <c r="CA11" s="115">
        <f>SUMIFS(wallet_records!$D:$D,wallet_records!$B:$B,'EEFF 2024'!$C11,wallet_records!$L:$L,'EEFF 2024'!CA$3,wallet_records!$O:$O,'EEFF 2024'!$B$1,wallet_records!$N:$N,'EEFF 2024'!CA$2,wallet_records!$H:$H,'EEFF 2024'!$B11)</f>
        <v>0</v>
      </c>
      <c r="CB11" s="116">
        <f t="shared" si="24"/>
        <v>1498410</v>
      </c>
      <c r="CC11" s="115">
        <f>SUMIFS(wallet_records!$D:$D,wallet_records!$B:$B,'EEFF 2024'!$C11,wallet_records!$L:$L,'EEFF 2024'!CC$3,wallet_records!$O:$O,'EEFF 2024'!$B$1,wallet_records!$N:$N,'EEFF 2024'!CC$2,wallet_records!$H:$H,'EEFF 2024'!$B11)</f>
        <v>276000</v>
      </c>
      <c r="CD11" s="115">
        <f>SUMIFS(wallet_records!$D:$D,wallet_records!$B:$B,'EEFF 2024'!$C11,wallet_records!$L:$L,'EEFF 2024'!CD$3,wallet_records!$O:$O,'EEFF 2024'!$B$1,wallet_records!$N:$N,'EEFF 2024'!CD$2,wallet_records!$H:$H,'EEFF 2024'!$B11)</f>
        <v>0</v>
      </c>
      <c r="CE11" s="115">
        <f>SUMIFS(wallet_records!$D:$D,wallet_records!$B:$B,'EEFF 2024'!$C11,wallet_records!$L:$L,'EEFF 2024'!CE$3,wallet_records!$O:$O,'EEFF 2024'!$B$1,wallet_records!$N:$N,'EEFF 2024'!CE$2,wallet_records!$H:$H,'EEFF 2024'!$B11)</f>
        <v>0</v>
      </c>
      <c r="CF11" s="115">
        <f>SUMIFS(wallet_records!$D:$D,wallet_records!$B:$B,'EEFF 2024'!$C11,wallet_records!$L:$L,'EEFF 2024'!CF$3,wallet_records!$O:$O,'EEFF 2024'!$B$1,wallet_records!$N:$N,'EEFF 2024'!CF$2,wallet_records!$H:$H,'EEFF 2024'!$B11)</f>
        <v>0</v>
      </c>
      <c r="CG11" s="115">
        <f>SUMIFS(wallet_records!$D:$D,wallet_records!$B:$B,'EEFF 2024'!$C11,wallet_records!$L:$L,'EEFF 2024'!CG$3,wallet_records!$O:$O,'EEFF 2024'!$B$1,wallet_records!$N:$N,'EEFF 2024'!CG$2,wallet_records!$H:$H,'EEFF 2024'!$B11)</f>
        <v>209557</v>
      </c>
      <c r="CH11" s="115">
        <f>SUMIFS(wallet_records!$D:$D,wallet_records!$B:$B,'EEFF 2024'!$C11,wallet_records!$L:$L,'EEFF 2024'!CH$3,wallet_records!$O:$O,'EEFF 2024'!$B$1,wallet_records!$N:$N,'EEFF 2024'!CH$2,wallet_records!$H:$H,'EEFF 2024'!$B11)</f>
        <v>0</v>
      </c>
      <c r="CI11" s="116">
        <f t="shared" si="25"/>
        <v>485557</v>
      </c>
      <c r="CJ11" s="115">
        <f>SUMIFS(wallet_records!$D:$D,wallet_records!$B:$B,'EEFF 2024'!$C11,wallet_records!$L:$L,'EEFF 2024'!CJ$3,wallet_records!$O:$O,'EEFF 2024'!$B$1,wallet_records!$H:$H,'EEFF 2024'!$B11)</f>
        <v>1782000</v>
      </c>
      <c r="CK11" s="115">
        <f>SUMIFS(wallet_records!$D:$D,wallet_records!$B:$B,'EEFF 2024'!$C11,wallet_records!$L:$L,'EEFF 2024'!CK$3,wallet_records!$O:$O,'EEFF 2024'!$B$1,wallet_records!$H:$H,'EEFF 2024'!$B11)</f>
        <v>0</v>
      </c>
      <c r="CL11" s="115">
        <f>SUMIFS(wallet_records!$D:$D,wallet_records!$B:$B,'EEFF 2024'!$C11,wallet_records!$L:$L,'EEFF 2024'!CL$3,wallet_records!$O:$O,'EEFF 2024'!$B$1,wallet_records!$H:$H,'EEFF 2024'!$B11)</f>
        <v>5435799</v>
      </c>
      <c r="CM11" s="115">
        <f>SUMIFS(wallet_records!$D:$D,wallet_records!$B:$B,'EEFF 2024'!$C11,wallet_records!$L:$L,'EEFF 2024'!CM$3,wallet_records!$O:$O,'EEFF 2024'!$B$1,wallet_records!$H:$H,'EEFF 2024'!$B11)</f>
        <v>0</v>
      </c>
      <c r="CN11" s="115">
        <f>SUMIFS(wallet_records!$D:$D,wallet_records!$B:$B,'EEFF 2024'!$C11,wallet_records!$L:$L,'EEFF 2024'!CN$3,wallet_records!$O:$O,'EEFF 2024'!$B$1,wallet_records!$H:$H,'EEFF 2024'!$B11)</f>
        <v>3055149</v>
      </c>
      <c r="CO11" s="115">
        <f>SUMIFS(wallet_records!$D:$D,wallet_records!$B:$B,'EEFF 2024'!$C11,wallet_records!$L:$L,'EEFF 2024'!CO$3,wallet_records!$O:$O,'EEFF 2024'!$B$1,wallet_records!$H:$H,'EEFF 2024'!$B11)</f>
        <v>0</v>
      </c>
      <c r="CP11" s="116">
        <f t="shared" si="26"/>
        <v>10272948</v>
      </c>
      <c r="CQ11" s="107"/>
      <c r="CR11" s="118">
        <f t="shared" si="0"/>
        <v>0.15734480000000001</v>
      </c>
      <c r="CS11" s="118">
        <f t="shared" si="1"/>
        <v>0.19901929824561404</v>
      </c>
      <c r="CT11" s="118">
        <f t="shared" si="2"/>
        <v>0.14968496240601503</v>
      </c>
      <c r="CU11" s="118">
        <f t="shared" si="3"/>
        <v>0.182473063521844</v>
      </c>
      <c r="CV11" s="118">
        <f t="shared" si="4"/>
        <v>0.13111597910670506</v>
      </c>
      <c r="CW11" s="118">
        <f t="shared" si="5"/>
        <v>0.10038904899135447</v>
      </c>
      <c r="CX11" s="118">
        <f t="shared" si="6"/>
        <v>0.10076743328003936</v>
      </c>
      <c r="CY11" s="118">
        <f t="shared" si="7"/>
        <v>9.5948988566402812E-2</v>
      </c>
      <c r="CZ11" s="118">
        <f t="shared" si="8"/>
        <v>8.0889467022922226E-2</v>
      </c>
      <c r="DA11" s="118">
        <f t="shared" si="9"/>
        <v>0.13455106068080908</v>
      </c>
      <c r="DB11" s="118">
        <f t="shared" si="10"/>
        <v>0.11120338417009908</v>
      </c>
      <c r="DC11" s="118">
        <f t="shared" si="11"/>
        <v>8.145562825029358E-2</v>
      </c>
    </row>
    <row r="12" spans="2:120" x14ac:dyDescent="0.2">
      <c r="B12" s="107" t="s">
        <v>508</v>
      </c>
      <c r="C12" s="191" t="s">
        <v>154</v>
      </c>
      <c r="D12" s="115">
        <f>SUMIFS(wallet_records!$D:$D,wallet_records!$B:$B,'EEFF 2024'!$C12,wallet_records!$L:$L,'EEFF 2024'!D$3,wallet_records!$O:$O,'EEFF 2024'!$B$1,wallet_records!$N:$N,'EEFF 2024'!D$2,wallet_records!$H:$H,'EEFF 2024'!$B12)</f>
        <v>1926459</v>
      </c>
      <c r="E12" s="115">
        <f>SUMIFS(wallet_records!$D:$D,wallet_records!$B:$B,'EEFF 2024'!$C12,wallet_records!$L:$L,'EEFF 2024'!E$3,wallet_records!$O:$O,'EEFF 2024'!$B$1,wallet_records!$N:$N,'EEFF 2024'!E$2,wallet_records!$H:$H,'EEFF 2024'!$B12)</f>
        <v>3442766</v>
      </c>
      <c r="F12" s="115">
        <f>SUMIFS(wallet_records!$D:$D,wallet_records!$B:$B,'EEFF 2024'!$C12,wallet_records!$L:$L,'EEFF 2024'!F$3,wallet_records!$O:$O,'EEFF 2024'!$B$1,wallet_records!$N:$N,'EEFF 2024'!F$2,wallet_records!$H:$H,'EEFF 2024'!$B12)</f>
        <v>1556970</v>
      </c>
      <c r="G12" s="115">
        <f>SUMIFS(wallet_records!$D:$D,wallet_records!$B:$B,'EEFF 2024'!$C12,wallet_records!$L:$L,'EEFF 2024'!G$3,wallet_records!$O:$O,'EEFF 2024'!$B$1,wallet_records!$N:$N,'EEFF 2024'!G$2,wallet_records!$H:$H,'EEFF 2024'!$B12)</f>
        <v>279068</v>
      </c>
      <c r="H12" s="115">
        <f>SUMIFS(wallet_records!$D:$D,wallet_records!$B:$B,'EEFF 2024'!$C12,wallet_records!$L:$L,'EEFF 2024'!H$3,wallet_records!$O:$O,'EEFF 2024'!$B$1,wallet_records!$N:$N,'EEFF 2024'!H$2,wallet_records!$H:$H,'EEFF 2024'!$B12)</f>
        <v>1032495</v>
      </c>
      <c r="I12" s="115">
        <f>SUMIFS(wallet_records!$D:$D,wallet_records!$B:$B,'EEFF 2024'!$C12,wallet_records!$L:$L,'EEFF 2024'!I$3,wallet_records!$O:$O,'EEFF 2024'!$B$1,wallet_records!$N:$N,'EEFF 2024'!I$2,wallet_records!$H:$H,'EEFF 2024'!$B12)</f>
        <v>0</v>
      </c>
      <c r="J12" s="116">
        <f t="shared" si="14"/>
        <v>8237758</v>
      </c>
      <c r="K12" s="115">
        <f>SUMIFS(wallet_records!$D:$D,wallet_records!$B:$B,'EEFF 2024'!$C12,wallet_records!$L:$L,'EEFF 2024'!K$3,wallet_records!$O:$O,'EEFF 2024'!$B$1,wallet_records!$N:$N,'EEFF 2024'!K$2,wallet_records!$H:$H,'EEFF 2024'!$B12)</f>
        <v>0</v>
      </c>
      <c r="L12" s="115">
        <f>SUMIFS(wallet_records!$D:$D,wallet_records!$B:$B,'EEFF 2024'!$C12,wallet_records!$L:$L,'EEFF 2024'!L$3,wallet_records!$O:$O,'EEFF 2024'!$B$1,wallet_records!$N:$N,'EEFF 2024'!L$2,wallet_records!$H:$H,'EEFF 2024'!$B12)</f>
        <v>0</v>
      </c>
      <c r="M12" s="115">
        <f>SUMIFS(wallet_records!$D:$D,wallet_records!$B:$B,'EEFF 2024'!$C12,wallet_records!$L:$L,'EEFF 2024'!M$3,wallet_records!$O:$O,'EEFF 2024'!$B$1,wallet_records!$N:$N,'EEFF 2024'!M$2,wallet_records!$H:$H,'EEFF 2024'!$B12)</f>
        <v>0</v>
      </c>
      <c r="N12" s="115">
        <f>SUMIFS(wallet_records!$D:$D,wallet_records!$B:$B,'EEFF 2024'!$C12,wallet_records!$L:$L,'EEFF 2024'!N$3,wallet_records!$O:$O,'EEFF 2024'!$B$1,wallet_records!$N:$N,'EEFF 2024'!N$2,wallet_records!$H:$H,'EEFF 2024'!$B12)</f>
        <v>0</v>
      </c>
      <c r="O12" s="115">
        <f>SUMIFS(wallet_records!$D:$D,wallet_records!$B:$B,'EEFF 2024'!$C12,wallet_records!$L:$L,'EEFF 2024'!O$3,wallet_records!$O:$O,'EEFF 2024'!$B$1,wallet_records!$N:$N,'EEFF 2024'!O$2,wallet_records!$H:$H,'EEFF 2024'!$B12)</f>
        <v>0</v>
      </c>
      <c r="P12" s="115">
        <f>SUMIFS(wallet_records!$D:$D,wallet_records!$B:$B,'EEFF 2024'!$C12,wallet_records!$L:$L,'EEFF 2024'!P$3,wallet_records!$O:$O,'EEFF 2024'!$B$1,wallet_records!$N:$N,'EEFF 2024'!P$2,wallet_records!$H:$H,'EEFF 2024'!$B12)</f>
        <v>800108</v>
      </c>
      <c r="Q12" s="116">
        <f t="shared" si="15"/>
        <v>800108</v>
      </c>
      <c r="R12" s="115">
        <f>SUMIFS(wallet_records!$D:$D,wallet_records!$B:$B,'EEFF 2024'!$C12,wallet_records!$L:$L,'EEFF 2024'!R$3,wallet_records!$O:$O,'EEFF 2024'!$B$1,wallet_records!$N:$N,'EEFF 2024'!R$2,wallet_records!$H:$H,'EEFF 2024'!$B12)</f>
        <v>0</v>
      </c>
      <c r="S12" s="115">
        <f>SUMIFS(wallet_records!$D:$D,wallet_records!$B:$B,'EEFF 2024'!$C12,wallet_records!$L:$L,'EEFF 2024'!S$3,wallet_records!$O:$O,'EEFF 2024'!$B$1,wallet_records!$N:$N,'EEFF 2024'!S$2,wallet_records!$H:$H,'EEFF 2024'!$B12)</f>
        <v>0</v>
      </c>
      <c r="T12" s="115">
        <f>SUMIFS(wallet_records!$D:$D,wallet_records!$B:$B,'EEFF 2024'!$C12,wallet_records!$L:$L,'EEFF 2024'!T$3,wallet_records!$O:$O,'EEFF 2024'!$B$1,wallet_records!$N:$N,'EEFF 2024'!T$2,wallet_records!$H:$H,'EEFF 2024'!$B12)</f>
        <v>0</v>
      </c>
      <c r="U12" s="115">
        <f>SUMIFS(wallet_records!$D:$D,wallet_records!$B:$B,'EEFF 2024'!$C12,wallet_records!$L:$L,'EEFF 2024'!U$3,wallet_records!$O:$O,'EEFF 2024'!$B$1,wallet_records!$N:$N,'EEFF 2024'!U$2,wallet_records!$H:$H,'EEFF 2024'!$B12)</f>
        <v>0</v>
      </c>
      <c r="V12" s="115">
        <f>SUMIFS(wallet_records!$D:$D,wallet_records!$B:$B,'EEFF 2024'!$C12,wallet_records!$L:$L,'EEFF 2024'!V$3,wallet_records!$O:$O,'EEFF 2024'!$B$1,wallet_records!$N:$N,'EEFF 2024'!V$2,wallet_records!$H:$H,'EEFF 2024'!$B12)</f>
        <v>0</v>
      </c>
      <c r="W12" s="115">
        <f>SUMIFS(wallet_records!$D:$D,wallet_records!$B:$B,'EEFF 2024'!$C12,wallet_records!$L:$L,'EEFF 2024'!W$3,wallet_records!$O:$O,'EEFF 2024'!$B$1,wallet_records!$N:$N,'EEFF 2024'!W$2,wallet_records!$H:$H,'EEFF 2024'!$B12)</f>
        <v>0</v>
      </c>
      <c r="X12" s="116">
        <f t="shared" si="16"/>
        <v>0</v>
      </c>
      <c r="Y12" s="115">
        <f>SUMIFS(wallet_records!$D:$D,wallet_records!$B:$B,'EEFF 2024'!$C12,wallet_records!$L:$L,'EEFF 2024'!Y$3,wallet_records!$O:$O,'EEFF 2024'!$B$1,wallet_records!$N:$N,'EEFF 2024'!Y$2,wallet_records!$H:$H,'EEFF 2024'!$B12)</f>
        <v>0</v>
      </c>
      <c r="Z12" s="115">
        <f>SUMIFS(wallet_records!$D:$D,wallet_records!$B:$B,'EEFF 2024'!$C12,wallet_records!$L:$L,'EEFF 2024'!Z$3,wallet_records!$O:$O,'EEFF 2024'!$B$1,wallet_records!$N:$N,'EEFF 2024'!Z$2,wallet_records!$H:$H,'EEFF 2024'!$B12)</f>
        <v>0</v>
      </c>
      <c r="AA12" s="115">
        <f>SUMIFS(wallet_records!$D:$D,wallet_records!$B:$B,'EEFF 2024'!$C12,wallet_records!$L:$L,'EEFF 2024'!AA$3,wallet_records!$O:$O,'EEFF 2024'!$B$1,wallet_records!$N:$N,'EEFF 2024'!AA$2,wallet_records!$H:$H,'EEFF 2024'!$B12)</f>
        <v>0</v>
      </c>
      <c r="AB12" s="115">
        <f>SUMIFS(wallet_records!$D:$D,wallet_records!$B:$B,'EEFF 2024'!$C12,wallet_records!$L:$L,'EEFF 2024'!AB$3,wallet_records!$O:$O,'EEFF 2024'!$B$1,wallet_records!$N:$N,'EEFF 2024'!AB$2,wallet_records!$H:$H,'EEFF 2024'!$B12)</f>
        <v>0</v>
      </c>
      <c r="AC12" s="115">
        <f>SUMIFS(wallet_records!$D:$D,wallet_records!$B:$B,'EEFF 2024'!$C12,wallet_records!$L:$L,'EEFF 2024'!AC$3,wallet_records!$O:$O,'EEFF 2024'!$B$1,wallet_records!$N:$N,'EEFF 2024'!AC$2,wallet_records!$H:$H,'EEFF 2024'!$B12)</f>
        <v>0</v>
      </c>
      <c r="AD12" s="115">
        <f>SUMIFS(wallet_records!$D:$D,wallet_records!$B:$B,'EEFF 2024'!$C12,wallet_records!$L:$L,'EEFF 2024'!AD$3,wallet_records!$O:$O,'EEFF 2024'!$B$1,wallet_records!$N:$N,'EEFF 2024'!AD$2,wallet_records!$H:$H,'EEFF 2024'!$B12)</f>
        <v>0</v>
      </c>
      <c r="AE12" s="116">
        <f t="shared" si="17"/>
        <v>0</v>
      </c>
      <c r="AF12" s="115">
        <f>SUMIFS(wallet_records!$D:$D,wallet_records!$B:$B,'EEFF 2024'!$C12,wallet_records!$L:$L,'EEFF 2024'!AF$3,wallet_records!$O:$O,'EEFF 2024'!$B$1,wallet_records!$N:$N,'EEFF 2024'!AF$2,wallet_records!$H:$H,'EEFF 2024'!$B12)</f>
        <v>0</v>
      </c>
      <c r="AG12" s="115">
        <f>SUMIFS(wallet_records!$D:$D,wallet_records!$B:$B,'EEFF 2024'!$C12,wallet_records!$L:$L,'EEFF 2024'!AG$3,wallet_records!$O:$O,'EEFF 2024'!$B$1,wallet_records!$N:$N,'EEFF 2024'!AG$2,wallet_records!$H:$H,'EEFF 2024'!$B12)</f>
        <v>0</v>
      </c>
      <c r="AH12" s="115">
        <f>SUMIFS(wallet_records!$D:$D,wallet_records!$B:$B,'EEFF 2024'!$C12,wallet_records!$L:$L,'EEFF 2024'!AH$3,wallet_records!$O:$O,'EEFF 2024'!$B$1,wallet_records!$N:$N,'EEFF 2024'!AH$2,wallet_records!$H:$H,'EEFF 2024'!$B12)</f>
        <v>0</v>
      </c>
      <c r="AI12" s="115">
        <f>SUMIFS(wallet_records!$D:$D,wallet_records!$B:$B,'EEFF 2024'!$C12,wallet_records!$L:$L,'EEFF 2024'!AI$3,wallet_records!$O:$O,'EEFF 2024'!$B$1,wallet_records!$N:$N,'EEFF 2024'!AI$2,wallet_records!$H:$H,'EEFF 2024'!$B12)</f>
        <v>0</v>
      </c>
      <c r="AJ12" s="115">
        <f>SUMIFS(wallet_records!$D:$D,wallet_records!$B:$B,'EEFF 2024'!$C12,wallet_records!$L:$L,'EEFF 2024'!AJ$3,wallet_records!$O:$O,'EEFF 2024'!$B$1,wallet_records!$N:$N,'EEFF 2024'!AJ$2,wallet_records!$H:$H,'EEFF 2024'!$B12)</f>
        <v>0</v>
      </c>
      <c r="AK12" s="115">
        <f>SUMIFS(wallet_records!$D:$D,wallet_records!$B:$B,'EEFF 2024'!$C12,wallet_records!$L:$L,'EEFF 2024'!AK$3,wallet_records!$O:$O,'EEFF 2024'!$B$1,wallet_records!$N:$N,'EEFF 2024'!AK$2,wallet_records!$H:$H,'EEFF 2024'!$B12)</f>
        <v>0</v>
      </c>
      <c r="AL12" s="116">
        <f t="shared" si="18"/>
        <v>0</v>
      </c>
      <c r="AM12" s="115">
        <f>SUMIFS(wallet_records!$D:$D,wallet_records!$B:$B,'EEFF 2024'!$C12,wallet_records!$L:$L,'EEFF 2024'!AM$3,wallet_records!$O:$O,'EEFF 2024'!$B$1,wallet_records!$N:$N,'EEFF 2024'!AM$2,wallet_records!$H:$H,'EEFF 2024'!$B12)</f>
        <v>0</v>
      </c>
      <c r="AN12" s="115">
        <f>SUMIFS(wallet_records!$D:$D,wallet_records!$B:$B,'EEFF 2024'!$C12,wallet_records!$L:$L,'EEFF 2024'!AN$3,wallet_records!$O:$O,'EEFF 2024'!$B$1,wallet_records!$N:$N,'EEFF 2024'!AN$2,wallet_records!$H:$H,'EEFF 2024'!$B12)</f>
        <v>0</v>
      </c>
      <c r="AO12" s="115">
        <f>SUMIFS(wallet_records!$D:$D,wallet_records!$B:$B,'EEFF 2024'!$C12,wallet_records!$L:$L,'EEFF 2024'!AO$3,wallet_records!$O:$O,'EEFF 2024'!$B$1,wallet_records!$N:$N,'EEFF 2024'!AO$2,wallet_records!$H:$H,'EEFF 2024'!$B12)</f>
        <v>0</v>
      </c>
      <c r="AP12" s="115">
        <f>SUMIFS(wallet_records!$D:$D,wallet_records!$B:$B,'EEFF 2024'!$C12,wallet_records!$L:$L,'EEFF 2024'!AP$3,wallet_records!$O:$O,'EEFF 2024'!$B$1,wallet_records!$N:$N,'EEFF 2024'!AP$2,wallet_records!$H:$H,'EEFF 2024'!$B12)</f>
        <v>0</v>
      </c>
      <c r="AQ12" s="115">
        <f>SUMIFS(wallet_records!$D:$D,wallet_records!$B:$B,'EEFF 2024'!$C12,wallet_records!$L:$L,'EEFF 2024'!AQ$3,wallet_records!$O:$O,'EEFF 2024'!$B$1,wallet_records!$N:$N,'EEFF 2024'!AQ$2,wallet_records!$H:$H,'EEFF 2024'!$B12)</f>
        <v>0</v>
      </c>
      <c r="AR12" s="115">
        <f>SUMIFS(wallet_records!$D:$D,wallet_records!$B:$B,'EEFF 2024'!$C12,wallet_records!$L:$L,'EEFF 2024'!AR$3,wallet_records!$O:$O,'EEFF 2024'!$B$1,wallet_records!$N:$N,'EEFF 2024'!AR$2,wallet_records!$H:$H,'EEFF 2024'!$B12)</f>
        <v>0</v>
      </c>
      <c r="AS12" s="116">
        <f t="shared" si="19"/>
        <v>0</v>
      </c>
      <c r="AT12" s="115">
        <f>SUMIFS(wallet_records!$D:$D,wallet_records!$B:$B,'EEFF 2024'!$C12,wallet_records!$L:$L,'EEFF 2024'!AT$3,wallet_records!$O:$O,'EEFF 2024'!$B$1,wallet_records!$N:$N,'EEFF 2024'!AT$2,wallet_records!$H:$H,'EEFF 2024'!$B12)</f>
        <v>0</v>
      </c>
      <c r="AU12" s="115">
        <f>SUMIFS(wallet_records!$D:$D,wallet_records!$B:$B,'EEFF 2024'!$C12,wallet_records!$L:$L,'EEFF 2024'!AU$3,wallet_records!$O:$O,'EEFF 2024'!$B$1,wallet_records!$N:$N,'EEFF 2024'!AU$2,wallet_records!$H:$H,'EEFF 2024'!$B12)</f>
        <v>0</v>
      </c>
      <c r="AV12" s="115">
        <f>SUMIFS(wallet_records!$D:$D,wallet_records!$B:$B,'EEFF 2024'!$C12,wallet_records!$L:$L,'EEFF 2024'!AV$3,wallet_records!$O:$O,'EEFF 2024'!$B$1,wallet_records!$N:$N,'EEFF 2024'!AV$2,wallet_records!$H:$H,'EEFF 2024'!$B12)</f>
        <v>0</v>
      </c>
      <c r="AW12" s="115">
        <f>SUMIFS(wallet_records!$D:$D,wallet_records!$B:$B,'EEFF 2024'!$C12,wallet_records!$L:$L,'EEFF 2024'!AW$3,wallet_records!$O:$O,'EEFF 2024'!$B$1,wallet_records!$N:$N,'EEFF 2024'!AW$2,wallet_records!$H:$H,'EEFF 2024'!$B12)</f>
        <v>0</v>
      </c>
      <c r="AX12" s="115">
        <f>SUMIFS(wallet_records!$D:$D,wallet_records!$B:$B,'EEFF 2024'!$C12,wallet_records!$L:$L,'EEFF 2024'!AX$3,wallet_records!$O:$O,'EEFF 2024'!$B$1,wallet_records!$N:$N,'EEFF 2024'!AX$2,wallet_records!$H:$H,'EEFF 2024'!$B12)</f>
        <v>0</v>
      </c>
      <c r="AY12" s="115">
        <f>SUMIFS(wallet_records!$D:$D,wallet_records!$B:$B,'EEFF 2024'!$C12,wallet_records!$L:$L,'EEFF 2024'!AY$3,wallet_records!$O:$O,'EEFF 2024'!$B$1,wallet_records!$N:$N,'EEFF 2024'!AY$2,wallet_records!$H:$H,'EEFF 2024'!$B12)</f>
        <v>111000</v>
      </c>
      <c r="AZ12" s="116">
        <f t="shared" si="20"/>
        <v>111000</v>
      </c>
      <c r="BA12" s="115">
        <f>SUMIFS(wallet_records!$D:$D,wallet_records!$B:$B,'EEFF 2024'!$C12,wallet_records!$L:$L,'EEFF 2024'!BA$3,wallet_records!$O:$O,'EEFF 2024'!$B$1,wallet_records!$N:$N,'EEFF 2024'!BA$2,wallet_records!$H:$H,'EEFF 2024'!$B12)</f>
        <v>0</v>
      </c>
      <c r="BB12" s="115">
        <f>SUMIFS(wallet_records!$D:$D,wallet_records!$B:$B,'EEFF 2024'!$C12,wallet_records!$L:$L,'EEFF 2024'!BB$3,wallet_records!$O:$O,'EEFF 2024'!$B$1,wallet_records!$N:$N,'EEFF 2024'!BB$2,wallet_records!$H:$H,'EEFF 2024'!$B12)</f>
        <v>0</v>
      </c>
      <c r="BC12" s="115">
        <f>SUMIFS(wallet_records!$D:$D,wallet_records!$B:$B,'EEFF 2024'!$C12,wallet_records!$L:$L,'EEFF 2024'!BC$3,wallet_records!$O:$O,'EEFF 2024'!$B$1,wallet_records!$N:$N,'EEFF 2024'!BC$2,wallet_records!$H:$H,'EEFF 2024'!$B12)</f>
        <v>0</v>
      </c>
      <c r="BD12" s="115">
        <f>SUMIFS(wallet_records!$D:$D,wallet_records!$B:$B,'EEFF 2024'!$C12,wallet_records!$L:$L,'EEFF 2024'!BD$3,wallet_records!$O:$O,'EEFF 2024'!$B$1,wallet_records!$N:$N,'EEFF 2024'!BD$2,wallet_records!$H:$H,'EEFF 2024'!$B12)</f>
        <v>0</v>
      </c>
      <c r="BE12" s="115">
        <f>SUMIFS(wallet_records!$D:$D,wallet_records!$B:$B,'EEFF 2024'!$C12,wallet_records!$L:$L,'EEFF 2024'!BE$3,wallet_records!$O:$O,'EEFF 2024'!$B$1,wallet_records!$N:$N,'EEFF 2024'!BE$2,wallet_records!$H:$H,'EEFF 2024'!$B12)</f>
        <v>0</v>
      </c>
      <c r="BF12" s="115">
        <f>SUMIFS(wallet_records!$D:$D,wallet_records!$B:$B,'EEFF 2024'!$C12,wallet_records!$L:$L,'EEFF 2024'!BF$3,wallet_records!$O:$O,'EEFF 2024'!$B$1,wallet_records!$N:$N,'EEFF 2024'!BF$2,wallet_records!$H:$H,'EEFF 2024'!$B12)</f>
        <v>0</v>
      </c>
      <c r="BG12" s="116">
        <f t="shared" si="21"/>
        <v>0</v>
      </c>
      <c r="BH12" s="115">
        <f>SUMIFS(wallet_records!$D:$D,wallet_records!$B:$B,'EEFF 2024'!$C12,wallet_records!$L:$L,'EEFF 2024'!BH$3,wallet_records!$O:$O,'EEFF 2024'!$B$1,wallet_records!$N:$N,'EEFF 2024'!BH$2,wallet_records!$H:$H,'EEFF 2024'!$B12)</f>
        <v>0</v>
      </c>
      <c r="BI12" s="115">
        <f>SUMIFS(wallet_records!$D:$D,wallet_records!$B:$B,'EEFF 2024'!$C12,wallet_records!$L:$L,'EEFF 2024'!BI$3,wallet_records!$O:$O,'EEFF 2024'!$B$1,wallet_records!$N:$N,'EEFF 2024'!BI$2,wallet_records!$H:$H,'EEFF 2024'!$B12)</f>
        <v>0</v>
      </c>
      <c r="BJ12" s="115">
        <f>SUMIFS(wallet_records!$D:$D,wallet_records!$B:$B,'EEFF 2024'!$C12,wallet_records!$L:$L,'EEFF 2024'!BJ$3,wallet_records!$O:$O,'EEFF 2024'!$B$1,wallet_records!$N:$N,'EEFF 2024'!BJ$2,wallet_records!$H:$H,'EEFF 2024'!$B12)</f>
        <v>0</v>
      </c>
      <c r="BK12" s="115">
        <f>SUMIFS(wallet_records!$D:$D,wallet_records!$B:$B,'EEFF 2024'!$C12,wallet_records!$L:$L,'EEFF 2024'!BK$3,wallet_records!$O:$O,'EEFF 2024'!$B$1,wallet_records!$N:$N,'EEFF 2024'!BK$2,wallet_records!$H:$H,'EEFF 2024'!$B12)</f>
        <v>0</v>
      </c>
      <c r="BL12" s="115">
        <f>SUMIFS(wallet_records!$D:$D,wallet_records!$B:$B,'EEFF 2024'!$C12,wallet_records!$L:$L,'EEFF 2024'!BL$3,wallet_records!$O:$O,'EEFF 2024'!$B$1,wallet_records!$N:$N,'EEFF 2024'!BL$2,wallet_records!$H:$H,'EEFF 2024'!$B12)</f>
        <v>0</v>
      </c>
      <c r="BM12" s="115">
        <f>SUMIFS(wallet_records!$D:$D,wallet_records!$B:$B,'EEFF 2024'!$C12,wallet_records!$L:$L,'EEFF 2024'!BM$3,wallet_records!$O:$O,'EEFF 2024'!$B$1,wallet_records!$N:$N,'EEFF 2024'!BM$2,wallet_records!$H:$H,'EEFF 2024'!$B12)</f>
        <v>0</v>
      </c>
      <c r="BN12" s="116">
        <f t="shared" si="22"/>
        <v>0</v>
      </c>
      <c r="BO12" s="115">
        <f>SUMIFS(wallet_records!$D:$D,wallet_records!$B:$B,'EEFF 2024'!$C12,wallet_records!$L:$L,'EEFF 2024'!BO$3,wallet_records!$O:$O,'EEFF 2024'!$B$1,wallet_records!$N:$N,'EEFF 2024'!BO$2,wallet_records!$H:$H,'EEFF 2024'!$B12)</f>
        <v>0</v>
      </c>
      <c r="BP12" s="115">
        <f>SUMIFS(wallet_records!$D:$D,wallet_records!$B:$B,'EEFF 2024'!$C12,wallet_records!$L:$L,'EEFF 2024'!BP$3,wallet_records!$O:$O,'EEFF 2024'!$B$1,wallet_records!$N:$N,'EEFF 2024'!BP$2,wallet_records!$H:$H,'EEFF 2024'!$B12)</f>
        <v>0</v>
      </c>
      <c r="BQ12" s="115">
        <f>SUMIFS(wallet_records!$D:$D,wallet_records!$B:$B,'EEFF 2024'!$C12,wallet_records!$L:$L,'EEFF 2024'!BQ$3,wallet_records!$O:$O,'EEFF 2024'!$B$1,wallet_records!$N:$N,'EEFF 2024'!BQ$2,wallet_records!$H:$H,'EEFF 2024'!$B12)</f>
        <v>0</v>
      </c>
      <c r="BR12" s="115">
        <f>SUMIFS(wallet_records!$D:$D,wallet_records!$B:$B,'EEFF 2024'!$C12,wallet_records!$L:$L,'EEFF 2024'!BR$3,wallet_records!$O:$O,'EEFF 2024'!$B$1,wallet_records!$N:$N,'EEFF 2024'!BR$2,wallet_records!$H:$H,'EEFF 2024'!$B12)</f>
        <v>0</v>
      </c>
      <c r="BS12" s="115">
        <f>SUMIFS(wallet_records!$D:$D,wallet_records!$B:$B,'EEFF 2024'!$C12,wallet_records!$L:$L,'EEFF 2024'!BS$3,wallet_records!$O:$O,'EEFF 2024'!$B$1,wallet_records!$N:$N,'EEFF 2024'!BS$2,wallet_records!$H:$H,'EEFF 2024'!$B12)</f>
        <v>0</v>
      </c>
      <c r="BT12" s="115">
        <f>SUMIFS(wallet_records!$D:$D,wallet_records!$B:$B,'EEFF 2024'!$C12,wallet_records!$L:$L,'EEFF 2024'!BT$3,wallet_records!$O:$O,'EEFF 2024'!$B$1,wallet_records!$N:$N,'EEFF 2024'!BT$2,wallet_records!$H:$H,'EEFF 2024'!$B12)</f>
        <v>0</v>
      </c>
      <c r="BU12" s="116">
        <f t="shared" si="23"/>
        <v>0</v>
      </c>
      <c r="BV12" s="115">
        <f>SUMIFS(wallet_records!$D:$D,wallet_records!$B:$B,'EEFF 2024'!$C12,wallet_records!$L:$L,'EEFF 2024'!BV$3,wallet_records!$O:$O,'EEFF 2024'!$B$1,wallet_records!$N:$N,'EEFF 2024'!BV$2,wallet_records!$H:$H,'EEFF 2024'!$B12)</f>
        <v>0</v>
      </c>
      <c r="BW12" s="115">
        <f>SUMIFS(wallet_records!$D:$D,wallet_records!$B:$B,'EEFF 2024'!$C12,wallet_records!$L:$L,'EEFF 2024'!BW$3,wallet_records!$O:$O,'EEFF 2024'!$B$1,wallet_records!$N:$N,'EEFF 2024'!BW$2,wallet_records!$H:$H,'EEFF 2024'!$B12)</f>
        <v>0</v>
      </c>
      <c r="BX12" s="115">
        <f>SUMIFS(wallet_records!$D:$D,wallet_records!$B:$B,'EEFF 2024'!$C12,wallet_records!$L:$L,'EEFF 2024'!BX$3,wallet_records!$O:$O,'EEFF 2024'!$B$1,wallet_records!$N:$N,'EEFF 2024'!BX$2,wallet_records!$H:$H,'EEFF 2024'!$B12)</f>
        <v>0</v>
      </c>
      <c r="BY12" s="115">
        <f>SUMIFS(wallet_records!$D:$D,wallet_records!$B:$B,'EEFF 2024'!$C12,wallet_records!$L:$L,'EEFF 2024'!BY$3,wallet_records!$O:$O,'EEFF 2024'!$B$1,wallet_records!$N:$N,'EEFF 2024'!BY$2,wallet_records!$H:$H,'EEFF 2024'!$B12)</f>
        <v>0</v>
      </c>
      <c r="BZ12" s="115">
        <f>SUMIFS(wallet_records!$D:$D,wallet_records!$B:$B,'EEFF 2024'!$C12,wallet_records!$L:$L,'EEFF 2024'!BZ$3,wallet_records!$O:$O,'EEFF 2024'!$B$1,wallet_records!$N:$N,'EEFF 2024'!BZ$2,wallet_records!$H:$H,'EEFF 2024'!$B12)</f>
        <v>0</v>
      </c>
      <c r="CA12" s="115">
        <f>SUMIFS(wallet_records!$D:$D,wallet_records!$B:$B,'EEFF 2024'!$C12,wallet_records!$L:$L,'EEFF 2024'!CA$3,wallet_records!$O:$O,'EEFF 2024'!$B$1,wallet_records!$N:$N,'EEFF 2024'!CA$2,wallet_records!$H:$H,'EEFF 2024'!$B12)</f>
        <v>0</v>
      </c>
      <c r="CB12" s="116">
        <f t="shared" si="24"/>
        <v>0</v>
      </c>
      <c r="CC12" s="115">
        <f>SUMIFS(wallet_records!$D:$D,wallet_records!$B:$B,'EEFF 2024'!$C12,wallet_records!$L:$L,'EEFF 2024'!CC$3,wallet_records!$O:$O,'EEFF 2024'!$B$1,wallet_records!$N:$N,'EEFF 2024'!CC$2,wallet_records!$H:$H,'EEFF 2024'!$B12)</f>
        <v>0</v>
      </c>
      <c r="CD12" s="115">
        <f>SUMIFS(wallet_records!$D:$D,wallet_records!$B:$B,'EEFF 2024'!$C12,wallet_records!$L:$L,'EEFF 2024'!CD$3,wallet_records!$O:$O,'EEFF 2024'!$B$1,wallet_records!$N:$N,'EEFF 2024'!CD$2,wallet_records!$H:$H,'EEFF 2024'!$B12)</f>
        <v>0</v>
      </c>
      <c r="CE12" s="115">
        <f>SUMIFS(wallet_records!$D:$D,wallet_records!$B:$B,'EEFF 2024'!$C12,wallet_records!$L:$L,'EEFF 2024'!CE$3,wallet_records!$O:$O,'EEFF 2024'!$B$1,wallet_records!$N:$N,'EEFF 2024'!CE$2,wallet_records!$H:$H,'EEFF 2024'!$B12)</f>
        <v>0</v>
      </c>
      <c r="CF12" s="115">
        <f>SUMIFS(wallet_records!$D:$D,wallet_records!$B:$B,'EEFF 2024'!$C12,wallet_records!$L:$L,'EEFF 2024'!CF$3,wallet_records!$O:$O,'EEFF 2024'!$B$1,wallet_records!$N:$N,'EEFF 2024'!CF$2,wallet_records!$H:$H,'EEFF 2024'!$B12)</f>
        <v>0</v>
      </c>
      <c r="CG12" s="115">
        <f>SUMIFS(wallet_records!$D:$D,wallet_records!$B:$B,'EEFF 2024'!$C12,wallet_records!$L:$L,'EEFF 2024'!CG$3,wallet_records!$O:$O,'EEFF 2024'!$B$1,wallet_records!$N:$N,'EEFF 2024'!CG$2,wallet_records!$H:$H,'EEFF 2024'!$B12)</f>
        <v>0</v>
      </c>
      <c r="CH12" s="115">
        <f>SUMIFS(wallet_records!$D:$D,wallet_records!$B:$B,'EEFF 2024'!$C12,wallet_records!$L:$L,'EEFF 2024'!CH$3,wallet_records!$O:$O,'EEFF 2024'!$B$1,wallet_records!$N:$N,'EEFF 2024'!CH$2,wallet_records!$H:$H,'EEFF 2024'!$B12)</f>
        <v>0</v>
      </c>
      <c r="CI12" s="116">
        <f t="shared" si="25"/>
        <v>0</v>
      </c>
      <c r="CJ12" s="115">
        <f>SUMIFS(wallet_records!$D:$D,wallet_records!$B:$B,'EEFF 2024'!$C12,wallet_records!$L:$L,'EEFF 2024'!CJ$3,wallet_records!$O:$O,'EEFF 2024'!$B$1,wallet_records!$H:$H,'EEFF 2024'!$B12)</f>
        <v>1926459</v>
      </c>
      <c r="CK12" s="115">
        <f>SUMIFS(wallet_records!$D:$D,wallet_records!$B:$B,'EEFF 2024'!$C12,wallet_records!$L:$L,'EEFF 2024'!CK$3,wallet_records!$O:$O,'EEFF 2024'!$B$1,wallet_records!$H:$H,'EEFF 2024'!$B12)</f>
        <v>3442766</v>
      </c>
      <c r="CL12" s="115">
        <f>SUMIFS(wallet_records!$D:$D,wallet_records!$B:$B,'EEFF 2024'!$C12,wallet_records!$L:$L,'EEFF 2024'!CL$3,wallet_records!$O:$O,'EEFF 2024'!$B$1,wallet_records!$H:$H,'EEFF 2024'!$B12)</f>
        <v>1556970</v>
      </c>
      <c r="CM12" s="115">
        <f>SUMIFS(wallet_records!$D:$D,wallet_records!$B:$B,'EEFF 2024'!$C12,wallet_records!$L:$L,'EEFF 2024'!CM$3,wallet_records!$O:$O,'EEFF 2024'!$B$1,wallet_records!$H:$H,'EEFF 2024'!$B12)</f>
        <v>279068</v>
      </c>
      <c r="CN12" s="115">
        <f>SUMIFS(wallet_records!$D:$D,wallet_records!$B:$B,'EEFF 2024'!$C12,wallet_records!$L:$L,'EEFF 2024'!CN$3,wallet_records!$O:$O,'EEFF 2024'!$B$1,wallet_records!$H:$H,'EEFF 2024'!$B12)</f>
        <v>1032495</v>
      </c>
      <c r="CO12" s="115">
        <f>SUMIFS(wallet_records!$D:$D,wallet_records!$B:$B,'EEFF 2024'!$C12,wallet_records!$L:$L,'EEFF 2024'!CO$3,wallet_records!$O:$O,'EEFF 2024'!$B$1,wallet_records!$H:$H,'EEFF 2024'!$B12)</f>
        <v>911108</v>
      </c>
      <c r="CP12" s="116">
        <f t="shared" si="26"/>
        <v>9148866</v>
      </c>
      <c r="CQ12" s="107"/>
      <c r="CR12" s="118">
        <f t="shared" si="0"/>
        <v>1.3180412800000001</v>
      </c>
      <c r="CS12" s="118">
        <f t="shared" si="1"/>
        <v>0.28073964912280702</v>
      </c>
      <c r="CT12" s="118">
        <f t="shared" si="2"/>
        <v>0</v>
      </c>
      <c r="CU12" s="118">
        <f t="shared" si="3"/>
        <v>0</v>
      </c>
      <c r="CV12" s="118">
        <f t="shared" si="4"/>
        <v>0</v>
      </c>
      <c r="CW12" s="118">
        <f t="shared" si="5"/>
        <v>0</v>
      </c>
      <c r="CX12" s="118">
        <f t="shared" si="6"/>
        <v>1.3651457385315459E-2</v>
      </c>
      <c r="CY12" s="118">
        <f t="shared" si="7"/>
        <v>0</v>
      </c>
      <c r="CZ12" s="118">
        <f t="shared" si="8"/>
        <v>0</v>
      </c>
      <c r="DA12" s="118">
        <f t="shared" si="9"/>
        <v>0</v>
      </c>
      <c r="DB12" s="118">
        <f t="shared" si="10"/>
        <v>0</v>
      </c>
      <c r="DC12" s="118">
        <f t="shared" si="11"/>
        <v>0</v>
      </c>
    </row>
    <row r="13" spans="2:120" x14ac:dyDescent="0.2">
      <c r="B13" s="10" t="s">
        <v>510</v>
      </c>
      <c r="C13" s="191" t="s">
        <v>154</v>
      </c>
      <c r="D13" s="115">
        <f>SUMIFS(wallet_records!$D:$D,wallet_records!$B:$B,'EEFF 2024'!$C13,wallet_records!$L:$L,'EEFF 2024'!D$3,wallet_records!$O:$O,'EEFF 2024'!$B$1,wallet_records!$N:$N,'EEFF 2024'!D$2,wallet_records!$H:$H,'EEFF 2024'!$B13)</f>
        <v>0</v>
      </c>
      <c r="E13" s="115">
        <f>SUMIFS(wallet_records!$D:$D,wallet_records!$B:$B,'EEFF 2024'!$C13,wallet_records!$L:$L,'EEFF 2024'!E$3,wallet_records!$O:$O,'EEFF 2024'!$B$1,wallet_records!$N:$N,'EEFF 2024'!E$2,wallet_records!$H:$H,'EEFF 2024'!$B13)</f>
        <v>0</v>
      </c>
      <c r="F13" s="115">
        <f>SUMIFS(wallet_records!$D:$D,wallet_records!$B:$B,'EEFF 2024'!$C13,wallet_records!$L:$L,'EEFF 2024'!F$3,wallet_records!$O:$O,'EEFF 2024'!$B$1,wallet_records!$N:$N,'EEFF 2024'!F$2,wallet_records!$H:$H,'EEFF 2024'!$B13)</f>
        <v>0</v>
      </c>
      <c r="G13" s="115">
        <f>SUMIFS(wallet_records!$D:$D,wallet_records!$B:$B,'EEFF 2024'!$C13,wallet_records!$L:$L,'EEFF 2024'!G$3,wallet_records!$O:$O,'EEFF 2024'!$B$1,wallet_records!$N:$N,'EEFF 2024'!G$2,wallet_records!$H:$H,'EEFF 2024'!$B13)</f>
        <v>0</v>
      </c>
      <c r="H13" s="115">
        <f>SUMIFS(wallet_records!$D:$D,wallet_records!$B:$B,'EEFF 2024'!$C13,wallet_records!$L:$L,'EEFF 2024'!H$3,wallet_records!$O:$O,'EEFF 2024'!$B$1,wallet_records!$N:$N,'EEFF 2024'!H$2,wallet_records!$H:$H,'EEFF 2024'!$B13)</f>
        <v>0</v>
      </c>
      <c r="I13" s="115">
        <f>SUMIFS(wallet_records!$D:$D,wallet_records!$B:$B,'EEFF 2024'!$C13,wallet_records!$L:$L,'EEFF 2024'!I$3,wallet_records!$O:$O,'EEFF 2024'!$B$1,wallet_records!$N:$N,'EEFF 2024'!I$2,wallet_records!$H:$H,'EEFF 2024'!$B13)</f>
        <v>0</v>
      </c>
      <c r="J13" s="116">
        <f t="shared" si="14"/>
        <v>0</v>
      </c>
      <c r="K13" s="115">
        <f>SUMIFS(wallet_records!$D:$D,wallet_records!$B:$B,'EEFF 2024'!$C13,wallet_records!$L:$L,'EEFF 2024'!K$3,wallet_records!$O:$O,'EEFF 2024'!$B$1,wallet_records!$N:$N,'EEFF 2024'!K$2,wallet_records!$H:$H,'EEFF 2024'!$B13)</f>
        <v>0</v>
      </c>
      <c r="L13" s="115">
        <f>SUMIFS(wallet_records!$D:$D,wallet_records!$B:$B,'EEFF 2024'!$C13,wallet_records!$L:$L,'EEFF 2024'!L$3,wallet_records!$O:$O,'EEFF 2024'!$B$1,wallet_records!$N:$N,'EEFF 2024'!L$2,wallet_records!$H:$H,'EEFF 2024'!$B13)</f>
        <v>0</v>
      </c>
      <c r="M13" s="115">
        <f>SUMIFS(wallet_records!$D:$D,wallet_records!$B:$B,'EEFF 2024'!$C13,wallet_records!$L:$L,'EEFF 2024'!M$3,wallet_records!$O:$O,'EEFF 2024'!$B$1,wallet_records!$N:$N,'EEFF 2024'!M$2,wallet_records!$H:$H,'EEFF 2024'!$B13)</f>
        <v>0</v>
      </c>
      <c r="N13" s="115">
        <f>SUMIFS(wallet_records!$D:$D,wallet_records!$B:$B,'EEFF 2024'!$C13,wallet_records!$L:$L,'EEFF 2024'!N$3,wallet_records!$O:$O,'EEFF 2024'!$B$1,wallet_records!$N:$N,'EEFF 2024'!N$2,wallet_records!$H:$H,'EEFF 2024'!$B13)</f>
        <v>0</v>
      </c>
      <c r="O13" s="115">
        <f>SUMIFS(wallet_records!$D:$D,wallet_records!$B:$B,'EEFF 2024'!$C13,wallet_records!$L:$L,'EEFF 2024'!O$3,wallet_records!$O:$O,'EEFF 2024'!$B$1,wallet_records!$N:$N,'EEFF 2024'!O$2,wallet_records!$H:$H,'EEFF 2024'!$B13)</f>
        <v>0</v>
      </c>
      <c r="P13" s="115">
        <f>SUMIFS(wallet_records!$D:$D,wallet_records!$B:$B,'EEFF 2024'!$C13,wallet_records!$L:$L,'EEFF 2024'!P$3,wallet_records!$O:$O,'EEFF 2024'!$B$1,wallet_records!$N:$N,'EEFF 2024'!P$2,wallet_records!$H:$H,'EEFF 2024'!$B13)</f>
        <v>0</v>
      </c>
      <c r="Q13" s="116">
        <f t="shared" si="15"/>
        <v>0</v>
      </c>
      <c r="R13" s="115">
        <f>SUMIFS(wallet_records!$D:$D,wallet_records!$B:$B,'EEFF 2024'!$C13,wallet_records!$L:$L,'EEFF 2024'!R$3,wallet_records!$O:$O,'EEFF 2024'!$B$1,wallet_records!$N:$N,'EEFF 2024'!R$2,wallet_records!$H:$H,'EEFF 2024'!$B13)</f>
        <v>0</v>
      </c>
      <c r="S13" s="115">
        <f>SUMIFS(wallet_records!$D:$D,wallet_records!$B:$B,'EEFF 2024'!$C13,wallet_records!$L:$L,'EEFF 2024'!S$3,wallet_records!$O:$O,'EEFF 2024'!$B$1,wallet_records!$N:$N,'EEFF 2024'!S$2,wallet_records!$H:$H,'EEFF 2024'!$B13)</f>
        <v>0</v>
      </c>
      <c r="T13" s="115">
        <f>SUMIFS(wallet_records!$D:$D,wallet_records!$B:$B,'EEFF 2024'!$C13,wallet_records!$L:$L,'EEFF 2024'!T$3,wallet_records!$O:$O,'EEFF 2024'!$B$1,wallet_records!$N:$N,'EEFF 2024'!T$2,wallet_records!$H:$H,'EEFF 2024'!$B13)</f>
        <v>0</v>
      </c>
      <c r="U13" s="115">
        <f>SUMIFS(wallet_records!$D:$D,wallet_records!$B:$B,'EEFF 2024'!$C13,wallet_records!$L:$L,'EEFF 2024'!U$3,wallet_records!$O:$O,'EEFF 2024'!$B$1,wallet_records!$N:$N,'EEFF 2024'!U$2,wallet_records!$H:$H,'EEFF 2024'!$B13)</f>
        <v>0</v>
      </c>
      <c r="V13" s="115">
        <f>SUMIFS(wallet_records!$D:$D,wallet_records!$B:$B,'EEFF 2024'!$C13,wallet_records!$L:$L,'EEFF 2024'!V$3,wallet_records!$O:$O,'EEFF 2024'!$B$1,wallet_records!$N:$N,'EEFF 2024'!V$2,wallet_records!$H:$H,'EEFF 2024'!$B13)</f>
        <v>0</v>
      </c>
      <c r="W13" s="115">
        <f>SUMIFS(wallet_records!$D:$D,wallet_records!$B:$B,'EEFF 2024'!$C13,wallet_records!$L:$L,'EEFF 2024'!W$3,wallet_records!$O:$O,'EEFF 2024'!$B$1,wallet_records!$N:$N,'EEFF 2024'!W$2,wallet_records!$H:$H,'EEFF 2024'!$B13)</f>
        <v>0</v>
      </c>
      <c r="X13" s="116">
        <f t="shared" si="16"/>
        <v>0</v>
      </c>
      <c r="Y13" s="115">
        <f>SUMIFS(wallet_records!$D:$D,wallet_records!$B:$B,'EEFF 2024'!$C13,wallet_records!$L:$L,'EEFF 2024'!Y$3,wallet_records!$O:$O,'EEFF 2024'!$B$1,wallet_records!$N:$N,'EEFF 2024'!Y$2,wallet_records!$H:$H,'EEFF 2024'!$B13)</f>
        <v>0</v>
      </c>
      <c r="Z13" s="115">
        <f>SUMIFS(wallet_records!$D:$D,wallet_records!$B:$B,'EEFF 2024'!$C13,wallet_records!$L:$L,'EEFF 2024'!Z$3,wallet_records!$O:$O,'EEFF 2024'!$B$1,wallet_records!$N:$N,'EEFF 2024'!Z$2,wallet_records!$H:$H,'EEFF 2024'!$B13)</f>
        <v>0</v>
      </c>
      <c r="AA13" s="115">
        <f>SUMIFS(wallet_records!$D:$D,wallet_records!$B:$B,'EEFF 2024'!$C13,wallet_records!$L:$L,'EEFF 2024'!AA$3,wallet_records!$O:$O,'EEFF 2024'!$B$1,wallet_records!$N:$N,'EEFF 2024'!AA$2,wallet_records!$H:$H,'EEFF 2024'!$B13)</f>
        <v>0</v>
      </c>
      <c r="AB13" s="115">
        <f>SUMIFS(wallet_records!$D:$D,wallet_records!$B:$B,'EEFF 2024'!$C13,wallet_records!$L:$L,'EEFF 2024'!AB$3,wallet_records!$O:$O,'EEFF 2024'!$B$1,wallet_records!$N:$N,'EEFF 2024'!AB$2,wallet_records!$H:$H,'EEFF 2024'!$B13)</f>
        <v>0</v>
      </c>
      <c r="AC13" s="115">
        <f>SUMIFS(wallet_records!$D:$D,wallet_records!$B:$B,'EEFF 2024'!$C13,wallet_records!$L:$L,'EEFF 2024'!AC$3,wallet_records!$O:$O,'EEFF 2024'!$B$1,wallet_records!$N:$N,'EEFF 2024'!AC$2,wallet_records!$H:$H,'EEFF 2024'!$B13)</f>
        <v>0</v>
      </c>
      <c r="AD13" s="115">
        <f>SUMIFS(wallet_records!$D:$D,wallet_records!$B:$B,'EEFF 2024'!$C13,wallet_records!$L:$L,'EEFF 2024'!AD$3,wallet_records!$O:$O,'EEFF 2024'!$B$1,wallet_records!$N:$N,'EEFF 2024'!AD$2,wallet_records!$H:$H,'EEFF 2024'!$B13)</f>
        <v>0</v>
      </c>
      <c r="AE13" s="116">
        <f t="shared" si="17"/>
        <v>0</v>
      </c>
      <c r="AF13" s="115">
        <f>SUMIFS(wallet_records!$D:$D,wallet_records!$B:$B,'EEFF 2024'!$C13,wallet_records!$L:$L,'EEFF 2024'!AF$3,wallet_records!$O:$O,'EEFF 2024'!$B$1,wallet_records!$N:$N,'EEFF 2024'!AF$2,wallet_records!$H:$H,'EEFF 2024'!$B13)</f>
        <v>0</v>
      </c>
      <c r="AG13" s="115">
        <f>SUMIFS(wallet_records!$D:$D,wallet_records!$B:$B,'EEFF 2024'!$C13,wallet_records!$L:$L,'EEFF 2024'!AG$3,wallet_records!$O:$O,'EEFF 2024'!$B$1,wallet_records!$N:$N,'EEFF 2024'!AG$2,wallet_records!$H:$H,'EEFF 2024'!$B13)</f>
        <v>0</v>
      </c>
      <c r="AH13" s="115">
        <f>SUMIFS(wallet_records!$D:$D,wallet_records!$B:$B,'EEFF 2024'!$C13,wallet_records!$L:$L,'EEFF 2024'!AH$3,wallet_records!$O:$O,'EEFF 2024'!$B$1,wallet_records!$N:$N,'EEFF 2024'!AH$2,wallet_records!$H:$H,'EEFF 2024'!$B13)</f>
        <v>0</v>
      </c>
      <c r="AI13" s="115">
        <f>SUMIFS(wallet_records!$D:$D,wallet_records!$B:$B,'EEFF 2024'!$C13,wallet_records!$L:$L,'EEFF 2024'!AI$3,wallet_records!$O:$O,'EEFF 2024'!$B$1,wallet_records!$N:$N,'EEFF 2024'!AI$2,wallet_records!$H:$H,'EEFF 2024'!$B13)</f>
        <v>0</v>
      </c>
      <c r="AJ13" s="115">
        <f>SUMIFS(wallet_records!$D:$D,wallet_records!$B:$B,'EEFF 2024'!$C13,wallet_records!$L:$L,'EEFF 2024'!AJ$3,wallet_records!$O:$O,'EEFF 2024'!$B$1,wallet_records!$N:$N,'EEFF 2024'!AJ$2,wallet_records!$H:$H,'EEFF 2024'!$B13)</f>
        <v>0</v>
      </c>
      <c r="AK13" s="115">
        <f>SUMIFS(wallet_records!$D:$D,wallet_records!$B:$B,'EEFF 2024'!$C13,wallet_records!$L:$L,'EEFF 2024'!AK$3,wallet_records!$O:$O,'EEFF 2024'!$B$1,wallet_records!$N:$N,'EEFF 2024'!AK$2,wallet_records!$H:$H,'EEFF 2024'!$B13)</f>
        <v>0</v>
      </c>
      <c r="AL13" s="116">
        <f t="shared" si="18"/>
        <v>0</v>
      </c>
      <c r="AM13" s="115">
        <f>SUMIFS(wallet_records!$D:$D,wallet_records!$B:$B,'EEFF 2024'!$C13,wallet_records!$L:$L,'EEFF 2024'!AM$3,wallet_records!$O:$O,'EEFF 2024'!$B$1,wallet_records!$N:$N,'EEFF 2024'!AM$2,wallet_records!$H:$H,'EEFF 2024'!$B13)</f>
        <v>0</v>
      </c>
      <c r="AN13" s="115">
        <f>SUMIFS(wallet_records!$D:$D,wallet_records!$B:$B,'EEFF 2024'!$C13,wallet_records!$L:$L,'EEFF 2024'!AN$3,wallet_records!$O:$O,'EEFF 2024'!$B$1,wallet_records!$N:$N,'EEFF 2024'!AN$2,wallet_records!$H:$H,'EEFF 2024'!$B13)</f>
        <v>0</v>
      </c>
      <c r="AO13" s="115">
        <f>SUMIFS(wallet_records!$D:$D,wallet_records!$B:$B,'EEFF 2024'!$C13,wallet_records!$L:$L,'EEFF 2024'!AO$3,wallet_records!$O:$O,'EEFF 2024'!$B$1,wallet_records!$N:$N,'EEFF 2024'!AO$2,wallet_records!$H:$H,'EEFF 2024'!$B13)</f>
        <v>0</v>
      </c>
      <c r="AP13" s="115">
        <f>SUMIFS(wallet_records!$D:$D,wallet_records!$B:$B,'EEFF 2024'!$C13,wallet_records!$L:$L,'EEFF 2024'!AP$3,wallet_records!$O:$O,'EEFF 2024'!$B$1,wallet_records!$N:$N,'EEFF 2024'!AP$2,wallet_records!$H:$H,'EEFF 2024'!$B13)</f>
        <v>0</v>
      </c>
      <c r="AQ13" s="115">
        <f>SUMIFS(wallet_records!$D:$D,wallet_records!$B:$B,'EEFF 2024'!$C13,wallet_records!$L:$L,'EEFF 2024'!AQ$3,wallet_records!$O:$O,'EEFF 2024'!$B$1,wallet_records!$N:$N,'EEFF 2024'!AQ$2,wallet_records!$H:$H,'EEFF 2024'!$B13)</f>
        <v>0</v>
      </c>
      <c r="AR13" s="115">
        <f>SUMIFS(wallet_records!$D:$D,wallet_records!$B:$B,'EEFF 2024'!$C13,wallet_records!$L:$L,'EEFF 2024'!AR$3,wallet_records!$O:$O,'EEFF 2024'!$B$1,wallet_records!$N:$N,'EEFF 2024'!AR$2,wallet_records!$H:$H,'EEFF 2024'!$B13)</f>
        <v>0</v>
      </c>
      <c r="AS13" s="116">
        <f t="shared" si="19"/>
        <v>0</v>
      </c>
      <c r="AT13" s="115">
        <f>SUMIFS(wallet_records!$D:$D,wallet_records!$B:$B,'EEFF 2024'!$C13,wallet_records!$L:$L,'EEFF 2024'!AT$3,wallet_records!$O:$O,'EEFF 2024'!$B$1,wallet_records!$N:$N,'EEFF 2024'!AT$2,wallet_records!$H:$H,'EEFF 2024'!$B13)</f>
        <v>0</v>
      </c>
      <c r="AU13" s="115">
        <f>SUMIFS(wallet_records!$D:$D,wallet_records!$B:$B,'EEFF 2024'!$C13,wallet_records!$L:$L,'EEFF 2024'!AU$3,wallet_records!$O:$O,'EEFF 2024'!$B$1,wallet_records!$N:$N,'EEFF 2024'!AU$2,wallet_records!$H:$H,'EEFF 2024'!$B13)</f>
        <v>0</v>
      </c>
      <c r="AV13" s="115">
        <f>SUMIFS(wallet_records!$D:$D,wallet_records!$B:$B,'EEFF 2024'!$C13,wallet_records!$L:$L,'EEFF 2024'!AV$3,wallet_records!$O:$O,'EEFF 2024'!$B$1,wallet_records!$N:$N,'EEFF 2024'!AV$2,wallet_records!$H:$H,'EEFF 2024'!$B13)</f>
        <v>0</v>
      </c>
      <c r="AW13" s="115">
        <f>SUMIFS(wallet_records!$D:$D,wallet_records!$B:$B,'EEFF 2024'!$C13,wallet_records!$L:$L,'EEFF 2024'!AW$3,wallet_records!$O:$O,'EEFF 2024'!$B$1,wallet_records!$N:$N,'EEFF 2024'!AW$2,wallet_records!$H:$H,'EEFF 2024'!$B13)</f>
        <v>0</v>
      </c>
      <c r="AX13" s="115">
        <f>SUMIFS(wallet_records!$D:$D,wallet_records!$B:$B,'EEFF 2024'!$C13,wallet_records!$L:$L,'EEFF 2024'!AX$3,wallet_records!$O:$O,'EEFF 2024'!$B$1,wallet_records!$N:$N,'EEFF 2024'!AX$2,wallet_records!$H:$H,'EEFF 2024'!$B13)</f>
        <v>0</v>
      </c>
      <c r="AY13" s="115">
        <f>SUMIFS(wallet_records!$D:$D,wallet_records!$B:$B,'EEFF 2024'!$C13,wallet_records!$L:$L,'EEFF 2024'!AY$3,wallet_records!$O:$O,'EEFF 2024'!$B$1,wallet_records!$N:$N,'EEFF 2024'!AY$2,wallet_records!$H:$H,'EEFF 2024'!$B13)</f>
        <v>0</v>
      </c>
      <c r="AZ13" s="116">
        <f t="shared" si="20"/>
        <v>0</v>
      </c>
      <c r="BA13" s="115">
        <f>SUMIFS(wallet_records!$D:$D,wallet_records!$B:$B,'EEFF 2024'!$C13,wallet_records!$L:$L,'EEFF 2024'!BA$3,wallet_records!$O:$O,'EEFF 2024'!$B$1,wallet_records!$N:$N,'EEFF 2024'!BA$2,wallet_records!$H:$H,'EEFF 2024'!$B13)</f>
        <v>0</v>
      </c>
      <c r="BB13" s="115">
        <f>SUMIFS(wallet_records!$D:$D,wallet_records!$B:$B,'EEFF 2024'!$C13,wallet_records!$L:$L,'EEFF 2024'!BB$3,wallet_records!$O:$O,'EEFF 2024'!$B$1,wallet_records!$N:$N,'EEFF 2024'!BB$2,wallet_records!$H:$H,'EEFF 2024'!$B13)</f>
        <v>0</v>
      </c>
      <c r="BC13" s="115">
        <f>SUMIFS(wallet_records!$D:$D,wallet_records!$B:$B,'EEFF 2024'!$C13,wallet_records!$L:$L,'EEFF 2024'!BC$3,wallet_records!$O:$O,'EEFF 2024'!$B$1,wallet_records!$N:$N,'EEFF 2024'!BC$2,wallet_records!$H:$H,'EEFF 2024'!$B13)</f>
        <v>0</v>
      </c>
      <c r="BD13" s="115">
        <f>SUMIFS(wallet_records!$D:$D,wallet_records!$B:$B,'EEFF 2024'!$C13,wallet_records!$L:$L,'EEFF 2024'!BD$3,wallet_records!$O:$O,'EEFF 2024'!$B$1,wallet_records!$N:$N,'EEFF 2024'!BD$2,wallet_records!$H:$H,'EEFF 2024'!$B13)</f>
        <v>0</v>
      </c>
      <c r="BE13" s="115">
        <f>SUMIFS(wallet_records!$D:$D,wallet_records!$B:$B,'EEFF 2024'!$C13,wallet_records!$L:$L,'EEFF 2024'!BE$3,wallet_records!$O:$O,'EEFF 2024'!$B$1,wallet_records!$N:$N,'EEFF 2024'!BE$2,wallet_records!$H:$H,'EEFF 2024'!$B13)</f>
        <v>0</v>
      </c>
      <c r="BF13" s="115">
        <f>SUMIFS(wallet_records!$D:$D,wallet_records!$B:$B,'EEFF 2024'!$C13,wallet_records!$L:$L,'EEFF 2024'!BF$3,wallet_records!$O:$O,'EEFF 2024'!$B$1,wallet_records!$N:$N,'EEFF 2024'!BF$2,wallet_records!$H:$H,'EEFF 2024'!$B13)</f>
        <v>0</v>
      </c>
      <c r="BG13" s="116">
        <f t="shared" si="21"/>
        <v>0</v>
      </c>
      <c r="BH13" s="115">
        <f>SUMIFS(wallet_records!$D:$D,wallet_records!$B:$B,'EEFF 2024'!$C13,wallet_records!$L:$L,'EEFF 2024'!BH$3,wallet_records!$O:$O,'EEFF 2024'!$B$1,wallet_records!$N:$N,'EEFF 2024'!BH$2,wallet_records!$H:$H,'EEFF 2024'!$B13)</f>
        <v>0</v>
      </c>
      <c r="BI13" s="115">
        <f>SUMIFS(wallet_records!$D:$D,wallet_records!$B:$B,'EEFF 2024'!$C13,wallet_records!$L:$L,'EEFF 2024'!BI$3,wallet_records!$O:$O,'EEFF 2024'!$B$1,wallet_records!$N:$N,'EEFF 2024'!BI$2,wallet_records!$H:$H,'EEFF 2024'!$B13)</f>
        <v>0</v>
      </c>
      <c r="BJ13" s="115">
        <f>SUMIFS(wallet_records!$D:$D,wallet_records!$B:$B,'EEFF 2024'!$C13,wallet_records!$L:$L,'EEFF 2024'!BJ$3,wallet_records!$O:$O,'EEFF 2024'!$B$1,wallet_records!$N:$N,'EEFF 2024'!BJ$2,wallet_records!$H:$H,'EEFF 2024'!$B13)</f>
        <v>0</v>
      </c>
      <c r="BK13" s="115">
        <f>SUMIFS(wallet_records!$D:$D,wallet_records!$B:$B,'EEFF 2024'!$C13,wallet_records!$L:$L,'EEFF 2024'!BK$3,wallet_records!$O:$O,'EEFF 2024'!$B$1,wallet_records!$N:$N,'EEFF 2024'!BK$2,wallet_records!$H:$H,'EEFF 2024'!$B13)</f>
        <v>0</v>
      </c>
      <c r="BL13" s="115">
        <f>SUMIFS(wallet_records!$D:$D,wallet_records!$B:$B,'EEFF 2024'!$C13,wallet_records!$L:$L,'EEFF 2024'!BL$3,wallet_records!$O:$O,'EEFF 2024'!$B$1,wallet_records!$N:$N,'EEFF 2024'!BL$2,wallet_records!$H:$H,'EEFF 2024'!$B13)</f>
        <v>0</v>
      </c>
      <c r="BM13" s="115">
        <f>SUMIFS(wallet_records!$D:$D,wallet_records!$B:$B,'EEFF 2024'!$C13,wallet_records!$L:$L,'EEFF 2024'!BM$3,wallet_records!$O:$O,'EEFF 2024'!$B$1,wallet_records!$N:$N,'EEFF 2024'!BM$2,wallet_records!$H:$H,'EEFF 2024'!$B13)</f>
        <v>0</v>
      </c>
      <c r="BN13" s="116">
        <f t="shared" si="22"/>
        <v>0</v>
      </c>
      <c r="BO13" s="115">
        <f>SUMIFS(wallet_records!$D:$D,wallet_records!$B:$B,'EEFF 2024'!$C13,wallet_records!$L:$L,'EEFF 2024'!BO$3,wallet_records!$O:$O,'EEFF 2024'!$B$1,wallet_records!$N:$N,'EEFF 2024'!BO$2,wallet_records!$H:$H,'EEFF 2024'!$B13)</f>
        <v>0</v>
      </c>
      <c r="BP13" s="115">
        <f>SUMIFS(wallet_records!$D:$D,wallet_records!$B:$B,'EEFF 2024'!$C13,wallet_records!$L:$L,'EEFF 2024'!BP$3,wallet_records!$O:$O,'EEFF 2024'!$B$1,wallet_records!$N:$N,'EEFF 2024'!BP$2,wallet_records!$H:$H,'EEFF 2024'!$B13)</f>
        <v>0</v>
      </c>
      <c r="BQ13" s="115">
        <f>SUMIFS(wallet_records!$D:$D,wallet_records!$B:$B,'EEFF 2024'!$C13,wallet_records!$L:$L,'EEFF 2024'!BQ$3,wallet_records!$O:$O,'EEFF 2024'!$B$1,wallet_records!$N:$N,'EEFF 2024'!BQ$2,wallet_records!$H:$H,'EEFF 2024'!$B13)</f>
        <v>0</v>
      </c>
      <c r="BR13" s="115">
        <f>SUMIFS(wallet_records!$D:$D,wallet_records!$B:$B,'EEFF 2024'!$C13,wallet_records!$L:$L,'EEFF 2024'!BR$3,wallet_records!$O:$O,'EEFF 2024'!$B$1,wallet_records!$N:$N,'EEFF 2024'!BR$2,wallet_records!$H:$H,'EEFF 2024'!$B13)</f>
        <v>0</v>
      </c>
      <c r="BS13" s="115">
        <f>SUMIFS(wallet_records!$D:$D,wallet_records!$B:$B,'EEFF 2024'!$C13,wallet_records!$L:$L,'EEFF 2024'!BS$3,wallet_records!$O:$O,'EEFF 2024'!$B$1,wallet_records!$N:$N,'EEFF 2024'!BS$2,wallet_records!$H:$H,'EEFF 2024'!$B13)</f>
        <v>0</v>
      </c>
      <c r="BT13" s="115">
        <f>SUMIFS(wallet_records!$D:$D,wallet_records!$B:$B,'EEFF 2024'!$C13,wallet_records!$L:$L,'EEFF 2024'!BT$3,wallet_records!$O:$O,'EEFF 2024'!$B$1,wallet_records!$N:$N,'EEFF 2024'!BT$2,wallet_records!$H:$H,'EEFF 2024'!$B13)</f>
        <v>0</v>
      </c>
      <c r="BU13" s="116">
        <f t="shared" si="23"/>
        <v>0</v>
      </c>
      <c r="BV13" s="115">
        <f>SUMIFS(wallet_records!$D:$D,wallet_records!$B:$B,'EEFF 2024'!$C13,wallet_records!$L:$L,'EEFF 2024'!BV$3,wallet_records!$O:$O,'EEFF 2024'!$B$1,wallet_records!$N:$N,'EEFF 2024'!BV$2,wallet_records!$H:$H,'EEFF 2024'!$B13)</f>
        <v>0</v>
      </c>
      <c r="BW13" s="115">
        <f>SUMIFS(wallet_records!$D:$D,wallet_records!$B:$B,'EEFF 2024'!$C13,wallet_records!$L:$L,'EEFF 2024'!BW$3,wallet_records!$O:$O,'EEFF 2024'!$B$1,wallet_records!$N:$N,'EEFF 2024'!BW$2,wallet_records!$H:$H,'EEFF 2024'!$B13)</f>
        <v>0</v>
      </c>
      <c r="BX13" s="115">
        <f>SUMIFS(wallet_records!$D:$D,wallet_records!$B:$B,'EEFF 2024'!$C13,wallet_records!$L:$L,'EEFF 2024'!BX$3,wallet_records!$O:$O,'EEFF 2024'!$B$1,wallet_records!$N:$N,'EEFF 2024'!BX$2,wallet_records!$H:$H,'EEFF 2024'!$B13)</f>
        <v>0</v>
      </c>
      <c r="BY13" s="115">
        <f>SUMIFS(wallet_records!$D:$D,wallet_records!$B:$B,'EEFF 2024'!$C13,wallet_records!$L:$L,'EEFF 2024'!BY$3,wallet_records!$O:$O,'EEFF 2024'!$B$1,wallet_records!$N:$N,'EEFF 2024'!BY$2,wallet_records!$H:$H,'EEFF 2024'!$B13)</f>
        <v>0</v>
      </c>
      <c r="BZ13" s="115">
        <f>SUMIFS(wallet_records!$D:$D,wallet_records!$B:$B,'EEFF 2024'!$C13,wallet_records!$L:$L,'EEFF 2024'!BZ$3,wallet_records!$O:$O,'EEFF 2024'!$B$1,wallet_records!$N:$N,'EEFF 2024'!BZ$2,wallet_records!$H:$H,'EEFF 2024'!$B13)</f>
        <v>0</v>
      </c>
      <c r="CA13" s="115">
        <f>SUMIFS(wallet_records!$D:$D,wallet_records!$B:$B,'EEFF 2024'!$C13,wallet_records!$L:$L,'EEFF 2024'!CA$3,wallet_records!$O:$O,'EEFF 2024'!$B$1,wallet_records!$N:$N,'EEFF 2024'!CA$2,wallet_records!$H:$H,'EEFF 2024'!$B13)</f>
        <v>0</v>
      </c>
      <c r="CB13" s="116">
        <f t="shared" si="24"/>
        <v>0</v>
      </c>
      <c r="CC13" s="115">
        <f>SUMIFS(wallet_records!$D:$D,wallet_records!$B:$B,'EEFF 2024'!$C13,wallet_records!$L:$L,'EEFF 2024'!CC$3,wallet_records!$O:$O,'EEFF 2024'!$B$1,wallet_records!$N:$N,'EEFF 2024'!CC$2,wallet_records!$H:$H,'EEFF 2024'!$B13)</f>
        <v>0</v>
      </c>
      <c r="CD13" s="115">
        <f>SUMIFS(wallet_records!$D:$D,wallet_records!$B:$B,'EEFF 2024'!$C13,wallet_records!$L:$L,'EEFF 2024'!CD$3,wallet_records!$O:$O,'EEFF 2024'!$B$1,wallet_records!$N:$N,'EEFF 2024'!CD$2,wallet_records!$H:$H,'EEFF 2024'!$B13)</f>
        <v>0</v>
      </c>
      <c r="CE13" s="115">
        <f>SUMIFS(wallet_records!$D:$D,wallet_records!$B:$B,'EEFF 2024'!$C13,wallet_records!$L:$L,'EEFF 2024'!CE$3,wallet_records!$O:$O,'EEFF 2024'!$B$1,wallet_records!$N:$N,'EEFF 2024'!CE$2,wallet_records!$H:$H,'EEFF 2024'!$B13)</f>
        <v>0</v>
      </c>
      <c r="CF13" s="115">
        <f>SUMIFS(wallet_records!$D:$D,wallet_records!$B:$B,'EEFF 2024'!$C13,wallet_records!$L:$L,'EEFF 2024'!CF$3,wallet_records!$O:$O,'EEFF 2024'!$B$1,wallet_records!$N:$N,'EEFF 2024'!CF$2,wallet_records!$H:$H,'EEFF 2024'!$B13)</f>
        <v>0</v>
      </c>
      <c r="CG13" s="115">
        <f>SUMIFS(wallet_records!$D:$D,wallet_records!$B:$B,'EEFF 2024'!$C13,wallet_records!$L:$L,'EEFF 2024'!CG$3,wallet_records!$O:$O,'EEFF 2024'!$B$1,wallet_records!$N:$N,'EEFF 2024'!CG$2,wallet_records!$H:$H,'EEFF 2024'!$B13)</f>
        <v>0</v>
      </c>
      <c r="CH13" s="115">
        <f>SUMIFS(wallet_records!$D:$D,wallet_records!$B:$B,'EEFF 2024'!$C13,wallet_records!$L:$L,'EEFF 2024'!CH$3,wallet_records!$O:$O,'EEFF 2024'!$B$1,wallet_records!$N:$N,'EEFF 2024'!CH$2,wallet_records!$H:$H,'EEFF 2024'!$B13)</f>
        <v>0</v>
      </c>
      <c r="CI13" s="116">
        <f t="shared" si="25"/>
        <v>0</v>
      </c>
      <c r="CJ13" s="115">
        <f>SUMIFS(wallet_records!$D:$D,wallet_records!$B:$B,'EEFF 2024'!$C13,wallet_records!$L:$L,'EEFF 2024'!CJ$3,wallet_records!$O:$O,'EEFF 2024'!$B$1,wallet_records!$H:$H,'EEFF 2024'!$B13)</f>
        <v>0</v>
      </c>
      <c r="CK13" s="115">
        <f>SUMIFS(wallet_records!$D:$D,wallet_records!$B:$B,'EEFF 2024'!$C13,wallet_records!$L:$L,'EEFF 2024'!CK$3,wallet_records!$O:$O,'EEFF 2024'!$B$1,wallet_records!$H:$H,'EEFF 2024'!$B13)</f>
        <v>0</v>
      </c>
      <c r="CL13" s="115">
        <f>SUMIFS(wallet_records!$D:$D,wallet_records!$B:$B,'EEFF 2024'!$C13,wallet_records!$L:$L,'EEFF 2024'!CL$3,wallet_records!$O:$O,'EEFF 2024'!$B$1,wallet_records!$H:$H,'EEFF 2024'!$B13)</f>
        <v>0</v>
      </c>
      <c r="CM13" s="115">
        <f>SUMIFS(wallet_records!$D:$D,wallet_records!$B:$B,'EEFF 2024'!$C13,wallet_records!$L:$L,'EEFF 2024'!CM$3,wallet_records!$O:$O,'EEFF 2024'!$B$1,wallet_records!$H:$H,'EEFF 2024'!$B13)</f>
        <v>0</v>
      </c>
      <c r="CN13" s="115">
        <f>SUMIFS(wallet_records!$D:$D,wallet_records!$B:$B,'EEFF 2024'!$C13,wallet_records!$L:$L,'EEFF 2024'!CN$3,wallet_records!$O:$O,'EEFF 2024'!$B$1,wallet_records!$H:$H,'EEFF 2024'!$B13)</f>
        <v>0</v>
      </c>
      <c r="CO13" s="115">
        <f>SUMIFS(wallet_records!$D:$D,wallet_records!$B:$B,'EEFF 2024'!$C13,wallet_records!$L:$L,'EEFF 2024'!CO$3,wallet_records!$O:$O,'EEFF 2024'!$B$1,wallet_records!$H:$H,'EEFF 2024'!$B13)</f>
        <v>0</v>
      </c>
      <c r="CP13" s="116">
        <f t="shared" si="26"/>
        <v>0</v>
      </c>
      <c r="CQ13" s="107"/>
      <c r="CR13" s="118">
        <f t="shared" si="0"/>
        <v>0</v>
      </c>
      <c r="CS13" s="118">
        <f t="shared" si="1"/>
        <v>0</v>
      </c>
      <c r="CT13" s="118">
        <f t="shared" si="2"/>
        <v>0</v>
      </c>
      <c r="CU13" s="118">
        <f t="shared" si="3"/>
        <v>0</v>
      </c>
      <c r="CV13" s="118">
        <f t="shared" si="4"/>
        <v>0</v>
      </c>
      <c r="CW13" s="118">
        <f t="shared" si="5"/>
        <v>0</v>
      </c>
      <c r="CX13" s="118">
        <f t="shared" si="6"/>
        <v>0</v>
      </c>
      <c r="CY13" s="118">
        <f t="shared" si="7"/>
        <v>0</v>
      </c>
      <c r="CZ13" s="118">
        <f t="shared" si="8"/>
        <v>0</v>
      </c>
      <c r="DA13" s="118">
        <f t="shared" si="9"/>
        <v>0</v>
      </c>
      <c r="DB13" s="118">
        <f t="shared" si="10"/>
        <v>0</v>
      </c>
      <c r="DC13" s="118">
        <f t="shared" si="11"/>
        <v>0</v>
      </c>
    </row>
    <row r="14" spans="2:120" ht="16" x14ac:dyDescent="0.2">
      <c r="B14" s="107" t="s">
        <v>400</v>
      </c>
      <c r="C14" s="191"/>
      <c r="D14" s="116">
        <v>0</v>
      </c>
      <c r="E14" s="116">
        <v>0</v>
      </c>
      <c r="F14" s="116">
        <v>0</v>
      </c>
      <c r="G14" s="119">
        <v>0</v>
      </c>
      <c r="H14" s="119">
        <v>0</v>
      </c>
      <c r="I14" s="119">
        <v>0</v>
      </c>
      <c r="J14" s="119">
        <f t="shared" si="14"/>
        <v>0</v>
      </c>
      <c r="K14" s="116">
        <v>0</v>
      </c>
      <c r="L14" s="116">
        <v>0</v>
      </c>
      <c r="M14" s="116">
        <v>0</v>
      </c>
      <c r="N14" s="119">
        <v>0</v>
      </c>
      <c r="O14" s="119">
        <v>0</v>
      </c>
      <c r="P14" s="119">
        <v>0</v>
      </c>
      <c r="Q14" s="119">
        <f t="shared" si="15"/>
        <v>0</v>
      </c>
      <c r="R14" s="116">
        <v>0</v>
      </c>
      <c r="S14" s="116">
        <v>0</v>
      </c>
      <c r="T14" s="116">
        <v>0</v>
      </c>
      <c r="U14" s="119">
        <v>0</v>
      </c>
      <c r="V14" s="119">
        <v>0</v>
      </c>
      <c r="W14" s="119">
        <v>0</v>
      </c>
      <c r="X14" s="119">
        <f t="shared" si="16"/>
        <v>0</v>
      </c>
      <c r="Y14" s="116">
        <v>0</v>
      </c>
      <c r="Z14" s="116">
        <v>0</v>
      </c>
      <c r="AA14" s="116">
        <v>0</v>
      </c>
      <c r="AB14" s="119">
        <v>0</v>
      </c>
      <c r="AC14" s="119">
        <v>0</v>
      </c>
      <c r="AD14" s="119">
        <v>0</v>
      </c>
      <c r="AE14" s="119">
        <f t="shared" si="17"/>
        <v>0</v>
      </c>
      <c r="AF14" s="116">
        <v>0</v>
      </c>
      <c r="AG14" s="116">
        <v>0</v>
      </c>
      <c r="AH14" s="116">
        <v>0</v>
      </c>
      <c r="AI14" s="119">
        <v>0</v>
      </c>
      <c r="AJ14" s="119">
        <v>0</v>
      </c>
      <c r="AK14" s="119">
        <v>0</v>
      </c>
      <c r="AL14" s="119">
        <f t="shared" si="18"/>
        <v>0</v>
      </c>
      <c r="AM14" s="116">
        <v>0</v>
      </c>
      <c r="AN14" s="116">
        <v>0</v>
      </c>
      <c r="AO14" s="116">
        <v>0</v>
      </c>
      <c r="AP14" s="119">
        <v>0</v>
      </c>
      <c r="AQ14" s="119">
        <v>0</v>
      </c>
      <c r="AR14" s="119">
        <v>0</v>
      </c>
      <c r="AS14" s="119">
        <f t="shared" si="19"/>
        <v>0</v>
      </c>
      <c r="AT14" s="116">
        <v>0</v>
      </c>
      <c r="AU14" s="116">
        <v>0</v>
      </c>
      <c r="AV14" s="116">
        <v>0</v>
      </c>
      <c r="AW14" s="119">
        <v>0</v>
      </c>
      <c r="AX14" s="119">
        <v>0</v>
      </c>
      <c r="AY14" s="119">
        <v>0</v>
      </c>
      <c r="AZ14" s="119">
        <f t="shared" si="20"/>
        <v>0</v>
      </c>
      <c r="BA14" s="116">
        <v>0</v>
      </c>
      <c r="BB14" s="116">
        <v>0</v>
      </c>
      <c r="BC14" s="116">
        <v>0</v>
      </c>
      <c r="BD14" s="119">
        <v>0</v>
      </c>
      <c r="BE14" s="119">
        <v>0</v>
      </c>
      <c r="BF14" s="119">
        <v>0</v>
      </c>
      <c r="BG14" s="119">
        <f t="shared" si="21"/>
        <v>0</v>
      </c>
      <c r="BH14" s="116">
        <v>0</v>
      </c>
      <c r="BI14" s="116">
        <v>0</v>
      </c>
      <c r="BJ14" s="116">
        <v>0</v>
      </c>
      <c r="BK14" s="119">
        <v>0</v>
      </c>
      <c r="BL14" s="119">
        <v>0</v>
      </c>
      <c r="BM14" s="119">
        <v>0</v>
      </c>
      <c r="BN14" s="119">
        <f t="shared" si="22"/>
        <v>0</v>
      </c>
      <c r="BO14" s="116">
        <v>0</v>
      </c>
      <c r="BP14" s="116">
        <v>0</v>
      </c>
      <c r="BQ14" s="116">
        <v>0</v>
      </c>
      <c r="BR14" s="119">
        <v>0</v>
      </c>
      <c r="BS14" s="119">
        <v>0</v>
      </c>
      <c r="BT14" s="119">
        <v>0</v>
      </c>
      <c r="BU14" s="119">
        <f t="shared" si="23"/>
        <v>0</v>
      </c>
      <c r="BV14" s="116">
        <v>0</v>
      </c>
      <c r="BW14" s="116">
        <v>0</v>
      </c>
      <c r="BX14" s="116">
        <v>0</v>
      </c>
      <c r="BY14" s="119">
        <v>0</v>
      </c>
      <c r="BZ14" s="119">
        <v>0</v>
      </c>
      <c r="CA14" s="119">
        <v>0</v>
      </c>
      <c r="CB14" s="119">
        <f t="shared" si="24"/>
        <v>0</v>
      </c>
      <c r="CC14" s="116">
        <v>0</v>
      </c>
      <c r="CD14" s="116">
        <v>0</v>
      </c>
      <c r="CE14" s="116">
        <v>0</v>
      </c>
      <c r="CF14" s="119">
        <v>0</v>
      </c>
      <c r="CG14" s="119">
        <v>0</v>
      </c>
      <c r="CH14" s="119">
        <v>0</v>
      </c>
      <c r="CI14" s="119">
        <f t="shared" si="25"/>
        <v>0</v>
      </c>
      <c r="CJ14" s="115">
        <f>SUMIFS(wallet_records!$D:$D,wallet_records!$B:$B,'EEFF 2024'!$C14,wallet_records!$L:$L,'EEFF 2024'!CJ$3,wallet_records!$O:$O,'EEFF 2024'!$B$1,wallet_records!$H:$H,'EEFF 2024'!$B14)</f>
        <v>0</v>
      </c>
      <c r="CK14" s="115">
        <f>SUMIFS(wallet_records!$D:$D,wallet_records!$B:$B,'EEFF 2024'!$C14,wallet_records!$L:$L,'EEFF 2024'!CK$3,wallet_records!$O:$O,'EEFF 2024'!$B$1,wallet_records!$H:$H,'EEFF 2024'!$B14)</f>
        <v>0</v>
      </c>
      <c r="CL14" s="115">
        <f>SUMIFS(wallet_records!$D:$D,wallet_records!$B:$B,'EEFF 2024'!$C14,wallet_records!$L:$L,'EEFF 2024'!CL$3,wallet_records!$O:$O,'EEFF 2024'!$B$1,wallet_records!$H:$H,'EEFF 2024'!$B14)</f>
        <v>0</v>
      </c>
      <c r="CM14" s="115">
        <f>SUMIFS(wallet_records!$D:$D,wallet_records!$B:$B,'EEFF 2024'!$C14,wallet_records!$L:$L,'EEFF 2024'!CM$3,wallet_records!$O:$O,'EEFF 2024'!$B$1,wallet_records!$H:$H,'EEFF 2024'!$B14)</f>
        <v>0</v>
      </c>
      <c r="CN14" s="115">
        <f>SUMIFS(wallet_records!$D:$D,wallet_records!$B:$B,'EEFF 2024'!$C14,wallet_records!$L:$L,'EEFF 2024'!CN$3,wallet_records!$O:$O,'EEFF 2024'!$B$1,wallet_records!$H:$H,'EEFF 2024'!$B14)</f>
        <v>0</v>
      </c>
      <c r="CO14" s="115">
        <f>SUMIFS(wallet_records!$D:$D,wallet_records!$B:$B,'EEFF 2024'!$C14,wallet_records!$L:$L,'EEFF 2024'!CO$3,wallet_records!$O:$O,'EEFF 2024'!$B$1,wallet_records!$H:$H,'EEFF 2024'!$B14)</f>
        <v>0</v>
      </c>
      <c r="CP14" s="119">
        <f t="shared" si="26"/>
        <v>0</v>
      </c>
      <c r="CQ14" s="107"/>
      <c r="CR14" s="118">
        <f t="shared" si="0"/>
        <v>0</v>
      </c>
      <c r="CS14" s="118">
        <f t="shared" si="1"/>
        <v>0</v>
      </c>
      <c r="CT14" s="118">
        <f t="shared" si="2"/>
        <v>0</v>
      </c>
      <c r="CU14" s="118">
        <f t="shared" si="3"/>
        <v>0</v>
      </c>
      <c r="CV14" s="118">
        <f t="shared" si="4"/>
        <v>0</v>
      </c>
      <c r="CW14" s="118">
        <f t="shared" si="5"/>
        <v>0</v>
      </c>
      <c r="CX14" s="118">
        <f t="shared" si="6"/>
        <v>0</v>
      </c>
      <c r="CY14" s="118">
        <f t="shared" si="7"/>
        <v>0</v>
      </c>
      <c r="CZ14" s="118">
        <f t="shared" si="8"/>
        <v>0</v>
      </c>
      <c r="DA14" s="118">
        <f t="shared" si="9"/>
        <v>0</v>
      </c>
      <c r="DB14" s="118">
        <f t="shared" si="10"/>
        <v>0</v>
      </c>
      <c r="DC14" s="118">
        <f t="shared" si="11"/>
        <v>0</v>
      </c>
    </row>
    <row r="15" spans="2:120" ht="16" x14ac:dyDescent="0.2">
      <c r="B15" s="107" t="s">
        <v>530</v>
      </c>
      <c r="C15" s="191"/>
      <c r="D15" s="116"/>
      <c r="E15" s="116"/>
      <c r="F15" s="116"/>
      <c r="G15" s="119"/>
      <c r="H15" s="119"/>
      <c r="I15" s="119"/>
      <c r="J15" s="119"/>
      <c r="K15" s="116"/>
      <c r="L15" s="116"/>
      <c r="M15" s="116"/>
      <c r="N15" s="119"/>
      <c r="O15" s="119"/>
      <c r="P15" s="119"/>
      <c r="Q15" s="119"/>
      <c r="R15" s="116"/>
      <c r="S15" s="116"/>
      <c r="T15" s="116"/>
      <c r="U15" s="119"/>
      <c r="V15" s="119"/>
      <c r="W15" s="119"/>
      <c r="X15" s="119"/>
      <c r="Y15" s="116"/>
      <c r="Z15" s="116"/>
      <c r="AA15" s="116"/>
      <c r="AB15" s="119"/>
      <c r="AC15" s="119"/>
      <c r="AD15" s="119"/>
      <c r="AE15" s="119"/>
      <c r="AF15" s="116"/>
      <c r="AG15" s="116"/>
      <c r="AH15" s="116"/>
      <c r="AI15" s="119"/>
      <c r="AJ15" s="119"/>
      <c r="AK15" s="119"/>
      <c r="AL15" s="119"/>
      <c r="AM15" s="116"/>
      <c r="AN15" s="116"/>
      <c r="AO15" s="116"/>
      <c r="AP15" s="119"/>
      <c r="AQ15" s="119"/>
      <c r="AR15" s="119"/>
      <c r="AS15" s="119"/>
      <c r="AT15" s="116"/>
      <c r="AU15" s="116"/>
      <c r="AV15" s="116"/>
      <c r="AW15" s="119"/>
      <c r="AX15" s="119"/>
      <c r="AY15" s="119"/>
      <c r="AZ15" s="119"/>
      <c r="BA15" s="116"/>
      <c r="BB15" s="116"/>
      <c r="BC15" s="116"/>
      <c r="BD15" s="119"/>
      <c r="BE15" s="119"/>
      <c r="BF15" s="119"/>
      <c r="BG15" s="119"/>
      <c r="BH15" s="116"/>
      <c r="BI15" s="116"/>
      <c r="BJ15" s="116"/>
      <c r="BK15" s="119"/>
      <c r="BL15" s="119"/>
      <c r="BM15" s="119"/>
      <c r="BN15" s="119"/>
      <c r="BO15" s="116"/>
      <c r="BP15" s="116"/>
      <c r="BQ15" s="116"/>
      <c r="BR15" s="119"/>
      <c r="BS15" s="119"/>
      <c r="BT15" s="119"/>
      <c r="BU15" s="119"/>
      <c r="BV15" s="116"/>
      <c r="BW15" s="116"/>
      <c r="BX15" s="116"/>
      <c r="BY15" s="119"/>
      <c r="BZ15" s="119"/>
      <c r="CA15" s="119"/>
      <c r="CB15" s="119"/>
      <c r="CC15" s="116"/>
      <c r="CD15" s="116"/>
      <c r="CE15" s="116"/>
      <c r="CF15" s="119"/>
      <c r="CG15" s="119"/>
      <c r="CH15" s="119"/>
      <c r="CI15" s="119"/>
      <c r="CJ15" s="115"/>
      <c r="CK15" s="115"/>
      <c r="CL15" s="115"/>
      <c r="CM15" s="115"/>
      <c r="CN15" s="115"/>
      <c r="CO15" s="115"/>
      <c r="CP15" s="119"/>
      <c r="CQ15" s="107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</row>
    <row r="16" spans="2:120" ht="16" x14ac:dyDescent="0.2">
      <c r="B16" s="109" t="s">
        <v>401</v>
      </c>
      <c r="C16" s="193"/>
      <c r="D16" s="110">
        <f>D8-D9-D10-D11-D12-D13-D14</f>
        <v>-752459</v>
      </c>
      <c r="E16" s="110">
        <f t="shared" ref="E16:BP16" si="27">E8-E9-E10-E11-E12-E13-E14</f>
        <v>-7592766</v>
      </c>
      <c r="F16" s="110">
        <f t="shared" si="27"/>
        <v>-736175</v>
      </c>
      <c r="G16" s="110">
        <f t="shared" si="27"/>
        <v>-605868</v>
      </c>
      <c r="H16" s="110">
        <f t="shared" si="27"/>
        <v>1539305</v>
      </c>
      <c r="I16" s="110">
        <f t="shared" si="27"/>
        <v>0</v>
      </c>
      <c r="J16" s="110">
        <f t="shared" si="27"/>
        <v>-8147963</v>
      </c>
      <c r="K16" s="110">
        <f t="shared" si="27"/>
        <v>1212000</v>
      </c>
      <c r="L16" s="110">
        <f t="shared" si="27"/>
        <v>-20741668</v>
      </c>
      <c r="M16" s="110">
        <f t="shared" si="27"/>
        <v>1070795</v>
      </c>
      <c r="N16" s="110">
        <f t="shared" si="27"/>
        <v>0</v>
      </c>
      <c r="O16" s="110">
        <f t="shared" si="27"/>
        <v>0</v>
      </c>
      <c r="P16" s="110">
        <f t="shared" si="27"/>
        <v>-1361011</v>
      </c>
      <c r="Q16" s="110">
        <f t="shared" si="27"/>
        <v>-19819884</v>
      </c>
      <c r="R16" s="110">
        <f t="shared" si="27"/>
        <v>1212000</v>
      </c>
      <c r="S16" s="110">
        <f t="shared" si="27"/>
        <v>-14708492</v>
      </c>
      <c r="T16" s="110">
        <f t="shared" si="27"/>
        <v>1070795</v>
      </c>
      <c r="U16" s="110">
        <f t="shared" si="27"/>
        <v>800000</v>
      </c>
      <c r="V16" s="110">
        <f t="shared" si="27"/>
        <v>2571800</v>
      </c>
      <c r="W16" s="110">
        <f t="shared" si="27"/>
        <v>0</v>
      </c>
      <c r="X16" s="110">
        <f t="shared" si="27"/>
        <v>-9053897</v>
      </c>
      <c r="Y16" s="110">
        <f t="shared" si="27"/>
        <v>1212000</v>
      </c>
      <c r="Z16" s="110">
        <f t="shared" si="27"/>
        <v>-3917681</v>
      </c>
      <c r="AA16" s="110">
        <f t="shared" si="27"/>
        <v>957193</v>
      </c>
      <c r="AB16" s="110">
        <f t="shared" si="27"/>
        <v>0</v>
      </c>
      <c r="AC16" s="110">
        <f t="shared" si="27"/>
        <v>0</v>
      </c>
      <c r="AD16" s="110">
        <f t="shared" si="27"/>
        <v>414386</v>
      </c>
      <c r="AE16" s="110">
        <f t="shared" si="27"/>
        <v>-1334102</v>
      </c>
      <c r="AF16" s="110">
        <f t="shared" si="27"/>
        <v>1212000</v>
      </c>
      <c r="AG16" s="110">
        <f t="shared" si="27"/>
        <v>-2890000</v>
      </c>
      <c r="AH16" s="110">
        <f t="shared" si="27"/>
        <v>207193</v>
      </c>
      <c r="AI16" s="110">
        <f t="shared" si="27"/>
        <v>400000</v>
      </c>
      <c r="AJ16" s="110">
        <f t="shared" si="27"/>
        <v>2450808</v>
      </c>
      <c r="AK16" s="110">
        <f t="shared" si="27"/>
        <v>739240</v>
      </c>
      <c r="AL16" s="110">
        <f t="shared" si="27"/>
        <v>2119241</v>
      </c>
      <c r="AM16" s="110">
        <f t="shared" si="27"/>
        <v>1212000</v>
      </c>
      <c r="AN16" s="110">
        <f t="shared" si="27"/>
        <v>2000000</v>
      </c>
      <c r="AO16" s="110">
        <f t="shared" si="27"/>
        <v>970795</v>
      </c>
      <c r="AP16" s="110">
        <f t="shared" si="27"/>
        <v>850000</v>
      </c>
      <c r="AQ16" s="110">
        <f t="shared" si="27"/>
        <v>1266000</v>
      </c>
      <c r="AR16" s="110">
        <f t="shared" si="27"/>
        <v>881000</v>
      </c>
      <c r="AS16" s="110">
        <f t="shared" si="27"/>
        <v>7179795</v>
      </c>
      <c r="AT16" s="110">
        <f t="shared" si="27"/>
        <v>1212000</v>
      </c>
      <c r="AU16" s="110">
        <f t="shared" si="27"/>
        <v>2380000</v>
      </c>
      <c r="AV16" s="110">
        <f t="shared" si="27"/>
        <v>952660</v>
      </c>
      <c r="AW16" s="110">
        <f t="shared" si="27"/>
        <v>0</v>
      </c>
      <c r="AX16" s="110">
        <f t="shared" si="27"/>
        <v>1266000</v>
      </c>
      <c r="AY16" s="110">
        <f t="shared" si="27"/>
        <v>770000</v>
      </c>
      <c r="AZ16" s="110">
        <f t="shared" si="27"/>
        <v>6580660</v>
      </c>
      <c r="BA16" s="110">
        <f t="shared" si="27"/>
        <v>1212000</v>
      </c>
      <c r="BB16" s="110">
        <f t="shared" si="27"/>
        <v>3000000</v>
      </c>
      <c r="BC16" s="110">
        <f t="shared" si="27"/>
        <v>962795</v>
      </c>
      <c r="BD16" s="110">
        <f t="shared" si="27"/>
        <v>480000</v>
      </c>
      <c r="BE16" s="110">
        <f t="shared" si="27"/>
        <v>1257000</v>
      </c>
      <c r="BF16" s="110">
        <f t="shared" si="27"/>
        <v>797500</v>
      </c>
      <c r="BG16" s="110">
        <f t="shared" si="27"/>
        <v>7709295</v>
      </c>
      <c r="BH16" s="110">
        <f t="shared" si="27"/>
        <v>1212000</v>
      </c>
      <c r="BI16" s="110">
        <f t="shared" si="27"/>
        <v>3000000</v>
      </c>
      <c r="BJ16" s="110">
        <f t="shared" si="27"/>
        <v>962795</v>
      </c>
      <c r="BK16" s="110">
        <f t="shared" si="27"/>
        <v>417400.01</v>
      </c>
      <c r="BL16" s="110">
        <f t="shared" si="27"/>
        <v>0</v>
      </c>
      <c r="BM16" s="110">
        <f t="shared" si="27"/>
        <v>881000</v>
      </c>
      <c r="BN16" s="110">
        <f t="shared" si="27"/>
        <v>6473195.0099999998</v>
      </c>
      <c r="BO16" s="110">
        <f t="shared" si="27"/>
        <v>1212000</v>
      </c>
      <c r="BP16" s="110">
        <f t="shared" si="27"/>
        <v>0</v>
      </c>
      <c r="BQ16" s="110">
        <f t="shared" ref="BQ16:CO16" si="28">BQ8-BQ9-BQ10-BQ11-BQ12-BQ13-BQ14</f>
        <v>962795</v>
      </c>
      <c r="BR16" s="110">
        <f t="shared" si="28"/>
        <v>950000</v>
      </c>
      <c r="BS16" s="110">
        <f t="shared" si="28"/>
        <v>1257000</v>
      </c>
      <c r="BT16" s="110">
        <f t="shared" si="28"/>
        <v>739000</v>
      </c>
      <c r="BU16" s="110">
        <f t="shared" si="28"/>
        <v>5120795</v>
      </c>
      <c r="BV16" s="110">
        <f t="shared" si="28"/>
        <v>537000</v>
      </c>
      <c r="BW16" s="110">
        <f t="shared" si="28"/>
        <v>5500000</v>
      </c>
      <c r="BX16" s="110">
        <f t="shared" si="28"/>
        <v>1925590</v>
      </c>
      <c r="BY16" s="110">
        <f t="shared" si="28"/>
        <v>500000</v>
      </c>
      <c r="BZ16" s="110">
        <f t="shared" si="28"/>
        <v>2644000</v>
      </c>
      <c r="CA16" s="110">
        <f t="shared" si="28"/>
        <v>869500</v>
      </c>
      <c r="CB16" s="110">
        <f t="shared" si="28"/>
        <v>11976090</v>
      </c>
      <c r="CC16" s="110">
        <f t="shared" si="28"/>
        <v>-16228501</v>
      </c>
      <c r="CD16" s="110">
        <f t="shared" si="28"/>
        <v>2970000</v>
      </c>
      <c r="CE16" s="110">
        <f t="shared" si="28"/>
        <v>0</v>
      </c>
      <c r="CF16" s="110">
        <f t="shared" si="28"/>
        <v>450000</v>
      </c>
      <c r="CG16" s="110">
        <f t="shared" si="28"/>
        <v>1420443</v>
      </c>
      <c r="CH16" s="110">
        <f t="shared" si="28"/>
        <v>881000</v>
      </c>
      <c r="CI16" s="110">
        <f t="shared" si="28"/>
        <v>-10507058</v>
      </c>
      <c r="CJ16" s="110">
        <f t="shared" si="28"/>
        <v>-5535960</v>
      </c>
      <c r="CK16" s="110">
        <f t="shared" si="28"/>
        <v>-31000607</v>
      </c>
      <c r="CL16" s="110">
        <f t="shared" si="28"/>
        <v>9307231</v>
      </c>
      <c r="CM16" s="110">
        <f t="shared" si="28"/>
        <v>4241532.01</v>
      </c>
      <c r="CN16" s="110">
        <f t="shared" si="28"/>
        <v>15672356</v>
      </c>
      <c r="CO16" s="110">
        <f t="shared" si="28"/>
        <v>5611615</v>
      </c>
      <c r="CP16" s="110">
        <f>CP8-CP9-CP10-CP11-CP12-CP13-CP14</f>
        <v>-1703832.9900000095</v>
      </c>
      <c r="CQ16" s="107"/>
      <c r="CR16" s="111">
        <f t="shared" si="0"/>
        <v>-1.30367408</v>
      </c>
      <c r="CS16" s="111">
        <f t="shared" si="1"/>
        <v>-6.9543452631578946</v>
      </c>
      <c r="CT16" s="111">
        <f t="shared" si="2"/>
        <v>-1.3614882706766918</v>
      </c>
      <c r="CU16" s="111">
        <f t="shared" si="3"/>
        <v>-0.35757223264540339</v>
      </c>
      <c r="CV16" s="111">
        <f t="shared" si="4"/>
        <v>0.22590779234623173</v>
      </c>
      <c r="CW16" s="111">
        <f t="shared" si="5"/>
        <v>0.89961095100864552</v>
      </c>
      <c r="CX16" s="111">
        <f t="shared" si="6"/>
        <v>0.80932972574099127</v>
      </c>
      <c r="CY16" s="111">
        <f t="shared" si="7"/>
        <v>0.90405101143359723</v>
      </c>
      <c r="CZ16" s="111">
        <f t="shared" si="8"/>
        <v>0.91030727183237237</v>
      </c>
      <c r="DA16" s="111">
        <f t="shared" si="9"/>
        <v>0.84209751685578027</v>
      </c>
      <c r="DB16" s="111">
        <f t="shared" si="10"/>
        <v>0.88879661582990088</v>
      </c>
      <c r="DC16" s="111">
        <f t="shared" si="11"/>
        <v>-1.7626334507632948</v>
      </c>
    </row>
    <row r="17" spans="2:107" ht="16" x14ac:dyDescent="0.2"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5">
        <f>SUMIFS(wallet_records!$D:$D,wallet_records!$B:$B,'EEFF 2024'!$C17,wallet_records!$O:$O,'EEFF 2024'!$B$1,wallet_records!$N:$N,'EEFF 2024'!J$2,wallet_records!$H:$H,'EEFF 2024'!$B17,wallet_records!$F:$F,"Ingreso")</f>
        <v>0</v>
      </c>
      <c r="K17" s="120"/>
      <c r="L17" s="120"/>
      <c r="M17" s="120"/>
      <c r="N17" s="120"/>
      <c r="O17" s="120"/>
      <c r="P17" s="120"/>
      <c r="Q17" s="115">
        <f>SUMIFS(wallet_records!$D:$D,wallet_records!$B:$B,'EEFF 2024'!$C17,wallet_records!$O:$O,'EEFF 2024'!$B$1,wallet_records!$N:$N,'EEFF 2024'!Q$2,wallet_records!$H:$H,'EEFF 2024'!$B17,wallet_records!$F:$F,"Ingreso")</f>
        <v>34574234.560000002</v>
      </c>
      <c r="R17" s="120"/>
      <c r="S17" s="120"/>
      <c r="T17" s="120"/>
      <c r="U17" s="120"/>
      <c r="V17" s="120"/>
      <c r="W17" s="120"/>
      <c r="X17" s="115">
        <f>SUMIFS(wallet_records!$D:$D,wallet_records!$B:$B,'EEFF 2024'!$C17,wallet_records!$O:$O,'EEFF 2024'!$B$1,wallet_records!$N:$N,'EEFF 2024'!X$2,wallet_records!$H:$H,'EEFF 2024'!$B17,wallet_records!$F:$F,"Ingreso")</f>
        <v>17088111.82</v>
      </c>
      <c r="Y17" s="120"/>
      <c r="Z17" s="120"/>
      <c r="AA17" s="120"/>
      <c r="AB17" s="120"/>
      <c r="AC17" s="120"/>
      <c r="AD17" s="120"/>
      <c r="AE17" s="115">
        <f>SUMIFS(wallet_records!$D:$D,wallet_records!$B:$B,'EEFF 2024'!$C17,wallet_records!$O:$O,'EEFF 2024'!$B$1,wallet_records!$N:$N,'EEFF 2024'!AE$2,wallet_records!$H:$H,'EEFF 2024'!$B17,wallet_records!$F:$F,"Ingreso")</f>
        <v>0</v>
      </c>
      <c r="AF17" s="120"/>
      <c r="AG17" s="120"/>
      <c r="AH17" s="120"/>
      <c r="AI17" s="120"/>
      <c r="AJ17" s="120"/>
      <c r="AK17" s="120"/>
      <c r="AL17" s="115">
        <f>SUMIFS(wallet_records!$D:$D,wallet_records!$B:$B,'EEFF 2024'!$C17,wallet_records!$O:$O,'EEFF 2024'!$B$1,wallet_records!$N:$N,'EEFF 2024'!AL$2,wallet_records!$H:$H,'EEFF 2024'!$B17,wallet_records!$F:$F,"Ingreso")</f>
        <v>0</v>
      </c>
      <c r="AM17" s="120"/>
      <c r="AN17" s="120"/>
      <c r="AO17" s="120"/>
      <c r="AP17" s="120"/>
      <c r="AQ17" s="120"/>
      <c r="AR17" s="120"/>
      <c r="AS17" s="115">
        <f>SUMIFS(wallet_records!$D:$D,wallet_records!$B:$B,'EEFF 2024'!$C17,wallet_records!$O:$O,'EEFF 2024'!$B$1,wallet_records!$N:$N,'EEFF 2024'!AS$2,wallet_records!$H:$H,'EEFF 2024'!$B17,wallet_records!$F:$F,"Ingreso")</f>
        <v>0</v>
      </c>
      <c r="AT17" s="120"/>
      <c r="AU17" s="120"/>
      <c r="AV17" s="120"/>
      <c r="AW17" s="120"/>
      <c r="AX17" s="120"/>
      <c r="AY17" s="120"/>
      <c r="AZ17" s="115">
        <f>SUMIFS(wallet_records!$D:$D,wallet_records!$B:$B,'EEFF 2024'!$C17,wallet_records!$O:$O,'EEFF 2024'!$B$1,wallet_records!$N:$N,'EEFF 2024'!AZ$2,wallet_records!$H:$H,'EEFF 2024'!$B17,wallet_records!$F:$F,"Ingreso")</f>
        <v>0</v>
      </c>
      <c r="BA17" s="120"/>
      <c r="BB17" s="120"/>
      <c r="BC17" s="120"/>
      <c r="BD17" s="120"/>
      <c r="BE17" s="120"/>
      <c r="BF17" s="120"/>
      <c r="BG17" s="115">
        <f>SUMIFS(wallet_records!$D:$D,wallet_records!$B:$B,'EEFF 2024'!$C17,wallet_records!$O:$O,'EEFF 2024'!$B$1,wallet_records!$N:$N,'EEFF 2024'!BG$2,wallet_records!$H:$H,'EEFF 2024'!$B17,wallet_records!$F:$F,"Ingreso")</f>
        <v>0</v>
      </c>
      <c r="BH17" s="120"/>
      <c r="BI17" s="120"/>
      <c r="BJ17" s="120"/>
      <c r="BK17" s="120"/>
      <c r="BL17" s="120"/>
      <c r="BM17" s="120"/>
      <c r="BN17" s="115">
        <f>SUMIFS(wallet_records!$D:$D,wallet_records!$B:$B,'EEFF 2024'!$C17,wallet_records!$O:$O,'EEFF 2024'!$B$1,wallet_records!$N:$N,'EEFF 2024'!BN$2,wallet_records!$H:$H,'EEFF 2024'!$B17,wallet_records!$F:$F,"Ingreso")</f>
        <v>0</v>
      </c>
      <c r="BO17" s="120"/>
      <c r="BP17" s="120"/>
      <c r="BQ17" s="120"/>
      <c r="BR17" s="120"/>
      <c r="BS17" s="120"/>
      <c r="BT17" s="120"/>
      <c r="BU17" s="115">
        <f>SUMIFS(wallet_records!$D:$D,wallet_records!$B:$B,'EEFF 2024'!$C17,wallet_records!$O:$O,'EEFF 2024'!$B$1,wallet_records!$N:$N,'EEFF 2024'!BU$2,wallet_records!$H:$H,'EEFF 2024'!$B17,wallet_records!$F:$F,"Ingreso")</f>
        <v>0</v>
      </c>
      <c r="BV17" s="120"/>
      <c r="BW17" s="120"/>
      <c r="BX17" s="120"/>
      <c r="BY17" s="120"/>
      <c r="BZ17" s="120"/>
      <c r="CA17" s="120"/>
      <c r="CB17" s="115">
        <f>SUMIFS(wallet_records!$D:$D,wallet_records!$B:$B,'EEFF 2024'!$C17,wallet_records!$O:$O,'EEFF 2024'!$B$1,wallet_records!$N:$N,'EEFF 2024'!CB$2,wallet_records!$H:$H,'EEFF 2024'!$B17,wallet_records!$F:$F,"Ingreso")</f>
        <v>0</v>
      </c>
      <c r="CC17" s="120"/>
      <c r="CD17" s="120"/>
      <c r="CE17" s="120"/>
      <c r="CF17" s="120"/>
      <c r="CG17" s="120"/>
      <c r="CH17" s="120"/>
      <c r="CI17" s="115">
        <f>SUMIFS(wallet_records!$D:$D,wallet_records!$B:$B,'EEFF 2024'!$C17,wallet_records!$O:$O,'EEFF 2024'!$B$1,wallet_records!$N:$N,'EEFF 2024'!CI$2,wallet_records!$H:$H,'EEFF 2024'!$B17,wallet_records!$F:$F,"Ingreso")</f>
        <v>0</v>
      </c>
      <c r="CJ17" s="120"/>
      <c r="CK17" s="120"/>
      <c r="CL17" s="120"/>
      <c r="CM17" s="120"/>
      <c r="CN17" s="120"/>
      <c r="CO17" s="120"/>
      <c r="CP17" s="115">
        <f>SUMIFS(wallet_records!$D:$D,wallet_records!$B:$B,'EEFF 2024'!$C17,wallet_records!$O:$O,'EEFF 2024'!$B$1,wallet_records!$H:$H,'EEFF 2024'!$B17,wallet_records!$F:$F,"Ingreso")</f>
        <v>51662346.379999995</v>
      </c>
      <c r="CQ17" s="107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</row>
    <row r="18" spans="2:107" ht="16" x14ac:dyDescent="0.2">
      <c r="B18" s="235" t="s">
        <v>522</v>
      </c>
      <c r="C18" s="191" t="s">
        <v>136</v>
      </c>
      <c r="D18" s="115"/>
      <c r="E18" s="115"/>
      <c r="F18" s="115"/>
      <c r="G18" s="121"/>
      <c r="H18" s="121"/>
      <c r="I18" s="121"/>
      <c r="J18" s="115">
        <f>SUMIFS(wallet_records!$D:$D,wallet_records!$B:$B,'EEFF 2024'!$C18,wallet_records!$O:$O,'EEFF 2024'!$B$1,wallet_records!$N:$N,'EEFF 2024'!J$2,wallet_records!$H:$H,'EEFF 2024'!$B18,wallet_records!$F:$F,"Ingreso")</f>
        <v>10305637.879999999</v>
      </c>
      <c r="K18" s="115"/>
      <c r="L18" s="115"/>
      <c r="M18" s="115"/>
      <c r="N18" s="121"/>
      <c r="O18" s="121"/>
      <c r="P18" s="121"/>
      <c r="Q18" s="115">
        <f>SUMIFS(wallet_records!$D:$D,wallet_records!$B:$B,'EEFF 2024'!$C18,wallet_records!$O:$O,'EEFF 2024'!$B$1,wallet_records!$N:$N,'EEFF 2024'!Q$2,wallet_records!$H:$H,'EEFF 2024'!$B18,wallet_records!$F:$F,"Ingreso")</f>
        <v>2470690</v>
      </c>
      <c r="R18" s="121"/>
      <c r="S18" s="121"/>
      <c r="T18" s="121"/>
      <c r="U18" s="121"/>
      <c r="V18" s="121"/>
      <c r="X18" s="115">
        <f>SUMIFS(wallet_records!$D:$D,wallet_records!$B:$B,'EEFF 2024'!$C18,wallet_records!$O:$O,'EEFF 2024'!$B$1,wallet_records!$N:$N,'EEFF 2024'!X$2,wallet_records!$H:$H,'EEFF 2024'!$B18,wallet_records!$F:$F,"Ingreso")</f>
        <v>3880514.64</v>
      </c>
      <c r="Y18" s="121"/>
      <c r="Z18" s="121"/>
      <c r="AA18" s="121"/>
      <c r="AB18" s="121"/>
      <c r="AC18" s="121"/>
      <c r="AE18" s="115">
        <f>SUMIFS(wallet_records!$D:$D,wallet_records!$B:$B,'EEFF 2024'!$C18,wallet_records!$O:$O,'EEFF 2024'!$B$1,wallet_records!$N:$N,'EEFF 2024'!AE$2,wallet_records!$H:$H,'EEFF 2024'!$B18,wallet_records!$F:$F,"Ingreso")</f>
        <v>4508221.93</v>
      </c>
      <c r="AF18" s="121"/>
      <c r="AG18" s="121"/>
      <c r="AH18" s="121"/>
      <c r="AI18" s="121"/>
      <c r="AJ18" s="121"/>
      <c r="AL18" s="115">
        <f>SUMIFS(wallet_records!$D:$D,wallet_records!$B:$B,'EEFF 2024'!$C18,wallet_records!$O:$O,'EEFF 2024'!$B$1,wallet_records!$N:$N,'EEFF 2024'!AL$2,wallet_records!$H:$H,'EEFF 2024'!$B18,wallet_records!$F:$F,"Ingreso")</f>
        <v>7899840.5999999996</v>
      </c>
      <c r="AM18" s="121"/>
      <c r="AN18" s="121"/>
      <c r="AO18" s="121"/>
      <c r="AP18" s="121"/>
      <c r="AQ18" s="121"/>
      <c r="AS18" s="115">
        <f>SUMIFS(wallet_records!$D:$D,wallet_records!$B:$B,'EEFF 2024'!$C18,wallet_records!$O:$O,'EEFF 2024'!$B$1,wallet_records!$N:$N,'EEFF 2024'!AS$2,wallet_records!$H:$H,'EEFF 2024'!$B18,wallet_records!$F:$F,"Ingreso")</f>
        <v>3254401.4</v>
      </c>
      <c r="AT18" s="121"/>
      <c r="AU18" s="121"/>
      <c r="AV18" s="121"/>
      <c r="AW18" s="121"/>
      <c r="AX18" s="121"/>
      <c r="AZ18" s="115">
        <f>SUMIFS(wallet_records!$D:$D,wallet_records!$B:$B,'EEFF 2024'!$C18,wallet_records!$O:$O,'EEFF 2024'!$B$1,wallet_records!$N:$N,'EEFF 2024'!AZ$2,wallet_records!$H:$H,'EEFF 2024'!$B18,wallet_records!$F:$F,"Ingreso")</f>
        <v>2887940.31</v>
      </c>
      <c r="BA18" s="121"/>
      <c r="BB18" s="121"/>
      <c r="BC18" s="121"/>
      <c r="BD18" s="121"/>
      <c r="BE18" s="121"/>
      <c r="BG18" s="115">
        <f>SUMIFS(wallet_records!$D:$D,wallet_records!$B:$B,'EEFF 2024'!$C18,wallet_records!$O:$O,'EEFF 2024'!$B$1,wallet_records!$N:$N,'EEFF 2024'!BG$2,wallet_records!$H:$H,'EEFF 2024'!$B18,wallet_records!$F:$F,"Ingreso")</f>
        <v>2182858.2400000002</v>
      </c>
      <c r="BH18" s="121"/>
      <c r="BI18" s="121"/>
      <c r="BJ18" s="121"/>
      <c r="BK18" s="121"/>
      <c r="BL18" s="121"/>
      <c r="BN18" s="115">
        <f>SUMIFS(wallet_records!$D:$D,wallet_records!$B:$B,'EEFF 2024'!$C18,wallet_records!$O:$O,'EEFF 2024'!$B$1,wallet_records!$N:$N,'EEFF 2024'!BN$2,wallet_records!$H:$H,'EEFF 2024'!$B18,wallet_records!$F:$F,"Ingreso")</f>
        <v>2375321.02</v>
      </c>
      <c r="BO18" s="121"/>
      <c r="BP18" s="121"/>
      <c r="BQ18" s="121"/>
      <c r="BR18" s="121"/>
      <c r="BS18" s="121"/>
      <c r="BU18" s="115">
        <f>SUMIFS(wallet_records!$D:$D,wallet_records!$B:$B,'EEFF 2024'!$C18,wallet_records!$O:$O,'EEFF 2024'!$B$1,wallet_records!$N:$N,'EEFF 2024'!BU$2,wallet_records!$H:$H,'EEFF 2024'!$B18,wallet_records!$F:$F,"Ingreso")</f>
        <v>1139671.49</v>
      </c>
      <c r="BV18" s="121"/>
      <c r="BW18" s="121"/>
      <c r="BX18" s="121"/>
      <c r="BY18" s="121"/>
      <c r="BZ18" s="121"/>
      <c r="CB18" s="115">
        <f>SUMIFS(wallet_records!$D:$D,wallet_records!$B:$B,'EEFF 2024'!$C18,wallet_records!$O:$O,'EEFF 2024'!$B$1,wallet_records!$N:$N,'EEFF 2024'!CB$2,wallet_records!$H:$H,'EEFF 2024'!$B18,wallet_records!$F:$F,"Ingreso")</f>
        <v>2299576.91</v>
      </c>
      <c r="CC18" s="121"/>
      <c r="CD18" s="121"/>
      <c r="CE18" s="121"/>
      <c r="CF18" s="121"/>
      <c r="CG18" s="121"/>
      <c r="CI18" s="115">
        <f>SUMIFS(wallet_records!$D:$D,wallet_records!$B:$B,'EEFF 2024'!$C18,wallet_records!$O:$O,'EEFF 2024'!$B$1,wallet_records!$N:$N,'EEFF 2024'!CI$2,wallet_records!$H:$H,'EEFF 2024'!$B18,wallet_records!$F:$F,"Ingreso")</f>
        <v>8324317.7999999998</v>
      </c>
      <c r="CJ18" s="121"/>
      <c r="CK18" s="121"/>
      <c r="CL18" s="121"/>
      <c r="CM18" s="121"/>
      <c r="CN18" s="121"/>
      <c r="CP18" s="115">
        <f>SUMIFS(wallet_records!$D:$D,wallet_records!$B:$B,'EEFF 2024'!$C18,wallet_records!$O:$O,'EEFF 2024'!$B$1,wallet_records!$H:$H,'EEFF 2024'!$B18,wallet_records!$F:$F,"Ingreso")</f>
        <v>51528992.219999999</v>
      </c>
      <c r="CQ18" s="107"/>
      <c r="CR18" s="118">
        <f t="shared" si="0"/>
        <v>1.6489020607999998</v>
      </c>
      <c r="CS18" s="118">
        <f t="shared" si="1"/>
        <v>0.86690877192982452</v>
      </c>
      <c r="CT18" s="118">
        <f t="shared" si="2"/>
        <v>0.58353603609022553</v>
      </c>
      <c r="CU18" s="118">
        <f t="shared" si="3"/>
        <v>1.2083146421870812</v>
      </c>
      <c r="CV18" s="118">
        <f t="shared" si="4"/>
        <v>0.8421107131435881</v>
      </c>
      <c r="CW18" s="118">
        <f t="shared" si="5"/>
        <v>0.40776862548552811</v>
      </c>
      <c r="CX18" s="118">
        <f t="shared" si="6"/>
        <v>0.35517652318288034</v>
      </c>
      <c r="CY18" s="118">
        <f t="shared" si="7"/>
        <v>0.25597868542949287</v>
      </c>
      <c r="CZ18" s="118">
        <f t="shared" si="8"/>
        <v>0.33403473773027703</v>
      </c>
      <c r="DA18" s="118">
        <f t="shared" si="9"/>
        <v>0.18741514389080743</v>
      </c>
      <c r="DB18" s="118">
        <f t="shared" si="10"/>
        <v>0.17066139077516793</v>
      </c>
      <c r="DC18" s="118">
        <f t="shared" si="11"/>
        <v>1.3964633115249119</v>
      </c>
    </row>
    <row r="19" spans="2:107" ht="16" x14ac:dyDescent="0.2">
      <c r="B19" s="107" t="s">
        <v>477</v>
      </c>
      <c r="C19" s="191" t="s">
        <v>144</v>
      </c>
      <c r="D19" s="115"/>
      <c r="E19" s="115"/>
      <c r="F19" s="115"/>
      <c r="G19" s="121"/>
      <c r="H19" s="121"/>
      <c r="I19" s="121"/>
      <c r="J19" s="115">
        <f>SUMIFS(wallet_records!$D:$D,wallet_records!$B:$B,'EEFF 2024'!$C19,wallet_records!$O:$O,'EEFF 2024'!$B$1,wallet_records!$N:$N,'EEFF 2024'!J$2,wallet_records!$H:$H,'EEFF 2024'!$B19)</f>
        <v>0</v>
      </c>
      <c r="K19" s="115"/>
      <c r="L19" s="115"/>
      <c r="M19" s="115"/>
      <c r="N19" s="121"/>
      <c r="O19" s="121"/>
      <c r="P19" s="121"/>
      <c r="Q19" s="115">
        <f>SUMIFS(wallet_records!$D:$D,wallet_records!$B:$B,'EEFF 2024'!$C19,wallet_records!$O:$O,'EEFF 2024'!$B$1,wallet_records!$N:$N,'EEFF 2024'!Q$2,wallet_records!$H:$H,'EEFF 2024'!$B19)</f>
        <v>0</v>
      </c>
      <c r="R19" s="121"/>
      <c r="S19" s="121"/>
      <c r="T19" s="121"/>
      <c r="U19" s="121"/>
      <c r="V19" s="121"/>
      <c r="X19" s="115">
        <f>SUMIFS(wallet_records!$D:$D,wallet_records!$B:$B,'EEFF 2024'!$C19,wallet_records!$O:$O,'EEFF 2024'!$B$1,wallet_records!$N:$N,'EEFF 2024'!X$2,wallet_records!$H:$H,'EEFF 2024'!$B19)</f>
        <v>0</v>
      </c>
      <c r="Y19" s="121"/>
      <c r="Z19" s="121"/>
      <c r="AA19" s="121"/>
      <c r="AB19" s="121"/>
      <c r="AC19" s="121"/>
      <c r="AE19" s="115">
        <f>SUMIFS(wallet_records!$D:$D,wallet_records!$B:$B,'EEFF 2024'!$C19,wallet_records!$O:$O,'EEFF 2024'!$B$1,wallet_records!$N:$N,'EEFF 2024'!AE$2,wallet_records!$H:$H,'EEFF 2024'!$B19)</f>
        <v>0</v>
      </c>
      <c r="AF19" s="121"/>
      <c r="AG19" s="121"/>
      <c r="AH19" s="121"/>
      <c r="AI19" s="121"/>
      <c r="AJ19" s="121"/>
      <c r="AL19" s="115">
        <f>SUMIFS(wallet_records!$D:$D,wallet_records!$B:$B,'EEFF 2024'!$C19,wallet_records!$O:$O,'EEFF 2024'!$B$1,wallet_records!$N:$N,'EEFF 2024'!AL$2,wallet_records!$H:$H,'EEFF 2024'!$B19)</f>
        <v>0</v>
      </c>
      <c r="AM19" s="121"/>
      <c r="AN19" s="121"/>
      <c r="AO19" s="121"/>
      <c r="AP19" s="121"/>
      <c r="AQ19" s="121"/>
      <c r="AS19" s="115">
        <f>SUMIFS(wallet_records!$D:$D,wallet_records!$B:$B,'EEFF 2024'!$C19,wallet_records!$O:$O,'EEFF 2024'!$B$1,wallet_records!$N:$N,'EEFF 2024'!AS$2,wallet_records!$H:$H,'EEFF 2024'!$B19)</f>
        <v>0</v>
      </c>
      <c r="AT19" s="121"/>
      <c r="AU19" s="121"/>
      <c r="AV19" s="121"/>
      <c r="AW19" s="121"/>
      <c r="AX19" s="121"/>
      <c r="AZ19" s="115">
        <f>SUMIFS(wallet_records!$D:$D,wallet_records!$B:$B,'EEFF 2024'!$C19,wallet_records!$O:$O,'EEFF 2024'!$B$1,wallet_records!$N:$N,'EEFF 2024'!AZ$2,wallet_records!$H:$H,'EEFF 2024'!$B19)</f>
        <v>0</v>
      </c>
      <c r="BA19" s="121"/>
      <c r="BB19" s="121"/>
      <c r="BC19" s="121"/>
      <c r="BD19" s="121"/>
      <c r="BE19" s="121"/>
      <c r="BG19" s="115">
        <f>SUMIFS(wallet_records!$D:$D,wallet_records!$B:$B,'EEFF 2024'!$C19,wallet_records!$O:$O,'EEFF 2024'!$B$1,wallet_records!$N:$N,'EEFF 2024'!BG$2,wallet_records!$H:$H,'EEFF 2024'!$B19)</f>
        <v>0</v>
      </c>
      <c r="BH19" s="121"/>
      <c r="BI19" s="121"/>
      <c r="BJ19" s="121"/>
      <c r="BK19" s="121"/>
      <c r="BL19" s="121"/>
      <c r="BN19" s="115">
        <f>SUMIFS(wallet_records!$D:$D,wallet_records!$B:$B,'EEFF 2024'!$C19,wallet_records!$O:$O,'EEFF 2024'!$B$1,wallet_records!$N:$N,'EEFF 2024'!BN$2,wallet_records!$H:$H,'EEFF 2024'!$B19)</f>
        <v>0</v>
      </c>
      <c r="BO19" s="121"/>
      <c r="BP19" s="121"/>
      <c r="BQ19" s="121"/>
      <c r="BR19" s="121"/>
      <c r="BS19" s="121"/>
      <c r="BU19" s="115">
        <f>SUMIFS(wallet_records!$D:$D,wallet_records!$B:$B,'EEFF 2024'!$C19,wallet_records!$O:$O,'EEFF 2024'!$B$1,wallet_records!$N:$N,'EEFF 2024'!BU$2,wallet_records!$H:$H,'EEFF 2024'!$B19)</f>
        <v>0</v>
      </c>
      <c r="BV19" s="121"/>
      <c r="BW19" s="121"/>
      <c r="BX19" s="121"/>
      <c r="BY19" s="121"/>
      <c r="BZ19" s="121"/>
      <c r="CB19" s="115">
        <f>SUMIFS(wallet_records!$D:$D,wallet_records!$B:$B,'EEFF 2024'!$C19,wallet_records!$O:$O,'EEFF 2024'!$B$1,wallet_records!$N:$N,'EEFF 2024'!CB$2,wallet_records!$H:$H,'EEFF 2024'!$B19)</f>
        <v>0</v>
      </c>
      <c r="CC19" s="121"/>
      <c r="CD19" s="121"/>
      <c r="CE19" s="121"/>
      <c r="CF19" s="121"/>
      <c r="CG19" s="121"/>
      <c r="CI19" s="115">
        <f>SUMIFS(wallet_records!$D:$D,wallet_records!$B:$B,'EEFF 2024'!$C19,wallet_records!$O:$O,'EEFF 2024'!$B$1,wallet_records!$N:$N,'EEFF 2024'!CI$2,wallet_records!$H:$H,'EEFF 2024'!$B19)</f>
        <v>0</v>
      </c>
      <c r="CJ19" s="121"/>
      <c r="CK19" s="121"/>
      <c r="CL19" s="121"/>
      <c r="CM19" s="121"/>
      <c r="CN19" s="121"/>
      <c r="CP19" s="115">
        <f>SUMIFS(wallet_records!$D:$D,wallet_records!$B:$B,'EEFF 2024'!$C19,wallet_records!$O:$O,'EEFF 2024'!$B$1,wallet_records!$H:$H,'EEFF 2024'!$B19)</f>
        <v>0</v>
      </c>
      <c r="CQ19" s="107"/>
      <c r="CR19" s="118">
        <f t="shared" si="0"/>
        <v>0</v>
      </c>
      <c r="CS19" s="118">
        <f t="shared" si="1"/>
        <v>0</v>
      </c>
      <c r="CT19" s="118">
        <f t="shared" si="2"/>
        <v>0</v>
      </c>
      <c r="CU19" s="118">
        <f t="shared" si="3"/>
        <v>0</v>
      </c>
      <c r="CV19" s="118">
        <f t="shared" si="4"/>
        <v>0</v>
      </c>
      <c r="CW19" s="118">
        <f t="shared" si="5"/>
        <v>0</v>
      </c>
      <c r="CX19" s="118">
        <f t="shared" si="6"/>
        <v>0</v>
      </c>
      <c r="CY19" s="118">
        <f t="shared" si="7"/>
        <v>0</v>
      </c>
      <c r="CZ19" s="118">
        <f t="shared" si="8"/>
        <v>0</v>
      </c>
      <c r="DA19" s="118">
        <f t="shared" si="9"/>
        <v>0</v>
      </c>
      <c r="DB19" s="118">
        <f t="shared" si="10"/>
        <v>0</v>
      </c>
      <c r="DC19" s="118">
        <f t="shared" si="11"/>
        <v>0</v>
      </c>
    </row>
    <row r="20" spans="2:107" x14ac:dyDescent="0.2">
      <c r="B20" s="107" t="s">
        <v>145</v>
      </c>
      <c r="C20" s="191" t="s">
        <v>144</v>
      </c>
      <c r="D20" s="187"/>
      <c r="E20" s="187"/>
      <c r="F20" s="187"/>
      <c r="G20" s="188"/>
      <c r="H20" s="188"/>
      <c r="I20" s="188"/>
      <c r="J20" s="115">
        <f>SUMIFS(wallet_records!$D:$D,wallet_records!$B:$B,'EEFF 2024'!$C20,wallet_records!$O:$O,'EEFF 2024'!$B$1,wallet_records!$N:$N,'EEFF 2024'!J$2,wallet_records!$H:$H,'EEFF 2024'!$B20)</f>
        <v>330600</v>
      </c>
      <c r="K20" s="187"/>
      <c r="L20" s="187"/>
      <c r="M20" s="187"/>
      <c r="N20" s="187"/>
      <c r="O20" s="187"/>
      <c r="P20" s="187"/>
      <c r="Q20" s="115">
        <f>SUMIFS(wallet_records!$D:$D,wallet_records!$B:$B,'EEFF 2024'!$C20,wallet_records!$O:$O,'EEFF 2024'!$B$1,wallet_records!$N:$N,'EEFF 2024'!Q$2,wallet_records!$H:$H,'EEFF 2024'!$B20)</f>
        <v>370500</v>
      </c>
      <c r="R20" s="187"/>
      <c r="S20" s="187"/>
      <c r="T20" s="187"/>
      <c r="U20" s="188"/>
      <c r="V20" s="188"/>
      <c r="W20" s="188"/>
      <c r="X20" s="115">
        <f>SUMIFS(wallet_records!$D:$D,wallet_records!$B:$B,'EEFF 2024'!$C20,wallet_records!$O:$O,'EEFF 2024'!$B$1,wallet_records!$N:$N,'EEFF 2024'!X$2,wallet_records!$H:$H,'EEFF 2024'!$B20)</f>
        <v>741000</v>
      </c>
      <c r="Y20" s="187"/>
      <c r="Z20" s="187"/>
      <c r="AA20" s="187"/>
      <c r="AB20" s="188"/>
      <c r="AC20" s="188"/>
      <c r="AD20" s="188"/>
      <c r="AE20" s="115">
        <f>SUMIFS(wallet_records!$D:$D,wallet_records!$B:$B,'EEFF 2024'!$C20,wallet_records!$O:$O,'EEFF 2024'!$B$1,wallet_records!$N:$N,'EEFF 2024'!AE$2,wallet_records!$H:$H,'EEFF 2024'!$B20)</f>
        <v>0</v>
      </c>
      <c r="AF20" s="187"/>
      <c r="AG20" s="187"/>
      <c r="AH20" s="187"/>
      <c r="AI20" s="188"/>
      <c r="AJ20" s="188"/>
      <c r="AK20" s="188"/>
      <c r="AL20" s="115">
        <f>SUMIFS(wallet_records!$D:$D,wallet_records!$B:$B,'EEFF 2024'!$C20,wallet_records!$O:$O,'EEFF 2024'!$B$1,wallet_records!$N:$N,'EEFF 2024'!AL$2,wallet_records!$H:$H,'EEFF 2024'!$B20)</f>
        <v>370500</v>
      </c>
      <c r="AM20" s="187"/>
      <c r="AN20" s="187"/>
      <c r="AO20" s="187"/>
      <c r="AP20" s="188"/>
      <c r="AQ20" s="188"/>
      <c r="AR20" s="188"/>
      <c r="AS20" s="115">
        <f>SUMIFS(wallet_records!$D:$D,wallet_records!$B:$B,'EEFF 2024'!$C20,wallet_records!$O:$O,'EEFF 2024'!$B$1,wallet_records!$N:$N,'EEFF 2024'!AS$2,wallet_records!$H:$H,'EEFF 2024'!$B20)</f>
        <v>370500</v>
      </c>
      <c r="AT20" s="187"/>
      <c r="AU20" s="187"/>
      <c r="AV20" s="187"/>
      <c r="AW20" s="188"/>
      <c r="AX20" s="188"/>
      <c r="AY20" s="188"/>
      <c r="AZ20" s="115">
        <f>SUMIFS(wallet_records!$D:$D,wallet_records!$B:$B,'EEFF 2024'!$C20,wallet_records!$O:$O,'EEFF 2024'!$B$1,wallet_records!$N:$N,'EEFF 2024'!AZ$2,wallet_records!$H:$H,'EEFF 2024'!$B20)</f>
        <v>370500</v>
      </c>
      <c r="BA20" s="187"/>
      <c r="BB20" s="187"/>
      <c r="BC20" s="187"/>
      <c r="BD20" s="188"/>
      <c r="BE20" s="188"/>
      <c r="BF20" s="188"/>
      <c r="BG20" s="115">
        <f>SUMIFS(wallet_records!$D:$D,wallet_records!$B:$B,'EEFF 2024'!$C20,wallet_records!$O:$O,'EEFF 2024'!$B$1,wallet_records!$N:$N,'EEFF 2024'!BG$2,wallet_records!$H:$H,'EEFF 2024'!$B20)</f>
        <v>741000</v>
      </c>
      <c r="BH20" s="187"/>
      <c r="BI20" s="187"/>
      <c r="BJ20" s="187"/>
      <c r="BK20" s="188"/>
      <c r="BL20" s="188"/>
      <c r="BM20" s="188"/>
      <c r="BN20" s="115">
        <f>SUMIFS(wallet_records!$D:$D,wallet_records!$B:$B,'EEFF 2024'!$C20,wallet_records!$O:$O,'EEFF 2024'!$B$1,wallet_records!$N:$N,'EEFF 2024'!BN$2,wallet_records!$H:$H,'EEFF 2024'!$B20)</f>
        <v>0</v>
      </c>
      <c r="BO20" s="187"/>
      <c r="BP20" s="187"/>
      <c r="BQ20" s="187"/>
      <c r="BR20" s="188"/>
      <c r="BS20" s="188"/>
      <c r="BT20" s="188"/>
      <c r="BU20" s="115">
        <f>SUMIFS(wallet_records!$D:$D,wallet_records!$B:$B,'EEFF 2024'!$C20,wallet_records!$O:$O,'EEFF 2024'!$B$1,wallet_records!$N:$N,'EEFF 2024'!BU$2,wallet_records!$H:$H,'EEFF 2024'!$B20)</f>
        <v>370500</v>
      </c>
      <c r="BV20" s="187"/>
      <c r="BW20" s="187"/>
      <c r="BX20" s="187"/>
      <c r="BY20" s="188"/>
      <c r="BZ20" s="188"/>
      <c r="CA20" s="188"/>
      <c r="CB20" s="115">
        <f>SUMIFS(wallet_records!$D:$D,wallet_records!$B:$B,'EEFF 2024'!$C20,wallet_records!$O:$O,'EEFF 2024'!$B$1,wallet_records!$N:$N,'EEFF 2024'!CB$2,wallet_records!$H:$H,'EEFF 2024'!$B20)</f>
        <v>370500</v>
      </c>
      <c r="CC20" s="187"/>
      <c r="CD20" s="187"/>
      <c r="CE20" s="187"/>
      <c r="CF20" s="188"/>
      <c r="CG20" s="188"/>
      <c r="CH20" s="188"/>
      <c r="CI20" s="115">
        <f>SUMIFS(wallet_records!$D:$D,wallet_records!$B:$B,'EEFF 2024'!$C20,wallet_records!$O:$O,'EEFF 2024'!$B$1,wallet_records!$N:$N,'EEFF 2024'!CI$2,wallet_records!$H:$H,'EEFF 2024'!$B20)</f>
        <v>405800</v>
      </c>
      <c r="CJ20" s="116"/>
      <c r="CK20" s="116"/>
      <c r="CL20" s="116"/>
      <c r="CM20" s="116"/>
      <c r="CN20" s="116"/>
      <c r="CP20" s="115">
        <f>SUMIFS(wallet_records!$D:$D,wallet_records!$B:$B,'EEFF 2024'!$C20,wallet_records!$O:$O,'EEFF 2024'!$B$1,wallet_records!$H:$H,'EEFF 2024'!$B20)</f>
        <v>4441400</v>
      </c>
      <c r="CQ20" s="107"/>
      <c r="CR20" s="118">
        <f t="shared" si="0"/>
        <v>5.2895999999999999E-2</v>
      </c>
      <c r="CS20" s="118">
        <f t="shared" si="1"/>
        <v>0.13</v>
      </c>
      <c r="CT20" s="118">
        <f t="shared" si="2"/>
        <v>0.11142857142857143</v>
      </c>
      <c r="CU20" s="118">
        <f t="shared" si="3"/>
        <v>0</v>
      </c>
      <c r="CV20" s="118">
        <f t="shared" si="4"/>
        <v>3.9494723377038694E-2</v>
      </c>
      <c r="CW20" s="118">
        <f t="shared" si="5"/>
        <v>4.642275404084701E-2</v>
      </c>
      <c r="CX20" s="118">
        <f t="shared" si="6"/>
        <v>4.5566351002336733E-2</v>
      </c>
      <c r="CY20" s="118">
        <f t="shared" si="7"/>
        <v>8.6895338610378195E-2</v>
      </c>
      <c r="CZ20" s="118">
        <f t="shared" si="8"/>
        <v>0</v>
      </c>
      <c r="DA20" s="118">
        <f t="shared" si="9"/>
        <v>6.0927479033053775E-2</v>
      </c>
      <c r="DB20" s="118">
        <f t="shared" si="10"/>
        <v>2.7496382054992764E-2</v>
      </c>
      <c r="DC20" s="118">
        <f t="shared" si="11"/>
        <v>6.8075826203657111E-2</v>
      </c>
    </row>
    <row r="21" spans="2:107" x14ac:dyDescent="0.2">
      <c r="B21" s="10" t="s">
        <v>132</v>
      </c>
      <c r="C21" s="191" t="s">
        <v>131</v>
      </c>
      <c r="D21" s="115"/>
      <c r="E21" s="115"/>
      <c r="F21" s="115"/>
      <c r="G21" s="116"/>
      <c r="H21" s="116"/>
      <c r="I21" s="116"/>
      <c r="J21" s="115">
        <f>SUMIFS(wallet_records!$D:$D,wallet_records!$B:$B,'EEFF 2024'!$C21,wallet_records!$O:$O,'EEFF 2024'!$B$1,wallet_records!$N:$N,'EEFF 2024'!J$2,wallet_records!$H:$H,'EEFF 2024'!$B21)</f>
        <v>0</v>
      </c>
      <c r="K21" s="115"/>
      <c r="L21" s="115"/>
      <c r="M21" s="115"/>
      <c r="N21" s="116"/>
      <c r="O21" s="116"/>
      <c r="P21" s="116"/>
      <c r="Q21" s="115">
        <f>SUMIFS(wallet_records!$D:$D,wallet_records!$B:$B,'EEFF 2024'!$C21,wallet_records!$O:$O,'EEFF 2024'!$B$1,wallet_records!$N:$N,'EEFF 2024'!Q$2,wallet_records!$H:$H,'EEFF 2024'!$B21)</f>
        <v>0</v>
      </c>
      <c r="R21" s="116"/>
      <c r="S21" s="116"/>
      <c r="T21" s="116"/>
      <c r="U21" s="116"/>
      <c r="V21" s="116"/>
      <c r="X21" s="115">
        <f>SUMIFS(wallet_records!$D:$D,wallet_records!$B:$B,'EEFF 2024'!$C21,wallet_records!$O:$O,'EEFF 2024'!$B$1,wallet_records!$N:$N,'EEFF 2024'!X$2,wallet_records!$H:$H,'EEFF 2024'!$B21)</f>
        <v>0</v>
      </c>
      <c r="Y21" s="116"/>
      <c r="Z21" s="116"/>
      <c r="AA21" s="116"/>
      <c r="AB21" s="116"/>
      <c r="AC21" s="116"/>
      <c r="AE21" s="115">
        <f>SUMIFS(wallet_records!$D:$D,wallet_records!$B:$B,'EEFF 2024'!$C21,wallet_records!$O:$O,'EEFF 2024'!$B$1,wallet_records!$N:$N,'EEFF 2024'!AE$2,wallet_records!$H:$H,'EEFF 2024'!$B21)</f>
        <v>0</v>
      </c>
      <c r="AF21" s="116"/>
      <c r="AG21" s="116"/>
      <c r="AH21" s="116"/>
      <c r="AI21" s="116"/>
      <c r="AJ21" s="116"/>
      <c r="AL21" s="115">
        <f>SUMIFS(wallet_records!$D:$D,wallet_records!$B:$B,'EEFF 2024'!$C21,wallet_records!$O:$O,'EEFF 2024'!$B$1,wallet_records!$N:$N,'EEFF 2024'!AL$2,wallet_records!$H:$H,'EEFF 2024'!$B21)</f>
        <v>0</v>
      </c>
      <c r="AM21" s="116"/>
      <c r="AN21" s="116"/>
      <c r="AO21" s="116"/>
      <c r="AP21" s="116"/>
      <c r="AQ21" s="116"/>
      <c r="AS21" s="115">
        <f>SUMIFS(wallet_records!$D:$D,wallet_records!$B:$B,'EEFF 2024'!$C21,wallet_records!$O:$O,'EEFF 2024'!$B$1,wallet_records!$N:$N,'EEFF 2024'!AS$2,wallet_records!$H:$H,'EEFF 2024'!$B21)</f>
        <v>0</v>
      </c>
      <c r="AT21" s="116"/>
      <c r="AU21" s="116"/>
      <c r="AV21" s="116"/>
      <c r="AW21" s="116"/>
      <c r="AX21" s="116"/>
      <c r="AZ21" s="115">
        <f>SUMIFS(wallet_records!$D:$D,wallet_records!$B:$B,'EEFF 2024'!$C21,wallet_records!$O:$O,'EEFF 2024'!$B$1,wallet_records!$N:$N,'EEFF 2024'!AZ$2,wallet_records!$H:$H,'EEFF 2024'!$B21)</f>
        <v>0</v>
      </c>
      <c r="BA21" s="116"/>
      <c r="BB21" s="116"/>
      <c r="BC21" s="116"/>
      <c r="BD21" s="116"/>
      <c r="BE21" s="116"/>
      <c r="BG21" s="115">
        <f>SUMIFS(wallet_records!$D:$D,wallet_records!$B:$B,'EEFF 2024'!$C21,wallet_records!$O:$O,'EEFF 2024'!$B$1,wallet_records!$N:$N,'EEFF 2024'!BG$2,wallet_records!$H:$H,'EEFF 2024'!$B21)</f>
        <v>0</v>
      </c>
      <c r="BH21" s="116"/>
      <c r="BI21" s="116"/>
      <c r="BJ21" s="116"/>
      <c r="BK21" s="116"/>
      <c r="BL21" s="116"/>
      <c r="BN21" s="115">
        <f>SUMIFS(wallet_records!$D:$D,wallet_records!$B:$B,'EEFF 2024'!$C21,wallet_records!$O:$O,'EEFF 2024'!$B$1,wallet_records!$N:$N,'EEFF 2024'!BN$2,wallet_records!$H:$H,'EEFF 2024'!$B21)</f>
        <v>0</v>
      </c>
      <c r="BO21" s="116"/>
      <c r="BP21" s="116"/>
      <c r="BQ21" s="116"/>
      <c r="BR21" s="116"/>
      <c r="BS21" s="116"/>
      <c r="BU21" s="115">
        <f>SUMIFS(wallet_records!$D:$D,wallet_records!$B:$B,'EEFF 2024'!$C21,wallet_records!$O:$O,'EEFF 2024'!$B$1,wallet_records!$N:$N,'EEFF 2024'!BU$2,wallet_records!$H:$H,'EEFF 2024'!$B21)</f>
        <v>0</v>
      </c>
      <c r="BV21" s="116"/>
      <c r="BW21" s="116"/>
      <c r="BX21" s="116"/>
      <c r="BY21" s="116"/>
      <c r="BZ21" s="116"/>
      <c r="CB21" s="115">
        <f>SUMIFS(wallet_records!$D:$D,wallet_records!$B:$B,'EEFF 2024'!$C21,wallet_records!$O:$O,'EEFF 2024'!$B$1,wallet_records!$N:$N,'EEFF 2024'!CB$2,wallet_records!$H:$H,'EEFF 2024'!$B21)</f>
        <v>0</v>
      </c>
      <c r="CC21" s="116"/>
      <c r="CD21" s="116"/>
      <c r="CE21" s="116"/>
      <c r="CF21" s="116"/>
      <c r="CG21" s="116"/>
      <c r="CI21" s="115">
        <f>SUMIFS(wallet_records!$D:$D,wallet_records!$B:$B,'EEFF 2024'!$C21,wallet_records!$O:$O,'EEFF 2024'!$B$1,wallet_records!$N:$N,'EEFF 2024'!CI$2,wallet_records!$H:$H,'EEFF 2024'!$B21)</f>
        <v>600300</v>
      </c>
      <c r="CJ21" s="116"/>
      <c r="CK21" s="116"/>
      <c r="CL21" s="116"/>
      <c r="CM21" s="116"/>
      <c r="CN21" s="116"/>
      <c r="CP21" s="115">
        <f>SUMIFS(wallet_records!$D:$D,wallet_records!$B:$B,'EEFF 2024'!$C21,wallet_records!$O:$O,'EEFF 2024'!$B$1,wallet_records!$H:$H,'EEFF 2024'!$B21)</f>
        <v>600300</v>
      </c>
      <c r="CQ21" s="107"/>
      <c r="CR21" s="118">
        <f t="shared" si="0"/>
        <v>0</v>
      </c>
      <c r="CS21" s="118">
        <f t="shared" si="1"/>
        <v>0</v>
      </c>
      <c r="CT21" s="118">
        <f t="shared" si="2"/>
        <v>0</v>
      </c>
      <c r="CU21" s="118">
        <f t="shared" si="3"/>
        <v>0</v>
      </c>
      <c r="CV21" s="118">
        <f t="shared" si="4"/>
        <v>0</v>
      </c>
      <c r="CW21" s="118">
        <f t="shared" si="5"/>
        <v>0</v>
      </c>
      <c r="CX21" s="118">
        <f t="shared" si="6"/>
        <v>0</v>
      </c>
      <c r="CY21" s="118">
        <f t="shared" si="7"/>
        <v>0</v>
      </c>
      <c r="CZ21" s="118">
        <f t="shared" si="8"/>
        <v>0</v>
      </c>
      <c r="DA21" s="118">
        <f t="shared" si="9"/>
        <v>0</v>
      </c>
      <c r="DB21" s="118">
        <f t="shared" si="10"/>
        <v>0</v>
      </c>
      <c r="DC21" s="118">
        <f t="shared" si="11"/>
        <v>0.10070457976849521</v>
      </c>
    </row>
    <row r="22" spans="2:107" x14ac:dyDescent="0.2">
      <c r="B22" s="10" t="s">
        <v>222</v>
      </c>
      <c r="C22" s="191" t="s">
        <v>131</v>
      </c>
      <c r="D22" s="115"/>
      <c r="E22" s="115"/>
      <c r="F22" s="115"/>
      <c r="G22" s="116"/>
      <c r="H22" s="116"/>
      <c r="I22" s="116"/>
      <c r="J22" s="115">
        <f>SUMIFS(wallet_records!$D:$D,wallet_records!$B:$B,'EEFF 2024'!$C22,wallet_records!$O:$O,'EEFF 2024'!$B$1,wallet_records!$N:$N,'EEFF 2024'!J$2,wallet_records!$H:$H,'EEFF 2024'!$B22)</f>
        <v>1995218</v>
      </c>
      <c r="K22" s="115"/>
      <c r="L22" s="115"/>
      <c r="M22" s="115"/>
      <c r="N22" s="116"/>
      <c r="O22" s="116"/>
      <c r="P22" s="116"/>
      <c r="Q22" s="115">
        <f>SUMIFS(wallet_records!$D:$D,wallet_records!$B:$B,'EEFF 2024'!$C22,wallet_records!$O:$O,'EEFF 2024'!$B$1,wallet_records!$N:$N,'EEFF 2024'!Q$2,wallet_records!$H:$H,'EEFF 2024'!$B22)</f>
        <v>0</v>
      </c>
      <c r="R22" s="116"/>
      <c r="S22" s="116"/>
      <c r="T22" s="116"/>
      <c r="U22" s="116"/>
      <c r="V22" s="116"/>
      <c r="X22" s="115">
        <f>SUMIFS(wallet_records!$D:$D,wallet_records!$B:$B,'EEFF 2024'!$C22,wallet_records!$O:$O,'EEFF 2024'!$B$1,wallet_records!$N:$N,'EEFF 2024'!X$2,wallet_records!$H:$H,'EEFF 2024'!$B22)</f>
        <v>0</v>
      </c>
      <c r="Y22" s="116"/>
      <c r="Z22" s="116"/>
      <c r="AA22" s="116"/>
      <c r="AB22" s="116"/>
      <c r="AC22" s="116"/>
      <c r="AE22" s="115">
        <f>SUMIFS(wallet_records!$D:$D,wallet_records!$B:$B,'EEFF 2024'!$C22,wallet_records!$O:$O,'EEFF 2024'!$B$1,wallet_records!$N:$N,'EEFF 2024'!AE$2,wallet_records!$H:$H,'EEFF 2024'!$B22)</f>
        <v>0</v>
      </c>
      <c r="AF22" s="116"/>
      <c r="AG22" s="116"/>
      <c r="AH22" s="116"/>
      <c r="AI22" s="116"/>
      <c r="AJ22" s="116"/>
      <c r="AL22" s="115">
        <f>SUMIFS(wallet_records!$D:$D,wallet_records!$B:$B,'EEFF 2024'!$C22,wallet_records!$O:$O,'EEFF 2024'!$B$1,wallet_records!$N:$N,'EEFF 2024'!AL$2,wallet_records!$H:$H,'EEFF 2024'!$B22)</f>
        <v>0</v>
      </c>
      <c r="AM22" s="116"/>
      <c r="AN22" s="116"/>
      <c r="AO22" s="116"/>
      <c r="AP22" s="116"/>
      <c r="AQ22" s="116"/>
      <c r="AS22" s="115">
        <f>SUMIFS(wallet_records!$D:$D,wallet_records!$B:$B,'EEFF 2024'!$C22,wallet_records!$O:$O,'EEFF 2024'!$B$1,wallet_records!$N:$N,'EEFF 2024'!AS$2,wallet_records!$H:$H,'EEFF 2024'!$B22)</f>
        <v>0</v>
      </c>
      <c r="AT22" s="116"/>
      <c r="AU22" s="116"/>
      <c r="AV22" s="116"/>
      <c r="AW22" s="116"/>
      <c r="AX22" s="116"/>
      <c r="AZ22" s="115">
        <f>SUMIFS(wallet_records!$D:$D,wallet_records!$B:$B,'EEFF 2024'!$C22,wallet_records!$O:$O,'EEFF 2024'!$B$1,wallet_records!$N:$N,'EEFF 2024'!AZ$2,wallet_records!$H:$H,'EEFF 2024'!$B22)</f>
        <v>0</v>
      </c>
      <c r="BA22" s="116"/>
      <c r="BB22" s="116"/>
      <c r="BC22" s="116"/>
      <c r="BD22" s="116"/>
      <c r="BE22" s="116"/>
      <c r="BG22" s="115">
        <f>SUMIFS(wallet_records!$D:$D,wallet_records!$B:$B,'EEFF 2024'!$C22,wallet_records!$O:$O,'EEFF 2024'!$B$1,wallet_records!$N:$N,'EEFF 2024'!BG$2,wallet_records!$H:$H,'EEFF 2024'!$B22)</f>
        <v>0</v>
      </c>
      <c r="BH22" s="116"/>
      <c r="BI22" s="116"/>
      <c r="BJ22" s="116"/>
      <c r="BK22" s="116"/>
      <c r="BL22" s="116"/>
      <c r="BN22" s="115">
        <f>SUMIFS(wallet_records!$D:$D,wallet_records!$B:$B,'EEFF 2024'!$C22,wallet_records!$O:$O,'EEFF 2024'!$B$1,wallet_records!$N:$N,'EEFF 2024'!BN$2,wallet_records!$H:$H,'EEFF 2024'!$B22)</f>
        <v>0</v>
      </c>
      <c r="BO22" s="116"/>
      <c r="BP22" s="116"/>
      <c r="BQ22" s="116"/>
      <c r="BR22" s="116"/>
      <c r="BS22" s="116"/>
      <c r="BU22" s="115">
        <f>SUMIFS(wallet_records!$D:$D,wallet_records!$B:$B,'EEFF 2024'!$C22,wallet_records!$O:$O,'EEFF 2024'!$B$1,wallet_records!$N:$N,'EEFF 2024'!BU$2,wallet_records!$H:$H,'EEFF 2024'!$B22)</f>
        <v>0</v>
      </c>
      <c r="BV22" s="116"/>
      <c r="BW22" s="116"/>
      <c r="BX22" s="116"/>
      <c r="BY22" s="116"/>
      <c r="BZ22" s="116"/>
      <c r="CB22" s="115">
        <f>SUMIFS(wallet_records!$D:$D,wallet_records!$B:$B,'EEFF 2024'!$C22,wallet_records!$O:$O,'EEFF 2024'!$B$1,wallet_records!$N:$N,'EEFF 2024'!CB$2,wallet_records!$H:$H,'EEFF 2024'!$B22)</f>
        <v>0</v>
      </c>
      <c r="CC22" s="116"/>
      <c r="CD22" s="116"/>
      <c r="CE22" s="116"/>
      <c r="CF22" s="116"/>
      <c r="CG22" s="116"/>
      <c r="CI22" s="115">
        <f>SUMIFS(wallet_records!$D:$D,wallet_records!$B:$B,'EEFF 2024'!$C22,wallet_records!$O:$O,'EEFF 2024'!$B$1,wallet_records!$N:$N,'EEFF 2024'!CI$2,wallet_records!$H:$H,'EEFF 2024'!$B22)</f>
        <v>0</v>
      </c>
      <c r="CJ22" s="116"/>
      <c r="CK22" s="116"/>
      <c r="CL22" s="116"/>
      <c r="CM22" s="116"/>
      <c r="CN22" s="116"/>
      <c r="CP22" s="115">
        <f>SUMIFS(wallet_records!$D:$D,wallet_records!$B:$B,'EEFF 2024'!$C22,wallet_records!$O:$O,'EEFF 2024'!$B$1,wallet_records!$H:$H,'EEFF 2024'!$B22)</f>
        <v>1995218</v>
      </c>
      <c r="CQ22" s="107"/>
      <c r="CR22" s="118">
        <f t="shared" si="0"/>
        <v>0.31923488</v>
      </c>
      <c r="CS22" s="118">
        <f t="shared" si="1"/>
        <v>0</v>
      </c>
      <c r="CT22" s="118">
        <f t="shared" si="2"/>
        <v>0</v>
      </c>
      <c r="CU22" s="118">
        <f t="shared" si="3"/>
        <v>0</v>
      </c>
      <c r="CV22" s="118">
        <f t="shared" si="4"/>
        <v>0</v>
      </c>
      <c r="CW22" s="118">
        <f t="shared" si="5"/>
        <v>0</v>
      </c>
      <c r="CX22" s="118">
        <f t="shared" si="6"/>
        <v>0</v>
      </c>
      <c r="CY22" s="118">
        <f t="shared" si="7"/>
        <v>0</v>
      </c>
      <c r="CZ22" s="118">
        <f t="shared" si="8"/>
        <v>0</v>
      </c>
      <c r="DA22" s="118">
        <f t="shared" si="9"/>
        <v>0</v>
      </c>
      <c r="DB22" s="118">
        <f t="shared" si="10"/>
        <v>0</v>
      </c>
      <c r="DC22" s="118">
        <f t="shared" si="11"/>
        <v>0</v>
      </c>
    </row>
    <row r="23" spans="2:107" x14ac:dyDescent="0.2">
      <c r="B23" s="10" t="s">
        <v>87</v>
      </c>
      <c r="C23" s="191" t="s">
        <v>114</v>
      </c>
      <c r="D23" s="115"/>
      <c r="E23" s="115"/>
      <c r="F23" s="115"/>
      <c r="G23" s="116"/>
      <c r="H23" s="116"/>
      <c r="I23" s="116"/>
      <c r="J23" s="115">
        <f>SUMIFS(wallet_records!$D:$D,wallet_records!$B:$B,'EEFF 2024'!$C23,wallet_records!$O:$O,'EEFF 2024'!$B$1,wallet_records!$N:$N,'EEFF 2024'!J$2,wallet_records!$H:$H,'EEFF 2024'!$B23)</f>
        <v>0</v>
      </c>
      <c r="K23" s="115"/>
      <c r="L23" s="115"/>
      <c r="M23" s="115"/>
      <c r="N23" s="116"/>
      <c r="O23" s="116"/>
      <c r="P23" s="116"/>
      <c r="Q23" s="115">
        <f>SUMIFS(wallet_records!$D:$D,wallet_records!$B:$B,'EEFF 2024'!$C23,wallet_records!$O:$O,'EEFF 2024'!$B$1,wallet_records!$N:$N,'EEFF 2024'!Q$2,wallet_records!$H:$H,'EEFF 2024'!$B23)</f>
        <v>0</v>
      </c>
      <c r="R23" s="116"/>
      <c r="S23" s="116"/>
      <c r="T23" s="116"/>
      <c r="U23" s="116"/>
      <c r="V23" s="116"/>
      <c r="X23" s="115">
        <f>SUMIFS(wallet_records!$D:$D,wallet_records!$B:$B,'EEFF 2024'!$C23,wallet_records!$O:$O,'EEFF 2024'!$B$1,wallet_records!$N:$N,'EEFF 2024'!X$2,wallet_records!$H:$H,'EEFF 2024'!$B23)</f>
        <v>0</v>
      </c>
      <c r="Y23" s="116"/>
      <c r="Z23" s="116"/>
      <c r="AA23" s="116"/>
      <c r="AB23" s="116"/>
      <c r="AC23" s="116"/>
      <c r="AE23" s="115">
        <f>SUMIFS(wallet_records!$D:$D,wallet_records!$B:$B,'EEFF 2024'!$C23,wallet_records!$O:$O,'EEFF 2024'!$B$1,wallet_records!$N:$N,'EEFF 2024'!AE$2,wallet_records!$H:$H,'EEFF 2024'!$B23)</f>
        <v>0</v>
      </c>
      <c r="AF23" s="116"/>
      <c r="AG23" s="116"/>
      <c r="AH23" s="116"/>
      <c r="AI23" s="116"/>
      <c r="AJ23" s="116"/>
      <c r="AL23" s="115">
        <f>SUMIFS(wallet_records!$D:$D,wallet_records!$B:$B,'EEFF 2024'!$C23,wallet_records!$O:$O,'EEFF 2024'!$B$1,wallet_records!$N:$N,'EEFF 2024'!AL$2,wallet_records!$H:$H,'EEFF 2024'!$B23)</f>
        <v>0</v>
      </c>
      <c r="AM23" s="116"/>
      <c r="AN23" s="116"/>
      <c r="AO23" s="116"/>
      <c r="AP23" s="116"/>
      <c r="AQ23" s="116"/>
      <c r="AS23" s="115">
        <f>SUMIFS(wallet_records!$D:$D,wallet_records!$B:$B,'EEFF 2024'!$C23,wallet_records!$O:$O,'EEFF 2024'!$B$1,wallet_records!$N:$N,'EEFF 2024'!AS$2,wallet_records!$H:$H,'EEFF 2024'!$B23)</f>
        <v>0</v>
      </c>
      <c r="AT23" s="116"/>
      <c r="AU23" s="116"/>
      <c r="AV23" s="116"/>
      <c r="AW23" s="116"/>
      <c r="AX23" s="116"/>
      <c r="AZ23" s="115">
        <f>SUMIFS(wallet_records!$D:$D,wallet_records!$B:$B,'EEFF 2024'!$C23,wallet_records!$O:$O,'EEFF 2024'!$B$1,wallet_records!$N:$N,'EEFF 2024'!AZ$2,wallet_records!$H:$H,'EEFF 2024'!$B23)</f>
        <v>0</v>
      </c>
      <c r="BA23" s="116"/>
      <c r="BB23" s="116"/>
      <c r="BC23" s="116"/>
      <c r="BD23" s="116"/>
      <c r="BE23" s="116"/>
      <c r="BG23" s="115">
        <f>SUMIFS(wallet_records!$D:$D,wallet_records!$B:$B,'EEFF 2024'!$C23,wallet_records!$O:$O,'EEFF 2024'!$B$1,wallet_records!$N:$N,'EEFF 2024'!BG$2,wallet_records!$H:$H,'EEFF 2024'!$B23)</f>
        <v>0</v>
      </c>
      <c r="BH23" s="116"/>
      <c r="BI23" s="116"/>
      <c r="BJ23" s="116"/>
      <c r="BK23" s="116"/>
      <c r="BL23" s="116"/>
      <c r="BN23" s="115">
        <f>SUMIFS(wallet_records!$D:$D,wallet_records!$B:$B,'EEFF 2024'!$C23,wallet_records!$O:$O,'EEFF 2024'!$B$1,wallet_records!$N:$N,'EEFF 2024'!BN$2,wallet_records!$H:$H,'EEFF 2024'!$B23)</f>
        <v>0</v>
      </c>
      <c r="BO23" s="116"/>
      <c r="BP23" s="116"/>
      <c r="BQ23" s="116"/>
      <c r="BR23" s="116"/>
      <c r="BS23" s="116"/>
      <c r="BU23" s="115">
        <f>SUMIFS(wallet_records!$D:$D,wallet_records!$B:$B,'EEFF 2024'!$C23,wallet_records!$O:$O,'EEFF 2024'!$B$1,wallet_records!$N:$N,'EEFF 2024'!BU$2,wallet_records!$H:$H,'EEFF 2024'!$B23)</f>
        <v>0</v>
      </c>
      <c r="BV23" s="116"/>
      <c r="BW23" s="116"/>
      <c r="BX23" s="116"/>
      <c r="BY23" s="116"/>
      <c r="BZ23" s="116"/>
      <c r="CB23" s="115">
        <f>SUMIFS(wallet_records!$D:$D,wallet_records!$B:$B,'EEFF 2024'!$C23,wallet_records!$O:$O,'EEFF 2024'!$B$1,wallet_records!$N:$N,'EEFF 2024'!CB$2,wallet_records!$H:$H,'EEFF 2024'!$B23)</f>
        <v>0</v>
      </c>
      <c r="CC23" s="116"/>
      <c r="CD23" s="116"/>
      <c r="CE23" s="116"/>
      <c r="CF23" s="116"/>
      <c r="CG23" s="116"/>
      <c r="CI23" s="115">
        <f>SUMIFS(wallet_records!$D:$D,wallet_records!$B:$B,'EEFF 2024'!$C23,wallet_records!$O:$O,'EEFF 2024'!$B$1,wallet_records!$N:$N,'EEFF 2024'!CI$2,wallet_records!$H:$H,'EEFF 2024'!$B23)</f>
        <v>292000</v>
      </c>
      <c r="CJ23" s="116"/>
      <c r="CK23" s="116"/>
      <c r="CL23" s="116"/>
      <c r="CM23" s="116"/>
      <c r="CN23" s="116"/>
      <c r="CP23" s="115">
        <f>SUMIFS(wallet_records!$D:$D,wallet_records!$B:$B,'EEFF 2024'!$C23,wallet_records!$O:$O,'EEFF 2024'!$B$1,wallet_records!$H:$H,'EEFF 2024'!$B23)</f>
        <v>292000</v>
      </c>
      <c r="CQ23" s="107"/>
      <c r="CR23" s="118">
        <f t="shared" si="0"/>
        <v>0</v>
      </c>
      <c r="CS23" s="118">
        <f t="shared" si="1"/>
        <v>0</v>
      </c>
      <c r="CT23" s="118">
        <f t="shared" si="2"/>
        <v>0</v>
      </c>
      <c r="CU23" s="118">
        <f t="shared" si="3"/>
        <v>0</v>
      </c>
      <c r="CV23" s="118">
        <f t="shared" si="4"/>
        <v>0</v>
      </c>
      <c r="CW23" s="118">
        <f t="shared" si="5"/>
        <v>0</v>
      </c>
      <c r="CX23" s="118">
        <f t="shared" si="6"/>
        <v>0</v>
      </c>
      <c r="CY23" s="118">
        <f t="shared" si="7"/>
        <v>0</v>
      </c>
      <c r="CZ23" s="118">
        <f t="shared" si="8"/>
        <v>0</v>
      </c>
      <c r="DA23" s="118">
        <f t="shared" si="9"/>
        <v>0</v>
      </c>
      <c r="DB23" s="118">
        <f t="shared" si="10"/>
        <v>0</v>
      </c>
      <c r="DC23" s="118">
        <f t="shared" si="11"/>
        <v>4.8985069619191413E-2</v>
      </c>
    </row>
    <row r="24" spans="2:107" x14ac:dyDescent="0.2">
      <c r="B24" s="10" t="s">
        <v>88</v>
      </c>
      <c r="C24" s="191" t="s">
        <v>131</v>
      </c>
      <c r="D24" s="115"/>
      <c r="E24" s="115"/>
      <c r="F24" s="115"/>
      <c r="G24" s="116"/>
      <c r="H24" s="116"/>
      <c r="I24" s="116"/>
      <c r="J24" s="115">
        <f>SUMIFS(wallet_records!$D:$D,wallet_records!$B:$B,'EEFF 2024'!$C24,wallet_records!$O:$O,'EEFF 2024'!$B$1,wallet_records!$N:$N,'EEFF 2024'!J$2,wallet_records!$H:$H,'EEFF 2024'!$B24)</f>
        <v>0</v>
      </c>
      <c r="K24" s="115"/>
      <c r="L24" s="115"/>
      <c r="M24" s="115"/>
      <c r="N24" s="116"/>
      <c r="O24" s="116"/>
      <c r="P24" s="116"/>
      <c r="Q24" s="115">
        <f>SUMIFS(wallet_records!$D:$D,wallet_records!$B:$B,'EEFF 2024'!$C24,wallet_records!$O:$O,'EEFF 2024'!$B$1,wallet_records!$N:$N,'EEFF 2024'!Q$2,wallet_records!$H:$H,'EEFF 2024'!$B24)</f>
        <v>0</v>
      </c>
      <c r="R24" s="116"/>
      <c r="S24" s="116"/>
      <c r="T24" s="116"/>
      <c r="U24" s="116"/>
      <c r="V24" s="116"/>
      <c r="X24" s="115">
        <f>SUMIFS(wallet_records!$D:$D,wallet_records!$B:$B,'EEFF 2024'!$C24,wallet_records!$O:$O,'EEFF 2024'!$B$1,wallet_records!$N:$N,'EEFF 2024'!X$2,wallet_records!$H:$H,'EEFF 2024'!$B24)</f>
        <v>0</v>
      </c>
      <c r="Y24" s="116"/>
      <c r="Z24" s="116"/>
      <c r="AA24" s="116"/>
      <c r="AB24" s="116"/>
      <c r="AC24" s="116"/>
      <c r="AE24" s="115">
        <f>SUMIFS(wallet_records!$D:$D,wallet_records!$B:$B,'EEFF 2024'!$C24,wallet_records!$O:$O,'EEFF 2024'!$B$1,wallet_records!$N:$N,'EEFF 2024'!AE$2,wallet_records!$H:$H,'EEFF 2024'!$B24)</f>
        <v>0</v>
      </c>
      <c r="AF24" s="116"/>
      <c r="AG24" s="116"/>
      <c r="AH24" s="116"/>
      <c r="AI24" s="116"/>
      <c r="AJ24" s="116"/>
      <c r="AL24" s="115">
        <f>SUMIFS(wallet_records!$D:$D,wallet_records!$B:$B,'EEFF 2024'!$C24,wallet_records!$O:$O,'EEFF 2024'!$B$1,wallet_records!$N:$N,'EEFF 2024'!AL$2,wallet_records!$H:$H,'EEFF 2024'!$B24)</f>
        <v>0</v>
      </c>
      <c r="AM24" s="116"/>
      <c r="AN24" s="116"/>
      <c r="AO24" s="116"/>
      <c r="AP24" s="116"/>
      <c r="AQ24" s="116"/>
      <c r="AS24" s="115">
        <f>SUMIFS(wallet_records!$D:$D,wallet_records!$B:$B,'EEFF 2024'!$C24,wallet_records!$O:$O,'EEFF 2024'!$B$1,wallet_records!$N:$N,'EEFF 2024'!AS$2,wallet_records!$H:$H,'EEFF 2024'!$B24)</f>
        <v>0</v>
      </c>
      <c r="AT24" s="116"/>
      <c r="AU24" s="116"/>
      <c r="AV24" s="116"/>
      <c r="AW24" s="116"/>
      <c r="AX24" s="116"/>
      <c r="AZ24" s="115">
        <f>SUMIFS(wallet_records!$D:$D,wallet_records!$B:$B,'EEFF 2024'!$C24,wallet_records!$O:$O,'EEFF 2024'!$B$1,wallet_records!$N:$N,'EEFF 2024'!AZ$2,wallet_records!$H:$H,'EEFF 2024'!$B24)</f>
        <v>0</v>
      </c>
      <c r="BA24" s="116"/>
      <c r="BB24" s="116"/>
      <c r="BC24" s="116"/>
      <c r="BD24" s="116"/>
      <c r="BE24" s="116"/>
      <c r="BG24" s="115">
        <f>SUMIFS(wallet_records!$D:$D,wallet_records!$B:$B,'EEFF 2024'!$C24,wallet_records!$O:$O,'EEFF 2024'!$B$1,wallet_records!$N:$N,'EEFF 2024'!BG$2,wallet_records!$H:$H,'EEFF 2024'!$B24)</f>
        <v>0</v>
      </c>
      <c r="BH24" s="116"/>
      <c r="BI24" s="116"/>
      <c r="BJ24" s="116"/>
      <c r="BK24" s="116"/>
      <c r="BL24" s="116"/>
      <c r="BN24" s="115">
        <f>SUMIFS(wallet_records!$D:$D,wallet_records!$B:$B,'EEFF 2024'!$C24,wallet_records!$O:$O,'EEFF 2024'!$B$1,wallet_records!$N:$N,'EEFF 2024'!BN$2,wallet_records!$H:$H,'EEFF 2024'!$B24)</f>
        <v>0</v>
      </c>
      <c r="BO24" s="116"/>
      <c r="BP24" s="116"/>
      <c r="BQ24" s="116"/>
      <c r="BR24" s="116"/>
      <c r="BS24" s="116"/>
      <c r="BU24" s="115">
        <f>SUMIFS(wallet_records!$D:$D,wallet_records!$B:$B,'EEFF 2024'!$C24,wallet_records!$O:$O,'EEFF 2024'!$B$1,wallet_records!$N:$N,'EEFF 2024'!BU$2,wallet_records!$H:$H,'EEFF 2024'!$B24)</f>
        <v>0</v>
      </c>
      <c r="BV24" s="116"/>
      <c r="BW24" s="116"/>
      <c r="BX24" s="116"/>
      <c r="BY24" s="116"/>
      <c r="BZ24" s="116"/>
      <c r="CB24" s="115">
        <f>SUMIFS(wallet_records!$D:$D,wallet_records!$B:$B,'EEFF 2024'!$C24,wallet_records!$O:$O,'EEFF 2024'!$B$1,wallet_records!$N:$N,'EEFF 2024'!CB$2,wallet_records!$H:$H,'EEFF 2024'!$B24)</f>
        <v>0</v>
      </c>
      <c r="CC24" s="116"/>
      <c r="CD24" s="116"/>
      <c r="CE24" s="116"/>
      <c r="CF24" s="116"/>
      <c r="CG24" s="116"/>
      <c r="CI24" s="115">
        <f>SUMIFS(wallet_records!$D:$D,wallet_records!$B:$B,'EEFF 2024'!$C24,wallet_records!$O:$O,'EEFF 2024'!$B$1,wallet_records!$N:$N,'EEFF 2024'!CI$2,wallet_records!$H:$H,'EEFF 2024'!$B24)</f>
        <v>399300</v>
      </c>
      <c r="CJ24" s="116"/>
      <c r="CK24" s="116"/>
      <c r="CL24" s="116"/>
      <c r="CM24" s="116"/>
      <c r="CN24" s="116"/>
      <c r="CP24" s="115">
        <f>SUMIFS(wallet_records!$D:$D,wallet_records!$B:$B,'EEFF 2024'!$C24,wallet_records!$O:$O,'EEFF 2024'!$B$1,wallet_records!$H:$H,'EEFF 2024'!$B24)</f>
        <v>399300</v>
      </c>
      <c r="CQ24" s="107"/>
      <c r="CR24" s="118">
        <f t="shared" si="0"/>
        <v>0</v>
      </c>
      <c r="CS24" s="118">
        <f t="shared" si="1"/>
        <v>0</v>
      </c>
      <c r="CT24" s="118">
        <f t="shared" si="2"/>
        <v>0</v>
      </c>
      <c r="CU24" s="118">
        <f t="shared" si="3"/>
        <v>0</v>
      </c>
      <c r="CV24" s="118">
        <f t="shared" si="4"/>
        <v>0</v>
      </c>
      <c r="CW24" s="118">
        <f t="shared" si="5"/>
        <v>0</v>
      </c>
      <c r="CX24" s="118">
        <f t="shared" si="6"/>
        <v>0</v>
      </c>
      <c r="CY24" s="118">
        <f t="shared" si="7"/>
        <v>0</v>
      </c>
      <c r="CZ24" s="118">
        <f t="shared" si="8"/>
        <v>0</v>
      </c>
      <c r="DA24" s="118">
        <f t="shared" si="9"/>
        <v>0</v>
      </c>
      <c r="DB24" s="118">
        <f t="shared" si="10"/>
        <v>0</v>
      </c>
      <c r="DC24" s="118">
        <f t="shared" si="11"/>
        <v>6.6985405133366885E-2</v>
      </c>
    </row>
    <row r="25" spans="2:107" x14ac:dyDescent="0.2">
      <c r="B25" s="10" t="s">
        <v>99</v>
      </c>
      <c r="C25" s="191" t="s">
        <v>154</v>
      </c>
      <c r="D25" s="115"/>
      <c r="E25" s="115"/>
      <c r="F25" s="115"/>
      <c r="G25" s="116"/>
      <c r="H25" s="116"/>
      <c r="I25" s="116"/>
      <c r="J25" s="115">
        <f>SUMIFS(wallet_records!$D:$D,wallet_records!$B:$B,'EEFF 2024'!$C25,wallet_records!$O:$O,'EEFF 2024'!$B$1,wallet_records!$N:$N,'EEFF 2024'!J$2,wallet_records!$H:$H,'EEFF 2024'!$B25)</f>
        <v>56280</v>
      </c>
      <c r="K25" s="115"/>
      <c r="L25" s="115"/>
      <c r="M25" s="115"/>
      <c r="N25" s="116"/>
      <c r="O25" s="116"/>
      <c r="P25" s="116"/>
      <c r="Q25" s="115">
        <f>SUMIFS(wallet_records!$D:$D,wallet_records!$B:$B,'EEFF 2024'!$C25,wallet_records!$O:$O,'EEFF 2024'!$B$1,wallet_records!$N:$N,'EEFF 2024'!Q$2,wallet_records!$H:$H,'EEFF 2024'!$B25)</f>
        <v>0</v>
      </c>
      <c r="R25" s="116"/>
      <c r="S25" s="116"/>
      <c r="T25" s="116"/>
      <c r="U25" s="116"/>
      <c r="V25" s="116"/>
      <c r="X25" s="115">
        <f>SUMIFS(wallet_records!$D:$D,wallet_records!$B:$B,'EEFF 2024'!$C25,wallet_records!$O:$O,'EEFF 2024'!$B$1,wallet_records!$N:$N,'EEFF 2024'!X$2,wallet_records!$H:$H,'EEFF 2024'!$B25)</f>
        <v>0</v>
      </c>
      <c r="Y25" s="116"/>
      <c r="Z25" s="116"/>
      <c r="AA25" s="116"/>
      <c r="AB25" s="116"/>
      <c r="AC25" s="116"/>
      <c r="AE25" s="115">
        <f>SUMIFS(wallet_records!$D:$D,wallet_records!$B:$B,'EEFF 2024'!$C25,wallet_records!$O:$O,'EEFF 2024'!$B$1,wallet_records!$N:$N,'EEFF 2024'!AE$2,wallet_records!$H:$H,'EEFF 2024'!$B25)</f>
        <v>0</v>
      </c>
      <c r="AF25" s="116"/>
      <c r="AG25" s="116"/>
      <c r="AH25" s="116"/>
      <c r="AI25" s="116"/>
      <c r="AJ25" s="116"/>
      <c r="AL25" s="115">
        <f>SUMIFS(wallet_records!$D:$D,wallet_records!$B:$B,'EEFF 2024'!$C25,wallet_records!$O:$O,'EEFF 2024'!$B$1,wallet_records!$N:$N,'EEFF 2024'!AL$2,wallet_records!$H:$H,'EEFF 2024'!$B25)</f>
        <v>0</v>
      </c>
      <c r="AM25" s="116"/>
      <c r="AN25" s="116"/>
      <c r="AO25" s="116"/>
      <c r="AP25" s="116"/>
      <c r="AQ25" s="116"/>
      <c r="AS25" s="115">
        <f>SUMIFS(wallet_records!$D:$D,wallet_records!$B:$B,'EEFF 2024'!$C25,wallet_records!$O:$O,'EEFF 2024'!$B$1,wallet_records!$N:$N,'EEFF 2024'!AS$2,wallet_records!$H:$H,'EEFF 2024'!$B25)</f>
        <v>0</v>
      </c>
      <c r="AT25" s="116"/>
      <c r="AU25" s="116"/>
      <c r="AV25" s="116"/>
      <c r="AW25" s="116"/>
      <c r="AX25" s="116"/>
      <c r="AZ25" s="115">
        <f>SUMIFS(wallet_records!$D:$D,wallet_records!$B:$B,'EEFF 2024'!$C25,wallet_records!$O:$O,'EEFF 2024'!$B$1,wallet_records!$N:$N,'EEFF 2024'!AZ$2,wallet_records!$H:$H,'EEFF 2024'!$B25)</f>
        <v>0</v>
      </c>
      <c r="BA25" s="116"/>
      <c r="BB25" s="116"/>
      <c r="BC25" s="116"/>
      <c r="BD25" s="116"/>
      <c r="BE25" s="116"/>
      <c r="BG25" s="115">
        <f>SUMIFS(wallet_records!$D:$D,wallet_records!$B:$B,'EEFF 2024'!$C25,wallet_records!$O:$O,'EEFF 2024'!$B$1,wallet_records!$N:$N,'EEFF 2024'!BG$2,wallet_records!$H:$H,'EEFF 2024'!$B25)</f>
        <v>0</v>
      </c>
      <c r="BH25" s="116"/>
      <c r="BI25" s="116"/>
      <c r="BJ25" s="116"/>
      <c r="BK25" s="116"/>
      <c r="BL25" s="116"/>
      <c r="BN25" s="115">
        <f>SUMIFS(wallet_records!$D:$D,wallet_records!$B:$B,'EEFF 2024'!$C25,wallet_records!$O:$O,'EEFF 2024'!$B$1,wallet_records!$N:$N,'EEFF 2024'!BN$2,wallet_records!$H:$H,'EEFF 2024'!$B25)</f>
        <v>0</v>
      </c>
      <c r="BO25" s="116"/>
      <c r="BP25" s="116"/>
      <c r="BQ25" s="116"/>
      <c r="BR25" s="116"/>
      <c r="BS25" s="116"/>
      <c r="BU25" s="115">
        <f>SUMIFS(wallet_records!$D:$D,wallet_records!$B:$B,'EEFF 2024'!$C25,wallet_records!$O:$O,'EEFF 2024'!$B$1,wallet_records!$N:$N,'EEFF 2024'!BU$2,wallet_records!$H:$H,'EEFF 2024'!$B25)</f>
        <v>0</v>
      </c>
      <c r="BV25" s="116"/>
      <c r="BW25" s="116"/>
      <c r="BX25" s="116"/>
      <c r="BY25" s="116"/>
      <c r="BZ25" s="116"/>
      <c r="CB25" s="115">
        <f>SUMIFS(wallet_records!$D:$D,wallet_records!$B:$B,'EEFF 2024'!$C25,wallet_records!$O:$O,'EEFF 2024'!$B$1,wallet_records!$N:$N,'EEFF 2024'!CB$2,wallet_records!$H:$H,'EEFF 2024'!$B25)</f>
        <v>0</v>
      </c>
      <c r="CC25" s="116"/>
      <c r="CD25" s="116"/>
      <c r="CE25" s="116"/>
      <c r="CF25" s="116"/>
      <c r="CG25" s="116"/>
      <c r="CI25" s="115">
        <f>SUMIFS(wallet_records!$D:$D,wallet_records!$B:$B,'EEFF 2024'!$C25,wallet_records!$O:$O,'EEFF 2024'!$B$1,wallet_records!$N:$N,'EEFF 2024'!CI$2,wallet_records!$H:$H,'EEFF 2024'!$B25)</f>
        <v>0</v>
      </c>
      <c r="CJ25" s="116"/>
      <c r="CK25" s="116"/>
      <c r="CL25" s="116"/>
      <c r="CM25" s="116"/>
      <c r="CN25" s="116"/>
      <c r="CP25" s="115">
        <f>SUMIFS(wallet_records!$D:$D,wallet_records!$B:$B,'EEFF 2024'!$C25,wallet_records!$O:$O,'EEFF 2024'!$B$1,wallet_records!$H:$H,'EEFF 2024'!$B25)</f>
        <v>56280</v>
      </c>
      <c r="CQ25" s="107"/>
      <c r="CR25" s="118">
        <f t="shared" si="0"/>
        <v>9.0048000000000003E-3</v>
      </c>
      <c r="CS25" s="118">
        <f t="shared" si="1"/>
        <v>0</v>
      </c>
      <c r="CT25" s="118">
        <f t="shared" si="2"/>
        <v>0</v>
      </c>
      <c r="CU25" s="118">
        <f t="shared" si="3"/>
        <v>0</v>
      </c>
      <c r="CV25" s="118">
        <f t="shared" si="4"/>
        <v>0</v>
      </c>
      <c r="CW25" s="118">
        <f t="shared" si="5"/>
        <v>0</v>
      </c>
      <c r="CX25" s="118">
        <f t="shared" si="6"/>
        <v>0</v>
      </c>
      <c r="CY25" s="118">
        <f t="shared" si="7"/>
        <v>0</v>
      </c>
      <c r="CZ25" s="118">
        <f t="shared" si="8"/>
        <v>0</v>
      </c>
      <c r="DA25" s="118">
        <f t="shared" si="9"/>
        <v>0</v>
      </c>
      <c r="DB25" s="118">
        <f t="shared" si="10"/>
        <v>0</v>
      </c>
      <c r="DC25" s="118">
        <f t="shared" si="11"/>
        <v>0</v>
      </c>
    </row>
    <row r="26" spans="2:107" x14ac:dyDescent="0.2">
      <c r="B26" s="10" t="s">
        <v>509</v>
      </c>
      <c r="C26" s="191" t="s">
        <v>114</v>
      </c>
      <c r="D26" s="115"/>
      <c r="E26" s="115"/>
      <c r="F26" s="115"/>
      <c r="G26" s="116"/>
      <c r="H26" s="116"/>
      <c r="I26" s="116"/>
      <c r="J26" s="115">
        <f>SUMIFS(wallet_records!$D:$D,wallet_records!$B:$B,'EEFF 2024'!$C26,wallet_records!$O:$O,'EEFF 2024'!$B$1,wallet_records!$N:$N,'EEFF 2024'!J$2,wallet_records!$H:$H,'EEFF 2024'!$B26)</f>
        <v>0</v>
      </c>
      <c r="K26" s="115"/>
      <c r="L26" s="115"/>
      <c r="M26" s="115"/>
      <c r="N26" s="116"/>
      <c r="O26" s="116"/>
      <c r="P26" s="116"/>
      <c r="Q26" s="115">
        <f>SUMIFS(wallet_records!$D:$D,wallet_records!$B:$B,'EEFF 2024'!$C26,wallet_records!$O:$O,'EEFF 2024'!$B$1,wallet_records!$N:$N,'EEFF 2024'!Q$2,wallet_records!$H:$H,'EEFF 2024'!$B26)</f>
        <v>0</v>
      </c>
      <c r="R26" s="116"/>
      <c r="S26" s="116"/>
      <c r="T26" s="116"/>
      <c r="U26" s="116"/>
      <c r="V26" s="116"/>
      <c r="X26" s="115">
        <f>SUMIFS(wallet_records!$D:$D,wallet_records!$B:$B,'EEFF 2024'!$C26,wallet_records!$O:$O,'EEFF 2024'!$B$1,wallet_records!$N:$N,'EEFF 2024'!X$2,wallet_records!$H:$H,'EEFF 2024'!$B26)</f>
        <v>0</v>
      </c>
      <c r="Y26" s="116"/>
      <c r="Z26" s="116"/>
      <c r="AA26" s="116"/>
      <c r="AB26" s="116"/>
      <c r="AC26" s="116"/>
      <c r="AE26" s="115">
        <f>SUMIFS(wallet_records!$D:$D,wallet_records!$B:$B,'EEFF 2024'!$C26,wallet_records!$O:$O,'EEFF 2024'!$B$1,wallet_records!$N:$N,'EEFF 2024'!AE$2,wallet_records!$H:$H,'EEFF 2024'!$B26)</f>
        <v>0</v>
      </c>
      <c r="AF26" s="116"/>
      <c r="AG26" s="116"/>
      <c r="AH26" s="116"/>
      <c r="AI26" s="116"/>
      <c r="AJ26" s="116"/>
      <c r="AL26" s="115">
        <f>SUMIFS(wallet_records!$D:$D,wallet_records!$B:$B,'EEFF 2024'!$C26,wallet_records!$O:$O,'EEFF 2024'!$B$1,wallet_records!$N:$N,'EEFF 2024'!AL$2,wallet_records!$H:$H,'EEFF 2024'!$B26)</f>
        <v>0</v>
      </c>
      <c r="AM26" s="116"/>
      <c r="AN26" s="116"/>
      <c r="AO26" s="116"/>
      <c r="AP26" s="116"/>
      <c r="AQ26" s="116"/>
      <c r="AS26" s="115">
        <f>SUMIFS(wallet_records!$D:$D,wallet_records!$B:$B,'EEFF 2024'!$C26,wallet_records!$O:$O,'EEFF 2024'!$B$1,wallet_records!$N:$N,'EEFF 2024'!AS$2,wallet_records!$H:$H,'EEFF 2024'!$B26)</f>
        <v>0</v>
      </c>
      <c r="AT26" s="116"/>
      <c r="AU26" s="116"/>
      <c r="AV26" s="116"/>
      <c r="AW26" s="116"/>
      <c r="AX26" s="116"/>
      <c r="AZ26" s="115">
        <f>SUMIFS(wallet_records!$D:$D,wallet_records!$B:$B,'EEFF 2024'!$C26,wallet_records!$O:$O,'EEFF 2024'!$B$1,wallet_records!$N:$N,'EEFF 2024'!AZ$2,wallet_records!$H:$H,'EEFF 2024'!$B26)</f>
        <v>0</v>
      </c>
      <c r="BA26" s="116"/>
      <c r="BB26" s="116"/>
      <c r="BC26" s="116"/>
      <c r="BD26" s="116"/>
      <c r="BE26" s="116"/>
      <c r="BG26" s="115">
        <f>SUMIFS(wallet_records!$D:$D,wallet_records!$B:$B,'EEFF 2024'!$C26,wallet_records!$O:$O,'EEFF 2024'!$B$1,wallet_records!$N:$N,'EEFF 2024'!BG$2,wallet_records!$H:$H,'EEFF 2024'!$B26)</f>
        <v>0</v>
      </c>
      <c r="BH26" s="116"/>
      <c r="BI26" s="116"/>
      <c r="BJ26" s="116"/>
      <c r="BK26" s="116"/>
      <c r="BL26" s="116"/>
      <c r="BN26" s="115">
        <f>SUMIFS(wallet_records!$D:$D,wallet_records!$B:$B,'EEFF 2024'!$C26,wallet_records!$O:$O,'EEFF 2024'!$B$1,wallet_records!$N:$N,'EEFF 2024'!BN$2,wallet_records!$H:$H,'EEFF 2024'!$B26)</f>
        <v>0</v>
      </c>
      <c r="BO26" s="116"/>
      <c r="BP26" s="116"/>
      <c r="BQ26" s="116"/>
      <c r="BR26" s="116"/>
      <c r="BS26" s="116"/>
      <c r="BU26" s="115">
        <f>SUMIFS(wallet_records!$D:$D,wallet_records!$B:$B,'EEFF 2024'!$C26,wallet_records!$O:$O,'EEFF 2024'!$B$1,wallet_records!$N:$N,'EEFF 2024'!BU$2,wallet_records!$H:$H,'EEFF 2024'!$B26)</f>
        <v>0</v>
      </c>
      <c r="BV26" s="116"/>
      <c r="BW26" s="116"/>
      <c r="BX26" s="116"/>
      <c r="BY26" s="116"/>
      <c r="BZ26" s="116"/>
      <c r="CB26" s="115">
        <f>SUMIFS(wallet_records!$D:$D,wallet_records!$B:$B,'EEFF 2024'!$C26,wallet_records!$O:$O,'EEFF 2024'!$B$1,wallet_records!$N:$N,'EEFF 2024'!CB$2,wallet_records!$H:$H,'EEFF 2024'!$B26)</f>
        <v>0</v>
      </c>
      <c r="CC26" s="116"/>
      <c r="CD26" s="116"/>
      <c r="CE26" s="116"/>
      <c r="CF26" s="116"/>
      <c r="CG26" s="116"/>
      <c r="CI26" s="115">
        <f>SUMIFS(wallet_records!$D:$D,wallet_records!$B:$B,'EEFF 2024'!$C26,wallet_records!$O:$O,'EEFF 2024'!$B$1,wallet_records!$N:$N,'EEFF 2024'!CI$2,wallet_records!$H:$H,'EEFF 2024'!$B26)</f>
        <v>0</v>
      </c>
      <c r="CJ26" s="116"/>
      <c r="CK26" s="116"/>
      <c r="CL26" s="116"/>
      <c r="CM26" s="116"/>
      <c r="CN26" s="116"/>
      <c r="CP26" s="115">
        <f>SUMIFS(wallet_records!$D:$D,wallet_records!$B:$B,'EEFF 2024'!$C26,wallet_records!$O:$O,'EEFF 2024'!$B$1,wallet_records!$H:$H,'EEFF 2024'!$B26)</f>
        <v>0</v>
      </c>
      <c r="CQ26" s="107"/>
      <c r="CR26" s="118">
        <f t="shared" si="0"/>
        <v>0</v>
      </c>
      <c r="CS26" s="118">
        <f t="shared" si="1"/>
        <v>0</v>
      </c>
      <c r="CT26" s="118">
        <f t="shared" si="2"/>
        <v>0</v>
      </c>
      <c r="CU26" s="118">
        <f t="shared" si="3"/>
        <v>0</v>
      </c>
      <c r="CV26" s="118">
        <f t="shared" si="4"/>
        <v>0</v>
      </c>
      <c r="CW26" s="118">
        <f t="shared" si="5"/>
        <v>0</v>
      </c>
      <c r="CX26" s="118">
        <f t="shared" si="6"/>
        <v>0</v>
      </c>
      <c r="CY26" s="118">
        <f t="shared" si="7"/>
        <v>0</v>
      </c>
      <c r="CZ26" s="118">
        <f t="shared" si="8"/>
        <v>0</v>
      </c>
      <c r="DA26" s="118">
        <f t="shared" si="9"/>
        <v>0</v>
      </c>
      <c r="DB26" s="118">
        <f t="shared" si="10"/>
        <v>0</v>
      </c>
      <c r="DC26" s="118">
        <f t="shared" si="11"/>
        <v>0</v>
      </c>
    </row>
    <row r="27" spans="2:107" x14ac:dyDescent="0.2">
      <c r="B27" s="10" t="s">
        <v>93</v>
      </c>
      <c r="C27" s="191" t="s">
        <v>131</v>
      </c>
      <c r="D27" s="115"/>
      <c r="E27" s="115"/>
      <c r="F27" s="115"/>
      <c r="G27" s="116"/>
      <c r="H27" s="116"/>
      <c r="I27" s="116"/>
      <c r="J27" s="115">
        <f>SUMIFS(wallet_records!$D:$D,wallet_records!$B:$B,'EEFF 2024'!$C27,wallet_records!$O:$O,'EEFF 2024'!$B$1,wallet_records!$N:$N,'EEFF 2024'!J$2,wallet_records!$H:$H,'EEFF 2024'!$B27)</f>
        <v>0</v>
      </c>
      <c r="K27" s="115"/>
      <c r="L27" s="115"/>
      <c r="M27" s="115"/>
      <c r="N27" s="116"/>
      <c r="O27" s="116"/>
      <c r="P27" s="116"/>
      <c r="Q27" s="115">
        <f>SUMIFS(wallet_records!$D:$D,wallet_records!$B:$B,'EEFF 2024'!$C27,wallet_records!$O:$O,'EEFF 2024'!$B$1,wallet_records!$N:$N,'EEFF 2024'!Q$2,wallet_records!$H:$H,'EEFF 2024'!$B27)</f>
        <v>0</v>
      </c>
      <c r="R27" s="116"/>
      <c r="S27" s="116"/>
      <c r="T27" s="116"/>
      <c r="U27" s="116"/>
      <c r="V27" s="116"/>
      <c r="X27" s="115">
        <f>SUMIFS(wallet_records!$D:$D,wallet_records!$B:$B,'EEFF 2024'!$C27,wallet_records!$O:$O,'EEFF 2024'!$B$1,wallet_records!$N:$N,'EEFF 2024'!X$2,wallet_records!$H:$H,'EEFF 2024'!$B27)</f>
        <v>2739425</v>
      </c>
      <c r="Y27" s="116"/>
      <c r="Z27" s="116"/>
      <c r="AA27" s="116"/>
      <c r="AB27" s="116"/>
      <c r="AC27" s="116"/>
      <c r="AE27" s="115">
        <f>SUMIFS(wallet_records!$D:$D,wallet_records!$B:$B,'EEFF 2024'!$C27,wallet_records!$O:$O,'EEFF 2024'!$B$1,wallet_records!$N:$N,'EEFF 2024'!AE$2,wallet_records!$H:$H,'EEFF 2024'!$B27)</f>
        <v>0</v>
      </c>
      <c r="AF27" s="116"/>
      <c r="AG27" s="116"/>
      <c r="AH27" s="116"/>
      <c r="AI27" s="116"/>
      <c r="AJ27" s="116"/>
      <c r="AL27" s="115">
        <f>SUMIFS(wallet_records!$D:$D,wallet_records!$B:$B,'EEFF 2024'!$C27,wallet_records!$O:$O,'EEFF 2024'!$B$1,wallet_records!$N:$N,'EEFF 2024'!AL$2,wallet_records!$H:$H,'EEFF 2024'!$B27)</f>
        <v>0</v>
      </c>
      <c r="AM27" s="116"/>
      <c r="AN27" s="116"/>
      <c r="AO27" s="116"/>
      <c r="AP27" s="116"/>
      <c r="AQ27" s="116"/>
      <c r="AS27" s="115">
        <f>SUMIFS(wallet_records!$D:$D,wallet_records!$B:$B,'EEFF 2024'!$C27,wallet_records!$O:$O,'EEFF 2024'!$B$1,wallet_records!$N:$N,'EEFF 2024'!AS$2,wallet_records!$H:$H,'EEFF 2024'!$B27)</f>
        <v>0</v>
      </c>
      <c r="AT27" s="116"/>
      <c r="AU27" s="116"/>
      <c r="AV27" s="116"/>
      <c r="AW27" s="116"/>
      <c r="AX27" s="116"/>
      <c r="AZ27" s="115">
        <f>SUMIFS(wallet_records!$D:$D,wallet_records!$B:$B,'EEFF 2024'!$C27,wallet_records!$O:$O,'EEFF 2024'!$B$1,wallet_records!$N:$N,'EEFF 2024'!AZ$2,wallet_records!$H:$H,'EEFF 2024'!$B27)</f>
        <v>0</v>
      </c>
      <c r="BA27" s="116"/>
      <c r="BB27" s="116"/>
      <c r="BC27" s="116"/>
      <c r="BD27" s="116"/>
      <c r="BE27" s="116"/>
      <c r="BG27" s="115">
        <f>SUMIFS(wallet_records!$D:$D,wallet_records!$B:$B,'EEFF 2024'!$C27,wallet_records!$O:$O,'EEFF 2024'!$B$1,wallet_records!$N:$N,'EEFF 2024'!BG$2,wallet_records!$H:$H,'EEFF 2024'!$B27)</f>
        <v>0</v>
      </c>
      <c r="BH27" s="116"/>
      <c r="BI27" s="116"/>
      <c r="BJ27" s="116"/>
      <c r="BK27" s="116"/>
      <c r="BL27" s="116"/>
      <c r="BN27" s="115">
        <f>SUMIFS(wallet_records!$D:$D,wallet_records!$B:$B,'EEFF 2024'!$C27,wallet_records!$O:$O,'EEFF 2024'!$B$1,wallet_records!$N:$N,'EEFF 2024'!BN$2,wallet_records!$H:$H,'EEFF 2024'!$B27)</f>
        <v>0</v>
      </c>
      <c r="BO27" s="116"/>
      <c r="BP27" s="116"/>
      <c r="BQ27" s="116"/>
      <c r="BR27" s="116"/>
      <c r="BS27" s="116"/>
      <c r="BU27" s="115">
        <f>SUMIFS(wallet_records!$D:$D,wallet_records!$B:$B,'EEFF 2024'!$C27,wallet_records!$O:$O,'EEFF 2024'!$B$1,wallet_records!$N:$N,'EEFF 2024'!BU$2,wallet_records!$H:$H,'EEFF 2024'!$B27)</f>
        <v>0</v>
      </c>
      <c r="BV27" s="116"/>
      <c r="BW27" s="116"/>
      <c r="BX27" s="116"/>
      <c r="BY27" s="116"/>
      <c r="BZ27" s="116"/>
      <c r="CB27" s="115">
        <f>SUMIFS(wallet_records!$D:$D,wallet_records!$B:$B,'EEFF 2024'!$C27,wallet_records!$O:$O,'EEFF 2024'!$B$1,wallet_records!$N:$N,'EEFF 2024'!CB$2,wallet_records!$H:$H,'EEFF 2024'!$B27)</f>
        <v>0</v>
      </c>
      <c r="CC27" s="116"/>
      <c r="CD27" s="116"/>
      <c r="CE27" s="116"/>
      <c r="CF27" s="116"/>
      <c r="CG27" s="116"/>
      <c r="CI27" s="115">
        <f>SUMIFS(wallet_records!$D:$D,wallet_records!$B:$B,'EEFF 2024'!$C27,wallet_records!$O:$O,'EEFF 2024'!$B$1,wallet_records!$N:$N,'EEFF 2024'!CI$2,wallet_records!$H:$H,'EEFF 2024'!$B27)</f>
        <v>0</v>
      </c>
      <c r="CJ27" s="116"/>
      <c r="CK27" s="116"/>
      <c r="CL27" s="116"/>
      <c r="CM27" s="116"/>
      <c r="CN27" s="116"/>
      <c r="CP27" s="115">
        <f>SUMIFS(wallet_records!$D:$D,wallet_records!$B:$B,'EEFF 2024'!$C27,wallet_records!$O:$O,'EEFF 2024'!$B$1,wallet_records!$H:$H,'EEFF 2024'!$B27)</f>
        <v>2739425</v>
      </c>
      <c r="CQ27" s="107"/>
      <c r="CR27" s="118">
        <f t="shared" si="0"/>
        <v>0</v>
      </c>
      <c r="CS27" s="118">
        <f t="shared" si="1"/>
        <v>0</v>
      </c>
      <c r="CT27" s="118">
        <f t="shared" si="2"/>
        <v>0.41194360902255639</v>
      </c>
      <c r="CU27" s="118">
        <f t="shared" si="3"/>
        <v>0</v>
      </c>
      <c r="CV27" s="118">
        <f t="shared" si="4"/>
        <v>0</v>
      </c>
      <c r="CW27" s="118">
        <f t="shared" si="5"/>
        <v>0</v>
      </c>
      <c r="CX27" s="118">
        <f t="shared" si="6"/>
        <v>0</v>
      </c>
      <c r="CY27" s="118">
        <f t="shared" si="7"/>
        <v>0</v>
      </c>
      <c r="CZ27" s="118">
        <f t="shared" si="8"/>
        <v>0</v>
      </c>
      <c r="DA27" s="118">
        <f t="shared" si="9"/>
        <v>0</v>
      </c>
      <c r="DB27" s="118">
        <f t="shared" si="10"/>
        <v>0</v>
      </c>
      <c r="DC27" s="118">
        <f t="shared" si="11"/>
        <v>0</v>
      </c>
    </row>
    <row r="28" spans="2:107" x14ac:dyDescent="0.2">
      <c r="B28" s="10" t="s">
        <v>225</v>
      </c>
      <c r="C28" s="191" t="s">
        <v>131</v>
      </c>
      <c r="D28" s="115"/>
      <c r="E28" s="115"/>
      <c r="F28" s="115"/>
      <c r="G28" s="116"/>
      <c r="H28" s="116"/>
      <c r="I28" s="116"/>
      <c r="J28" s="115">
        <f>SUMIFS(wallet_records!$D:$D,wallet_records!$B:$B,'EEFF 2024'!$C28,wallet_records!$O:$O,'EEFF 2024'!$B$1,wallet_records!$N:$N,'EEFF 2024'!J$2,wallet_records!$H:$H,'EEFF 2024'!$B28)</f>
        <v>738600</v>
      </c>
      <c r="K28" s="115"/>
      <c r="L28" s="115"/>
      <c r="M28" s="115"/>
      <c r="N28" s="116"/>
      <c r="O28" s="116"/>
      <c r="P28" s="116"/>
      <c r="Q28" s="115">
        <f>SUMIFS(wallet_records!$D:$D,wallet_records!$B:$B,'EEFF 2024'!$C28,wallet_records!$O:$O,'EEFF 2024'!$B$1,wallet_records!$N:$N,'EEFF 2024'!Q$2,wallet_records!$H:$H,'EEFF 2024'!$B28)</f>
        <v>0</v>
      </c>
      <c r="R28" s="116"/>
      <c r="S28" s="116"/>
      <c r="T28" s="116"/>
      <c r="U28" s="116"/>
      <c r="V28" s="116"/>
      <c r="X28" s="115">
        <f>SUMIFS(wallet_records!$D:$D,wallet_records!$B:$B,'EEFF 2024'!$C28,wallet_records!$O:$O,'EEFF 2024'!$B$1,wallet_records!$N:$N,'EEFF 2024'!X$2,wallet_records!$H:$H,'EEFF 2024'!$B28)</f>
        <v>0</v>
      </c>
      <c r="Y28" s="116"/>
      <c r="Z28" s="116"/>
      <c r="AA28" s="116"/>
      <c r="AB28" s="116"/>
      <c r="AC28" s="116"/>
      <c r="AE28" s="115">
        <f>SUMIFS(wallet_records!$D:$D,wallet_records!$B:$B,'EEFF 2024'!$C28,wallet_records!$O:$O,'EEFF 2024'!$B$1,wallet_records!$N:$N,'EEFF 2024'!AE$2,wallet_records!$H:$H,'EEFF 2024'!$B28)</f>
        <v>0</v>
      </c>
      <c r="AF28" s="116"/>
      <c r="AG28" s="116"/>
      <c r="AH28" s="116"/>
      <c r="AI28" s="116"/>
      <c r="AJ28" s="116"/>
      <c r="AL28" s="115">
        <f>SUMIFS(wallet_records!$D:$D,wallet_records!$B:$B,'EEFF 2024'!$C28,wallet_records!$O:$O,'EEFF 2024'!$B$1,wallet_records!$N:$N,'EEFF 2024'!AL$2,wallet_records!$H:$H,'EEFF 2024'!$B28)</f>
        <v>0</v>
      </c>
      <c r="AM28" s="116"/>
      <c r="AN28" s="116"/>
      <c r="AO28" s="116"/>
      <c r="AP28" s="116"/>
      <c r="AQ28" s="116"/>
      <c r="AS28" s="115">
        <f>SUMIFS(wallet_records!$D:$D,wallet_records!$B:$B,'EEFF 2024'!$C28,wallet_records!$O:$O,'EEFF 2024'!$B$1,wallet_records!$N:$N,'EEFF 2024'!AS$2,wallet_records!$H:$H,'EEFF 2024'!$B28)</f>
        <v>0</v>
      </c>
      <c r="AT28" s="116"/>
      <c r="AU28" s="116"/>
      <c r="AV28" s="116"/>
      <c r="AW28" s="116"/>
      <c r="AX28" s="116"/>
      <c r="AZ28" s="115">
        <f>SUMIFS(wallet_records!$D:$D,wallet_records!$B:$B,'EEFF 2024'!$C28,wallet_records!$O:$O,'EEFF 2024'!$B$1,wallet_records!$N:$N,'EEFF 2024'!AZ$2,wallet_records!$H:$H,'EEFF 2024'!$B28)</f>
        <v>0</v>
      </c>
      <c r="BA28" s="116"/>
      <c r="BB28" s="116"/>
      <c r="BC28" s="116"/>
      <c r="BD28" s="116"/>
      <c r="BE28" s="116"/>
      <c r="BG28" s="115">
        <f>SUMIFS(wallet_records!$D:$D,wallet_records!$B:$B,'EEFF 2024'!$C28,wallet_records!$O:$O,'EEFF 2024'!$B$1,wallet_records!$N:$N,'EEFF 2024'!BG$2,wallet_records!$H:$H,'EEFF 2024'!$B28)</f>
        <v>0</v>
      </c>
      <c r="BH28" s="116"/>
      <c r="BI28" s="116"/>
      <c r="BJ28" s="116"/>
      <c r="BK28" s="116"/>
      <c r="BL28" s="116"/>
      <c r="BN28" s="115">
        <f>SUMIFS(wallet_records!$D:$D,wallet_records!$B:$B,'EEFF 2024'!$C28,wallet_records!$O:$O,'EEFF 2024'!$B$1,wallet_records!$N:$N,'EEFF 2024'!BN$2,wallet_records!$H:$H,'EEFF 2024'!$B28)</f>
        <v>0</v>
      </c>
      <c r="BO28" s="116"/>
      <c r="BP28" s="116"/>
      <c r="BQ28" s="116"/>
      <c r="BR28" s="116"/>
      <c r="BS28" s="116"/>
      <c r="BU28" s="115">
        <f>SUMIFS(wallet_records!$D:$D,wallet_records!$B:$B,'EEFF 2024'!$C28,wallet_records!$O:$O,'EEFF 2024'!$B$1,wallet_records!$N:$N,'EEFF 2024'!BU$2,wallet_records!$H:$H,'EEFF 2024'!$B28)</f>
        <v>0</v>
      </c>
      <c r="BV28" s="116"/>
      <c r="BW28" s="116"/>
      <c r="BX28" s="116"/>
      <c r="BY28" s="116"/>
      <c r="BZ28" s="116"/>
      <c r="CB28" s="115">
        <f>SUMIFS(wallet_records!$D:$D,wallet_records!$B:$B,'EEFF 2024'!$C28,wallet_records!$O:$O,'EEFF 2024'!$B$1,wallet_records!$N:$N,'EEFF 2024'!CB$2,wallet_records!$H:$H,'EEFF 2024'!$B28)</f>
        <v>0</v>
      </c>
      <c r="CC28" s="116"/>
      <c r="CD28" s="116"/>
      <c r="CE28" s="116"/>
      <c r="CF28" s="116"/>
      <c r="CG28" s="116"/>
      <c r="CI28" s="115">
        <f>SUMIFS(wallet_records!$D:$D,wallet_records!$B:$B,'EEFF 2024'!$C28,wallet_records!$O:$O,'EEFF 2024'!$B$1,wallet_records!$N:$N,'EEFF 2024'!CI$2,wallet_records!$H:$H,'EEFF 2024'!$B28)</f>
        <v>0</v>
      </c>
      <c r="CJ28" s="116"/>
      <c r="CK28" s="116"/>
      <c r="CL28" s="116"/>
      <c r="CM28" s="116"/>
      <c r="CN28" s="116"/>
      <c r="CP28" s="115">
        <f>SUMIFS(wallet_records!$D:$D,wallet_records!$B:$B,'EEFF 2024'!$C28,wallet_records!$O:$O,'EEFF 2024'!$B$1,wallet_records!$H:$H,'EEFF 2024'!$B28)</f>
        <v>738600</v>
      </c>
      <c r="CQ28" s="107"/>
      <c r="CR28" s="118">
        <f t="shared" si="0"/>
        <v>0.118176</v>
      </c>
      <c r="CS28" s="118">
        <f t="shared" si="1"/>
        <v>0</v>
      </c>
      <c r="CT28" s="118">
        <f t="shared" si="2"/>
        <v>0</v>
      </c>
      <c r="CU28" s="118">
        <f t="shared" si="3"/>
        <v>0</v>
      </c>
      <c r="CV28" s="118">
        <f t="shared" si="4"/>
        <v>0</v>
      </c>
      <c r="CW28" s="118">
        <f t="shared" si="5"/>
        <v>0</v>
      </c>
      <c r="CX28" s="118">
        <f t="shared" si="6"/>
        <v>0</v>
      </c>
      <c r="CY28" s="118">
        <f t="shared" si="7"/>
        <v>0</v>
      </c>
      <c r="CZ28" s="118">
        <f t="shared" si="8"/>
        <v>0</v>
      </c>
      <c r="DA28" s="118">
        <f t="shared" si="9"/>
        <v>0</v>
      </c>
      <c r="DB28" s="118">
        <f t="shared" si="10"/>
        <v>0</v>
      </c>
      <c r="DC28" s="118">
        <f t="shared" si="11"/>
        <v>0</v>
      </c>
    </row>
    <row r="29" spans="2:107" x14ac:dyDescent="0.2">
      <c r="B29" s="10" t="s">
        <v>92</v>
      </c>
      <c r="C29" s="191" t="s">
        <v>114</v>
      </c>
      <c r="D29" s="115"/>
      <c r="E29" s="115"/>
      <c r="F29" s="115"/>
      <c r="G29" s="116"/>
      <c r="H29" s="116"/>
      <c r="I29" s="116"/>
      <c r="J29" s="115">
        <f>SUMIFS(wallet_records!$D:$D,wallet_records!$B:$B,'EEFF 2024'!$C29,wallet_records!$O:$O,'EEFF 2024'!$B$1,wallet_records!$N:$N,'EEFF 2024'!J$2,wallet_records!$H:$H,'EEFF 2024'!$B29)</f>
        <v>204150</v>
      </c>
      <c r="K29" s="115"/>
      <c r="L29" s="115"/>
      <c r="M29" s="115"/>
      <c r="N29" s="116"/>
      <c r="O29" s="116"/>
      <c r="P29" s="116"/>
      <c r="Q29" s="115">
        <f>SUMIFS(wallet_records!$D:$D,wallet_records!$B:$B,'EEFF 2024'!$C29,wallet_records!$O:$O,'EEFF 2024'!$B$1,wallet_records!$N:$N,'EEFF 2024'!Q$2,wallet_records!$H:$H,'EEFF 2024'!$B29)</f>
        <v>0</v>
      </c>
      <c r="R29" s="116"/>
      <c r="S29" s="116"/>
      <c r="T29" s="116"/>
      <c r="U29" s="116"/>
      <c r="V29" s="116"/>
      <c r="X29" s="115">
        <f>SUMIFS(wallet_records!$D:$D,wallet_records!$B:$B,'EEFF 2024'!$C29,wallet_records!$O:$O,'EEFF 2024'!$B$1,wallet_records!$N:$N,'EEFF 2024'!X$2,wallet_records!$H:$H,'EEFF 2024'!$B29)</f>
        <v>0</v>
      </c>
      <c r="Y29" s="116"/>
      <c r="Z29" s="116"/>
      <c r="AA29" s="116"/>
      <c r="AB29" s="116"/>
      <c r="AC29" s="116"/>
      <c r="AE29" s="115">
        <f>SUMIFS(wallet_records!$D:$D,wallet_records!$B:$B,'EEFF 2024'!$C29,wallet_records!$O:$O,'EEFF 2024'!$B$1,wallet_records!$N:$N,'EEFF 2024'!AE$2,wallet_records!$H:$H,'EEFF 2024'!$B29)</f>
        <v>0</v>
      </c>
      <c r="AF29" s="116"/>
      <c r="AG29" s="116"/>
      <c r="AH29" s="116"/>
      <c r="AI29" s="116"/>
      <c r="AJ29" s="116"/>
      <c r="AL29" s="115">
        <f>SUMIFS(wallet_records!$D:$D,wallet_records!$B:$B,'EEFF 2024'!$C29,wallet_records!$O:$O,'EEFF 2024'!$B$1,wallet_records!$N:$N,'EEFF 2024'!AL$2,wallet_records!$H:$H,'EEFF 2024'!$B29)</f>
        <v>0</v>
      </c>
      <c r="AM29" s="116"/>
      <c r="AN29" s="116"/>
      <c r="AO29" s="116"/>
      <c r="AP29" s="116"/>
      <c r="AQ29" s="116"/>
      <c r="AS29" s="115">
        <f>SUMIFS(wallet_records!$D:$D,wallet_records!$B:$B,'EEFF 2024'!$C29,wallet_records!$O:$O,'EEFF 2024'!$B$1,wallet_records!$N:$N,'EEFF 2024'!AS$2,wallet_records!$H:$H,'EEFF 2024'!$B29)</f>
        <v>0</v>
      </c>
      <c r="AT29" s="116"/>
      <c r="AU29" s="116"/>
      <c r="AV29" s="116"/>
      <c r="AW29" s="116"/>
      <c r="AX29" s="116"/>
      <c r="AZ29" s="115">
        <f>SUMIFS(wallet_records!$D:$D,wallet_records!$B:$B,'EEFF 2024'!$C29,wallet_records!$O:$O,'EEFF 2024'!$B$1,wallet_records!$N:$N,'EEFF 2024'!AZ$2,wallet_records!$H:$H,'EEFF 2024'!$B29)</f>
        <v>0</v>
      </c>
      <c r="BA29" s="116"/>
      <c r="BB29" s="116"/>
      <c r="BC29" s="116"/>
      <c r="BD29" s="116"/>
      <c r="BE29" s="116"/>
      <c r="BG29" s="115">
        <f>SUMIFS(wallet_records!$D:$D,wallet_records!$B:$B,'EEFF 2024'!$C29,wallet_records!$O:$O,'EEFF 2024'!$B$1,wallet_records!$N:$N,'EEFF 2024'!BG$2,wallet_records!$H:$H,'EEFF 2024'!$B29)</f>
        <v>0</v>
      </c>
      <c r="BH29" s="116"/>
      <c r="BI29" s="116"/>
      <c r="BJ29" s="116"/>
      <c r="BK29" s="116"/>
      <c r="BL29" s="116"/>
      <c r="BN29" s="115">
        <f>SUMIFS(wallet_records!$D:$D,wallet_records!$B:$B,'EEFF 2024'!$C29,wallet_records!$O:$O,'EEFF 2024'!$B$1,wallet_records!$N:$N,'EEFF 2024'!BN$2,wallet_records!$H:$H,'EEFF 2024'!$B29)</f>
        <v>0</v>
      </c>
      <c r="BO29" s="116"/>
      <c r="BP29" s="116"/>
      <c r="BQ29" s="116"/>
      <c r="BR29" s="116"/>
      <c r="BS29" s="116"/>
      <c r="BU29" s="115">
        <f>SUMIFS(wallet_records!$D:$D,wallet_records!$B:$B,'EEFF 2024'!$C29,wallet_records!$O:$O,'EEFF 2024'!$B$1,wallet_records!$N:$N,'EEFF 2024'!BU$2,wallet_records!$H:$H,'EEFF 2024'!$B29)</f>
        <v>0</v>
      </c>
      <c r="BV29" s="116"/>
      <c r="BW29" s="116"/>
      <c r="BX29" s="116"/>
      <c r="BY29" s="116"/>
      <c r="BZ29" s="116"/>
      <c r="CB29" s="115">
        <f>SUMIFS(wallet_records!$D:$D,wallet_records!$B:$B,'EEFF 2024'!$C29,wallet_records!$O:$O,'EEFF 2024'!$B$1,wallet_records!$N:$N,'EEFF 2024'!CB$2,wallet_records!$H:$H,'EEFF 2024'!$B29)</f>
        <v>0</v>
      </c>
      <c r="CC29" s="116"/>
      <c r="CD29" s="116"/>
      <c r="CE29" s="116"/>
      <c r="CF29" s="116"/>
      <c r="CG29" s="116"/>
      <c r="CI29" s="115">
        <f>SUMIFS(wallet_records!$D:$D,wallet_records!$B:$B,'EEFF 2024'!$C29,wallet_records!$O:$O,'EEFF 2024'!$B$1,wallet_records!$N:$N,'EEFF 2024'!CI$2,wallet_records!$H:$H,'EEFF 2024'!$B29)</f>
        <v>0</v>
      </c>
      <c r="CJ29" s="116"/>
      <c r="CK29" s="116"/>
      <c r="CL29" s="116"/>
      <c r="CM29" s="116"/>
      <c r="CN29" s="116"/>
      <c r="CP29" s="115">
        <f>SUMIFS(wallet_records!$D:$D,wallet_records!$B:$B,'EEFF 2024'!$C29,wallet_records!$O:$O,'EEFF 2024'!$B$1,wallet_records!$H:$H,'EEFF 2024'!$B29)</f>
        <v>204150</v>
      </c>
      <c r="CQ29" s="107"/>
      <c r="CR29" s="118">
        <f t="shared" si="0"/>
        <v>3.2663999999999999E-2</v>
      </c>
      <c r="CS29" s="118">
        <f t="shared" si="1"/>
        <v>0</v>
      </c>
      <c r="CT29" s="118">
        <f t="shared" si="2"/>
        <v>0</v>
      </c>
      <c r="CU29" s="118">
        <f t="shared" si="3"/>
        <v>0</v>
      </c>
      <c r="CV29" s="118">
        <f t="shared" si="4"/>
        <v>0</v>
      </c>
      <c r="CW29" s="118">
        <f t="shared" si="5"/>
        <v>0</v>
      </c>
      <c r="CX29" s="118">
        <f t="shared" si="6"/>
        <v>0</v>
      </c>
      <c r="CY29" s="118">
        <f t="shared" si="7"/>
        <v>0</v>
      </c>
      <c r="CZ29" s="118">
        <f t="shared" si="8"/>
        <v>0</v>
      </c>
      <c r="DA29" s="118">
        <f t="shared" si="9"/>
        <v>0</v>
      </c>
      <c r="DB29" s="118">
        <f t="shared" si="10"/>
        <v>0</v>
      </c>
      <c r="DC29" s="118">
        <f t="shared" si="11"/>
        <v>0</v>
      </c>
    </row>
    <row r="30" spans="2:107" x14ac:dyDescent="0.2">
      <c r="B30" s="10" t="s">
        <v>97</v>
      </c>
      <c r="C30" s="191" t="s">
        <v>154</v>
      </c>
      <c r="D30" s="115"/>
      <c r="E30" s="115"/>
      <c r="F30" s="115"/>
      <c r="G30" s="116"/>
      <c r="H30" s="116"/>
      <c r="I30" s="116"/>
      <c r="J30" s="115">
        <f>SUMIFS(wallet_records!$D:$D,wallet_records!$B:$B,'EEFF 2024'!$C30,wallet_records!$O:$O,'EEFF 2024'!$B$1,wallet_records!$N:$N,'EEFF 2024'!J$2,wallet_records!$H:$H,'EEFF 2024'!$B30)</f>
        <v>43300</v>
      </c>
      <c r="K30" s="115"/>
      <c r="L30" s="115"/>
      <c r="M30" s="115"/>
      <c r="N30" s="116"/>
      <c r="O30" s="116"/>
      <c r="P30" s="116"/>
      <c r="Q30" s="115">
        <f>SUMIFS(wallet_records!$D:$D,wallet_records!$B:$B,'EEFF 2024'!$C30,wallet_records!$O:$O,'EEFF 2024'!$B$1,wallet_records!$N:$N,'EEFF 2024'!Q$2,wallet_records!$H:$H,'EEFF 2024'!$B30)</f>
        <v>0</v>
      </c>
      <c r="R30" s="116"/>
      <c r="S30" s="116"/>
      <c r="T30" s="116"/>
      <c r="U30" s="116"/>
      <c r="V30" s="116"/>
      <c r="X30" s="115">
        <f>SUMIFS(wallet_records!$D:$D,wallet_records!$B:$B,'EEFF 2024'!$C30,wallet_records!$O:$O,'EEFF 2024'!$B$1,wallet_records!$N:$N,'EEFF 2024'!X$2,wallet_records!$H:$H,'EEFF 2024'!$B30)</f>
        <v>0</v>
      </c>
      <c r="Y30" s="116"/>
      <c r="Z30" s="116"/>
      <c r="AA30" s="116"/>
      <c r="AB30" s="116"/>
      <c r="AC30" s="116"/>
      <c r="AE30" s="115">
        <f>SUMIFS(wallet_records!$D:$D,wallet_records!$B:$B,'EEFF 2024'!$C30,wallet_records!$O:$O,'EEFF 2024'!$B$1,wallet_records!$N:$N,'EEFF 2024'!AE$2,wallet_records!$H:$H,'EEFF 2024'!$B30)</f>
        <v>0</v>
      </c>
      <c r="AF30" s="116"/>
      <c r="AG30" s="116"/>
      <c r="AH30" s="116"/>
      <c r="AI30" s="116"/>
      <c r="AJ30" s="116"/>
      <c r="AL30" s="115">
        <f>SUMIFS(wallet_records!$D:$D,wallet_records!$B:$B,'EEFF 2024'!$C30,wallet_records!$O:$O,'EEFF 2024'!$B$1,wallet_records!$N:$N,'EEFF 2024'!AL$2,wallet_records!$H:$H,'EEFF 2024'!$B30)</f>
        <v>0</v>
      </c>
      <c r="AM30" s="116"/>
      <c r="AN30" s="116"/>
      <c r="AO30" s="116"/>
      <c r="AP30" s="116"/>
      <c r="AQ30" s="116"/>
      <c r="AS30" s="115">
        <f>SUMIFS(wallet_records!$D:$D,wallet_records!$B:$B,'EEFF 2024'!$C30,wallet_records!$O:$O,'EEFF 2024'!$B$1,wallet_records!$N:$N,'EEFF 2024'!AS$2,wallet_records!$H:$H,'EEFF 2024'!$B30)</f>
        <v>0</v>
      </c>
      <c r="AT30" s="116"/>
      <c r="AU30" s="116"/>
      <c r="AV30" s="116"/>
      <c r="AW30" s="116"/>
      <c r="AX30" s="116"/>
      <c r="AZ30" s="115">
        <f>SUMIFS(wallet_records!$D:$D,wallet_records!$B:$B,'EEFF 2024'!$C30,wallet_records!$O:$O,'EEFF 2024'!$B$1,wallet_records!$N:$N,'EEFF 2024'!AZ$2,wallet_records!$H:$H,'EEFF 2024'!$B30)</f>
        <v>0</v>
      </c>
      <c r="BA30" s="116"/>
      <c r="BB30" s="116"/>
      <c r="BC30" s="116"/>
      <c r="BD30" s="116"/>
      <c r="BE30" s="116"/>
      <c r="BG30" s="115">
        <f>SUMIFS(wallet_records!$D:$D,wallet_records!$B:$B,'EEFF 2024'!$C30,wallet_records!$O:$O,'EEFF 2024'!$B$1,wallet_records!$N:$N,'EEFF 2024'!BG$2,wallet_records!$H:$H,'EEFF 2024'!$B30)</f>
        <v>0</v>
      </c>
      <c r="BH30" s="116"/>
      <c r="BI30" s="116"/>
      <c r="BJ30" s="116"/>
      <c r="BK30" s="116"/>
      <c r="BL30" s="116"/>
      <c r="BN30" s="115">
        <f>SUMIFS(wallet_records!$D:$D,wallet_records!$B:$B,'EEFF 2024'!$C30,wallet_records!$O:$O,'EEFF 2024'!$B$1,wallet_records!$N:$N,'EEFF 2024'!BN$2,wallet_records!$H:$H,'EEFF 2024'!$B30)</f>
        <v>0</v>
      </c>
      <c r="BO30" s="116"/>
      <c r="BP30" s="116"/>
      <c r="BQ30" s="116"/>
      <c r="BR30" s="116"/>
      <c r="BS30" s="116"/>
      <c r="BU30" s="115">
        <f>SUMIFS(wallet_records!$D:$D,wallet_records!$B:$B,'EEFF 2024'!$C30,wallet_records!$O:$O,'EEFF 2024'!$B$1,wallet_records!$N:$N,'EEFF 2024'!BU$2,wallet_records!$H:$H,'EEFF 2024'!$B30)</f>
        <v>0</v>
      </c>
      <c r="BV30" s="116"/>
      <c r="BW30" s="116"/>
      <c r="BX30" s="116"/>
      <c r="BY30" s="116"/>
      <c r="BZ30" s="116"/>
      <c r="CB30" s="115">
        <f>SUMIFS(wallet_records!$D:$D,wallet_records!$B:$B,'EEFF 2024'!$C30,wallet_records!$O:$O,'EEFF 2024'!$B$1,wallet_records!$N:$N,'EEFF 2024'!CB$2,wallet_records!$H:$H,'EEFF 2024'!$B30)</f>
        <v>0</v>
      </c>
      <c r="CC30" s="116"/>
      <c r="CD30" s="116"/>
      <c r="CE30" s="116"/>
      <c r="CF30" s="116"/>
      <c r="CG30" s="116"/>
      <c r="CI30" s="115">
        <f>SUMIFS(wallet_records!$D:$D,wallet_records!$B:$B,'EEFF 2024'!$C30,wallet_records!$O:$O,'EEFF 2024'!$B$1,wallet_records!$N:$N,'EEFF 2024'!CI$2,wallet_records!$H:$H,'EEFF 2024'!$B30)</f>
        <v>0</v>
      </c>
      <c r="CJ30" s="116"/>
      <c r="CK30" s="116"/>
      <c r="CL30" s="116"/>
      <c r="CM30" s="116"/>
      <c r="CN30" s="116"/>
      <c r="CP30" s="115">
        <f>SUMIFS(wallet_records!$D:$D,wallet_records!$B:$B,'EEFF 2024'!$C30,wallet_records!$O:$O,'EEFF 2024'!$B$1,wallet_records!$H:$H,'EEFF 2024'!$B30)</f>
        <v>43300</v>
      </c>
      <c r="CQ30" s="107"/>
      <c r="CR30" s="118">
        <f t="shared" si="0"/>
        <v>6.9280000000000001E-3</v>
      </c>
      <c r="CS30" s="118">
        <f t="shared" si="1"/>
        <v>0</v>
      </c>
      <c r="CT30" s="118">
        <f t="shared" si="2"/>
        <v>0</v>
      </c>
      <c r="CU30" s="118">
        <f t="shared" si="3"/>
        <v>0</v>
      </c>
      <c r="CV30" s="118">
        <f t="shared" si="4"/>
        <v>0</v>
      </c>
      <c r="CW30" s="118">
        <f t="shared" si="5"/>
        <v>0</v>
      </c>
      <c r="CX30" s="118">
        <f t="shared" si="6"/>
        <v>0</v>
      </c>
      <c r="CY30" s="118">
        <f t="shared" si="7"/>
        <v>0</v>
      </c>
      <c r="CZ30" s="118">
        <f t="shared" si="8"/>
        <v>0</v>
      </c>
      <c r="DA30" s="118">
        <f t="shared" si="9"/>
        <v>0</v>
      </c>
      <c r="DB30" s="118">
        <f t="shared" si="10"/>
        <v>0</v>
      </c>
      <c r="DC30" s="118">
        <f t="shared" si="11"/>
        <v>0</v>
      </c>
    </row>
    <row r="31" spans="2:107" x14ac:dyDescent="0.2">
      <c r="B31" s="10" t="s">
        <v>98</v>
      </c>
      <c r="C31" s="191" t="s">
        <v>154</v>
      </c>
      <c r="D31" s="115"/>
      <c r="E31" s="115"/>
      <c r="F31" s="115"/>
      <c r="G31" s="116"/>
      <c r="H31" s="116"/>
      <c r="I31" s="116"/>
      <c r="J31" s="115">
        <f>SUMIFS(wallet_records!$D:$D,wallet_records!$B:$B,'EEFF 2024'!$C31,wallet_records!$O:$O,'EEFF 2024'!$B$1,wallet_records!$N:$N,'EEFF 2024'!J$2,wallet_records!$H:$H,'EEFF 2024'!$B31)</f>
        <v>0</v>
      </c>
      <c r="K31" s="115"/>
      <c r="L31" s="115"/>
      <c r="M31" s="115"/>
      <c r="N31" s="116"/>
      <c r="O31" s="116"/>
      <c r="P31" s="116"/>
      <c r="Q31" s="115">
        <f>SUMIFS(wallet_records!$D:$D,wallet_records!$B:$B,'EEFF 2024'!$C31,wallet_records!$O:$O,'EEFF 2024'!$B$1,wallet_records!$N:$N,'EEFF 2024'!Q$2,wallet_records!$H:$H,'EEFF 2024'!$B31)</f>
        <v>0</v>
      </c>
      <c r="R31" s="116"/>
      <c r="S31" s="116"/>
      <c r="T31" s="116"/>
      <c r="U31" s="116"/>
      <c r="V31" s="116"/>
      <c r="X31" s="115">
        <f>SUMIFS(wallet_records!$D:$D,wallet_records!$B:$B,'EEFF 2024'!$C31,wallet_records!$O:$O,'EEFF 2024'!$B$1,wallet_records!$N:$N,'EEFF 2024'!X$2,wallet_records!$H:$H,'EEFF 2024'!$B31)</f>
        <v>0</v>
      </c>
      <c r="Y31" s="116"/>
      <c r="Z31" s="116"/>
      <c r="AA31" s="116"/>
      <c r="AB31" s="116"/>
      <c r="AC31" s="116"/>
      <c r="AE31" s="115">
        <f>SUMIFS(wallet_records!$D:$D,wallet_records!$B:$B,'EEFF 2024'!$C31,wallet_records!$O:$O,'EEFF 2024'!$B$1,wallet_records!$N:$N,'EEFF 2024'!AE$2,wallet_records!$H:$H,'EEFF 2024'!$B31)</f>
        <v>0</v>
      </c>
      <c r="AF31" s="116"/>
      <c r="AG31" s="116"/>
      <c r="AH31" s="116"/>
      <c r="AI31" s="116"/>
      <c r="AJ31" s="116"/>
      <c r="AL31" s="115">
        <f>SUMIFS(wallet_records!$D:$D,wallet_records!$B:$B,'EEFF 2024'!$C31,wallet_records!$O:$O,'EEFF 2024'!$B$1,wallet_records!$N:$N,'EEFF 2024'!AL$2,wallet_records!$H:$H,'EEFF 2024'!$B31)</f>
        <v>0</v>
      </c>
      <c r="AM31" s="116"/>
      <c r="AN31" s="116"/>
      <c r="AO31" s="116"/>
      <c r="AP31" s="116"/>
      <c r="AQ31" s="116"/>
      <c r="AS31" s="115">
        <f>SUMIFS(wallet_records!$D:$D,wallet_records!$B:$B,'EEFF 2024'!$C31,wallet_records!$O:$O,'EEFF 2024'!$B$1,wallet_records!$N:$N,'EEFF 2024'!AS$2,wallet_records!$H:$H,'EEFF 2024'!$B31)</f>
        <v>0</v>
      </c>
      <c r="AT31" s="116"/>
      <c r="AU31" s="116"/>
      <c r="AV31" s="116"/>
      <c r="AW31" s="116"/>
      <c r="AX31" s="116"/>
      <c r="AZ31" s="115">
        <f>SUMIFS(wallet_records!$D:$D,wallet_records!$B:$B,'EEFF 2024'!$C31,wallet_records!$O:$O,'EEFF 2024'!$B$1,wallet_records!$N:$N,'EEFF 2024'!AZ$2,wallet_records!$H:$H,'EEFF 2024'!$B31)</f>
        <v>0</v>
      </c>
      <c r="BA31" s="116"/>
      <c r="BB31" s="116"/>
      <c r="BC31" s="116"/>
      <c r="BD31" s="116"/>
      <c r="BE31" s="116"/>
      <c r="BG31" s="115">
        <f>SUMIFS(wallet_records!$D:$D,wallet_records!$B:$B,'EEFF 2024'!$C31,wallet_records!$O:$O,'EEFF 2024'!$B$1,wallet_records!$N:$N,'EEFF 2024'!BG$2,wallet_records!$H:$H,'EEFF 2024'!$B31)</f>
        <v>0</v>
      </c>
      <c r="BH31" s="116"/>
      <c r="BI31" s="116"/>
      <c r="BJ31" s="116"/>
      <c r="BK31" s="116"/>
      <c r="BL31" s="116"/>
      <c r="BN31" s="115">
        <f>SUMIFS(wallet_records!$D:$D,wallet_records!$B:$B,'EEFF 2024'!$C31,wallet_records!$O:$O,'EEFF 2024'!$B$1,wallet_records!$N:$N,'EEFF 2024'!BN$2,wallet_records!$H:$H,'EEFF 2024'!$B31)</f>
        <v>0</v>
      </c>
      <c r="BO31" s="116"/>
      <c r="BP31" s="116"/>
      <c r="BQ31" s="116"/>
      <c r="BR31" s="116"/>
      <c r="BS31" s="116"/>
      <c r="BU31" s="115">
        <f>SUMIFS(wallet_records!$D:$D,wallet_records!$B:$B,'EEFF 2024'!$C31,wallet_records!$O:$O,'EEFF 2024'!$B$1,wallet_records!$N:$N,'EEFF 2024'!BU$2,wallet_records!$H:$H,'EEFF 2024'!$B31)</f>
        <v>0</v>
      </c>
      <c r="BV31" s="116"/>
      <c r="BW31" s="116"/>
      <c r="BX31" s="116"/>
      <c r="BY31" s="116"/>
      <c r="BZ31" s="116"/>
      <c r="CB31" s="115">
        <f>SUMIFS(wallet_records!$D:$D,wallet_records!$B:$B,'EEFF 2024'!$C31,wallet_records!$O:$O,'EEFF 2024'!$B$1,wallet_records!$N:$N,'EEFF 2024'!CB$2,wallet_records!$H:$H,'EEFF 2024'!$B31)</f>
        <v>0</v>
      </c>
      <c r="CC31" s="116"/>
      <c r="CD31" s="116"/>
      <c r="CE31" s="116"/>
      <c r="CF31" s="116"/>
      <c r="CG31" s="116"/>
      <c r="CI31" s="115">
        <f>SUMIFS(wallet_records!$D:$D,wallet_records!$B:$B,'EEFF 2024'!$C31,wallet_records!$O:$O,'EEFF 2024'!$B$1,wallet_records!$N:$N,'EEFF 2024'!CI$2,wallet_records!$H:$H,'EEFF 2024'!$B31)</f>
        <v>0</v>
      </c>
      <c r="CJ31" s="116"/>
      <c r="CK31" s="116"/>
      <c r="CL31" s="116"/>
      <c r="CM31" s="116"/>
      <c r="CN31" s="116"/>
      <c r="CP31" s="115">
        <f>SUMIFS(wallet_records!$D:$D,wallet_records!$B:$B,'EEFF 2024'!$C31,wallet_records!$O:$O,'EEFF 2024'!$B$1,wallet_records!$H:$H,'EEFF 2024'!$B31)</f>
        <v>0</v>
      </c>
      <c r="CQ31" s="107"/>
      <c r="CR31" s="118">
        <f t="shared" si="0"/>
        <v>0</v>
      </c>
      <c r="CS31" s="118">
        <f t="shared" si="1"/>
        <v>0</v>
      </c>
      <c r="CT31" s="118">
        <f t="shared" si="2"/>
        <v>0</v>
      </c>
      <c r="CU31" s="118">
        <f t="shared" si="3"/>
        <v>0</v>
      </c>
      <c r="CV31" s="118">
        <f t="shared" si="4"/>
        <v>0</v>
      </c>
      <c r="CW31" s="118">
        <f t="shared" si="5"/>
        <v>0</v>
      </c>
      <c r="CX31" s="118">
        <f t="shared" si="6"/>
        <v>0</v>
      </c>
      <c r="CY31" s="118">
        <f t="shared" si="7"/>
        <v>0</v>
      </c>
      <c r="CZ31" s="118">
        <f t="shared" si="8"/>
        <v>0</v>
      </c>
      <c r="DA31" s="118">
        <f t="shared" si="9"/>
        <v>0</v>
      </c>
      <c r="DB31" s="118">
        <f t="shared" si="10"/>
        <v>0</v>
      </c>
      <c r="DC31" s="118">
        <f t="shared" si="11"/>
        <v>0</v>
      </c>
    </row>
    <row r="32" spans="2:107" x14ac:dyDescent="0.2">
      <c r="B32" s="10" t="s">
        <v>287</v>
      </c>
      <c r="C32" s="191" t="s">
        <v>114</v>
      </c>
      <c r="D32" s="115"/>
      <c r="E32" s="115"/>
      <c r="F32" s="115"/>
      <c r="G32" s="116"/>
      <c r="H32" s="116"/>
      <c r="I32" s="116"/>
      <c r="J32" s="115">
        <f>SUMIFS(wallet_records!$D:$D,wallet_records!$B:$B,'EEFF 2024'!$C32,wallet_records!$O:$O,'EEFF 2024'!$B$1,wallet_records!$N:$N,'EEFF 2024'!J$2,wallet_records!$H:$H,'EEFF 2024'!$B32)</f>
        <v>314500</v>
      </c>
      <c r="K32" s="115"/>
      <c r="L32" s="115"/>
      <c r="M32" s="115"/>
      <c r="N32" s="116"/>
      <c r="O32" s="116"/>
      <c r="P32" s="116"/>
      <c r="Q32" s="115">
        <f>SUMIFS(wallet_records!$D:$D,wallet_records!$B:$B,'EEFF 2024'!$C32,wallet_records!$O:$O,'EEFF 2024'!$B$1,wallet_records!$N:$N,'EEFF 2024'!Q$2,wallet_records!$H:$H,'EEFF 2024'!$B32)</f>
        <v>0</v>
      </c>
      <c r="R32" s="116"/>
      <c r="S32" s="116"/>
      <c r="T32" s="116"/>
      <c r="U32" s="116"/>
      <c r="V32" s="116"/>
      <c r="X32" s="115">
        <f>SUMIFS(wallet_records!$D:$D,wallet_records!$B:$B,'EEFF 2024'!$C32,wallet_records!$O:$O,'EEFF 2024'!$B$1,wallet_records!$N:$N,'EEFF 2024'!X$2,wallet_records!$H:$H,'EEFF 2024'!$B32)</f>
        <v>0</v>
      </c>
      <c r="Y32" s="116"/>
      <c r="Z32" s="116"/>
      <c r="AA32" s="116"/>
      <c r="AB32" s="116"/>
      <c r="AC32" s="116"/>
      <c r="AE32" s="115">
        <f>SUMIFS(wallet_records!$D:$D,wallet_records!$B:$B,'EEFF 2024'!$C32,wallet_records!$O:$O,'EEFF 2024'!$B$1,wallet_records!$N:$N,'EEFF 2024'!AE$2,wallet_records!$H:$H,'EEFF 2024'!$B32)</f>
        <v>0</v>
      </c>
      <c r="AF32" s="116"/>
      <c r="AG32" s="116"/>
      <c r="AH32" s="116"/>
      <c r="AI32" s="116"/>
      <c r="AJ32" s="116"/>
      <c r="AL32" s="115">
        <f>SUMIFS(wallet_records!$D:$D,wallet_records!$B:$B,'EEFF 2024'!$C32,wallet_records!$O:$O,'EEFF 2024'!$B$1,wallet_records!$N:$N,'EEFF 2024'!AL$2,wallet_records!$H:$H,'EEFF 2024'!$B32)</f>
        <v>0</v>
      </c>
      <c r="AM32" s="116"/>
      <c r="AN32" s="116"/>
      <c r="AO32" s="116"/>
      <c r="AP32" s="116"/>
      <c r="AQ32" s="116"/>
      <c r="AS32" s="115">
        <f>SUMIFS(wallet_records!$D:$D,wallet_records!$B:$B,'EEFF 2024'!$C32,wallet_records!$O:$O,'EEFF 2024'!$B$1,wallet_records!$N:$N,'EEFF 2024'!AS$2,wallet_records!$H:$H,'EEFF 2024'!$B32)</f>
        <v>0</v>
      </c>
      <c r="AT32" s="116"/>
      <c r="AU32" s="116"/>
      <c r="AV32" s="116"/>
      <c r="AW32" s="116"/>
      <c r="AX32" s="116"/>
      <c r="AZ32" s="115">
        <f>SUMIFS(wallet_records!$D:$D,wallet_records!$B:$B,'EEFF 2024'!$C32,wallet_records!$O:$O,'EEFF 2024'!$B$1,wallet_records!$N:$N,'EEFF 2024'!AZ$2,wallet_records!$H:$H,'EEFF 2024'!$B32)</f>
        <v>0</v>
      </c>
      <c r="BA32" s="116"/>
      <c r="BB32" s="116"/>
      <c r="BC32" s="116"/>
      <c r="BD32" s="116"/>
      <c r="BE32" s="116"/>
      <c r="BG32" s="115">
        <f>SUMIFS(wallet_records!$D:$D,wallet_records!$B:$B,'EEFF 2024'!$C32,wallet_records!$O:$O,'EEFF 2024'!$B$1,wallet_records!$N:$N,'EEFF 2024'!BG$2,wallet_records!$H:$H,'EEFF 2024'!$B32)</f>
        <v>0</v>
      </c>
      <c r="BH32" s="116"/>
      <c r="BI32" s="116"/>
      <c r="BJ32" s="116"/>
      <c r="BK32" s="116"/>
      <c r="BL32" s="116"/>
      <c r="BN32" s="115">
        <f>SUMIFS(wallet_records!$D:$D,wallet_records!$B:$B,'EEFF 2024'!$C32,wallet_records!$O:$O,'EEFF 2024'!$B$1,wallet_records!$N:$N,'EEFF 2024'!BN$2,wallet_records!$H:$H,'EEFF 2024'!$B32)</f>
        <v>0</v>
      </c>
      <c r="BO32" s="116"/>
      <c r="BP32" s="116"/>
      <c r="BQ32" s="116"/>
      <c r="BR32" s="116"/>
      <c r="BS32" s="116"/>
      <c r="BU32" s="115">
        <f>SUMIFS(wallet_records!$D:$D,wallet_records!$B:$B,'EEFF 2024'!$C32,wallet_records!$O:$O,'EEFF 2024'!$B$1,wallet_records!$N:$N,'EEFF 2024'!BU$2,wallet_records!$H:$H,'EEFF 2024'!$B32)</f>
        <v>0</v>
      </c>
      <c r="BV32" s="116"/>
      <c r="BW32" s="116"/>
      <c r="BX32" s="116"/>
      <c r="BY32" s="116"/>
      <c r="BZ32" s="116"/>
      <c r="CB32" s="115">
        <f>SUMIFS(wallet_records!$D:$D,wallet_records!$B:$B,'EEFF 2024'!$C32,wallet_records!$O:$O,'EEFF 2024'!$B$1,wallet_records!$N:$N,'EEFF 2024'!CB$2,wallet_records!$H:$H,'EEFF 2024'!$B32)</f>
        <v>0</v>
      </c>
      <c r="CC32" s="116"/>
      <c r="CD32" s="116"/>
      <c r="CE32" s="116"/>
      <c r="CF32" s="116"/>
      <c r="CG32" s="116"/>
      <c r="CI32" s="115">
        <f>SUMIFS(wallet_records!$D:$D,wallet_records!$B:$B,'EEFF 2024'!$C32,wallet_records!$O:$O,'EEFF 2024'!$B$1,wallet_records!$N:$N,'EEFF 2024'!CI$2,wallet_records!$H:$H,'EEFF 2024'!$B32)</f>
        <v>0</v>
      </c>
      <c r="CJ32" s="116"/>
      <c r="CK32" s="116"/>
      <c r="CL32" s="116"/>
      <c r="CM32" s="116"/>
      <c r="CN32" s="116"/>
      <c r="CP32" s="115">
        <f>SUMIFS(wallet_records!$D:$D,wallet_records!$B:$B,'EEFF 2024'!$C32,wallet_records!$O:$O,'EEFF 2024'!$B$1,wallet_records!$H:$H,'EEFF 2024'!$B32)</f>
        <v>314500</v>
      </c>
      <c r="CQ32" s="107"/>
      <c r="CR32" s="118">
        <f t="shared" si="0"/>
        <v>5.0319999999999997E-2</v>
      </c>
      <c r="CS32" s="118">
        <f t="shared" si="1"/>
        <v>0</v>
      </c>
      <c r="CT32" s="118">
        <f t="shared" si="2"/>
        <v>0</v>
      </c>
      <c r="CU32" s="118">
        <f t="shared" si="3"/>
        <v>0</v>
      </c>
      <c r="CV32" s="118">
        <f t="shared" si="4"/>
        <v>0</v>
      </c>
      <c r="CW32" s="118">
        <f t="shared" si="5"/>
        <v>0</v>
      </c>
      <c r="CX32" s="118">
        <f t="shared" si="6"/>
        <v>0</v>
      </c>
      <c r="CY32" s="118">
        <f t="shared" si="7"/>
        <v>0</v>
      </c>
      <c r="CZ32" s="118">
        <f t="shared" si="8"/>
        <v>0</v>
      </c>
      <c r="DA32" s="118">
        <f t="shared" si="9"/>
        <v>0</v>
      </c>
      <c r="DB32" s="118">
        <f t="shared" si="10"/>
        <v>0</v>
      </c>
      <c r="DC32" s="118">
        <f t="shared" si="11"/>
        <v>0</v>
      </c>
    </row>
    <row r="33" spans="2:107" x14ac:dyDescent="0.2">
      <c r="B33" s="10" t="s">
        <v>173</v>
      </c>
      <c r="C33" s="191" t="s">
        <v>172</v>
      </c>
      <c r="D33" s="115"/>
      <c r="E33" s="115"/>
      <c r="F33" s="115"/>
      <c r="G33" s="116"/>
      <c r="H33" s="116"/>
      <c r="I33" s="116"/>
      <c r="J33" s="115">
        <f>SUMIFS(wallet_records!$D:$D,wallet_records!$B:$B,'EEFF 2024'!$C33,wallet_records!$O:$O,'EEFF 2024'!$B$1,wallet_records!$N:$N,'EEFF 2024'!J$2,wallet_records!$H:$H,'EEFF 2024'!$B33)</f>
        <v>0</v>
      </c>
      <c r="K33" s="115"/>
      <c r="L33" s="115"/>
      <c r="M33" s="115"/>
      <c r="N33" s="116"/>
      <c r="O33" s="116"/>
      <c r="P33" s="116"/>
      <c r="Q33" s="115">
        <f>SUMIFS(wallet_records!$D:$D,wallet_records!$B:$B,'EEFF 2024'!$C33,wallet_records!$O:$O,'EEFF 2024'!$B$1,wallet_records!$N:$N,'EEFF 2024'!Q$2,wallet_records!$H:$H,'EEFF 2024'!$B33)</f>
        <v>0</v>
      </c>
      <c r="R33" s="116"/>
      <c r="S33" s="116"/>
      <c r="T33" s="116"/>
      <c r="U33" s="116"/>
      <c r="V33" s="116"/>
      <c r="X33" s="115">
        <f>SUMIFS(wallet_records!$D:$D,wallet_records!$B:$B,'EEFF 2024'!$C33,wallet_records!$O:$O,'EEFF 2024'!$B$1,wallet_records!$N:$N,'EEFF 2024'!X$2,wallet_records!$H:$H,'EEFF 2024'!$B33)</f>
        <v>0</v>
      </c>
      <c r="Y33" s="116"/>
      <c r="Z33" s="116"/>
      <c r="AA33" s="116"/>
      <c r="AB33" s="116"/>
      <c r="AC33" s="116"/>
      <c r="AE33" s="115">
        <f>SUMIFS(wallet_records!$D:$D,wallet_records!$B:$B,'EEFF 2024'!$C33,wallet_records!$O:$O,'EEFF 2024'!$B$1,wallet_records!$N:$N,'EEFF 2024'!AE$2,wallet_records!$H:$H,'EEFF 2024'!$B33)</f>
        <v>0</v>
      </c>
      <c r="AF33" s="116"/>
      <c r="AG33" s="116"/>
      <c r="AH33" s="116"/>
      <c r="AI33" s="116"/>
      <c r="AJ33" s="116"/>
      <c r="AL33" s="115">
        <f>SUMIFS(wallet_records!$D:$D,wallet_records!$B:$B,'EEFF 2024'!$C33,wallet_records!$O:$O,'EEFF 2024'!$B$1,wallet_records!$N:$N,'EEFF 2024'!AL$2,wallet_records!$H:$H,'EEFF 2024'!$B33)</f>
        <v>0</v>
      </c>
      <c r="AM33" s="116"/>
      <c r="AN33" s="116"/>
      <c r="AO33" s="116"/>
      <c r="AP33" s="116"/>
      <c r="AQ33" s="116"/>
      <c r="AS33" s="115">
        <f>SUMIFS(wallet_records!$D:$D,wallet_records!$B:$B,'EEFF 2024'!$C33,wallet_records!$O:$O,'EEFF 2024'!$B$1,wallet_records!$N:$N,'EEFF 2024'!AS$2,wallet_records!$H:$H,'EEFF 2024'!$B33)</f>
        <v>0</v>
      </c>
      <c r="AT33" s="116"/>
      <c r="AU33" s="116"/>
      <c r="AV33" s="116"/>
      <c r="AW33" s="116"/>
      <c r="AX33" s="116"/>
      <c r="AZ33" s="115">
        <f>SUMIFS(wallet_records!$D:$D,wallet_records!$B:$B,'EEFF 2024'!$C33,wallet_records!$O:$O,'EEFF 2024'!$B$1,wallet_records!$N:$N,'EEFF 2024'!AZ$2,wallet_records!$H:$H,'EEFF 2024'!$B33)</f>
        <v>0</v>
      </c>
      <c r="BA33" s="116"/>
      <c r="BB33" s="116"/>
      <c r="BC33" s="116"/>
      <c r="BD33" s="116"/>
      <c r="BE33" s="116"/>
      <c r="BG33" s="115">
        <f>SUMIFS(wallet_records!$D:$D,wallet_records!$B:$B,'EEFF 2024'!$C33,wallet_records!$O:$O,'EEFF 2024'!$B$1,wallet_records!$N:$N,'EEFF 2024'!BG$2,wallet_records!$H:$H,'EEFF 2024'!$B33)</f>
        <v>0</v>
      </c>
      <c r="BH33" s="116"/>
      <c r="BI33" s="116"/>
      <c r="BJ33" s="116"/>
      <c r="BK33" s="116"/>
      <c r="BL33" s="116"/>
      <c r="BN33" s="115">
        <f>SUMIFS(wallet_records!$D:$D,wallet_records!$B:$B,'EEFF 2024'!$C33,wallet_records!$O:$O,'EEFF 2024'!$B$1,wallet_records!$N:$N,'EEFF 2024'!BN$2,wallet_records!$H:$H,'EEFF 2024'!$B33)</f>
        <v>0</v>
      </c>
      <c r="BO33" s="116"/>
      <c r="BP33" s="116"/>
      <c r="BQ33" s="116"/>
      <c r="BR33" s="116"/>
      <c r="BS33" s="116"/>
      <c r="BU33" s="115">
        <f>SUMIFS(wallet_records!$D:$D,wallet_records!$B:$B,'EEFF 2024'!$C33,wallet_records!$O:$O,'EEFF 2024'!$B$1,wallet_records!$N:$N,'EEFF 2024'!BU$2,wallet_records!$H:$H,'EEFF 2024'!$B33)</f>
        <v>0</v>
      </c>
      <c r="BV33" s="116"/>
      <c r="BW33" s="116"/>
      <c r="BX33" s="116"/>
      <c r="BY33" s="116"/>
      <c r="BZ33" s="116"/>
      <c r="CB33" s="115">
        <f>SUMIFS(wallet_records!$D:$D,wallet_records!$B:$B,'EEFF 2024'!$C33,wallet_records!$O:$O,'EEFF 2024'!$B$1,wallet_records!$N:$N,'EEFF 2024'!CB$2,wallet_records!$H:$H,'EEFF 2024'!$B33)</f>
        <v>0</v>
      </c>
      <c r="CC33" s="116"/>
      <c r="CD33" s="116"/>
      <c r="CE33" s="116"/>
      <c r="CF33" s="116"/>
      <c r="CG33" s="116"/>
      <c r="CI33" s="115">
        <f>SUMIFS(wallet_records!$D:$D,wallet_records!$B:$B,'EEFF 2024'!$C33,wallet_records!$O:$O,'EEFF 2024'!$B$1,wallet_records!$N:$N,'EEFF 2024'!CI$2,wallet_records!$H:$H,'EEFF 2024'!$B33)</f>
        <v>0</v>
      </c>
      <c r="CJ33" s="116"/>
      <c r="CK33" s="116"/>
      <c r="CL33" s="116"/>
      <c r="CM33" s="116"/>
      <c r="CN33" s="116"/>
      <c r="CP33" s="115">
        <f>SUMIFS(wallet_records!$D:$D,wallet_records!$B:$B,'EEFF 2024'!$C33,wallet_records!$O:$O,'EEFF 2024'!$B$1,wallet_records!$H:$H,'EEFF 2024'!$B33)</f>
        <v>0</v>
      </c>
      <c r="CQ33" s="107"/>
      <c r="CR33" s="118">
        <f t="shared" si="0"/>
        <v>0</v>
      </c>
      <c r="CS33" s="118">
        <f t="shared" si="1"/>
        <v>0</v>
      </c>
      <c r="CT33" s="118">
        <f t="shared" si="2"/>
        <v>0</v>
      </c>
      <c r="CU33" s="118">
        <f t="shared" si="3"/>
        <v>0</v>
      </c>
      <c r="CV33" s="118">
        <f t="shared" si="4"/>
        <v>0</v>
      </c>
      <c r="CW33" s="118">
        <f t="shared" si="5"/>
        <v>0</v>
      </c>
      <c r="CX33" s="118">
        <f t="shared" si="6"/>
        <v>0</v>
      </c>
      <c r="CY33" s="118">
        <f t="shared" si="7"/>
        <v>0</v>
      </c>
      <c r="CZ33" s="118">
        <f t="shared" si="8"/>
        <v>0</v>
      </c>
      <c r="DA33" s="118">
        <f t="shared" si="9"/>
        <v>0</v>
      </c>
      <c r="DB33" s="118">
        <f t="shared" si="10"/>
        <v>0</v>
      </c>
      <c r="DC33" s="118">
        <f t="shared" si="11"/>
        <v>0</v>
      </c>
    </row>
    <row r="34" spans="2:107" x14ac:dyDescent="0.2">
      <c r="B34" s="10" t="s">
        <v>174</v>
      </c>
      <c r="C34" s="191" t="s">
        <v>172</v>
      </c>
      <c r="D34" s="115"/>
      <c r="E34" s="115"/>
      <c r="F34" s="115"/>
      <c r="G34" s="116"/>
      <c r="H34" s="116"/>
      <c r="I34" s="116"/>
      <c r="J34" s="115">
        <f>SUMIFS(wallet_records!$D:$D,wallet_records!$B:$B,'EEFF 2024'!$C34,wallet_records!$O:$O,'EEFF 2024'!$B$1,wallet_records!$N:$N,'EEFF 2024'!J$2,wallet_records!$H:$H,'EEFF 2024'!$B34)</f>
        <v>0</v>
      </c>
      <c r="K34" s="115"/>
      <c r="L34" s="115"/>
      <c r="M34" s="115"/>
      <c r="N34" s="116"/>
      <c r="O34" s="116"/>
      <c r="P34" s="116"/>
      <c r="Q34" s="115">
        <f>SUMIFS(wallet_records!$D:$D,wallet_records!$B:$B,'EEFF 2024'!$C34,wallet_records!$O:$O,'EEFF 2024'!$B$1,wallet_records!$N:$N,'EEFF 2024'!Q$2,wallet_records!$H:$H,'EEFF 2024'!$B34)</f>
        <v>0</v>
      </c>
      <c r="R34" s="116"/>
      <c r="S34" s="116"/>
      <c r="T34" s="116"/>
      <c r="U34" s="116"/>
      <c r="V34" s="116"/>
      <c r="X34" s="115">
        <f>SUMIFS(wallet_records!$D:$D,wallet_records!$B:$B,'EEFF 2024'!$C34,wallet_records!$O:$O,'EEFF 2024'!$B$1,wallet_records!$N:$N,'EEFF 2024'!X$2,wallet_records!$H:$H,'EEFF 2024'!$B34)</f>
        <v>0</v>
      </c>
      <c r="Y34" s="116"/>
      <c r="Z34" s="116"/>
      <c r="AA34" s="116"/>
      <c r="AB34" s="116"/>
      <c r="AC34" s="116"/>
      <c r="AE34" s="115">
        <f>SUMIFS(wallet_records!$D:$D,wallet_records!$B:$B,'EEFF 2024'!$C34,wallet_records!$O:$O,'EEFF 2024'!$B$1,wallet_records!$N:$N,'EEFF 2024'!AE$2,wallet_records!$H:$H,'EEFF 2024'!$B34)</f>
        <v>0</v>
      </c>
      <c r="AF34" s="116"/>
      <c r="AG34" s="116"/>
      <c r="AH34" s="116"/>
      <c r="AI34" s="116"/>
      <c r="AJ34" s="116"/>
      <c r="AL34" s="115">
        <f>SUMIFS(wallet_records!$D:$D,wallet_records!$B:$B,'EEFF 2024'!$C34,wallet_records!$O:$O,'EEFF 2024'!$B$1,wallet_records!$N:$N,'EEFF 2024'!AL$2,wallet_records!$H:$H,'EEFF 2024'!$B34)</f>
        <v>0</v>
      </c>
      <c r="AM34" s="116"/>
      <c r="AN34" s="116"/>
      <c r="AO34" s="116"/>
      <c r="AP34" s="116"/>
      <c r="AQ34" s="116"/>
      <c r="AS34" s="115">
        <f>SUMIFS(wallet_records!$D:$D,wallet_records!$B:$B,'EEFF 2024'!$C34,wallet_records!$O:$O,'EEFF 2024'!$B$1,wallet_records!$N:$N,'EEFF 2024'!AS$2,wallet_records!$H:$H,'EEFF 2024'!$B34)</f>
        <v>0</v>
      </c>
      <c r="AT34" s="116"/>
      <c r="AU34" s="116"/>
      <c r="AV34" s="116"/>
      <c r="AW34" s="116"/>
      <c r="AX34" s="116"/>
      <c r="AZ34" s="115">
        <f>SUMIFS(wallet_records!$D:$D,wallet_records!$B:$B,'EEFF 2024'!$C34,wallet_records!$O:$O,'EEFF 2024'!$B$1,wallet_records!$N:$N,'EEFF 2024'!AZ$2,wallet_records!$H:$H,'EEFF 2024'!$B34)</f>
        <v>0</v>
      </c>
      <c r="BA34" s="116"/>
      <c r="BB34" s="116"/>
      <c r="BC34" s="116"/>
      <c r="BD34" s="116"/>
      <c r="BE34" s="116"/>
      <c r="BG34" s="115">
        <f>SUMIFS(wallet_records!$D:$D,wallet_records!$B:$B,'EEFF 2024'!$C34,wallet_records!$O:$O,'EEFF 2024'!$B$1,wallet_records!$N:$N,'EEFF 2024'!BG$2,wallet_records!$H:$H,'EEFF 2024'!$B34)</f>
        <v>0</v>
      </c>
      <c r="BH34" s="116"/>
      <c r="BI34" s="116"/>
      <c r="BJ34" s="116"/>
      <c r="BK34" s="116"/>
      <c r="BL34" s="116"/>
      <c r="BN34" s="115">
        <f>SUMIFS(wallet_records!$D:$D,wallet_records!$B:$B,'EEFF 2024'!$C34,wallet_records!$O:$O,'EEFF 2024'!$B$1,wallet_records!$N:$N,'EEFF 2024'!BN$2,wallet_records!$H:$H,'EEFF 2024'!$B34)</f>
        <v>0</v>
      </c>
      <c r="BO34" s="116"/>
      <c r="BP34" s="116"/>
      <c r="BQ34" s="116"/>
      <c r="BR34" s="116"/>
      <c r="BS34" s="116"/>
      <c r="BU34" s="115">
        <f>SUMIFS(wallet_records!$D:$D,wallet_records!$B:$B,'EEFF 2024'!$C34,wallet_records!$O:$O,'EEFF 2024'!$B$1,wallet_records!$N:$N,'EEFF 2024'!BU$2,wallet_records!$H:$H,'EEFF 2024'!$B34)</f>
        <v>0</v>
      </c>
      <c r="BV34" s="116"/>
      <c r="BW34" s="116"/>
      <c r="BX34" s="116"/>
      <c r="BY34" s="116"/>
      <c r="BZ34" s="116"/>
      <c r="CB34" s="115">
        <f>SUMIFS(wallet_records!$D:$D,wallet_records!$B:$B,'EEFF 2024'!$C34,wallet_records!$O:$O,'EEFF 2024'!$B$1,wallet_records!$N:$N,'EEFF 2024'!CB$2,wallet_records!$H:$H,'EEFF 2024'!$B34)</f>
        <v>0</v>
      </c>
      <c r="CC34" s="116"/>
      <c r="CD34" s="116"/>
      <c r="CE34" s="116"/>
      <c r="CF34" s="116"/>
      <c r="CG34" s="116"/>
      <c r="CI34" s="115">
        <f>SUMIFS(wallet_records!$D:$D,wallet_records!$B:$B,'EEFF 2024'!$C34,wallet_records!$O:$O,'EEFF 2024'!$B$1,wallet_records!$N:$N,'EEFF 2024'!CI$2,wallet_records!$H:$H,'EEFF 2024'!$B34)</f>
        <v>0</v>
      </c>
      <c r="CJ34" s="116"/>
      <c r="CK34" s="116"/>
      <c r="CL34" s="116"/>
      <c r="CM34" s="116"/>
      <c r="CN34" s="116"/>
      <c r="CP34" s="115">
        <f>SUMIFS(wallet_records!$D:$D,wallet_records!$B:$B,'EEFF 2024'!$C34,wallet_records!$O:$O,'EEFF 2024'!$B$1,wallet_records!$H:$H,'EEFF 2024'!$B34)</f>
        <v>0</v>
      </c>
      <c r="CQ34" s="107"/>
      <c r="CR34" s="118">
        <f t="shared" si="0"/>
        <v>0</v>
      </c>
      <c r="CS34" s="118">
        <f t="shared" si="1"/>
        <v>0</v>
      </c>
      <c r="CT34" s="118">
        <f t="shared" si="2"/>
        <v>0</v>
      </c>
      <c r="CU34" s="118">
        <f t="shared" si="3"/>
        <v>0</v>
      </c>
      <c r="CV34" s="118">
        <f t="shared" si="4"/>
        <v>0</v>
      </c>
      <c r="CW34" s="118">
        <f t="shared" si="5"/>
        <v>0</v>
      </c>
      <c r="CX34" s="118">
        <f t="shared" si="6"/>
        <v>0</v>
      </c>
      <c r="CY34" s="118">
        <f t="shared" si="7"/>
        <v>0</v>
      </c>
      <c r="CZ34" s="118">
        <f t="shared" si="8"/>
        <v>0</v>
      </c>
      <c r="DA34" s="118">
        <f t="shared" si="9"/>
        <v>0</v>
      </c>
      <c r="DB34" s="118">
        <f t="shared" si="10"/>
        <v>0</v>
      </c>
      <c r="DC34" s="118">
        <f t="shared" si="11"/>
        <v>0</v>
      </c>
    </row>
    <row r="35" spans="2:107" x14ac:dyDescent="0.2">
      <c r="B35" s="10" t="s">
        <v>94</v>
      </c>
      <c r="C35" s="191" t="s">
        <v>136</v>
      </c>
      <c r="D35" s="115"/>
      <c r="E35" s="115"/>
      <c r="F35" s="115"/>
      <c r="G35" s="116"/>
      <c r="H35" s="116"/>
      <c r="I35" s="116"/>
      <c r="J35" s="115">
        <f>SUMIFS(wallet_records!$D:$D,wallet_records!$B:$B,'EEFF 2024'!$C35,wallet_records!$O:$O,'EEFF 2024'!$B$1,wallet_records!$N:$N,'EEFF 2024'!J$2,wallet_records!$H:$H,'EEFF 2024'!$B35)</f>
        <v>0</v>
      </c>
      <c r="K35" s="115"/>
      <c r="L35" s="115"/>
      <c r="M35" s="115"/>
      <c r="N35" s="116"/>
      <c r="O35" s="116"/>
      <c r="P35" s="116"/>
      <c r="Q35" s="115">
        <f>SUMIFS(wallet_records!$D:$D,wallet_records!$B:$B,'EEFF 2024'!$C35,wallet_records!$O:$O,'EEFF 2024'!$B$1,wallet_records!$N:$N,'EEFF 2024'!Q$2,wallet_records!$H:$H,'EEFF 2024'!$B35)</f>
        <v>0</v>
      </c>
      <c r="R35" s="116"/>
      <c r="S35" s="116"/>
      <c r="T35" s="116"/>
      <c r="U35" s="116"/>
      <c r="V35" s="116"/>
      <c r="X35" s="115">
        <f>SUMIFS(wallet_records!$D:$D,wallet_records!$B:$B,'EEFF 2024'!$C35,wallet_records!$O:$O,'EEFF 2024'!$B$1,wallet_records!$N:$N,'EEFF 2024'!X$2,wallet_records!$H:$H,'EEFF 2024'!$B35)</f>
        <v>40000</v>
      </c>
      <c r="Y35" s="116"/>
      <c r="Z35" s="116"/>
      <c r="AA35" s="116"/>
      <c r="AB35" s="116"/>
      <c r="AC35" s="116"/>
      <c r="AE35" s="115">
        <f>SUMIFS(wallet_records!$D:$D,wallet_records!$B:$B,'EEFF 2024'!$C35,wallet_records!$O:$O,'EEFF 2024'!$B$1,wallet_records!$N:$N,'EEFF 2024'!AE$2,wallet_records!$H:$H,'EEFF 2024'!$B35)</f>
        <v>0</v>
      </c>
      <c r="AF35" s="116"/>
      <c r="AG35" s="116"/>
      <c r="AH35" s="116"/>
      <c r="AI35" s="116"/>
      <c r="AJ35" s="116"/>
      <c r="AL35" s="115">
        <f>SUMIFS(wallet_records!$D:$D,wallet_records!$B:$B,'EEFF 2024'!$C35,wallet_records!$O:$O,'EEFF 2024'!$B$1,wallet_records!$N:$N,'EEFF 2024'!AL$2,wallet_records!$H:$H,'EEFF 2024'!$B35)</f>
        <v>0</v>
      </c>
      <c r="AM35" s="116"/>
      <c r="AN35" s="116"/>
      <c r="AO35" s="116"/>
      <c r="AP35" s="116"/>
      <c r="AQ35" s="116"/>
      <c r="AS35" s="115">
        <f>SUMIFS(wallet_records!$D:$D,wallet_records!$B:$B,'EEFF 2024'!$C35,wallet_records!$O:$O,'EEFF 2024'!$B$1,wallet_records!$N:$N,'EEFF 2024'!AS$2,wallet_records!$H:$H,'EEFF 2024'!$B35)</f>
        <v>0</v>
      </c>
      <c r="AT35" s="116"/>
      <c r="AU35" s="116"/>
      <c r="AV35" s="116"/>
      <c r="AW35" s="116"/>
      <c r="AX35" s="116"/>
      <c r="AZ35" s="115">
        <f>SUMIFS(wallet_records!$D:$D,wallet_records!$B:$B,'EEFF 2024'!$C35,wallet_records!$O:$O,'EEFF 2024'!$B$1,wallet_records!$N:$N,'EEFF 2024'!AZ$2,wallet_records!$H:$H,'EEFF 2024'!$B35)</f>
        <v>0</v>
      </c>
      <c r="BA35" s="116"/>
      <c r="BB35" s="116"/>
      <c r="BC35" s="116"/>
      <c r="BD35" s="116"/>
      <c r="BE35" s="116"/>
      <c r="BG35" s="115">
        <f>SUMIFS(wallet_records!$D:$D,wallet_records!$B:$B,'EEFF 2024'!$C35,wallet_records!$O:$O,'EEFF 2024'!$B$1,wallet_records!$N:$N,'EEFF 2024'!BG$2,wallet_records!$H:$H,'EEFF 2024'!$B35)</f>
        <v>0</v>
      </c>
      <c r="BH35" s="116"/>
      <c r="BI35" s="116"/>
      <c r="BJ35" s="116"/>
      <c r="BK35" s="116"/>
      <c r="BL35" s="116"/>
      <c r="BN35" s="115">
        <f>SUMIFS(wallet_records!$D:$D,wallet_records!$B:$B,'EEFF 2024'!$C35,wallet_records!$O:$O,'EEFF 2024'!$B$1,wallet_records!$N:$N,'EEFF 2024'!BN$2,wallet_records!$H:$H,'EEFF 2024'!$B35)</f>
        <v>0</v>
      </c>
      <c r="BO35" s="116"/>
      <c r="BP35" s="116"/>
      <c r="BQ35" s="116"/>
      <c r="BR35" s="116"/>
      <c r="BS35" s="116"/>
      <c r="BU35" s="115">
        <f>SUMIFS(wallet_records!$D:$D,wallet_records!$B:$B,'EEFF 2024'!$C35,wallet_records!$O:$O,'EEFF 2024'!$B$1,wallet_records!$N:$N,'EEFF 2024'!BU$2,wallet_records!$H:$H,'EEFF 2024'!$B35)</f>
        <v>0</v>
      </c>
      <c r="BV35" s="116"/>
      <c r="BW35" s="116"/>
      <c r="BX35" s="116"/>
      <c r="BY35" s="116"/>
      <c r="BZ35" s="116"/>
      <c r="CB35" s="115">
        <f>SUMIFS(wallet_records!$D:$D,wallet_records!$B:$B,'EEFF 2024'!$C35,wallet_records!$O:$O,'EEFF 2024'!$B$1,wallet_records!$N:$N,'EEFF 2024'!CB$2,wallet_records!$H:$H,'EEFF 2024'!$B35)</f>
        <v>0</v>
      </c>
      <c r="CC35" s="116"/>
      <c r="CD35" s="116"/>
      <c r="CE35" s="116"/>
      <c r="CF35" s="116"/>
      <c r="CG35" s="116"/>
      <c r="CI35" s="115">
        <f>SUMIFS(wallet_records!$D:$D,wallet_records!$B:$B,'EEFF 2024'!$C35,wallet_records!$O:$O,'EEFF 2024'!$B$1,wallet_records!$N:$N,'EEFF 2024'!CI$2,wallet_records!$H:$H,'EEFF 2024'!$B35)</f>
        <v>0</v>
      </c>
      <c r="CJ35" s="116"/>
      <c r="CK35" s="116"/>
      <c r="CL35" s="116"/>
      <c r="CM35" s="116"/>
      <c r="CN35" s="116"/>
      <c r="CP35" s="115">
        <f>SUMIFS(wallet_records!$D:$D,wallet_records!$B:$B,'EEFF 2024'!$C35,wallet_records!$O:$O,'EEFF 2024'!$B$1,wallet_records!$H:$H,'EEFF 2024'!$B35)</f>
        <v>40000</v>
      </c>
      <c r="CQ35" s="107"/>
      <c r="CR35" s="118">
        <f t="shared" si="0"/>
        <v>0</v>
      </c>
      <c r="CS35" s="118">
        <f t="shared" si="1"/>
        <v>0</v>
      </c>
      <c r="CT35" s="118">
        <f t="shared" si="2"/>
        <v>6.0150375939849628E-3</v>
      </c>
      <c r="CU35" s="118">
        <f t="shared" si="3"/>
        <v>0</v>
      </c>
      <c r="CV35" s="118">
        <f t="shared" si="4"/>
        <v>0</v>
      </c>
      <c r="CW35" s="118">
        <f t="shared" si="5"/>
        <v>0</v>
      </c>
      <c r="CX35" s="118">
        <f t="shared" si="6"/>
        <v>0</v>
      </c>
      <c r="CY35" s="118">
        <f t="shared" si="7"/>
        <v>0</v>
      </c>
      <c r="CZ35" s="118">
        <f t="shared" si="8"/>
        <v>0</v>
      </c>
      <c r="DA35" s="118">
        <f t="shared" si="9"/>
        <v>0</v>
      </c>
      <c r="DB35" s="118">
        <f t="shared" si="10"/>
        <v>0</v>
      </c>
      <c r="DC35" s="118">
        <f t="shared" si="11"/>
        <v>0</v>
      </c>
    </row>
    <row r="36" spans="2:107" x14ac:dyDescent="0.2">
      <c r="B36" s="10" t="s">
        <v>95</v>
      </c>
      <c r="C36" s="191" t="s">
        <v>136</v>
      </c>
      <c r="D36" s="115"/>
      <c r="E36" s="115"/>
      <c r="F36" s="115"/>
      <c r="G36" s="116"/>
      <c r="H36" s="116"/>
      <c r="I36" s="116"/>
      <c r="J36" s="115">
        <f>SUMIFS(wallet_records!$D:$D,wallet_records!$B:$B,'EEFF 2024'!$C36,wallet_records!$O:$O,'EEFF 2024'!$B$1,wallet_records!$N:$N,'EEFF 2024'!J$2,wallet_records!$H:$H,'EEFF 2024'!$B36)</f>
        <v>46600</v>
      </c>
      <c r="K36" s="115"/>
      <c r="L36" s="115"/>
      <c r="M36" s="115"/>
      <c r="N36" s="116"/>
      <c r="O36" s="116"/>
      <c r="P36" s="116"/>
      <c r="Q36" s="115">
        <f>SUMIFS(wallet_records!$D:$D,wallet_records!$B:$B,'EEFF 2024'!$C36,wallet_records!$O:$O,'EEFF 2024'!$B$1,wallet_records!$N:$N,'EEFF 2024'!Q$2,wallet_records!$H:$H,'EEFF 2024'!$B36)</f>
        <v>0</v>
      </c>
      <c r="R36" s="116"/>
      <c r="S36" s="116"/>
      <c r="T36" s="116"/>
      <c r="U36" s="116"/>
      <c r="V36" s="116"/>
      <c r="X36" s="115">
        <f>SUMIFS(wallet_records!$D:$D,wallet_records!$B:$B,'EEFF 2024'!$C36,wallet_records!$O:$O,'EEFF 2024'!$B$1,wallet_records!$N:$N,'EEFF 2024'!X$2,wallet_records!$H:$H,'EEFF 2024'!$B36)</f>
        <v>0</v>
      </c>
      <c r="Y36" s="116"/>
      <c r="Z36" s="116"/>
      <c r="AA36" s="116"/>
      <c r="AB36" s="116"/>
      <c r="AC36" s="116"/>
      <c r="AE36" s="115">
        <f>SUMIFS(wallet_records!$D:$D,wallet_records!$B:$B,'EEFF 2024'!$C36,wallet_records!$O:$O,'EEFF 2024'!$B$1,wallet_records!$N:$N,'EEFF 2024'!AE$2,wallet_records!$H:$H,'EEFF 2024'!$B36)</f>
        <v>0</v>
      </c>
      <c r="AF36" s="116"/>
      <c r="AG36" s="116"/>
      <c r="AH36" s="116"/>
      <c r="AI36" s="116"/>
      <c r="AJ36" s="116"/>
      <c r="AL36" s="115">
        <f>SUMIFS(wallet_records!$D:$D,wallet_records!$B:$B,'EEFF 2024'!$C36,wallet_records!$O:$O,'EEFF 2024'!$B$1,wallet_records!$N:$N,'EEFF 2024'!AL$2,wallet_records!$H:$H,'EEFF 2024'!$B36)</f>
        <v>0</v>
      </c>
      <c r="AM36" s="116"/>
      <c r="AN36" s="116"/>
      <c r="AO36" s="116"/>
      <c r="AP36" s="116"/>
      <c r="AQ36" s="116"/>
      <c r="AS36" s="115">
        <f>SUMIFS(wallet_records!$D:$D,wallet_records!$B:$B,'EEFF 2024'!$C36,wallet_records!$O:$O,'EEFF 2024'!$B$1,wallet_records!$N:$N,'EEFF 2024'!AS$2,wallet_records!$H:$H,'EEFF 2024'!$B36)</f>
        <v>0</v>
      </c>
      <c r="AT36" s="116"/>
      <c r="AU36" s="116"/>
      <c r="AV36" s="116"/>
      <c r="AW36" s="116"/>
      <c r="AX36" s="116"/>
      <c r="AZ36" s="115">
        <f>SUMIFS(wallet_records!$D:$D,wallet_records!$B:$B,'EEFF 2024'!$C36,wallet_records!$O:$O,'EEFF 2024'!$B$1,wallet_records!$N:$N,'EEFF 2024'!AZ$2,wallet_records!$H:$H,'EEFF 2024'!$B36)</f>
        <v>0</v>
      </c>
      <c r="BA36" s="116"/>
      <c r="BB36" s="116"/>
      <c r="BC36" s="116"/>
      <c r="BD36" s="116"/>
      <c r="BE36" s="116"/>
      <c r="BG36" s="115">
        <f>SUMIFS(wallet_records!$D:$D,wallet_records!$B:$B,'EEFF 2024'!$C36,wallet_records!$O:$O,'EEFF 2024'!$B$1,wallet_records!$N:$N,'EEFF 2024'!BG$2,wallet_records!$H:$H,'EEFF 2024'!$B36)</f>
        <v>0</v>
      </c>
      <c r="BH36" s="116"/>
      <c r="BI36" s="116"/>
      <c r="BJ36" s="116"/>
      <c r="BK36" s="116"/>
      <c r="BL36" s="116"/>
      <c r="BN36" s="115">
        <f>SUMIFS(wallet_records!$D:$D,wallet_records!$B:$B,'EEFF 2024'!$C36,wallet_records!$O:$O,'EEFF 2024'!$B$1,wallet_records!$N:$N,'EEFF 2024'!BN$2,wallet_records!$H:$H,'EEFF 2024'!$B36)</f>
        <v>0</v>
      </c>
      <c r="BO36" s="116"/>
      <c r="BP36" s="116"/>
      <c r="BQ36" s="116"/>
      <c r="BR36" s="116"/>
      <c r="BS36" s="116"/>
      <c r="BU36" s="115">
        <f>SUMIFS(wallet_records!$D:$D,wallet_records!$B:$B,'EEFF 2024'!$C36,wallet_records!$O:$O,'EEFF 2024'!$B$1,wallet_records!$N:$N,'EEFF 2024'!BU$2,wallet_records!$H:$H,'EEFF 2024'!$B36)</f>
        <v>0</v>
      </c>
      <c r="BV36" s="116"/>
      <c r="BW36" s="116"/>
      <c r="BX36" s="116"/>
      <c r="BY36" s="116"/>
      <c r="BZ36" s="116"/>
      <c r="CB36" s="115">
        <f>SUMIFS(wallet_records!$D:$D,wallet_records!$B:$B,'EEFF 2024'!$C36,wallet_records!$O:$O,'EEFF 2024'!$B$1,wallet_records!$N:$N,'EEFF 2024'!CB$2,wallet_records!$H:$H,'EEFF 2024'!$B36)</f>
        <v>0</v>
      </c>
      <c r="CC36" s="116"/>
      <c r="CD36" s="116"/>
      <c r="CE36" s="116"/>
      <c r="CF36" s="116"/>
      <c r="CG36" s="116"/>
      <c r="CI36" s="115">
        <f>SUMIFS(wallet_records!$D:$D,wallet_records!$B:$B,'EEFF 2024'!$C36,wallet_records!$O:$O,'EEFF 2024'!$B$1,wallet_records!$N:$N,'EEFF 2024'!CI$2,wallet_records!$H:$H,'EEFF 2024'!$B36)</f>
        <v>0</v>
      </c>
      <c r="CJ36" s="116"/>
      <c r="CK36" s="116"/>
      <c r="CL36" s="116"/>
      <c r="CM36" s="116"/>
      <c r="CN36" s="116"/>
      <c r="CP36" s="115">
        <f>SUMIFS(wallet_records!$D:$D,wallet_records!$B:$B,'EEFF 2024'!$C36,wallet_records!$O:$O,'EEFF 2024'!$B$1,wallet_records!$H:$H,'EEFF 2024'!$B36)</f>
        <v>46600</v>
      </c>
      <c r="CQ36" s="107"/>
      <c r="CR36" s="118">
        <f t="shared" si="0"/>
        <v>7.456E-3</v>
      </c>
      <c r="CS36" s="118">
        <f t="shared" si="1"/>
        <v>0</v>
      </c>
      <c r="CT36" s="118">
        <f t="shared" si="2"/>
        <v>0</v>
      </c>
      <c r="CU36" s="118">
        <f t="shared" si="3"/>
        <v>0</v>
      </c>
      <c r="CV36" s="118">
        <f t="shared" si="4"/>
        <v>0</v>
      </c>
      <c r="CW36" s="118">
        <f t="shared" si="5"/>
        <v>0</v>
      </c>
      <c r="CX36" s="118">
        <f t="shared" si="6"/>
        <v>0</v>
      </c>
      <c r="CY36" s="118">
        <f t="shared" si="7"/>
        <v>0</v>
      </c>
      <c r="CZ36" s="118">
        <f t="shared" si="8"/>
        <v>0</v>
      </c>
      <c r="DA36" s="118">
        <f t="shared" si="9"/>
        <v>0</v>
      </c>
      <c r="DB36" s="118">
        <f t="shared" si="10"/>
        <v>0</v>
      </c>
      <c r="DC36" s="118">
        <f t="shared" si="11"/>
        <v>0</v>
      </c>
    </row>
    <row r="37" spans="2:107" x14ac:dyDescent="0.2">
      <c r="B37" s="10" t="s">
        <v>137</v>
      </c>
      <c r="C37" s="191" t="s">
        <v>136</v>
      </c>
      <c r="D37" s="115"/>
      <c r="E37" s="115"/>
      <c r="F37" s="115"/>
      <c r="G37" s="116"/>
      <c r="H37" s="116"/>
      <c r="I37" s="116"/>
      <c r="J37" s="115">
        <f>SUMIFS(wallet_records!$D:$D,wallet_records!$B:$B,'EEFF 2024'!$C37,wallet_records!$O:$O,'EEFF 2024'!$B$1,wallet_records!$N:$N,'EEFF 2024'!J$2,wallet_records!$H:$H,'EEFF 2024'!$B37)</f>
        <v>0</v>
      </c>
      <c r="K37" s="115"/>
      <c r="L37" s="115"/>
      <c r="M37" s="115"/>
      <c r="N37" s="116"/>
      <c r="O37" s="116"/>
      <c r="P37" s="116"/>
      <c r="Q37" s="115">
        <f>SUMIFS(wallet_records!$D:$D,wallet_records!$B:$B,'EEFF 2024'!$C37,wallet_records!$O:$O,'EEFF 2024'!$B$1,wallet_records!$N:$N,'EEFF 2024'!Q$2,wallet_records!$H:$H,'EEFF 2024'!$B37)</f>
        <v>0</v>
      </c>
      <c r="R37" s="116"/>
      <c r="S37" s="116"/>
      <c r="T37" s="116"/>
      <c r="U37" s="116"/>
      <c r="V37" s="116"/>
      <c r="X37" s="115">
        <f>SUMIFS(wallet_records!$D:$D,wallet_records!$B:$B,'EEFF 2024'!$C37,wallet_records!$O:$O,'EEFF 2024'!$B$1,wallet_records!$N:$N,'EEFF 2024'!X$2,wallet_records!$H:$H,'EEFF 2024'!$B37)</f>
        <v>0</v>
      </c>
      <c r="Y37" s="116"/>
      <c r="Z37" s="116"/>
      <c r="AA37" s="116"/>
      <c r="AB37" s="116"/>
      <c r="AC37" s="116"/>
      <c r="AE37" s="115">
        <f>SUMIFS(wallet_records!$D:$D,wallet_records!$B:$B,'EEFF 2024'!$C37,wallet_records!$O:$O,'EEFF 2024'!$B$1,wallet_records!$N:$N,'EEFF 2024'!AE$2,wallet_records!$H:$H,'EEFF 2024'!$B37)</f>
        <v>0</v>
      </c>
      <c r="AF37" s="116"/>
      <c r="AG37" s="116"/>
      <c r="AH37" s="116"/>
      <c r="AI37" s="116"/>
      <c r="AJ37" s="116"/>
      <c r="AL37" s="115">
        <f>SUMIFS(wallet_records!$D:$D,wallet_records!$B:$B,'EEFF 2024'!$C37,wallet_records!$O:$O,'EEFF 2024'!$B$1,wallet_records!$N:$N,'EEFF 2024'!AL$2,wallet_records!$H:$H,'EEFF 2024'!$B37)</f>
        <v>0</v>
      </c>
      <c r="AM37" s="116"/>
      <c r="AN37" s="116"/>
      <c r="AO37" s="116"/>
      <c r="AP37" s="116"/>
      <c r="AQ37" s="116"/>
      <c r="AS37" s="115">
        <f>SUMIFS(wallet_records!$D:$D,wallet_records!$B:$B,'EEFF 2024'!$C37,wallet_records!$O:$O,'EEFF 2024'!$B$1,wallet_records!$N:$N,'EEFF 2024'!AS$2,wallet_records!$H:$H,'EEFF 2024'!$B37)</f>
        <v>0</v>
      </c>
      <c r="AT37" s="116"/>
      <c r="AU37" s="116"/>
      <c r="AV37" s="116"/>
      <c r="AW37" s="116"/>
      <c r="AX37" s="116"/>
      <c r="AZ37" s="115">
        <f>SUMIFS(wallet_records!$D:$D,wallet_records!$B:$B,'EEFF 2024'!$C37,wallet_records!$O:$O,'EEFF 2024'!$B$1,wallet_records!$N:$N,'EEFF 2024'!AZ$2,wallet_records!$H:$H,'EEFF 2024'!$B37)</f>
        <v>0</v>
      </c>
      <c r="BA37" s="116"/>
      <c r="BB37" s="116"/>
      <c r="BC37" s="116"/>
      <c r="BD37" s="116"/>
      <c r="BE37" s="116"/>
      <c r="BG37" s="115">
        <f>SUMIFS(wallet_records!$D:$D,wallet_records!$B:$B,'EEFF 2024'!$C37,wallet_records!$O:$O,'EEFF 2024'!$B$1,wallet_records!$N:$N,'EEFF 2024'!BG$2,wallet_records!$H:$H,'EEFF 2024'!$B37)</f>
        <v>0</v>
      </c>
      <c r="BH37" s="116"/>
      <c r="BI37" s="116"/>
      <c r="BJ37" s="116"/>
      <c r="BK37" s="116"/>
      <c r="BL37" s="116"/>
      <c r="BN37" s="115">
        <f>SUMIFS(wallet_records!$D:$D,wallet_records!$B:$B,'EEFF 2024'!$C37,wallet_records!$O:$O,'EEFF 2024'!$B$1,wallet_records!$N:$N,'EEFF 2024'!BN$2,wallet_records!$H:$H,'EEFF 2024'!$B37)</f>
        <v>0</v>
      </c>
      <c r="BO37" s="116"/>
      <c r="BP37" s="116"/>
      <c r="BQ37" s="116"/>
      <c r="BR37" s="116"/>
      <c r="BS37" s="116"/>
      <c r="BU37" s="115">
        <f>SUMIFS(wallet_records!$D:$D,wallet_records!$B:$B,'EEFF 2024'!$C37,wallet_records!$O:$O,'EEFF 2024'!$B$1,wallet_records!$N:$N,'EEFF 2024'!BU$2,wallet_records!$H:$H,'EEFF 2024'!$B37)</f>
        <v>0</v>
      </c>
      <c r="BV37" s="116"/>
      <c r="BW37" s="116"/>
      <c r="BX37" s="116"/>
      <c r="BY37" s="116"/>
      <c r="BZ37" s="116"/>
      <c r="CB37" s="115">
        <f>SUMIFS(wallet_records!$D:$D,wallet_records!$B:$B,'EEFF 2024'!$C37,wallet_records!$O:$O,'EEFF 2024'!$B$1,wallet_records!$N:$N,'EEFF 2024'!CB$2,wallet_records!$H:$H,'EEFF 2024'!$B37)</f>
        <v>0</v>
      </c>
      <c r="CC37" s="116"/>
      <c r="CD37" s="116"/>
      <c r="CE37" s="116"/>
      <c r="CF37" s="116"/>
      <c r="CG37" s="116"/>
      <c r="CI37" s="115">
        <f>SUMIFS(wallet_records!$D:$D,wallet_records!$B:$B,'EEFF 2024'!$C37,wallet_records!$O:$O,'EEFF 2024'!$B$1,wallet_records!$N:$N,'EEFF 2024'!CI$2,wallet_records!$H:$H,'EEFF 2024'!$B37)</f>
        <v>430800</v>
      </c>
      <c r="CJ37" s="116"/>
      <c r="CK37" s="116"/>
      <c r="CL37" s="116"/>
      <c r="CM37" s="116"/>
      <c r="CN37" s="116"/>
      <c r="CP37" s="115">
        <f>SUMIFS(wallet_records!$D:$D,wallet_records!$B:$B,'EEFF 2024'!$C37,wallet_records!$O:$O,'EEFF 2024'!$B$1,wallet_records!$H:$H,'EEFF 2024'!$B37)</f>
        <v>430800</v>
      </c>
      <c r="CQ37" s="107"/>
      <c r="CR37" s="118">
        <f t="shared" si="0"/>
        <v>0</v>
      </c>
      <c r="CS37" s="118">
        <f t="shared" si="1"/>
        <v>0</v>
      </c>
      <c r="CT37" s="118">
        <f t="shared" si="2"/>
        <v>0</v>
      </c>
      <c r="CU37" s="118">
        <f t="shared" si="3"/>
        <v>0</v>
      </c>
      <c r="CV37" s="118">
        <f t="shared" si="4"/>
        <v>0</v>
      </c>
      <c r="CW37" s="118">
        <f t="shared" si="5"/>
        <v>0</v>
      </c>
      <c r="CX37" s="118">
        <f t="shared" si="6"/>
        <v>0</v>
      </c>
      <c r="CY37" s="118">
        <f t="shared" si="7"/>
        <v>0</v>
      </c>
      <c r="CZ37" s="118">
        <f t="shared" si="8"/>
        <v>0</v>
      </c>
      <c r="DA37" s="118">
        <f t="shared" si="9"/>
        <v>0</v>
      </c>
      <c r="DB37" s="118">
        <f t="shared" si="10"/>
        <v>0</v>
      </c>
      <c r="DC37" s="118">
        <f t="shared" si="11"/>
        <v>7.2269753397081027E-2</v>
      </c>
    </row>
    <row r="38" spans="2:107" x14ac:dyDescent="0.2">
      <c r="B38" s="10" t="s">
        <v>156</v>
      </c>
      <c r="C38" s="191" t="s">
        <v>136</v>
      </c>
      <c r="D38" s="115"/>
      <c r="E38" s="115"/>
      <c r="F38" s="115"/>
      <c r="G38" s="116"/>
      <c r="H38" s="116"/>
      <c r="I38" s="116"/>
      <c r="J38" s="115">
        <f>SUMIFS(wallet_records!$D:$D,wallet_records!$B:$B,'EEFF 2024'!$C38,wallet_records!$O:$O,'EEFF 2024'!$B$1,wallet_records!$N:$N,'EEFF 2024'!J$2,wallet_records!$H:$H,'EEFF 2024'!$B38)</f>
        <v>0</v>
      </c>
      <c r="K38" s="115"/>
      <c r="L38" s="115"/>
      <c r="M38" s="115"/>
      <c r="N38" s="116"/>
      <c r="O38" s="116"/>
      <c r="P38" s="116"/>
      <c r="Q38" s="115">
        <f>SUMIFS(wallet_records!$D:$D,wallet_records!$B:$B,'EEFF 2024'!$C38,wallet_records!$O:$O,'EEFF 2024'!$B$1,wallet_records!$N:$N,'EEFF 2024'!Q$2,wallet_records!$H:$H,'EEFF 2024'!$B38)</f>
        <v>0</v>
      </c>
      <c r="R38" s="116"/>
      <c r="S38" s="116"/>
      <c r="T38" s="116"/>
      <c r="U38" s="116"/>
      <c r="V38" s="116"/>
      <c r="X38" s="115">
        <f>SUMIFS(wallet_records!$D:$D,wallet_records!$B:$B,'EEFF 2024'!$C38,wallet_records!$O:$O,'EEFF 2024'!$B$1,wallet_records!$N:$N,'EEFF 2024'!X$2,wallet_records!$H:$H,'EEFF 2024'!$B38)</f>
        <v>0</v>
      </c>
      <c r="Y38" s="116"/>
      <c r="Z38" s="116"/>
      <c r="AA38" s="116"/>
      <c r="AB38" s="116"/>
      <c r="AC38" s="116"/>
      <c r="AE38" s="115">
        <f>SUMIFS(wallet_records!$D:$D,wallet_records!$B:$B,'EEFF 2024'!$C38,wallet_records!$O:$O,'EEFF 2024'!$B$1,wallet_records!$N:$N,'EEFF 2024'!AE$2,wallet_records!$H:$H,'EEFF 2024'!$B38)</f>
        <v>0</v>
      </c>
      <c r="AF38" s="116"/>
      <c r="AG38" s="116"/>
      <c r="AH38" s="116"/>
      <c r="AI38" s="116"/>
      <c r="AJ38" s="116"/>
      <c r="AL38" s="115">
        <f>SUMIFS(wallet_records!$D:$D,wallet_records!$B:$B,'EEFF 2024'!$C38,wallet_records!$O:$O,'EEFF 2024'!$B$1,wallet_records!$N:$N,'EEFF 2024'!AL$2,wallet_records!$H:$H,'EEFF 2024'!$B38)</f>
        <v>0</v>
      </c>
      <c r="AM38" s="116"/>
      <c r="AN38" s="116"/>
      <c r="AO38" s="116"/>
      <c r="AP38" s="116"/>
      <c r="AQ38" s="116"/>
      <c r="AS38" s="115">
        <f>SUMIFS(wallet_records!$D:$D,wallet_records!$B:$B,'EEFF 2024'!$C38,wallet_records!$O:$O,'EEFF 2024'!$B$1,wallet_records!$N:$N,'EEFF 2024'!AS$2,wallet_records!$H:$H,'EEFF 2024'!$B38)</f>
        <v>0</v>
      </c>
      <c r="AT38" s="116"/>
      <c r="AU38" s="116"/>
      <c r="AV38" s="116"/>
      <c r="AW38" s="116"/>
      <c r="AX38" s="116"/>
      <c r="AZ38" s="115">
        <f>SUMIFS(wallet_records!$D:$D,wallet_records!$B:$B,'EEFF 2024'!$C38,wallet_records!$O:$O,'EEFF 2024'!$B$1,wallet_records!$N:$N,'EEFF 2024'!AZ$2,wallet_records!$H:$H,'EEFF 2024'!$B38)</f>
        <v>0</v>
      </c>
      <c r="BA38" s="116"/>
      <c r="BB38" s="116"/>
      <c r="BC38" s="116"/>
      <c r="BD38" s="116"/>
      <c r="BE38" s="116"/>
      <c r="BG38" s="115">
        <f>SUMIFS(wallet_records!$D:$D,wallet_records!$B:$B,'EEFF 2024'!$C38,wallet_records!$O:$O,'EEFF 2024'!$B$1,wallet_records!$N:$N,'EEFF 2024'!BG$2,wallet_records!$H:$H,'EEFF 2024'!$B38)</f>
        <v>0</v>
      </c>
      <c r="BH38" s="116"/>
      <c r="BI38" s="116"/>
      <c r="BJ38" s="116"/>
      <c r="BK38" s="116"/>
      <c r="BL38" s="116"/>
      <c r="BN38" s="115">
        <f>SUMIFS(wallet_records!$D:$D,wallet_records!$B:$B,'EEFF 2024'!$C38,wallet_records!$O:$O,'EEFF 2024'!$B$1,wallet_records!$N:$N,'EEFF 2024'!BN$2,wallet_records!$H:$H,'EEFF 2024'!$B38)</f>
        <v>0</v>
      </c>
      <c r="BO38" s="116"/>
      <c r="BP38" s="116"/>
      <c r="BQ38" s="116"/>
      <c r="BR38" s="116"/>
      <c r="BS38" s="116"/>
      <c r="BU38" s="115">
        <f>SUMIFS(wallet_records!$D:$D,wallet_records!$B:$B,'EEFF 2024'!$C38,wallet_records!$O:$O,'EEFF 2024'!$B$1,wallet_records!$N:$N,'EEFF 2024'!BU$2,wallet_records!$H:$H,'EEFF 2024'!$B38)</f>
        <v>0</v>
      </c>
      <c r="BV38" s="116"/>
      <c r="BW38" s="116"/>
      <c r="BX38" s="116"/>
      <c r="BY38" s="116"/>
      <c r="BZ38" s="116"/>
      <c r="CB38" s="115">
        <f>SUMIFS(wallet_records!$D:$D,wallet_records!$B:$B,'EEFF 2024'!$C38,wallet_records!$O:$O,'EEFF 2024'!$B$1,wallet_records!$N:$N,'EEFF 2024'!CB$2,wallet_records!$H:$H,'EEFF 2024'!$B38)</f>
        <v>0</v>
      </c>
      <c r="CC38" s="116"/>
      <c r="CD38" s="116"/>
      <c r="CE38" s="116"/>
      <c r="CF38" s="116"/>
      <c r="CG38" s="116"/>
      <c r="CI38" s="115">
        <f>SUMIFS(wallet_records!$D:$D,wallet_records!$B:$B,'EEFF 2024'!$C38,wallet_records!$O:$O,'EEFF 2024'!$B$1,wallet_records!$N:$N,'EEFF 2024'!CI$2,wallet_records!$H:$H,'EEFF 2024'!$B38)</f>
        <v>0</v>
      </c>
      <c r="CJ38" s="116"/>
      <c r="CK38" s="116"/>
      <c r="CL38" s="116"/>
      <c r="CM38" s="116"/>
      <c r="CN38" s="116"/>
      <c r="CP38" s="115">
        <f>SUMIFS(wallet_records!$D:$D,wallet_records!$B:$B,'EEFF 2024'!$C38,wallet_records!$O:$O,'EEFF 2024'!$B$1,wallet_records!$H:$H,'EEFF 2024'!$B38)</f>
        <v>0</v>
      </c>
      <c r="CQ38" s="107"/>
      <c r="CR38" s="118">
        <f t="shared" si="0"/>
        <v>0</v>
      </c>
      <c r="CS38" s="118">
        <f t="shared" si="1"/>
        <v>0</v>
      </c>
      <c r="CT38" s="118">
        <f t="shared" si="2"/>
        <v>0</v>
      </c>
      <c r="CU38" s="118">
        <f t="shared" si="3"/>
        <v>0</v>
      </c>
      <c r="CV38" s="118">
        <f t="shared" si="4"/>
        <v>0</v>
      </c>
      <c r="CW38" s="118">
        <f t="shared" si="5"/>
        <v>0</v>
      </c>
      <c r="CX38" s="118">
        <f t="shared" si="6"/>
        <v>0</v>
      </c>
      <c r="CY38" s="118">
        <f t="shared" si="7"/>
        <v>0</v>
      </c>
      <c r="CZ38" s="118">
        <f t="shared" si="8"/>
        <v>0</v>
      </c>
      <c r="DA38" s="118">
        <f t="shared" si="9"/>
        <v>0</v>
      </c>
      <c r="DB38" s="118">
        <f t="shared" si="10"/>
        <v>0</v>
      </c>
      <c r="DC38" s="118">
        <f t="shared" si="11"/>
        <v>0</v>
      </c>
    </row>
    <row r="39" spans="2:107" x14ac:dyDescent="0.2">
      <c r="B39" s="10" t="s">
        <v>510</v>
      </c>
      <c r="C39" s="191" t="s">
        <v>131</v>
      </c>
      <c r="D39" s="115"/>
      <c r="E39" s="115"/>
      <c r="F39" s="115"/>
      <c r="G39" s="116"/>
      <c r="H39" s="116"/>
      <c r="I39" s="116"/>
      <c r="J39" s="115">
        <f>SUMIFS(wallet_records!$D:$D,wallet_records!$B:$B,'EEFF 2024'!$C39,wallet_records!$O:$O,'EEFF 2024'!$B$1,wallet_records!$N:$N,'EEFF 2024'!J$2,wallet_records!$H:$H,'EEFF 2024'!$B39)</f>
        <v>0</v>
      </c>
      <c r="K39" s="115"/>
      <c r="L39" s="115"/>
      <c r="M39" s="115"/>
      <c r="N39" s="116"/>
      <c r="O39" s="116"/>
      <c r="P39" s="116"/>
      <c r="Q39" s="115">
        <f>SUMIFS(wallet_records!$D:$D,wallet_records!$B:$B,'EEFF 2024'!$C39,wallet_records!$O:$O,'EEFF 2024'!$B$1,wallet_records!$N:$N,'EEFF 2024'!Q$2,wallet_records!$H:$H,'EEFF 2024'!$B39)</f>
        <v>0</v>
      </c>
      <c r="R39" s="116"/>
      <c r="S39" s="116"/>
      <c r="T39" s="116"/>
      <c r="U39" s="116"/>
      <c r="V39" s="116"/>
      <c r="X39" s="115">
        <f>SUMIFS(wallet_records!$D:$D,wallet_records!$B:$B,'EEFF 2024'!$C39,wallet_records!$O:$O,'EEFF 2024'!$B$1,wallet_records!$N:$N,'EEFF 2024'!X$2,wallet_records!$H:$H,'EEFF 2024'!$B39)</f>
        <v>0</v>
      </c>
      <c r="Y39" s="116"/>
      <c r="Z39" s="116"/>
      <c r="AA39" s="116"/>
      <c r="AB39" s="116"/>
      <c r="AC39" s="116"/>
      <c r="AE39" s="115">
        <f>SUMIFS(wallet_records!$D:$D,wallet_records!$B:$B,'EEFF 2024'!$C39,wallet_records!$O:$O,'EEFF 2024'!$B$1,wallet_records!$N:$N,'EEFF 2024'!AE$2,wallet_records!$H:$H,'EEFF 2024'!$B39)</f>
        <v>0</v>
      </c>
      <c r="AF39" s="116"/>
      <c r="AG39" s="116"/>
      <c r="AH39" s="116"/>
      <c r="AI39" s="116"/>
      <c r="AJ39" s="116"/>
      <c r="AL39" s="115">
        <f>SUMIFS(wallet_records!$D:$D,wallet_records!$B:$B,'EEFF 2024'!$C39,wallet_records!$O:$O,'EEFF 2024'!$B$1,wallet_records!$N:$N,'EEFF 2024'!AL$2,wallet_records!$H:$H,'EEFF 2024'!$B39)</f>
        <v>0</v>
      </c>
      <c r="AM39" s="116"/>
      <c r="AN39" s="116"/>
      <c r="AO39" s="116"/>
      <c r="AP39" s="116"/>
      <c r="AQ39" s="116"/>
      <c r="AS39" s="115">
        <f>SUMIFS(wallet_records!$D:$D,wallet_records!$B:$B,'EEFF 2024'!$C39,wallet_records!$O:$O,'EEFF 2024'!$B$1,wallet_records!$N:$N,'EEFF 2024'!AS$2,wallet_records!$H:$H,'EEFF 2024'!$B39)</f>
        <v>0</v>
      </c>
      <c r="AT39" s="116"/>
      <c r="AU39" s="116"/>
      <c r="AV39" s="116"/>
      <c r="AW39" s="116"/>
      <c r="AX39" s="116"/>
      <c r="AZ39" s="115">
        <f>SUMIFS(wallet_records!$D:$D,wallet_records!$B:$B,'EEFF 2024'!$C39,wallet_records!$O:$O,'EEFF 2024'!$B$1,wallet_records!$N:$N,'EEFF 2024'!AZ$2,wallet_records!$H:$H,'EEFF 2024'!$B39)</f>
        <v>0</v>
      </c>
      <c r="BA39" s="116"/>
      <c r="BB39" s="116"/>
      <c r="BC39" s="116"/>
      <c r="BD39" s="116"/>
      <c r="BE39" s="116"/>
      <c r="BG39" s="115">
        <f>SUMIFS(wallet_records!$D:$D,wallet_records!$B:$B,'EEFF 2024'!$C39,wallet_records!$O:$O,'EEFF 2024'!$B$1,wallet_records!$N:$N,'EEFF 2024'!BG$2,wallet_records!$H:$H,'EEFF 2024'!$B39)</f>
        <v>0</v>
      </c>
      <c r="BH39" s="116"/>
      <c r="BI39" s="116"/>
      <c r="BJ39" s="116"/>
      <c r="BK39" s="116"/>
      <c r="BL39" s="116"/>
      <c r="BN39" s="115">
        <f>SUMIFS(wallet_records!$D:$D,wallet_records!$B:$B,'EEFF 2024'!$C39,wallet_records!$O:$O,'EEFF 2024'!$B$1,wallet_records!$N:$N,'EEFF 2024'!BN$2,wallet_records!$H:$H,'EEFF 2024'!$B39)</f>
        <v>0</v>
      </c>
      <c r="BO39" s="116"/>
      <c r="BP39" s="116"/>
      <c r="BQ39" s="116"/>
      <c r="BR39" s="116"/>
      <c r="BS39" s="116"/>
      <c r="BU39" s="115">
        <f>SUMIFS(wallet_records!$D:$D,wallet_records!$B:$B,'EEFF 2024'!$C39,wallet_records!$O:$O,'EEFF 2024'!$B$1,wallet_records!$N:$N,'EEFF 2024'!BU$2,wallet_records!$H:$H,'EEFF 2024'!$B39)</f>
        <v>0</v>
      </c>
      <c r="BV39" s="116"/>
      <c r="BW39" s="116"/>
      <c r="BX39" s="116"/>
      <c r="BY39" s="116"/>
      <c r="BZ39" s="116"/>
      <c r="CB39" s="115">
        <f>SUMIFS(wallet_records!$D:$D,wallet_records!$B:$B,'EEFF 2024'!$C39,wallet_records!$O:$O,'EEFF 2024'!$B$1,wallet_records!$N:$N,'EEFF 2024'!CB$2,wallet_records!$H:$H,'EEFF 2024'!$B39)</f>
        <v>0</v>
      </c>
      <c r="CC39" s="116"/>
      <c r="CD39" s="116"/>
      <c r="CE39" s="116"/>
      <c r="CF39" s="116"/>
      <c r="CG39" s="116"/>
      <c r="CI39" s="115">
        <f>SUMIFS(wallet_records!$D:$D,wallet_records!$B:$B,'EEFF 2024'!$C39,wallet_records!$O:$O,'EEFF 2024'!$B$1,wallet_records!$N:$N,'EEFF 2024'!CI$2,wallet_records!$H:$H,'EEFF 2024'!$B39)</f>
        <v>0</v>
      </c>
      <c r="CJ39" s="116"/>
      <c r="CK39" s="116"/>
      <c r="CL39" s="116"/>
      <c r="CM39" s="116"/>
      <c r="CN39" s="116"/>
      <c r="CP39" s="115">
        <f>SUMIFS(wallet_records!$D:$D,wallet_records!$B:$B,'EEFF 2024'!$C39,wallet_records!$O:$O,'EEFF 2024'!$B$1,wallet_records!$H:$H,'EEFF 2024'!$B39)</f>
        <v>0</v>
      </c>
      <c r="CQ39" s="107"/>
      <c r="CR39" s="118">
        <f t="shared" si="0"/>
        <v>0</v>
      </c>
      <c r="CS39" s="118">
        <f t="shared" si="1"/>
        <v>0</v>
      </c>
      <c r="CT39" s="118">
        <f t="shared" si="2"/>
        <v>0</v>
      </c>
      <c r="CU39" s="118">
        <f t="shared" si="3"/>
        <v>0</v>
      </c>
      <c r="CV39" s="118">
        <f t="shared" si="4"/>
        <v>0</v>
      </c>
      <c r="CW39" s="118">
        <f t="shared" si="5"/>
        <v>0</v>
      </c>
      <c r="CX39" s="118">
        <f t="shared" si="6"/>
        <v>0</v>
      </c>
      <c r="CY39" s="118">
        <f t="shared" si="7"/>
        <v>0</v>
      </c>
      <c r="CZ39" s="118">
        <f t="shared" si="8"/>
        <v>0</v>
      </c>
      <c r="DA39" s="118">
        <f t="shared" si="9"/>
        <v>0</v>
      </c>
      <c r="DB39" s="118">
        <f t="shared" si="10"/>
        <v>0</v>
      </c>
      <c r="DC39" s="118">
        <f t="shared" si="11"/>
        <v>0</v>
      </c>
    </row>
    <row r="40" spans="2:107" x14ac:dyDescent="0.2">
      <c r="B40" s="10" t="s">
        <v>522</v>
      </c>
      <c r="C40" s="191" t="s">
        <v>136</v>
      </c>
      <c r="D40" s="115"/>
      <c r="E40" s="115"/>
      <c r="F40" s="115"/>
      <c r="G40" s="116"/>
      <c r="H40" s="116"/>
      <c r="I40" s="116"/>
      <c r="J40" s="115">
        <f>SUMIFS(wallet_records!$D:$D,wallet_records!$B:$B,'EEFF 2024'!$C40,wallet_records!$O:$O,'EEFF 2024'!$B$1,wallet_records!$N:$N,'EEFF 2024'!J$2,wallet_records!$H:$H,'EEFF 2024'!$B40,wallet_records!$F:$F,"Gasto")</f>
        <v>6069666.8100000005</v>
      </c>
      <c r="K40" s="115"/>
      <c r="L40" s="115"/>
      <c r="M40" s="115"/>
      <c r="N40" s="116"/>
      <c r="O40" s="116"/>
      <c r="P40" s="116"/>
      <c r="Q40" s="115">
        <f>SUMIFS(wallet_records!$D:$D,wallet_records!$B:$B,'EEFF 2024'!$C40,wallet_records!$O:$O,'EEFF 2024'!$B$1,wallet_records!$N:$N,'EEFF 2024'!Q$2,wallet_records!$H:$H,'EEFF 2024'!$B40,wallet_records!$F:$F,"Gasto")</f>
        <v>649800.67000000004</v>
      </c>
      <c r="R40" s="116"/>
      <c r="S40" s="116"/>
      <c r="T40" s="116"/>
      <c r="U40" s="116"/>
      <c r="V40" s="116"/>
      <c r="X40" s="115">
        <f>SUMIFS(wallet_records!$D:$D,wallet_records!$B:$B,'EEFF 2024'!$C40,wallet_records!$O:$O,'EEFF 2024'!$B$1,wallet_records!$N:$N,'EEFF 2024'!X$2,wallet_records!$H:$H,'EEFF 2024'!$B40,wallet_records!$F:$F,"Gasto")</f>
        <v>20178305.469999999</v>
      </c>
      <c r="Y40" s="116"/>
      <c r="Z40" s="116"/>
      <c r="AA40" s="116"/>
      <c r="AB40" s="116"/>
      <c r="AC40" s="116"/>
      <c r="AE40" s="115">
        <f>SUMIFS(wallet_records!$D:$D,wallet_records!$B:$B,'EEFF 2024'!$C40,wallet_records!$O:$O,'EEFF 2024'!$B$1,wallet_records!$N:$N,'EEFF 2024'!AE$2,wallet_records!$H:$H,'EEFF 2024'!$B40,wallet_records!$F:$F,"Gasto")</f>
        <v>5333281.4400000004</v>
      </c>
      <c r="AF40" s="116"/>
      <c r="AG40" s="116"/>
      <c r="AH40" s="116"/>
      <c r="AI40" s="116"/>
      <c r="AJ40" s="116"/>
      <c r="AL40" s="115">
        <f>SUMIFS(wallet_records!$D:$D,wallet_records!$B:$B,'EEFF 2024'!$C40,wallet_records!$O:$O,'EEFF 2024'!$B$1,wallet_records!$N:$N,'EEFF 2024'!AL$2,wallet_records!$H:$H,'EEFF 2024'!$B40,wallet_records!$F:$F,"Gasto")</f>
        <v>7659713.3499999996</v>
      </c>
      <c r="AM40" s="116"/>
      <c r="AN40" s="116"/>
      <c r="AO40" s="116"/>
      <c r="AP40" s="116"/>
      <c r="AQ40" s="116"/>
      <c r="AS40" s="115">
        <f>SUMIFS(wallet_records!$D:$D,wallet_records!$B:$B,'EEFF 2024'!$C40,wallet_records!$O:$O,'EEFF 2024'!$B$1,wallet_records!$N:$N,'EEFF 2024'!AS$2,wallet_records!$H:$H,'EEFF 2024'!$B40,wallet_records!$F:$F,"Gasto")</f>
        <v>4379509.0299999993</v>
      </c>
      <c r="AT40" s="116"/>
      <c r="AU40" s="116"/>
      <c r="AV40" s="116"/>
      <c r="AW40" s="116"/>
      <c r="AX40" s="116"/>
      <c r="AZ40" s="115">
        <f>SUMIFS(wallet_records!$D:$D,wallet_records!$B:$B,'EEFF 2024'!$C40,wallet_records!$O:$O,'EEFF 2024'!$B$1,wallet_records!$N:$N,'EEFF 2024'!AZ$2,wallet_records!$H:$H,'EEFF 2024'!$B40,wallet_records!$F:$F,"Gasto")</f>
        <v>3465951.61</v>
      </c>
      <c r="BA40" s="116"/>
      <c r="BB40" s="116"/>
      <c r="BC40" s="116"/>
      <c r="BD40" s="116"/>
      <c r="BE40" s="116"/>
      <c r="BG40" s="115">
        <f>SUMIFS(wallet_records!$D:$D,wallet_records!$B:$B,'EEFF 2024'!$C40,wallet_records!$O:$O,'EEFF 2024'!$B$1,wallet_records!$N:$N,'EEFF 2024'!BG$2,wallet_records!$H:$H,'EEFF 2024'!$B40,wallet_records!$F:$F,"Gasto")</f>
        <v>3360071.77</v>
      </c>
      <c r="BH40" s="116"/>
      <c r="BI40" s="116"/>
      <c r="BJ40" s="116"/>
      <c r="BK40" s="116"/>
      <c r="BL40" s="116"/>
      <c r="BN40" s="115">
        <f>SUMIFS(wallet_records!$D:$D,wallet_records!$B:$B,'EEFF 2024'!$C40,wallet_records!$O:$O,'EEFF 2024'!$B$1,wallet_records!$N:$N,'EEFF 2024'!BN$2,wallet_records!$H:$H,'EEFF 2024'!$B40,wallet_records!$F:$F,"Gasto")</f>
        <v>11746869.24</v>
      </c>
      <c r="BO40" s="116"/>
      <c r="BP40" s="116"/>
      <c r="BQ40" s="116"/>
      <c r="BR40" s="116"/>
      <c r="BS40" s="116"/>
      <c r="BU40" s="115">
        <f>SUMIFS(wallet_records!$D:$D,wallet_records!$B:$B,'EEFF 2024'!$C40,wallet_records!$O:$O,'EEFF 2024'!$B$1,wallet_records!$N:$N,'EEFF 2024'!BU$2,wallet_records!$H:$H,'EEFF 2024'!$B40,wallet_records!$F:$F,"Gasto")</f>
        <v>2450575</v>
      </c>
      <c r="BV40" s="116"/>
      <c r="BW40" s="116"/>
      <c r="BX40" s="116"/>
      <c r="BY40" s="116"/>
      <c r="BZ40" s="116"/>
      <c r="CB40" s="115">
        <f>SUMIFS(wallet_records!$D:$D,wallet_records!$B:$B,'EEFF 2024'!$C40,wallet_records!$O:$O,'EEFF 2024'!$B$1,wallet_records!$N:$N,'EEFF 2024'!CB$2,wallet_records!$H:$H,'EEFF 2024'!$B40,wallet_records!$F:$F,"Gasto")</f>
        <v>2930682.73</v>
      </c>
      <c r="CC40" s="116"/>
      <c r="CD40" s="116"/>
      <c r="CE40" s="116"/>
      <c r="CF40" s="116"/>
      <c r="CG40" s="116"/>
      <c r="CI40" s="115">
        <f>SUMIFS(wallet_records!$D:$D,wallet_records!$B:$B,'EEFF 2024'!$C40,wallet_records!$O:$O,'EEFF 2024'!$B$1,wallet_records!$N:$N,'EEFF 2024'!CI$2,wallet_records!$H:$H,'EEFF 2024'!$B40,wallet_records!$F:$F,"Gasto")</f>
        <v>7824273.4900000002</v>
      </c>
      <c r="CJ40" s="116"/>
      <c r="CK40" s="116"/>
      <c r="CL40" s="116"/>
      <c r="CM40" s="116"/>
      <c r="CN40" s="116"/>
      <c r="CP40" s="115">
        <f>SUMIFS(wallet_records!$D:$D,wallet_records!$B:$B,'EEFF 2024'!$C40,wallet_records!$O:$O,'EEFF 2024'!$B$1,wallet_records!$H:$H,'EEFF 2024'!$B40,wallet_records!$F:$F,"Gasto")</f>
        <v>76048700.609999999</v>
      </c>
      <c r="CQ40" s="107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</row>
    <row r="41" spans="2:107" x14ac:dyDescent="0.2">
      <c r="B41" s="10" t="s">
        <v>216</v>
      </c>
      <c r="C41" s="191" t="s">
        <v>215</v>
      </c>
      <c r="D41" s="115"/>
      <c r="E41" s="115"/>
      <c r="F41" s="115"/>
      <c r="G41" s="116"/>
      <c r="H41" s="116"/>
      <c r="I41" s="116"/>
      <c r="J41" s="115">
        <f>SUMIFS(wallet_records!$D:$D,wallet_records!$B:$B,'EEFF 2024'!$C41,wallet_records!$O:$O,'EEFF 2024'!$B$1,wallet_records!$N:$N,'EEFF 2024'!J$2,wallet_records!$H:$H,'EEFF 2024'!$B41)</f>
        <v>0</v>
      </c>
      <c r="K41" s="115"/>
      <c r="L41" s="115"/>
      <c r="M41" s="115"/>
      <c r="N41" s="116"/>
      <c r="O41" s="116"/>
      <c r="P41" s="116"/>
      <c r="Q41" s="115">
        <f>SUMIFS(wallet_records!$D:$D,wallet_records!$B:$B,'EEFF 2024'!$C41,wallet_records!$O:$O,'EEFF 2024'!$B$1,wallet_records!$N:$N,'EEFF 2024'!Q$2,wallet_records!$H:$H,'EEFF 2024'!$B41)</f>
        <v>0</v>
      </c>
      <c r="R41" s="116"/>
      <c r="S41" s="116"/>
      <c r="T41" s="116"/>
      <c r="U41" s="116"/>
      <c r="V41" s="116"/>
      <c r="X41" s="115">
        <f>SUMIFS(wallet_records!$D:$D,wallet_records!$B:$B,'EEFF 2024'!$C41,wallet_records!$O:$O,'EEFF 2024'!$B$1,wallet_records!$N:$N,'EEFF 2024'!X$2,wallet_records!$H:$H,'EEFF 2024'!$B41)</f>
        <v>0</v>
      </c>
      <c r="Y41" s="116"/>
      <c r="Z41" s="116"/>
      <c r="AA41" s="116"/>
      <c r="AB41" s="116"/>
      <c r="AC41" s="116"/>
      <c r="AE41" s="115">
        <f>SUMIFS(wallet_records!$D:$D,wallet_records!$B:$B,'EEFF 2024'!$C41,wallet_records!$O:$O,'EEFF 2024'!$B$1,wallet_records!$N:$N,'EEFF 2024'!AE$2,wallet_records!$H:$H,'EEFF 2024'!$B41)</f>
        <v>0</v>
      </c>
      <c r="AF41" s="116"/>
      <c r="AG41" s="116"/>
      <c r="AH41" s="116"/>
      <c r="AI41" s="116"/>
      <c r="AJ41" s="116"/>
      <c r="AL41" s="115">
        <f>SUMIFS(wallet_records!$D:$D,wallet_records!$B:$B,'EEFF 2024'!$C41,wallet_records!$O:$O,'EEFF 2024'!$B$1,wallet_records!$N:$N,'EEFF 2024'!AL$2,wallet_records!$H:$H,'EEFF 2024'!$B41)</f>
        <v>0</v>
      </c>
      <c r="AM41" s="116"/>
      <c r="AN41" s="116"/>
      <c r="AO41" s="116"/>
      <c r="AP41" s="116"/>
      <c r="AQ41" s="116"/>
      <c r="AS41" s="115">
        <f>SUMIFS(wallet_records!$D:$D,wallet_records!$B:$B,'EEFF 2024'!$C41,wallet_records!$O:$O,'EEFF 2024'!$B$1,wallet_records!$N:$N,'EEFF 2024'!AS$2,wallet_records!$H:$H,'EEFF 2024'!$B41)</f>
        <v>0</v>
      </c>
      <c r="AT41" s="116"/>
      <c r="AU41" s="116"/>
      <c r="AV41" s="116"/>
      <c r="AW41" s="116"/>
      <c r="AX41" s="116"/>
      <c r="AZ41" s="115">
        <f>SUMIFS(wallet_records!$D:$D,wallet_records!$B:$B,'EEFF 2024'!$C41,wallet_records!$O:$O,'EEFF 2024'!$B$1,wallet_records!$N:$N,'EEFF 2024'!AZ$2,wallet_records!$H:$H,'EEFF 2024'!$B41)</f>
        <v>0</v>
      </c>
      <c r="BA41" s="116"/>
      <c r="BB41" s="116"/>
      <c r="BC41" s="116"/>
      <c r="BD41" s="116"/>
      <c r="BE41" s="116"/>
      <c r="BG41" s="115">
        <f>SUMIFS(wallet_records!$D:$D,wallet_records!$B:$B,'EEFF 2024'!$C41,wallet_records!$O:$O,'EEFF 2024'!$B$1,wallet_records!$N:$N,'EEFF 2024'!BG$2,wallet_records!$H:$H,'EEFF 2024'!$B41)</f>
        <v>0</v>
      </c>
      <c r="BH41" s="116"/>
      <c r="BI41" s="116"/>
      <c r="BJ41" s="116"/>
      <c r="BK41" s="116"/>
      <c r="BL41" s="116"/>
      <c r="BN41" s="115">
        <f>SUMIFS(wallet_records!$D:$D,wallet_records!$B:$B,'EEFF 2024'!$C41,wallet_records!$O:$O,'EEFF 2024'!$B$1,wallet_records!$N:$N,'EEFF 2024'!BN$2,wallet_records!$H:$H,'EEFF 2024'!$B41)</f>
        <v>0</v>
      </c>
      <c r="BO41" s="116"/>
      <c r="BP41" s="116"/>
      <c r="BQ41" s="116"/>
      <c r="BR41" s="116"/>
      <c r="BS41" s="116"/>
      <c r="BU41" s="115">
        <f>SUMIFS(wallet_records!$D:$D,wallet_records!$B:$B,'EEFF 2024'!$C41,wallet_records!$O:$O,'EEFF 2024'!$B$1,wallet_records!$N:$N,'EEFF 2024'!BU$2,wallet_records!$H:$H,'EEFF 2024'!$B41)</f>
        <v>0</v>
      </c>
      <c r="BV41" s="116"/>
      <c r="BW41" s="116"/>
      <c r="BX41" s="116"/>
      <c r="BY41" s="116"/>
      <c r="BZ41" s="116"/>
      <c r="CB41" s="115">
        <f>SUMIFS(wallet_records!$D:$D,wallet_records!$B:$B,'EEFF 2024'!$C41,wallet_records!$O:$O,'EEFF 2024'!$B$1,wallet_records!$N:$N,'EEFF 2024'!CB$2,wallet_records!$H:$H,'EEFF 2024'!$B41)</f>
        <v>0</v>
      </c>
      <c r="CC41" s="116"/>
      <c r="CD41" s="116"/>
      <c r="CE41" s="116"/>
      <c r="CF41" s="116"/>
      <c r="CG41" s="116"/>
      <c r="CI41" s="115">
        <f>SUMIFS(wallet_records!$D:$D,wallet_records!$B:$B,'EEFF 2024'!$C41,wallet_records!$O:$O,'EEFF 2024'!$B$1,wallet_records!$N:$N,'EEFF 2024'!CI$2,wallet_records!$H:$H,'EEFF 2024'!$B41)</f>
        <v>0</v>
      </c>
      <c r="CJ41" s="116"/>
      <c r="CK41" s="116"/>
      <c r="CL41" s="116"/>
      <c r="CM41" s="116"/>
      <c r="CN41" s="116"/>
      <c r="CP41" s="115">
        <f>SUMIFS(wallet_records!$D:$D,wallet_records!$B:$B,'EEFF 2024'!$C41,wallet_records!$O:$O,'EEFF 2024'!$B$1,wallet_records!$H:$H,'EEFF 2024'!$B41)</f>
        <v>0</v>
      </c>
      <c r="CQ41" s="107"/>
      <c r="CR41" s="118">
        <f t="shared" si="0"/>
        <v>0</v>
      </c>
      <c r="CS41" s="118">
        <f t="shared" si="1"/>
        <v>0</v>
      </c>
      <c r="CT41" s="118">
        <f t="shared" si="2"/>
        <v>0</v>
      </c>
      <c r="CU41" s="118">
        <f t="shared" si="3"/>
        <v>0</v>
      </c>
      <c r="CV41" s="118">
        <f t="shared" si="4"/>
        <v>0</v>
      </c>
      <c r="CW41" s="118">
        <f t="shared" si="5"/>
        <v>0</v>
      </c>
      <c r="CX41" s="118">
        <f t="shared" si="6"/>
        <v>0</v>
      </c>
      <c r="CY41" s="118">
        <f t="shared" si="7"/>
        <v>0</v>
      </c>
      <c r="CZ41" s="118">
        <f t="shared" si="8"/>
        <v>0</v>
      </c>
      <c r="DA41" s="118">
        <f t="shared" si="9"/>
        <v>0</v>
      </c>
      <c r="DB41" s="118">
        <f t="shared" si="10"/>
        <v>0</v>
      </c>
      <c r="DC41" s="118">
        <f t="shared" si="11"/>
        <v>0</v>
      </c>
    </row>
    <row r="42" spans="2:107" x14ac:dyDescent="0.2">
      <c r="B42" s="107" t="s">
        <v>125</v>
      </c>
      <c r="C42" s="191" t="s">
        <v>124</v>
      </c>
      <c r="D42" s="115"/>
      <c r="E42" s="115"/>
      <c r="F42" s="122"/>
      <c r="G42" s="116"/>
      <c r="H42" s="116"/>
      <c r="I42" s="116"/>
      <c r="J42" s="115">
        <f>SUMIFS(wallet_records!$D:$D,wallet_records!$B:$B,'EEFF 2024'!$C42,wallet_records!$O:$O,'EEFF 2024'!$B$1,wallet_records!$N:$N,'EEFF 2024'!J$2,wallet_records!$H:$H,'EEFF 2024'!$B42)</f>
        <v>321985.45</v>
      </c>
      <c r="K42" s="115"/>
      <c r="L42" s="115"/>
      <c r="M42" s="115"/>
      <c r="N42" s="116"/>
      <c r="O42" s="116"/>
      <c r="P42" s="115"/>
      <c r="Q42" s="115">
        <f>SUMIFS(wallet_records!$D:$D,wallet_records!$B:$B,'EEFF 2024'!$C42,wallet_records!$O:$O,'EEFF 2024'!$B$1,wallet_records!$N:$N,'EEFF 2024'!Q$2,wallet_records!$H:$H,'EEFF 2024'!$B42)</f>
        <v>146547.60999999999</v>
      </c>
      <c r="R42" s="116"/>
      <c r="S42" s="116"/>
      <c r="T42" s="116"/>
      <c r="U42" s="116"/>
      <c r="V42" s="116"/>
      <c r="X42" s="115">
        <f>SUMIFS(wallet_records!$D:$D,wallet_records!$B:$B,'EEFF 2024'!$C42,wallet_records!$O:$O,'EEFF 2024'!$B$1,wallet_records!$N:$N,'EEFF 2024'!X$2,wallet_records!$H:$H,'EEFF 2024'!$B42)</f>
        <v>149663.53999999998</v>
      </c>
      <c r="Y42" s="116"/>
      <c r="Z42" s="116"/>
      <c r="AA42" s="116"/>
      <c r="AB42" s="116"/>
      <c r="AC42" s="116"/>
      <c r="AE42" s="115">
        <f>SUMIFS(wallet_records!$D:$D,wallet_records!$B:$B,'EEFF 2024'!$C42,wallet_records!$O:$O,'EEFF 2024'!$B$1,wallet_records!$N:$N,'EEFF 2024'!AE$2,wallet_records!$H:$H,'EEFF 2024'!$B42)</f>
        <v>210639.57</v>
      </c>
      <c r="AF42" s="116"/>
      <c r="AG42" s="116"/>
      <c r="AH42" s="116"/>
      <c r="AI42" s="116"/>
      <c r="AJ42" s="116"/>
      <c r="AL42" s="115">
        <f>SUMIFS(wallet_records!$D:$D,wallet_records!$B:$B,'EEFF 2024'!$C42,wallet_records!$O:$O,'EEFF 2024'!$B$1,wallet_records!$N:$N,'EEFF 2024'!AL$2,wallet_records!$H:$H,'EEFF 2024'!$B42)</f>
        <v>230371.45</v>
      </c>
      <c r="AM42" s="116"/>
      <c r="AN42" s="116"/>
      <c r="AO42" s="116"/>
      <c r="AP42" s="116"/>
      <c r="AQ42" s="116"/>
      <c r="AS42" s="115">
        <f>SUMIFS(wallet_records!$D:$D,wallet_records!$B:$B,'EEFF 2024'!$C42,wallet_records!$O:$O,'EEFF 2024'!$B$1,wallet_records!$N:$N,'EEFF 2024'!AS$2,wallet_records!$H:$H,'EEFF 2024'!$B42)</f>
        <v>255159.15000000002</v>
      </c>
      <c r="AT42" s="116"/>
      <c r="AU42" s="116"/>
      <c r="AV42" s="116"/>
      <c r="AW42" s="116"/>
      <c r="AX42" s="116"/>
      <c r="AZ42" s="115">
        <f>SUMIFS(wallet_records!$D:$D,wallet_records!$B:$B,'EEFF 2024'!$C42,wallet_records!$O:$O,'EEFF 2024'!$B$1,wallet_records!$N:$N,'EEFF 2024'!AZ$2,wallet_records!$H:$H,'EEFF 2024'!$B42)</f>
        <v>282110.78000000003</v>
      </c>
      <c r="BA42" s="116"/>
      <c r="BB42" s="116"/>
      <c r="BC42" s="116"/>
      <c r="BD42" s="116"/>
      <c r="BE42" s="116"/>
      <c r="BG42" s="115">
        <f>SUMIFS(wallet_records!$D:$D,wallet_records!$B:$B,'EEFF 2024'!$C42,wallet_records!$O:$O,'EEFF 2024'!$B$1,wallet_records!$N:$N,'EEFF 2024'!BG$2,wallet_records!$H:$H,'EEFF 2024'!$B42)</f>
        <v>309308.84999999998</v>
      </c>
      <c r="BH42" s="116"/>
      <c r="BI42" s="116"/>
      <c r="BJ42" s="116"/>
      <c r="BK42" s="116"/>
      <c r="BL42" s="116"/>
      <c r="BN42" s="115">
        <f>SUMIFS(wallet_records!$D:$D,wallet_records!$B:$B,'EEFF 2024'!$C42,wallet_records!$O:$O,'EEFF 2024'!$B$1,wallet_records!$N:$N,'EEFF 2024'!BN$2,wallet_records!$H:$H,'EEFF 2024'!$B42)</f>
        <v>336755.89</v>
      </c>
      <c r="BO42" s="116"/>
      <c r="BP42" s="116"/>
      <c r="BQ42" s="116"/>
      <c r="BR42" s="116"/>
      <c r="BS42" s="116"/>
      <c r="BU42" s="115">
        <f>SUMIFS(wallet_records!$D:$D,wallet_records!$B:$B,'EEFF 2024'!$C42,wallet_records!$O:$O,'EEFF 2024'!$B$1,wallet_records!$N:$N,'EEFF 2024'!BU$2,wallet_records!$H:$H,'EEFF 2024'!$B42)</f>
        <v>366775.07999999996</v>
      </c>
      <c r="BV42" s="116"/>
      <c r="BW42" s="116"/>
      <c r="BX42" s="116"/>
      <c r="BY42" s="116"/>
      <c r="BZ42" s="116"/>
      <c r="CB42" s="115">
        <f>SUMIFS(wallet_records!$D:$D,wallet_records!$B:$B,'EEFF 2024'!$C42,wallet_records!$O:$O,'EEFF 2024'!$B$1,wallet_records!$N:$N,'EEFF 2024'!CB$2,wallet_records!$H:$H,'EEFF 2024'!$B42)</f>
        <v>394849.11</v>
      </c>
      <c r="CC42" s="116"/>
      <c r="CD42" s="116"/>
      <c r="CE42" s="116"/>
      <c r="CF42" s="116"/>
      <c r="CG42" s="116"/>
      <c r="CI42" s="115">
        <f>SUMIFS(wallet_records!$D:$D,wallet_records!$B:$B,'EEFF 2024'!$C42,wallet_records!$O:$O,'EEFF 2024'!$B$1,wallet_records!$N:$N,'EEFF 2024'!CI$2,wallet_records!$H:$H,'EEFF 2024'!$B42)</f>
        <v>423182.81999999995</v>
      </c>
      <c r="CJ42" s="116"/>
      <c r="CK42" s="116"/>
      <c r="CL42" s="116"/>
      <c r="CM42" s="116"/>
      <c r="CN42" s="116"/>
      <c r="CP42" s="115">
        <f>SUMIFS(wallet_records!$D:$D,wallet_records!$B:$B,'EEFF 2024'!$C42,wallet_records!$O:$O,'EEFF 2024'!$B$1,wallet_records!$H:$H,'EEFF 2024'!$B42)</f>
        <v>3427349.2999999993</v>
      </c>
      <c r="CQ42" s="107"/>
      <c r="CR42" s="118">
        <f t="shared" si="0"/>
        <v>5.1517672E-2</v>
      </c>
      <c r="CS42" s="118">
        <f t="shared" si="1"/>
        <v>5.1420214035087716E-2</v>
      </c>
      <c r="CT42" s="118">
        <f t="shared" si="2"/>
        <v>2.2505795488721801E-2</v>
      </c>
      <c r="CU42" s="118">
        <f t="shared" si="3"/>
        <v>5.6456598767086572E-2</v>
      </c>
      <c r="CV42" s="118">
        <f t="shared" si="4"/>
        <v>2.4557238034324701E-2</v>
      </c>
      <c r="CW42" s="118">
        <f t="shared" si="5"/>
        <v>3.1970824458087965E-2</v>
      </c>
      <c r="CX42" s="118">
        <f t="shared" si="6"/>
        <v>3.4695705325298247E-2</v>
      </c>
      <c r="CY42" s="118">
        <f t="shared" si="7"/>
        <v>3.6271926121372026E-2</v>
      </c>
      <c r="CZ42" s="118">
        <f t="shared" si="8"/>
        <v>4.7357036984952895E-2</v>
      </c>
      <c r="DA42" s="118">
        <f t="shared" si="9"/>
        <v>6.0314928465712868E-2</v>
      </c>
      <c r="DB42" s="118">
        <f t="shared" si="10"/>
        <v>2.9303433151508403E-2</v>
      </c>
      <c r="DC42" s="118">
        <f t="shared" si="11"/>
        <v>7.0991917463512827E-2</v>
      </c>
    </row>
    <row r="43" spans="2:107" x14ac:dyDescent="0.2">
      <c r="B43" s="107" t="s">
        <v>155</v>
      </c>
      <c r="C43" s="191" t="s">
        <v>154</v>
      </c>
      <c r="D43" s="115"/>
      <c r="E43" s="115"/>
      <c r="F43" s="122"/>
      <c r="G43" s="116"/>
      <c r="H43" s="116"/>
      <c r="I43" s="116"/>
      <c r="J43" s="115">
        <f>SUMIFS(wallet_records!$D:$D,wallet_records!$B:$B,'EEFF 2024'!$C43,wallet_records!$O:$O,'EEFF 2024'!$B$1,wallet_records!$N:$N,'EEFF 2024'!J$2,wallet_records!$H:$H,'EEFF 2024'!$B43)</f>
        <v>0</v>
      </c>
      <c r="K43" s="115"/>
      <c r="L43" s="115"/>
      <c r="M43" s="115"/>
      <c r="N43" s="116"/>
      <c r="O43" s="116"/>
      <c r="P43" s="115"/>
      <c r="Q43" s="115">
        <f>SUMIFS(wallet_records!$D:$D,wallet_records!$B:$B,'EEFF 2024'!$C43,wallet_records!$O:$O,'EEFF 2024'!$B$1,wallet_records!$N:$N,'EEFF 2024'!Q$2,wallet_records!$H:$H,'EEFF 2024'!$B43)</f>
        <v>0</v>
      </c>
      <c r="R43" s="116"/>
      <c r="S43" s="116"/>
      <c r="T43" s="116"/>
      <c r="U43" s="116"/>
      <c r="V43" s="116"/>
      <c r="X43" s="115">
        <f>SUMIFS(wallet_records!$D:$D,wallet_records!$B:$B,'EEFF 2024'!$C43,wallet_records!$O:$O,'EEFF 2024'!$B$1,wallet_records!$N:$N,'EEFF 2024'!X$2,wallet_records!$H:$H,'EEFF 2024'!$B43)</f>
        <v>0</v>
      </c>
      <c r="Y43" s="116"/>
      <c r="Z43" s="116"/>
      <c r="AA43" s="116"/>
      <c r="AB43" s="116"/>
      <c r="AC43" s="116"/>
      <c r="AE43" s="115">
        <f>SUMIFS(wallet_records!$D:$D,wallet_records!$B:$B,'EEFF 2024'!$C43,wallet_records!$O:$O,'EEFF 2024'!$B$1,wallet_records!$N:$N,'EEFF 2024'!AE$2,wallet_records!$H:$H,'EEFF 2024'!$B43)</f>
        <v>0</v>
      </c>
      <c r="AF43" s="116"/>
      <c r="AG43" s="116"/>
      <c r="AH43" s="116"/>
      <c r="AI43" s="116"/>
      <c r="AJ43" s="116"/>
      <c r="AL43" s="115">
        <f>SUMIFS(wallet_records!$D:$D,wallet_records!$B:$B,'EEFF 2024'!$C43,wallet_records!$O:$O,'EEFF 2024'!$B$1,wallet_records!$N:$N,'EEFF 2024'!AL$2,wallet_records!$H:$H,'EEFF 2024'!$B43)</f>
        <v>0</v>
      </c>
      <c r="AM43" s="116"/>
      <c r="AN43" s="116"/>
      <c r="AO43" s="116"/>
      <c r="AP43" s="116"/>
      <c r="AQ43" s="116"/>
      <c r="AS43" s="115">
        <f>SUMIFS(wallet_records!$D:$D,wallet_records!$B:$B,'EEFF 2024'!$C43,wallet_records!$O:$O,'EEFF 2024'!$B$1,wallet_records!$N:$N,'EEFF 2024'!AS$2,wallet_records!$H:$H,'EEFF 2024'!$B43)</f>
        <v>0</v>
      </c>
      <c r="AT43" s="116"/>
      <c r="AU43" s="116"/>
      <c r="AV43" s="116"/>
      <c r="AW43" s="116"/>
      <c r="AX43" s="116"/>
      <c r="AZ43" s="115">
        <f>SUMIFS(wallet_records!$D:$D,wallet_records!$B:$B,'EEFF 2024'!$C43,wallet_records!$O:$O,'EEFF 2024'!$B$1,wallet_records!$N:$N,'EEFF 2024'!AZ$2,wallet_records!$H:$H,'EEFF 2024'!$B43)</f>
        <v>0</v>
      </c>
      <c r="BA43" s="116"/>
      <c r="BB43" s="116"/>
      <c r="BC43" s="116"/>
      <c r="BD43" s="116"/>
      <c r="BE43" s="116"/>
      <c r="BG43" s="115">
        <f>SUMIFS(wallet_records!$D:$D,wallet_records!$B:$B,'EEFF 2024'!$C43,wallet_records!$O:$O,'EEFF 2024'!$B$1,wallet_records!$N:$N,'EEFF 2024'!BG$2,wallet_records!$H:$H,'EEFF 2024'!$B43)</f>
        <v>0</v>
      </c>
      <c r="BH43" s="116"/>
      <c r="BI43" s="116"/>
      <c r="BJ43" s="116"/>
      <c r="BK43" s="116"/>
      <c r="BL43" s="116"/>
      <c r="BN43" s="115">
        <f>SUMIFS(wallet_records!$D:$D,wallet_records!$B:$B,'EEFF 2024'!$C43,wallet_records!$O:$O,'EEFF 2024'!$B$1,wallet_records!$N:$N,'EEFF 2024'!BN$2,wallet_records!$H:$H,'EEFF 2024'!$B43)</f>
        <v>0</v>
      </c>
      <c r="BO43" s="116"/>
      <c r="BP43" s="116"/>
      <c r="BQ43" s="116"/>
      <c r="BR43" s="116"/>
      <c r="BS43" s="116"/>
      <c r="BU43" s="115">
        <f>SUMIFS(wallet_records!$D:$D,wallet_records!$B:$B,'EEFF 2024'!$C43,wallet_records!$O:$O,'EEFF 2024'!$B$1,wallet_records!$N:$N,'EEFF 2024'!BU$2,wallet_records!$H:$H,'EEFF 2024'!$B43)</f>
        <v>0</v>
      </c>
      <c r="BV43" s="116"/>
      <c r="BW43" s="116"/>
      <c r="BX43" s="116"/>
      <c r="BY43" s="116"/>
      <c r="BZ43" s="116"/>
      <c r="CB43" s="115">
        <f>SUMIFS(wallet_records!$D:$D,wallet_records!$B:$B,'EEFF 2024'!$C43,wallet_records!$O:$O,'EEFF 2024'!$B$1,wallet_records!$N:$N,'EEFF 2024'!CB$2,wallet_records!$H:$H,'EEFF 2024'!$B43)</f>
        <v>0</v>
      </c>
      <c r="CC43" s="116"/>
      <c r="CD43" s="116"/>
      <c r="CE43" s="116"/>
      <c r="CF43" s="116"/>
      <c r="CG43" s="116"/>
      <c r="CI43" s="115">
        <f>SUMIFS(wallet_records!$D:$D,wallet_records!$B:$B,'EEFF 2024'!$C43,wallet_records!$O:$O,'EEFF 2024'!$B$1,wallet_records!$N:$N,'EEFF 2024'!CI$2,wallet_records!$H:$H,'EEFF 2024'!$B43)</f>
        <v>0</v>
      </c>
      <c r="CJ43" s="116"/>
      <c r="CK43" s="116"/>
      <c r="CL43" s="116"/>
      <c r="CM43" s="116"/>
      <c r="CN43" s="116"/>
      <c r="CP43" s="115">
        <f>SUMIFS(wallet_records!$D:$D,wallet_records!$B:$B,'EEFF 2024'!$C43,wallet_records!$O:$O,'EEFF 2024'!$B$1,wallet_records!$H:$H,'EEFF 2024'!$B43)</f>
        <v>0</v>
      </c>
      <c r="CQ43" s="107"/>
      <c r="CR43" s="118">
        <f t="shared" si="0"/>
        <v>0</v>
      </c>
      <c r="CS43" s="118">
        <f t="shared" si="1"/>
        <v>0</v>
      </c>
      <c r="CT43" s="118">
        <f t="shared" si="2"/>
        <v>0</v>
      </c>
      <c r="CU43" s="118">
        <f t="shared" si="3"/>
        <v>0</v>
      </c>
      <c r="CV43" s="118">
        <f t="shared" si="4"/>
        <v>0</v>
      </c>
      <c r="CW43" s="118">
        <f t="shared" si="5"/>
        <v>0</v>
      </c>
      <c r="CX43" s="118">
        <f t="shared" si="6"/>
        <v>0</v>
      </c>
      <c r="CY43" s="118">
        <f t="shared" si="7"/>
        <v>0</v>
      </c>
      <c r="CZ43" s="118">
        <f t="shared" si="8"/>
        <v>0</v>
      </c>
      <c r="DA43" s="118">
        <f t="shared" si="9"/>
        <v>0</v>
      </c>
      <c r="DB43" s="118">
        <f t="shared" si="10"/>
        <v>0</v>
      </c>
      <c r="DC43" s="118">
        <f t="shared" si="11"/>
        <v>0</v>
      </c>
    </row>
    <row r="44" spans="2:107" x14ac:dyDescent="0.2">
      <c r="B44" s="107" t="s">
        <v>205</v>
      </c>
      <c r="C44" s="191" t="s">
        <v>154</v>
      </c>
      <c r="D44" s="115"/>
      <c r="E44" s="115"/>
      <c r="F44" s="122"/>
      <c r="G44" s="123"/>
      <c r="H44" s="123"/>
      <c r="I44" s="123"/>
      <c r="J44" s="115">
        <f>SUMIFS(wallet_records!$D:$D,wallet_records!$B:$B,'EEFF 2024'!$C44,wallet_records!$O:$O,'EEFF 2024'!$B$1,wallet_records!$N:$N,'EEFF 2024'!J$2,wallet_records!$H:$H,'EEFF 2024'!$B44)</f>
        <v>0</v>
      </c>
      <c r="K44" s="115"/>
      <c r="L44" s="115"/>
      <c r="M44" s="115"/>
      <c r="N44" s="116"/>
      <c r="O44" s="116"/>
      <c r="P44" s="115"/>
      <c r="Q44" s="115">
        <f>SUMIFS(wallet_records!$D:$D,wallet_records!$B:$B,'EEFF 2024'!$C44,wallet_records!$O:$O,'EEFF 2024'!$B$1,wallet_records!$N:$N,'EEFF 2024'!Q$2,wallet_records!$H:$H,'EEFF 2024'!$B44)</f>
        <v>0</v>
      </c>
      <c r="R44" s="116"/>
      <c r="S44" s="116"/>
      <c r="T44" s="116"/>
      <c r="U44" s="116"/>
      <c r="V44" s="116"/>
      <c r="X44" s="115">
        <f>SUMIFS(wallet_records!$D:$D,wallet_records!$B:$B,'EEFF 2024'!$C44,wallet_records!$O:$O,'EEFF 2024'!$B$1,wallet_records!$N:$N,'EEFF 2024'!X$2,wallet_records!$H:$H,'EEFF 2024'!$B44)</f>
        <v>0</v>
      </c>
      <c r="Y44" s="116"/>
      <c r="Z44" s="116"/>
      <c r="AA44" s="116"/>
      <c r="AB44" s="116"/>
      <c r="AC44" s="116"/>
      <c r="AE44" s="115">
        <f>SUMIFS(wallet_records!$D:$D,wallet_records!$B:$B,'EEFF 2024'!$C44,wallet_records!$O:$O,'EEFF 2024'!$B$1,wallet_records!$N:$N,'EEFF 2024'!AE$2,wallet_records!$H:$H,'EEFF 2024'!$B44)</f>
        <v>0</v>
      </c>
      <c r="AF44" s="116"/>
      <c r="AG44" s="116"/>
      <c r="AH44" s="116"/>
      <c r="AI44" s="116"/>
      <c r="AJ44" s="116"/>
      <c r="AL44" s="115">
        <f>SUMIFS(wallet_records!$D:$D,wallet_records!$B:$B,'EEFF 2024'!$C44,wallet_records!$O:$O,'EEFF 2024'!$B$1,wallet_records!$N:$N,'EEFF 2024'!AL$2,wallet_records!$H:$H,'EEFF 2024'!$B44)</f>
        <v>0</v>
      </c>
      <c r="AM44" s="116"/>
      <c r="AN44" s="116"/>
      <c r="AO44" s="116"/>
      <c r="AP44" s="116"/>
      <c r="AQ44" s="116"/>
      <c r="AS44" s="115">
        <f>SUMIFS(wallet_records!$D:$D,wallet_records!$B:$B,'EEFF 2024'!$C44,wallet_records!$O:$O,'EEFF 2024'!$B$1,wallet_records!$N:$N,'EEFF 2024'!AS$2,wallet_records!$H:$H,'EEFF 2024'!$B44)</f>
        <v>0</v>
      </c>
      <c r="AT44" s="116"/>
      <c r="AU44" s="116"/>
      <c r="AV44" s="116"/>
      <c r="AW44" s="116"/>
      <c r="AX44" s="116"/>
      <c r="AZ44" s="115">
        <f>SUMIFS(wallet_records!$D:$D,wallet_records!$B:$B,'EEFF 2024'!$C44,wallet_records!$O:$O,'EEFF 2024'!$B$1,wallet_records!$N:$N,'EEFF 2024'!AZ$2,wallet_records!$H:$H,'EEFF 2024'!$B44)</f>
        <v>0</v>
      </c>
      <c r="BA44" s="116"/>
      <c r="BB44" s="116"/>
      <c r="BC44" s="116"/>
      <c r="BD44" s="116"/>
      <c r="BE44" s="116"/>
      <c r="BG44" s="115">
        <f>SUMIFS(wallet_records!$D:$D,wallet_records!$B:$B,'EEFF 2024'!$C44,wallet_records!$O:$O,'EEFF 2024'!$B$1,wallet_records!$N:$N,'EEFF 2024'!BG$2,wallet_records!$H:$H,'EEFF 2024'!$B44)</f>
        <v>0</v>
      </c>
      <c r="BH44" s="116"/>
      <c r="BI44" s="116"/>
      <c r="BJ44" s="116"/>
      <c r="BK44" s="116"/>
      <c r="BL44" s="116"/>
      <c r="BN44" s="115">
        <f>SUMIFS(wallet_records!$D:$D,wallet_records!$B:$B,'EEFF 2024'!$C44,wallet_records!$O:$O,'EEFF 2024'!$B$1,wallet_records!$N:$N,'EEFF 2024'!BN$2,wallet_records!$H:$H,'EEFF 2024'!$B44)</f>
        <v>0</v>
      </c>
      <c r="BO44" s="116"/>
      <c r="BP44" s="116"/>
      <c r="BQ44" s="116"/>
      <c r="BR44" s="116"/>
      <c r="BS44" s="116"/>
      <c r="BU44" s="115">
        <f>SUMIFS(wallet_records!$D:$D,wallet_records!$B:$B,'EEFF 2024'!$C44,wallet_records!$O:$O,'EEFF 2024'!$B$1,wallet_records!$N:$N,'EEFF 2024'!BU$2,wallet_records!$H:$H,'EEFF 2024'!$B44)</f>
        <v>0</v>
      </c>
      <c r="BV44" s="116"/>
      <c r="BW44" s="116"/>
      <c r="BX44" s="116"/>
      <c r="BY44" s="116"/>
      <c r="BZ44" s="116"/>
      <c r="CB44" s="115">
        <f>SUMIFS(wallet_records!$D:$D,wallet_records!$B:$B,'EEFF 2024'!$C44,wallet_records!$O:$O,'EEFF 2024'!$B$1,wallet_records!$N:$N,'EEFF 2024'!CB$2,wallet_records!$H:$H,'EEFF 2024'!$B44)</f>
        <v>0</v>
      </c>
      <c r="CC44" s="116"/>
      <c r="CD44" s="116"/>
      <c r="CE44" s="116"/>
      <c r="CF44" s="116"/>
      <c r="CG44" s="116"/>
      <c r="CI44" s="115">
        <f>SUMIFS(wallet_records!$D:$D,wallet_records!$B:$B,'EEFF 2024'!$C44,wallet_records!$O:$O,'EEFF 2024'!$B$1,wallet_records!$N:$N,'EEFF 2024'!CI$2,wallet_records!$H:$H,'EEFF 2024'!$B44)</f>
        <v>0</v>
      </c>
      <c r="CJ44" s="116"/>
      <c r="CK44" s="123"/>
      <c r="CL44" s="123"/>
      <c r="CM44" s="123"/>
      <c r="CN44" s="123"/>
      <c r="CP44" s="115">
        <f>SUMIFS(wallet_records!$D:$D,wallet_records!$B:$B,'EEFF 2024'!$C44,wallet_records!$O:$O,'EEFF 2024'!$B$1,wallet_records!$H:$H,'EEFF 2024'!$B44)</f>
        <v>0</v>
      </c>
      <c r="CQ44" s="107"/>
      <c r="CR44" s="118">
        <f t="shared" si="0"/>
        <v>0</v>
      </c>
      <c r="CS44" s="118">
        <f t="shared" si="1"/>
        <v>0</v>
      </c>
      <c r="CT44" s="118">
        <f t="shared" si="2"/>
        <v>0</v>
      </c>
      <c r="CU44" s="118">
        <f t="shared" si="3"/>
        <v>0</v>
      </c>
      <c r="CV44" s="118">
        <f t="shared" si="4"/>
        <v>0</v>
      </c>
      <c r="CW44" s="118">
        <f t="shared" si="5"/>
        <v>0</v>
      </c>
      <c r="CX44" s="118">
        <f t="shared" si="6"/>
        <v>0</v>
      </c>
      <c r="CY44" s="118">
        <f t="shared" si="7"/>
        <v>0</v>
      </c>
      <c r="CZ44" s="118">
        <f t="shared" si="8"/>
        <v>0</v>
      </c>
      <c r="DA44" s="118">
        <f t="shared" si="9"/>
        <v>0</v>
      </c>
      <c r="DB44" s="118">
        <f t="shared" si="10"/>
        <v>0</v>
      </c>
      <c r="DC44" s="118">
        <f t="shared" si="11"/>
        <v>0</v>
      </c>
    </row>
    <row r="45" spans="2:107" ht="16" x14ac:dyDescent="0.2">
      <c r="B45" s="199" t="s">
        <v>402</v>
      </c>
      <c r="C45" s="194"/>
      <c r="D45" s="124"/>
      <c r="E45" s="124"/>
      <c r="F45" s="124"/>
      <c r="G45" s="124"/>
      <c r="H45" s="124"/>
      <c r="I45" s="124"/>
      <c r="J45" s="110">
        <f>J16+J18-J19-J20-J21-J22-J23-J24-J25-J26-J27-J28-J29-J30-J31-J32-J33-J34-J35-J36-J37-J38-J39-J40-J41+J42-J43-J44</f>
        <v>-7319254.4800000014</v>
      </c>
      <c r="K45" s="110"/>
      <c r="L45" s="110"/>
      <c r="M45" s="110"/>
      <c r="N45" s="110"/>
      <c r="O45" s="110"/>
      <c r="P45" s="110"/>
      <c r="Q45" s="110">
        <f>Q16+Q18-Q19-Q20-Q21-Q22-Q23-Q24-Q25-Q26-Q27-Q28-Q29-Q30-Q31-Q32-Q33-Q34-Q35-Q36-Q37-Q38-Q39-Q40-Q41+Q42-Q43-Q44</f>
        <v>-18222947.060000002</v>
      </c>
      <c r="R45" s="110"/>
      <c r="S45" s="110"/>
      <c r="T45" s="110"/>
      <c r="U45" s="110"/>
      <c r="V45" s="110"/>
      <c r="W45" s="110"/>
      <c r="X45" s="110">
        <f>X16+X18-X19-X20-X21-X22-X23-X24-X25-X26-X27-X28-X29-X30-X31-X32-X33-X34-X35-X36-X37-X38-X39-X40-X41+X42-X43-X44</f>
        <v>-28722449.289999999</v>
      </c>
      <c r="Y45" s="110"/>
      <c r="Z45" s="110"/>
      <c r="AA45" s="110"/>
      <c r="AB45" s="110"/>
      <c r="AC45" s="110"/>
      <c r="AD45" s="110"/>
      <c r="AE45" s="110">
        <f>AE16+AE18-AE19-AE20-AE21-AE22-AE23-AE24-AE25-AE26-AE27-AE28-AE29-AE30-AE31-AE32-AE33-AE34-AE35-AE36-AE37-AE38-AE39-AE40-AE41+AE42-AE43-AE44</f>
        <v>-1948521.9400000006</v>
      </c>
      <c r="AF45" s="110"/>
      <c r="AG45" s="110"/>
      <c r="AH45" s="110"/>
      <c r="AI45" s="110"/>
      <c r="AJ45" s="110"/>
      <c r="AK45" s="110"/>
      <c r="AL45" s="110">
        <f>AL16+AL18-AL19-AL20-AL21-AL22-AL23-AL24-AL25-AL26-AL27-AL28-AL29-AL30-AL31-AL32-AL33-AL34-AL35-AL36-AL37-AL38-AL39-AL40-AL41+AL42-AL43-AL44</f>
        <v>2219239.7000000002</v>
      </c>
      <c r="AM45" s="110"/>
      <c r="AN45" s="110"/>
      <c r="AO45" s="110"/>
      <c r="AP45" s="110"/>
      <c r="AQ45" s="110"/>
      <c r="AR45" s="110"/>
      <c r="AS45" s="110">
        <f>AS16+AS18-AS19-AS20-AS21-AS22-AS23-AS24-AS25-AS26-AS27-AS28-AS29-AS30-AS31-AS32-AS33-AS34-AS35-AS36-AS37-AS38-AS39-AS40-AS41+AS42-AS43-AS44</f>
        <v>5939346.5200000014</v>
      </c>
      <c r="AT45" s="110"/>
      <c r="AU45" s="110"/>
      <c r="AV45" s="110"/>
      <c r="AW45" s="110"/>
      <c r="AX45" s="110"/>
      <c r="AY45" s="110"/>
      <c r="AZ45" s="110">
        <f>AZ16+AZ18-AZ19-AZ20-AZ21-AZ22-AZ23-AZ24-AZ25-AZ26-AZ27-AZ28-AZ29-AZ30-AZ31-AZ32-AZ33-AZ34-AZ35-AZ36-AZ37-AZ38-AZ39-AZ40-AZ41+AZ42-AZ43-AZ44</f>
        <v>5914259.4800000014</v>
      </c>
      <c r="BA45" s="110"/>
      <c r="BB45" s="110"/>
      <c r="BC45" s="110"/>
      <c r="BD45" s="110"/>
      <c r="BE45" s="110"/>
      <c r="BF45" s="110"/>
      <c r="BG45" s="110">
        <f>BG16+BG18-BG19-BG20-BG21-BG22-BG23-BG24-BG25-BG26-BG27-BG28-BG29-BG30-BG31-BG32-BG33-BG34-BG35-BG36-BG37-BG38-BG39-BG40-BG41+BG42-BG43-BG44</f>
        <v>6100390.3200000003</v>
      </c>
      <c r="BH45" s="110"/>
      <c r="BI45" s="110"/>
      <c r="BJ45" s="110"/>
      <c r="BK45" s="110"/>
      <c r="BL45" s="110"/>
      <c r="BM45" s="110"/>
      <c r="BN45" s="110">
        <f>BN16+BN18-BN19-BN20-BN21-BN22-BN23-BN24-BN25-BN26-BN27-BN28-BN29-BN30-BN31-BN32-BN33-BN34-BN35-BN36-BN37-BN38-BN39-BN40-BN41+BN42-BN43-BN44</f>
        <v>-2561597.3200000008</v>
      </c>
      <c r="BO45" s="110"/>
      <c r="BP45" s="110"/>
      <c r="BQ45" s="110"/>
      <c r="BR45" s="110"/>
      <c r="BS45" s="110"/>
      <c r="BT45" s="110"/>
      <c r="BU45" s="110">
        <f>BU16+BU18-BU19-BU20-BU21-BU22-BU23-BU24-BU25-BU26-BU27-BU28-BU29-BU30-BU31-BU32-BU33-BU34-BU35-BU36-BU37-BU38-BU39-BU40-BU41+BU42-BU43-BU44</f>
        <v>3806166.5700000003</v>
      </c>
      <c r="BV45" s="110"/>
      <c r="BW45" s="110"/>
      <c r="BX45" s="110"/>
      <c r="BY45" s="110"/>
      <c r="BZ45" s="110"/>
      <c r="CA45" s="110"/>
      <c r="CB45" s="110">
        <f>CB16+CB18-CB19-CB20-CB21-CB22-CB23-CB24-CB25-CB26-CB27-CB28-CB29-CB30-CB31-CB32-CB33-CB34-CB35-CB36-CB37-CB38-CB39-CB40-CB41+CB42-CB43-CB44</f>
        <v>11369333.289999999</v>
      </c>
      <c r="CC45" s="110"/>
      <c r="CD45" s="110"/>
      <c r="CE45" s="110"/>
      <c r="CF45" s="110"/>
      <c r="CG45" s="110"/>
      <c r="CH45" s="110"/>
      <c r="CI45" s="110">
        <f>CI16+CI18-CI19-CI20-CI21-CI22-CI23-CI24-CI25-CI26-CI27-CI28-CI29-CI30-CI31-CI32-CI33-CI34-CI35-CI36-CI37-CI38-CI39-CI40-CI41+CI42-CI43-CI44</f>
        <v>-11712030.870000001</v>
      </c>
      <c r="CJ45" s="110"/>
      <c r="CK45" s="110"/>
      <c r="CL45" s="110"/>
      <c r="CM45" s="110"/>
      <c r="CN45" s="110"/>
      <c r="CO45" s="110"/>
      <c r="CP45" s="110">
        <f>CP16+CP18-CP19-CP20-CP21-CP22-CP23-CP24-CP25-CP26-CP27-CP28-CP29-CP30-CP31-CP32-CP33-CP34-CP35-CP36-CP37-CP38-CP39-CP40-CP41+CP42-CP43-CP44</f>
        <v>-35138065.080000013</v>
      </c>
      <c r="CQ45" s="107"/>
      <c r="CR45" s="125">
        <f t="shared" si="0"/>
        <v>-1.1710807168000001</v>
      </c>
      <c r="CS45" s="125">
        <f t="shared" si="1"/>
        <v>-6.3940165122807029</v>
      </c>
      <c r="CT45" s="125">
        <f t="shared" si="2"/>
        <v>-4.3191653067669176</v>
      </c>
      <c r="CU45" s="125">
        <f t="shared" si="3"/>
        <v>-0.52225192709729318</v>
      </c>
      <c r="CV45" s="125">
        <f t="shared" si="4"/>
        <v>0.23656749813452727</v>
      </c>
      <c r="CW45" s="125">
        <f t="shared" si="5"/>
        <v>0.7441857561709061</v>
      </c>
      <c r="CX45" s="125">
        <f t="shared" si="6"/>
        <v>0.72737172303529718</v>
      </c>
      <c r="CY45" s="125">
        <f t="shared" si="7"/>
        <v>0.71537851890941073</v>
      </c>
      <c r="CZ45" s="125">
        <f t="shared" si="8"/>
        <v>-0.36023025172268325</v>
      </c>
      <c r="DA45" s="125">
        <f t="shared" si="9"/>
        <v>0.62591129255056743</v>
      </c>
      <c r="DB45" s="125">
        <f t="shared" si="10"/>
        <v>0.84376661768525729</v>
      </c>
      <c r="DC45" s="125">
        <f t="shared" si="11"/>
        <v>-1.9647761902365377</v>
      </c>
    </row>
    <row r="46" spans="2:107" ht="16" x14ac:dyDescent="0.2">
      <c r="B46" s="112" t="s">
        <v>90</v>
      </c>
      <c r="C46" s="192" t="s">
        <v>154</v>
      </c>
      <c r="D46" s="126"/>
      <c r="E46" s="126"/>
      <c r="F46" s="126"/>
      <c r="G46" s="127"/>
      <c r="H46" s="127"/>
      <c r="I46" s="127"/>
      <c r="J46" s="115">
        <f>SUMIFS(wallet_records!$D:$D,wallet_records!$B:$B,'EEFF 2024'!$C46,wallet_records!$O:$O,'EEFF 2024'!$B$1,wallet_records!$N:$N,'EEFF 2024'!J$2,wallet_records!$H:$H,'EEFF 2024'!$B46)</f>
        <v>0</v>
      </c>
      <c r="K46" s="115"/>
      <c r="L46" s="115"/>
      <c r="M46" s="115"/>
      <c r="N46" s="116"/>
      <c r="O46" s="116"/>
      <c r="P46" s="116"/>
      <c r="Q46" s="115">
        <f>SUMIFS(wallet_records!$D:$D,wallet_records!$B:$B,'EEFF 2024'!$C46,wallet_records!$O:$O,'EEFF 2024'!$B$1,wallet_records!$N:$N,'EEFF 2024'!Q$2,wallet_records!$H:$H,'EEFF 2024'!$B46)</f>
        <v>0</v>
      </c>
      <c r="R46" s="119"/>
      <c r="S46" s="119"/>
      <c r="T46" s="119"/>
      <c r="U46" s="128"/>
      <c r="V46" s="128"/>
      <c r="X46" s="115">
        <f>SUMIFS(wallet_records!$D:$D,wallet_records!$B:$B,'EEFF 2024'!$C46,wallet_records!$O:$O,'EEFF 2024'!$B$1,wallet_records!$N:$N,'EEFF 2024'!X$2,wallet_records!$H:$H,'EEFF 2024'!$B46)</f>
        <v>0</v>
      </c>
      <c r="Y46" s="128"/>
      <c r="Z46" s="128"/>
      <c r="AA46" s="128"/>
      <c r="AB46" s="128"/>
      <c r="AC46" s="128"/>
      <c r="AE46" s="115">
        <f>SUMIFS(wallet_records!$D:$D,wallet_records!$B:$B,'EEFF 2024'!$C46,wallet_records!$O:$O,'EEFF 2024'!$B$1,wallet_records!$N:$N,'EEFF 2024'!AE$2,wallet_records!$H:$H,'EEFF 2024'!$B46)</f>
        <v>0</v>
      </c>
      <c r="AF46" s="128"/>
      <c r="AG46" s="128"/>
      <c r="AH46" s="128"/>
      <c r="AI46" s="128"/>
      <c r="AJ46" s="128"/>
      <c r="AL46" s="115">
        <f>SUMIFS(wallet_records!$D:$D,wallet_records!$B:$B,'EEFF 2024'!$C46,wallet_records!$O:$O,'EEFF 2024'!$B$1,wallet_records!$N:$N,'EEFF 2024'!AL$2,wallet_records!$H:$H,'EEFF 2024'!$B46)</f>
        <v>0</v>
      </c>
      <c r="AM46" s="128"/>
      <c r="AN46" s="128"/>
      <c r="AO46" s="128"/>
      <c r="AP46" s="128"/>
      <c r="AQ46" s="128"/>
      <c r="AS46" s="115">
        <f>SUMIFS(wallet_records!$D:$D,wallet_records!$B:$B,'EEFF 2024'!$C46,wallet_records!$O:$O,'EEFF 2024'!$B$1,wallet_records!$N:$N,'EEFF 2024'!AS$2,wallet_records!$H:$H,'EEFF 2024'!$B46)</f>
        <v>0</v>
      </c>
      <c r="AT46" s="128"/>
      <c r="AU46" s="128"/>
      <c r="AV46" s="128"/>
      <c r="AW46" s="128"/>
      <c r="AX46" s="128"/>
      <c r="AZ46" s="115">
        <f>SUMIFS(wallet_records!$D:$D,wallet_records!$B:$B,'EEFF 2024'!$C46,wallet_records!$O:$O,'EEFF 2024'!$B$1,wallet_records!$N:$N,'EEFF 2024'!AZ$2,wallet_records!$H:$H,'EEFF 2024'!$B46)</f>
        <v>0</v>
      </c>
      <c r="BA46" s="128"/>
      <c r="BB46" s="128"/>
      <c r="BC46" s="128"/>
      <c r="BD46" s="128"/>
      <c r="BE46" s="128"/>
      <c r="BG46" s="115">
        <f>SUMIFS(wallet_records!$D:$D,wallet_records!$B:$B,'EEFF 2024'!$C46,wallet_records!$O:$O,'EEFF 2024'!$B$1,wallet_records!$N:$N,'EEFF 2024'!BG$2,wallet_records!$H:$H,'EEFF 2024'!$B46)</f>
        <v>0</v>
      </c>
      <c r="BH46" s="128"/>
      <c r="BI46" s="128"/>
      <c r="BJ46" s="128"/>
      <c r="BK46" s="128"/>
      <c r="BL46" s="128"/>
      <c r="BN46" s="115">
        <f>SUMIFS(wallet_records!$D:$D,wallet_records!$B:$B,'EEFF 2024'!$C46,wallet_records!$O:$O,'EEFF 2024'!$B$1,wallet_records!$N:$N,'EEFF 2024'!BN$2,wallet_records!$H:$H,'EEFF 2024'!$B46)</f>
        <v>0</v>
      </c>
      <c r="BO46" s="128"/>
      <c r="BP46" s="128"/>
      <c r="BQ46" s="128"/>
      <c r="BR46" s="128"/>
      <c r="BS46" s="128"/>
      <c r="BU46" s="115">
        <f>SUMIFS(wallet_records!$D:$D,wallet_records!$B:$B,'EEFF 2024'!$C46,wallet_records!$O:$O,'EEFF 2024'!$B$1,wallet_records!$N:$N,'EEFF 2024'!BU$2,wallet_records!$H:$H,'EEFF 2024'!$B46)</f>
        <v>0</v>
      </c>
      <c r="BV46" s="128"/>
      <c r="BW46" s="128"/>
      <c r="BX46" s="128"/>
      <c r="BY46" s="128"/>
      <c r="BZ46" s="128"/>
      <c r="CB46" s="115">
        <f>SUMIFS(wallet_records!$D:$D,wallet_records!$B:$B,'EEFF 2024'!$C46,wallet_records!$O:$O,'EEFF 2024'!$B$1,wallet_records!$N:$N,'EEFF 2024'!CB$2,wallet_records!$H:$H,'EEFF 2024'!$B46)</f>
        <v>0</v>
      </c>
      <c r="CC46" s="128"/>
      <c r="CD46" s="128"/>
      <c r="CE46" s="128"/>
      <c r="CF46" s="128"/>
      <c r="CG46" s="128"/>
      <c r="CI46" s="115">
        <f>SUMIFS(wallet_records!$D:$D,wallet_records!$B:$B,'EEFF 2024'!$C46,wallet_records!$O:$O,'EEFF 2024'!$B$1,wallet_records!$N:$N,'EEFF 2024'!CI$2,wallet_records!$H:$H,'EEFF 2024'!$B46)</f>
        <v>0</v>
      </c>
      <c r="CJ46" s="128"/>
      <c r="CK46" s="128"/>
      <c r="CL46" s="128"/>
      <c r="CM46" s="128"/>
      <c r="CN46" s="128"/>
      <c r="CP46" s="115">
        <f>SUMIFS(wallet_records!$D:$D,wallet_records!$B:$B,'EEFF 2024'!$C46,wallet_records!$O:$O,'EEFF 2024'!$B$1,wallet_records!$H:$H,'EEFF 2024'!$B46)</f>
        <v>0</v>
      </c>
      <c r="CQ46" s="107"/>
      <c r="CR46" s="111">
        <f t="shared" si="0"/>
        <v>0</v>
      </c>
      <c r="CS46" s="111">
        <f t="shared" si="1"/>
        <v>0</v>
      </c>
      <c r="CT46" s="111">
        <f t="shared" si="2"/>
        <v>0</v>
      </c>
      <c r="CU46" s="111">
        <f t="shared" si="3"/>
        <v>0</v>
      </c>
      <c r="CV46" s="111">
        <f t="shared" si="4"/>
        <v>0</v>
      </c>
      <c r="CW46" s="111">
        <f t="shared" si="5"/>
        <v>0</v>
      </c>
      <c r="CX46" s="111">
        <f t="shared" si="6"/>
        <v>0</v>
      </c>
      <c r="CY46" s="111">
        <f t="shared" si="7"/>
        <v>0</v>
      </c>
      <c r="CZ46" s="111">
        <f t="shared" si="8"/>
        <v>0</v>
      </c>
      <c r="DA46" s="111">
        <f t="shared" si="9"/>
        <v>0</v>
      </c>
      <c r="DB46" s="111">
        <f t="shared" si="10"/>
        <v>0</v>
      </c>
      <c r="DC46" s="111">
        <f t="shared" si="11"/>
        <v>0</v>
      </c>
    </row>
    <row r="47" spans="2:107" ht="16" x14ac:dyDescent="0.2">
      <c r="B47" s="129" t="s">
        <v>352</v>
      </c>
      <c r="C47" s="206"/>
      <c r="D47" s="130"/>
      <c r="E47" s="130"/>
      <c r="F47" s="130"/>
      <c r="G47" s="130"/>
      <c r="H47" s="130"/>
      <c r="I47" s="130"/>
      <c r="J47" s="263">
        <f>J45-J46</f>
        <v>-7319254.4800000014</v>
      </c>
      <c r="K47" s="110"/>
      <c r="L47" s="110"/>
      <c r="M47" s="110"/>
      <c r="N47" s="110"/>
      <c r="O47" s="110"/>
      <c r="P47" s="110"/>
      <c r="Q47" s="263">
        <f>Q45-Q46</f>
        <v>-18222947.060000002</v>
      </c>
      <c r="R47" s="110"/>
      <c r="S47" s="110"/>
      <c r="T47" s="110"/>
      <c r="U47" s="110"/>
      <c r="V47" s="110"/>
      <c r="W47" s="110"/>
      <c r="X47" s="263">
        <f>X45-X46</f>
        <v>-28722449.289999999</v>
      </c>
      <c r="Y47" s="110"/>
      <c r="Z47" s="110"/>
      <c r="AA47" s="110"/>
      <c r="AB47" s="110"/>
      <c r="AC47" s="110"/>
      <c r="AD47" s="110"/>
      <c r="AE47" s="110">
        <f>AE45-AE46</f>
        <v>-1948521.9400000006</v>
      </c>
      <c r="AF47" s="110"/>
      <c r="AG47" s="110"/>
      <c r="AH47" s="110"/>
      <c r="AI47" s="110"/>
      <c r="AJ47" s="110"/>
      <c r="AK47" s="110"/>
      <c r="AL47" s="110">
        <f>AL45-AL46</f>
        <v>2219239.7000000002</v>
      </c>
      <c r="AM47" s="110"/>
      <c r="AN47" s="110"/>
      <c r="AO47" s="110"/>
      <c r="AP47" s="110"/>
      <c r="AQ47" s="110"/>
      <c r="AR47" s="110"/>
      <c r="AS47" s="110">
        <f>AS45-AS46</f>
        <v>5939346.5200000014</v>
      </c>
      <c r="AT47" s="110"/>
      <c r="AU47" s="110"/>
      <c r="AV47" s="110"/>
      <c r="AW47" s="110"/>
      <c r="AX47" s="110"/>
      <c r="AY47" s="110"/>
      <c r="AZ47" s="110">
        <f>AZ45-AZ46</f>
        <v>5914259.4800000014</v>
      </c>
      <c r="BA47" s="110"/>
      <c r="BB47" s="110"/>
      <c r="BC47" s="110"/>
      <c r="BD47" s="110"/>
      <c r="BE47" s="110"/>
      <c r="BF47" s="110"/>
      <c r="BG47" s="110">
        <f>BG45-BG46</f>
        <v>6100390.3200000003</v>
      </c>
      <c r="BH47" s="110"/>
      <c r="BI47" s="110"/>
      <c r="BJ47" s="110"/>
      <c r="BK47" s="110"/>
      <c r="BL47" s="110"/>
      <c r="BM47" s="110"/>
      <c r="BN47" s="110">
        <f>BN45-BN46</f>
        <v>-2561597.3200000008</v>
      </c>
      <c r="BO47" s="110"/>
      <c r="BP47" s="110"/>
      <c r="BQ47" s="110"/>
      <c r="BR47" s="110"/>
      <c r="BS47" s="110"/>
      <c r="BT47" s="110"/>
      <c r="BU47" s="110">
        <f>BU45-BU46</f>
        <v>3806166.5700000003</v>
      </c>
      <c r="BV47" s="110"/>
      <c r="BW47" s="110"/>
      <c r="BX47" s="110"/>
      <c r="BY47" s="110"/>
      <c r="BZ47" s="110"/>
      <c r="CA47" s="110"/>
      <c r="CB47" s="110">
        <f>CB45-CB46</f>
        <v>11369333.289999999</v>
      </c>
      <c r="CC47" s="110"/>
      <c r="CD47" s="110"/>
      <c r="CE47" s="110"/>
      <c r="CF47" s="110"/>
      <c r="CG47" s="110"/>
      <c r="CH47" s="110"/>
      <c r="CI47" s="110">
        <f>CI45-CI46</f>
        <v>-11712030.870000001</v>
      </c>
      <c r="CJ47" s="110"/>
      <c r="CK47" s="110"/>
      <c r="CL47" s="110"/>
      <c r="CM47" s="110"/>
      <c r="CN47" s="110"/>
      <c r="CO47" s="110"/>
      <c r="CP47" s="263">
        <f>CI47+CB47+BU47+BN47+BG47+AZ47+AS47+AL47+AE47+X47+Q47+J47</f>
        <v>-35138065.080000006</v>
      </c>
      <c r="CQ47" s="107"/>
      <c r="CR47" s="131">
        <f t="shared" si="0"/>
        <v>-1.1710807168000001</v>
      </c>
      <c r="CS47" s="131">
        <f t="shared" si="1"/>
        <v>-6.3940165122807029</v>
      </c>
      <c r="CT47" s="131">
        <f>X47/X$6</f>
        <v>-4.3191653067669176</v>
      </c>
      <c r="CU47" s="131">
        <f>AE47/AE$6</f>
        <v>-0.52225192709729318</v>
      </c>
      <c r="CV47" s="131">
        <f>AL47/AL$6</f>
        <v>0.23656749813452727</v>
      </c>
      <c r="CW47" s="131">
        <f>AS47/AS$6</f>
        <v>0.7441857561709061</v>
      </c>
      <c r="CX47" s="131">
        <f>AZ47/AZ$6</f>
        <v>0.72737172303529718</v>
      </c>
      <c r="CY47" s="131">
        <f>BG47/BG$6</f>
        <v>0.71537851890941073</v>
      </c>
      <c r="CZ47" s="131">
        <f>BN47/BN$6</f>
        <v>-0.36023025172268325</v>
      </c>
      <c r="DA47" s="131">
        <f>BU47/BU$6</f>
        <v>0.62591129255056743</v>
      </c>
      <c r="DB47" s="131">
        <f>CB47/CB$6</f>
        <v>0.84376661768525729</v>
      </c>
      <c r="DC47" s="131">
        <f>CI47/CI$6</f>
        <v>-1.9647761902365377</v>
      </c>
    </row>
    <row r="48" spans="2:107" x14ac:dyDescent="0.2">
      <c r="D48" s="106"/>
      <c r="E48" s="106"/>
      <c r="F48" s="132"/>
      <c r="I48" s="133"/>
      <c r="J48" s="133"/>
      <c r="K48" s="106"/>
      <c r="L48" s="106"/>
      <c r="M48" s="134"/>
      <c r="P48" s="116"/>
      <c r="Q48" s="133"/>
      <c r="R48" s="133"/>
      <c r="S48" s="133"/>
      <c r="T48" s="133"/>
      <c r="U48" s="133"/>
      <c r="V48" s="133"/>
      <c r="Y48" s="133"/>
      <c r="Z48" s="133"/>
      <c r="AA48" s="133"/>
      <c r="AB48" s="133"/>
      <c r="AC48" s="133"/>
      <c r="AF48" s="133"/>
      <c r="AG48" s="133"/>
      <c r="AH48" s="133"/>
      <c r="AI48" s="133"/>
      <c r="AJ48" s="133"/>
      <c r="AM48" s="133"/>
      <c r="AN48" s="133"/>
      <c r="AO48" s="133"/>
      <c r="AP48" s="133"/>
      <c r="AQ48" s="133"/>
      <c r="AT48" s="133"/>
      <c r="AU48" s="133"/>
      <c r="AV48" s="133"/>
      <c r="AW48" s="133"/>
      <c r="AX48" s="133"/>
      <c r="BA48" s="133"/>
      <c r="BB48" s="133"/>
      <c r="BC48" s="133"/>
      <c r="BD48" s="133"/>
      <c r="BE48" s="133"/>
      <c r="BH48" s="133"/>
      <c r="BI48" s="133"/>
      <c r="BJ48" s="133"/>
      <c r="BK48" s="133"/>
      <c r="BL48" s="133"/>
      <c r="BO48" s="133"/>
      <c r="BP48" s="133"/>
      <c r="BQ48" s="133"/>
      <c r="BR48" s="133"/>
      <c r="BS48" s="133"/>
      <c r="BV48" s="133"/>
      <c r="BW48" s="133"/>
      <c r="BX48" s="133"/>
      <c r="BY48" s="133"/>
      <c r="BZ48" s="133"/>
      <c r="CC48" s="133"/>
      <c r="CD48" s="133"/>
      <c r="CE48" s="133"/>
      <c r="CF48" s="133"/>
      <c r="CG48" s="133"/>
      <c r="CJ48" s="133"/>
      <c r="CK48" s="133"/>
      <c r="CL48" s="133"/>
      <c r="CM48" s="133"/>
      <c r="CN48" s="133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</row>
    <row r="49" spans="2:107" ht="16" x14ac:dyDescent="0.2">
      <c r="D49" s="106"/>
      <c r="E49" s="106"/>
      <c r="F49" s="106"/>
      <c r="K49" s="106"/>
      <c r="L49" s="106"/>
      <c r="M49" s="106"/>
      <c r="P49" s="120"/>
    </row>
    <row r="50" spans="2:107" s="181" customFormat="1" ht="16" x14ac:dyDescent="0.2">
      <c r="B50" s="183" t="s">
        <v>403</v>
      </c>
      <c r="C50" s="214"/>
      <c r="D50" s="184"/>
      <c r="E50" s="185"/>
      <c r="F50" s="185"/>
      <c r="G50" s="185"/>
      <c r="I50" s="186"/>
      <c r="J50" s="186"/>
      <c r="K50" s="184"/>
      <c r="L50" s="185"/>
      <c r="M50" s="185"/>
      <c r="N50" s="185"/>
      <c r="P50" s="115"/>
      <c r="Q50" s="186"/>
      <c r="R50" s="186"/>
      <c r="S50" s="186"/>
      <c r="T50" s="186"/>
      <c r="U50" s="186"/>
      <c r="V50" s="186"/>
      <c r="Y50" s="186"/>
      <c r="Z50" s="186"/>
      <c r="AA50" s="186"/>
      <c r="AB50" s="186"/>
      <c r="AC50" s="186"/>
      <c r="AF50" s="186"/>
      <c r="AG50" s="186"/>
      <c r="AH50" s="186"/>
      <c r="AI50" s="186"/>
      <c r="AJ50" s="186"/>
      <c r="AM50" s="186"/>
      <c r="AN50" s="186"/>
      <c r="AO50" s="186"/>
      <c r="AP50" s="186"/>
      <c r="AQ50" s="186"/>
      <c r="AT50" s="186"/>
      <c r="AU50" s="186"/>
      <c r="AV50" s="186"/>
      <c r="AW50" s="186"/>
      <c r="AX50" s="186"/>
      <c r="BA50" s="186"/>
      <c r="BB50" s="186"/>
      <c r="BC50" s="186"/>
      <c r="BD50" s="186"/>
      <c r="BE50" s="186"/>
      <c r="BH50" s="186"/>
      <c r="BI50" s="186"/>
      <c r="BJ50" s="186"/>
      <c r="BK50" s="186"/>
      <c r="BL50" s="186"/>
      <c r="BO50" s="186"/>
      <c r="BP50" s="186"/>
      <c r="BQ50" s="186"/>
      <c r="BR50" s="186"/>
      <c r="BS50" s="186"/>
      <c r="BV50" s="186"/>
      <c r="BW50" s="186"/>
      <c r="BX50" s="186"/>
      <c r="BY50" s="186"/>
      <c r="BZ50" s="186"/>
      <c r="CC50" s="186"/>
      <c r="CD50" s="186"/>
      <c r="CE50" s="186"/>
      <c r="CF50" s="186"/>
      <c r="CG50" s="186"/>
      <c r="CJ50" s="186"/>
      <c r="CK50" s="186"/>
      <c r="CL50" s="186"/>
      <c r="CM50" s="186"/>
      <c r="CN50" s="186"/>
    </row>
    <row r="51" spans="2:107" x14ac:dyDescent="0.2">
      <c r="B51" s="105" t="s">
        <v>404</v>
      </c>
      <c r="D51" s="136"/>
      <c r="E51" s="136"/>
      <c r="F51" s="136"/>
      <c r="G51" s="137"/>
      <c r="H51" s="137"/>
      <c r="I51" s="137"/>
      <c r="J51" s="137">
        <f>SUM(J52:P57)</f>
        <v>44815422.289999999</v>
      </c>
      <c r="K51" s="138"/>
      <c r="L51" s="138"/>
      <c r="M51" s="138"/>
      <c r="N51" s="137"/>
      <c r="O51" s="137"/>
      <c r="P51" s="115"/>
      <c r="Q51" s="137">
        <f>SUM(Q52:W57)</f>
        <v>61166709.789999999</v>
      </c>
      <c r="R51" s="137"/>
      <c r="S51" s="137"/>
      <c r="T51" s="137"/>
      <c r="U51" s="137"/>
      <c r="V51" s="137"/>
      <c r="X51" s="137">
        <f>SUM(X52:AD57)</f>
        <v>49532372.32</v>
      </c>
      <c r="Y51" s="137"/>
      <c r="Z51" s="137"/>
      <c r="AA51" s="137"/>
      <c r="AB51" s="137"/>
      <c r="AC51" s="137"/>
      <c r="AE51" s="137">
        <f>SUM(AE52:AK57)</f>
        <v>47583850.380000003</v>
      </c>
      <c r="AF51" s="137"/>
      <c r="AG51" s="137"/>
      <c r="AH51" s="137"/>
      <c r="AI51" s="137"/>
      <c r="AJ51" s="137"/>
      <c r="AL51" s="137">
        <f>SUM(AL52:AR57)</f>
        <v>49803090.079999998</v>
      </c>
      <c r="AM51" s="137"/>
      <c r="AN51" s="137"/>
      <c r="AO51" s="137"/>
      <c r="AP51" s="137"/>
      <c r="AQ51" s="137"/>
      <c r="AS51" s="137">
        <f>SUM(AS52:AY57)</f>
        <v>55742436.600000001</v>
      </c>
      <c r="AT51" s="137"/>
      <c r="AU51" s="137"/>
      <c r="AV51" s="137"/>
      <c r="AW51" s="137"/>
      <c r="AX51" s="137"/>
      <c r="AZ51" s="137">
        <f>SUM(AZ52:BF57)</f>
        <v>61656696.080000006</v>
      </c>
      <c r="BA51" s="137"/>
      <c r="BB51" s="137"/>
      <c r="BC51" s="137"/>
      <c r="BD51" s="137"/>
      <c r="BE51" s="137"/>
      <c r="BG51" s="137">
        <f>SUM(BG52:BM57)</f>
        <v>67757086.400000006</v>
      </c>
      <c r="BH51" s="137"/>
      <c r="BI51" s="137"/>
      <c r="BJ51" s="137"/>
      <c r="BK51" s="137"/>
      <c r="BL51" s="137"/>
      <c r="BN51" s="137">
        <f>SUM(BN52:BT57)</f>
        <v>65195489.080000006</v>
      </c>
      <c r="BO51" s="137"/>
      <c r="BP51" s="137"/>
      <c r="BQ51" s="137"/>
      <c r="BR51" s="137"/>
      <c r="BS51" s="137"/>
      <c r="BU51" s="137">
        <f>SUM(BU52:CA57)</f>
        <v>69001655.650000006</v>
      </c>
      <c r="BV51" s="137"/>
      <c r="BW51" s="137"/>
      <c r="BX51" s="137"/>
      <c r="BY51" s="137"/>
      <c r="BZ51" s="137"/>
      <c r="CB51" s="137">
        <f>SUM(CB52:CH57)</f>
        <v>80370988.939999998</v>
      </c>
      <c r="CC51" s="137"/>
      <c r="CD51" s="137"/>
      <c r="CE51" s="137"/>
      <c r="CF51" s="137"/>
      <c r="CG51" s="137"/>
      <c r="CI51" s="137">
        <f>SUM(CI52:CO57)</f>
        <v>68658958.069999993</v>
      </c>
      <c r="CJ51" s="137"/>
      <c r="CK51" s="137"/>
      <c r="CL51" s="137"/>
      <c r="CM51" s="137"/>
      <c r="CN51" s="137"/>
      <c r="CP51" s="137">
        <f>CI51</f>
        <v>68658958.069999993</v>
      </c>
      <c r="CR51" s="139">
        <f>J51/J$64</f>
        <v>2.3213765030818366E-2</v>
      </c>
      <c r="CS51" s="139">
        <f>Q51/Q$64</f>
        <v>3.1417407138218244E-2</v>
      </c>
      <c r="CT51" s="139">
        <f>X51/X$64</f>
        <v>2.5594543978948458E-2</v>
      </c>
      <c r="CU51" s="139">
        <f>AE51/AE$64</f>
        <v>2.4612477781170088E-2</v>
      </c>
      <c r="CV51" s="139">
        <f>AL51/AL$64</f>
        <v>2.5730830835515774E-2</v>
      </c>
      <c r="CW51" s="139">
        <f>AS51/AS$64</f>
        <v>2.8711299227012474E-2</v>
      </c>
      <c r="CX51" s="139">
        <f>AZ51/AZ$64</f>
        <v>3.1661113306344725E-2</v>
      </c>
      <c r="CY51" s="139">
        <f>BG51/BG$64</f>
        <v>3.4685049261010216E-2</v>
      </c>
      <c r="CZ51" s="139">
        <f>BN51/BN$64</f>
        <v>3.3417580264238467E-2</v>
      </c>
      <c r="DA51" s="139">
        <f>BU51/BU$64</f>
        <v>3.5299658510229676E-2</v>
      </c>
      <c r="DB51" s="139">
        <f>CB51/CB$64</f>
        <v>4.0878188318403938E-2</v>
      </c>
      <c r="DC51" s="139">
        <f>CI51/CI$64</f>
        <v>3.5130501263430432E-2</v>
      </c>
    </row>
    <row r="52" spans="2:107" x14ac:dyDescent="0.2">
      <c r="C52" s="204" t="s">
        <v>505</v>
      </c>
      <c r="D52" s="136"/>
      <c r="E52" s="136"/>
      <c r="F52" s="136"/>
      <c r="G52" s="137"/>
      <c r="H52" s="137"/>
      <c r="I52" s="137"/>
      <c r="J52" s="137">
        <v>0</v>
      </c>
      <c r="K52" s="138"/>
      <c r="L52" s="138"/>
      <c r="M52" s="138"/>
      <c r="N52" s="137"/>
      <c r="O52" s="137"/>
      <c r="P52" s="115"/>
      <c r="Q52" s="137">
        <v>0</v>
      </c>
      <c r="R52" s="137"/>
      <c r="S52" s="137"/>
      <c r="T52" s="137"/>
      <c r="U52" s="137"/>
      <c r="V52" s="137"/>
      <c r="X52" s="137">
        <v>0</v>
      </c>
      <c r="Y52" s="137"/>
      <c r="Z52" s="137"/>
      <c r="AA52" s="137"/>
      <c r="AB52" s="137"/>
      <c r="AC52" s="137"/>
      <c r="AE52" s="137">
        <v>0</v>
      </c>
      <c r="AF52" s="137"/>
      <c r="AG52" s="137"/>
      <c r="AH52" s="137"/>
      <c r="AI52" s="137"/>
      <c r="AJ52" s="137"/>
      <c r="AL52" s="137">
        <v>0</v>
      </c>
      <c r="AM52" s="137"/>
      <c r="AN52" s="137"/>
      <c r="AO52" s="137"/>
      <c r="AP52" s="137"/>
      <c r="AQ52" s="137"/>
      <c r="AS52" s="137">
        <v>0</v>
      </c>
      <c r="AT52" s="137"/>
      <c r="AU52" s="137"/>
      <c r="AV52" s="137"/>
      <c r="AW52" s="137"/>
      <c r="AX52" s="137"/>
      <c r="AZ52" s="137">
        <v>0</v>
      </c>
      <c r="BA52" s="137"/>
      <c r="BB52" s="137"/>
      <c r="BC52" s="137"/>
      <c r="BD52" s="137"/>
      <c r="BE52" s="137"/>
      <c r="BG52" s="137">
        <v>0</v>
      </c>
      <c r="BH52" s="137"/>
      <c r="BI52" s="137"/>
      <c r="BJ52" s="137"/>
      <c r="BK52" s="137"/>
      <c r="BL52" s="137"/>
      <c r="BN52" s="137">
        <v>0</v>
      </c>
      <c r="BO52" s="137"/>
      <c r="BP52" s="137"/>
      <c r="BQ52" s="137"/>
      <c r="BR52" s="137"/>
      <c r="BS52" s="137"/>
      <c r="BU52" s="137">
        <v>0</v>
      </c>
      <c r="BV52" s="137"/>
      <c r="BW52" s="137"/>
      <c r="BX52" s="137"/>
      <c r="BY52" s="137"/>
      <c r="BZ52" s="137"/>
      <c r="CB52" s="137">
        <v>0</v>
      </c>
      <c r="CC52" s="137"/>
      <c r="CD52" s="137"/>
      <c r="CE52" s="137"/>
      <c r="CF52" s="137"/>
      <c r="CG52" s="137"/>
      <c r="CI52" s="137">
        <v>0</v>
      </c>
      <c r="CJ52" s="137"/>
      <c r="CK52" s="137"/>
      <c r="CL52" s="137"/>
      <c r="CM52" s="137"/>
      <c r="CN52" s="137"/>
      <c r="CP52" s="137">
        <f t="shared" ref="CP52:CP57" si="29">CI52</f>
        <v>0</v>
      </c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</row>
    <row r="53" spans="2:107" x14ac:dyDescent="0.2">
      <c r="C53" s="204" t="s">
        <v>127</v>
      </c>
      <c r="D53" s="136"/>
      <c r="E53" s="136"/>
      <c r="F53" s="136"/>
      <c r="G53" s="137"/>
      <c r="H53" s="137"/>
      <c r="I53" s="137"/>
      <c r="J53" s="115">
        <f>SUMIFS(Saldos!$D:$D,Saldos!$B:$B,'EEFF 2024'!J$2,Saldos!$C:$C,'EEFF 2024'!$B$1)</f>
        <v>18030501.289999999</v>
      </c>
      <c r="K53" s="138"/>
      <c r="L53" s="138"/>
      <c r="M53" s="138"/>
      <c r="N53" s="137"/>
      <c r="O53" s="137"/>
      <c r="P53" s="115"/>
      <c r="Q53" s="115">
        <f>SUMIFS(Saldos!$D:$D,Saldos!$B:$B,'EEFF 2024'!Q$2,Saldos!$C:$C,'EEFF 2024'!$B$1)</f>
        <v>30278043.789999999</v>
      </c>
      <c r="R53" s="137"/>
      <c r="S53" s="137"/>
      <c r="T53" s="137"/>
      <c r="U53" s="137"/>
      <c r="V53" s="137"/>
      <c r="X53" s="115">
        <f>SUMIFS(Saldos!$D:$D,Saldos!$B:$B,'EEFF 2024'!X$2,Saldos!$C:$C,'EEFF 2024'!$B$1)</f>
        <v>19652315.32</v>
      </c>
      <c r="Y53" s="137"/>
      <c r="Z53" s="137"/>
      <c r="AA53" s="137"/>
      <c r="AB53" s="137"/>
      <c r="AC53" s="137"/>
      <c r="AE53" s="115">
        <f>SUMIFS(Saldos!$D:$D,Saldos!$B:$B,'EEFF 2024'!AE$2,Saldos!$C:$C,'EEFF 2024'!$B$1)</f>
        <v>14509226.380000001</v>
      </c>
      <c r="AF53" s="137"/>
      <c r="AG53" s="137"/>
      <c r="AH53" s="137"/>
      <c r="AI53" s="137"/>
      <c r="AJ53" s="137"/>
      <c r="AL53" s="115">
        <f>SUMIFS(Saldos!$D:$D,Saldos!$B:$B,'EEFF 2024'!AL$2,Saldos!$C:$C,'EEFF 2024'!$B$1)</f>
        <v>11730014.08</v>
      </c>
      <c r="AM53" s="137"/>
      <c r="AN53" s="137"/>
      <c r="AO53" s="137"/>
      <c r="AP53" s="137"/>
      <c r="AQ53" s="137"/>
      <c r="AS53" s="115">
        <f>SUMIFS(Saldos!$D:$D,Saldos!$B:$B,'EEFF 2024'!AS$2,Saldos!$C:$C,'EEFF 2024'!$B$1)</f>
        <v>10659800.060000001</v>
      </c>
      <c r="AT53" s="137"/>
      <c r="AU53" s="137"/>
      <c r="AV53" s="137"/>
      <c r="AW53" s="137"/>
      <c r="AX53" s="137"/>
      <c r="AZ53" s="115">
        <f>SUMIFS(Saldos!$D:$D,Saldos!$B:$B,'EEFF 2024'!AZ$2,Saldos!$C:$C,'EEFF 2024'!$B$1)</f>
        <v>10635008.449999999</v>
      </c>
      <c r="BA53" s="137"/>
      <c r="BB53" s="137"/>
      <c r="BC53" s="137"/>
      <c r="BD53" s="137"/>
      <c r="BE53" s="137"/>
      <c r="BG53" s="115">
        <f>SUMIFS(Saldos!$D:$D,Saldos!$B:$B,'EEFF 2024'!BG$2,Saldos!$C:$C,'EEFF 2024'!$B$1)</f>
        <v>10743231.720000001</v>
      </c>
      <c r="BH53" s="137"/>
      <c r="BI53" s="137"/>
      <c r="BJ53" s="137"/>
      <c r="BK53" s="137"/>
      <c r="BL53" s="137"/>
      <c r="BN53" s="115">
        <f>SUMIFS(Saldos!$D:$D,Saldos!$B:$B,'EEFF 2024'!BN$2,Saldos!$C:$C,'EEFF 2024'!$B$1)</f>
        <v>2032157.48</v>
      </c>
      <c r="BO53" s="137"/>
      <c r="BP53" s="137"/>
      <c r="BQ53" s="137"/>
      <c r="BR53" s="137"/>
      <c r="BS53" s="137"/>
      <c r="BU53" s="115">
        <f>SUMIFS(Saldos!$D:$D,Saldos!$B:$B,'EEFF 2024'!BU$2,Saldos!$C:$C,'EEFF 2024'!$B$1)</f>
        <v>4258737.4400000004</v>
      </c>
      <c r="BV53" s="137"/>
      <c r="BW53" s="137"/>
      <c r="BX53" s="137"/>
      <c r="BY53" s="137"/>
      <c r="BZ53" s="137"/>
      <c r="CB53" s="115">
        <f>SUMIFS(Saldos!$D:$D,Saldos!$B:$B,'EEFF 2024'!CB$2,Saldos!$C:$C,'EEFF 2024'!$B$1)</f>
        <v>9433644.8399999999</v>
      </c>
      <c r="CC53" s="137"/>
      <c r="CD53" s="137"/>
      <c r="CE53" s="137"/>
      <c r="CF53" s="137"/>
      <c r="CG53" s="137"/>
      <c r="CI53" s="115">
        <f>SUMIFS(Saldos!$D:$D,Saldos!$B:$B,'EEFF 2024'!CI$2,Saldos!$C:$C,'EEFF 2024'!$B$1)</f>
        <v>16255659.83</v>
      </c>
      <c r="CJ53" s="137"/>
      <c r="CK53" s="137"/>
      <c r="CL53" s="137"/>
      <c r="CM53" s="137"/>
      <c r="CN53" s="137"/>
      <c r="CP53" s="137">
        <f t="shared" si="29"/>
        <v>16255659.83</v>
      </c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</row>
    <row r="54" spans="2:107" x14ac:dyDescent="0.2">
      <c r="C54" s="204" t="s">
        <v>118</v>
      </c>
      <c r="D54" s="136"/>
      <c r="E54" s="136"/>
      <c r="F54" s="136"/>
      <c r="G54" s="137"/>
      <c r="H54" s="137"/>
      <c r="I54" s="137"/>
      <c r="J54" s="115">
        <f>SUMIFS(Saldos!$E:$E,Saldos!$B:$B,'EEFF 2024'!J$2,Saldos!$C:$C,'EEFF 2024'!$B$1)</f>
        <v>9308818</v>
      </c>
      <c r="K54" s="138"/>
      <c r="L54" s="138"/>
      <c r="M54" s="138"/>
      <c r="N54" s="137"/>
      <c r="O54" s="137"/>
      <c r="P54" s="115"/>
      <c r="Q54" s="115">
        <f>SUMIFS(Saldos!$E:$E,Saldos!$B:$B,'EEFF 2024'!Q$2,Saldos!$C:$C,'EEFF 2024'!$B$1)</f>
        <v>10143554</v>
      </c>
      <c r="R54" s="137"/>
      <c r="S54" s="137"/>
      <c r="T54" s="137"/>
      <c r="U54" s="137"/>
      <c r="V54" s="137"/>
      <c r="X54" s="115">
        <f>SUMIFS(Saldos!$E:$E,Saldos!$B:$B,'EEFF 2024'!X$2,Saldos!$C:$C,'EEFF 2024'!$B$1)</f>
        <v>13313521</v>
      </c>
      <c r="Y54" s="137"/>
      <c r="Z54" s="137"/>
      <c r="AA54" s="137"/>
      <c r="AB54" s="137"/>
      <c r="AC54" s="137"/>
      <c r="AE54" s="115">
        <f>SUMIFS(Saldos!$E:$E,Saldos!$B:$B,'EEFF 2024'!AE$2,Saldos!$C:$C,'EEFF 2024'!$B$1)</f>
        <v>14104570</v>
      </c>
      <c r="AF54" s="137"/>
      <c r="AG54" s="137"/>
      <c r="AH54" s="137"/>
      <c r="AI54" s="137"/>
      <c r="AJ54" s="137"/>
      <c r="AL54" s="115">
        <f>SUMIFS(Saldos!$E:$E,Saldos!$B:$B,'EEFF 2024'!AL$2,Saldos!$C:$C,'EEFF 2024'!$B$1)</f>
        <v>16170566</v>
      </c>
      <c r="AM54" s="137"/>
      <c r="AN54" s="137"/>
      <c r="AO54" s="137"/>
      <c r="AP54" s="137"/>
      <c r="AQ54" s="137"/>
      <c r="AS54" s="115">
        <f>SUMIFS(Saldos!$E:$E,Saldos!$B:$B,'EEFF 2024'!AS$2,Saldos!$C:$C,'EEFF 2024'!$B$1)</f>
        <v>17394356</v>
      </c>
      <c r="AT54" s="137"/>
      <c r="AU54" s="137"/>
      <c r="AV54" s="137"/>
      <c r="AW54" s="137"/>
      <c r="AX54" s="137"/>
      <c r="AZ54" s="115">
        <f>SUMIFS(Saldos!$E:$E,Saldos!$B:$B,'EEFF 2024'!AZ$2,Saldos!$C:$C,'EEFF 2024'!$B$1)</f>
        <v>18635083</v>
      </c>
      <c r="BA54" s="137"/>
      <c r="BB54" s="137"/>
      <c r="BC54" s="137"/>
      <c r="BD54" s="137"/>
      <c r="BE54" s="137"/>
      <c r="BG54" s="115">
        <f>SUMIFS(Saldos!$E:$E,Saldos!$B:$B,'EEFF 2024'!BG$2,Saldos!$C:$C,'EEFF 2024'!$B$1)</f>
        <v>19892980</v>
      </c>
      <c r="BH54" s="137"/>
      <c r="BI54" s="137"/>
      <c r="BJ54" s="137"/>
      <c r="BK54" s="137"/>
      <c r="BL54" s="137"/>
      <c r="BN54" s="115">
        <f>SUMIFS(Saldos!$E:$E,Saldos!$B:$B,'EEFF 2024'!BN$2,Saldos!$C:$C,'EEFF 2024'!$B$1)</f>
        <v>21168286</v>
      </c>
      <c r="BO54" s="137"/>
      <c r="BP54" s="137"/>
      <c r="BQ54" s="137"/>
      <c r="BR54" s="137"/>
      <c r="BS54" s="137"/>
      <c r="BU54" s="115">
        <f>SUMIFS(Saldos!$E:$E,Saldos!$B:$B,'EEFF 2024'!BU$2,Saldos!$C:$C,'EEFF 2024'!$B$1)</f>
        <v>22464331</v>
      </c>
      <c r="BV54" s="137"/>
      <c r="BW54" s="137"/>
      <c r="BX54" s="137"/>
      <c r="BY54" s="137"/>
      <c r="BZ54" s="137"/>
      <c r="CB54" s="115">
        <f>SUMIFS(Saldos!$E:$E,Saldos!$B:$B,'EEFF 2024'!CB$2,Saldos!$C:$C,'EEFF 2024'!$B$1)</f>
        <v>23778500</v>
      </c>
      <c r="CC54" s="137"/>
      <c r="CD54" s="137"/>
      <c r="CE54" s="137"/>
      <c r="CF54" s="137"/>
      <c r="CG54" s="137"/>
      <c r="CI54" s="115">
        <f>SUMIFS(Saldos!$E:$E,Saldos!$B:$B,'EEFF 2024'!CI$2,Saldos!$C:$C,'EEFF 2024'!$B$1)</f>
        <v>1000000</v>
      </c>
      <c r="CJ54" s="137"/>
      <c r="CK54" s="137"/>
      <c r="CL54" s="137"/>
      <c r="CM54" s="137"/>
      <c r="CN54" s="137"/>
      <c r="CP54" s="137">
        <f t="shared" si="29"/>
        <v>1000000</v>
      </c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</row>
    <row r="55" spans="2:107" x14ac:dyDescent="0.2">
      <c r="C55" s="204" t="s">
        <v>515</v>
      </c>
      <c r="D55" s="136"/>
      <c r="E55" s="136"/>
      <c r="F55" s="136"/>
      <c r="G55" s="137"/>
      <c r="H55" s="137"/>
      <c r="I55" s="137"/>
      <c r="J55" s="115">
        <f>SUMIFS(Saldos!$F:$F,Saldos!$B:$B,'EEFF 2024'!J$2,Saldos!$C:$C,'EEFF 2024'!$B$1)</f>
        <v>11724854</v>
      </c>
      <c r="K55" s="138"/>
      <c r="L55" s="138"/>
      <c r="M55" s="138"/>
      <c r="N55" s="137"/>
      <c r="O55" s="137"/>
      <c r="P55" s="115"/>
      <c r="Q55" s="115">
        <f>SUMIFS(Saldos!$F:$F,Saldos!$B:$B,'EEFF 2024'!Q$2,Saldos!$C:$C,'EEFF 2024'!$B$1)</f>
        <v>12523173</v>
      </c>
      <c r="R55" s="137"/>
      <c r="S55" s="137"/>
      <c r="T55" s="137"/>
      <c r="U55" s="137"/>
      <c r="V55" s="137"/>
      <c r="X55" s="115">
        <f>SUMIFS(Saldos!$F:$F,Saldos!$B:$B,'EEFF 2024'!X$2,Saldos!$C:$C,'EEFF 2024'!$B$1)</f>
        <v>15883579</v>
      </c>
      <c r="Y55" s="137"/>
      <c r="Z55" s="137"/>
      <c r="AA55" s="137"/>
      <c r="AB55" s="137"/>
      <c r="AC55" s="137"/>
      <c r="AE55" s="115">
        <f>SUMIFS(Saldos!$F:$F,Saldos!$B:$B,'EEFF 2024'!AE$2,Saldos!$C:$C,'EEFF 2024'!$B$1)</f>
        <v>18158170</v>
      </c>
      <c r="AF55" s="137"/>
      <c r="AG55" s="137"/>
      <c r="AH55" s="137"/>
      <c r="AI55" s="137"/>
      <c r="AJ55" s="137"/>
      <c r="AL55" s="115">
        <f>SUMIFS(Saldos!$F:$F,Saldos!$B:$B,'EEFF 2024'!AL$2,Saldos!$C:$C,'EEFF 2024'!$B$1)</f>
        <v>20487828</v>
      </c>
      <c r="AM55" s="137"/>
      <c r="AN55" s="137"/>
      <c r="AO55" s="137"/>
      <c r="AP55" s="137"/>
      <c r="AQ55" s="137"/>
      <c r="AS55" s="115">
        <f>SUMIFS(Saldos!$F:$F,Saldos!$B:$B,'EEFF 2024'!AS$2,Saldos!$C:$C,'EEFF 2024'!$B$1)</f>
        <v>23131092</v>
      </c>
      <c r="AT55" s="137"/>
      <c r="AU55" s="137"/>
      <c r="AV55" s="137"/>
      <c r="AW55" s="137"/>
      <c r="AX55" s="137"/>
      <c r="AZ55" s="115">
        <f>SUMIFS(Saldos!$F:$F,Saldos!$B:$B,'EEFF 2024'!AZ$2,Saldos!$C:$C,'EEFF 2024'!$B$1)</f>
        <v>25792839</v>
      </c>
      <c r="BA55" s="137"/>
      <c r="BB55" s="137"/>
      <c r="BC55" s="137"/>
      <c r="BD55" s="137"/>
      <c r="BE55" s="137"/>
      <c r="BG55" s="115">
        <f>SUMIFS(Saldos!$F:$F,Saldos!$B:$B,'EEFF 2024'!BG$2,Saldos!$C:$C,'EEFF 2024'!$B$1)</f>
        <v>28473199</v>
      </c>
      <c r="BH55" s="137"/>
      <c r="BI55" s="137"/>
      <c r="BJ55" s="137"/>
      <c r="BK55" s="137"/>
      <c r="BL55" s="137"/>
      <c r="BN55" s="115">
        <f>SUMIFS(Saldos!$F:$F,Saldos!$B:$B,'EEFF 2024'!BN$2,Saldos!$C:$C,'EEFF 2024'!$B$1)</f>
        <v>31283302</v>
      </c>
      <c r="BO55" s="137"/>
      <c r="BP55" s="137"/>
      <c r="BQ55" s="137"/>
      <c r="BR55" s="137"/>
      <c r="BS55" s="137"/>
      <c r="BU55" s="115">
        <f>SUMIFS(Saldos!$F:$F,Saldos!$B:$B,'EEFF 2024'!BU$2,Saldos!$C:$C,'EEFF 2024'!$B$1)</f>
        <v>34002055</v>
      </c>
      <c r="BV55" s="137"/>
      <c r="BW55" s="137"/>
      <c r="BX55" s="137"/>
      <c r="BY55" s="137"/>
      <c r="BZ55" s="137"/>
      <c r="CB55" s="115">
        <f>SUMIFS(Saldos!$F:$F,Saldos!$B:$B,'EEFF 2024'!CB$2,Saldos!$C:$C,'EEFF 2024'!$B$1)</f>
        <v>36739819</v>
      </c>
      <c r="CC55" s="137"/>
      <c r="CD55" s="137"/>
      <c r="CE55" s="137"/>
      <c r="CF55" s="137"/>
      <c r="CG55" s="137"/>
      <c r="CI55" s="115">
        <f>SUMIFS(Saldos!$F:$F,Saldos!$B:$B,'EEFF 2024'!CI$2,Saldos!$C:$C,'EEFF 2024'!$B$1)</f>
        <v>39496727</v>
      </c>
      <c r="CJ55" s="137"/>
      <c r="CK55" s="137"/>
      <c r="CL55" s="137"/>
      <c r="CM55" s="137"/>
      <c r="CN55" s="137"/>
      <c r="CP55" s="137">
        <f t="shared" si="29"/>
        <v>39496727</v>
      </c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</row>
    <row r="56" spans="2:107" x14ac:dyDescent="0.2">
      <c r="C56" s="204" t="s">
        <v>516</v>
      </c>
      <c r="D56" s="136"/>
      <c r="E56" s="136"/>
      <c r="F56" s="136"/>
      <c r="G56" s="137"/>
      <c r="H56" s="137"/>
      <c r="I56" s="137"/>
      <c r="J56" s="115">
        <f>SUMIFS(Saldos!$H:$H,Saldos!$B:$B,'EEFF 2024'!J$2,Saldos!$C:$C,'EEFF 2024'!$B$1)</f>
        <v>0</v>
      </c>
      <c r="K56" s="138"/>
      <c r="L56" s="138"/>
      <c r="M56" s="138"/>
      <c r="N56" s="137"/>
      <c r="O56" s="137"/>
      <c r="P56" s="115"/>
      <c r="Q56" s="115">
        <f>SUMIFS(Saldos!$H:$H,Saldos!$B:$B,'EEFF 2024'!Q$2,Saldos!$C:$C,'EEFF 2024'!$B$1)</f>
        <v>0</v>
      </c>
      <c r="R56" s="137"/>
      <c r="S56" s="137"/>
      <c r="T56" s="137"/>
      <c r="U56" s="137"/>
      <c r="V56" s="137"/>
      <c r="X56" s="115">
        <f>SUMIFS(Saldos!$H:$H,Saldos!$B:$B,'EEFF 2024'!X$2,Saldos!$C:$C,'EEFF 2024'!$B$1)</f>
        <v>0</v>
      </c>
      <c r="Y56" s="137"/>
      <c r="Z56" s="137"/>
      <c r="AA56" s="137"/>
      <c r="AB56" s="137"/>
      <c r="AC56" s="137"/>
      <c r="AE56" s="115">
        <f>SUMIFS(Saldos!$H:$H,Saldos!$B:$B,'EEFF 2024'!AE$2,Saldos!$C:$C,'EEFF 2024'!$B$1)</f>
        <v>0</v>
      </c>
      <c r="AF56" s="137"/>
      <c r="AG56" s="137"/>
      <c r="AH56" s="137"/>
      <c r="AI56" s="137"/>
      <c r="AJ56" s="137"/>
      <c r="AL56" s="115">
        <f>SUMIFS(Saldos!$H:$H,Saldos!$B:$B,'EEFF 2024'!AL$2,Saldos!$C:$C,'EEFF 2024'!$B$1)</f>
        <v>0</v>
      </c>
      <c r="AM56" s="137"/>
      <c r="AN56" s="137"/>
      <c r="AO56" s="137"/>
      <c r="AP56" s="137"/>
      <c r="AQ56" s="137"/>
      <c r="AS56" s="115">
        <f>SUMIFS(Saldos!$H:$H,Saldos!$B:$B,'EEFF 2024'!AS$2,Saldos!$C:$C,'EEFF 2024'!$B$1)</f>
        <v>519717.54</v>
      </c>
      <c r="AT56" s="137"/>
      <c r="AU56" s="137"/>
      <c r="AV56" s="137"/>
      <c r="AW56" s="137"/>
      <c r="AX56" s="137"/>
      <c r="AZ56" s="115">
        <f>SUMIFS(Saldos!$H:$H,Saldos!$B:$B,'EEFF 2024'!AZ$2,Saldos!$C:$C,'EEFF 2024'!$B$1)</f>
        <v>1528356.63</v>
      </c>
      <c r="BA56" s="137"/>
      <c r="BB56" s="137"/>
      <c r="BC56" s="137"/>
      <c r="BD56" s="137"/>
      <c r="BE56" s="137"/>
      <c r="BG56" s="115">
        <f>SUMIFS(Saldos!$H:$H,Saldos!$B:$B,'EEFF 2024'!BG$2,Saldos!$C:$C,'EEFF 2024'!$B$1)</f>
        <v>2547215.6800000002</v>
      </c>
      <c r="BH56" s="137"/>
      <c r="BI56" s="137"/>
      <c r="BJ56" s="137"/>
      <c r="BK56" s="137"/>
      <c r="BL56" s="137"/>
      <c r="BN56" s="115">
        <f>SUMIFS(Saldos!$H:$H,Saldos!$B:$B,'EEFF 2024'!BN$2,Saldos!$C:$C,'EEFF 2024'!$B$1)</f>
        <v>3569070.6</v>
      </c>
      <c r="BO56" s="137"/>
      <c r="BP56" s="137"/>
      <c r="BQ56" s="137"/>
      <c r="BR56" s="137"/>
      <c r="BS56" s="137"/>
      <c r="BU56" s="115">
        <f>SUMIFS(Saldos!$H:$H,Saldos!$B:$B,'EEFF 2024'!BU$2,Saldos!$C:$C,'EEFF 2024'!$B$1)</f>
        <v>3584434.21</v>
      </c>
      <c r="BV56" s="137"/>
      <c r="BW56" s="137"/>
      <c r="BX56" s="137"/>
      <c r="BY56" s="137"/>
      <c r="BZ56" s="137"/>
      <c r="CB56" s="115">
        <f>SUMIFS(Saldos!$H:$H,Saldos!$B:$B,'EEFF 2024'!CB$2,Saldos!$C:$C,'EEFF 2024'!$B$1)</f>
        <v>5119025.0999999996</v>
      </c>
      <c r="CC56" s="137"/>
      <c r="CD56" s="137"/>
      <c r="CE56" s="137"/>
      <c r="CF56" s="137"/>
      <c r="CG56" s="137"/>
      <c r="CI56" s="115">
        <f>SUMIFS(Saldos!$H:$H,Saldos!$B:$B,'EEFF 2024'!CI$2,Saldos!$C:$C,'EEFF 2024'!$B$1)</f>
        <v>5145331.24</v>
      </c>
      <c r="CJ56" s="137"/>
      <c r="CK56" s="137"/>
      <c r="CL56" s="137"/>
      <c r="CM56" s="137"/>
      <c r="CN56" s="137"/>
      <c r="CP56" s="137">
        <f t="shared" si="29"/>
        <v>5145331.24</v>
      </c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</row>
    <row r="57" spans="2:107" x14ac:dyDescent="0.2">
      <c r="C57" s="204" t="s">
        <v>126</v>
      </c>
      <c r="D57" s="136"/>
      <c r="E57" s="136"/>
      <c r="F57" s="136"/>
      <c r="G57" s="137"/>
      <c r="H57" s="137"/>
      <c r="I57" s="137"/>
      <c r="J57" s="115">
        <f>SUMIFS(Saldos!$I:$I,Saldos!$B:$B,'EEFF 2024'!J$2,Saldos!$C:$C,'EEFF 2024'!$B$1)</f>
        <v>5751249</v>
      </c>
      <c r="K57" s="138"/>
      <c r="L57" s="138"/>
      <c r="M57" s="138"/>
      <c r="N57" s="137"/>
      <c r="O57" s="137"/>
      <c r="P57" s="115"/>
      <c r="Q57" s="115">
        <f>SUMIFS(Saldos!$I:$I,Saldos!$B:$B,'EEFF 2024'!Q$2,Saldos!$C:$C,'EEFF 2024'!$B$1)</f>
        <v>8221939</v>
      </c>
      <c r="R57" s="137"/>
      <c r="S57" s="137"/>
      <c r="T57" s="137"/>
      <c r="U57" s="137"/>
      <c r="V57" s="137"/>
      <c r="X57" s="115">
        <f>SUMIFS(Saldos!$I:$I,Saldos!$B:$B,'EEFF 2024'!X$2,Saldos!$C:$C,'EEFF 2024'!$B$1)</f>
        <v>682957</v>
      </c>
      <c r="Y57" s="137"/>
      <c r="Z57" s="137"/>
      <c r="AA57" s="137"/>
      <c r="AB57" s="137"/>
      <c r="AC57" s="137"/>
      <c r="AE57" s="115">
        <f>SUMIFS(Saldos!$I:$I,Saldos!$B:$B,'EEFF 2024'!AE$2,Saldos!$C:$C,'EEFF 2024'!$B$1)</f>
        <v>811884</v>
      </c>
      <c r="AF57" s="137"/>
      <c r="AG57" s="137"/>
      <c r="AH57" s="137"/>
      <c r="AI57" s="137"/>
      <c r="AJ57" s="137"/>
      <c r="AL57" s="115">
        <f>SUMIFS(Saldos!$I:$I,Saldos!$B:$B,'EEFF 2024'!AL$2,Saldos!$C:$C,'EEFF 2024'!$B$1)</f>
        <v>1414682</v>
      </c>
      <c r="AM57" s="137"/>
      <c r="AN57" s="137"/>
      <c r="AO57" s="137"/>
      <c r="AP57" s="137"/>
      <c r="AQ57" s="137"/>
      <c r="AS57" s="115">
        <f>SUMIFS(Saldos!$I:$I,Saldos!$B:$B,'EEFF 2024'!AS$2,Saldos!$C:$C,'EEFF 2024'!$B$1)</f>
        <v>4037471</v>
      </c>
      <c r="AT57" s="137"/>
      <c r="AU57" s="137"/>
      <c r="AV57" s="137"/>
      <c r="AW57" s="137"/>
      <c r="AX57" s="137"/>
      <c r="AZ57" s="115">
        <f>SUMIFS(Saldos!$I:$I,Saldos!$B:$B,'EEFF 2024'!AZ$2,Saldos!$C:$C,'EEFF 2024'!$B$1)</f>
        <v>5065409</v>
      </c>
      <c r="BA57" s="137"/>
      <c r="BB57" s="137"/>
      <c r="BC57" s="137"/>
      <c r="BD57" s="137"/>
      <c r="BE57" s="137"/>
      <c r="BG57" s="115">
        <f>SUMIFS(Saldos!$I:$I,Saldos!$B:$B,'EEFF 2024'!BG$2,Saldos!$C:$C,'EEFF 2024'!$B$1)</f>
        <v>6100460</v>
      </c>
      <c r="BH57" s="137"/>
      <c r="BI57" s="137"/>
      <c r="BJ57" s="137"/>
      <c r="BK57" s="137"/>
      <c r="BL57" s="137"/>
      <c r="BN57" s="115">
        <f>SUMIFS(Saldos!$I:$I,Saldos!$B:$B,'EEFF 2024'!BN$2,Saldos!$C:$C,'EEFF 2024'!$B$1)</f>
        <v>7142673</v>
      </c>
      <c r="BO57" s="137"/>
      <c r="BP57" s="137"/>
      <c r="BQ57" s="137"/>
      <c r="BR57" s="137"/>
      <c r="BS57" s="137"/>
      <c r="BU57" s="115">
        <f>SUMIFS(Saldos!$I:$I,Saldos!$B:$B,'EEFF 2024'!BU$2,Saldos!$C:$C,'EEFF 2024'!$B$1)</f>
        <v>4692098</v>
      </c>
      <c r="BV57" s="137"/>
      <c r="BW57" s="137"/>
      <c r="BX57" s="137"/>
      <c r="BY57" s="137"/>
      <c r="BZ57" s="137"/>
      <c r="CB57" s="115">
        <f>SUMIFS(Saldos!$I:$I,Saldos!$B:$B,'EEFF 2024'!CB$2,Saldos!$C:$C,'EEFF 2024'!$B$1)</f>
        <v>5300000</v>
      </c>
      <c r="CC57" s="137"/>
      <c r="CD57" s="137"/>
      <c r="CE57" s="137"/>
      <c r="CF57" s="137"/>
      <c r="CG57" s="137"/>
      <c r="CI57" s="115">
        <f>SUMIFS(Saldos!$I:$I,Saldos!$B:$B,'EEFF 2024'!CI$2,Saldos!$C:$C,'EEFF 2024'!$B$1)</f>
        <v>6761240</v>
      </c>
      <c r="CJ57" s="137"/>
      <c r="CK57" s="137"/>
      <c r="CL57" s="137"/>
      <c r="CM57" s="137"/>
      <c r="CN57" s="137"/>
      <c r="CP57" s="137">
        <f t="shared" si="29"/>
        <v>6761240</v>
      </c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</row>
    <row r="58" spans="2:107" x14ac:dyDescent="0.2">
      <c r="B58" s="105" t="s">
        <v>405</v>
      </c>
      <c r="D58" s="136"/>
      <c r="E58" s="136"/>
      <c r="F58" s="136"/>
      <c r="G58" s="133"/>
      <c r="H58" s="133"/>
      <c r="I58" s="133"/>
      <c r="K58" s="138"/>
      <c r="L58" s="138"/>
      <c r="M58" s="138"/>
      <c r="N58" s="133"/>
      <c r="O58" s="133"/>
      <c r="P58" s="115"/>
      <c r="R58" s="133"/>
      <c r="S58" s="133"/>
      <c r="T58" s="133"/>
      <c r="U58" s="133"/>
      <c r="V58" s="133"/>
      <c r="Y58" s="133"/>
      <c r="Z58" s="133"/>
      <c r="AA58" s="133"/>
      <c r="AB58" s="133"/>
      <c r="AC58" s="133"/>
      <c r="AF58" s="133"/>
      <c r="AG58" s="133"/>
      <c r="AH58" s="133"/>
      <c r="AI58" s="133"/>
      <c r="AJ58" s="133"/>
      <c r="AM58" s="133"/>
      <c r="AN58" s="133"/>
      <c r="AO58" s="133"/>
      <c r="AP58" s="133"/>
      <c r="AQ58" s="133"/>
      <c r="AT58" s="133"/>
      <c r="AU58" s="133"/>
      <c r="AV58" s="133"/>
      <c r="AW58" s="133"/>
      <c r="AX58" s="133"/>
      <c r="BA58" s="133"/>
      <c r="BB58" s="133"/>
      <c r="BC58" s="133"/>
      <c r="BD58" s="133"/>
      <c r="BE58" s="133"/>
      <c r="BH58" s="133"/>
      <c r="BI58" s="133"/>
      <c r="BJ58" s="133"/>
      <c r="BK58" s="133"/>
      <c r="BL58" s="133"/>
      <c r="BO58" s="133"/>
      <c r="BP58" s="133"/>
      <c r="BQ58" s="133"/>
      <c r="BR58" s="133"/>
      <c r="BS58" s="133"/>
      <c r="BV58" s="133"/>
      <c r="BW58" s="133"/>
      <c r="BX58" s="133"/>
      <c r="BY58" s="133"/>
      <c r="BZ58" s="133"/>
      <c r="CC58" s="133"/>
      <c r="CD58" s="133"/>
      <c r="CE58" s="133"/>
      <c r="CF58" s="133"/>
      <c r="CG58" s="133"/>
      <c r="CJ58" s="133"/>
      <c r="CK58" s="133"/>
      <c r="CL58" s="133"/>
      <c r="CM58" s="133"/>
      <c r="CN58" s="133"/>
      <c r="CR58" s="139">
        <f>J58/J$64</f>
        <v>0</v>
      </c>
      <c r="CS58" s="139">
        <f>Q58/Q$64</f>
        <v>0</v>
      </c>
      <c r="CT58" s="139">
        <f>X58/X$64</f>
        <v>0</v>
      </c>
      <c r="CU58" s="139">
        <f>AE58/AE$64</f>
        <v>0</v>
      </c>
      <c r="CV58" s="139">
        <f>AL58/AL$64</f>
        <v>0</v>
      </c>
      <c r="CW58" s="139">
        <f>AS58/AS$64</f>
        <v>0</v>
      </c>
      <c r="CX58" s="139">
        <f>AZ58/AZ$64</f>
        <v>0</v>
      </c>
      <c r="CY58" s="139">
        <f>BG58/BG$64</f>
        <v>0</v>
      </c>
      <c r="CZ58" s="139">
        <f>BN58/BN$64</f>
        <v>0</v>
      </c>
      <c r="DA58" s="139">
        <f>BU58/BU$64</f>
        <v>0</v>
      </c>
      <c r="DB58" s="139">
        <f>CB58/CB$64</f>
        <v>0</v>
      </c>
      <c r="DC58" s="139">
        <f>CI58/CI$64</f>
        <v>0</v>
      </c>
    </row>
    <row r="59" spans="2:107" x14ac:dyDescent="0.2">
      <c r="B59" s="105" t="s">
        <v>406</v>
      </c>
      <c r="D59" s="136"/>
      <c r="E59" s="136"/>
      <c r="F59" s="136"/>
      <c r="G59" s="133"/>
      <c r="H59" s="133"/>
      <c r="I59" s="133"/>
      <c r="K59" s="138"/>
      <c r="L59" s="138"/>
      <c r="M59" s="138"/>
      <c r="N59" s="133"/>
      <c r="O59" s="133"/>
      <c r="P59" s="115"/>
      <c r="R59" s="133"/>
      <c r="S59" s="133"/>
      <c r="T59" s="133"/>
      <c r="U59" s="133"/>
      <c r="V59" s="133"/>
      <c r="Y59" s="133"/>
      <c r="Z59" s="133"/>
      <c r="AA59" s="133"/>
      <c r="AB59" s="133"/>
      <c r="AC59" s="133"/>
      <c r="AF59" s="133"/>
      <c r="AG59" s="133"/>
      <c r="AH59" s="133"/>
      <c r="AI59" s="133"/>
      <c r="AJ59" s="133"/>
      <c r="AM59" s="133"/>
      <c r="AN59" s="133"/>
      <c r="AO59" s="133"/>
      <c r="AP59" s="133"/>
      <c r="AQ59" s="133"/>
      <c r="AT59" s="133"/>
      <c r="AU59" s="133"/>
      <c r="AV59" s="133"/>
      <c r="AW59" s="133"/>
      <c r="AX59" s="133"/>
      <c r="BA59" s="133"/>
      <c r="BB59" s="133"/>
      <c r="BC59" s="133"/>
      <c r="BD59" s="133"/>
      <c r="BE59" s="133"/>
      <c r="BH59" s="133"/>
      <c r="BI59" s="133"/>
      <c r="BJ59" s="133"/>
      <c r="BK59" s="133"/>
      <c r="BL59" s="133"/>
      <c r="BO59" s="133"/>
      <c r="BP59" s="133"/>
      <c r="BQ59" s="133"/>
      <c r="BR59" s="133"/>
      <c r="BS59" s="133"/>
      <c r="BV59" s="133"/>
      <c r="BW59" s="133"/>
      <c r="BX59" s="133"/>
      <c r="BY59" s="133"/>
      <c r="BZ59" s="133"/>
      <c r="CC59" s="133"/>
      <c r="CD59" s="133"/>
      <c r="CE59" s="133"/>
      <c r="CF59" s="133"/>
      <c r="CG59" s="133"/>
      <c r="CJ59" s="133"/>
      <c r="CK59" s="133"/>
      <c r="CL59" s="133"/>
      <c r="CM59" s="133"/>
      <c r="CN59" s="133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</row>
    <row r="60" spans="2:107" ht="16" x14ac:dyDescent="0.2">
      <c r="B60" s="105" t="s">
        <v>407</v>
      </c>
      <c r="D60" s="136"/>
      <c r="E60" s="136"/>
      <c r="F60" s="136"/>
      <c r="G60" s="140"/>
      <c r="H60" s="140"/>
      <c r="I60" s="140"/>
      <c r="K60" s="138"/>
      <c r="L60" s="138"/>
      <c r="M60" s="138"/>
      <c r="N60" s="140"/>
      <c r="O60" s="140"/>
      <c r="P60" s="120"/>
      <c r="R60" s="140"/>
      <c r="S60" s="140"/>
      <c r="T60" s="140"/>
      <c r="U60" s="140"/>
      <c r="V60" s="140"/>
      <c r="Y60" s="140"/>
      <c r="Z60" s="140"/>
      <c r="AA60" s="140"/>
      <c r="AB60" s="140"/>
      <c r="AC60" s="140"/>
      <c r="AF60" s="140"/>
      <c r="AG60" s="140"/>
      <c r="AH60" s="140"/>
      <c r="AI60" s="140"/>
      <c r="AJ60" s="140"/>
      <c r="AM60" s="140"/>
      <c r="AN60" s="140"/>
      <c r="AO60" s="140"/>
      <c r="AP60" s="140"/>
      <c r="AQ60" s="140"/>
      <c r="AT60" s="140"/>
      <c r="AU60" s="140"/>
      <c r="AV60" s="140"/>
      <c r="AW60" s="140"/>
      <c r="AX60" s="140"/>
      <c r="BA60" s="140"/>
      <c r="BB60" s="140"/>
      <c r="BC60" s="140"/>
      <c r="BD60" s="140"/>
      <c r="BE60" s="140"/>
      <c r="BH60" s="140"/>
      <c r="BI60" s="140"/>
      <c r="BJ60" s="140"/>
      <c r="BK60" s="140"/>
      <c r="BL60" s="140"/>
      <c r="BO60" s="140"/>
      <c r="BP60" s="140"/>
      <c r="BQ60" s="140"/>
      <c r="BR60" s="140"/>
      <c r="BS60" s="140"/>
      <c r="BV60" s="140"/>
      <c r="BW60" s="140"/>
      <c r="BX60" s="140"/>
      <c r="BY60" s="140"/>
      <c r="BZ60" s="140"/>
      <c r="CC60" s="140"/>
      <c r="CD60" s="140"/>
      <c r="CE60" s="140"/>
      <c r="CF60" s="140"/>
      <c r="CG60" s="140"/>
      <c r="CJ60" s="140"/>
      <c r="CK60" s="140"/>
      <c r="CL60" s="140"/>
      <c r="CM60" s="140"/>
      <c r="CN60" s="140"/>
      <c r="CR60" s="139">
        <f>J60/J$64</f>
        <v>0</v>
      </c>
      <c r="CS60" s="139">
        <f>Q60/Q$64</f>
        <v>0</v>
      </c>
      <c r="CT60" s="139">
        <f>X60/X$64</f>
        <v>0</v>
      </c>
      <c r="CU60" s="139">
        <f>AE60/AE$64</f>
        <v>0</v>
      </c>
      <c r="CV60" s="139">
        <f>AL60/AL$64</f>
        <v>0</v>
      </c>
      <c r="CW60" s="139">
        <f>AS60/AS$64</f>
        <v>0</v>
      </c>
      <c r="CX60" s="139">
        <f>AZ60/AZ$64</f>
        <v>0</v>
      </c>
      <c r="CY60" s="139">
        <f>BG60/BG$64</f>
        <v>0</v>
      </c>
      <c r="CZ60" s="139">
        <f>BN60/BN$64</f>
        <v>0</v>
      </c>
      <c r="DA60" s="139">
        <f t="shared" ref="DA60:DA80" si="30">BU60/BU$64</f>
        <v>0</v>
      </c>
      <c r="DB60" s="139">
        <f t="shared" ref="DB60:DB80" si="31">CB60/CB$64</f>
        <v>0</v>
      </c>
      <c r="DC60" s="139">
        <f t="shared" ref="DC60:DC80" si="32">CI60/CI$64</f>
        <v>0</v>
      </c>
    </row>
    <row r="61" spans="2:107" ht="16" x14ac:dyDescent="0.2">
      <c r="B61" s="141" t="s">
        <v>408</v>
      </c>
      <c r="C61" s="207"/>
      <c r="D61" s="142"/>
      <c r="E61" s="142"/>
      <c r="F61" s="142"/>
      <c r="G61" s="142"/>
      <c r="H61" s="142"/>
      <c r="I61" s="142"/>
      <c r="J61" s="142">
        <f>SUM(J58:J60)+J51</f>
        <v>44815422.289999999</v>
      </c>
      <c r="K61" s="142"/>
      <c r="L61" s="142"/>
      <c r="M61" s="142"/>
      <c r="N61" s="142"/>
      <c r="O61" s="142"/>
      <c r="P61" s="142"/>
      <c r="Q61" s="142">
        <f>SUM(Q58:Q60)+Q51</f>
        <v>61166709.789999999</v>
      </c>
      <c r="R61" s="142"/>
      <c r="S61" s="142"/>
      <c r="T61" s="142"/>
      <c r="U61" s="142"/>
      <c r="V61" s="142"/>
      <c r="W61" s="142"/>
      <c r="X61" s="142">
        <f>SUM(X58:X60)+X51</f>
        <v>49532372.32</v>
      </c>
      <c r="Y61" s="142"/>
      <c r="Z61" s="142"/>
      <c r="AA61" s="142"/>
      <c r="AB61" s="142"/>
      <c r="AC61" s="142"/>
      <c r="AD61" s="142"/>
      <c r="AE61" s="142">
        <f>SUM(AE58:AE60)+AE51</f>
        <v>47583850.380000003</v>
      </c>
      <c r="AF61" s="142"/>
      <c r="AG61" s="142"/>
      <c r="AH61" s="142"/>
      <c r="AI61" s="142"/>
      <c r="AJ61" s="142"/>
      <c r="AK61" s="142"/>
      <c r="AL61" s="142">
        <f>SUM(AL58:AL60)+AL51</f>
        <v>49803090.079999998</v>
      </c>
      <c r="AM61" s="142"/>
      <c r="AN61" s="142"/>
      <c r="AO61" s="142"/>
      <c r="AP61" s="142"/>
      <c r="AQ61" s="142"/>
      <c r="AR61" s="142"/>
      <c r="AS61" s="142">
        <f>SUM(AS58:AS60)+AS51</f>
        <v>55742436.600000001</v>
      </c>
      <c r="AT61" s="142"/>
      <c r="AU61" s="142"/>
      <c r="AV61" s="142"/>
      <c r="AW61" s="142"/>
      <c r="AX61" s="142"/>
      <c r="AY61" s="142"/>
      <c r="AZ61" s="142">
        <f>SUM(AZ58:AZ60)+AZ51</f>
        <v>61656696.080000006</v>
      </c>
      <c r="BA61" s="142"/>
      <c r="BB61" s="142"/>
      <c r="BC61" s="142"/>
      <c r="BD61" s="142"/>
      <c r="BE61" s="142"/>
      <c r="BF61" s="142"/>
      <c r="BG61" s="142">
        <f>SUM(BG58:BG60)+BG51</f>
        <v>67757086.400000006</v>
      </c>
      <c r="BH61" s="142"/>
      <c r="BI61" s="142"/>
      <c r="BJ61" s="142"/>
      <c r="BK61" s="142"/>
      <c r="BL61" s="142"/>
      <c r="BM61" s="142"/>
      <c r="BN61" s="142">
        <f>SUM(BN58:BN60)+BN51</f>
        <v>65195489.080000006</v>
      </c>
      <c r="BO61" s="142"/>
      <c r="BP61" s="142"/>
      <c r="BQ61" s="142"/>
      <c r="BR61" s="142"/>
      <c r="BS61" s="142"/>
      <c r="BT61" s="142"/>
      <c r="BU61" s="142">
        <f>SUM(BU58:BU60)+BU51</f>
        <v>69001655.650000006</v>
      </c>
      <c r="BV61" s="142"/>
      <c r="BW61" s="142"/>
      <c r="BX61" s="142"/>
      <c r="BY61" s="142"/>
      <c r="BZ61" s="142"/>
      <c r="CA61" s="142"/>
      <c r="CB61" s="142">
        <f>SUM(CB58:CB60)+CB51</f>
        <v>80370988.939999998</v>
      </c>
      <c r="CC61" s="142"/>
      <c r="CD61" s="142"/>
      <c r="CE61" s="142"/>
      <c r="CF61" s="142"/>
      <c r="CG61" s="142"/>
      <c r="CH61" s="142"/>
      <c r="CI61" s="142">
        <f>SUM(CI58:CI60)+CI51</f>
        <v>68658958.069999993</v>
      </c>
      <c r="CJ61" s="142"/>
      <c r="CK61" s="142"/>
      <c r="CL61" s="142"/>
      <c r="CM61" s="142"/>
      <c r="CN61" s="142"/>
      <c r="CO61" s="142"/>
      <c r="CP61" s="142">
        <f>SUM(CP58:CP60)+CP51</f>
        <v>68658958.069999993</v>
      </c>
      <c r="CR61" s="145">
        <f t="shared" ref="CR61:CR80" si="33">J61/J$64</f>
        <v>2.3213765030818366E-2</v>
      </c>
      <c r="CS61" s="145">
        <f t="shared" ref="CS61:CS80" si="34">Q61/Q$64</f>
        <v>3.1417407138218244E-2</v>
      </c>
      <c r="CT61" s="145">
        <f t="shared" ref="CT61:CT80" si="35">X61/X$64</f>
        <v>2.5594543978948458E-2</v>
      </c>
      <c r="CU61" s="145">
        <f t="shared" ref="CU61:CU80" si="36">AE61/AE$64</f>
        <v>2.4612477781170088E-2</v>
      </c>
      <c r="CV61" s="145">
        <f t="shared" ref="CV61:CV80" si="37">AL61/AL$64</f>
        <v>2.5730830835515774E-2</v>
      </c>
      <c r="CW61" s="145">
        <f t="shared" ref="CW61:CW80" si="38">AS61/AS$64</f>
        <v>2.8711299227012474E-2</v>
      </c>
      <c r="CX61" s="145">
        <f t="shared" ref="CX61:CX80" si="39">AZ61/AZ$64</f>
        <v>3.1661113306344725E-2</v>
      </c>
      <c r="CY61" s="145">
        <f t="shared" ref="CY61:CY80" si="40">BG61/BG$64</f>
        <v>3.4685049261010216E-2</v>
      </c>
      <c r="CZ61" s="145">
        <f t="shared" ref="CZ61:CZ80" si="41">BN61/BN$64</f>
        <v>3.3417580264238467E-2</v>
      </c>
      <c r="DA61" s="145">
        <f t="shared" si="30"/>
        <v>3.5299658510229676E-2</v>
      </c>
      <c r="DB61" s="145">
        <f t="shared" si="31"/>
        <v>4.0878188318403938E-2</v>
      </c>
      <c r="DC61" s="145">
        <f t="shared" si="32"/>
        <v>3.5130501263430432E-2</v>
      </c>
    </row>
    <row r="62" spans="2:107" x14ac:dyDescent="0.2">
      <c r="B62" s="147" t="s">
        <v>409</v>
      </c>
      <c r="C62" s="208"/>
      <c r="D62" s="148">
        <f>Activos!$H$129</f>
        <v>269047800</v>
      </c>
      <c r="E62" s="148">
        <f>Activos!$H$110</f>
        <v>993789999.99999988</v>
      </c>
      <c r="F62" s="148">
        <f>Activos!$H$34</f>
        <v>239852199.99999997</v>
      </c>
      <c r="G62" s="148">
        <f>Activos!$H$91</f>
        <v>56763000</v>
      </c>
      <c r="H62" s="148">
        <f>Activos!$H$53</f>
        <v>215607000</v>
      </c>
      <c r="I62" s="148">
        <f>Activos!$H$72</f>
        <v>110678377.59999999</v>
      </c>
      <c r="J62" s="148">
        <f>SUM(D62:I62)</f>
        <v>1885738377.5999999</v>
      </c>
      <c r="K62" s="148">
        <f>Activos!$H$129</f>
        <v>269047800</v>
      </c>
      <c r="L62" s="148">
        <f>Activos!$H$110</f>
        <v>993789999.99999988</v>
      </c>
      <c r="M62" s="148">
        <f>Activos!$H$34</f>
        <v>239852199.99999997</v>
      </c>
      <c r="N62" s="148">
        <f>Activos!$H$91</f>
        <v>56763000</v>
      </c>
      <c r="O62" s="148">
        <f>Activos!$H$53</f>
        <v>215607000</v>
      </c>
      <c r="P62" s="148">
        <f>Activos!$H$72</f>
        <v>110678377.59999999</v>
      </c>
      <c r="Q62" s="148">
        <f>SUM(K62:P62)</f>
        <v>1885738377.5999999</v>
      </c>
      <c r="R62" s="148">
        <f>Activos!$H$129</f>
        <v>269047800</v>
      </c>
      <c r="S62" s="148">
        <f>Activos!$H$110</f>
        <v>993789999.99999988</v>
      </c>
      <c r="T62" s="148">
        <f>Activos!$H$34</f>
        <v>239852199.99999997</v>
      </c>
      <c r="U62" s="148">
        <f>Activos!$H$91</f>
        <v>56763000</v>
      </c>
      <c r="V62" s="148">
        <f>Activos!$H$53</f>
        <v>215607000</v>
      </c>
      <c r="W62" s="148">
        <f>Activos!$H$72</f>
        <v>110678377.59999999</v>
      </c>
      <c r="X62" s="148">
        <f>SUM(R62:W62)</f>
        <v>1885738377.5999999</v>
      </c>
      <c r="Y62" s="148">
        <f>Activos!$H$129</f>
        <v>269047800</v>
      </c>
      <c r="Z62" s="148">
        <f>Activos!$H$110</f>
        <v>993789999.99999988</v>
      </c>
      <c r="AA62" s="148">
        <f>Activos!$H$34</f>
        <v>239852199.99999997</v>
      </c>
      <c r="AB62" s="148">
        <f>Activos!$H$91</f>
        <v>56763000</v>
      </c>
      <c r="AC62" s="148">
        <f>Activos!$H$53</f>
        <v>215607000</v>
      </c>
      <c r="AD62" s="148">
        <f>Activos!$H$72</f>
        <v>110678377.59999999</v>
      </c>
      <c r="AE62" s="148">
        <f>SUM(Y62:AD62)</f>
        <v>1885738377.5999999</v>
      </c>
      <c r="AF62" s="148">
        <f>Activos!$H$129</f>
        <v>269047800</v>
      </c>
      <c r="AG62" s="148">
        <f>Activos!$H$110</f>
        <v>993789999.99999988</v>
      </c>
      <c r="AH62" s="148">
        <f>Activos!$H$34</f>
        <v>239852199.99999997</v>
      </c>
      <c r="AI62" s="148">
        <f>Activos!$H$91</f>
        <v>56763000</v>
      </c>
      <c r="AJ62" s="148">
        <f>Activos!$H$53</f>
        <v>215607000</v>
      </c>
      <c r="AK62" s="148">
        <f>Activos!$H$72</f>
        <v>110678377.59999999</v>
      </c>
      <c r="AL62" s="148">
        <f>SUM(AF62:AK62)</f>
        <v>1885738377.5999999</v>
      </c>
      <c r="AM62" s="148">
        <f>Activos!$H$129</f>
        <v>269047800</v>
      </c>
      <c r="AN62" s="148">
        <f>Activos!$H$110</f>
        <v>993789999.99999988</v>
      </c>
      <c r="AO62" s="148">
        <f>Activos!$H$34</f>
        <v>239852199.99999997</v>
      </c>
      <c r="AP62" s="148">
        <f>Activos!$H$91</f>
        <v>56763000</v>
      </c>
      <c r="AQ62" s="148">
        <f>Activos!$H$53</f>
        <v>215607000</v>
      </c>
      <c r="AR62" s="148">
        <f>Activos!$H$72</f>
        <v>110678377.59999999</v>
      </c>
      <c r="AS62" s="148">
        <f>SUM(AM62:AR62)</f>
        <v>1885738377.5999999</v>
      </c>
      <c r="AT62" s="148">
        <f>Activos!$H$129</f>
        <v>269047800</v>
      </c>
      <c r="AU62" s="148">
        <f>Activos!$H$110</f>
        <v>993789999.99999988</v>
      </c>
      <c r="AV62" s="148">
        <f>Activos!$H$34</f>
        <v>239852199.99999997</v>
      </c>
      <c r="AW62" s="148">
        <f>Activos!$H$91</f>
        <v>56763000</v>
      </c>
      <c r="AX62" s="148">
        <f>Activos!$H$53</f>
        <v>215607000</v>
      </c>
      <c r="AY62" s="148">
        <f>Activos!$H$72</f>
        <v>110678377.59999999</v>
      </c>
      <c r="AZ62" s="148">
        <f>SUM(AT62:AY62)</f>
        <v>1885738377.5999999</v>
      </c>
      <c r="BA62" s="148">
        <f>Activos!$H$129</f>
        <v>269047800</v>
      </c>
      <c r="BB62" s="148">
        <f>Activos!$H$110</f>
        <v>993789999.99999988</v>
      </c>
      <c r="BC62" s="148">
        <f>Activos!$H$34</f>
        <v>239852199.99999997</v>
      </c>
      <c r="BD62" s="148">
        <f>Activos!$H$91</f>
        <v>56763000</v>
      </c>
      <c r="BE62" s="148">
        <f>Activos!$H$53</f>
        <v>215607000</v>
      </c>
      <c r="BF62" s="148">
        <f>Activos!$H$72</f>
        <v>110678377.59999999</v>
      </c>
      <c r="BG62" s="148">
        <f>SUM(BA62:BF62)</f>
        <v>1885738377.5999999</v>
      </c>
      <c r="BH62" s="148">
        <f>Activos!$H$129</f>
        <v>269047800</v>
      </c>
      <c r="BI62" s="148">
        <f>Activos!$H$110</f>
        <v>993789999.99999988</v>
      </c>
      <c r="BJ62" s="148">
        <f>Activos!$H$34</f>
        <v>239852199.99999997</v>
      </c>
      <c r="BK62" s="148">
        <f>Activos!$H$91</f>
        <v>56763000</v>
      </c>
      <c r="BL62" s="148">
        <f>Activos!$H$53</f>
        <v>215607000</v>
      </c>
      <c r="BM62" s="148">
        <f>Activos!$H$72</f>
        <v>110678377.59999999</v>
      </c>
      <c r="BN62" s="148">
        <f>SUM(BH62:BM62)</f>
        <v>1885738377.5999999</v>
      </c>
      <c r="BO62" s="148">
        <f>Activos!$H$129</f>
        <v>269047800</v>
      </c>
      <c r="BP62" s="148">
        <f>Activos!$H$110</f>
        <v>993789999.99999988</v>
      </c>
      <c r="BQ62" s="148">
        <f>Activos!$H$34</f>
        <v>239852199.99999997</v>
      </c>
      <c r="BR62" s="148">
        <f>Activos!$H$91</f>
        <v>56763000</v>
      </c>
      <c r="BS62" s="148">
        <f>Activos!$H$53</f>
        <v>215607000</v>
      </c>
      <c r="BT62" s="148">
        <f>Activos!$H$72</f>
        <v>110678377.59999999</v>
      </c>
      <c r="BU62" s="148">
        <f>SUM(BO62:BT62)</f>
        <v>1885738377.5999999</v>
      </c>
      <c r="BV62" s="148">
        <f>Activos!$H$129</f>
        <v>269047800</v>
      </c>
      <c r="BW62" s="148">
        <f>Activos!$H$110</f>
        <v>993789999.99999988</v>
      </c>
      <c r="BX62" s="148">
        <f>Activos!$H$34</f>
        <v>239852199.99999997</v>
      </c>
      <c r="BY62" s="148">
        <f>Activos!$H$91</f>
        <v>56763000</v>
      </c>
      <c r="BZ62" s="148">
        <f>Activos!$H$53</f>
        <v>215607000</v>
      </c>
      <c r="CA62" s="148">
        <f>Activos!$H$72</f>
        <v>110678377.59999999</v>
      </c>
      <c r="CB62" s="148">
        <f>SUM(BV62:CA62)</f>
        <v>1885738377.5999999</v>
      </c>
      <c r="CC62" s="148">
        <f>Activos!$H$129</f>
        <v>269047800</v>
      </c>
      <c r="CD62" s="148">
        <f>Activos!$H$110</f>
        <v>993789999.99999988</v>
      </c>
      <c r="CE62" s="148">
        <f>Activos!$H$34</f>
        <v>239852199.99999997</v>
      </c>
      <c r="CF62" s="148">
        <f>Activos!$H$91</f>
        <v>56763000</v>
      </c>
      <c r="CG62" s="148">
        <f>Activos!$H$53</f>
        <v>215607000</v>
      </c>
      <c r="CH62" s="148">
        <f>Activos!$H$72</f>
        <v>110678377.59999999</v>
      </c>
      <c r="CI62" s="148">
        <f>SUM(CC62:CH62)</f>
        <v>1885738377.5999999</v>
      </c>
      <c r="CJ62" s="148">
        <f>Activos!$H$129</f>
        <v>269047800</v>
      </c>
      <c r="CK62" s="148">
        <f>Activos!$H$110</f>
        <v>993789999.99999988</v>
      </c>
      <c r="CL62" s="148">
        <f>Activos!$H$34</f>
        <v>239852199.99999997</v>
      </c>
      <c r="CM62" s="148">
        <f>Activos!$H$91</f>
        <v>56763000</v>
      </c>
      <c r="CN62" s="148">
        <f>Activos!$H$53</f>
        <v>215607000</v>
      </c>
      <c r="CO62" s="148">
        <f>Activos!$H$72</f>
        <v>110678377.59999999</v>
      </c>
      <c r="CP62" s="148">
        <f>CI62</f>
        <v>1885738377.5999999</v>
      </c>
      <c r="CR62" s="149">
        <f t="shared" si="33"/>
        <v>0.9767862349691816</v>
      </c>
      <c r="CS62" s="149">
        <f t="shared" si="34"/>
        <v>0.96858259286178172</v>
      </c>
      <c r="CT62" s="149">
        <f t="shared" si="35"/>
        <v>0.97440545602105155</v>
      </c>
      <c r="CU62" s="149">
        <f t="shared" si="36"/>
        <v>0.97538752221882985</v>
      </c>
      <c r="CV62" s="149">
        <f t="shared" si="37"/>
        <v>0.97426916916448425</v>
      </c>
      <c r="CW62" s="149">
        <f t="shared" si="38"/>
        <v>0.97128870077298757</v>
      </c>
      <c r="CX62" s="149">
        <f t="shared" si="39"/>
        <v>0.96833888669365531</v>
      </c>
      <c r="CY62" s="149">
        <f t="shared" si="40"/>
        <v>0.96531495073898976</v>
      </c>
      <c r="CZ62" s="149">
        <f t="shared" si="41"/>
        <v>0.96658241973576153</v>
      </c>
      <c r="DA62" s="149">
        <f t="shared" si="30"/>
        <v>0.96470034148977024</v>
      </c>
      <c r="DB62" s="149">
        <f t="shared" si="31"/>
        <v>0.95912181168159605</v>
      </c>
      <c r="DC62" s="149">
        <f t="shared" si="32"/>
        <v>0.96486949873656958</v>
      </c>
    </row>
    <row r="63" spans="2:107" ht="16" x14ac:dyDescent="0.2">
      <c r="B63" s="141" t="s">
        <v>410</v>
      </c>
      <c r="C63" s="207"/>
      <c r="D63" s="142"/>
      <c r="E63" s="142"/>
      <c r="F63" s="142"/>
      <c r="G63" s="142"/>
      <c r="H63" s="142"/>
      <c r="I63" s="142"/>
      <c r="J63" s="142">
        <f>J62</f>
        <v>1885738377.5999999</v>
      </c>
      <c r="K63" s="142"/>
      <c r="L63" s="142"/>
      <c r="M63" s="142"/>
      <c r="N63" s="142"/>
      <c r="O63" s="142"/>
      <c r="P63" s="142"/>
      <c r="Q63" s="142">
        <f>Q62</f>
        <v>1885738377.5999999</v>
      </c>
      <c r="R63" s="142"/>
      <c r="S63" s="142"/>
      <c r="T63" s="142"/>
      <c r="U63" s="142"/>
      <c r="V63" s="142"/>
      <c r="W63" s="142"/>
      <c r="X63" s="142">
        <f>X62</f>
        <v>1885738377.5999999</v>
      </c>
      <c r="Y63" s="142"/>
      <c r="Z63" s="142"/>
      <c r="AA63" s="142"/>
      <c r="AB63" s="142"/>
      <c r="AC63" s="142"/>
      <c r="AD63" s="142"/>
      <c r="AE63" s="142">
        <f>AE62</f>
        <v>1885738377.5999999</v>
      </c>
      <c r="AF63" s="143"/>
      <c r="AG63" s="143"/>
      <c r="AH63" s="143"/>
      <c r="AI63" s="143"/>
      <c r="AJ63" s="143"/>
      <c r="AK63" s="143"/>
      <c r="AL63" s="142">
        <f>AL62</f>
        <v>1885738377.5999999</v>
      </c>
      <c r="AM63" s="142"/>
      <c r="AN63" s="142"/>
      <c r="AO63" s="142"/>
      <c r="AP63" s="142"/>
      <c r="AQ63" s="142"/>
      <c r="AR63" s="142"/>
      <c r="AS63" s="142">
        <f>AS62</f>
        <v>1885738377.5999999</v>
      </c>
      <c r="AT63" s="143"/>
      <c r="AU63" s="143"/>
      <c r="AV63" s="143"/>
      <c r="AW63" s="143"/>
      <c r="AX63" s="143"/>
      <c r="AY63" s="143"/>
      <c r="AZ63" s="142">
        <f>AZ62</f>
        <v>1885738377.5999999</v>
      </c>
      <c r="BA63" s="143"/>
      <c r="BB63" s="143"/>
      <c r="BC63" s="143"/>
      <c r="BD63" s="143"/>
      <c r="BE63" s="143"/>
      <c r="BF63" s="143"/>
      <c r="BG63" s="142">
        <f>BG62</f>
        <v>1885738377.5999999</v>
      </c>
      <c r="BH63" s="143"/>
      <c r="BI63" s="143"/>
      <c r="BJ63" s="143"/>
      <c r="BK63" s="143"/>
      <c r="BL63" s="143"/>
      <c r="BM63" s="143"/>
      <c r="BN63" s="142">
        <f>BN62</f>
        <v>1885738377.5999999</v>
      </c>
      <c r="BO63" s="143"/>
      <c r="BP63" s="143"/>
      <c r="BQ63" s="143"/>
      <c r="BR63" s="143"/>
      <c r="BS63" s="143"/>
      <c r="BT63" s="143"/>
      <c r="BU63" s="142">
        <f>BU62</f>
        <v>1885738377.5999999</v>
      </c>
      <c r="BV63" s="143"/>
      <c r="BW63" s="143"/>
      <c r="BX63" s="143"/>
      <c r="BY63" s="143"/>
      <c r="BZ63" s="143"/>
      <c r="CA63" s="143"/>
      <c r="CB63" s="142">
        <f>CB62</f>
        <v>1885738377.5999999</v>
      </c>
      <c r="CC63" s="142"/>
      <c r="CD63" s="142"/>
      <c r="CE63" s="142"/>
      <c r="CF63" s="142"/>
      <c r="CG63" s="142"/>
      <c r="CH63" s="143"/>
      <c r="CI63" s="142">
        <f>CI62</f>
        <v>1885738377.5999999</v>
      </c>
      <c r="CJ63" s="142"/>
      <c r="CK63" s="142"/>
      <c r="CL63" s="142"/>
      <c r="CM63" s="142"/>
      <c r="CN63" s="142"/>
      <c r="CO63" s="142"/>
      <c r="CP63" s="142">
        <f>CP62</f>
        <v>1885738377.5999999</v>
      </c>
      <c r="CR63" s="145">
        <f t="shared" si="33"/>
        <v>0.9767862349691816</v>
      </c>
      <c r="CS63" s="145">
        <f t="shared" si="34"/>
        <v>0.96858259286178172</v>
      </c>
      <c r="CT63" s="145">
        <f t="shared" si="35"/>
        <v>0.97440545602105155</v>
      </c>
      <c r="CU63" s="145">
        <f t="shared" si="36"/>
        <v>0.97538752221882985</v>
      </c>
      <c r="CV63" s="145">
        <f t="shared" si="37"/>
        <v>0.97426916916448425</v>
      </c>
      <c r="CW63" s="145">
        <f t="shared" si="38"/>
        <v>0.97128870077298757</v>
      </c>
      <c r="CX63" s="145">
        <f t="shared" si="39"/>
        <v>0.96833888669365531</v>
      </c>
      <c r="CY63" s="145">
        <f t="shared" si="40"/>
        <v>0.96531495073898976</v>
      </c>
      <c r="CZ63" s="145">
        <f t="shared" si="41"/>
        <v>0.96658241973576153</v>
      </c>
      <c r="DA63" s="145">
        <f t="shared" si="30"/>
        <v>0.96470034148977024</v>
      </c>
      <c r="DB63" s="145">
        <f t="shared" si="31"/>
        <v>0.95912181168159605</v>
      </c>
      <c r="DC63" s="145">
        <f t="shared" si="32"/>
        <v>0.96486949873656958</v>
      </c>
    </row>
    <row r="64" spans="2:107" ht="16" x14ac:dyDescent="0.2">
      <c r="B64" s="150" t="s">
        <v>411</v>
      </c>
      <c r="C64" s="209"/>
      <c r="D64" s="151"/>
      <c r="E64" s="151"/>
      <c r="F64" s="151"/>
      <c r="G64" s="151"/>
      <c r="H64" s="151"/>
      <c r="I64" s="151"/>
      <c r="J64" s="151">
        <f>J61+J63</f>
        <v>1930553799.8899999</v>
      </c>
      <c r="K64" s="151"/>
      <c r="L64" s="151"/>
      <c r="M64" s="151"/>
      <c r="N64" s="151"/>
      <c r="O64" s="151"/>
      <c r="P64" s="151"/>
      <c r="Q64" s="151">
        <f>Q61+Q63</f>
        <v>1946905087.3899999</v>
      </c>
      <c r="R64" s="151"/>
      <c r="S64" s="151"/>
      <c r="T64" s="151"/>
      <c r="U64" s="151"/>
      <c r="V64" s="151"/>
      <c r="W64" s="151"/>
      <c r="X64" s="151">
        <f>X61+X63</f>
        <v>1935270749.9199998</v>
      </c>
      <c r="Y64" s="151"/>
      <c r="Z64" s="151"/>
      <c r="AA64" s="151"/>
      <c r="AB64" s="151"/>
      <c r="AC64" s="151"/>
      <c r="AD64" s="151"/>
      <c r="AE64" s="151">
        <f>AE61+AE63</f>
        <v>1933322227.98</v>
      </c>
      <c r="AF64" s="152"/>
      <c r="AG64" s="152"/>
      <c r="AH64" s="152"/>
      <c r="AI64" s="152"/>
      <c r="AJ64" s="152"/>
      <c r="AK64" s="152"/>
      <c r="AL64" s="151">
        <f>AL61+AL63</f>
        <v>1935541467.6799998</v>
      </c>
      <c r="AM64" s="151"/>
      <c r="AN64" s="151"/>
      <c r="AO64" s="151"/>
      <c r="AP64" s="151"/>
      <c r="AQ64" s="151"/>
      <c r="AR64" s="151"/>
      <c r="AS64" s="151">
        <f>AS61+AS63</f>
        <v>1941480814.1999998</v>
      </c>
      <c r="AT64" s="152"/>
      <c r="AU64" s="152"/>
      <c r="AV64" s="152"/>
      <c r="AW64" s="152"/>
      <c r="AX64" s="152"/>
      <c r="AY64" s="152"/>
      <c r="AZ64" s="151">
        <f>AZ61+AZ63</f>
        <v>1947395073.6799998</v>
      </c>
      <c r="BA64" s="152"/>
      <c r="BB64" s="152"/>
      <c r="BC64" s="152"/>
      <c r="BD64" s="152"/>
      <c r="BE64" s="152"/>
      <c r="BF64" s="152"/>
      <c r="BG64" s="151">
        <f>BG61+BG63</f>
        <v>1953495464</v>
      </c>
      <c r="BH64" s="152"/>
      <c r="BI64" s="152"/>
      <c r="BJ64" s="152"/>
      <c r="BK64" s="152"/>
      <c r="BL64" s="152"/>
      <c r="BM64" s="152"/>
      <c r="BN64" s="151">
        <f>BN61+BN63</f>
        <v>1950933866.6799998</v>
      </c>
      <c r="BO64" s="152"/>
      <c r="BP64" s="152"/>
      <c r="BQ64" s="152"/>
      <c r="BR64" s="152"/>
      <c r="BS64" s="152"/>
      <c r="BT64" s="152"/>
      <c r="BU64" s="151">
        <f>BU61+BU63</f>
        <v>1954740033.25</v>
      </c>
      <c r="BV64" s="152"/>
      <c r="BW64" s="152"/>
      <c r="BX64" s="152"/>
      <c r="BY64" s="152"/>
      <c r="BZ64" s="152"/>
      <c r="CA64" s="152"/>
      <c r="CB64" s="151">
        <f>CB61+CB63</f>
        <v>1966109366.54</v>
      </c>
      <c r="CC64" s="151"/>
      <c r="CD64" s="151"/>
      <c r="CE64" s="151"/>
      <c r="CF64" s="151"/>
      <c r="CG64" s="151"/>
      <c r="CH64" s="152"/>
      <c r="CI64" s="151">
        <f>CI61+CI63</f>
        <v>1954397335.6699998</v>
      </c>
      <c r="CJ64" s="151"/>
      <c r="CK64" s="151"/>
      <c r="CL64" s="151"/>
      <c r="CM64" s="151"/>
      <c r="CN64" s="151"/>
      <c r="CO64" s="151"/>
      <c r="CP64" s="151">
        <f>CP61+CP63</f>
        <v>1954397335.6699998</v>
      </c>
      <c r="CR64" s="153">
        <f t="shared" si="33"/>
        <v>1</v>
      </c>
      <c r="CS64" s="153">
        <f t="shared" si="34"/>
        <v>1</v>
      </c>
      <c r="CT64" s="153">
        <f t="shared" si="35"/>
        <v>1</v>
      </c>
      <c r="CU64" s="153">
        <f t="shared" si="36"/>
        <v>1</v>
      </c>
      <c r="CV64" s="153">
        <f t="shared" si="37"/>
        <v>1</v>
      </c>
      <c r="CW64" s="153">
        <f t="shared" si="38"/>
        <v>1</v>
      </c>
      <c r="CX64" s="153">
        <f t="shared" si="39"/>
        <v>1</v>
      </c>
      <c r="CY64" s="153">
        <f t="shared" si="40"/>
        <v>1</v>
      </c>
      <c r="CZ64" s="153">
        <f t="shared" si="41"/>
        <v>1</v>
      </c>
      <c r="DA64" s="153">
        <f t="shared" si="30"/>
        <v>1</v>
      </c>
      <c r="DB64" s="153">
        <f t="shared" si="31"/>
        <v>1</v>
      </c>
      <c r="DC64" s="153">
        <f t="shared" si="32"/>
        <v>1</v>
      </c>
    </row>
    <row r="65" spans="2:107" x14ac:dyDescent="0.2">
      <c r="B65" s="105" t="s">
        <v>412</v>
      </c>
      <c r="D65" s="134"/>
      <c r="E65" s="134"/>
      <c r="F65" s="132"/>
      <c r="G65" s="133"/>
      <c r="H65" s="133"/>
      <c r="I65" s="133"/>
      <c r="K65" s="134"/>
      <c r="L65" s="134"/>
      <c r="M65" s="134"/>
      <c r="N65" s="133"/>
      <c r="O65" s="133"/>
      <c r="P65" s="133"/>
      <c r="R65" s="133"/>
      <c r="S65" s="133"/>
      <c r="T65" s="133"/>
      <c r="U65" s="133"/>
      <c r="V65" s="133"/>
      <c r="Y65" s="133"/>
      <c r="Z65" s="133"/>
      <c r="AA65" s="133"/>
      <c r="AB65" s="133"/>
      <c r="AC65" s="133"/>
      <c r="AF65" s="133"/>
      <c r="AG65" s="133"/>
      <c r="AH65" s="133"/>
      <c r="AI65" s="133"/>
      <c r="AJ65" s="133"/>
      <c r="AM65" s="133"/>
      <c r="AN65" s="133"/>
      <c r="AO65" s="133"/>
      <c r="AP65" s="133"/>
      <c r="AQ65" s="133"/>
      <c r="AT65" s="133"/>
      <c r="AU65" s="133"/>
      <c r="AV65" s="133"/>
      <c r="AW65" s="133"/>
      <c r="AX65" s="133"/>
      <c r="BA65" s="133"/>
      <c r="BB65" s="133"/>
      <c r="BC65" s="133"/>
      <c r="BD65" s="133"/>
      <c r="BE65" s="133"/>
      <c r="BH65" s="133"/>
      <c r="BI65" s="133"/>
      <c r="BJ65" s="133"/>
      <c r="BK65" s="133"/>
      <c r="BL65" s="133"/>
      <c r="BO65" s="133"/>
      <c r="BP65" s="133"/>
      <c r="BQ65" s="133"/>
      <c r="BR65" s="133"/>
      <c r="BS65" s="133"/>
      <c r="BV65" s="133"/>
      <c r="BW65" s="133"/>
      <c r="BX65" s="133"/>
      <c r="BY65" s="133"/>
      <c r="BZ65" s="133"/>
      <c r="CC65" s="133"/>
      <c r="CD65" s="133"/>
      <c r="CE65" s="133"/>
      <c r="CF65" s="133"/>
      <c r="CG65" s="133"/>
      <c r="CJ65" s="133"/>
      <c r="CK65" s="133"/>
      <c r="CL65" s="133"/>
      <c r="CM65" s="133"/>
      <c r="CN65" s="133"/>
      <c r="CR65" s="139">
        <f t="shared" si="33"/>
        <v>0</v>
      </c>
      <c r="CS65" s="139">
        <f t="shared" si="34"/>
        <v>0</v>
      </c>
      <c r="CT65" s="139">
        <f t="shared" si="35"/>
        <v>0</v>
      </c>
      <c r="CU65" s="139">
        <f t="shared" si="36"/>
        <v>0</v>
      </c>
      <c r="CV65" s="139">
        <f t="shared" si="37"/>
        <v>0</v>
      </c>
      <c r="CW65" s="139">
        <f t="shared" si="38"/>
        <v>0</v>
      </c>
      <c r="CX65" s="139">
        <f t="shared" si="39"/>
        <v>0</v>
      </c>
      <c r="CY65" s="139">
        <f t="shared" si="40"/>
        <v>0</v>
      </c>
      <c r="CZ65" s="139">
        <f t="shared" si="41"/>
        <v>0</v>
      </c>
      <c r="DA65" s="139">
        <f t="shared" si="30"/>
        <v>0</v>
      </c>
      <c r="DB65" s="139">
        <f t="shared" si="31"/>
        <v>0</v>
      </c>
      <c r="DC65" s="139">
        <f t="shared" si="32"/>
        <v>0</v>
      </c>
    </row>
    <row r="66" spans="2:107" x14ac:dyDescent="0.2">
      <c r="B66" s="105" t="s">
        <v>413</v>
      </c>
      <c r="D66" s="134"/>
      <c r="E66" s="134"/>
      <c r="F66" s="132"/>
      <c r="G66" s="133"/>
      <c r="H66" s="133"/>
      <c r="I66" s="133"/>
      <c r="K66" s="134"/>
      <c r="L66" s="134"/>
      <c r="M66" s="134"/>
      <c r="N66" s="133"/>
      <c r="O66" s="133"/>
      <c r="P66" s="133"/>
      <c r="R66" s="133"/>
      <c r="S66" s="133"/>
      <c r="T66" s="133"/>
      <c r="U66" s="133"/>
      <c r="V66" s="133"/>
      <c r="Y66" s="133"/>
      <c r="Z66" s="133"/>
      <c r="AA66" s="133"/>
      <c r="AB66" s="133"/>
      <c r="AC66" s="133"/>
      <c r="AF66" s="133"/>
      <c r="AG66" s="133"/>
      <c r="AH66" s="133"/>
      <c r="AI66" s="133"/>
      <c r="AJ66" s="133"/>
      <c r="AM66" s="133"/>
      <c r="AN66" s="133"/>
      <c r="AO66" s="133"/>
      <c r="AP66" s="133"/>
      <c r="AQ66" s="133"/>
      <c r="AT66" s="133"/>
      <c r="AU66" s="133"/>
      <c r="AV66" s="133"/>
      <c r="AW66" s="133"/>
      <c r="AX66" s="133"/>
      <c r="BA66" s="133"/>
      <c r="BB66" s="133"/>
      <c r="BC66" s="133"/>
      <c r="BD66" s="133"/>
      <c r="BE66" s="133"/>
      <c r="BH66" s="133"/>
      <c r="BI66" s="133"/>
      <c r="BJ66" s="133"/>
      <c r="BK66" s="133"/>
      <c r="BL66" s="133"/>
      <c r="BO66" s="133"/>
      <c r="BP66" s="133"/>
      <c r="BQ66" s="133"/>
      <c r="BR66" s="133"/>
      <c r="BS66" s="133"/>
      <c r="BV66" s="133"/>
      <c r="BW66" s="133"/>
      <c r="BX66" s="133"/>
      <c r="BY66" s="133"/>
      <c r="BZ66" s="133"/>
      <c r="CC66" s="133"/>
      <c r="CD66" s="133"/>
      <c r="CE66" s="133"/>
      <c r="CF66" s="133"/>
      <c r="CG66" s="133"/>
      <c r="CJ66" s="133"/>
      <c r="CK66" s="133"/>
      <c r="CL66" s="133"/>
      <c r="CM66" s="133"/>
      <c r="CN66" s="133"/>
      <c r="CR66" s="139">
        <f t="shared" si="33"/>
        <v>0</v>
      </c>
      <c r="CS66" s="139">
        <f t="shared" si="34"/>
        <v>0</v>
      </c>
      <c r="CT66" s="139">
        <f t="shared" si="35"/>
        <v>0</v>
      </c>
      <c r="CU66" s="139">
        <f t="shared" si="36"/>
        <v>0</v>
      </c>
      <c r="CV66" s="139">
        <f t="shared" si="37"/>
        <v>0</v>
      </c>
      <c r="CW66" s="139">
        <f t="shared" si="38"/>
        <v>0</v>
      </c>
      <c r="CX66" s="139">
        <f t="shared" si="39"/>
        <v>0</v>
      </c>
      <c r="CY66" s="139">
        <f t="shared" si="40"/>
        <v>0</v>
      </c>
      <c r="CZ66" s="139">
        <f t="shared" si="41"/>
        <v>0</v>
      </c>
      <c r="DA66" s="139">
        <f t="shared" si="30"/>
        <v>0</v>
      </c>
      <c r="DB66" s="139">
        <f t="shared" si="31"/>
        <v>0</v>
      </c>
      <c r="DC66" s="139">
        <f t="shared" si="32"/>
        <v>0</v>
      </c>
    </row>
    <row r="67" spans="2:107" x14ac:dyDescent="0.2">
      <c r="B67" s="105" t="s">
        <v>414</v>
      </c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3"/>
      <c r="S67" s="133"/>
      <c r="T67" s="133"/>
      <c r="U67" s="133"/>
      <c r="V67" s="133"/>
      <c r="Y67" s="133"/>
      <c r="Z67" s="133"/>
      <c r="AA67" s="133"/>
      <c r="AB67" s="133"/>
      <c r="AC67" s="133"/>
      <c r="AF67" s="133"/>
      <c r="AG67" s="133"/>
      <c r="AH67" s="133"/>
      <c r="AI67" s="133"/>
      <c r="AJ67" s="133"/>
      <c r="AM67" s="133"/>
      <c r="AN67" s="133"/>
      <c r="AO67" s="133"/>
      <c r="AP67" s="133"/>
      <c r="AQ67" s="133"/>
      <c r="AT67" s="133"/>
      <c r="AU67" s="133"/>
      <c r="AV67" s="133"/>
      <c r="AW67" s="133"/>
      <c r="AX67" s="133"/>
      <c r="BA67" s="133"/>
      <c r="BB67" s="133"/>
      <c r="BC67" s="133"/>
      <c r="BD67" s="133"/>
      <c r="BE67" s="133"/>
      <c r="BH67" s="133"/>
      <c r="BI67" s="133"/>
      <c r="BJ67" s="133"/>
      <c r="BK67" s="133"/>
      <c r="BL67" s="133"/>
      <c r="BO67" s="133"/>
      <c r="BP67" s="133"/>
      <c r="BQ67" s="133"/>
      <c r="BR67" s="133"/>
      <c r="BS67" s="133"/>
      <c r="BV67" s="133"/>
      <c r="BW67" s="133"/>
      <c r="BX67" s="133"/>
      <c r="BY67" s="133"/>
      <c r="BZ67" s="133"/>
      <c r="CC67" s="133"/>
      <c r="CD67" s="133"/>
      <c r="CE67" s="133"/>
      <c r="CF67" s="133"/>
      <c r="CG67" s="133"/>
      <c r="CJ67" s="133"/>
      <c r="CK67" s="133"/>
      <c r="CL67" s="133"/>
      <c r="CM67" s="133"/>
      <c r="CN67" s="133"/>
      <c r="CQ67" s="154"/>
      <c r="CR67" s="139">
        <f t="shared" si="33"/>
        <v>0</v>
      </c>
      <c r="CS67" s="139">
        <f t="shared" si="34"/>
        <v>0</v>
      </c>
      <c r="CT67" s="139">
        <f t="shared" si="35"/>
        <v>0</v>
      </c>
      <c r="CU67" s="139">
        <f t="shared" si="36"/>
        <v>0</v>
      </c>
      <c r="CV67" s="139">
        <f t="shared" si="37"/>
        <v>0</v>
      </c>
      <c r="CW67" s="139">
        <f t="shared" si="38"/>
        <v>0</v>
      </c>
      <c r="CX67" s="139">
        <f t="shared" si="39"/>
        <v>0</v>
      </c>
      <c r="CY67" s="139">
        <f t="shared" si="40"/>
        <v>0</v>
      </c>
      <c r="CZ67" s="139">
        <f t="shared" si="41"/>
        <v>0</v>
      </c>
      <c r="DA67" s="139">
        <f t="shared" si="30"/>
        <v>0</v>
      </c>
      <c r="DB67" s="139">
        <f t="shared" si="31"/>
        <v>0</v>
      </c>
      <c r="DC67" s="139">
        <f t="shared" si="32"/>
        <v>0</v>
      </c>
    </row>
    <row r="68" spans="2:107" ht="16" x14ac:dyDescent="0.2">
      <c r="B68" s="105" t="s">
        <v>415</v>
      </c>
      <c r="D68" s="134"/>
      <c r="E68" s="134"/>
      <c r="F68" s="132"/>
      <c r="G68" s="155"/>
      <c r="H68" s="156"/>
      <c r="I68" s="156"/>
      <c r="K68" s="134"/>
      <c r="L68" s="134"/>
      <c r="M68" s="134"/>
      <c r="N68" s="155"/>
      <c r="O68" s="144"/>
      <c r="P68" s="144"/>
      <c r="R68" s="144"/>
      <c r="S68" s="144"/>
      <c r="T68" s="144"/>
      <c r="U68" s="144"/>
      <c r="V68" s="144"/>
      <c r="Y68" s="144"/>
      <c r="Z68" s="144"/>
      <c r="AA68" s="144"/>
      <c r="AB68" s="144"/>
      <c r="AC68" s="144"/>
      <c r="AF68" s="144"/>
      <c r="AG68" s="144"/>
      <c r="AH68" s="144"/>
      <c r="AI68" s="144"/>
      <c r="AJ68" s="144"/>
      <c r="AM68" s="144"/>
      <c r="AN68" s="144"/>
      <c r="AO68" s="144"/>
      <c r="AP68" s="144"/>
      <c r="AQ68" s="144"/>
      <c r="AT68" s="144"/>
      <c r="AU68" s="144"/>
      <c r="AV68" s="144"/>
      <c r="AW68" s="144"/>
      <c r="AX68" s="144"/>
      <c r="BA68" s="144"/>
      <c r="BB68" s="144"/>
      <c r="BC68" s="144"/>
      <c r="BD68" s="144"/>
      <c r="BE68" s="144"/>
      <c r="BH68" s="144"/>
      <c r="BI68" s="144"/>
      <c r="BJ68" s="144"/>
      <c r="BK68" s="144"/>
      <c r="BL68" s="144"/>
      <c r="BO68" s="144"/>
      <c r="BP68" s="144"/>
      <c r="BQ68" s="144"/>
      <c r="BR68" s="144"/>
      <c r="BS68" s="144"/>
      <c r="BV68" s="144"/>
      <c r="BW68" s="144"/>
      <c r="BX68" s="144"/>
      <c r="BY68" s="144"/>
      <c r="BZ68" s="144"/>
      <c r="CC68" s="144"/>
      <c r="CD68" s="144"/>
      <c r="CE68" s="144"/>
      <c r="CF68" s="144"/>
      <c r="CG68" s="144"/>
      <c r="CJ68" s="144"/>
      <c r="CK68" s="156"/>
      <c r="CL68" s="156"/>
      <c r="CM68" s="156"/>
      <c r="CN68" s="156"/>
      <c r="CQ68" s="154"/>
      <c r="CR68" s="139">
        <f t="shared" si="33"/>
        <v>0</v>
      </c>
      <c r="CS68" s="139">
        <f t="shared" si="34"/>
        <v>0</v>
      </c>
      <c r="CT68" s="139">
        <f t="shared" si="35"/>
        <v>0</v>
      </c>
      <c r="CU68" s="139">
        <f t="shared" si="36"/>
        <v>0</v>
      </c>
      <c r="CV68" s="139">
        <f t="shared" si="37"/>
        <v>0</v>
      </c>
      <c r="CW68" s="139">
        <f t="shared" si="38"/>
        <v>0</v>
      </c>
      <c r="CX68" s="139">
        <f t="shared" si="39"/>
        <v>0</v>
      </c>
      <c r="CY68" s="139">
        <f t="shared" si="40"/>
        <v>0</v>
      </c>
      <c r="CZ68" s="139">
        <f t="shared" si="41"/>
        <v>0</v>
      </c>
      <c r="DA68" s="139">
        <f t="shared" si="30"/>
        <v>0</v>
      </c>
      <c r="DB68" s="139">
        <f t="shared" si="31"/>
        <v>0</v>
      </c>
      <c r="DC68" s="139">
        <f t="shared" si="32"/>
        <v>0</v>
      </c>
    </row>
    <row r="69" spans="2:107" x14ac:dyDescent="0.2">
      <c r="B69" s="105" t="s">
        <v>416</v>
      </c>
      <c r="D69" s="134"/>
      <c r="E69" s="134"/>
      <c r="F69" s="132"/>
      <c r="G69" s="133"/>
      <c r="H69" s="133"/>
      <c r="I69" s="133"/>
      <c r="K69" s="134"/>
      <c r="L69" s="134"/>
      <c r="M69" s="134"/>
      <c r="N69" s="133"/>
      <c r="O69" s="133"/>
      <c r="P69" s="133"/>
      <c r="R69" s="133"/>
      <c r="S69" s="133"/>
      <c r="T69" s="133"/>
      <c r="U69" s="133"/>
      <c r="V69" s="133"/>
      <c r="Y69" s="133"/>
      <c r="Z69" s="133"/>
      <c r="AA69" s="133"/>
      <c r="AB69" s="133"/>
      <c r="AC69" s="133"/>
      <c r="AF69" s="133"/>
      <c r="AG69" s="133"/>
      <c r="AH69" s="133"/>
      <c r="AI69" s="133"/>
      <c r="AJ69" s="133"/>
      <c r="AM69" s="133"/>
      <c r="AN69" s="133"/>
      <c r="AO69" s="133"/>
      <c r="AP69" s="133"/>
      <c r="AQ69" s="133"/>
      <c r="AT69" s="133"/>
      <c r="AU69" s="133"/>
      <c r="AV69" s="133"/>
      <c r="AW69" s="133"/>
      <c r="AX69" s="133"/>
      <c r="BA69" s="133"/>
      <c r="BB69" s="133"/>
      <c r="BC69" s="133"/>
      <c r="BD69" s="133"/>
      <c r="BE69" s="133"/>
      <c r="BH69" s="133"/>
      <c r="BI69" s="133"/>
      <c r="BJ69" s="133"/>
      <c r="BK69" s="133"/>
      <c r="BL69" s="133"/>
      <c r="BO69" s="133"/>
      <c r="BP69" s="133"/>
      <c r="BQ69" s="133"/>
      <c r="BR69" s="133"/>
      <c r="BS69" s="133"/>
      <c r="BV69" s="133"/>
      <c r="BW69" s="133"/>
      <c r="BX69" s="133"/>
      <c r="BY69" s="133"/>
      <c r="BZ69" s="133"/>
      <c r="CC69" s="133"/>
      <c r="CD69" s="133"/>
      <c r="CE69" s="133"/>
      <c r="CF69" s="133"/>
      <c r="CG69" s="133"/>
      <c r="CJ69" s="133"/>
      <c r="CK69" s="133"/>
      <c r="CL69" s="133"/>
      <c r="CM69" s="133"/>
      <c r="CN69" s="133"/>
      <c r="CQ69" s="154"/>
      <c r="CR69" s="139">
        <f t="shared" si="33"/>
        <v>0</v>
      </c>
      <c r="CS69" s="139">
        <f t="shared" si="34"/>
        <v>0</v>
      </c>
      <c r="CT69" s="139">
        <f t="shared" si="35"/>
        <v>0</v>
      </c>
      <c r="CU69" s="139">
        <f t="shared" si="36"/>
        <v>0</v>
      </c>
      <c r="CV69" s="139">
        <f t="shared" si="37"/>
        <v>0</v>
      </c>
      <c r="CW69" s="139">
        <f t="shared" si="38"/>
        <v>0</v>
      </c>
      <c r="CX69" s="139">
        <f t="shared" si="39"/>
        <v>0</v>
      </c>
      <c r="CY69" s="139">
        <f t="shared" si="40"/>
        <v>0</v>
      </c>
      <c r="CZ69" s="139">
        <f t="shared" si="41"/>
        <v>0</v>
      </c>
      <c r="DA69" s="139">
        <f t="shared" si="30"/>
        <v>0</v>
      </c>
      <c r="DB69" s="139">
        <f t="shared" si="31"/>
        <v>0</v>
      </c>
      <c r="DC69" s="139">
        <f t="shared" si="32"/>
        <v>0</v>
      </c>
    </row>
    <row r="70" spans="2:107" ht="16" x14ac:dyDescent="0.2">
      <c r="B70" s="141" t="s">
        <v>417</v>
      </c>
      <c r="C70" s="207"/>
      <c r="D70" s="142"/>
      <c r="E70" s="142"/>
      <c r="F70" s="142"/>
      <c r="G70" s="142"/>
      <c r="H70" s="142"/>
      <c r="I70" s="142"/>
      <c r="J70" s="142">
        <f>SUM(J65:J69)</f>
        <v>0</v>
      </c>
      <c r="K70" s="143"/>
      <c r="L70" s="143"/>
      <c r="M70" s="143"/>
      <c r="N70" s="143"/>
      <c r="O70" s="143"/>
      <c r="P70" s="143"/>
      <c r="Q70" s="142">
        <f>SUM(Q65:Q69)</f>
        <v>0</v>
      </c>
      <c r="R70" s="143"/>
      <c r="S70" s="143"/>
      <c r="T70" s="143"/>
      <c r="U70" s="143"/>
      <c r="V70" s="143"/>
      <c r="W70" s="143"/>
      <c r="X70" s="142">
        <f>SUM(X65:X69)</f>
        <v>0</v>
      </c>
      <c r="Y70" s="143"/>
      <c r="Z70" s="143"/>
      <c r="AA70" s="143"/>
      <c r="AB70" s="143"/>
      <c r="AC70" s="143"/>
      <c r="AD70" s="143"/>
      <c r="AE70" s="142">
        <f>SUM(AE65:AE69)</f>
        <v>0</v>
      </c>
      <c r="AF70" s="143"/>
      <c r="AG70" s="143"/>
      <c r="AH70" s="143"/>
      <c r="AI70" s="143"/>
      <c r="AJ70" s="143"/>
      <c r="AK70" s="143"/>
      <c r="AL70" s="142">
        <f>SUM(AL65:AL69)</f>
        <v>0</v>
      </c>
      <c r="AM70" s="143"/>
      <c r="AN70" s="143"/>
      <c r="AO70" s="143"/>
      <c r="AP70" s="143"/>
      <c r="AQ70" s="143"/>
      <c r="AR70" s="143"/>
      <c r="AS70" s="142">
        <f>SUM(AS65:AS69)</f>
        <v>0</v>
      </c>
      <c r="AT70" s="143"/>
      <c r="AU70" s="143"/>
      <c r="AV70" s="143"/>
      <c r="AW70" s="143"/>
      <c r="AX70" s="143"/>
      <c r="AY70" s="143"/>
      <c r="AZ70" s="142">
        <f>SUM(AZ65:AZ69)</f>
        <v>0</v>
      </c>
      <c r="BA70" s="143"/>
      <c r="BB70" s="143"/>
      <c r="BC70" s="143"/>
      <c r="BD70" s="143"/>
      <c r="BE70" s="143"/>
      <c r="BF70" s="143"/>
      <c r="BG70" s="142">
        <f>SUM(BG65:BG69)</f>
        <v>0</v>
      </c>
      <c r="BH70" s="143"/>
      <c r="BI70" s="143"/>
      <c r="BJ70" s="143"/>
      <c r="BK70" s="143"/>
      <c r="BL70" s="143"/>
      <c r="BM70" s="143"/>
      <c r="BN70" s="142">
        <f>SUM(BN65:BN69)</f>
        <v>0</v>
      </c>
      <c r="BO70" s="143"/>
      <c r="BP70" s="143"/>
      <c r="BQ70" s="143"/>
      <c r="BR70" s="143"/>
      <c r="BS70" s="143"/>
      <c r="BT70" s="143"/>
      <c r="BU70" s="142">
        <f>SUM(BU65:BU69)</f>
        <v>0</v>
      </c>
      <c r="BV70" s="143"/>
      <c r="BW70" s="143"/>
      <c r="BX70" s="143"/>
      <c r="BY70" s="143"/>
      <c r="BZ70" s="143"/>
      <c r="CA70" s="143"/>
      <c r="CB70" s="142">
        <f>SUM(CB65:CB69)</f>
        <v>0</v>
      </c>
      <c r="CC70" s="143"/>
      <c r="CD70" s="143"/>
      <c r="CE70" s="143"/>
      <c r="CF70" s="143"/>
      <c r="CG70" s="143"/>
      <c r="CH70" s="143"/>
      <c r="CI70" s="142">
        <f>SUM(CI65:CI69)</f>
        <v>0</v>
      </c>
      <c r="CJ70" s="143"/>
      <c r="CK70" s="143"/>
      <c r="CL70" s="143"/>
      <c r="CM70" s="143"/>
      <c r="CN70" s="143"/>
      <c r="CO70" s="143"/>
      <c r="CP70" s="142"/>
      <c r="CQ70" s="154"/>
      <c r="CR70" s="145">
        <f t="shared" si="33"/>
        <v>0</v>
      </c>
      <c r="CS70" s="145">
        <f t="shared" si="34"/>
        <v>0</v>
      </c>
      <c r="CT70" s="145">
        <f t="shared" si="35"/>
        <v>0</v>
      </c>
      <c r="CU70" s="145">
        <f t="shared" si="36"/>
        <v>0</v>
      </c>
      <c r="CV70" s="145">
        <f t="shared" si="37"/>
        <v>0</v>
      </c>
      <c r="CW70" s="145">
        <f t="shared" si="38"/>
        <v>0</v>
      </c>
      <c r="CX70" s="145">
        <f t="shared" si="39"/>
        <v>0</v>
      </c>
      <c r="CY70" s="145">
        <f t="shared" si="40"/>
        <v>0</v>
      </c>
      <c r="CZ70" s="145">
        <f t="shared" si="41"/>
        <v>0</v>
      </c>
      <c r="DA70" s="145">
        <f t="shared" si="30"/>
        <v>0</v>
      </c>
      <c r="DB70" s="145">
        <f t="shared" si="31"/>
        <v>0</v>
      </c>
      <c r="DC70" s="145">
        <f t="shared" si="32"/>
        <v>0</v>
      </c>
    </row>
    <row r="71" spans="2:107" x14ac:dyDescent="0.2">
      <c r="B71" s="105" t="s">
        <v>418</v>
      </c>
      <c r="C71" s="210"/>
      <c r="D71" s="157"/>
      <c r="E71" s="157"/>
      <c r="F71" s="157"/>
      <c r="G71" s="133"/>
      <c r="H71" s="133"/>
      <c r="I71" s="133"/>
      <c r="J71" s="212">
        <f>'EEFF 2023'!CI71+J17</f>
        <v>53309451.949999996</v>
      </c>
      <c r="K71" s="116"/>
      <c r="L71" s="116"/>
      <c r="M71" s="116"/>
      <c r="N71" s="116"/>
      <c r="O71" s="116"/>
      <c r="P71" s="116"/>
      <c r="Q71" s="212">
        <f>J71+Q17</f>
        <v>87883686.50999999</v>
      </c>
      <c r="R71" s="116"/>
      <c r="S71" s="116"/>
      <c r="T71" s="116"/>
      <c r="U71" s="116"/>
      <c r="V71" s="116"/>
      <c r="W71" s="116"/>
      <c r="X71" s="212">
        <f>Q71+X17</f>
        <v>104971798.32999998</v>
      </c>
      <c r="Y71" s="116"/>
      <c r="Z71" s="116"/>
      <c r="AA71" s="116"/>
      <c r="AB71" s="116"/>
      <c r="AC71" s="116"/>
      <c r="AD71" s="116"/>
      <c r="AE71" s="212">
        <f>X71+AE17</f>
        <v>104971798.32999998</v>
      </c>
      <c r="AF71" s="116"/>
      <c r="AG71" s="116"/>
      <c r="AH71" s="116"/>
      <c r="AI71" s="116"/>
      <c r="AJ71" s="116"/>
      <c r="AK71" s="116"/>
      <c r="AL71" s="212">
        <f>AE71+AL17</f>
        <v>104971798.32999998</v>
      </c>
      <c r="AM71" s="116"/>
      <c r="AN71" s="116"/>
      <c r="AO71" s="116"/>
      <c r="AP71" s="116"/>
      <c r="AQ71" s="116"/>
      <c r="AR71" s="116"/>
      <c r="AS71" s="212">
        <f>AL71+AS17</f>
        <v>104971798.32999998</v>
      </c>
      <c r="AT71" s="116"/>
      <c r="AU71" s="116"/>
      <c r="AV71" s="116"/>
      <c r="AW71" s="116"/>
      <c r="AX71" s="116"/>
      <c r="AY71" s="116"/>
      <c r="AZ71" s="212">
        <f>AS71+AZ17</f>
        <v>104971798.32999998</v>
      </c>
      <c r="BA71" s="116"/>
      <c r="BB71" s="116"/>
      <c r="BC71" s="116"/>
      <c r="BD71" s="116"/>
      <c r="BE71" s="116"/>
      <c r="BF71" s="116"/>
      <c r="BG71" s="212">
        <f>AZ71+BG17</f>
        <v>104971798.32999998</v>
      </c>
      <c r="BH71" s="116"/>
      <c r="BI71" s="116"/>
      <c r="BJ71" s="116"/>
      <c r="BK71" s="116"/>
      <c r="BL71" s="116"/>
      <c r="BM71" s="116"/>
      <c r="BN71" s="212">
        <f>BG71+BN17</f>
        <v>104971798.32999998</v>
      </c>
      <c r="BO71" s="116"/>
      <c r="BP71" s="116"/>
      <c r="BQ71" s="116"/>
      <c r="BR71" s="116"/>
      <c r="BS71" s="116"/>
      <c r="BT71" s="116"/>
      <c r="BU71" s="212">
        <f>BN71+BU17</f>
        <v>104971798.32999998</v>
      </c>
      <c r="BV71" s="116"/>
      <c r="BW71" s="116"/>
      <c r="BX71" s="116"/>
      <c r="BY71" s="116"/>
      <c r="BZ71" s="116"/>
      <c r="CA71" s="116"/>
      <c r="CB71" s="212">
        <f>BU71+CB17</f>
        <v>104971798.32999998</v>
      </c>
      <c r="CC71" s="116"/>
      <c r="CD71" s="116"/>
      <c r="CE71" s="116"/>
      <c r="CF71" s="116"/>
      <c r="CG71" s="116"/>
      <c r="CH71" s="116"/>
      <c r="CI71" s="212">
        <f>CB71+CI17</f>
        <v>104971798.32999998</v>
      </c>
      <c r="CJ71" s="116"/>
      <c r="CK71" s="116"/>
      <c r="CL71" s="116"/>
      <c r="CM71" s="116"/>
      <c r="CN71" s="116"/>
      <c r="CO71" s="116"/>
      <c r="CP71" s="212">
        <f>CI71</f>
        <v>104971798.32999998</v>
      </c>
      <c r="CQ71" s="154"/>
      <c r="CR71" s="146">
        <f t="shared" si="33"/>
        <v>2.76135541796543E-2</v>
      </c>
      <c r="CS71" s="146">
        <f t="shared" si="34"/>
        <v>4.5140200762337067E-2</v>
      </c>
      <c r="CT71" s="146">
        <f t="shared" si="35"/>
        <v>5.424140179576388E-2</v>
      </c>
      <c r="CU71" s="146">
        <f t="shared" si="36"/>
        <v>5.4296069641571361E-2</v>
      </c>
      <c r="CV71" s="146">
        <f t="shared" si="37"/>
        <v>5.4233815230950562E-2</v>
      </c>
      <c r="CW71" s="146">
        <f t="shared" si="38"/>
        <v>5.4067904025749701E-2</v>
      </c>
      <c r="CX71" s="146">
        <f t="shared" si="39"/>
        <v>5.390369922813576E-2</v>
      </c>
      <c r="CY71" s="146">
        <f t="shared" si="40"/>
        <v>5.3735368350975594E-2</v>
      </c>
      <c r="CZ71" s="146">
        <f t="shared" si="41"/>
        <v>5.3805923472247504E-2</v>
      </c>
      <c r="DA71" s="146">
        <f t="shared" si="30"/>
        <v>5.3701155419358361E-2</v>
      </c>
      <c r="DB71" s="146">
        <f t="shared" si="31"/>
        <v>5.3390620133574526E-2</v>
      </c>
      <c r="DC71" s="146">
        <f t="shared" si="32"/>
        <v>5.3710571752296168E-2</v>
      </c>
    </row>
    <row r="72" spans="2:107" ht="16" x14ac:dyDescent="0.2">
      <c r="B72" s="141" t="s">
        <v>419</v>
      </c>
      <c r="C72" s="207"/>
      <c r="D72" s="142"/>
      <c r="E72" s="142"/>
      <c r="F72" s="142"/>
      <c r="G72" s="142"/>
      <c r="H72" s="142"/>
      <c r="I72" s="142"/>
      <c r="J72" s="142">
        <f>J71</f>
        <v>53309451.949999996</v>
      </c>
      <c r="K72" s="143"/>
      <c r="L72" s="143"/>
      <c r="M72" s="143"/>
      <c r="N72" s="143"/>
      <c r="O72" s="143"/>
      <c r="P72" s="143"/>
      <c r="Q72" s="142">
        <f>Q71</f>
        <v>87883686.50999999</v>
      </c>
      <c r="R72" s="143"/>
      <c r="S72" s="143"/>
      <c r="T72" s="143"/>
      <c r="U72" s="143"/>
      <c r="V72" s="143"/>
      <c r="W72" s="143"/>
      <c r="X72" s="142">
        <f>X71</f>
        <v>104971798.32999998</v>
      </c>
      <c r="Y72" s="143"/>
      <c r="Z72" s="143"/>
      <c r="AA72" s="143"/>
      <c r="AB72" s="143"/>
      <c r="AC72" s="143"/>
      <c r="AD72" s="143"/>
      <c r="AE72" s="142">
        <f>AE71</f>
        <v>104971798.32999998</v>
      </c>
      <c r="AF72" s="143"/>
      <c r="AG72" s="143"/>
      <c r="AH72" s="143"/>
      <c r="AI72" s="143"/>
      <c r="AJ72" s="143"/>
      <c r="AK72" s="143"/>
      <c r="AL72" s="142">
        <f>AL71</f>
        <v>104971798.32999998</v>
      </c>
      <c r="AM72" s="143"/>
      <c r="AN72" s="143"/>
      <c r="AO72" s="143"/>
      <c r="AP72" s="143"/>
      <c r="AQ72" s="143"/>
      <c r="AR72" s="143"/>
      <c r="AS72" s="142">
        <f>AS71</f>
        <v>104971798.32999998</v>
      </c>
      <c r="AT72" s="143"/>
      <c r="AU72" s="143"/>
      <c r="AV72" s="143"/>
      <c r="AW72" s="143"/>
      <c r="AX72" s="143"/>
      <c r="AY72" s="143"/>
      <c r="AZ72" s="142">
        <f>AZ71</f>
        <v>104971798.32999998</v>
      </c>
      <c r="BA72" s="143"/>
      <c r="BB72" s="143"/>
      <c r="BC72" s="143"/>
      <c r="BD72" s="143"/>
      <c r="BE72" s="143"/>
      <c r="BF72" s="143"/>
      <c r="BG72" s="142">
        <f>BG71</f>
        <v>104971798.32999998</v>
      </c>
      <c r="BH72" s="143"/>
      <c r="BI72" s="143"/>
      <c r="BJ72" s="143"/>
      <c r="BK72" s="143"/>
      <c r="BL72" s="143"/>
      <c r="BM72" s="143"/>
      <c r="BN72" s="142">
        <f>BN71</f>
        <v>104971798.32999998</v>
      </c>
      <c r="BO72" s="143"/>
      <c r="BP72" s="143"/>
      <c r="BQ72" s="143"/>
      <c r="BR72" s="143"/>
      <c r="BS72" s="143"/>
      <c r="BT72" s="143"/>
      <c r="BU72" s="142">
        <f>BU71</f>
        <v>104971798.32999998</v>
      </c>
      <c r="BV72" s="143"/>
      <c r="BW72" s="143"/>
      <c r="BX72" s="143"/>
      <c r="BY72" s="143"/>
      <c r="BZ72" s="143"/>
      <c r="CA72" s="143"/>
      <c r="CB72" s="142">
        <f>CB71</f>
        <v>104971798.32999998</v>
      </c>
      <c r="CC72" s="143"/>
      <c r="CD72" s="143"/>
      <c r="CE72" s="143"/>
      <c r="CF72" s="143"/>
      <c r="CG72" s="143"/>
      <c r="CH72" s="143"/>
      <c r="CI72" s="142">
        <f>CI71</f>
        <v>104971798.32999998</v>
      </c>
      <c r="CJ72" s="143"/>
      <c r="CK72" s="143"/>
      <c r="CL72" s="143"/>
      <c r="CM72" s="143"/>
      <c r="CN72" s="143"/>
      <c r="CO72" s="143"/>
      <c r="CP72" s="142">
        <f>CP71</f>
        <v>104971798.32999998</v>
      </c>
      <c r="CQ72" s="154"/>
      <c r="CR72" s="146">
        <f t="shared" si="33"/>
        <v>2.76135541796543E-2</v>
      </c>
      <c r="CS72" s="146">
        <f t="shared" si="34"/>
        <v>4.5140200762337067E-2</v>
      </c>
      <c r="CT72" s="146">
        <f t="shared" si="35"/>
        <v>5.424140179576388E-2</v>
      </c>
      <c r="CU72" s="146">
        <f t="shared" si="36"/>
        <v>5.4296069641571361E-2</v>
      </c>
      <c r="CV72" s="146">
        <f t="shared" si="37"/>
        <v>5.4233815230950562E-2</v>
      </c>
      <c r="CW72" s="146">
        <f t="shared" si="38"/>
        <v>5.4067904025749701E-2</v>
      </c>
      <c r="CX72" s="146">
        <f t="shared" si="39"/>
        <v>5.390369922813576E-2</v>
      </c>
      <c r="CY72" s="146">
        <f t="shared" si="40"/>
        <v>5.3735368350975594E-2</v>
      </c>
      <c r="CZ72" s="146">
        <f t="shared" si="41"/>
        <v>5.3805923472247504E-2</v>
      </c>
      <c r="DA72" s="146">
        <f t="shared" si="30"/>
        <v>5.3701155419358361E-2</v>
      </c>
      <c r="DB72" s="146">
        <f t="shared" si="31"/>
        <v>5.3390620133574526E-2</v>
      </c>
      <c r="DC72" s="146">
        <f t="shared" si="32"/>
        <v>5.3710571752296168E-2</v>
      </c>
    </row>
    <row r="73" spans="2:107" ht="16" x14ac:dyDescent="0.2">
      <c r="B73" s="141" t="s">
        <v>420</v>
      </c>
      <c r="C73" s="207"/>
      <c r="D73" s="142"/>
      <c r="E73" s="142"/>
      <c r="F73" s="142"/>
      <c r="G73" s="142"/>
      <c r="H73" s="142"/>
      <c r="I73" s="142"/>
      <c r="J73" s="142">
        <f>J70+J72</f>
        <v>53309451.949999996</v>
      </c>
      <c r="K73" s="143"/>
      <c r="L73" s="143"/>
      <c r="M73" s="143"/>
      <c r="N73" s="143"/>
      <c r="O73" s="143"/>
      <c r="P73" s="143"/>
      <c r="Q73" s="142">
        <f>Q70+Q72</f>
        <v>87883686.50999999</v>
      </c>
      <c r="R73" s="143"/>
      <c r="S73" s="143"/>
      <c r="T73" s="143"/>
      <c r="U73" s="143"/>
      <c r="V73" s="143"/>
      <c r="W73" s="143"/>
      <c r="X73" s="142">
        <f>X70+X72</f>
        <v>104971798.32999998</v>
      </c>
      <c r="Y73" s="143"/>
      <c r="Z73" s="143"/>
      <c r="AA73" s="143"/>
      <c r="AB73" s="143"/>
      <c r="AC73" s="143"/>
      <c r="AD73" s="143"/>
      <c r="AE73" s="142">
        <f>AE70+AE72</f>
        <v>104971798.32999998</v>
      </c>
      <c r="AF73" s="143"/>
      <c r="AG73" s="143"/>
      <c r="AH73" s="143"/>
      <c r="AI73" s="143"/>
      <c r="AJ73" s="143"/>
      <c r="AK73" s="143"/>
      <c r="AL73" s="142">
        <f>AL70+AL72</f>
        <v>104971798.32999998</v>
      </c>
      <c r="AM73" s="143"/>
      <c r="AN73" s="143"/>
      <c r="AO73" s="143"/>
      <c r="AP73" s="143"/>
      <c r="AQ73" s="143"/>
      <c r="AR73" s="143"/>
      <c r="AS73" s="142">
        <f>AS70+AS72</f>
        <v>104971798.32999998</v>
      </c>
      <c r="AT73" s="143"/>
      <c r="AU73" s="143"/>
      <c r="AV73" s="143"/>
      <c r="AW73" s="143"/>
      <c r="AX73" s="143"/>
      <c r="AY73" s="143"/>
      <c r="AZ73" s="142">
        <f>AZ70+AZ72</f>
        <v>104971798.32999998</v>
      </c>
      <c r="BA73" s="143"/>
      <c r="BB73" s="143"/>
      <c r="BC73" s="143"/>
      <c r="BD73" s="143"/>
      <c r="BE73" s="143"/>
      <c r="BF73" s="143"/>
      <c r="BG73" s="142">
        <f>BG70+BG72</f>
        <v>104971798.32999998</v>
      </c>
      <c r="BH73" s="143"/>
      <c r="BI73" s="143"/>
      <c r="BJ73" s="143"/>
      <c r="BK73" s="143"/>
      <c r="BL73" s="143"/>
      <c r="BM73" s="143"/>
      <c r="BN73" s="142">
        <f>BN70+BN72</f>
        <v>104971798.32999998</v>
      </c>
      <c r="BO73" s="143"/>
      <c r="BP73" s="143"/>
      <c r="BQ73" s="143"/>
      <c r="BR73" s="143"/>
      <c r="BS73" s="143"/>
      <c r="BT73" s="143"/>
      <c r="BU73" s="142">
        <f>BU70+BU72</f>
        <v>104971798.32999998</v>
      </c>
      <c r="BV73" s="143"/>
      <c r="BW73" s="143"/>
      <c r="BX73" s="143"/>
      <c r="BY73" s="143"/>
      <c r="BZ73" s="143"/>
      <c r="CA73" s="143"/>
      <c r="CB73" s="142">
        <f>CB70+CB72</f>
        <v>104971798.32999998</v>
      </c>
      <c r="CC73" s="143"/>
      <c r="CD73" s="143"/>
      <c r="CE73" s="143"/>
      <c r="CF73" s="143"/>
      <c r="CG73" s="143"/>
      <c r="CH73" s="143"/>
      <c r="CI73" s="142">
        <f>CI70+CI72</f>
        <v>104971798.32999998</v>
      </c>
      <c r="CJ73" s="143"/>
      <c r="CK73" s="143"/>
      <c r="CL73" s="143"/>
      <c r="CM73" s="143"/>
      <c r="CN73" s="143"/>
      <c r="CO73" s="143"/>
      <c r="CP73" s="142">
        <f>CP70+CP72</f>
        <v>104971798.32999998</v>
      </c>
      <c r="CQ73" s="154"/>
      <c r="CR73" s="145">
        <f t="shared" si="33"/>
        <v>2.76135541796543E-2</v>
      </c>
      <c r="CS73" s="145">
        <f t="shared" si="34"/>
        <v>4.5140200762337067E-2</v>
      </c>
      <c r="CT73" s="145">
        <f t="shared" si="35"/>
        <v>5.424140179576388E-2</v>
      </c>
      <c r="CU73" s="145">
        <f t="shared" si="36"/>
        <v>5.4296069641571361E-2</v>
      </c>
      <c r="CV73" s="145">
        <f t="shared" si="37"/>
        <v>5.4233815230950562E-2</v>
      </c>
      <c r="CW73" s="145">
        <f t="shared" si="38"/>
        <v>5.4067904025749701E-2</v>
      </c>
      <c r="CX73" s="145">
        <f t="shared" si="39"/>
        <v>5.390369922813576E-2</v>
      </c>
      <c r="CY73" s="145">
        <f t="shared" si="40"/>
        <v>5.3735368350975594E-2</v>
      </c>
      <c r="CZ73" s="145">
        <f t="shared" si="41"/>
        <v>5.3805923472247504E-2</v>
      </c>
      <c r="DA73" s="145">
        <f t="shared" si="30"/>
        <v>5.3701155419358361E-2</v>
      </c>
      <c r="DB73" s="145">
        <f t="shared" si="31"/>
        <v>5.3390620133574526E-2</v>
      </c>
      <c r="DC73" s="145">
        <f t="shared" si="32"/>
        <v>5.3710571752296168E-2</v>
      </c>
    </row>
    <row r="74" spans="2:107" ht="16" x14ac:dyDescent="0.2">
      <c r="B74" s="105" t="s">
        <v>421</v>
      </c>
      <c r="D74" s="134"/>
      <c r="E74" s="134"/>
      <c r="F74" s="134"/>
      <c r="G74" s="158"/>
      <c r="H74" s="158"/>
      <c r="I74" s="158"/>
      <c r="J74" s="158">
        <f>J62</f>
        <v>1885738377.5999999</v>
      </c>
      <c r="K74" s="134"/>
      <c r="L74" s="134"/>
      <c r="M74" s="134"/>
      <c r="N74" s="158"/>
      <c r="O74" s="158"/>
      <c r="P74" s="158"/>
      <c r="Q74" s="158">
        <f>Q62</f>
        <v>1885738377.5999999</v>
      </c>
      <c r="R74" s="158"/>
      <c r="S74" s="158"/>
      <c r="T74" s="158"/>
      <c r="U74" s="158"/>
      <c r="V74" s="158"/>
      <c r="W74" s="158"/>
      <c r="X74" s="158">
        <f>X62</f>
        <v>1885738377.5999999</v>
      </c>
      <c r="Y74" s="158"/>
      <c r="Z74" s="158"/>
      <c r="AA74" s="158"/>
      <c r="AB74" s="158"/>
      <c r="AC74" s="158"/>
      <c r="AD74" s="158"/>
      <c r="AE74" s="158">
        <f>AE62</f>
        <v>1885738377.5999999</v>
      </c>
      <c r="AF74" s="158"/>
      <c r="AG74" s="158"/>
      <c r="AH74" s="158"/>
      <c r="AI74" s="158"/>
      <c r="AJ74" s="158"/>
      <c r="AK74" s="158"/>
      <c r="AL74" s="158">
        <f>AL62</f>
        <v>1885738377.5999999</v>
      </c>
      <c r="AM74" s="158"/>
      <c r="AN74" s="158"/>
      <c r="AO74" s="158"/>
      <c r="AP74" s="158"/>
      <c r="AQ74" s="158"/>
      <c r="AR74" s="158"/>
      <c r="AS74" s="158">
        <f>AS62</f>
        <v>1885738377.5999999</v>
      </c>
      <c r="AT74" s="158"/>
      <c r="AU74" s="158"/>
      <c r="AV74" s="158"/>
      <c r="AW74" s="158"/>
      <c r="AX74" s="158"/>
      <c r="AY74" s="158"/>
      <c r="AZ74" s="158">
        <f>AZ62</f>
        <v>1885738377.5999999</v>
      </c>
      <c r="BA74" s="158"/>
      <c r="BB74" s="158"/>
      <c r="BC74" s="158"/>
      <c r="BD74" s="158"/>
      <c r="BE74" s="158"/>
      <c r="BF74" s="158"/>
      <c r="BG74" s="158">
        <f>BG62</f>
        <v>1885738377.5999999</v>
      </c>
      <c r="BH74" s="158"/>
      <c r="BI74" s="158"/>
      <c r="BJ74" s="158"/>
      <c r="BK74" s="158"/>
      <c r="BL74" s="158"/>
      <c r="BM74" s="158"/>
      <c r="BN74" s="158">
        <f>BN62</f>
        <v>1885738377.5999999</v>
      </c>
      <c r="BO74" s="158"/>
      <c r="BP74" s="158"/>
      <c r="BQ74" s="158"/>
      <c r="BR74" s="158"/>
      <c r="BS74" s="158"/>
      <c r="BT74" s="158"/>
      <c r="BU74" s="158">
        <f>BU62</f>
        <v>1885738377.5999999</v>
      </c>
      <c r="BV74" s="158"/>
      <c r="BW74" s="158"/>
      <c r="BX74" s="158"/>
      <c r="BY74" s="158"/>
      <c r="BZ74" s="158"/>
      <c r="CA74" s="158"/>
      <c r="CB74" s="158">
        <f>CB62</f>
        <v>1885738377.5999999</v>
      </c>
      <c r="CC74" s="158"/>
      <c r="CD74" s="158"/>
      <c r="CE74" s="158"/>
      <c r="CF74" s="158"/>
      <c r="CG74" s="158"/>
      <c r="CH74" s="158"/>
      <c r="CI74" s="158">
        <f>CI62</f>
        <v>1885738377.5999999</v>
      </c>
      <c r="CJ74" s="158"/>
      <c r="CK74" s="158"/>
      <c r="CL74" s="158"/>
      <c r="CM74" s="158"/>
      <c r="CN74" s="158"/>
      <c r="CO74" s="158"/>
      <c r="CP74" s="158">
        <f>CP62</f>
        <v>1885738377.5999999</v>
      </c>
      <c r="CQ74" s="154"/>
      <c r="CR74" s="139">
        <f t="shared" si="33"/>
        <v>0.9767862349691816</v>
      </c>
      <c r="CS74" s="139">
        <f t="shared" si="34"/>
        <v>0.96858259286178172</v>
      </c>
      <c r="CT74" s="139">
        <f t="shared" si="35"/>
        <v>0.97440545602105155</v>
      </c>
      <c r="CU74" s="139">
        <f t="shared" si="36"/>
        <v>0.97538752221882985</v>
      </c>
      <c r="CV74" s="139">
        <f t="shared" si="37"/>
        <v>0.97426916916448425</v>
      </c>
      <c r="CW74" s="139">
        <f t="shared" si="38"/>
        <v>0.97128870077298757</v>
      </c>
      <c r="CX74" s="139">
        <f t="shared" si="39"/>
        <v>0.96833888669365531</v>
      </c>
      <c r="CY74" s="139">
        <f t="shared" si="40"/>
        <v>0.96531495073898976</v>
      </c>
      <c r="CZ74" s="139">
        <f t="shared" si="41"/>
        <v>0.96658241973576153</v>
      </c>
      <c r="DA74" s="139">
        <f t="shared" si="30"/>
        <v>0.96470034148977024</v>
      </c>
      <c r="DB74" s="139">
        <f t="shared" si="31"/>
        <v>0.95912181168159605</v>
      </c>
      <c r="DC74" s="139">
        <f t="shared" si="32"/>
        <v>0.96486949873656958</v>
      </c>
    </row>
    <row r="75" spans="2:107" ht="16" x14ac:dyDescent="0.2">
      <c r="B75" s="105" t="s">
        <v>422</v>
      </c>
      <c r="D75" s="134"/>
      <c r="E75" s="134"/>
      <c r="F75" s="134"/>
      <c r="G75" s="158"/>
      <c r="H75" s="158"/>
      <c r="I75" s="158"/>
      <c r="K75" s="134"/>
      <c r="L75" s="134"/>
      <c r="M75" s="134"/>
      <c r="N75" s="158"/>
      <c r="O75" s="158"/>
      <c r="P75" s="158"/>
      <c r="R75" s="158"/>
      <c r="S75" s="158"/>
      <c r="T75" s="158"/>
      <c r="U75" s="158"/>
      <c r="V75" s="158"/>
      <c r="Y75" s="158"/>
      <c r="Z75" s="158"/>
      <c r="AA75" s="158"/>
      <c r="AB75" s="158"/>
      <c r="AC75" s="158"/>
      <c r="AF75" s="158"/>
      <c r="AG75" s="158"/>
      <c r="AH75" s="158"/>
      <c r="AI75" s="158"/>
      <c r="AJ75" s="158"/>
      <c r="AM75" s="158"/>
      <c r="AN75" s="158"/>
      <c r="AO75" s="158"/>
      <c r="AP75" s="158"/>
      <c r="AQ75" s="158"/>
      <c r="AT75" s="158"/>
      <c r="AU75" s="158"/>
      <c r="AV75" s="158"/>
      <c r="AW75" s="158"/>
      <c r="AX75" s="158"/>
      <c r="BA75" s="158"/>
      <c r="BB75" s="158"/>
      <c r="BC75" s="158"/>
      <c r="BD75" s="158"/>
      <c r="BE75" s="158"/>
      <c r="BH75" s="158"/>
      <c r="BI75" s="158"/>
      <c r="BJ75" s="158"/>
      <c r="BK75" s="158"/>
      <c r="BL75" s="158"/>
      <c r="BO75" s="158"/>
      <c r="BP75" s="158"/>
      <c r="BQ75" s="158"/>
      <c r="BR75" s="158"/>
      <c r="BS75" s="158"/>
      <c r="BV75" s="158"/>
      <c r="BW75" s="158"/>
      <c r="BX75" s="158"/>
      <c r="BY75" s="158"/>
      <c r="BZ75" s="158"/>
      <c r="CC75" s="158"/>
      <c r="CD75" s="158"/>
      <c r="CE75" s="158"/>
      <c r="CF75" s="158"/>
      <c r="CG75" s="158"/>
      <c r="CJ75" s="158"/>
      <c r="CK75" s="158"/>
      <c r="CL75" s="158"/>
      <c r="CM75" s="158"/>
      <c r="CN75" s="158"/>
      <c r="CQ75" s="154"/>
      <c r="CR75" s="139">
        <f t="shared" si="33"/>
        <v>0</v>
      </c>
      <c r="CS75" s="139">
        <f t="shared" si="34"/>
        <v>0</v>
      </c>
      <c r="CT75" s="139">
        <f t="shared" si="35"/>
        <v>0</v>
      </c>
      <c r="CU75" s="139">
        <f t="shared" si="36"/>
        <v>0</v>
      </c>
      <c r="CV75" s="139">
        <f t="shared" si="37"/>
        <v>0</v>
      </c>
      <c r="CW75" s="139">
        <f t="shared" si="38"/>
        <v>0</v>
      </c>
      <c r="CX75" s="139">
        <f t="shared" si="39"/>
        <v>0</v>
      </c>
      <c r="CY75" s="139">
        <f t="shared" si="40"/>
        <v>0</v>
      </c>
      <c r="CZ75" s="139">
        <f t="shared" si="41"/>
        <v>0</v>
      </c>
      <c r="DA75" s="139">
        <f t="shared" si="30"/>
        <v>0</v>
      </c>
      <c r="DB75" s="139">
        <f t="shared" si="31"/>
        <v>0</v>
      </c>
      <c r="DC75" s="139">
        <f t="shared" si="32"/>
        <v>0</v>
      </c>
    </row>
    <row r="76" spans="2:107" ht="16" x14ac:dyDescent="0.2">
      <c r="B76" s="105" t="s">
        <v>423</v>
      </c>
      <c r="D76" s="134"/>
      <c r="E76" s="134"/>
      <c r="F76" s="134"/>
      <c r="G76" s="158"/>
      <c r="H76" s="158"/>
      <c r="I76" s="158"/>
      <c r="K76" s="134"/>
      <c r="L76" s="134"/>
      <c r="M76" s="134"/>
      <c r="N76" s="158"/>
      <c r="O76" s="158"/>
      <c r="P76" s="158"/>
      <c r="R76" s="158"/>
      <c r="S76" s="158"/>
      <c r="T76" s="158"/>
      <c r="U76" s="158"/>
      <c r="V76" s="158"/>
      <c r="Y76" s="158"/>
      <c r="Z76" s="158"/>
      <c r="AA76" s="158"/>
      <c r="AB76" s="158"/>
      <c r="AC76" s="158"/>
      <c r="AF76" s="158"/>
      <c r="AG76" s="158"/>
      <c r="AH76" s="158"/>
      <c r="AI76" s="158"/>
      <c r="AJ76" s="158"/>
      <c r="AM76" s="158"/>
      <c r="AN76" s="158"/>
      <c r="AO76" s="158"/>
      <c r="AP76" s="158"/>
      <c r="AQ76" s="158"/>
      <c r="AT76" s="158"/>
      <c r="AU76" s="158"/>
      <c r="AV76" s="158"/>
      <c r="AW76" s="158"/>
      <c r="AX76" s="158"/>
      <c r="BA76" s="158"/>
      <c r="BB76" s="158"/>
      <c r="BC76" s="158"/>
      <c r="BD76" s="158"/>
      <c r="BE76" s="158"/>
      <c r="BH76" s="158"/>
      <c r="BI76" s="158"/>
      <c r="BJ76" s="158"/>
      <c r="BK76" s="158"/>
      <c r="BL76" s="158"/>
      <c r="BO76" s="158"/>
      <c r="BP76" s="158"/>
      <c r="BQ76" s="158"/>
      <c r="BR76" s="158"/>
      <c r="BS76" s="158"/>
      <c r="BV76" s="158"/>
      <c r="BW76" s="158"/>
      <c r="BX76" s="158"/>
      <c r="BY76" s="158"/>
      <c r="BZ76" s="158"/>
      <c r="CC76" s="158"/>
      <c r="CD76" s="158"/>
      <c r="CE76" s="158"/>
      <c r="CF76" s="158"/>
      <c r="CG76" s="158"/>
      <c r="CJ76" s="158"/>
      <c r="CK76" s="158"/>
      <c r="CL76" s="158"/>
      <c r="CM76" s="158"/>
      <c r="CN76" s="158"/>
      <c r="CQ76" s="154"/>
      <c r="CR76" s="139">
        <f t="shared" si="33"/>
        <v>0</v>
      </c>
      <c r="CS76" s="139">
        <f t="shared" si="34"/>
        <v>0</v>
      </c>
      <c r="CT76" s="139">
        <f t="shared" si="35"/>
        <v>0</v>
      </c>
      <c r="CU76" s="139">
        <f t="shared" si="36"/>
        <v>0</v>
      </c>
      <c r="CV76" s="139">
        <f t="shared" si="37"/>
        <v>0</v>
      </c>
      <c r="CW76" s="139">
        <f t="shared" si="38"/>
        <v>0</v>
      </c>
      <c r="CX76" s="139">
        <f t="shared" si="39"/>
        <v>0</v>
      </c>
      <c r="CY76" s="139">
        <f t="shared" si="40"/>
        <v>0</v>
      </c>
      <c r="CZ76" s="139">
        <f t="shared" si="41"/>
        <v>0</v>
      </c>
      <c r="DA76" s="139">
        <f t="shared" si="30"/>
        <v>0</v>
      </c>
      <c r="DB76" s="139">
        <f t="shared" si="31"/>
        <v>0</v>
      </c>
      <c r="DC76" s="139">
        <f t="shared" si="32"/>
        <v>0</v>
      </c>
    </row>
    <row r="77" spans="2:107" x14ac:dyDescent="0.2">
      <c r="B77" s="105" t="s">
        <v>424</v>
      </c>
      <c r="D77" s="134"/>
      <c r="E77" s="134"/>
      <c r="F77" s="134"/>
      <c r="G77" s="159"/>
      <c r="H77" s="159"/>
      <c r="I77" s="159"/>
      <c r="J77" s="137">
        <f>J47</f>
        <v>-7319254.4800000014</v>
      </c>
      <c r="K77" s="137"/>
      <c r="L77" s="137"/>
      <c r="M77" s="137"/>
      <c r="N77" s="137"/>
      <c r="O77" s="137"/>
      <c r="P77" s="137"/>
      <c r="Q77" s="137">
        <f>Q47</f>
        <v>-18222947.060000002</v>
      </c>
      <c r="R77" s="137"/>
      <c r="S77" s="137"/>
      <c r="T77" s="137"/>
      <c r="U77" s="137"/>
      <c r="V77" s="137"/>
      <c r="W77" s="137"/>
      <c r="X77" s="137">
        <f>X47</f>
        <v>-28722449.289999999</v>
      </c>
      <c r="Y77" s="137"/>
      <c r="Z77" s="137"/>
      <c r="AA77" s="137"/>
      <c r="AB77" s="137"/>
      <c r="AC77" s="137"/>
      <c r="AD77" s="137"/>
      <c r="AE77" s="137">
        <f>AE47</f>
        <v>-1948521.9400000006</v>
      </c>
      <c r="AF77" s="137"/>
      <c r="AG77" s="137"/>
      <c r="AH77" s="137"/>
      <c r="AI77" s="137"/>
      <c r="AJ77" s="137"/>
      <c r="AK77" s="137"/>
      <c r="AL77" s="137">
        <f>AL47</f>
        <v>2219239.7000000002</v>
      </c>
      <c r="AM77" s="137"/>
      <c r="AN77" s="137"/>
      <c r="AO77" s="137"/>
      <c r="AP77" s="137"/>
      <c r="AQ77" s="137"/>
      <c r="AR77" s="137"/>
      <c r="AS77" s="137">
        <f>AS47</f>
        <v>5939346.5200000014</v>
      </c>
      <c r="AT77" s="137"/>
      <c r="AU77" s="137"/>
      <c r="AV77" s="137"/>
      <c r="AW77" s="137"/>
      <c r="AX77" s="137"/>
      <c r="AY77" s="137"/>
      <c r="AZ77" s="137">
        <f>AZ47</f>
        <v>5914259.4800000014</v>
      </c>
      <c r="BA77" s="137"/>
      <c r="BB77" s="137"/>
      <c r="BC77" s="137"/>
      <c r="BD77" s="137"/>
      <c r="BE77" s="137"/>
      <c r="BF77" s="137"/>
      <c r="BG77" s="137">
        <f>BG47</f>
        <v>6100390.3200000003</v>
      </c>
      <c r="BH77" s="137"/>
      <c r="BI77" s="137"/>
      <c r="BJ77" s="137"/>
      <c r="BK77" s="137"/>
      <c r="BL77" s="137"/>
      <c r="BM77" s="137"/>
      <c r="BN77" s="137">
        <f>BN47</f>
        <v>-2561597.3200000008</v>
      </c>
      <c r="BO77" s="137"/>
      <c r="BP77" s="137"/>
      <c r="BQ77" s="137"/>
      <c r="BR77" s="137"/>
      <c r="BS77" s="137"/>
      <c r="BT77" s="137"/>
      <c r="BU77" s="137">
        <f>BU47</f>
        <v>3806166.5700000003</v>
      </c>
      <c r="BV77" s="137"/>
      <c r="BW77" s="137"/>
      <c r="BX77" s="137"/>
      <c r="BY77" s="137"/>
      <c r="BZ77" s="137"/>
      <c r="CA77" s="137"/>
      <c r="CB77" s="137">
        <f>CB47</f>
        <v>11369333.289999999</v>
      </c>
      <c r="CC77" s="137"/>
      <c r="CD77" s="137"/>
      <c r="CE77" s="137"/>
      <c r="CF77" s="137"/>
      <c r="CG77" s="137"/>
      <c r="CH77" s="137"/>
      <c r="CI77" s="137">
        <f>CI47</f>
        <v>-11712030.870000001</v>
      </c>
      <c r="CJ77" s="137"/>
      <c r="CK77" s="137"/>
      <c r="CL77" s="137"/>
      <c r="CM77" s="137"/>
      <c r="CN77" s="137"/>
      <c r="CO77" s="137"/>
      <c r="CP77" s="137">
        <f>CP47</f>
        <v>-35138065.080000006</v>
      </c>
      <c r="CQ77" s="154"/>
      <c r="CR77" s="139">
        <f t="shared" si="33"/>
        <v>-3.7912719554446198E-3</v>
      </c>
      <c r="CS77" s="139">
        <f t="shared" si="34"/>
        <v>-9.3599565680058342E-3</v>
      </c>
      <c r="CT77" s="139">
        <f t="shared" si="35"/>
        <v>-1.484156637575767E-2</v>
      </c>
      <c r="CU77" s="139">
        <f t="shared" si="36"/>
        <v>-1.0078619651706388E-3</v>
      </c>
      <c r="CV77" s="139">
        <f t="shared" si="37"/>
        <v>1.146573058266765E-3</v>
      </c>
      <c r="CW77" s="139">
        <f t="shared" si="38"/>
        <v>3.0591837305625649E-3</v>
      </c>
      <c r="CX77" s="139">
        <f t="shared" si="39"/>
        <v>3.0370105994074448E-3</v>
      </c>
      <c r="CY77" s="139">
        <f t="shared" si="40"/>
        <v>3.1228075173047858E-3</v>
      </c>
      <c r="CZ77" s="139">
        <f t="shared" si="41"/>
        <v>-1.3130108425249683E-3</v>
      </c>
      <c r="DA77" s="139">
        <f t="shared" si="30"/>
        <v>1.9471471936203055E-3</v>
      </c>
      <c r="DB77" s="139">
        <f t="shared" si="31"/>
        <v>5.7826555752633372E-3</v>
      </c>
      <c r="DC77" s="139">
        <f t="shared" si="32"/>
        <v>-5.9926559744234009E-3</v>
      </c>
    </row>
    <row r="78" spans="2:107" x14ac:dyDescent="0.2">
      <c r="B78" s="105" t="s">
        <v>425</v>
      </c>
      <c r="D78" s="134"/>
      <c r="E78" s="134"/>
      <c r="F78" s="134"/>
      <c r="G78" s="133"/>
      <c r="H78" s="133"/>
      <c r="I78" s="133"/>
      <c r="J78" s="137">
        <f>'EEFF 2023'!CI78+'EEFF 2023'!CI77</f>
        <v>-1174775.1799999992</v>
      </c>
      <c r="K78" s="134"/>
      <c r="L78" s="134"/>
      <c r="M78" s="134"/>
      <c r="N78" s="133"/>
      <c r="O78" s="133"/>
      <c r="P78" s="133"/>
      <c r="Q78" s="137">
        <f>J78+J77</f>
        <v>-8494029.6600000001</v>
      </c>
      <c r="R78" s="137">
        <f t="shared" ref="R78:CA78" si="42">K78+K77</f>
        <v>0</v>
      </c>
      <c r="S78" s="137">
        <f t="shared" si="42"/>
        <v>0</v>
      </c>
      <c r="T78" s="137">
        <f t="shared" si="42"/>
        <v>0</v>
      </c>
      <c r="U78" s="137">
        <f t="shared" si="42"/>
        <v>0</v>
      </c>
      <c r="V78" s="137">
        <f t="shared" si="42"/>
        <v>0</v>
      </c>
      <c r="W78" s="137">
        <f t="shared" si="42"/>
        <v>0</v>
      </c>
      <c r="X78" s="137">
        <f>Q78+Q77</f>
        <v>-26716976.720000003</v>
      </c>
      <c r="Y78" s="137">
        <f t="shared" si="42"/>
        <v>0</v>
      </c>
      <c r="Z78" s="137">
        <f t="shared" si="42"/>
        <v>0</v>
      </c>
      <c r="AA78" s="137">
        <f t="shared" si="42"/>
        <v>0</v>
      </c>
      <c r="AB78" s="137">
        <f t="shared" si="42"/>
        <v>0</v>
      </c>
      <c r="AC78" s="137">
        <f t="shared" si="42"/>
        <v>0</v>
      </c>
      <c r="AD78" s="137">
        <f t="shared" si="42"/>
        <v>0</v>
      </c>
      <c r="AE78" s="137">
        <f>X78+X77</f>
        <v>-55439426.010000005</v>
      </c>
      <c r="AF78" s="137">
        <f t="shared" si="42"/>
        <v>0</v>
      </c>
      <c r="AG78" s="137">
        <f t="shared" si="42"/>
        <v>0</v>
      </c>
      <c r="AH78" s="137">
        <f t="shared" si="42"/>
        <v>0</v>
      </c>
      <c r="AI78" s="137">
        <f t="shared" si="42"/>
        <v>0</v>
      </c>
      <c r="AJ78" s="137">
        <f t="shared" si="42"/>
        <v>0</v>
      </c>
      <c r="AK78" s="137">
        <f t="shared" si="42"/>
        <v>0</v>
      </c>
      <c r="AL78" s="137">
        <f>AE78+AE77</f>
        <v>-57387947.950000003</v>
      </c>
      <c r="AM78" s="137">
        <f t="shared" si="42"/>
        <v>0</v>
      </c>
      <c r="AN78" s="137">
        <f t="shared" si="42"/>
        <v>0</v>
      </c>
      <c r="AO78" s="137">
        <f t="shared" si="42"/>
        <v>0</v>
      </c>
      <c r="AP78" s="137">
        <f t="shared" si="42"/>
        <v>0</v>
      </c>
      <c r="AQ78" s="137">
        <f t="shared" si="42"/>
        <v>0</v>
      </c>
      <c r="AR78" s="137">
        <f t="shared" si="42"/>
        <v>0</v>
      </c>
      <c r="AS78" s="137">
        <f>AL78+AL77</f>
        <v>-55168708.25</v>
      </c>
      <c r="AT78" s="137">
        <f t="shared" si="42"/>
        <v>0</v>
      </c>
      <c r="AU78" s="137">
        <f t="shared" si="42"/>
        <v>0</v>
      </c>
      <c r="AV78" s="137">
        <f t="shared" si="42"/>
        <v>0</v>
      </c>
      <c r="AW78" s="137">
        <f t="shared" si="42"/>
        <v>0</v>
      </c>
      <c r="AX78" s="137">
        <f t="shared" si="42"/>
        <v>0</v>
      </c>
      <c r="AY78" s="137">
        <f t="shared" si="42"/>
        <v>0</v>
      </c>
      <c r="AZ78" s="137">
        <f>AS78+AS77</f>
        <v>-49229361.729999997</v>
      </c>
      <c r="BA78" s="137">
        <f t="shared" si="42"/>
        <v>0</v>
      </c>
      <c r="BB78" s="137">
        <f t="shared" si="42"/>
        <v>0</v>
      </c>
      <c r="BC78" s="137">
        <f t="shared" si="42"/>
        <v>0</v>
      </c>
      <c r="BD78" s="137">
        <f t="shared" si="42"/>
        <v>0</v>
      </c>
      <c r="BE78" s="137">
        <f t="shared" si="42"/>
        <v>0</v>
      </c>
      <c r="BF78" s="137">
        <f t="shared" si="42"/>
        <v>0</v>
      </c>
      <c r="BG78" s="137">
        <f>AZ78+AZ77</f>
        <v>-43315102.249999993</v>
      </c>
      <c r="BH78" s="137">
        <f t="shared" si="42"/>
        <v>0</v>
      </c>
      <c r="BI78" s="137">
        <f t="shared" si="42"/>
        <v>0</v>
      </c>
      <c r="BJ78" s="137">
        <f t="shared" si="42"/>
        <v>0</v>
      </c>
      <c r="BK78" s="137">
        <f t="shared" si="42"/>
        <v>0</v>
      </c>
      <c r="BL78" s="137">
        <f t="shared" si="42"/>
        <v>0</v>
      </c>
      <c r="BM78" s="137">
        <f t="shared" si="42"/>
        <v>0</v>
      </c>
      <c r="BN78" s="137">
        <f>BG78+BG77</f>
        <v>-37214711.929999992</v>
      </c>
      <c r="BO78" s="137">
        <f t="shared" si="42"/>
        <v>0</v>
      </c>
      <c r="BP78" s="137">
        <f t="shared" si="42"/>
        <v>0</v>
      </c>
      <c r="BQ78" s="137">
        <f t="shared" si="42"/>
        <v>0</v>
      </c>
      <c r="BR78" s="137">
        <f t="shared" si="42"/>
        <v>0</v>
      </c>
      <c r="BS78" s="137">
        <f t="shared" si="42"/>
        <v>0</v>
      </c>
      <c r="BT78" s="137">
        <f t="shared" si="42"/>
        <v>0</v>
      </c>
      <c r="BU78" s="137">
        <f>BN78+BN77</f>
        <v>-39776309.249999993</v>
      </c>
      <c r="BV78" s="137">
        <f t="shared" si="42"/>
        <v>0</v>
      </c>
      <c r="BW78" s="137">
        <f t="shared" si="42"/>
        <v>0</v>
      </c>
      <c r="BX78" s="137">
        <f t="shared" si="42"/>
        <v>0</v>
      </c>
      <c r="BY78" s="137">
        <f t="shared" si="42"/>
        <v>0</v>
      </c>
      <c r="BZ78" s="137">
        <f t="shared" si="42"/>
        <v>0</v>
      </c>
      <c r="CA78" s="137">
        <f t="shared" si="42"/>
        <v>0</v>
      </c>
      <c r="CB78" s="137">
        <f>BU78+BU77</f>
        <v>-35970142.679999992</v>
      </c>
      <c r="CC78" s="133"/>
      <c r="CD78" s="133"/>
      <c r="CE78" s="133"/>
      <c r="CF78" s="133"/>
      <c r="CG78" s="133"/>
      <c r="CI78" s="137">
        <f>CB78+CB77</f>
        <v>-24600809.389999993</v>
      </c>
      <c r="CJ78" s="133"/>
      <c r="CK78" s="133"/>
      <c r="CL78" s="133"/>
      <c r="CM78" s="133"/>
      <c r="CN78" s="133"/>
      <c r="CP78" s="137">
        <f>J78</f>
        <v>-1174775.1799999992</v>
      </c>
      <c r="CR78" s="139">
        <f t="shared" si="33"/>
        <v>-6.0851719339131407E-4</v>
      </c>
      <c r="CS78" s="139">
        <f t="shared" si="34"/>
        <v>-4.3628370561129949E-3</v>
      </c>
      <c r="CT78" s="139">
        <f t="shared" si="35"/>
        <v>-1.3805291441057759E-2</v>
      </c>
      <c r="CU78" s="139">
        <f t="shared" si="36"/>
        <v>-2.8675729895230647E-2</v>
      </c>
      <c r="CV78" s="139">
        <f t="shared" si="37"/>
        <v>-2.9649557453701562E-2</v>
      </c>
      <c r="CW78" s="139">
        <f t="shared" si="38"/>
        <v>-2.8415788529299806E-2</v>
      </c>
      <c r="CX78" s="139">
        <f t="shared" si="39"/>
        <v>-2.5279596521198489E-2</v>
      </c>
      <c r="CY78" s="139">
        <f t="shared" si="40"/>
        <v>-2.2173126607270173E-2</v>
      </c>
      <c r="CZ78" s="139">
        <f t="shared" si="41"/>
        <v>-1.9075332365484074E-2</v>
      </c>
      <c r="DA78" s="139">
        <f t="shared" si="30"/>
        <v>-2.0348644102748999E-2</v>
      </c>
      <c r="DB78" s="139">
        <f t="shared" si="31"/>
        <v>-1.829508739043393E-2</v>
      </c>
      <c r="DC78" s="139">
        <f t="shared" si="32"/>
        <v>-1.2587414514442339E-2</v>
      </c>
    </row>
    <row r="79" spans="2:107" ht="16" x14ac:dyDescent="0.2">
      <c r="B79" s="141" t="s">
        <v>426</v>
      </c>
      <c r="C79" s="207"/>
      <c r="D79" s="142"/>
      <c r="E79" s="142"/>
      <c r="F79" s="142"/>
      <c r="G79" s="142"/>
      <c r="H79" s="142"/>
      <c r="I79" s="142"/>
      <c r="J79" s="142">
        <f>SUM(J74:J78)</f>
        <v>1877244347.9399998</v>
      </c>
      <c r="K79" s="142"/>
      <c r="L79" s="142"/>
      <c r="M79" s="142"/>
      <c r="N79" s="142"/>
      <c r="O79" s="142"/>
      <c r="P79" s="142"/>
      <c r="Q79" s="142">
        <f>SUM(Q74:Q78)</f>
        <v>1859021400.8799999</v>
      </c>
      <c r="R79" s="142"/>
      <c r="S79" s="142"/>
      <c r="T79" s="142"/>
      <c r="U79" s="142"/>
      <c r="V79" s="142"/>
      <c r="W79" s="142"/>
      <c r="X79" s="142">
        <f>SUM(X74:X78)</f>
        <v>1830298951.5899999</v>
      </c>
      <c r="Y79" s="143"/>
      <c r="Z79" s="143"/>
      <c r="AA79" s="143"/>
      <c r="AB79" s="143"/>
      <c r="AC79" s="143"/>
      <c r="AD79" s="143"/>
      <c r="AE79" s="142">
        <f>SUM(AE74:AE78)</f>
        <v>1828350429.6499999</v>
      </c>
      <c r="AF79" s="143"/>
      <c r="AG79" s="143"/>
      <c r="AH79" s="143"/>
      <c r="AI79" s="143"/>
      <c r="AJ79" s="143"/>
      <c r="AK79" s="143"/>
      <c r="AL79" s="142">
        <f>SUM(AL74:AL78)</f>
        <v>1830569669.3499999</v>
      </c>
      <c r="AM79" s="143"/>
      <c r="AN79" s="143"/>
      <c r="AO79" s="143"/>
      <c r="AP79" s="143"/>
      <c r="AQ79" s="143"/>
      <c r="AR79" s="143"/>
      <c r="AS79" s="142">
        <f>SUM(AS74:AS78)</f>
        <v>1836509015.8699999</v>
      </c>
      <c r="AT79" s="143"/>
      <c r="AU79" s="143"/>
      <c r="AV79" s="143"/>
      <c r="AW79" s="143"/>
      <c r="AX79" s="143"/>
      <c r="AY79" s="143"/>
      <c r="AZ79" s="142">
        <f>SUM(AZ74:AZ78)</f>
        <v>1842423275.3499999</v>
      </c>
      <c r="BA79" s="143"/>
      <c r="BB79" s="143"/>
      <c r="BC79" s="143"/>
      <c r="BD79" s="143"/>
      <c r="BE79" s="143"/>
      <c r="BF79" s="143"/>
      <c r="BG79" s="142">
        <f>SUM(BG74:BG78)</f>
        <v>1848523665.6699998</v>
      </c>
      <c r="BH79" s="143"/>
      <c r="BI79" s="143"/>
      <c r="BJ79" s="143"/>
      <c r="BK79" s="143"/>
      <c r="BL79" s="143"/>
      <c r="BM79" s="143"/>
      <c r="BN79" s="142">
        <f>SUM(BN74:BN78)</f>
        <v>1845962068.3499999</v>
      </c>
      <c r="BO79" s="143"/>
      <c r="BP79" s="143"/>
      <c r="BQ79" s="143"/>
      <c r="BR79" s="143"/>
      <c r="BS79" s="143"/>
      <c r="BT79" s="143"/>
      <c r="BU79" s="142">
        <f>SUM(BU74:BU78)</f>
        <v>1849768234.9199998</v>
      </c>
      <c r="BV79" s="143"/>
      <c r="BW79" s="143"/>
      <c r="BX79" s="143"/>
      <c r="BY79" s="143"/>
      <c r="BZ79" s="143"/>
      <c r="CA79" s="143"/>
      <c r="CB79" s="142">
        <f>SUM(CB74:CB78)</f>
        <v>1861137568.2099998</v>
      </c>
      <c r="CC79" s="143"/>
      <c r="CD79" s="143"/>
      <c r="CE79" s="143"/>
      <c r="CF79" s="143"/>
      <c r="CG79" s="143"/>
      <c r="CH79" s="143"/>
      <c r="CI79" s="142">
        <f>SUM(CI74:CI78)</f>
        <v>1849425537.3399999</v>
      </c>
      <c r="CJ79" s="143"/>
      <c r="CK79" s="143"/>
      <c r="CL79" s="143"/>
      <c r="CM79" s="143"/>
      <c r="CN79" s="143"/>
      <c r="CO79" s="143"/>
      <c r="CP79" s="142">
        <f>SUM(CP74:CP78)</f>
        <v>1849425537.3399999</v>
      </c>
      <c r="CR79" s="145">
        <f t="shared" si="33"/>
        <v>0.97238644582034572</v>
      </c>
      <c r="CS79" s="145">
        <f t="shared" si="34"/>
        <v>0.95485979923766295</v>
      </c>
      <c r="CT79" s="145">
        <f t="shared" si="35"/>
        <v>0.94575859820423613</v>
      </c>
      <c r="CU79" s="145">
        <f t="shared" si="36"/>
        <v>0.94570393035842859</v>
      </c>
      <c r="CV79" s="145">
        <f t="shared" si="37"/>
        <v>0.9457661847690495</v>
      </c>
      <c r="CW79" s="145">
        <f t="shared" si="38"/>
        <v>0.94593209597425032</v>
      </c>
      <c r="CX79" s="145">
        <f t="shared" si="39"/>
        <v>0.94609630077186424</v>
      </c>
      <c r="CY79" s="145">
        <f t="shared" si="40"/>
        <v>0.9462646316490243</v>
      </c>
      <c r="CZ79" s="145">
        <f t="shared" si="41"/>
        <v>0.94619407652775256</v>
      </c>
      <c r="DA79" s="145">
        <f t="shared" si="30"/>
        <v>0.94629884458064151</v>
      </c>
      <c r="DB79" s="145">
        <f t="shared" si="31"/>
        <v>0.94660937986642535</v>
      </c>
      <c r="DC79" s="145">
        <f t="shared" si="32"/>
        <v>0.9462894282477039</v>
      </c>
    </row>
    <row r="80" spans="2:107" ht="16" x14ac:dyDescent="0.2">
      <c r="B80" s="141" t="s">
        <v>427</v>
      </c>
      <c r="C80" s="207"/>
      <c r="D80" s="142"/>
      <c r="E80" s="142"/>
      <c r="F80" s="142"/>
      <c r="G80" s="142"/>
      <c r="H80" s="142"/>
      <c r="I80" s="142"/>
      <c r="J80" s="142">
        <f>J73+J79</f>
        <v>1930553799.8899999</v>
      </c>
      <c r="K80" s="142"/>
      <c r="L80" s="142"/>
      <c r="M80" s="142"/>
      <c r="N80" s="142"/>
      <c r="O80" s="142"/>
      <c r="P80" s="142"/>
      <c r="Q80" s="142">
        <f>Q73+Q79</f>
        <v>1946905087.3899999</v>
      </c>
      <c r="R80" s="142"/>
      <c r="S80" s="142"/>
      <c r="T80" s="142"/>
      <c r="U80" s="142"/>
      <c r="V80" s="142"/>
      <c r="W80" s="142"/>
      <c r="X80" s="142">
        <f>X73+X79</f>
        <v>1935270749.9199998</v>
      </c>
      <c r="Y80" s="143"/>
      <c r="Z80" s="143"/>
      <c r="AA80" s="143"/>
      <c r="AB80" s="143"/>
      <c r="AC80" s="143"/>
      <c r="AD80" s="143"/>
      <c r="AE80" s="142">
        <f>AE73+AE79</f>
        <v>1933322227.9799998</v>
      </c>
      <c r="AF80" s="143"/>
      <c r="AG80" s="143"/>
      <c r="AH80" s="143"/>
      <c r="AI80" s="143"/>
      <c r="AJ80" s="143"/>
      <c r="AK80" s="143"/>
      <c r="AL80" s="142">
        <f>AL73+AL79</f>
        <v>1935541467.6799998</v>
      </c>
      <c r="AM80" s="143"/>
      <c r="AN80" s="143"/>
      <c r="AO80" s="143"/>
      <c r="AP80" s="143"/>
      <c r="AQ80" s="143"/>
      <c r="AR80" s="143"/>
      <c r="AS80" s="142">
        <f>AS73+AS79</f>
        <v>1941480814.1999998</v>
      </c>
      <c r="AT80" s="143"/>
      <c r="AU80" s="143"/>
      <c r="AV80" s="143"/>
      <c r="AW80" s="143"/>
      <c r="AX80" s="143"/>
      <c r="AY80" s="143"/>
      <c r="AZ80" s="142">
        <f>AZ73+AZ79</f>
        <v>1947395073.6799998</v>
      </c>
      <c r="BA80" s="143"/>
      <c r="BB80" s="143"/>
      <c r="BC80" s="143"/>
      <c r="BD80" s="143"/>
      <c r="BE80" s="143"/>
      <c r="BF80" s="143"/>
      <c r="BG80" s="142">
        <f>BG73+BG79</f>
        <v>1953495463.9999998</v>
      </c>
      <c r="BH80" s="143"/>
      <c r="BI80" s="143"/>
      <c r="BJ80" s="143"/>
      <c r="BK80" s="143"/>
      <c r="BL80" s="143"/>
      <c r="BM80" s="143"/>
      <c r="BN80" s="142">
        <f>BN73+BN79</f>
        <v>1950933866.6799998</v>
      </c>
      <c r="BO80" s="143"/>
      <c r="BP80" s="143"/>
      <c r="BQ80" s="143"/>
      <c r="BR80" s="143"/>
      <c r="BS80" s="143"/>
      <c r="BT80" s="143"/>
      <c r="BU80" s="142">
        <f>BU73+BU79</f>
        <v>1954740033.2499998</v>
      </c>
      <c r="BV80" s="143"/>
      <c r="BW80" s="143"/>
      <c r="BX80" s="143"/>
      <c r="BY80" s="143"/>
      <c r="BZ80" s="143"/>
      <c r="CA80" s="143"/>
      <c r="CB80" s="142">
        <f>CB73+CB79</f>
        <v>1966109366.5399997</v>
      </c>
      <c r="CC80" s="143"/>
      <c r="CD80" s="143"/>
      <c r="CE80" s="143"/>
      <c r="CF80" s="143"/>
      <c r="CG80" s="143"/>
      <c r="CH80" s="143"/>
      <c r="CI80" s="142">
        <f>CI73+CI79</f>
        <v>1954397335.6699998</v>
      </c>
      <c r="CJ80" s="143"/>
      <c r="CK80" s="143"/>
      <c r="CL80" s="143"/>
      <c r="CM80" s="143"/>
      <c r="CN80" s="143"/>
      <c r="CO80" s="143"/>
      <c r="CP80" s="142">
        <f>CP73+CP79</f>
        <v>1954397335.6699998</v>
      </c>
      <c r="CR80" s="145">
        <f t="shared" si="33"/>
        <v>1</v>
      </c>
      <c r="CS80" s="145">
        <f t="shared" si="34"/>
        <v>1</v>
      </c>
      <c r="CT80" s="145">
        <f t="shared" si="35"/>
        <v>1</v>
      </c>
      <c r="CU80" s="145">
        <f t="shared" si="36"/>
        <v>0.99999999999999989</v>
      </c>
      <c r="CV80" s="145">
        <f t="shared" si="37"/>
        <v>1</v>
      </c>
      <c r="CW80" s="145">
        <f t="shared" si="38"/>
        <v>1</v>
      </c>
      <c r="CX80" s="145">
        <f t="shared" si="39"/>
        <v>1</v>
      </c>
      <c r="CY80" s="145">
        <f t="shared" si="40"/>
        <v>0.99999999999999989</v>
      </c>
      <c r="CZ80" s="145">
        <f t="shared" si="41"/>
        <v>1</v>
      </c>
      <c r="DA80" s="145">
        <f t="shared" si="30"/>
        <v>0.99999999999999989</v>
      </c>
      <c r="DB80" s="145">
        <f t="shared" si="31"/>
        <v>0.99999999999999989</v>
      </c>
      <c r="DC80" s="145">
        <f t="shared" si="32"/>
        <v>1</v>
      </c>
    </row>
    <row r="81" spans="2:95" ht="16" x14ac:dyDescent="0.2">
      <c r="B81" s="160" t="s">
        <v>428</v>
      </c>
      <c r="D81" s="161"/>
      <c r="E81" s="161"/>
      <c r="F81" s="161"/>
      <c r="G81" s="161"/>
      <c r="H81" s="161"/>
      <c r="I81" s="161"/>
      <c r="J81" s="234">
        <f>J64-J80</f>
        <v>0</v>
      </c>
      <c r="K81" s="234"/>
      <c r="L81" s="234"/>
      <c r="M81" s="234"/>
      <c r="N81" s="234"/>
      <c r="O81" s="234"/>
      <c r="P81" s="234"/>
      <c r="Q81" s="234">
        <f>Q64-Q80</f>
        <v>0</v>
      </c>
      <c r="R81" s="234"/>
      <c r="S81" s="234"/>
      <c r="T81" s="234"/>
      <c r="U81" s="234"/>
      <c r="V81" s="234"/>
      <c r="W81" s="234"/>
      <c r="X81" s="234">
        <f>X64-X80</f>
        <v>0</v>
      </c>
      <c r="Y81" s="234"/>
      <c r="Z81" s="234"/>
      <c r="AA81" s="234"/>
      <c r="AB81" s="234"/>
      <c r="AC81" s="234"/>
      <c r="AD81" s="234"/>
      <c r="AE81" s="234">
        <f>AE64-AE80</f>
        <v>0</v>
      </c>
      <c r="AF81" s="234"/>
      <c r="AG81" s="234"/>
      <c r="AH81" s="234"/>
      <c r="AI81" s="234"/>
      <c r="AJ81" s="234"/>
      <c r="AK81" s="234"/>
      <c r="AL81" s="234">
        <f>AL64-AL80</f>
        <v>0</v>
      </c>
      <c r="AM81" s="234"/>
      <c r="AN81" s="234"/>
      <c r="AO81" s="234"/>
      <c r="AP81" s="234"/>
      <c r="AQ81" s="234"/>
      <c r="AR81" s="234"/>
      <c r="AS81" s="234">
        <f>AS64-AS80</f>
        <v>0</v>
      </c>
      <c r="AT81" s="234"/>
      <c r="AU81" s="234"/>
      <c r="AV81" s="234"/>
      <c r="AW81" s="234"/>
      <c r="AX81" s="234"/>
      <c r="AY81" s="234"/>
      <c r="AZ81" s="234">
        <f>AZ64-AZ80</f>
        <v>0</v>
      </c>
      <c r="BA81" s="234"/>
      <c r="BB81" s="234"/>
      <c r="BC81" s="234"/>
      <c r="BD81" s="234"/>
      <c r="BE81" s="234"/>
      <c r="BF81" s="234"/>
      <c r="BG81" s="234">
        <f>BG64-BG80</f>
        <v>0</v>
      </c>
      <c r="BH81" s="234"/>
      <c r="BI81" s="234"/>
      <c r="BJ81" s="234"/>
      <c r="BK81" s="234"/>
      <c r="BL81" s="234"/>
      <c r="BM81" s="234"/>
      <c r="BN81" s="234">
        <f>BN64-BN80</f>
        <v>0</v>
      </c>
      <c r="BO81" s="234"/>
      <c r="BP81" s="234"/>
      <c r="BQ81" s="234"/>
      <c r="BR81" s="234"/>
      <c r="BS81" s="234"/>
      <c r="BT81" s="234"/>
      <c r="BU81" s="234">
        <f>BU64-BU80</f>
        <v>0</v>
      </c>
      <c r="BV81" s="234"/>
      <c r="BW81" s="234"/>
      <c r="BX81" s="234"/>
      <c r="BY81" s="234"/>
      <c r="BZ81" s="234"/>
      <c r="CA81" s="234"/>
      <c r="CB81" s="234">
        <f>CB64-CB80</f>
        <v>0</v>
      </c>
      <c r="CC81" s="234"/>
      <c r="CD81" s="234"/>
      <c r="CE81" s="234"/>
      <c r="CF81" s="234"/>
      <c r="CG81" s="234"/>
      <c r="CH81" s="234"/>
      <c r="CI81" s="234">
        <f>CI64-CI80</f>
        <v>0</v>
      </c>
      <c r="CJ81" s="213"/>
      <c r="CK81" s="213"/>
      <c r="CL81" s="213"/>
      <c r="CM81" s="213"/>
      <c r="CN81" s="213"/>
      <c r="CO81" s="213"/>
      <c r="CP81" s="234">
        <f>CP64-CP80</f>
        <v>0</v>
      </c>
      <c r="CQ81" s="105">
        <v>-35158065.079999998</v>
      </c>
    </row>
    <row r="82" spans="2:95" x14ac:dyDescent="0.2">
      <c r="D82" s="106"/>
      <c r="E82" s="106"/>
      <c r="F82" s="106"/>
      <c r="G82" s="133"/>
      <c r="H82" s="133"/>
      <c r="K82" s="106"/>
      <c r="L82" s="106"/>
      <c r="M82" s="106"/>
      <c r="N82" s="133"/>
      <c r="O82" s="133"/>
      <c r="CQ82" s="105">
        <v>-35158065</v>
      </c>
    </row>
    <row r="83" spans="2:95" x14ac:dyDescent="0.2">
      <c r="D83" s="106"/>
      <c r="E83" s="106"/>
      <c r="K83" s="106"/>
      <c r="L83" s="106"/>
    </row>
    <row r="84" spans="2:95" s="181" customFormat="1" ht="16" x14ac:dyDescent="0.2">
      <c r="B84" s="183" t="s">
        <v>353</v>
      </c>
      <c r="C84" s="211"/>
      <c r="E84" s="186"/>
      <c r="L84" s="186"/>
    </row>
    <row r="85" spans="2:95" x14ac:dyDescent="0.2">
      <c r="B85" s="105" t="s">
        <v>352</v>
      </c>
      <c r="D85" s="137"/>
      <c r="E85" s="137"/>
      <c r="F85" s="137"/>
      <c r="G85" s="137"/>
      <c r="H85" s="137"/>
      <c r="I85" s="137"/>
      <c r="J85" s="137">
        <f>J47</f>
        <v>-7319254.4800000014</v>
      </c>
      <c r="K85" s="137"/>
      <c r="L85" s="137"/>
      <c r="M85" s="137"/>
      <c r="N85" s="137"/>
      <c r="O85" s="137"/>
      <c r="P85" s="137"/>
      <c r="Q85" s="137">
        <f>Q47</f>
        <v>-18222947.060000002</v>
      </c>
      <c r="R85" s="137"/>
      <c r="S85" s="137"/>
      <c r="T85" s="137"/>
      <c r="U85" s="137"/>
      <c r="V85" s="137"/>
      <c r="W85" s="137"/>
      <c r="X85" s="137">
        <f>X47</f>
        <v>-28722449.289999999</v>
      </c>
      <c r="Y85" s="137"/>
      <c r="Z85" s="137"/>
      <c r="AA85" s="137"/>
      <c r="AB85" s="137"/>
      <c r="AC85" s="137"/>
      <c r="AD85" s="137"/>
      <c r="AE85" s="137">
        <f>AE47</f>
        <v>-1948521.9400000006</v>
      </c>
      <c r="AF85" s="137"/>
      <c r="AG85" s="137"/>
      <c r="AH85" s="137"/>
      <c r="AI85" s="137"/>
      <c r="AJ85" s="137"/>
      <c r="AK85" s="137"/>
      <c r="AL85" s="137">
        <f>AL47</f>
        <v>2219239.7000000002</v>
      </c>
      <c r="AM85" s="137"/>
      <c r="AN85" s="137"/>
      <c r="AO85" s="137"/>
      <c r="AP85" s="137"/>
      <c r="AQ85" s="137"/>
      <c r="AR85" s="137"/>
      <c r="AS85" s="137">
        <f>AS47</f>
        <v>5939346.5200000014</v>
      </c>
      <c r="AT85" s="137"/>
      <c r="AU85" s="137"/>
      <c r="AV85" s="137"/>
      <c r="AW85" s="137"/>
      <c r="AX85" s="137"/>
      <c r="AY85" s="137"/>
      <c r="AZ85" s="137">
        <f>AZ47</f>
        <v>5914259.4800000014</v>
      </c>
      <c r="BA85" s="137"/>
      <c r="BB85" s="137"/>
      <c r="BC85" s="137"/>
      <c r="BD85" s="137"/>
      <c r="BE85" s="137"/>
      <c r="BF85" s="137"/>
      <c r="BG85" s="137">
        <f>BG47</f>
        <v>6100390.3200000003</v>
      </c>
      <c r="BH85" s="137"/>
      <c r="BI85" s="137"/>
      <c r="BJ85" s="137"/>
      <c r="BK85" s="137"/>
      <c r="BL85" s="137"/>
      <c r="BM85" s="137"/>
      <c r="BN85" s="137">
        <f>BN47</f>
        <v>-2561597.3200000008</v>
      </c>
      <c r="BO85" s="137"/>
      <c r="BP85" s="137"/>
      <c r="BQ85" s="137"/>
      <c r="BR85" s="137"/>
      <c r="BS85" s="137"/>
      <c r="BT85" s="137"/>
      <c r="BU85" s="137">
        <f>BU47</f>
        <v>3806166.5700000003</v>
      </c>
      <c r="BV85" s="137"/>
      <c r="BW85" s="137"/>
      <c r="BX85" s="137"/>
      <c r="BY85" s="137"/>
      <c r="BZ85" s="137"/>
      <c r="CA85" s="137"/>
      <c r="CB85" s="137">
        <f>CB47</f>
        <v>11369333.289999999</v>
      </c>
      <c r="CC85" s="137"/>
      <c r="CD85" s="137"/>
      <c r="CE85" s="137"/>
      <c r="CF85" s="137"/>
      <c r="CG85" s="137"/>
      <c r="CH85" s="137"/>
      <c r="CI85" s="137">
        <f>CI47</f>
        <v>-11712030.870000001</v>
      </c>
      <c r="CJ85" s="137"/>
      <c r="CK85" s="137"/>
      <c r="CL85" s="137"/>
      <c r="CM85" s="137"/>
      <c r="CN85" s="137"/>
    </row>
    <row r="86" spans="2:95" x14ac:dyDescent="0.2">
      <c r="B86" s="105" t="s">
        <v>429</v>
      </c>
      <c r="D86" s="137"/>
      <c r="E86" s="137"/>
      <c r="F86" s="137"/>
      <c r="G86" s="137"/>
      <c r="H86" s="137"/>
      <c r="I86" s="137"/>
      <c r="J86" s="137">
        <f>+J15</f>
        <v>0</v>
      </c>
      <c r="K86" s="137"/>
      <c r="L86" s="137"/>
      <c r="M86" s="137"/>
      <c r="N86" s="137"/>
      <c r="O86" s="137"/>
      <c r="P86" s="137"/>
      <c r="Q86" s="137">
        <f>+Q15</f>
        <v>0</v>
      </c>
      <c r="R86" s="137"/>
      <c r="S86" s="137"/>
      <c r="T86" s="137"/>
      <c r="U86" s="137"/>
      <c r="V86" s="137"/>
      <c r="W86" s="137"/>
      <c r="X86" s="137">
        <f>+X15</f>
        <v>0</v>
      </c>
      <c r="Y86" s="137"/>
      <c r="Z86" s="137"/>
      <c r="AA86" s="137"/>
      <c r="AB86" s="137"/>
      <c r="AC86" s="137"/>
      <c r="AD86" s="137"/>
      <c r="AE86" s="137">
        <f>+AE15</f>
        <v>0</v>
      </c>
      <c r="AF86" s="137"/>
      <c r="AG86" s="137"/>
      <c r="AH86" s="137"/>
      <c r="AI86" s="137"/>
      <c r="AJ86" s="137"/>
      <c r="AK86" s="137"/>
      <c r="AL86" s="137">
        <f>+AL15</f>
        <v>0</v>
      </c>
      <c r="AM86" s="137"/>
      <c r="AN86" s="137"/>
      <c r="AO86" s="137"/>
      <c r="AP86" s="137"/>
      <c r="AQ86" s="137"/>
      <c r="AR86" s="137"/>
      <c r="AS86" s="137">
        <f>+AS15</f>
        <v>0</v>
      </c>
      <c r="AT86" s="137"/>
      <c r="AU86" s="137"/>
      <c r="AV86" s="137"/>
      <c r="AW86" s="137"/>
      <c r="AX86" s="137"/>
      <c r="AY86" s="137"/>
      <c r="AZ86" s="137">
        <f>+AZ15</f>
        <v>0</v>
      </c>
      <c r="BA86" s="137"/>
      <c r="BB86" s="137"/>
      <c r="BC86" s="137"/>
      <c r="BD86" s="137"/>
      <c r="BE86" s="137"/>
      <c r="BF86" s="137"/>
      <c r="BG86" s="137">
        <f>+BG15</f>
        <v>0</v>
      </c>
      <c r="BH86" s="137"/>
      <c r="BI86" s="137"/>
      <c r="BJ86" s="137"/>
      <c r="BK86" s="137"/>
      <c r="BL86" s="137"/>
      <c r="BM86" s="137"/>
      <c r="BN86" s="137">
        <f>+BN15</f>
        <v>0</v>
      </c>
      <c r="BO86" s="137"/>
      <c r="BP86" s="137"/>
      <c r="BQ86" s="137"/>
      <c r="BR86" s="137"/>
      <c r="BS86" s="137"/>
      <c r="BT86" s="137"/>
      <c r="BU86" s="137">
        <f>+BU15</f>
        <v>0</v>
      </c>
      <c r="BV86" s="137"/>
      <c r="BW86" s="137"/>
      <c r="BX86" s="137"/>
      <c r="BY86" s="137"/>
      <c r="BZ86" s="137"/>
      <c r="CA86" s="137"/>
      <c r="CB86" s="137">
        <f>+CB15</f>
        <v>0</v>
      </c>
      <c r="CC86" s="137"/>
      <c r="CD86" s="137"/>
      <c r="CE86" s="137"/>
      <c r="CF86" s="137"/>
      <c r="CG86" s="137"/>
      <c r="CH86" s="137"/>
      <c r="CI86" s="137">
        <f>+CI15</f>
        <v>0</v>
      </c>
      <c r="CJ86" s="137"/>
      <c r="CK86" s="137"/>
      <c r="CL86" s="137"/>
      <c r="CM86" s="137"/>
      <c r="CN86" s="137"/>
    </row>
    <row r="87" spans="2:95" x14ac:dyDescent="0.2">
      <c r="B87" s="105" t="s">
        <v>430</v>
      </c>
      <c r="D87" s="137"/>
      <c r="E87" s="137"/>
      <c r="F87" s="137"/>
      <c r="G87" s="137"/>
      <c r="H87" s="137"/>
      <c r="I87" s="137"/>
      <c r="J87" s="137">
        <f>-(J58-C58)</f>
        <v>0</v>
      </c>
      <c r="K87" s="137"/>
      <c r="L87" s="137"/>
      <c r="M87" s="137"/>
      <c r="N87" s="137"/>
      <c r="O87" s="137"/>
      <c r="P87" s="137"/>
      <c r="Q87" s="137">
        <f>-(Q58-J58)</f>
        <v>0</v>
      </c>
      <c r="R87" s="137"/>
      <c r="S87" s="137"/>
      <c r="T87" s="137"/>
      <c r="U87" s="137"/>
      <c r="V87" s="137"/>
      <c r="W87" s="137"/>
      <c r="X87" s="137">
        <f>-(X58-Q58)</f>
        <v>0</v>
      </c>
      <c r="Y87" s="137"/>
      <c r="Z87" s="137"/>
      <c r="AA87" s="137"/>
      <c r="AB87" s="137"/>
      <c r="AC87" s="137"/>
      <c r="AD87" s="137"/>
      <c r="AE87" s="137">
        <f>-(AE58-X58)</f>
        <v>0</v>
      </c>
      <c r="AF87" s="137"/>
      <c r="AG87" s="137"/>
      <c r="AH87" s="137"/>
      <c r="AI87" s="137"/>
      <c r="AJ87" s="137"/>
      <c r="AK87" s="137"/>
      <c r="AL87" s="137">
        <f>-(AL58-AE58)</f>
        <v>0</v>
      </c>
      <c r="AM87" s="137"/>
      <c r="AN87" s="137"/>
      <c r="AO87" s="137"/>
      <c r="AP87" s="137"/>
      <c r="AQ87" s="137"/>
      <c r="AR87" s="137"/>
      <c r="AS87" s="137">
        <f>-(AS58-AL58)</f>
        <v>0</v>
      </c>
      <c r="AT87" s="137"/>
      <c r="AU87" s="137"/>
      <c r="AV87" s="137"/>
      <c r="AW87" s="137"/>
      <c r="AX87" s="137"/>
      <c r="AY87" s="137"/>
      <c r="AZ87" s="137">
        <f>-(AZ58-AS58)</f>
        <v>0</v>
      </c>
      <c r="BA87" s="137"/>
      <c r="BB87" s="137"/>
      <c r="BC87" s="137"/>
      <c r="BD87" s="137"/>
      <c r="BE87" s="137"/>
      <c r="BF87" s="137"/>
      <c r="BG87" s="137">
        <f>-(BG58-AZ58)</f>
        <v>0</v>
      </c>
      <c r="BH87" s="137"/>
      <c r="BI87" s="137"/>
      <c r="BJ87" s="137"/>
      <c r="BK87" s="137"/>
      <c r="BL87" s="137"/>
      <c r="BM87" s="137"/>
      <c r="BN87" s="137">
        <f>-(BN58-BG58)</f>
        <v>0</v>
      </c>
      <c r="BO87" s="137"/>
      <c r="BP87" s="137"/>
      <c r="BQ87" s="137"/>
      <c r="BR87" s="137"/>
      <c r="BS87" s="137"/>
      <c r="BT87" s="137"/>
      <c r="BU87" s="137">
        <f>-(BU58-BN58)</f>
        <v>0</v>
      </c>
      <c r="BV87" s="137"/>
      <c r="BW87" s="137"/>
      <c r="BX87" s="137"/>
      <c r="BY87" s="137"/>
      <c r="BZ87" s="137"/>
      <c r="CA87" s="137"/>
      <c r="CB87" s="137">
        <f>-(CB58-BU58)</f>
        <v>0</v>
      </c>
      <c r="CC87" s="137"/>
      <c r="CD87" s="137"/>
      <c r="CE87" s="137"/>
      <c r="CF87" s="137"/>
      <c r="CG87" s="137"/>
      <c r="CH87" s="137"/>
      <c r="CI87" s="137">
        <f>-(CI58-CB58)</f>
        <v>0</v>
      </c>
      <c r="CJ87" s="137"/>
      <c r="CK87" s="137"/>
      <c r="CL87" s="137"/>
      <c r="CM87" s="137"/>
      <c r="CN87" s="137"/>
    </row>
    <row r="88" spans="2:95" x14ac:dyDescent="0.2">
      <c r="B88" s="105" t="s">
        <v>431</v>
      </c>
      <c r="D88" s="137"/>
      <c r="E88" s="137"/>
      <c r="F88" s="137"/>
      <c r="G88" s="137"/>
      <c r="H88" s="137"/>
      <c r="I88" s="137"/>
      <c r="J88" s="137">
        <f>-(J59-C59)</f>
        <v>0</v>
      </c>
      <c r="K88" s="137"/>
      <c r="L88" s="137"/>
      <c r="M88" s="137"/>
      <c r="N88" s="137"/>
      <c r="O88" s="137"/>
      <c r="P88" s="137"/>
      <c r="Q88" s="137">
        <f>-(Q59-J59)</f>
        <v>0</v>
      </c>
      <c r="R88" s="137"/>
      <c r="S88" s="137"/>
      <c r="T88" s="137"/>
      <c r="U88" s="137"/>
      <c r="V88" s="137"/>
      <c r="W88" s="137"/>
      <c r="X88" s="137">
        <f>-(X59-Q59)</f>
        <v>0</v>
      </c>
      <c r="Y88" s="137"/>
      <c r="Z88" s="137"/>
      <c r="AA88" s="137"/>
      <c r="AB88" s="137"/>
      <c r="AC88" s="137"/>
      <c r="AD88" s="137"/>
      <c r="AE88" s="137">
        <f>-(AE59-X59)</f>
        <v>0</v>
      </c>
      <c r="AF88" s="137"/>
      <c r="AG88" s="137"/>
      <c r="AH88" s="137"/>
      <c r="AI88" s="137"/>
      <c r="AJ88" s="137"/>
      <c r="AK88" s="137"/>
      <c r="AL88" s="137">
        <f>-(AL59-AE59)</f>
        <v>0</v>
      </c>
      <c r="AM88" s="137"/>
      <c r="AN88" s="137"/>
      <c r="AO88" s="137"/>
      <c r="AP88" s="137"/>
      <c r="AQ88" s="137"/>
      <c r="AR88" s="137"/>
      <c r="AS88" s="137">
        <f>-(AS59-AL59)</f>
        <v>0</v>
      </c>
      <c r="AT88" s="137"/>
      <c r="AU88" s="137"/>
      <c r="AV88" s="137"/>
      <c r="AW88" s="137"/>
      <c r="AX88" s="137"/>
      <c r="AY88" s="137"/>
      <c r="AZ88" s="137">
        <f>-(AZ59-AS59)</f>
        <v>0</v>
      </c>
      <c r="BA88" s="137"/>
      <c r="BB88" s="137"/>
      <c r="BC88" s="137"/>
      <c r="BD88" s="137"/>
      <c r="BE88" s="137"/>
      <c r="BF88" s="137"/>
      <c r="BG88" s="137">
        <f>-(BG59-AZ59)</f>
        <v>0</v>
      </c>
      <c r="BH88" s="137"/>
      <c r="BI88" s="137"/>
      <c r="BJ88" s="137"/>
      <c r="BK88" s="137"/>
      <c r="BL88" s="137"/>
      <c r="BM88" s="137"/>
      <c r="BN88" s="137">
        <f>-(BN59-BG59)</f>
        <v>0</v>
      </c>
      <c r="BO88" s="137"/>
      <c r="BP88" s="137"/>
      <c r="BQ88" s="137"/>
      <c r="BR88" s="137"/>
      <c r="BS88" s="137"/>
      <c r="BT88" s="137"/>
      <c r="BU88" s="137">
        <f>-(BU59-BN59)</f>
        <v>0</v>
      </c>
      <c r="BV88" s="137"/>
      <c r="BW88" s="137"/>
      <c r="BX88" s="137"/>
      <c r="BY88" s="137"/>
      <c r="BZ88" s="137"/>
      <c r="CA88" s="137"/>
      <c r="CB88" s="137">
        <f>-(CB59-BU59)</f>
        <v>0</v>
      </c>
      <c r="CC88" s="137"/>
      <c r="CD88" s="137"/>
      <c r="CE88" s="137"/>
      <c r="CF88" s="137"/>
      <c r="CG88" s="137"/>
      <c r="CH88" s="137"/>
      <c r="CI88" s="137">
        <f>-(CI59-CB59)</f>
        <v>0</v>
      </c>
      <c r="CJ88" s="137"/>
      <c r="CK88" s="137"/>
      <c r="CL88" s="137"/>
      <c r="CM88" s="137"/>
      <c r="CN88" s="137"/>
    </row>
    <row r="89" spans="2:95" x14ac:dyDescent="0.2">
      <c r="B89" s="105" t="s">
        <v>432</v>
      </c>
      <c r="D89" s="137"/>
      <c r="E89" s="137"/>
      <c r="F89" s="137"/>
      <c r="G89" s="137"/>
      <c r="H89" s="137"/>
      <c r="I89" s="137"/>
      <c r="J89" s="137">
        <f>-(J60-C60)</f>
        <v>0</v>
      </c>
      <c r="K89" s="137"/>
      <c r="L89" s="137"/>
      <c r="M89" s="137"/>
      <c r="N89" s="137"/>
      <c r="O89" s="137"/>
      <c r="P89" s="137"/>
      <c r="Q89" s="137">
        <f>-(Q60-J60)</f>
        <v>0</v>
      </c>
      <c r="R89" s="137"/>
      <c r="S89" s="137"/>
      <c r="T89" s="137"/>
      <c r="U89" s="137"/>
      <c r="V89" s="137"/>
      <c r="W89" s="137"/>
      <c r="X89" s="137">
        <f>-(X60-Q60)</f>
        <v>0</v>
      </c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  <c r="AT89" s="137"/>
      <c r="AU89" s="137"/>
      <c r="AV89" s="137"/>
      <c r="AW89" s="137"/>
      <c r="AX89" s="137"/>
      <c r="AY89" s="137"/>
      <c r="AZ89" s="137">
        <f>-(AZ60-AS60)</f>
        <v>0</v>
      </c>
      <c r="BA89" s="137"/>
      <c r="BB89" s="137"/>
      <c r="BC89" s="137"/>
      <c r="BD89" s="137"/>
      <c r="BE89" s="137"/>
      <c r="BF89" s="137"/>
      <c r="BG89" s="137">
        <f>-(BG60-AZ60)</f>
        <v>0</v>
      </c>
      <c r="BH89" s="137"/>
      <c r="BI89" s="137"/>
      <c r="BJ89" s="137"/>
      <c r="BK89" s="137"/>
      <c r="BL89" s="137"/>
      <c r="BM89" s="137"/>
      <c r="BN89" s="137">
        <f>-(BN60-BG60)</f>
        <v>0</v>
      </c>
      <c r="BO89" s="137"/>
      <c r="BP89" s="137"/>
      <c r="BQ89" s="137"/>
      <c r="BR89" s="137"/>
      <c r="BS89" s="137"/>
      <c r="BT89" s="137"/>
      <c r="BU89" s="137">
        <f>-(BU60-BN60)</f>
        <v>0</v>
      </c>
      <c r="BV89" s="137"/>
      <c r="BW89" s="137"/>
      <c r="BX89" s="137"/>
      <c r="BY89" s="137"/>
      <c r="BZ89" s="137"/>
      <c r="CA89" s="137"/>
      <c r="CB89" s="137">
        <f>-(CB60-BU60)</f>
        <v>0</v>
      </c>
      <c r="CC89" s="137"/>
      <c r="CD89" s="137"/>
      <c r="CE89" s="137"/>
      <c r="CF89" s="137"/>
      <c r="CG89" s="137"/>
      <c r="CH89" s="137"/>
      <c r="CI89" s="137">
        <f>-(CI60-CB60)</f>
        <v>0</v>
      </c>
      <c r="CJ89" s="137"/>
      <c r="CK89" s="137"/>
      <c r="CL89" s="137"/>
      <c r="CM89" s="137"/>
      <c r="CN89" s="137"/>
    </row>
    <row r="90" spans="2:95" x14ac:dyDescent="0.2">
      <c r="B90" s="105" t="s">
        <v>433</v>
      </c>
      <c r="D90" s="137"/>
      <c r="E90" s="137"/>
      <c r="F90" s="137"/>
      <c r="G90" s="137"/>
      <c r="H90" s="137"/>
      <c r="I90" s="137"/>
      <c r="J90" s="137">
        <f>(J66-C66)</f>
        <v>0</v>
      </c>
      <c r="K90" s="137"/>
      <c r="L90" s="137"/>
      <c r="M90" s="137"/>
      <c r="N90" s="137"/>
      <c r="O90" s="137"/>
      <c r="P90" s="137"/>
      <c r="Q90" s="137">
        <f>(Q66-J66)</f>
        <v>0</v>
      </c>
      <c r="R90" s="137"/>
      <c r="S90" s="137"/>
      <c r="T90" s="137"/>
      <c r="U90" s="137"/>
      <c r="V90" s="137"/>
      <c r="W90" s="137"/>
      <c r="X90" s="137">
        <f>(X66-Q66)</f>
        <v>0</v>
      </c>
      <c r="Y90" s="137"/>
      <c r="Z90" s="137"/>
      <c r="AA90" s="137"/>
      <c r="AB90" s="137"/>
      <c r="AC90" s="137"/>
      <c r="AD90" s="137"/>
      <c r="AE90" s="137">
        <f>(AE66-X66)</f>
        <v>0</v>
      </c>
      <c r="AF90" s="137"/>
      <c r="AG90" s="137"/>
      <c r="AH90" s="137"/>
      <c r="AI90" s="137"/>
      <c r="AJ90" s="137"/>
      <c r="AK90" s="137"/>
      <c r="AL90" s="137">
        <f>(AL66-AE66)</f>
        <v>0</v>
      </c>
      <c r="AM90" s="137"/>
      <c r="AN90" s="137"/>
      <c r="AO90" s="137"/>
      <c r="AP90" s="137"/>
      <c r="AQ90" s="137"/>
      <c r="AR90" s="137"/>
      <c r="AS90" s="137">
        <f>(AS66-AL66)</f>
        <v>0</v>
      </c>
      <c r="AT90" s="137"/>
      <c r="AU90" s="137"/>
      <c r="AV90" s="137"/>
      <c r="AW90" s="137"/>
      <c r="AX90" s="137"/>
      <c r="AY90" s="137"/>
      <c r="AZ90" s="137">
        <f>(AZ66-AS66)</f>
        <v>0</v>
      </c>
      <c r="BA90" s="137"/>
      <c r="BB90" s="137"/>
      <c r="BC90" s="137"/>
      <c r="BD90" s="137"/>
      <c r="BE90" s="137"/>
      <c r="BF90" s="137"/>
      <c r="BG90" s="137">
        <f>(BG66-AZ66)</f>
        <v>0</v>
      </c>
      <c r="BH90" s="137"/>
      <c r="BI90" s="137"/>
      <c r="BJ90" s="137"/>
      <c r="BK90" s="137"/>
      <c r="BL90" s="137"/>
      <c r="BM90" s="137"/>
      <c r="BN90" s="137">
        <f>(BN66-BG66)</f>
        <v>0</v>
      </c>
      <c r="BO90" s="137"/>
      <c r="BP90" s="137"/>
      <c r="BQ90" s="137"/>
      <c r="BR90" s="137"/>
      <c r="BS90" s="137"/>
      <c r="BT90" s="137"/>
      <c r="BU90" s="137">
        <f>(BU66-BN66)</f>
        <v>0</v>
      </c>
      <c r="BV90" s="137"/>
      <c r="BW90" s="137"/>
      <c r="BX90" s="137"/>
      <c r="BY90" s="137"/>
      <c r="BZ90" s="137"/>
      <c r="CA90" s="137"/>
      <c r="CB90" s="137">
        <f>(CB66-BU66)</f>
        <v>0</v>
      </c>
      <c r="CC90" s="137"/>
      <c r="CD90" s="137"/>
      <c r="CE90" s="137"/>
      <c r="CF90" s="137"/>
      <c r="CG90" s="137"/>
      <c r="CH90" s="137"/>
      <c r="CI90" s="137">
        <f>(CI66-CB66)</f>
        <v>0</v>
      </c>
      <c r="CJ90" s="137"/>
      <c r="CK90" s="137"/>
      <c r="CL90" s="137"/>
      <c r="CM90" s="137"/>
      <c r="CN90" s="137"/>
    </row>
    <row r="91" spans="2:95" x14ac:dyDescent="0.2">
      <c r="B91" s="105" t="s">
        <v>434</v>
      </c>
      <c r="D91" s="137"/>
      <c r="E91" s="137"/>
      <c r="F91" s="137"/>
      <c r="G91" s="137"/>
      <c r="H91" s="137"/>
      <c r="I91" s="137"/>
      <c r="J91" s="137">
        <f>(J65-C65)</f>
        <v>0</v>
      </c>
      <c r="K91" s="137"/>
      <c r="L91" s="137"/>
      <c r="M91" s="137"/>
      <c r="N91" s="137"/>
      <c r="O91" s="137"/>
      <c r="P91" s="137"/>
      <c r="Q91" s="137">
        <f>(Q65-J65)</f>
        <v>0</v>
      </c>
      <c r="R91" s="137"/>
      <c r="S91" s="137"/>
      <c r="T91" s="137"/>
      <c r="U91" s="137"/>
      <c r="V91" s="137"/>
      <c r="W91" s="137"/>
      <c r="X91" s="137">
        <f>(X65-Q65)</f>
        <v>0</v>
      </c>
      <c r="Y91" s="137"/>
      <c r="Z91" s="137"/>
      <c r="AA91" s="137"/>
      <c r="AB91" s="137"/>
      <c r="AC91" s="137"/>
      <c r="AD91" s="137"/>
      <c r="AE91" s="137">
        <f>(AE65-X65)</f>
        <v>0</v>
      </c>
      <c r="AF91" s="137"/>
      <c r="AG91" s="137"/>
      <c r="AH91" s="137"/>
      <c r="AI91" s="137"/>
      <c r="AJ91" s="137"/>
      <c r="AK91" s="137"/>
      <c r="AL91" s="137">
        <f>(AL65-AE65)</f>
        <v>0</v>
      </c>
      <c r="AM91" s="137"/>
      <c r="AN91" s="137"/>
      <c r="AO91" s="137"/>
      <c r="AP91" s="137"/>
      <c r="AQ91" s="137"/>
      <c r="AR91" s="137"/>
      <c r="AS91" s="137">
        <f>(AS65-AL65)</f>
        <v>0</v>
      </c>
      <c r="AT91" s="137"/>
      <c r="AU91" s="137"/>
      <c r="AV91" s="137"/>
      <c r="AW91" s="137"/>
      <c r="AX91" s="137"/>
      <c r="AY91" s="137"/>
      <c r="AZ91" s="137">
        <f>(AZ65-AS65)</f>
        <v>0</v>
      </c>
      <c r="BA91" s="137"/>
      <c r="BB91" s="137"/>
      <c r="BC91" s="137"/>
      <c r="BD91" s="137"/>
      <c r="BE91" s="137"/>
      <c r="BF91" s="137"/>
      <c r="BG91" s="137">
        <f>(BG65-AZ65)</f>
        <v>0</v>
      </c>
      <c r="BH91" s="137"/>
      <c r="BI91" s="137"/>
      <c r="BJ91" s="137"/>
      <c r="BK91" s="137"/>
      <c r="BL91" s="137"/>
      <c r="BM91" s="137"/>
      <c r="BN91" s="137">
        <f>(BN65-BG65)</f>
        <v>0</v>
      </c>
      <c r="BO91" s="137"/>
      <c r="BP91" s="137"/>
      <c r="BQ91" s="137"/>
      <c r="BR91" s="137"/>
      <c r="BS91" s="137"/>
      <c r="BT91" s="137"/>
      <c r="BU91" s="137">
        <f>(BU65-BN65)</f>
        <v>0</v>
      </c>
      <c r="BV91" s="137"/>
      <c r="BW91" s="137"/>
      <c r="BX91" s="137"/>
      <c r="BY91" s="137"/>
      <c r="BZ91" s="137"/>
      <c r="CA91" s="137"/>
      <c r="CB91" s="137">
        <f>(CB65-BU65)</f>
        <v>0</v>
      </c>
      <c r="CC91" s="137"/>
      <c r="CD91" s="137"/>
      <c r="CE91" s="137"/>
      <c r="CF91" s="137"/>
      <c r="CG91" s="137"/>
      <c r="CH91" s="137"/>
      <c r="CI91" s="137">
        <f>(CI65-CB65)</f>
        <v>0</v>
      </c>
      <c r="CJ91" s="137"/>
      <c r="CK91" s="137"/>
      <c r="CL91" s="137"/>
      <c r="CM91" s="137"/>
      <c r="CN91" s="137"/>
    </row>
    <row r="92" spans="2:95" x14ac:dyDescent="0.2">
      <c r="B92" s="105" t="s">
        <v>435</v>
      </c>
      <c r="D92" s="137"/>
      <c r="E92" s="137"/>
      <c r="F92" s="137"/>
      <c r="G92" s="137"/>
      <c r="H92" s="137"/>
      <c r="I92" s="137"/>
      <c r="J92" s="137">
        <f>(J67-C67)</f>
        <v>0</v>
      </c>
      <c r="K92" s="137"/>
      <c r="L92" s="137"/>
      <c r="M92" s="137"/>
      <c r="N92" s="137"/>
      <c r="O92" s="137"/>
      <c r="P92" s="137"/>
      <c r="Q92" s="137">
        <f>(Q67-J67)</f>
        <v>0</v>
      </c>
      <c r="R92" s="137"/>
      <c r="S92" s="137"/>
      <c r="T92" s="137"/>
      <c r="U92" s="137"/>
      <c r="V92" s="137"/>
      <c r="W92" s="137"/>
      <c r="X92" s="137">
        <f>(X67-Q67)</f>
        <v>0</v>
      </c>
      <c r="Y92" s="137"/>
      <c r="Z92" s="137"/>
      <c r="AA92" s="137"/>
      <c r="AB92" s="137"/>
      <c r="AC92" s="137"/>
      <c r="AD92" s="137"/>
      <c r="AE92" s="137">
        <f>(AE67-X67)</f>
        <v>0</v>
      </c>
      <c r="AF92" s="137"/>
      <c r="AG92" s="137"/>
      <c r="AH92" s="137"/>
      <c r="AI92" s="137"/>
      <c r="AJ92" s="137"/>
      <c r="AK92" s="137"/>
      <c r="AL92" s="137">
        <f>(AL67-AE67)</f>
        <v>0</v>
      </c>
      <c r="AM92" s="137"/>
      <c r="AN92" s="137"/>
      <c r="AO92" s="137"/>
      <c r="AP92" s="137"/>
      <c r="AQ92" s="137"/>
      <c r="AR92" s="137"/>
      <c r="AS92" s="137">
        <f>(AS67-AL67)</f>
        <v>0</v>
      </c>
      <c r="AT92" s="137"/>
      <c r="AU92" s="137"/>
      <c r="AV92" s="137"/>
      <c r="AW92" s="137"/>
      <c r="AX92" s="137"/>
      <c r="AY92" s="137"/>
      <c r="AZ92" s="137">
        <f>(AZ67-AS67)</f>
        <v>0</v>
      </c>
      <c r="BA92" s="137"/>
      <c r="BB92" s="137"/>
      <c r="BC92" s="137"/>
      <c r="BD92" s="137"/>
      <c r="BE92" s="137"/>
      <c r="BF92" s="137"/>
      <c r="BG92" s="137">
        <f>(BG67-AZ67)</f>
        <v>0</v>
      </c>
      <c r="BH92" s="137"/>
      <c r="BI92" s="137"/>
      <c r="BJ92" s="137"/>
      <c r="BK92" s="137"/>
      <c r="BL92" s="137"/>
      <c r="BM92" s="137"/>
      <c r="BN92" s="137">
        <f>(BN67-BG67)</f>
        <v>0</v>
      </c>
      <c r="BO92" s="137"/>
      <c r="BP92" s="137"/>
      <c r="BQ92" s="137"/>
      <c r="BR92" s="137"/>
      <c r="BS92" s="137"/>
      <c r="BT92" s="137"/>
      <c r="BU92" s="137">
        <f>(BU67-BN67)</f>
        <v>0</v>
      </c>
      <c r="BV92" s="137"/>
      <c r="BW92" s="137"/>
      <c r="BX92" s="137"/>
      <c r="BY92" s="137"/>
      <c r="BZ92" s="137"/>
      <c r="CA92" s="137"/>
      <c r="CB92" s="137">
        <f>(CB67-BU67)</f>
        <v>0</v>
      </c>
      <c r="CC92" s="137"/>
      <c r="CD92" s="137"/>
      <c r="CE92" s="137"/>
      <c r="CF92" s="137"/>
      <c r="CG92" s="137"/>
      <c r="CH92" s="137"/>
      <c r="CI92" s="137">
        <f>(CI67-CB67)</f>
        <v>0</v>
      </c>
      <c r="CJ92" s="137"/>
      <c r="CK92" s="137"/>
      <c r="CL92" s="137"/>
      <c r="CM92" s="137"/>
      <c r="CN92" s="137"/>
    </row>
    <row r="93" spans="2:95" x14ac:dyDescent="0.2">
      <c r="B93" s="105" t="s">
        <v>436</v>
      </c>
      <c r="D93" s="137"/>
      <c r="E93" s="137"/>
      <c r="F93" s="137"/>
      <c r="G93" s="137"/>
      <c r="H93" s="137"/>
      <c r="I93" s="137"/>
      <c r="J93" s="137">
        <f>(J69-C69)</f>
        <v>0</v>
      </c>
      <c r="K93" s="137"/>
      <c r="L93" s="137"/>
      <c r="M93" s="137"/>
      <c r="N93" s="137"/>
      <c r="O93" s="137"/>
      <c r="P93" s="137"/>
      <c r="Q93" s="137">
        <f>(Q69-J69)</f>
        <v>0</v>
      </c>
      <c r="R93" s="137"/>
      <c r="S93" s="137"/>
      <c r="T93" s="137"/>
      <c r="U93" s="137"/>
      <c r="V93" s="137"/>
      <c r="W93" s="137"/>
      <c r="X93" s="137">
        <f>(X69-Q69)</f>
        <v>0</v>
      </c>
      <c r="Y93" s="137"/>
      <c r="Z93" s="137"/>
      <c r="AA93" s="137"/>
      <c r="AB93" s="137"/>
      <c r="AC93" s="137"/>
      <c r="AD93" s="137"/>
      <c r="AE93" s="137">
        <f>(AE69-X69)</f>
        <v>0</v>
      </c>
      <c r="AF93" s="137"/>
      <c r="AG93" s="137"/>
      <c r="AH93" s="137"/>
      <c r="AI93" s="137"/>
      <c r="AJ93" s="137"/>
      <c r="AK93" s="137"/>
      <c r="AL93" s="137">
        <f>(AL69-AE69)</f>
        <v>0</v>
      </c>
      <c r="AM93" s="137"/>
      <c r="AN93" s="137"/>
      <c r="AO93" s="137"/>
      <c r="AP93" s="137"/>
      <c r="AQ93" s="137"/>
      <c r="AR93" s="137"/>
      <c r="AS93" s="137">
        <f>(AS69-AL69)</f>
        <v>0</v>
      </c>
      <c r="AT93" s="137"/>
      <c r="AU93" s="137"/>
      <c r="AV93" s="137"/>
      <c r="AW93" s="137"/>
      <c r="AX93" s="137"/>
      <c r="AY93" s="137"/>
      <c r="AZ93" s="137">
        <f>(AZ69-AS69)</f>
        <v>0</v>
      </c>
      <c r="BA93" s="137"/>
      <c r="BB93" s="137"/>
      <c r="BC93" s="137"/>
      <c r="BD93" s="137"/>
      <c r="BE93" s="137"/>
      <c r="BF93" s="137"/>
      <c r="BG93" s="137">
        <f>(BG69-AZ69)</f>
        <v>0</v>
      </c>
      <c r="BH93" s="137"/>
      <c r="BI93" s="137"/>
      <c r="BJ93" s="137"/>
      <c r="BK93" s="137"/>
      <c r="BL93" s="137"/>
      <c r="BM93" s="137"/>
      <c r="BN93" s="137">
        <f>(BN69-BG69)</f>
        <v>0</v>
      </c>
      <c r="BO93" s="137"/>
      <c r="BP93" s="137"/>
      <c r="BQ93" s="137"/>
      <c r="BR93" s="137"/>
      <c r="BS93" s="137"/>
      <c r="BT93" s="137"/>
      <c r="BU93" s="137">
        <f>(BU69-BN69)</f>
        <v>0</v>
      </c>
      <c r="BV93" s="137"/>
      <c r="BW93" s="137"/>
      <c r="BX93" s="137"/>
      <c r="BY93" s="137"/>
      <c r="BZ93" s="137"/>
      <c r="CA93" s="137"/>
      <c r="CB93" s="137">
        <f>(CB69-BU69)</f>
        <v>0</v>
      </c>
      <c r="CC93" s="137"/>
      <c r="CD93" s="137"/>
      <c r="CE93" s="137"/>
      <c r="CF93" s="137"/>
      <c r="CG93" s="137"/>
      <c r="CH93" s="137"/>
      <c r="CI93" s="137">
        <f>(CI69-CB69)</f>
        <v>0</v>
      </c>
      <c r="CJ93" s="137"/>
      <c r="CK93" s="137"/>
      <c r="CL93" s="137"/>
      <c r="CM93" s="137"/>
      <c r="CN93" s="137"/>
    </row>
    <row r="94" spans="2:95" ht="16" x14ac:dyDescent="0.2">
      <c r="B94" s="141" t="s">
        <v>354</v>
      </c>
      <c r="C94" s="207"/>
      <c r="D94" s="162"/>
      <c r="E94" s="162"/>
      <c r="F94" s="162"/>
      <c r="G94" s="162"/>
      <c r="H94" s="162"/>
      <c r="I94" s="162"/>
      <c r="J94" s="162">
        <f>SUM(J85:J93)</f>
        <v>-7319254.4800000014</v>
      </c>
      <c r="K94" s="162"/>
      <c r="L94" s="162"/>
      <c r="M94" s="162"/>
      <c r="N94" s="162"/>
      <c r="O94" s="162"/>
      <c r="P94" s="162"/>
      <c r="Q94" s="162">
        <f>SUM(Q85:Q93)</f>
        <v>-18222947.060000002</v>
      </c>
      <c r="R94" s="162"/>
      <c r="S94" s="162"/>
      <c r="T94" s="162"/>
      <c r="U94" s="162"/>
      <c r="V94" s="162"/>
      <c r="W94" s="162"/>
      <c r="X94" s="162">
        <f>SUM(X85:X93)</f>
        <v>-28722449.289999999</v>
      </c>
      <c r="Y94" s="162"/>
      <c r="Z94" s="162"/>
      <c r="AA94" s="162"/>
      <c r="AB94" s="162"/>
      <c r="AC94" s="162"/>
      <c r="AD94" s="162"/>
      <c r="AE94" s="162">
        <f>SUM(AE85:AE93)</f>
        <v>-1948521.9400000006</v>
      </c>
      <c r="AF94" s="162"/>
      <c r="AG94" s="162"/>
      <c r="AH94" s="162"/>
      <c r="AI94" s="162"/>
      <c r="AJ94" s="162"/>
      <c r="AK94" s="162"/>
      <c r="AL94" s="162">
        <f>SUM(AL85:AL93)</f>
        <v>2219239.7000000002</v>
      </c>
      <c r="AM94" s="162"/>
      <c r="AN94" s="162"/>
      <c r="AO94" s="162"/>
      <c r="AP94" s="162"/>
      <c r="AQ94" s="162"/>
      <c r="AR94" s="162"/>
      <c r="AS94" s="162">
        <f>SUM(AS85:AS93)</f>
        <v>5939346.5200000014</v>
      </c>
      <c r="AT94" s="162"/>
      <c r="AU94" s="162"/>
      <c r="AV94" s="162"/>
      <c r="AW94" s="162"/>
      <c r="AX94" s="162"/>
      <c r="AY94" s="162"/>
      <c r="AZ94" s="162">
        <f>SUM(AZ85:AZ93)</f>
        <v>5914259.4800000014</v>
      </c>
      <c r="BA94" s="162"/>
      <c r="BB94" s="162"/>
      <c r="BC94" s="162"/>
      <c r="BD94" s="162"/>
      <c r="BE94" s="162"/>
      <c r="BF94" s="162"/>
      <c r="BG94" s="162">
        <f>SUM(BG85:BG93)</f>
        <v>6100390.3200000003</v>
      </c>
      <c r="BH94" s="162"/>
      <c r="BI94" s="162"/>
      <c r="BJ94" s="162"/>
      <c r="BK94" s="162"/>
      <c r="BL94" s="162"/>
      <c r="BM94" s="162"/>
      <c r="BN94" s="162">
        <f>SUM(BN85:BN93)</f>
        <v>-2561597.3200000008</v>
      </c>
      <c r="BO94" s="162"/>
      <c r="BP94" s="162"/>
      <c r="BQ94" s="162"/>
      <c r="BR94" s="162"/>
      <c r="BS94" s="162"/>
      <c r="BT94" s="162"/>
      <c r="BU94" s="162">
        <f>SUM(BU85:BU93)</f>
        <v>3806166.5700000003</v>
      </c>
      <c r="BV94" s="162"/>
      <c r="BW94" s="162"/>
      <c r="BX94" s="162"/>
      <c r="BY94" s="162"/>
      <c r="BZ94" s="162"/>
      <c r="CA94" s="162"/>
      <c r="CB94" s="162">
        <f>SUM(CB85:CB93)</f>
        <v>11369333.289999999</v>
      </c>
      <c r="CC94" s="162"/>
      <c r="CD94" s="162"/>
      <c r="CE94" s="162"/>
      <c r="CF94" s="162"/>
      <c r="CG94" s="162"/>
      <c r="CH94" s="162"/>
      <c r="CI94" s="162">
        <f>SUM(CI85:CI93)</f>
        <v>-11712030.870000001</v>
      </c>
      <c r="CJ94" s="163"/>
      <c r="CK94" s="163"/>
      <c r="CL94" s="163"/>
      <c r="CM94" s="163"/>
      <c r="CN94" s="163"/>
    </row>
    <row r="95" spans="2:95" x14ac:dyDescent="0.2">
      <c r="B95" s="105" t="s">
        <v>437</v>
      </c>
      <c r="D95" s="137"/>
      <c r="E95" s="137"/>
      <c r="F95" s="137"/>
      <c r="G95" s="137"/>
      <c r="H95" s="137"/>
      <c r="I95" s="137"/>
      <c r="J95" s="137">
        <f>-(J62-'EEFF 2023'!CI62+J15)</f>
        <v>0</v>
      </c>
      <c r="K95" s="137"/>
      <c r="L95" s="137"/>
      <c r="M95" s="137"/>
      <c r="N95" s="137"/>
      <c r="O95" s="137"/>
      <c r="P95" s="137"/>
      <c r="Q95" s="137">
        <f>-(Q62-J62+Q15)</f>
        <v>0</v>
      </c>
      <c r="R95" s="137"/>
      <c r="S95" s="137"/>
      <c r="T95" s="137"/>
      <c r="U95" s="137"/>
      <c r="V95" s="137"/>
      <c r="W95" s="137"/>
      <c r="X95" s="137">
        <f>-(X62-Q62+X15)</f>
        <v>0</v>
      </c>
      <c r="Y95" s="137"/>
      <c r="Z95" s="137"/>
      <c r="AA95" s="137"/>
      <c r="AB95" s="137"/>
      <c r="AC95" s="137"/>
      <c r="AD95" s="137"/>
      <c r="AE95" s="137">
        <f>-(AE62-X62+AE15)</f>
        <v>0</v>
      </c>
      <c r="AF95" s="137"/>
      <c r="AG95" s="137"/>
      <c r="AH95" s="137"/>
      <c r="AI95" s="137"/>
      <c r="AJ95" s="137"/>
      <c r="AK95" s="137"/>
      <c r="AL95" s="137">
        <f>-(AL62-AE62+AL15)</f>
        <v>0</v>
      </c>
      <c r="AM95" s="137"/>
      <c r="AN95" s="137"/>
      <c r="AO95" s="137"/>
      <c r="AP95" s="137"/>
      <c r="AQ95" s="137"/>
      <c r="AR95" s="137"/>
      <c r="AS95" s="137">
        <f>-(AS62-AL62+AS15)</f>
        <v>0</v>
      </c>
      <c r="AT95" s="137"/>
      <c r="AU95" s="137"/>
      <c r="AV95" s="137"/>
      <c r="AW95" s="137"/>
      <c r="AX95" s="137"/>
      <c r="AY95" s="137"/>
      <c r="AZ95" s="137">
        <f>-(AZ62-AS62+AZ15)</f>
        <v>0</v>
      </c>
      <c r="BA95" s="137"/>
      <c r="BB95" s="137"/>
      <c r="BC95" s="137"/>
      <c r="BD95" s="137"/>
      <c r="BE95" s="137"/>
      <c r="BF95" s="137"/>
      <c r="BG95" s="137">
        <f>-(BG62-AZ62+BG15)</f>
        <v>0</v>
      </c>
      <c r="BH95" s="137"/>
      <c r="BI95" s="137"/>
      <c r="BJ95" s="137"/>
      <c r="BK95" s="137"/>
      <c r="BL95" s="137"/>
      <c r="BM95" s="137"/>
      <c r="BN95" s="137">
        <f>-(BN62-BG62+BN15)</f>
        <v>0</v>
      </c>
      <c r="BO95" s="137"/>
      <c r="BP95" s="137"/>
      <c r="BQ95" s="137"/>
      <c r="BR95" s="137"/>
      <c r="BS95" s="137"/>
      <c r="BT95" s="137"/>
      <c r="BU95" s="137">
        <f>-(BU62-BN62+BU15)</f>
        <v>0</v>
      </c>
      <c r="BV95" s="137"/>
      <c r="BW95" s="137"/>
      <c r="BX95" s="137"/>
      <c r="BY95" s="137"/>
      <c r="BZ95" s="137"/>
      <c r="CA95" s="137"/>
      <c r="CB95" s="137">
        <f>-(CB62-BU62+CB15)</f>
        <v>0</v>
      </c>
      <c r="CC95" s="137"/>
      <c r="CD95" s="137"/>
      <c r="CE95" s="137"/>
      <c r="CF95" s="137"/>
      <c r="CG95" s="137"/>
      <c r="CH95" s="137"/>
      <c r="CI95" s="137">
        <f>-(CI62-CB62+CI15)</f>
        <v>0</v>
      </c>
      <c r="CJ95" s="137"/>
      <c r="CK95" s="137"/>
      <c r="CL95" s="137"/>
      <c r="CM95" s="137"/>
      <c r="CN95" s="137"/>
    </row>
    <row r="96" spans="2:95" ht="16" x14ac:dyDescent="0.2">
      <c r="B96" s="141" t="s">
        <v>355</v>
      </c>
      <c r="C96" s="207"/>
      <c r="D96" s="162"/>
      <c r="E96" s="162"/>
      <c r="F96" s="162"/>
      <c r="G96" s="162"/>
      <c r="H96" s="162"/>
      <c r="I96" s="162"/>
      <c r="J96" s="162">
        <f>SUM(J95)</f>
        <v>0</v>
      </c>
      <c r="K96" s="162"/>
      <c r="L96" s="162"/>
      <c r="M96" s="162"/>
      <c r="N96" s="162"/>
      <c r="O96" s="162"/>
      <c r="P96" s="162"/>
      <c r="Q96" s="162">
        <f>SUM(Q95)</f>
        <v>0</v>
      </c>
      <c r="R96" s="162"/>
      <c r="S96" s="162"/>
      <c r="T96" s="162"/>
      <c r="U96" s="162"/>
      <c r="V96" s="162"/>
      <c r="W96" s="162"/>
      <c r="X96" s="162">
        <f>SUM(X95)</f>
        <v>0</v>
      </c>
      <c r="Y96" s="162"/>
      <c r="Z96" s="162"/>
      <c r="AA96" s="162"/>
      <c r="AB96" s="162"/>
      <c r="AC96" s="162"/>
      <c r="AD96" s="162"/>
      <c r="AE96" s="162">
        <f>SUM(AE95)</f>
        <v>0</v>
      </c>
      <c r="AF96" s="162"/>
      <c r="AG96" s="162"/>
      <c r="AH96" s="162"/>
      <c r="AI96" s="162"/>
      <c r="AJ96" s="162"/>
      <c r="AK96" s="162"/>
      <c r="AL96" s="162">
        <f>SUM(AL95)</f>
        <v>0</v>
      </c>
      <c r="AM96" s="162"/>
      <c r="AN96" s="162"/>
      <c r="AO96" s="162"/>
      <c r="AP96" s="162"/>
      <c r="AQ96" s="162"/>
      <c r="AR96" s="162"/>
      <c r="AS96" s="162">
        <f>SUM(AS95)</f>
        <v>0</v>
      </c>
      <c r="AT96" s="162"/>
      <c r="AU96" s="162"/>
      <c r="AV96" s="162"/>
      <c r="AW96" s="162"/>
      <c r="AX96" s="162"/>
      <c r="AY96" s="162"/>
      <c r="AZ96" s="162">
        <f>SUM(AZ95)</f>
        <v>0</v>
      </c>
      <c r="BA96" s="162"/>
      <c r="BB96" s="162"/>
      <c r="BC96" s="162"/>
      <c r="BD96" s="162"/>
      <c r="BE96" s="162"/>
      <c r="BF96" s="162"/>
      <c r="BG96" s="162">
        <f>SUM(BG95)</f>
        <v>0</v>
      </c>
      <c r="BH96" s="162"/>
      <c r="BI96" s="162"/>
      <c r="BJ96" s="162"/>
      <c r="BK96" s="162"/>
      <c r="BL96" s="162"/>
      <c r="BM96" s="162"/>
      <c r="BN96" s="162">
        <f>SUM(BN95)</f>
        <v>0</v>
      </c>
      <c r="BO96" s="162"/>
      <c r="BP96" s="162"/>
      <c r="BQ96" s="162"/>
      <c r="BR96" s="162"/>
      <c r="BS96" s="162"/>
      <c r="BT96" s="162"/>
      <c r="BU96" s="162">
        <f>SUM(BU95)</f>
        <v>0</v>
      </c>
      <c r="BV96" s="162"/>
      <c r="BW96" s="162"/>
      <c r="BX96" s="162"/>
      <c r="BY96" s="162"/>
      <c r="BZ96" s="162"/>
      <c r="CA96" s="162"/>
      <c r="CB96" s="162">
        <f>SUM(CB95)</f>
        <v>0</v>
      </c>
      <c r="CC96" s="162"/>
      <c r="CD96" s="162"/>
      <c r="CE96" s="162"/>
      <c r="CF96" s="162"/>
      <c r="CG96" s="162"/>
      <c r="CH96" s="162"/>
      <c r="CI96" s="162">
        <f>SUM(CI95)</f>
        <v>0</v>
      </c>
      <c r="CJ96" s="163"/>
      <c r="CK96" s="163"/>
      <c r="CL96" s="163"/>
      <c r="CM96" s="163"/>
      <c r="CN96" s="163"/>
    </row>
    <row r="97" spans="2:94" x14ac:dyDescent="0.2">
      <c r="B97" s="105" t="s">
        <v>438</v>
      </c>
      <c r="D97" s="137"/>
      <c r="E97" s="137"/>
      <c r="F97" s="137"/>
      <c r="G97" s="137"/>
      <c r="H97" s="137"/>
      <c r="I97" s="137"/>
      <c r="J97" s="137">
        <f>((J68+J71)-('EEFF 2023'!CI68+'EEFF 2023'!CI71))</f>
        <v>0</v>
      </c>
      <c r="K97" s="137"/>
      <c r="L97" s="137"/>
      <c r="M97" s="137"/>
      <c r="N97" s="137"/>
      <c r="O97" s="137"/>
      <c r="P97" s="137"/>
      <c r="Q97" s="137">
        <f>((Q68+Q71)-(J68+J71))</f>
        <v>34574234.559999995</v>
      </c>
      <c r="R97" s="137"/>
      <c r="S97" s="137"/>
      <c r="T97" s="137"/>
      <c r="U97" s="137"/>
      <c r="V97" s="137"/>
      <c r="W97" s="137"/>
      <c r="X97" s="137">
        <f>((X68+X71)-(Q68+Q71))</f>
        <v>17088111.819999993</v>
      </c>
      <c r="Y97" s="137"/>
      <c r="Z97" s="137"/>
      <c r="AA97" s="137"/>
      <c r="AB97" s="137"/>
      <c r="AC97" s="137"/>
      <c r="AD97" s="137"/>
      <c r="AE97" s="137">
        <f>((AE68+AE71)-(X68+X71))</f>
        <v>0</v>
      </c>
      <c r="AF97" s="137"/>
      <c r="AG97" s="137"/>
      <c r="AH97" s="137"/>
      <c r="AI97" s="137"/>
      <c r="AJ97" s="137"/>
      <c r="AK97" s="137"/>
      <c r="AL97" s="137">
        <f>((AL68+AL71)-(AE68+AE71))</f>
        <v>0</v>
      </c>
      <c r="AM97" s="137"/>
      <c r="AN97" s="137"/>
      <c r="AO97" s="137"/>
      <c r="AP97" s="137"/>
      <c r="AQ97" s="137"/>
      <c r="AR97" s="137"/>
      <c r="AS97" s="137">
        <f>((AS68+AS71)-(AL68+AL71))</f>
        <v>0</v>
      </c>
      <c r="AT97" s="137"/>
      <c r="AU97" s="137"/>
      <c r="AV97" s="137"/>
      <c r="AW97" s="137"/>
      <c r="AX97" s="137"/>
      <c r="AY97" s="137"/>
      <c r="AZ97" s="137">
        <f>((AZ68+AZ71)-(AS68+AS71))</f>
        <v>0</v>
      </c>
      <c r="BA97" s="137"/>
      <c r="BB97" s="137"/>
      <c r="BC97" s="137"/>
      <c r="BD97" s="137"/>
      <c r="BE97" s="137"/>
      <c r="BF97" s="137"/>
      <c r="BG97" s="137">
        <f>((BG68+BG71)-(AZ68+AZ71))</f>
        <v>0</v>
      </c>
      <c r="BH97" s="137"/>
      <c r="BI97" s="137"/>
      <c r="BJ97" s="137"/>
      <c r="BK97" s="137"/>
      <c r="BL97" s="137"/>
      <c r="BM97" s="137"/>
      <c r="BN97" s="137">
        <f>((BN68+BN71)-(BG68+BG71))</f>
        <v>0</v>
      </c>
      <c r="BO97" s="137"/>
      <c r="BP97" s="137"/>
      <c r="BQ97" s="137"/>
      <c r="BR97" s="137"/>
      <c r="BS97" s="137"/>
      <c r="BT97" s="137"/>
      <c r="BU97" s="137">
        <f>((BU68+BU71)-(BN68+BN71))</f>
        <v>0</v>
      </c>
      <c r="BV97" s="137"/>
      <c r="BW97" s="137"/>
      <c r="BX97" s="137"/>
      <c r="BY97" s="137"/>
      <c r="BZ97" s="137"/>
      <c r="CA97" s="137"/>
      <c r="CB97" s="137">
        <f>((CB68+CB71)-(BU68+BU71))</f>
        <v>0</v>
      </c>
      <c r="CC97" s="137"/>
      <c r="CD97" s="137"/>
      <c r="CE97" s="137"/>
      <c r="CF97" s="137"/>
      <c r="CG97" s="137"/>
      <c r="CH97" s="137"/>
      <c r="CI97" s="137">
        <f>((CI68+CI71)-(CB68+CB71))</f>
        <v>0</v>
      </c>
      <c r="CJ97" s="137"/>
      <c r="CK97" s="137"/>
      <c r="CL97" s="137"/>
      <c r="CM97" s="137"/>
      <c r="CN97" s="137"/>
    </row>
    <row r="98" spans="2:94" x14ac:dyDescent="0.2">
      <c r="B98" s="105" t="s">
        <v>356</v>
      </c>
      <c r="D98" s="137"/>
      <c r="E98" s="137"/>
      <c r="F98" s="137"/>
      <c r="G98" s="137"/>
      <c r="H98" s="137"/>
      <c r="I98" s="137"/>
      <c r="J98" s="137">
        <f>(J78-('EEFF 2023'!CI77+'EEFF 2023'!CI78))</f>
        <v>0</v>
      </c>
      <c r="K98" s="137"/>
      <c r="L98" s="137"/>
      <c r="M98" s="137"/>
      <c r="N98" s="137"/>
      <c r="O98" s="137"/>
      <c r="P98" s="137"/>
      <c r="Q98" s="137">
        <f>(Q78-(J77+J78))</f>
        <v>0</v>
      </c>
      <c r="R98" s="137"/>
      <c r="S98" s="137"/>
      <c r="T98" s="137"/>
      <c r="U98" s="137"/>
      <c r="V98" s="137"/>
      <c r="W98" s="137"/>
      <c r="X98" s="137">
        <f>(X78-(Q77+Q78))</f>
        <v>0</v>
      </c>
      <c r="Y98" s="137"/>
      <c r="Z98" s="137"/>
      <c r="AA98" s="137"/>
      <c r="AB98" s="137"/>
      <c r="AC98" s="137"/>
      <c r="AD98" s="137"/>
      <c r="AE98" s="137">
        <f>(AE78-(X77+X78))</f>
        <v>0</v>
      </c>
      <c r="AF98" s="137"/>
      <c r="AG98" s="137"/>
      <c r="AH98" s="137"/>
      <c r="AI98" s="137"/>
      <c r="AJ98" s="137"/>
      <c r="AK98" s="137"/>
      <c r="AL98" s="137">
        <f>(AL78-(AE77+AE78))</f>
        <v>0</v>
      </c>
      <c r="AM98" s="137"/>
      <c r="AN98" s="137"/>
      <c r="AO98" s="137"/>
      <c r="AP98" s="137"/>
      <c r="AQ98" s="137"/>
      <c r="AR98" s="137"/>
      <c r="AS98" s="137">
        <f>(AS78-(AL77+AL78))</f>
        <v>0</v>
      </c>
      <c r="AT98" s="137"/>
      <c r="AU98" s="137"/>
      <c r="AV98" s="137"/>
      <c r="AW98" s="137"/>
      <c r="AX98" s="137"/>
      <c r="AY98" s="137"/>
      <c r="AZ98" s="137">
        <f>(AZ78-(AS77+AS78))</f>
        <v>0</v>
      </c>
      <c r="BA98" s="137"/>
      <c r="BB98" s="137"/>
      <c r="BC98" s="137"/>
      <c r="BD98" s="137"/>
      <c r="BE98" s="137"/>
      <c r="BF98" s="137"/>
      <c r="BG98" s="137">
        <f>(BG78-(AZ77+AZ78))</f>
        <v>0</v>
      </c>
      <c r="BH98" s="137"/>
      <c r="BI98" s="137"/>
      <c r="BJ98" s="137"/>
      <c r="BK98" s="137"/>
      <c r="BL98" s="137"/>
      <c r="BM98" s="137"/>
      <c r="BN98" s="137">
        <f>(BN78-(BG77+BG78))</f>
        <v>0</v>
      </c>
      <c r="BO98" s="137"/>
      <c r="BP98" s="137"/>
      <c r="BQ98" s="137"/>
      <c r="BR98" s="137"/>
      <c r="BS98" s="137"/>
      <c r="BT98" s="137"/>
      <c r="BU98" s="137">
        <f>(BU78-(BN77+BN78))</f>
        <v>0</v>
      </c>
      <c r="BV98" s="137"/>
      <c r="BW98" s="137"/>
      <c r="BX98" s="137"/>
      <c r="BY98" s="137"/>
      <c r="BZ98" s="137"/>
      <c r="CA98" s="137"/>
      <c r="CB98" s="137">
        <f>(CB78-(BU77+BU78))</f>
        <v>0</v>
      </c>
      <c r="CC98" s="137"/>
      <c r="CD98" s="137"/>
      <c r="CE98" s="137"/>
      <c r="CF98" s="137"/>
      <c r="CG98" s="137"/>
      <c r="CH98" s="137"/>
      <c r="CI98" s="137">
        <f>(CI78-(CB77+CB78))</f>
        <v>0</v>
      </c>
      <c r="CJ98" s="137"/>
      <c r="CK98" s="137"/>
      <c r="CL98" s="137"/>
      <c r="CM98" s="137"/>
      <c r="CN98" s="137"/>
    </row>
    <row r="99" spans="2:94" ht="16" x14ac:dyDescent="0.2">
      <c r="B99" s="141" t="s">
        <v>357</v>
      </c>
      <c r="C99" s="207"/>
      <c r="D99" s="162"/>
      <c r="E99" s="162"/>
      <c r="F99" s="162"/>
      <c r="G99" s="162"/>
      <c r="H99" s="162"/>
      <c r="I99" s="162"/>
      <c r="J99" s="162">
        <f>SUM(J97:J98)</f>
        <v>0</v>
      </c>
      <c r="K99" s="162"/>
      <c r="L99" s="162"/>
      <c r="M99" s="162"/>
      <c r="N99" s="162"/>
      <c r="O99" s="162"/>
      <c r="P99" s="162"/>
      <c r="Q99" s="162">
        <f>SUM(Q97:Q98)</f>
        <v>34574234.559999995</v>
      </c>
      <c r="R99" s="162"/>
      <c r="S99" s="162"/>
      <c r="T99" s="162"/>
      <c r="U99" s="162"/>
      <c r="V99" s="162"/>
      <c r="W99" s="162"/>
      <c r="X99" s="162">
        <f>SUM(X97:X98)</f>
        <v>17088111.819999993</v>
      </c>
      <c r="Y99" s="162"/>
      <c r="Z99" s="162"/>
      <c r="AA99" s="162"/>
      <c r="AB99" s="162"/>
      <c r="AC99" s="162"/>
      <c r="AD99" s="162"/>
      <c r="AE99" s="162">
        <f>SUM(AE97:AE98)</f>
        <v>0</v>
      </c>
      <c r="AF99" s="162"/>
      <c r="AG99" s="162"/>
      <c r="AH99" s="162"/>
      <c r="AI99" s="162"/>
      <c r="AJ99" s="162"/>
      <c r="AK99" s="162"/>
      <c r="AL99" s="162">
        <f>SUM(AL97:AL98)</f>
        <v>0</v>
      </c>
      <c r="AM99" s="162"/>
      <c r="AN99" s="162"/>
      <c r="AO99" s="162"/>
      <c r="AP99" s="162"/>
      <c r="AQ99" s="162"/>
      <c r="AR99" s="162"/>
      <c r="AS99" s="162">
        <f>SUM(AS97:AS98)</f>
        <v>0</v>
      </c>
      <c r="AT99" s="162"/>
      <c r="AU99" s="162"/>
      <c r="AV99" s="162"/>
      <c r="AW99" s="162"/>
      <c r="AX99" s="162"/>
      <c r="AY99" s="162"/>
      <c r="AZ99" s="162">
        <f>SUM(AZ97:AZ98)</f>
        <v>0</v>
      </c>
      <c r="BA99" s="162"/>
      <c r="BB99" s="162"/>
      <c r="BC99" s="162"/>
      <c r="BD99" s="162"/>
      <c r="BE99" s="162"/>
      <c r="BF99" s="162"/>
      <c r="BG99" s="162">
        <f>SUM(BG97:BG98)</f>
        <v>0</v>
      </c>
      <c r="BH99" s="162"/>
      <c r="BI99" s="162"/>
      <c r="BJ99" s="162"/>
      <c r="BK99" s="162"/>
      <c r="BL99" s="162"/>
      <c r="BM99" s="162"/>
      <c r="BN99" s="162">
        <f>SUM(BN97:BN98)</f>
        <v>0</v>
      </c>
      <c r="BO99" s="162"/>
      <c r="BP99" s="162"/>
      <c r="BQ99" s="162"/>
      <c r="BR99" s="162"/>
      <c r="BS99" s="162"/>
      <c r="BT99" s="162"/>
      <c r="BU99" s="162">
        <f>SUM(BU97:BU98)</f>
        <v>0</v>
      </c>
      <c r="BV99" s="162"/>
      <c r="BW99" s="162"/>
      <c r="BX99" s="162"/>
      <c r="BY99" s="162"/>
      <c r="BZ99" s="162"/>
      <c r="CA99" s="162"/>
      <c r="CB99" s="162">
        <f>SUM(CB97:CB98)</f>
        <v>0</v>
      </c>
      <c r="CC99" s="162"/>
      <c r="CD99" s="162"/>
      <c r="CE99" s="162"/>
      <c r="CF99" s="162"/>
      <c r="CG99" s="162"/>
      <c r="CH99" s="162"/>
      <c r="CI99" s="162">
        <f>SUM(CI97:CI98)</f>
        <v>0</v>
      </c>
      <c r="CJ99" s="163"/>
      <c r="CK99" s="163"/>
      <c r="CL99" s="163"/>
      <c r="CM99" s="163"/>
      <c r="CN99" s="163"/>
    </row>
    <row r="100" spans="2:94" ht="16" x14ac:dyDescent="0.2">
      <c r="B100" s="141" t="s">
        <v>353</v>
      </c>
      <c r="C100" s="207"/>
      <c r="D100" s="162"/>
      <c r="E100" s="162"/>
      <c r="F100" s="162"/>
      <c r="G100" s="162"/>
      <c r="H100" s="162"/>
      <c r="I100" s="162"/>
      <c r="J100" s="162">
        <f>J94+J96+J99</f>
        <v>-7319254.4800000014</v>
      </c>
      <c r="K100" s="162"/>
      <c r="L100" s="162"/>
      <c r="M100" s="162"/>
      <c r="N100" s="162"/>
      <c r="O100" s="162"/>
      <c r="P100" s="162"/>
      <c r="Q100" s="162">
        <f>Q94+Q96+Q99</f>
        <v>16351287.499999993</v>
      </c>
      <c r="R100" s="162"/>
      <c r="S100" s="162"/>
      <c r="T100" s="162"/>
      <c r="U100" s="162"/>
      <c r="V100" s="162"/>
      <c r="W100" s="162"/>
      <c r="X100" s="162">
        <f>X94+X96+X99</f>
        <v>-11634337.470000006</v>
      </c>
      <c r="Y100" s="162"/>
      <c r="Z100" s="162"/>
      <c r="AA100" s="162"/>
      <c r="AB100" s="162"/>
      <c r="AC100" s="162"/>
      <c r="AD100" s="162"/>
      <c r="AE100" s="162">
        <f>AE94+AE96+AE99</f>
        <v>-1948521.9400000006</v>
      </c>
      <c r="AF100" s="162"/>
      <c r="AG100" s="162"/>
      <c r="AH100" s="162"/>
      <c r="AI100" s="162"/>
      <c r="AJ100" s="162"/>
      <c r="AK100" s="162"/>
      <c r="AL100" s="162">
        <f>AL94+AL96+AL99</f>
        <v>2219239.7000000002</v>
      </c>
      <c r="AM100" s="162"/>
      <c r="AN100" s="162"/>
      <c r="AO100" s="162"/>
      <c r="AP100" s="162"/>
      <c r="AQ100" s="162"/>
      <c r="AR100" s="162"/>
      <c r="AS100" s="162">
        <f>AS94+AS96+AS99</f>
        <v>5939346.5200000014</v>
      </c>
      <c r="AT100" s="162"/>
      <c r="AU100" s="162"/>
      <c r="AV100" s="162"/>
      <c r="AW100" s="162"/>
      <c r="AX100" s="162"/>
      <c r="AY100" s="162"/>
      <c r="AZ100" s="162">
        <f>AZ94+AZ96+AZ99</f>
        <v>5914259.4800000014</v>
      </c>
      <c r="BA100" s="162"/>
      <c r="BB100" s="162"/>
      <c r="BC100" s="162"/>
      <c r="BD100" s="162"/>
      <c r="BE100" s="162"/>
      <c r="BF100" s="162"/>
      <c r="BG100" s="162">
        <f>BG94+BG96+BG99</f>
        <v>6100390.3200000003</v>
      </c>
      <c r="BH100" s="162"/>
      <c r="BI100" s="162"/>
      <c r="BJ100" s="162"/>
      <c r="BK100" s="162"/>
      <c r="BL100" s="162"/>
      <c r="BM100" s="162"/>
      <c r="BN100" s="162">
        <f>BN94+BN96+BN99</f>
        <v>-2561597.3200000008</v>
      </c>
      <c r="BO100" s="162"/>
      <c r="BP100" s="162"/>
      <c r="BQ100" s="162"/>
      <c r="BR100" s="162"/>
      <c r="BS100" s="162"/>
      <c r="BT100" s="162"/>
      <c r="BU100" s="162">
        <f>BU94+BU96+BU99</f>
        <v>3806166.5700000003</v>
      </c>
      <c r="BV100" s="162"/>
      <c r="BW100" s="162"/>
      <c r="BX100" s="162"/>
      <c r="BY100" s="162"/>
      <c r="BZ100" s="162"/>
      <c r="CA100" s="162"/>
      <c r="CB100" s="162">
        <f>CB94+CB96+CB99</f>
        <v>11369333.289999999</v>
      </c>
      <c r="CC100" s="162"/>
      <c r="CD100" s="162"/>
      <c r="CE100" s="162"/>
      <c r="CF100" s="162"/>
      <c r="CG100" s="162"/>
      <c r="CH100" s="162"/>
      <c r="CI100" s="162">
        <f>CI94+CI96+CI99</f>
        <v>-11712030.870000001</v>
      </c>
      <c r="CJ100" s="163"/>
      <c r="CK100" s="163"/>
      <c r="CL100" s="163"/>
      <c r="CM100" s="163"/>
      <c r="CN100" s="163"/>
    </row>
    <row r="101" spans="2:94" x14ac:dyDescent="0.2">
      <c r="B101" s="105" t="s">
        <v>358</v>
      </c>
      <c r="D101" s="137"/>
      <c r="E101" s="137"/>
      <c r="F101" s="137"/>
      <c r="G101" s="137"/>
      <c r="H101" s="137"/>
      <c r="I101" s="137"/>
      <c r="J101" s="137">
        <f>'EEFF 2023'!CI51</f>
        <v>52134676.769999996</v>
      </c>
      <c r="K101" s="137"/>
      <c r="L101" s="137"/>
      <c r="M101" s="137"/>
      <c r="N101" s="137"/>
      <c r="O101" s="137"/>
      <c r="P101" s="137"/>
      <c r="Q101" s="137">
        <f>J51</f>
        <v>44815422.289999999</v>
      </c>
      <c r="R101" s="137"/>
      <c r="S101" s="137"/>
      <c r="T101" s="137"/>
      <c r="U101" s="137"/>
      <c r="V101" s="137"/>
      <c r="W101" s="137"/>
      <c r="X101" s="137">
        <f>Q51</f>
        <v>61166709.789999999</v>
      </c>
      <c r="Y101" s="137"/>
      <c r="Z101" s="137"/>
      <c r="AA101" s="137"/>
      <c r="AB101" s="137"/>
      <c r="AC101" s="137"/>
      <c r="AD101" s="137"/>
      <c r="AE101" s="137">
        <f>X51</f>
        <v>49532372.32</v>
      </c>
      <c r="AF101" s="137"/>
      <c r="AG101" s="137"/>
      <c r="AH101" s="137"/>
      <c r="AI101" s="137"/>
      <c r="AJ101" s="137"/>
      <c r="AK101" s="137"/>
      <c r="AL101" s="137">
        <f>AE51</f>
        <v>47583850.380000003</v>
      </c>
      <c r="AM101" s="137"/>
      <c r="AN101" s="137"/>
      <c r="AO101" s="137"/>
      <c r="AP101" s="137"/>
      <c r="AQ101" s="137"/>
      <c r="AR101" s="137"/>
      <c r="AS101" s="137">
        <f>AL51</f>
        <v>49803090.079999998</v>
      </c>
      <c r="AT101" s="137"/>
      <c r="AU101" s="137"/>
      <c r="AV101" s="137"/>
      <c r="AW101" s="137"/>
      <c r="AX101" s="137"/>
      <c r="AY101" s="137"/>
      <c r="AZ101" s="137">
        <f>AS51</f>
        <v>55742436.600000001</v>
      </c>
      <c r="BA101" s="137"/>
      <c r="BB101" s="137"/>
      <c r="BC101" s="137"/>
      <c r="BD101" s="137"/>
      <c r="BE101" s="137"/>
      <c r="BF101" s="137"/>
      <c r="BG101" s="137">
        <f>AZ51</f>
        <v>61656696.080000006</v>
      </c>
      <c r="BH101" s="137"/>
      <c r="BI101" s="137"/>
      <c r="BJ101" s="137"/>
      <c r="BK101" s="137"/>
      <c r="BL101" s="137"/>
      <c r="BM101" s="137"/>
      <c r="BN101" s="137">
        <f>BG51</f>
        <v>67757086.400000006</v>
      </c>
      <c r="BO101" s="137"/>
      <c r="BP101" s="137"/>
      <c r="BQ101" s="137"/>
      <c r="BR101" s="137"/>
      <c r="BS101" s="137"/>
      <c r="BT101" s="137"/>
      <c r="BU101" s="137">
        <f>BN51</f>
        <v>65195489.080000006</v>
      </c>
      <c r="BV101" s="137"/>
      <c r="BW101" s="137"/>
      <c r="BX101" s="137"/>
      <c r="BY101" s="137"/>
      <c r="BZ101" s="137"/>
      <c r="CA101" s="137"/>
      <c r="CB101" s="137">
        <f>BU51</f>
        <v>69001655.650000006</v>
      </c>
      <c r="CC101" s="137"/>
      <c r="CD101" s="137"/>
      <c r="CE101" s="137"/>
      <c r="CF101" s="137"/>
      <c r="CG101" s="137"/>
      <c r="CH101" s="137"/>
      <c r="CI101" s="137">
        <f>CB51</f>
        <v>80370988.939999998</v>
      </c>
      <c r="CJ101" s="137"/>
      <c r="CK101" s="137"/>
      <c r="CL101" s="137"/>
      <c r="CM101" s="137"/>
      <c r="CN101" s="137"/>
    </row>
    <row r="102" spans="2:94" ht="16" x14ac:dyDescent="0.2">
      <c r="B102" s="141" t="s">
        <v>359</v>
      </c>
      <c r="C102" s="207"/>
      <c r="D102" s="162"/>
      <c r="E102" s="162"/>
      <c r="F102" s="162"/>
      <c r="G102" s="162"/>
      <c r="H102" s="162"/>
      <c r="I102" s="162"/>
      <c r="J102" s="162">
        <f>+J100+J101</f>
        <v>44815422.289999992</v>
      </c>
      <c r="K102" s="162"/>
      <c r="L102" s="162"/>
      <c r="M102" s="162"/>
      <c r="N102" s="162"/>
      <c r="O102" s="162"/>
      <c r="P102" s="162"/>
      <c r="Q102" s="162">
        <f>+Q100+Q101</f>
        <v>61166709.789999992</v>
      </c>
      <c r="R102" s="162"/>
      <c r="S102" s="162"/>
      <c r="T102" s="162"/>
      <c r="U102" s="162"/>
      <c r="V102" s="162"/>
      <c r="W102" s="162"/>
      <c r="X102" s="162">
        <f>+X100+X101</f>
        <v>49532372.319999993</v>
      </c>
      <c r="Y102" s="162"/>
      <c r="Z102" s="162"/>
      <c r="AA102" s="162"/>
      <c r="AB102" s="162"/>
      <c r="AC102" s="162"/>
      <c r="AD102" s="162"/>
      <c r="AE102" s="162">
        <f>+AE100+AE101</f>
        <v>47583850.380000003</v>
      </c>
      <c r="AF102" s="162"/>
      <c r="AG102" s="162"/>
      <c r="AH102" s="162"/>
      <c r="AI102" s="162"/>
      <c r="AJ102" s="162"/>
      <c r="AK102" s="162"/>
      <c r="AL102" s="162">
        <f>+AL100+AL101</f>
        <v>49803090.080000006</v>
      </c>
      <c r="AM102" s="162"/>
      <c r="AN102" s="162"/>
      <c r="AO102" s="162"/>
      <c r="AP102" s="162"/>
      <c r="AQ102" s="162"/>
      <c r="AR102" s="162"/>
      <c r="AS102" s="162">
        <f>+AS100+AS101</f>
        <v>55742436.600000001</v>
      </c>
      <c r="AT102" s="162"/>
      <c r="AU102" s="162"/>
      <c r="AV102" s="162"/>
      <c r="AW102" s="162"/>
      <c r="AX102" s="162"/>
      <c r="AY102" s="162"/>
      <c r="AZ102" s="162">
        <f>+AZ100+AZ101</f>
        <v>61656696.080000006</v>
      </c>
      <c r="BA102" s="162"/>
      <c r="BB102" s="162"/>
      <c r="BC102" s="162"/>
      <c r="BD102" s="162"/>
      <c r="BE102" s="162"/>
      <c r="BF102" s="162"/>
      <c r="BG102" s="162">
        <f>+BG100+BG101</f>
        <v>67757086.400000006</v>
      </c>
      <c r="BH102" s="162"/>
      <c r="BI102" s="162"/>
      <c r="BJ102" s="162"/>
      <c r="BK102" s="162"/>
      <c r="BL102" s="162"/>
      <c r="BM102" s="162"/>
      <c r="BN102" s="162">
        <f>+BN100+BN101</f>
        <v>65195489.080000006</v>
      </c>
      <c r="BO102" s="162"/>
      <c r="BP102" s="162"/>
      <c r="BQ102" s="162"/>
      <c r="BR102" s="162"/>
      <c r="BS102" s="162"/>
      <c r="BT102" s="162"/>
      <c r="BU102" s="162">
        <f>+BU100+BU101</f>
        <v>69001655.650000006</v>
      </c>
      <c r="BV102" s="162"/>
      <c r="BW102" s="162"/>
      <c r="BX102" s="162"/>
      <c r="BY102" s="162"/>
      <c r="BZ102" s="162"/>
      <c r="CA102" s="162"/>
      <c r="CB102" s="162">
        <f>+CB100+CB101</f>
        <v>80370988.939999998</v>
      </c>
      <c r="CC102" s="162"/>
      <c r="CD102" s="162"/>
      <c r="CE102" s="162"/>
      <c r="CF102" s="162"/>
      <c r="CG102" s="162"/>
      <c r="CH102" s="162"/>
      <c r="CI102" s="162">
        <f>+CI100+CI101</f>
        <v>68658958.069999993</v>
      </c>
      <c r="CJ102" s="163"/>
      <c r="CK102" s="163"/>
      <c r="CL102" s="163"/>
      <c r="CM102" s="163"/>
      <c r="CN102" s="163"/>
    </row>
    <row r="103" spans="2:94" x14ac:dyDescent="0.2">
      <c r="B103" s="105" t="s">
        <v>350</v>
      </c>
      <c r="D103" s="137"/>
      <c r="E103" s="137"/>
      <c r="F103" s="137"/>
      <c r="G103" s="137"/>
      <c r="H103" s="137"/>
      <c r="I103" s="137"/>
      <c r="J103" s="233">
        <f>J102-J51</f>
        <v>0</v>
      </c>
      <c r="K103" s="233"/>
      <c r="L103" s="233"/>
      <c r="M103" s="233"/>
      <c r="N103" s="233"/>
      <c r="O103" s="233"/>
      <c r="P103" s="233"/>
      <c r="Q103" s="233">
        <f>Q102-Q51</f>
        <v>0</v>
      </c>
      <c r="R103" s="233"/>
      <c r="S103" s="233"/>
      <c r="T103" s="233"/>
      <c r="U103" s="233"/>
      <c r="V103" s="233"/>
      <c r="W103" s="233"/>
      <c r="X103" s="233">
        <f>X102-X51</f>
        <v>0</v>
      </c>
      <c r="Y103" s="233"/>
      <c r="Z103" s="233"/>
      <c r="AA103" s="233"/>
      <c r="AB103" s="233"/>
      <c r="AC103" s="233"/>
      <c r="AD103" s="233"/>
      <c r="AE103" s="233">
        <f>AE102-AE51</f>
        <v>0</v>
      </c>
      <c r="AF103" s="233"/>
      <c r="AG103" s="233"/>
      <c r="AH103" s="233"/>
      <c r="AI103" s="233"/>
      <c r="AJ103" s="233"/>
      <c r="AK103" s="233"/>
      <c r="AL103" s="233">
        <f>AL102-AL51</f>
        <v>0</v>
      </c>
      <c r="AM103" s="233"/>
      <c r="AN103" s="233"/>
      <c r="AO103" s="233"/>
      <c r="AP103" s="233"/>
      <c r="AQ103" s="233"/>
      <c r="AR103" s="233"/>
      <c r="AS103" s="233">
        <f>AS102-AS51</f>
        <v>0</v>
      </c>
      <c r="AT103" s="233"/>
      <c r="AU103" s="233"/>
      <c r="AV103" s="233"/>
      <c r="AW103" s="233"/>
      <c r="AX103" s="233"/>
      <c r="AY103" s="233"/>
      <c r="AZ103" s="233">
        <f>AZ102-AZ51</f>
        <v>0</v>
      </c>
      <c r="BA103" s="233"/>
      <c r="BB103" s="233"/>
      <c r="BC103" s="233"/>
      <c r="BD103" s="233"/>
      <c r="BE103" s="233"/>
      <c r="BF103" s="233"/>
      <c r="BG103" s="233">
        <f>BG102-BG51</f>
        <v>0</v>
      </c>
      <c r="BH103" s="233"/>
      <c r="BI103" s="233"/>
      <c r="BJ103" s="233"/>
      <c r="BK103" s="233"/>
      <c r="BL103" s="233"/>
      <c r="BM103" s="233"/>
      <c r="BN103" s="233">
        <f>BN102-BN51</f>
        <v>0</v>
      </c>
      <c r="BO103" s="233"/>
      <c r="BP103" s="233"/>
      <c r="BQ103" s="233"/>
      <c r="BR103" s="233"/>
      <c r="BS103" s="233"/>
      <c r="BT103" s="233"/>
      <c r="BU103" s="233">
        <f>BU102-BU51</f>
        <v>0</v>
      </c>
      <c r="BV103" s="233"/>
      <c r="BW103" s="233"/>
      <c r="BX103" s="233"/>
      <c r="BY103" s="233"/>
      <c r="BZ103" s="233"/>
      <c r="CA103" s="233"/>
      <c r="CB103" s="233">
        <f>CB102-CB51</f>
        <v>0</v>
      </c>
      <c r="CC103" s="233"/>
      <c r="CD103" s="233"/>
      <c r="CE103" s="233"/>
      <c r="CF103" s="233"/>
      <c r="CG103" s="233"/>
      <c r="CH103" s="233"/>
      <c r="CI103" s="233">
        <f>CI102-CI51</f>
        <v>0</v>
      </c>
      <c r="CJ103" s="137"/>
      <c r="CK103" s="137"/>
      <c r="CL103" s="137"/>
      <c r="CM103" s="137"/>
      <c r="CN103" s="137"/>
    </row>
    <row r="104" spans="2:94" x14ac:dyDescent="0.2"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</row>
    <row r="106" spans="2:94" ht="16" x14ac:dyDescent="0.2">
      <c r="B106" s="183" t="s">
        <v>360</v>
      </c>
      <c r="C106" s="220"/>
      <c r="CJ106" s="164" t="e">
        <f t="shared" ref="CJ106:CO106" si="43">CJ61/CJ70</f>
        <v>#DIV/0!</v>
      </c>
      <c r="CK106" s="164" t="e">
        <f t="shared" si="43"/>
        <v>#DIV/0!</v>
      </c>
      <c r="CL106" s="164" t="e">
        <f t="shared" si="43"/>
        <v>#DIV/0!</v>
      </c>
      <c r="CM106" s="164" t="e">
        <f t="shared" si="43"/>
        <v>#DIV/0!</v>
      </c>
      <c r="CN106" s="164" t="e">
        <f t="shared" si="43"/>
        <v>#DIV/0!</v>
      </c>
      <c r="CO106" s="164" t="e">
        <f t="shared" si="43"/>
        <v>#DIV/0!</v>
      </c>
      <c r="CP106" s="164"/>
    </row>
    <row r="107" spans="2:94" x14ac:dyDescent="0.2">
      <c r="B107" s="105" t="s">
        <v>439</v>
      </c>
      <c r="D107" s="164"/>
      <c r="E107" s="164"/>
      <c r="F107" s="164"/>
      <c r="G107" s="164"/>
      <c r="H107" s="164"/>
      <c r="I107" s="164"/>
      <c r="J107" s="164" t="e">
        <f>J61/J70</f>
        <v>#DIV/0!</v>
      </c>
      <c r="K107" s="164"/>
      <c r="L107" s="164"/>
      <c r="M107" s="164"/>
      <c r="N107" s="164"/>
      <c r="O107" s="164"/>
      <c r="P107" s="164"/>
      <c r="Q107" s="164" t="e">
        <f>Q61/Q70</f>
        <v>#DIV/0!</v>
      </c>
      <c r="R107" s="164"/>
      <c r="S107" s="164"/>
      <c r="T107" s="164"/>
      <c r="U107" s="164"/>
      <c r="V107" s="164"/>
      <c r="W107" s="164"/>
      <c r="X107" s="164" t="e">
        <f>X61/X70</f>
        <v>#DIV/0!</v>
      </c>
      <c r="Y107" s="164"/>
      <c r="Z107" s="164"/>
      <c r="AA107" s="164"/>
      <c r="AB107" s="164"/>
      <c r="AC107" s="164"/>
      <c r="AD107" s="164"/>
      <c r="AE107" s="164" t="e">
        <f>AE61/AE70</f>
        <v>#DIV/0!</v>
      </c>
      <c r="AF107" s="164"/>
      <c r="AG107" s="164"/>
      <c r="AH107" s="164"/>
      <c r="AI107" s="164"/>
      <c r="AJ107" s="164"/>
      <c r="AK107" s="164"/>
      <c r="AL107" s="164" t="e">
        <f>AL61/AL70</f>
        <v>#DIV/0!</v>
      </c>
      <c r="AM107" s="164"/>
      <c r="AN107" s="164"/>
      <c r="AO107" s="164"/>
      <c r="AP107" s="164"/>
      <c r="AQ107" s="164"/>
      <c r="AR107" s="164"/>
      <c r="AS107" s="164" t="e">
        <f>AS61/AS70</f>
        <v>#DIV/0!</v>
      </c>
      <c r="AT107" s="164"/>
      <c r="AU107" s="164"/>
      <c r="AV107" s="164"/>
      <c r="AW107" s="164"/>
      <c r="AX107" s="164"/>
      <c r="AY107" s="164"/>
      <c r="AZ107" s="164" t="e">
        <f>AZ61/AZ70</f>
        <v>#DIV/0!</v>
      </c>
      <c r="BA107" s="164"/>
      <c r="BB107" s="164"/>
      <c r="BC107" s="164"/>
      <c r="BD107" s="164"/>
      <c r="BE107" s="164"/>
      <c r="BF107" s="164"/>
      <c r="BG107" s="164" t="e">
        <f>BG61/BG70</f>
        <v>#DIV/0!</v>
      </c>
      <c r="BH107" s="164"/>
      <c r="BI107" s="164"/>
      <c r="BJ107" s="164"/>
      <c r="BK107" s="164"/>
      <c r="BL107" s="164"/>
      <c r="BM107" s="164"/>
      <c r="BN107" s="164" t="e">
        <f>BN61/BN70</f>
        <v>#DIV/0!</v>
      </c>
      <c r="BO107" s="164"/>
      <c r="BP107" s="164"/>
      <c r="BQ107" s="164"/>
      <c r="BR107" s="164"/>
      <c r="BS107" s="164"/>
      <c r="BT107" s="164"/>
      <c r="BU107" s="164" t="e">
        <f>BU61/BU70</f>
        <v>#DIV/0!</v>
      </c>
      <c r="BV107" s="164"/>
      <c r="BW107" s="164"/>
      <c r="BX107" s="164"/>
      <c r="BY107" s="164"/>
      <c r="BZ107" s="164"/>
      <c r="CA107" s="164"/>
      <c r="CB107" s="164" t="e">
        <f>CB61/CB70</f>
        <v>#DIV/0!</v>
      </c>
      <c r="CC107" s="164"/>
      <c r="CD107" s="164"/>
      <c r="CE107" s="164"/>
      <c r="CF107" s="164"/>
      <c r="CG107" s="164"/>
      <c r="CH107" s="164"/>
      <c r="CI107" s="164" t="e">
        <f>CI61/CI70</f>
        <v>#DIV/0!</v>
      </c>
      <c r="CJ107" s="164" t="e">
        <f>(CJ61-#REF!)/CJ70</f>
        <v>#REF!</v>
      </c>
      <c r="CK107" s="164" t="e">
        <f>(CK61-#REF!)/CK70</f>
        <v>#REF!</v>
      </c>
      <c r="CL107" s="164" t="e">
        <f>(CL61-#REF!)/CL70</f>
        <v>#REF!</v>
      </c>
      <c r="CM107" s="164" t="e">
        <f>(CM61-#REF!)/CM70</f>
        <v>#REF!</v>
      </c>
      <c r="CN107" s="164" t="e">
        <f>(CN61-#REF!)/CN70</f>
        <v>#REF!</v>
      </c>
      <c r="CO107" s="164" t="e">
        <f>(CO61-#REF!)/CO70</f>
        <v>#REF!</v>
      </c>
      <c r="CP107" s="164"/>
    </row>
    <row r="108" spans="2:94" x14ac:dyDescent="0.2">
      <c r="B108" s="105" t="s">
        <v>361</v>
      </c>
      <c r="D108" s="164"/>
      <c r="E108" s="164"/>
      <c r="F108" s="164"/>
      <c r="G108" s="164"/>
      <c r="H108" s="164"/>
      <c r="I108" s="164"/>
      <c r="J108" s="164" t="e">
        <f>(J61-J59)/J70</f>
        <v>#DIV/0!</v>
      </c>
      <c r="K108" s="164"/>
      <c r="L108" s="164"/>
      <c r="M108" s="164"/>
      <c r="N108" s="164"/>
      <c r="O108" s="164"/>
      <c r="P108" s="164"/>
      <c r="Q108" s="164" t="e">
        <f>(Q61-Q59)/Q70</f>
        <v>#DIV/0!</v>
      </c>
      <c r="R108" s="164"/>
      <c r="S108" s="164"/>
      <c r="T108" s="164"/>
      <c r="U108" s="164"/>
      <c r="V108" s="164"/>
      <c r="W108" s="164"/>
      <c r="X108" s="164" t="e">
        <f>(X61-X59)/X70</f>
        <v>#DIV/0!</v>
      </c>
      <c r="Y108" s="164"/>
      <c r="Z108" s="164"/>
      <c r="AA108" s="164"/>
      <c r="AB108" s="164"/>
      <c r="AC108" s="164"/>
      <c r="AD108" s="164"/>
      <c r="AE108" s="164" t="e">
        <f>(AE61-AE59)/AE70</f>
        <v>#DIV/0!</v>
      </c>
      <c r="AF108" s="164"/>
      <c r="AG108" s="164"/>
      <c r="AH108" s="164"/>
      <c r="AI108" s="164"/>
      <c r="AJ108" s="164"/>
      <c r="AK108" s="164"/>
      <c r="AL108" s="164" t="e">
        <f>(AL61-AL59)/AL70</f>
        <v>#DIV/0!</v>
      </c>
      <c r="AM108" s="164"/>
      <c r="AN108" s="164"/>
      <c r="AO108" s="164"/>
      <c r="AP108" s="164"/>
      <c r="AQ108" s="164"/>
      <c r="AR108" s="164"/>
      <c r="AS108" s="164" t="e">
        <f>(AS61-AS59)/AS70</f>
        <v>#DIV/0!</v>
      </c>
      <c r="AT108" s="164"/>
      <c r="AU108" s="164"/>
      <c r="AV108" s="164"/>
      <c r="AW108" s="164"/>
      <c r="AX108" s="164"/>
      <c r="AY108" s="164"/>
      <c r="AZ108" s="164" t="e">
        <f>(AZ61-AZ59)/AZ70</f>
        <v>#DIV/0!</v>
      </c>
      <c r="BA108" s="164"/>
      <c r="BB108" s="164"/>
      <c r="BC108" s="164"/>
      <c r="BD108" s="164"/>
      <c r="BE108" s="164"/>
      <c r="BF108" s="164"/>
      <c r="BG108" s="164" t="e">
        <f>(BG61-BG59)/BG70</f>
        <v>#DIV/0!</v>
      </c>
      <c r="BH108" s="164"/>
      <c r="BI108" s="164"/>
      <c r="BJ108" s="164"/>
      <c r="BK108" s="164"/>
      <c r="BL108" s="164"/>
      <c r="BM108" s="164"/>
      <c r="BN108" s="164" t="e">
        <f>(BN61-BN59)/BN70</f>
        <v>#DIV/0!</v>
      </c>
      <c r="BO108" s="164"/>
      <c r="BP108" s="164"/>
      <c r="BQ108" s="164"/>
      <c r="BR108" s="164"/>
      <c r="BS108" s="164"/>
      <c r="BT108" s="164"/>
      <c r="BU108" s="164" t="e">
        <f>(BU61-BU59)/BU70</f>
        <v>#DIV/0!</v>
      </c>
      <c r="BV108" s="164"/>
      <c r="BW108" s="164"/>
      <c r="BX108" s="164"/>
      <c r="BY108" s="164"/>
      <c r="BZ108" s="164"/>
      <c r="CA108" s="164"/>
      <c r="CB108" s="164" t="e">
        <f>(CB61-CB59)/CB70</f>
        <v>#DIV/0!</v>
      </c>
      <c r="CC108" s="164"/>
      <c r="CD108" s="164"/>
      <c r="CE108" s="164"/>
      <c r="CF108" s="164"/>
      <c r="CG108" s="164"/>
      <c r="CH108" s="164"/>
      <c r="CI108" s="164" t="e">
        <f>(CI61-CI59)/CI70</f>
        <v>#DIV/0!</v>
      </c>
      <c r="CJ108" s="137">
        <f t="shared" ref="CJ108:CO108" si="44">CJ61-CJ70</f>
        <v>0</v>
      </c>
      <c r="CK108" s="137">
        <f t="shared" si="44"/>
        <v>0</v>
      </c>
      <c r="CL108" s="137">
        <f t="shared" si="44"/>
        <v>0</v>
      </c>
      <c r="CM108" s="137">
        <f t="shared" si="44"/>
        <v>0</v>
      </c>
      <c r="CN108" s="137">
        <f t="shared" si="44"/>
        <v>0</v>
      </c>
      <c r="CO108" s="137">
        <f t="shared" si="44"/>
        <v>0</v>
      </c>
      <c r="CP108" s="137"/>
    </row>
    <row r="109" spans="2:94" x14ac:dyDescent="0.2">
      <c r="B109" s="105" t="s">
        <v>362</v>
      </c>
      <c r="D109" s="137"/>
      <c r="E109" s="137"/>
      <c r="F109" s="137"/>
      <c r="G109" s="137"/>
      <c r="H109" s="137"/>
      <c r="I109" s="137"/>
      <c r="J109" s="137">
        <f>J61-J70</f>
        <v>44815422.289999999</v>
      </c>
      <c r="K109" s="137"/>
      <c r="L109" s="137"/>
      <c r="M109" s="137"/>
      <c r="N109" s="137"/>
      <c r="O109" s="137"/>
      <c r="P109" s="137"/>
      <c r="Q109" s="137">
        <f>Q61-Q70</f>
        <v>61166709.789999999</v>
      </c>
      <c r="R109" s="137"/>
      <c r="S109" s="137"/>
      <c r="T109" s="137"/>
      <c r="U109" s="137"/>
      <c r="V109" s="137"/>
      <c r="W109" s="137"/>
      <c r="X109" s="137">
        <f>X61-X70</f>
        <v>49532372.32</v>
      </c>
      <c r="Y109" s="137"/>
      <c r="Z109" s="137"/>
      <c r="AA109" s="137"/>
      <c r="AB109" s="137"/>
      <c r="AC109" s="137"/>
      <c r="AD109" s="137"/>
      <c r="AE109" s="137">
        <f>AE61-AE70</f>
        <v>47583850.380000003</v>
      </c>
      <c r="AF109" s="137"/>
      <c r="AG109" s="137"/>
      <c r="AH109" s="137"/>
      <c r="AI109" s="137"/>
      <c r="AJ109" s="137"/>
      <c r="AK109" s="137"/>
      <c r="AL109" s="137">
        <f>AL61-AL70</f>
        <v>49803090.079999998</v>
      </c>
      <c r="AM109" s="137"/>
      <c r="AN109" s="137"/>
      <c r="AO109" s="137"/>
      <c r="AP109" s="137"/>
      <c r="AQ109" s="137"/>
      <c r="AR109" s="137"/>
      <c r="AS109" s="137">
        <f>AS61-AS70</f>
        <v>55742436.600000001</v>
      </c>
      <c r="AT109" s="137"/>
      <c r="AU109" s="137"/>
      <c r="AV109" s="137"/>
      <c r="AW109" s="137"/>
      <c r="AX109" s="137"/>
      <c r="AY109" s="137"/>
      <c r="AZ109" s="137">
        <f>AZ61-AZ70</f>
        <v>61656696.080000006</v>
      </c>
      <c r="BA109" s="137"/>
      <c r="BB109" s="137"/>
      <c r="BC109" s="137"/>
      <c r="BD109" s="137"/>
      <c r="BE109" s="137"/>
      <c r="BF109" s="137"/>
      <c r="BG109" s="137">
        <f>BG61-BG70</f>
        <v>67757086.400000006</v>
      </c>
      <c r="BH109" s="137"/>
      <c r="BI109" s="137"/>
      <c r="BJ109" s="137"/>
      <c r="BK109" s="137"/>
      <c r="BL109" s="137"/>
      <c r="BM109" s="137"/>
      <c r="BN109" s="137">
        <f>BN61-BN70</f>
        <v>65195489.080000006</v>
      </c>
      <c r="BO109" s="137"/>
      <c r="BP109" s="137"/>
      <c r="BQ109" s="137"/>
      <c r="BR109" s="137"/>
      <c r="BS109" s="137"/>
      <c r="BT109" s="137"/>
      <c r="BU109" s="137">
        <f>BU61-BU70</f>
        <v>69001655.650000006</v>
      </c>
      <c r="BV109" s="137"/>
      <c r="BW109" s="137"/>
      <c r="BX109" s="137"/>
      <c r="BY109" s="137"/>
      <c r="BZ109" s="137"/>
      <c r="CA109" s="137"/>
      <c r="CB109" s="137">
        <f>CB61-CB70</f>
        <v>80370988.939999998</v>
      </c>
      <c r="CC109" s="137"/>
      <c r="CD109" s="137"/>
      <c r="CE109" s="137"/>
      <c r="CF109" s="137"/>
      <c r="CG109" s="137"/>
      <c r="CH109" s="137"/>
      <c r="CI109" s="137">
        <f>CI61-CI70</f>
        <v>68658958.069999993</v>
      </c>
      <c r="CJ109" s="137" t="e">
        <f>CJ58+#REF!-CJ66</f>
        <v>#REF!</v>
      </c>
      <c r="CK109" s="137" t="e">
        <f>CK58+#REF!-CK66</f>
        <v>#REF!</v>
      </c>
      <c r="CL109" s="137" t="e">
        <f>CL58+#REF!-CL66</f>
        <v>#REF!</v>
      </c>
      <c r="CM109" s="137" t="e">
        <f>CM58+#REF!-CM66</f>
        <v>#REF!</v>
      </c>
      <c r="CN109" s="137" t="e">
        <f>CN58+#REF!-CN66</f>
        <v>#REF!</v>
      </c>
      <c r="CO109" s="137" t="e">
        <f>CO58+#REF!-CO66</f>
        <v>#REF!</v>
      </c>
      <c r="CP109" s="137"/>
    </row>
    <row r="110" spans="2:94" x14ac:dyDescent="0.2">
      <c r="B110" s="105" t="s">
        <v>363</v>
      </c>
      <c r="D110" s="137"/>
      <c r="E110" s="137"/>
      <c r="F110" s="137"/>
      <c r="G110" s="137"/>
      <c r="H110" s="137"/>
      <c r="I110" s="137"/>
      <c r="J110" s="137">
        <f>J58+J59-J66</f>
        <v>0</v>
      </c>
      <c r="K110" s="137"/>
      <c r="L110" s="137"/>
      <c r="M110" s="137"/>
      <c r="N110" s="137"/>
      <c r="O110" s="137"/>
      <c r="P110" s="137"/>
      <c r="Q110" s="137">
        <f>Q58+Q59-Q66</f>
        <v>0</v>
      </c>
      <c r="R110" s="137"/>
      <c r="S110" s="137"/>
      <c r="T110" s="137"/>
      <c r="U110" s="137"/>
      <c r="V110" s="137"/>
      <c r="W110" s="137"/>
      <c r="X110" s="137">
        <f>X58+X59-X66</f>
        <v>0</v>
      </c>
      <c r="Y110" s="137"/>
      <c r="Z110" s="137"/>
      <c r="AA110" s="137"/>
      <c r="AB110" s="137"/>
      <c r="AC110" s="137"/>
      <c r="AD110" s="137"/>
      <c r="AE110" s="137">
        <f>AE58+AE59-AE66</f>
        <v>0</v>
      </c>
      <c r="AF110" s="137"/>
      <c r="AG110" s="137"/>
      <c r="AH110" s="137"/>
      <c r="AI110" s="137"/>
      <c r="AJ110" s="137"/>
      <c r="AK110" s="137"/>
      <c r="AL110" s="137">
        <f>AL58+AL59-AL66</f>
        <v>0</v>
      </c>
      <c r="AM110" s="137"/>
      <c r="AN110" s="137"/>
      <c r="AO110" s="137"/>
      <c r="AP110" s="137"/>
      <c r="AQ110" s="137"/>
      <c r="AR110" s="137"/>
      <c r="AS110" s="137">
        <f>AS58+AS59-AS66</f>
        <v>0</v>
      </c>
      <c r="AT110" s="137"/>
      <c r="AU110" s="137"/>
      <c r="AV110" s="137"/>
      <c r="AW110" s="137"/>
      <c r="AX110" s="137"/>
      <c r="AY110" s="137"/>
      <c r="AZ110" s="137">
        <f>AZ58+AZ59-AZ66</f>
        <v>0</v>
      </c>
      <c r="BA110" s="137"/>
      <c r="BB110" s="137"/>
      <c r="BC110" s="137"/>
      <c r="BD110" s="137"/>
      <c r="BE110" s="137"/>
      <c r="BF110" s="137"/>
      <c r="BG110" s="137">
        <f>BG58+BG59-BG66</f>
        <v>0</v>
      </c>
      <c r="BH110" s="137"/>
      <c r="BI110" s="137"/>
      <c r="BJ110" s="137"/>
      <c r="BK110" s="137"/>
      <c r="BL110" s="137"/>
      <c r="BM110" s="137"/>
      <c r="BN110" s="137">
        <f>BN58+BN59-BN66</f>
        <v>0</v>
      </c>
      <c r="BO110" s="137"/>
      <c r="BP110" s="137"/>
      <c r="BQ110" s="137"/>
      <c r="BR110" s="137"/>
      <c r="BS110" s="137"/>
      <c r="BT110" s="137"/>
      <c r="BU110" s="137">
        <f>BU58+BU59-BU66</f>
        <v>0</v>
      </c>
      <c r="BV110" s="137"/>
      <c r="BW110" s="137"/>
      <c r="BX110" s="137"/>
      <c r="BY110" s="137"/>
      <c r="BZ110" s="137"/>
      <c r="CA110" s="137"/>
      <c r="CB110" s="137">
        <f>CB58+CB59-CB66</f>
        <v>0</v>
      </c>
      <c r="CC110" s="137"/>
      <c r="CD110" s="137"/>
      <c r="CE110" s="137"/>
      <c r="CF110" s="137"/>
      <c r="CG110" s="137"/>
      <c r="CH110" s="137"/>
      <c r="CI110" s="137">
        <f>CI58+CI59-CI66</f>
        <v>0</v>
      </c>
    </row>
    <row r="112" spans="2:94" ht="16" x14ac:dyDescent="0.2">
      <c r="B112" s="183" t="s">
        <v>364</v>
      </c>
      <c r="C112" s="214"/>
      <c r="CJ112" s="165">
        <f t="shared" ref="CJ112:CO112" si="45">CJ58*365/CJ6</f>
        <v>0</v>
      </c>
      <c r="CK112" s="165">
        <f t="shared" si="45"/>
        <v>0</v>
      </c>
      <c r="CL112" s="165">
        <f t="shared" si="45"/>
        <v>0</v>
      </c>
      <c r="CM112" s="165">
        <f t="shared" si="45"/>
        <v>0</v>
      </c>
      <c r="CN112" s="165">
        <f t="shared" si="45"/>
        <v>0</v>
      </c>
      <c r="CO112" s="165">
        <f t="shared" si="45"/>
        <v>0</v>
      </c>
      <c r="CP112" s="165"/>
    </row>
    <row r="113" spans="2:94" x14ac:dyDescent="0.2">
      <c r="B113" s="105" t="s">
        <v>440</v>
      </c>
      <c r="D113" s="165"/>
      <c r="E113" s="165"/>
      <c r="F113" s="165"/>
      <c r="G113" s="165"/>
      <c r="H113" s="165"/>
      <c r="I113" s="165"/>
      <c r="J113" s="165">
        <f>J58*365/J6</f>
        <v>0</v>
      </c>
      <c r="K113" s="165"/>
      <c r="L113" s="165"/>
      <c r="M113" s="165"/>
      <c r="N113" s="165"/>
      <c r="O113" s="165"/>
      <c r="P113" s="165"/>
      <c r="Q113" s="165">
        <f>Q58*365/Q6</f>
        <v>0</v>
      </c>
      <c r="R113" s="165"/>
      <c r="S113" s="165"/>
      <c r="T113" s="165"/>
      <c r="U113" s="165"/>
      <c r="V113" s="165"/>
      <c r="W113" s="165"/>
      <c r="X113" s="165">
        <f>X58*365/X6</f>
        <v>0</v>
      </c>
      <c r="Y113" s="165"/>
      <c r="Z113" s="165"/>
      <c r="AA113" s="165"/>
      <c r="AB113" s="165"/>
      <c r="AC113" s="165"/>
      <c r="AD113" s="165"/>
      <c r="AE113" s="165">
        <f>AE58*365/AE6</f>
        <v>0</v>
      </c>
      <c r="AF113" s="165"/>
      <c r="AG113" s="165"/>
      <c r="AH113" s="165"/>
      <c r="AI113" s="165"/>
      <c r="AJ113" s="165"/>
      <c r="AK113" s="165"/>
      <c r="AL113" s="165">
        <f>AL58*365/AL6</f>
        <v>0</v>
      </c>
      <c r="AM113" s="165"/>
      <c r="AN113" s="165"/>
      <c r="AO113" s="165"/>
      <c r="AP113" s="165"/>
      <c r="AQ113" s="165"/>
      <c r="AR113" s="165"/>
      <c r="AS113" s="165">
        <f>AS58*365/AS6</f>
        <v>0</v>
      </c>
      <c r="AT113" s="165"/>
      <c r="AU113" s="165"/>
      <c r="AV113" s="165"/>
      <c r="AW113" s="165"/>
      <c r="AX113" s="165"/>
      <c r="AY113" s="165"/>
      <c r="AZ113" s="165">
        <f>AZ58*365/AZ6</f>
        <v>0</v>
      </c>
      <c r="BA113" s="165"/>
      <c r="BB113" s="165"/>
      <c r="BC113" s="165"/>
      <c r="BD113" s="165"/>
      <c r="BE113" s="165"/>
      <c r="BF113" s="165"/>
      <c r="BG113" s="165">
        <f>BG58*365/BG6</f>
        <v>0</v>
      </c>
      <c r="BH113" s="165"/>
      <c r="BI113" s="165"/>
      <c r="BJ113" s="165"/>
      <c r="BK113" s="165"/>
      <c r="BL113" s="165"/>
      <c r="BM113" s="165"/>
      <c r="BN113" s="165">
        <f>BN58*365/BN6</f>
        <v>0</v>
      </c>
      <c r="BO113" s="165"/>
      <c r="BP113" s="165"/>
      <c r="BQ113" s="165"/>
      <c r="BR113" s="165"/>
      <c r="BS113" s="165"/>
      <c r="BT113" s="165"/>
      <c r="BU113" s="165">
        <f>BU58*365/BU6</f>
        <v>0</v>
      </c>
      <c r="BV113" s="165"/>
      <c r="BW113" s="165"/>
      <c r="BX113" s="165"/>
      <c r="BY113" s="165"/>
      <c r="BZ113" s="165"/>
      <c r="CA113" s="165"/>
      <c r="CB113" s="165">
        <f>CB58*365/CB6</f>
        <v>0</v>
      </c>
      <c r="CC113" s="165"/>
      <c r="CD113" s="165"/>
      <c r="CE113" s="165"/>
      <c r="CF113" s="165"/>
      <c r="CG113" s="165"/>
      <c r="CH113" s="165"/>
      <c r="CI113" s="165">
        <f>CI58*365/CI6</f>
        <v>0</v>
      </c>
      <c r="CJ113" s="165" t="e">
        <f>#REF!*365/CJ7</f>
        <v>#REF!</v>
      </c>
      <c r="CK113" s="165" t="e">
        <f>#REF!*365/CK7</f>
        <v>#REF!</v>
      </c>
      <c r="CL113" s="165" t="e">
        <f>#REF!*365/CL7</f>
        <v>#REF!</v>
      </c>
      <c r="CM113" s="165" t="e">
        <f>#REF!*365/CM7</f>
        <v>#REF!</v>
      </c>
      <c r="CN113" s="165" t="e">
        <f>#REF!*365/CN7</f>
        <v>#REF!</v>
      </c>
      <c r="CO113" s="165" t="e">
        <f>#REF!*365/CO7</f>
        <v>#REF!</v>
      </c>
      <c r="CP113" s="165"/>
    </row>
    <row r="114" spans="2:94" x14ac:dyDescent="0.2">
      <c r="B114" s="105" t="s">
        <v>441</v>
      </c>
      <c r="D114" s="165"/>
      <c r="E114" s="165"/>
      <c r="F114" s="165"/>
      <c r="G114" s="165"/>
      <c r="H114" s="165"/>
      <c r="I114" s="165"/>
      <c r="J114" s="165" t="e">
        <f>J59*365/J7</f>
        <v>#DIV/0!</v>
      </c>
      <c r="K114" s="165"/>
      <c r="L114" s="165"/>
      <c r="M114" s="165"/>
      <c r="N114" s="165"/>
      <c r="O114" s="165"/>
      <c r="P114" s="165"/>
      <c r="Q114" s="165" t="e">
        <f>Q59*365/Q7</f>
        <v>#DIV/0!</v>
      </c>
      <c r="R114" s="165"/>
      <c r="S114" s="165"/>
      <c r="T114" s="165"/>
      <c r="U114" s="165"/>
      <c r="V114" s="165"/>
      <c r="W114" s="165"/>
      <c r="X114" s="165" t="e">
        <f>X59*365/X7</f>
        <v>#DIV/0!</v>
      </c>
      <c r="Y114" s="165"/>
      <c r="Z114" s="165"/>
      <c r="AA114" s="165"/>
      <c r="AB114" s="165"/>
      <c r="AC114" s="165"/>
      <c r="AD114" s="165"/>
      <c r="AE114" s="165" t="e">
        <f>AE59*365/AE7</f>
        <v>#DIV/0!</v>
      </c>
      <c r="AF114" s="165"/>
      <c r="AG114" s="165"/>
      <c r="AH114" s="165"/>
      <c r="AI114" s="165"/>
      <c r="AJ114" s="165"/>
      <c r="AK114" s="165"/>
      <c r="AL114" s="165" t="e">
        <f>AL59*365/AL7</f>
        <v>#DIV/0!</v>
      </c>
      <c r="AM114" s="165"/>
      <c r="AN114" s="165"/>
      <c r="AO114" s="165"/>
      <c r="AP114" s="165"/>
      <c r="AQ114" s="165"/>
      <c r="AR114" s="165"/>
      <c r="AS114" s="165" t="e">
        <f>AS59*365/AS7</f>
        <v>#DIV/0!</v>
      </c>
      <c r="AT114" s="165"/>
      <c r="AU114" s="165"/>
      <c r="AV114" s="165"/>
      <c r="AW114" s="165"/>
      <c r="AX114" s="165"/>
      <c r="AY114" s="165"/>
      <c r="AZ114" s="165" t="e">
        <f>AZ59*365/AZ7</f>
        <v>#DIV/0!</v>
      </c>
      <c r="BA114" s="165"/>
      <c r="BB114" s="165"/>
      <c r="BC114" s="165"/>
      <c r="BD114" s="165"/>
      <c r="BE114" s="165"/>
      <c r="BF114" s="165"/>
      <c r="BG114" s="165" t="e">
        <f>BG59*365/BG7</f>
        <v>#DIV/0!</v>
      </c>
      <c r="BH114" s="165"/>
      <c r="BI114" s="165"/>
      <c r="BJ114" s="165"/>
      <c r="BK114" s="165"/>
      <c r="BL114" s="165"/>
      <c r="BM114" s="165"/>
      <c r="BN114" s="165" t="e">
        <f>BN59*365/BN7</f>
        <v>#DIV/0!</v>
      </c>
      <c r="BO114" s="165"/>
      <c r="BP114" s="165"/>
      <c r="BQ114" s="165"/>
      <c r="BR114" s="165"/>
      <c r="BS114" s="165"/>
      <c r="BT114" s="165"/>
      <c r="BU114" s="165" t="e">
        <f>BU59*365/BU7</f>
        <v>#DIV/0!</v>
      </c>
      <c r="BV114" s="165"/>
      <c r="BW114" s="165"/>
      <c r="BX114" s="165"/>
      <c r="BY114" s="165"/>
      <c r="BZ114" s="165"/>
      <c r="CA114" s="165"/>
      <c r="CB114" s="165" t="e">
        <f>CB59*365/CB7</f>
        <v>#DIV/0!</v>
      </c>
      <c r="CC114" s="165"/>
      <c r="CD114" s="165"/>
      <c r="CE114" s="165"/>
      <c r="CF114" s="165"/>
      <c r="CG114" s="165"/>
      <c r="CH114" s="165"/>
      <c r="CI114" s="165" t="e">
        <f>CI59*365/CI7</f>
        <v>#DIV/0!</v>
      </c>
      <c r="CJ114" s="165" t="e">
        <f t="shared" ref="CJ114:CO114" si="46">CJ66*365/CJ7</f>
        <v>#DIV/0!</v>
      </c>
      <c r="CK114" s="165" t="e">
        <f t="shared" si="46"/>
        <v>#DIV/0!</v>
      </c>
      <c r="CL114" s="165" t="e">
        <f t="shared" si="46"/>
        <v>#DIV/0!</v>
      </c>
      <c r="CM114" s="165" t="e">
        <f t="shared" si="46"/>
        <v>#DIV/0!</v>
      </c>
      <c r="CN114" s="165" t="e">
        <f t="shared" si="46"/>
        <v>#DIV/0!</v>
      </c>
      <c r="CO114" s="165" t="e">
        <f t="shared" si="46"/>
        <v>#DIV/0!</v>
      </c>
      <c r="CP114" s="165"/>
    </row>
    <row r="115" spans="2:94" x14ac:dyDescent="0.2">
      <c r="B115" s="105" t="s">
        <v>442</v>
      </c>
      <c r="D115" s="165"/>
      <c r="E115" s="165"/>
      <c r="F115" s="165"/>
      <c r="G115" s="165"/>
      <c r="H115" s="165"/>
      <c r="I115" s="165"/>
      <c r="J115" s="165" t="e">
        <f>J66*365/J7</f>
        <v>#DIV/0!</v>
      </c>
      <c r="K115" s="165"/>
      <c r="L115" s="165"/>
      <c r="M115" s="165"/>
      <c r="N115" s="165"/>
      <c r="O115" s="165"/>
      <c r="P115" s="165"/>
      <c r="Q115" s="165" t="e">
        <f>Q66*365/Q7</f>
        <v>#DIV/0!</v>
      </c>
      <c r="R115" s="165"/>
      <c r="S115" s="165"/>
      <c r="T115" s="165"/>
      <c r="U115" s="165"/>
      <c r="V115" s="165"/>
      <c r="W115" s="165"/>
      <c r="X115" s="165" t="e">
        <f>X66*365/X7</f>
        <v>#DIV/0!</v>
      </c>
      <c r="Y115" s="165"/>
      <c r="Z115" s="165"/>
      <c r="AA115" s="165"/>
      <c r="AB115" s="165"/>
      <c r="AC115" s="165"/>
      <c r="AD115" s="165"/>
      <c r="AE115" s="165" t="e">
        <f>AE66*365/AE7</f>
        <v>#DIV/0!</v>
      </c>
      <c r="AF115" s="165"/>
      <c r="AG115" s="165"/>
      <c r="AH115" s="165"/>
      <c r="AI115" s="165"/>
      <c r="AJ115" s="165"/>
      <c r="AK115" s="165"/>
      <c r="AL115" s="165" t="e">
        <f>AL66*365/AL7</f>
        <v>#DIV/0!</v>
      </c>
      <c r="AM115" s="165"/>
      <c r="AN115" s="165"/>
      <c r="AO115" s="165"/>
      <c r="AP115" s="165"/>
      <c r="AQ115" s="165"/>
      <c r="AR115" s="165"/>
      <c r="AS115" s="165" t="e">
        <f>AS66*365/AS7</f>
        <v>#DIV/0!</v>
      </c>
      <c r="AT115" s="165"/>
      <c r="AU115" s="165"/>
      <c r="AV115" s="165"/>
      <c r="AW115" s="165"/>
      <c r="AX115" s="165"/>
      <c r="AY115" s="165"/>
      <c r="AZ115" s="165" t="e">
        <f>AZ66*365/AZ7</f>
        <v>#DIV/0!</v>
      </c>
      <c r="BA115" s="165"/>
      <c r="BB115" s="165"/>
      <c r="BC115" s="165"/>
      <c r="BD115" s="165"/>
      <c r="BE115" s="165"/>
      <c r="BF115" s="165"/>
      <c r="BG115" s="165" t="e">
        <f>BG66*365/BG7</f>
        <v>#DIV/0!</v>
      </c>
      <c r="BH115" s="165"/>
      <c r="BI115" s="165"/>
      <c r="BJ115" s="165"/>
      <c r="BK115" s="165"/>
      <c r="BL115" s="165"/>
      <c r="BM115" s="165"/>
      <c r="BN115" s="165" t="e">
        <f>BN66*365/BN7</f>
        <v>#DIV/0!</v>
      </c>
      <c r="BO115" s="165"/>
      <c r="BP115" s="165"/>
      <c r="BQ115" s="165"/>
      <c r="BR115" s="165"/>
      <c r="BS115" s="165"/>
      <c r="BT115" s="165"/>
      <c r="BU115" s="165" t="e">
        <f>BU66*365/BU7</f>
        <v>#DIV/0!</v>
      </c>
      <c r="BV115" s="165"/>
      <c r="BW115" s="165"/>
      <c r="BX115" s="165"/>
      <c r="BY115" s="165"/>
      <c r="BZ115" s="165"/>
      <c r="CA115" s="165"/>
      <c r="CB115" s="165" t="e">
        <f>CB66*365/CB7</f>
        <v>#DIV/0!</v>
      </c>
      <c r="CC115" s="165"/>
      <c r="CD115" s="165"/>
      <c r="CE115" s="165"/>
      <c r="CF115" s="165"/>
      <c r="CG115" s="165"/>
      <c r="CH115" s="165"/>
      <c r="CI115" s="165" t="e">
        <f>CI66*365/CI7</f>
        <v>#DIV/0!</v>
      </c>
      <c r="CJ115" s="165" t="e">
        <f t="shared" ref="CJ115:CO115" si="47">CJ112+CJ113-CJ114</f>
        <v>#REF!</v>
      </c>
      <c r="CK115" s="165" t="e">
        <f t="shared" si="47"/>
        <v>#REF!</v>
      </c>
      <c r="CL115" s="165" t="e">
        <f t="shared" si="47"/>
        <v>#REF!</v>
      </c>
      <c r="CM115" s="165" t="e">
        <f t="shared" si="47"/>
        <v>#REF!</v>
      </c>
      <c r="CN115" s="165" t="e">
        <f t="shared" si="47"/>
        <v>#REF!</v>
      </c>
      <c r="CO115" s="165" t="e">
        <f t="shared" si="47"/>
        <v>#REF!</v>
      </c>
      <c r="CP115" s="165"/>
    </row>
    <row r="116" spans="2:94" x14ac:dyDescent="0.2">
      <c r="B116" s="105" t="s">
        <v>365</v>
      </c>
      <c r="D116" s="165"/>
      <c r="E116" s="165"/>
      <c r="F116" s="165"/>
      <c r="G116" s="165"/>
      <c r="H116" s="165"/>
      <c r="I116" s="165"/>
      <c r="J116" s="165" t="e">
        <f>J113+J114-J115</f>
        <v>#DIV/0!</v>
      </c>
      <c r="K116" s="165"/>
      <c r="L116" s="165"/>
      <c r="M116" s="165"/>
      <c r="N116" s="165"/>
      <c r="O116" s="165"/>
      <c r="P116" s="165"/>
      <c r="Q116" s="165" t="e">
        <f>Q113+Q114-Q115</f>
        <v>#DIV/0!</v>
      </c>
      <c r="R116" s="165"/>
      <c r="S116" s="165"/>
      <c r="T116" s="165"/>
      <c r="U116" s="165"/>
      <c r="V116" s="165"/>
      <c r="W116" s="165"/>
      <c r="X116" s="165" t="e">
        <f>X113+X114-X115</f>
        <v>#DIV/0!</v>
      </c>
      <c r="Y116" s="165"/>
      <c r="Z116" s="165"/>
      <c r="AA116" s="165"/>
      <c r="AB116" s="165"/>
      <c r="AC116" s="165"/>
      <c r="AD116" s="165"/>
      <c r="AE116" s="165" t="e">
        <f>AE113+AE114-AE115</f>
        <v>#DIV/0!</v>
      </c>
      <c r="AF116" s="165"/>
      <c r="AG116" s="165"/>
      <c r="AH116" s="165"/>
      <c r="AI116" s="165"/>
      <c r="AJ116" s="165"/>
      <c r="AK116" s="165"/>
      <c r="AL116" s="165" t="e">
        <f>AL113+AL114-AL115</f>
        <v>#DIV/0!</v>
      </c>
      <c r="AM116" s="165"/>
      <c r="AN116" s="165"/>
      <c r="AO116" s="165"/>
      <c r="AP116" s="165"/>
      <c r="AQ116" s="165"/>
      <c r="AR116" s="165"/>
      <c r="AS116" s="165" t="e">
        <f>AS113+AS114-AS115</f>
        <v>#DIV/0!</v>
      </c>
      <c r="AT116" s="165"/>
      <c r="AU116" s="165"/>
      <c r="AV116" s="165"/>
      <c r="AW116" s="165"/>
      <c r="AX116" s="165"/>
      <c r="AY116" s="165"/>
      <c r="AZ116" s="165" t="e">
        <f>AZ113+AZ114-AZ115</f>
        <v>#DIV/0!</v>
      </c>
      <c r="BA116" s="165"/>
      <c r="BB116" s="165"/>
      <c r="BC116" s="165"/>
      <c r="BD116" s="165"/>
      <c r="BE116" s="165"/>
      <c r="BF116" s="165"/>
      <c r="BG116" s="165" t="e">
        <f>BG113+BG114-BG115</f>
        <v>#DIV/0!</v>
      </c>
      <c r="BH116" s="165"/>
      <c r="BI116" s="165"/>
      <c r="BJ116" s="165"/>
      <c r="BK116" s="165"/>
      <c r="BL116" s="165"/>
      <c r="BM116" s="165"/>
      <c r="BN116" s="165" t="e">
        <f>BN113+BN114-BN115</f>
        <v>#DIV/0!</v>
      </c>
      <c r="BO116" s="165"/>
      <c r="BP116" s="165"/>
      <c r="BQ116" s="165"/>
      <c r="BR116" s="165"/>
      <c r="BS116" s="165"/>
      <c r="BT116" s="165"/>
      <c r="BU116" s="165" t="e">
        <f>BU113+BU114-BU115</f>
        <v>#DIV/0!</v>
      </c>
      <c r="BV116" s="165"/>
      <c r="BW116" s="165"/>
      <c r="BX116" s="165"/>
      <c r="BY116" s="165"/>
      <c r="BZ116" s="165"/>
      <c r="CA116" s="165"/>
      <c r="CB116" s="165" t="e">
        <f>CB113+CB114-CB115</f>
        <v>#DIV/0!</v>
      </c>
      <c r="CC116" s="165"/>
      <c r="CD116" s="165"/>
      <c r="CE116" s="165"/>
      <c r="CF116" s="165"/>
      <c r="CG116" s="165"/>
      <c r="CH116" s="165"/>
      <c r="CI116" s="165" t="e">
        <f>CI113+CI114-CI115</f>
        <v>#DIV/0!</v>
      </c>
    </row>
    <row r="118" spans="2:94" ht="16" x14ac:dyDescent="0.2">
      <c r="B118" s="183" t="s">
        <v>366</v>
      </c>
      <c r="C118" s="214"/>
      <c r="CJ118" s="166">
        <f t="shared" ref="CJ118:CO118" si="48">CJ8/CJ6</f>
        <v>1</v>
      </c>
      <c r="CK118" s="166">
        <f t="shared" si="48"/>
        <v>1</v>
      </c>
      <c r="CL118" s="166">
        <f t="shared" si="48"/>
        <v>1</v>
      </c>
      <c r="CM118" s="166">
        <f t="shared" si="48"/>
        <v>1</v>
      </c>
      <c r="CN118" s="166">
        <f t="shared" si="48"/>
        <v>1</v>
      </c>
      <c r="CO118" s="166">
        <f t="shared" si="48"/>
        <v>1</v>
      </c>
      <c r="CP118" s="166"/>
    </row>
    <row r="119" spans="2:94" x14ac:dyDescent="0.2">
      <c r="B119" s="105" t="s">
        <v>367</v>
      </c>
      <c r="D119" s="166"/>
      <c r="E119" s="166"/>
      <c r="F119" s="166"/>
      <c r="G119" s="166"/>
      <c r="H119" s="166"/>
      <c r="I119" s="166"/>
      <c r="J119" s="166">
        <f>J8/J6</f>
        <v>1</v>
      </c>
      <c r="K119" s="166"/>
      <c r="L119" s="166"/>
      <c r="M119" s="166"/>
      <c r="N119" s="166"/>
      <c r="O119" s="166"/>
      <c r="P119" s="166"/>
      <c r="Q119" s="166">
        <f>Q8/Q6</f>
        <v>1</v>
      </c>
      <c r="R119" s="166"/>
      <c r="S119" s="166"/>
      <c r="T119" s="166"/>
      <c r="U119" s="166"/>
      <c r="V119" s="166"/>
      <c r="W119" s="166"/>
      <c r="X119" s="166">
        <f>X8/X6</f>
        <v>1</v>
      </c>
      <c r="Y119" s="166"/>
      <c r="Z119" s="166"/>
      <c r="AA119" s="166"/>
      <c r="AB119" s="166"/>
      <c r="AC119" s="166"/>
      <c r="AD119" s="166"/>
      <c r="AE119" s="166">
        <f>AE8/AE6</f>
        <v>1</v>
      </c>
      <c r="AF119" s="166"/>
      <c r="AG119" s="166"/>
      <c r="AH119" s="166"/>
      <c r="AI119" s="166"/>
      <c r="AJ119" s="166"/>
      <c r="AK119" s="166"/>
      <c r="AL119" s="166">
        <f>AL8/AL6</f>
        <v>1</v>
      </c>
      <c r="AM119" s="166"/>
      <c r="AN119" s="166"/>
      <c r="AO119" s="166"/>
      <c r="AP119" s="166"/>
      <c r="AQ119" s="166"/>
      <c r="AR119" s="166"/>
      <c r="AS119" s="166">
        <f>AS8/AS6</f>
        <v>1</v>
      </c>
      <c r="AT119" s="166"/>
      <c r="AU119" s="166"/>
      <c r="AV119" s="166"/>
      <c r="AW119" s="166"/>
      <c r="AX119" s="166"/>
      <c r="AY119" s="166"/>
      <c r="AZ119" s="166">
        <f>AZ8/AZ6</f>
        <v>1</v>
      </c>
      <c r="BA119" s="166"/>
      <c r="BB119" s="166"/>
      <c r="BC119" s="166"/>
      <c r="BD119" s="166"/>
      <c r="BE119" s="166"/>
      <c r="BF119" s="166"/>
      <c r="BG119" s="166">
        <f>BG8/BG6</f>
        <v>1</v>
      </c>
      <c r="BH119" s="166"/>
      <c r="BI119" s="166"/>
      <c r="BJ119" s="166"/>
      <c r="BK119" s="166"/>
      <c r="BL119" s="166"/>
      <c r="BM119" s="166"/>
      <c r="BN119" s="166">
        <f>BN8/BN6</f>
        <v>1</v>
      </c>
      <c r="BO119" s="166"/>
      <c r="BP119" s="166"/>
      <c r="BQ119" s="166"/>
      <c r="BR119" s="166"/>
      <c r="BS119" s="166"/>
      <c r="BT119" s="166"/>
      <c r="BU119" s="166">
        <f>BU8/BU6</f>
        <v>1</v>
      </c>
      <c r="BV119" s="166"/>
      <c r="BW119" s="166"/>
      <c r="BX119" s="166"/>
      <c r="BY119" s="166"/>
      <c r="BZ119" s="166"/>
      <c r="CA119" s="166"/>
      <c r="CB119" s="166">
        <f>CB8/CB6</f>
        <v>1</v>
      </c>
      <c r="CC119" s="166"/>
      <c r="CD119" s="166"/>
      <c r="CE119" s="166"/>
      <c r="CF119" s="166"/>
      <c r="CG119" s="166"/>
      <c r="CH119" s="166"/>
      <c r="CI119" s="166">
        <f>CI8/CI6</f>
        <v>1</v>
      </c>
      <c r="CJ119" s="166" t="e">
        <f>#REF!/CJ6</f>
        <v>#REF!</v>
      </c>
      <c r="CK119" s="166">
        <f>CJ16/CK6</f>
        <v>-0.24604266666666666</v>
      </c>
      <c r="CL119" s="166">
        <f>CL16/CL6</f>
        <v>0.56237045317220546</v>
      </c>
      <c r="CM119" s="166" t="e">
        <f>#REF!/CM6</f>
        <v>#REF!</v>
      </c>
      <c r="CN119" s="166">
        <f>CM16/CN6</f>
        <v>0.21465242965587045</v>
      </c>
      <c r="CO119" s="166">
        <f>CO16/CO6</f>
        <v>0.7163154199642584</v>
      </c>
      <c r="CP119" s="166"/>
    </row>
    <row r="120" spans="2:94" x14ac:dyDescent="0.2">
      <c r="B120" s="105" t="s">
        <v>443</v>
      </c>
      <c r="D120" s="166"/>
      <c r="E120" s="166"/>
      <c r="F120" s="166"/>
      <c r="G120" s="166"/>
      <c r="H120" s="166"/>
      <c r="I120" s="166"/>
      <c r="J120" s="166">
        <f>J16/J6</f>
        <v>-1.30367408</v>
      </c>
      <c r="K120" s="166"/>
      <c r="L120" s="166"/>
      <c r="M120" s="166"/>
      <c r="N120" s="166"/>
      <c r="O120" s="166"/>
      <c r="P120" s="166"/>
      <c r="Q120" s="166">
        <f>Q16/Q6</f>
        <v>-6.9543452631578946</v>
      </c>
      <c r="R120" s="166"/>
      <c r="S120" s="166"/>
      <c r="T120" s="166"/>
      <c r="U120" s="166"/>
      <c r="V120" s="166"/>
      <c r="W120" s="166"/>
      <c r="X120" s="166">
        <f>X16/X6</f>
        <v>-1.3614882706766918</v>
      </c>
      <c r="Y120" s="166"/>
      <c r="Z120" s="166"/>
      <c r="AA120" s="166"/>
      <c r="AB120" s="166"/>
      <c r="AC120" s="166"/>
      <c r="AD120" s="166"/>
      <c r="AE120" s="166">
        <f>AE16/AE6</f>
        <v>-0.35757223264540339</v>
      </c>
      <c r="AF120" s="166"/>
      <c r="AG120" s="166"/>
      <c r="AH120" s="166"/>
      <c r="AI120" s="166"/>
      <c r="AJ120" s="166"/>
      <c r="AK120" s="166"/>
      <c r="AL120" s="166">
        <f>AL16/AL6</f>
        <v>0.22590779234623173</v>
      </c>
      <c r="AM120" s="166"/>
      <c r="AN120" s="166"/>
      <c r="AO120" s="166"/>
      <c r="AP120" s="166"/>
      <c r="AQ120" s="166"/>
      <c r="AR120" s="166"/>
      <c r="AS120" s="166">
        <f>AS16/AS6</f>
        <v>0.89961095100864552</v>
      </c>
      <c r="AT120" s="166"/>
      <c r="AU120" s="166"/>
      <c r="AV120" s="166"/>
      <c r="AW120" s="166"/>
      <c r="AX120" s="166"/>
      <c r="AY120" s="166"/>
      <c r="AZ120" s="166">
        <f>AZ16/AZ6</f>
        <v>0.80932972574099127</v>
      </c>
      <c r="BA120" s="166"/>
      <c r="BB120" s="166"/>
      <c r="BC120" s="166"/>
      <c r="BD120" s="166"/>
      <c r="BE120" s="166"/>
      <c r="BF120" s="166"/>
      <c r="BG120" s="166">
        <f>BG16/BG6</f>
        <v>0.90405101143359723</v>
      </c>
      <c r="BH120" s="166"/>
      <c r="BI120" s="166"/>
      <c r="BJ120" s="166"/>
      <c r="BK120" s="166"/>
      <c r="BL120" s="166"/>
      <c r="BM120" s="166"/>
      <c r="BN120" s="166">
        <f>BN16/BN6</f>
        <v>0.91030727183237237</v>
      </c>
      <c r="BO120" s="166"/>
      <c r="BP120" s="166"/>
      <c r="BQ120" s="166"/>
      <c r="BR120" s="166"/>
      <c r="BS120" s="166"/>
      <c r="BT120" s="166"/>
      <c r="BU120" s="166">
        <f>BU16/BU6</f>
        <v>0.84209751685578027</v>
      </c>
      <c r="BV120" s="166"/>
      <c r="BW120" s="166"/>
      <c r="BX120" s="166"/>
      <c r="BY120" s="166"/>
      <c r="BZ120" s="166"/>
      <c r="CA120" s="166"/>
      <c r="CB120" s="166">
        <f>CB16/CB6</f>
        <v>0.88879661582990088</v>
      </c>
      <c r="CC120" s="166"/>
      <c r="CD120" s="166"/>
      <c r="CE120" s="166"/>
      <c r="CF120" s="166"/>
      <c r="CG120" s="166"/>
      <c r="CH120" s="166"/>
      <c r="CI120" s="166">
        <f>CI16/CI6</f>
        <v>-1.7626334507632948</v>
      </c>
      <c r="CJ120" s="168" t="e">
        <f>#REF!+CJ14</f>
        <v>#REF!</v>
      </c>
      <c r="CK120" s="169">
        <f>CJ16+CK14</f>
        <v>-5535960</v>
      </c>
      <c r="CL120" s="169">
        <f>CL16+CL14</f>
        <v>9307231</v>
      </c>
      <c r="CM120" s="168" t="e">
        <f>#REF!+CM14</f>
        <v>#REF!</v>
      </c>
      <c r="CN120" s="169">
        <f>CM16+CN14</f>
        <v>4241532.01</v>
      </c>
      <c r="CO120" s="169">
        <f>CO16+CO14</f>
        <v>5611615</v>
      </c>
      <c r="CP120" s="168"/>
    </row>
    <row r="121" spans="2:94" x14ac:dyDescent="0.2">
      <c r="B121" s="105" t="s">
        <v>368</v>
      </c>
      <c r="D121" s="168"/>
      <c r="E121" s="169"/>
      <c r="F121" s="169"/>
      <c r="G121" s="168"/>
      <c r="H121" s="169"/>
      <c r="I121" s="169"/>
      <c r="J121" s="168">
        <f>J16+J15</f>
        <v>-8147963</v>
      </c>
      <c r="K121" s="169"/>
      <c r="L121" s="169"/>
      <c r="M121" s="168"/>
      <c r="N121" s="169"/>
      <c r="O121" s="169"/>
      <c r="P121" s="168"/>
      <c r="Q121" s="168">
        <f>Q16+Q15</f>
        <v>-19819884</v>
      </c>
      <c r="R121" s="169"/>
      <c r="S121" s="168"/>
      <c r="T121" s="169"/>
      <c r="U121" s="169"/>
      <c r="V121" s="168"/>
      <c r="W121" s="169"/>
      <c r="X121" s="168">
        <f>X16+X15</f>
        <v>-9053897</v>
      </c>
      <c r="Y121" s="168"/>
      <c r="Z121" s="169"/>
      <c r="AA121" s="169"/>
      <c r="AB121" s="168"/>
      <c r="AC121" s="169"/>
      <c r="AD121" s="169"/>
      <c r="AE121" s="168">
        <f>AE16+AE15</f>
        <v>-1334102</v>
      </c>
      <c r="AF121" s="169"/>
      <c r="AG121" s="169"/>
      <c r="AH121" s="168"/>
      <c r="AI121" s="169"/>
      <c r="AJ121" s="169"/>
      <c r="AK121" s="168"/>
      <c r="AL121" s="168">
        <f>AL16+AL15</f>
        <v>2119241</v>
      </c>
      <c r="AM121" s="169"/>
      <c r="AN121" s="168"/>
      <c r="AO121" s="169"/>
      <c r="AP121" s="169"/>
      <c r="AQ121" s="168"/>
      <c r="AR121" s="169"/>
      <c r="AS121" s="168">
        <f>AS16+AS15</f>
        <v>7179795</v>
      </c>
      <c r="AT121" s="168"/>
      <c r="AU121" s="169"/>
      <c r="AV121" s="169"/>
      <c r="AW121" s="168"/>
      <c r="AX121" s="169"/>
      <c r="AY121" s="169"/>
      <c r="AZ121" s="168">
        <f>AZ16+AZ15</f>
        <v>6580660</v>
      </c>
      <c r="BA121" s="169"/>
      <c r="BB121" s="169"/>
      <c r="BC121" s="168"/>
      <c r="BD121" s="169"/>
      <c r="BE121" s="169"/>
      <c r="BF121" s="168"/>
      <c r="BG121" s="168">
        <f>BG16+BG15</f>
        <v>7709295</v>
      </c>
      <c r="BH121" s="169"/>
      <c r="BI121" s="168"/>
      <c r="BJ121" s="169"/>
      <c r="BK121" s="169"/>
      <c r="BL121" s="168"/>
      <c r="BM121" s="169"/>
      <c r="BN121" s="168">
        <f>BN16+BN15</f>
        <v>6473195.0099999998</v>
      </c>
      <c r="BO121" s="168"/>
      <c r="BP121" s="169"/>
      <c r="BQ121" s="169"/>
      <c r="BR121" s="168"/>
      <c r="BS121" s="169"/>
      <c r="BT121" s="169"/>
      <c r="BU121" s="168">
        <f>BU16+BU15</f>
        <v>5120795</v>
      </c>
      <c r="BV121" s="169"/>
      <c r="BW121" s="169"/>
      <c r="BX121" s="168"/>
      <c r="BY121" s="169"/>
      <c r="BZ121" s="169"/>
      <c r="CA121" s="168"/>
      <c r="CB121" s="168">
        <f>CB16+CB15</f>
        <v>11976090</v>
      </c>
      <c r="CC121" s="169"/>
      <c r="CD121" s="168"/>
      <c r="CE121" s="169"/>
      <c r="CF121" s="169"/>
      <c r="CG121" s="168"/>
      <c r="CH121" s="169"/>
      <c r="CI121" s="168">
        <f>CI16+CI15</f>
        <v>-10507058</v>
      </c>
      <c r="CJ121" s="166" t="e">
        <f t="shared" ref="CJ121:CO121" si="49">CJ120/CJ6</f>
        <v>#REF!</v>
      </c>
      <c r="CK121" s="166">
        <f t="shared" si="49"/>
        <v>-0.24604266666666666</v>
      </c>
      <c r="CL121" s="166">
        <f t="shared" si="49"/>
        <v>0.56237045317220546</v>
      </c>
      <c r="CM121" s="166" t="e">
        <f t="shared" si="49"/>
        <v>#REF!</v>
      </c>
      <c r="CN121" s="166">
        <f t="shared" si="49"/>
        <v>0.21465242965587045</v>
      </c>
      <c r="CO121" s="166">
        <f t="shared" si="49"/>
        <v>0.7163154199642584</v>
      </c>
      <c r="CP121" s="166"/>
    </row>
    <row r="122" spans="2:94" x14ac:dyDescent="0.2">
      <c r="B122" s="105" t="s">
        <v>369</v>
      </c>
      <c r="D122" s="166"/>
      <c r="E122" s="166"/>
      <c r="F122" s="166"/>
      <c r="G122" s="166"/>
      <c r="H122" s="166"/>
      <c r="I122" s="166"/>
      <c r="J122" s="166">
        <f>J121/J6</f>
        <v>-1.30367408</v>
      </c>
      <c r="K122" s="166"/>
      <c r="L122" s="166"/>
      <c r="M122" s="166"/>
      <c r="N122" s="166"/>
      <c r="O122" s="166"/>
      <c r="P122" s="166"/>
      <c r="Q122" s="166">
        <f>Q121/Q6</f>
        <v>-6.9543452631578946</v>
      </c>
      <c r="R122" s="166"/>
      <c r="S122" s="166"/>
      <c r="T122" s="166"/>
      <c r="U122" s="166"/>
      <c r="V122" s="166"/>
      <c r="W122" s="166"/>
      <c r="X122" s="166">
        <f>X121/X6</f>
        <v>-1.3614882706766918</v>
      </c>
      <c r="Y122" s="166"/>
      <c r="Z122" s="166"/>
      <c r="AA122" s="166"/>
      <c r="AB122" s="166"/>
      <c r="AC122" s="166"/>
      <c r="AD122" s="166"/>
      <c r="AE122" s="166">
        <f>AE121/AE6</f>
        <v>-0.35757223264540339</v>
      </c>
      <c r="AF122" s="166"/>
      <c r="AG122" s="166"/>
      <c r="AH122" s="166"/>
      <c r="AI122" s="166"/>
      <c r="AJ122" s="166"/>
      <c r="AK122" s="166"/>
      <c r="AL122" s="166">
        <f>AL121/AL6</f>
        <v>0.22590779234623173</v>
      </c>
      <c r="AM122" s="166"/>
      <c r="AN122" s="166"/>
      <c r="AO122" s="166"/>
      <c r="AP122" s="166"/>
      <c r="AQ122" s="166"/>
      <c r="AR122" s="166"/>
      <c r="AS122" s="166">
        <f>AS121/AS6</f>
        <v>0.89961095100864552</v>
      </c>
      <c r="AT122" s="166"/>
      <c r="AU122" s="166"/>
      <c r="AV122" s="166"/>
      <c r="AW122" s="166"/>
      <c r="AX122" s="166"/>
      <c r="AY122" s="166"/>
      <c r="AZ122" s="166">
        <f>AZ121/AZ6</f>
        <v>0.80932972574099127</v>
      </c>
      <c r="BA122" s="166"/>
      <c r="BB122" s="166"/>
      <c r="BC122" s="166"/>
      <c r="BD122" s="166"/>
      <c r="BE122" s="166"/>
      <c r="BF122" s="166"/>
      <c r="BG122" s="166">
        <f>BG121/BG6</f>
        <v>0.90405101143359723</v>
      </c>
      <c r="BH122" s="166"/>
      <c r="BI122" s="166"/>
      <c r="BJ122" s="166"/>
      <c r="BK122" s="166"/>
      <c r="BL122" s="166"/>
      <c r="BM122" s="166"/>
      <c r="BN122" s="166">
        <f>BN121/BN6</f>
        <v>0.91030727183237237</v>
      </c>
      <c r="BO122" s="166"/>
      <c r="BP122" s="166"/>
      <c r="BQ122" s="166"/>
      <c r="BR122" s="166"/>
      <c r="BS122" s="166"/>
      <c r="BT122" s="166"/>
      <c r="BU122" s="166">
        <f>BU121/BU6</f>
        <v>0.84209751685578027</v>
      </c>
      <c r="BV122" s="166"/>
      <c r="BW122" s="166"/>
      <c r="BX122" s="166"/>
      <c r="BY122" s="166"/>
      <c r="BZ122" s="166"/>
      <c r="CA122" s="166"/>
      <c r="CB122" s="166">
        <f>CB121/CB6</f>
        <v>0.88879661582990088</v>
      </c>
      <c r="CC122" s="166"/>
      <c r="CD122" s="166"/>
      <c r="CE122" s="166"/>
      <c r="CF122" s="166"/>
      <c r="CG122" s="166"/>
      <c r="CH122" s="166"/>
      <c r="CI122" s="166">
        <f>CI121/CI6</f>
        <v>-1.7626334507632948</v>
      </c>
      <c r="CJ122" s="166">
        <f t="shared" ref="CJ122:CO122" si="50">CJ47/CJ6</f>
        <v>0</v>
      </c>
      <c r="CK122" s="166">
        <f t="shared" si="50"/>
        <v>0</v>
      </c>
      <c r="CL122" s="166">
        <f t="shared" si="50"/>
        <v>0</v>
      </c>
      <c r="CM122" s="166">
        <f t="shared" si="50"/>
        <v>0</v>
      </c>
      <c r="CN122" s="166">
        <f t="shared" si="50"/>
        <v>0</v>
      </c>
      <c r="CO122" s="166">
        <f t="shared" si="50"/>
        <v>0</v>
      </c>
      <c r="CP122" s="166"/>
    </row>
    <row r="123" spans="2:94" x14ac:dyDescent="0.2">
      <c r="B123" s="170" t="s">
        <v>370</v>
      </c>
      <c r="D123" s="166"/>
      <c r="E123" s="166"/>
      <c r="F123" s="166"/>
      <c r="G123" s="166"/>
      <c r="H123" s="166"/>
      <c r="I123" s="166"/>
      <c r="J123" s="166">
        <f>J47/J6</f>
        <v>-1.1710807168000001</v>
      </c>
      <c r="K123" s="166"/>
      <c r="L123" s="166"/>
      <c r="M123" s="166"/>
      <c r="N123" s="166"/>
      <c r="O123" s="166"/>
      <c r="P123" s="166"/>
      <c r="Q123" s="166">
        <f>Q47/Q6</f>
        <v>-6.3940165122807029</v>
      </c>
      <c r="R123" s="166"/>
      <c r="S123" s="166"/>
      <c r="T123" s="166"/>
      <c r="U123" s="166"/>
      <c r="V123" s="166"/>
      <c r="W123" s="166"/>
      <c r="X123" s="166">
        <f>X47/X6</f>
        <v>-4.3191653067669176</v>
      </c>
      <c r="Y123" s="166"/>
      <c r="Z123" s="166"/>
      <c r="AA123" s="166"/>
      <c r="AB123" s="166"/>
      <c r="AC123" s="166"/>
      <c r="AD123" s="166"/>
      <c r="AE123" s="166">
        <f>AE47/AE6</f>
        <v>-0.52225192709729318</v>
      </c>
      <c r="AF123" s="166"/>
      <c r="AG123" s="166"/>
      <c r="AH123" s="166"/>
      <c r="AI123" s="166"/>
      <c r="AJ123" s="166"/>
      <c r="AK123" s="166"/>
      <c r="AL123" s="166">
        <f>AL47/AL6</f>
        <v>0.23656749813452727</v>
      </c>
      <c r="AM123" s="166"/>
      <c r="AN123" s="166"/>
      <c r="AO123" s="166"/>
      <c r="AP123" s="166"/>
      <c r="AQ123" s="166"/>
      <c r="AR123" s="166"/>
      <c r="AS123" s="166">
        <f>AS47/AS6</f>
        <v>0.7441857561709061</v>
      </c>
      <c r="AT123" s="166"/>
      <c r="AU123" s="166"/>
      <c r="AV123" s="166"/>
      <c r="AW123" s="166"/>
      <c r="AX123" s="166"/>
      <c r="AY123" s="166"/>
      <c r="AZ123" s="166">
        <f>AZ47/AZ6</f>
        <v>0.72737172303529718</v>
      </c>
      <c r="BA123" s="166"/>
      <c r="BB123" s="166"/>
      <c r="BC123" s="166"/>
      <c r="BD123" s="166"/>
      <c r="BE123" s="166"/>
      <c r="BF123" s="166"/>
      <c r="BG123" s="166">
        <f>BG47/BG6</f>
        <v>0.71537851890941073</v>
      </c>
      <c r="BH123" s="166"/>
      <c r="BI123" s="166"/>
      <c r="BJ123" s="166"/>
      <c r="BK123" s="166"/>
      <c r="BL123" s="166"/>
      <c r="BM123" s="166"/>
      <c r="BN123" s="166">
        <f>BN47/BN6</f>
        <v>-0.36023025172268325</v>
      </c>
      <c r="BO123" s="166"/>
      <c r="BP123" s="166"/>
      <c r="BQ123" s="166"/>
      <c r="BR123" s="166"/>
      <c r="BS123" s="166"/>
      <c r="BT123" s="166"/>
      <c r="BU123" s="166">
        <f>BU47/BU6</f>
        <v>0.62591129255056743</v>
      </c>
      <c r="BV123" s="166"/>
      <c r="BW123" s="166"/>
      <c r="BX123" s="166"/>
      <c r="BY123" s="166"/>
      <c r="BZ123" s="166"/>
      <c r="CA123" s="166"/>
      <c r="CB123" s="166">
        <f>CB47/CB6</f>
        <v>0.84376661768525729</v>
      </c>
      <c r="CC123" s="166"/>
      <c r="CD123" s="166"/>
      <c r="CE123" s="166"/>
      <c r="CF123" s="166"/>
      <c r="CG123" s="166"/>
      <c r="CH123" s="166"/>
      <c r="CI123" s="166">
        <f>CI47/CI6</f>
        <v>-1.9647761902365377</v>
      </c>
      <c r="CJ123" s="171" t="e">
        <f t="shared" ref="CJ123:CO123" si="51">CJ47/CJ64</f>
        <v>#DIV/0!</v>
      </c>
      <c r="CK123" s="171" t="e">
        <f t="shared" si="51"/>
        <v>#DIV/0!</v>
      </c>
      <c r="CL123" s="171" t="e">
        <f t="shared" si="51"/>
        <v>#DIV/0!</v>
      </c>
      <c r="CM123" s="171" t="e">
        <f t="shared" si="51"/>
        <v>#DIV/0!</v>
      </c>
      <c r="CN123" s="171" t="e">
        <f t="shared" si="51"/>
        <v>#DIV/0!</v>
      </c>
      <c r="CO123" s="171" t="e">
        <f t="shared" si="51"/>
        <v>#DIV/0!</v>
      </c>
      <c r="CP123" s="171"/>
    </row>
    <row r="124" spans="2:94" x14ac:dyDescent="0.2">
      <c r="B124" s="105" t="s">
        <v>371</v>
      </c>
      <c r="D124" s="171"/>
      <c r="E124" s="171"/>
      <c r="F124" s="171"/>
      <c r="G124" s="171"/>
      <c r="H124" s="171"/>
      <c r="I124" s="171"/>
      <c r="J124" s="171">
        <f>J47/J64</f>
        <v>-3.7912719554446198E-3</v>
      </c>
      <c r="K124" s="171"/>
      <c r="L124" s="171"/>
      <c r="M124" s="171"/>
      <c r="N124" s="171"/>
      <c r="O124" s="171"/>
      <c r="P124" s="171"/>
      <c r="Q124" s="171">
        <f>Q47/Q64</f>
        <v>-9.3599565680058342E-3</v>
      </c>
      <c r="R124" s="171"/>
      <c r="S124" s="171"/>
      <c r="T124" s="171"/>
      <c r="U124" s="171"/>
      <c r="V124" s="171"/>
      <c r="W124" s="171"/>
      <c r="X124" s="171">
        <f>X47/X64</f>
        <v>-1.484156637575767E-2</v>
      </c>
      <c r="Y124" s="171"/>
      <c r="Z124" s="171"/>
      <c r="AA124" s="171"/>
      <c r="AB124" s="171"/>
      <c r="AC124" s="171"/>
      <c r="AD124" s="171"/>
      <c r="AE124" s="171">
        <f>AE47/AE64</f>
        <v>-1.0078619651706388E-3</v>
      </c>
      <c r="AF124" s="171"/>
      <c r="AG124" s="171"/>
      <c r="AH124" s="171"/>
      <c r="AI124" s="171"/>
      <c r="AJ124" s="171"/>
      <c r="AK124" s="171"/>
      <c r="AL124" s="171">
        <f>AL47/AL64</f>
        <v>1.146573058266765E-3</v>
      </c>
      <c r="AM124" s="171"/>
      <c r="AN124" s="171"/>
      <c r="AO124" s="171"/>
      <c r="AP124" s="171"/>
      <c r="AQ124" s="171"/>
      <c r="AR124" s="171"/>
      <c r="AS124" s="171">
        <f>AS47/AS64</f>
        <v>3.0591837305625649E-3</v>
      </c>
      <c r="AT124" s="171"/>
      <c r="AU124" s="171"/>
      <c r="AV124" s="171"/>
      <c r="AW124" s="171"/>
      <c r="AX124" s="171"/>
      <c r="AY124" s="171"/>
      <c r="AZ124" s="171">
        <f>AZ47/AZ64</f>
        <v>3.0370105994074448E-3</v>
      </c>
      <c r="BA124" s="171"/>
      <c r="BB124" s="171"/>
      <c r="BC124" s="171"/>
      <c r="BD124" s="171"/>
      <c r="BE124" s="171"/>
      <c r="BF124" s="171"/>
      <c r="BG124" s="171">
        <f>BG47/BG64</f>
        <v>3.1228075173047858E-3</v>
      </c>
      <c r="BH124" s="171"/>
      <c r="BI124" s="171"/>
      <c r="BJ124" s="171"/>
      <c r="BK124" s="171"/>
      <c r="BL124" s="171"/>
      <c r="BM124" s="171"/>
      <c r="BN124" s="171">
        <f>BN47/BN64</f>
        <v>-1.3130108425249683E-3</v>
      </c>
      <c r="BO124" s="171"/>
      <c r="BP124" s="171"/>
      <c r="BQ124" s="171"/>
      <c r="BR124" s="171"/>
      <c r="BS124" s="171"/>
      <c r="BT124" s="171"/>
      <c r="BU124" s="171">
        <f>BU47/BU64</f>
        <v>1.9471471936203055E-3</v>
      </c>
      <c r="BV124" s="171"/>
      <c r="BW124" s="171"/>
      <c r="BX124" s="171"/>
      <c r="BY124" s="171"/>
      <c r="BZ124" s="171"/>
      <c r="CA124" s="171"/>
      <c r="CB124" s="171">
        <f>CB47/CB64</f>
        <v>5.7826555752633372E-3</v>
      </c>
      <c r="CC124" s="171"/>
      <c r="CD124" s="171"/>
      <c r="CE124" s="171"/>
      <c r="CF124" s="171"/>
      <c r="CG124" s="171"/>
      <c r="CH124" s="171"/>
      <c r="CI124" s="171">
        <f>CI47/CI64</f>
        <v>-5.9926559744234009E-3</v>
      </c>
      <c r="CJ124" s="171" t="e">
        <f t="shared" ref="CJ124:CO124" si="52">CJ47/CJ79</f>
        <v>#DIV/0!</v>
      </c>
      <c r="CK124" s="171" t="e">
        <f t="shared" si="52"/>
        <v>#DIV/0!</v>
      </c>
      <c r="CL124" s="171" t="e">
        <f t="shared" si="52"/>
        <v>#DIV/0!</v>
      </c>
      <c r="CM124" s="171" t="e">
        <f t="shared" si="52"/>
        <v>#DIV/0!</v>
      </c>
      <c r="CN124" s="171" t="e">
        <f t="shared" si="52"/>
        <v>#DIV/0!</v>
      </c>
      <c r="CO124" s="171" t="e">
        <f t="shared" si="52"/>
        <v>#DIV/0!</v>
      </c>
      <c r="CP124" s="171"/>
    </row>
    <row r="125" spans="2:94" x14ac:dyDescent="0.2">
      <c r="B125" s="105" t="s">
        <v>372</v>
      </c>
      <c r="D125" s="171"/>
      <c r="E125" s="171"/>
      <c r="F125" s="171"/>
      <c r="G125" s="171"/>
      <c r="H125" s="171"/>
      <c r="I125" s="171"/>
      <c r="J125" s="171">
        <f>J47/J79</f>
        <v>-3.8989354199051442E-3</v>
      </c>
      <c r="K125" s="171"/>
      <c r="L125" s="171"/>
      <c r="M125" s="171"/>
      <c r="N125" s="171"/>
      <c r="O125" s="171"/>
      <c r="P125" s="171"/>
      <c r="Q125" s="171">
        <f>Q47/Q79</f>
        <v>-9.802440709597994E-3</v>
      </c>
      <c r="R125" s="171"/>
      <c r="S125" s="171"/>
      <c r="T125" s="171"/>
      <c r="U125" s="171"/>
      <c r="V125" s="171"/>
      <c r="W125" s="171"/>
      <c r="X125" s="171">
        <f>X47/X79</f>
        <v>-1.5692763887040696E-2</v>
      </c>
      <c r="Y125" s="171"/>
      <c r="Z125" s="171"/>
      <c r="AA125" s="171"/>
      <c r="AB125" s="171"/>
      <c r="AC125" s="171"/>
      <c r="AD125" s="171"/>
      <c r="AE125" s="171">
        <f>AE47/AE79</f>
        <v>-1.0657267383764092E-3</v>
      </c>
      <c r="AF125" s="171"/>
      <c r="AG125" s="171"/>
      <c r="AH125" s="171"/>
      <c r="AI125" s="171"/>
      <c r="AJ125" s="171"/>
      <c r="AK125" s="171"/>
      <c r="AL125" s="171">
        <f>AL47/AL79</f>
        <v>1.2123219002027983E-3</v>
      </c>
      <c r="AM125" s="171"/>
      <c r="AN125" s="171"/>
      <c r="AO125" s="171"/>
      <c r="AP125" s="171"/>
      <c r="AQ125" s="171"/>
      <c r="AR125" s="171"/>
      <c r="AS125" s="171">
        <f>AS47/AS79</f>
        <v>3.2340415803438819E-3</v>
      </c>
      <c r="AT125" s="171"/>
      <c r="AU125" s="171"/>
      <c r="AV125" s="171"/>
      <c r="AW125" s="171"/>
      <c r="AX125" s="171"/>
      <c r="AY125" s="171"/>
      <c r="AZ125" s="171">
        <f>AZ47/AZ79</f>
        <v>3.2100438369008807E-3</v>
      </c>
      <c r="BA125" s="171"/>
      <c r="BB125" s="171"/>
      <c r="BC125" s="171"/>
      <c r="BD125" s="171"/>
      <c r="BE125" s="171"/>
      <c r="BF125" s="171"/>
      <c r="BG125" s="171">
        <f>BG47/BG79</f>
        <v>3.3001418555217176E-3</v>
      </c>
      <c r="BH125" s="171"/>
      <c r="BI125" s="171"/>
      <c r="BJ125" s="171"/>
      <c r="BK125" s="171"/>
      <c r="BL125" s="171"/>
      <c r="BM125" s="171"/>
      <c r="BN125" s="171">
        <f>BN47/BN79</f>
        <v>-1.3876760329586113E-3</v>
      </c>
      <c r="BO125" s="171"/>
      <c r="BP125" s="171"/>
      <c r="BQ125" s="171"/>
      <c r="BR125" s="171"/>
      <c r="BS125" s="171"/>
      <c r="BT125" s="171"/>
      <c r="BU125" s="171">
        <f>BU47/BU79</f>
        <v>2.0576451136672331E-3</v>
      </c>
      <c r="BV125" s="171"/>
      <c r="BW125" s="171"/>
      <c r="BX125" s="171"/>
      <c r="BY125" s="171"/>
      <c r="BZ125" s="171"/>
      <c r="CA125" s="171"/>
      <c r="CB125" s="171">
        <f>CB47/CB79</f>
        <v>6.108808657779536E-3</v>
      </c>
      <c r="CC125" s="171"/>
      <c r="CD125" s="171"/>
      <c r="CE125" s="171"/>
      <c r="CF125" s="171"/>
      <c r="CG125" s="171"/>
      <c r="CH125" s="171"/>
      <c r="CI125" s="171">
        <f>CI47/CI79</f>
        <v>-6.3327939587366324E-3</v>
      </c>
    </row>
    <row r="127" spans="2:94" ht="16" x14ac:dyDescent="0.2">
      <c r="B127" s="183" t="s">
        <v>373</v>
      </c>
      <c r="C127" s="214"/>
      <c r="CJ127" s="166" t="e">
        <f t="shared" ref="CJ127:CO127" si="53">CJ73/CJ64</f>
        <v>#DIV/0!</v>
      </c>
      <c r="CK127" s="166" t="e">
        <f t="shared" si="53"/>
        <v>#DIV/0!</v>
      </c>
      <c r="CL127" s="166" t="e">
        <f t="shared" si="53"/>
        <v>#DIV/0!</v>
      </c>
      <c r="CM127" s="166" t="e">
        <f t="shared" si="53"/>
        <v>#DIV/0!</v>
      </c>
      <c r="CN127" s="166" t="e">
        <f t="shared" si="53"/>
        <v>#DIV/0!</v>
      </c>
      <c r="CO127" s="166" t="e">
        <f t="shared" si="53"/>
        <v>#DIV/0!</v>
      </c>
      <c r="CP127" s="166"/>
    </row>
    <row r="128" spans="2:94" x14ac:dyDescent="0.2">
      <c r="B128" s="105" t="s">
        <v>374</v>
      </c>
      <c r="D128" s="166"/>
      <c r="E128" s="166"/>
      <c r="F128" s="166"/>
      <c r="G128" s="166"/>
      <c r="H128" s="166"/>
      <c r="I128" s="166"/>
      <c r="J128" s="166">
        <f>J73/J64</f>
        <v>2.76135541796543E-2</v>
      </c>
      <c r="K128" s="166"/>
      <c r="L128" s="166"/>
      <c r="M128" s="166"/>
      <c r="N128" s="166"/>
      <c r="O128" s="166"/>
      <c r="P128" s="166"/>
      <c r="Q128" s="166">
        <f>Q73/Q64</f>
        <v>4.5140200762337067E-2</v>
      </c>
      <c r="R128" s="166"/>
      <c r="S128" s="166"/>
      <c r="T128" s="166"/>
      <c r="U128" s="166"/>
      <c r="V128" s="166"/>
      <c r="W128" s="166"/>
      <c r="X128" s="166">
        <f>X73/X64</f>
        <v>5.424140179576388E-2</v>
      </c>
      <c r="Y128" s="166"/>
      <c r="Z128" s="166"/>
      <c r="AA128" s="166"/>
      <c r="AB128" s="166"/>
      <c r="AC128" s="166"/>
      <c r="AD128" s="166"/>
      <c r="AE128" s="166">
        <f>AE73/AE64</f>
        <v>5.4296069641571361E-2</v>
      </c>
      <c r="AF128" s="166"/>
      <c r="AG128" s="166"/>
      <c r="AH128" s="166"/>
      <c r="AI128" s="166"/>
      <c r="AJ128" s="166"/>
      <c r="AK128" s="166"/>
      <c r="AL128" s="166">
        <f>AL73/AL64</f>
        <v>5.4233815230950562E-2</v>
      </c>
      <c r="AM128" s="166"/>
      <c r="AN128" s="166"/>
      <c r="AO128" s="166"/>
      <c r="AP128" s="166"/>
      <c r="AQ128" s="166"/>
      <c r="AR128" s="166"/>
      <c r="AS128" s="166">
        <f>AS73/AS64</f>
        <v>5.4067904025749701E-2</v>
      </c>
      <c r="AT128" s="166"/>
      <c r="AU128" s="166"/>
      <c r="AV128" s="166"/>
      <c r="AW128" s="166"/>
      <c r="AX128" s="166"/>
      <c r="AY128" s="166"/>
      <c r="AZ128" s="166">
        <f>AZ73/AZ64</f>
        <v>5.390369922813576E-2</v>
      </c>
      <c r="BA128" s="166"/>
      <c r="BB128" s="166"/>
      <c r="BC128" s="166"/>
      <c r="BD128" s="166"/>
      <c r="BE128" s="166"/>
      <c r="BF128" s="166"/>
      <c r="BG128" s="166">
        <f>BG73/BG64</f>
        <v>5.3735368350975594E-2</v>
      </c>
      <c r="BH128" s="166"/>
      <c r="BI128" s="166"/>
      <c r="BJ128" s="166"/>
      <c r="BK128" s="166"/>
      <c r="BL128" s="166"/>
      <c r="BM128" s="166"/>
      <c r="BN128" s="166">
        <f>BN73/BN64</f>
        <v>5.3805923472247504E-2</v>
      </c>
      <c r="BO128" s="166"/>
      <c r="BP128" s="166"/>
      <c r="BQ128" s="166"/>
      <c r="BR128" s="166"/>
      <c r="BS128" s="166"/>
      <c r="BT128" s="166"/>
      <c r="BU128" s="166">
        <f>BU73/BU64</f>
        <v>5.3701155419358361E-2</v>
      </c>
      <c r="BV128" s="166"/>
      <c r="BW128" s="166"/>
      <c r="BX128" s="166"/>
      <c r="BY128" s="166"/>
      <c r="BZ128" s="166"/>
      <c r="CA128" s="166"/>
      <c r="CB128" s="166">
        <f>CB73/CB64</f>
        <v>5.3390620133574526E-2</v>
      </c>
      <c r="CC128" s="166"/>
      <c r="CD128" s="166"/>
      <c r="CE128" s="166"/>
      <c r="CF128" s="166"/>
      <c r="CG128" s="166"/>
      <c r="CH128" s="166"/>
      <c r="CI128" s="166">
        <f>CI73/CI64</f>
        <v>5.3710571752296168E-2</v>
      </c>
      <c r="CJ128" s="164" t="e">
        <f t="shared" ref="CJ128:CO128" si="54">CJ73/CJ79</f>
        <v>#DIV/0!</v>
      </c>
      <c r="CK128" s="164" t="e">
        <f t="shared" si="54"/>
        <v>#DIV/0!</v>
      </c>
      <c r="CL128" s="164" t="e">
        <f t="shared" si="54"/>
        <v>#DIV/0!</v>
      </c>
      <c r="CM128" s="164" t="e">
        <f t="shared" si="54"/>
        <v>#DIV/0!</v>
      </c>
      <c r="CN128" s="164" t="e">
        <f t="shared" si="54"/>
        <v>#DIV/0!</v>
      </c>
      <c r="CO128" s="164" t="e">
        <f t="shared" si="54"/>
        <v>#DIV/0!</v>
      </c>
      <c r="CP128" s="164"/>
    </row>
    <row r="129" spans="2:94" x14ac:dyDescent="0.2">
      <c r="B129" s="105" t="s">
        <v>375</v>
      </c>
      <c r="D129" s="164"/>
      <c r="E129" s="164"/>
      <c r="F129" s="164"/>
      <c r="G129" s="164"/>
      <c r="H129" s="164"/>
      <c r="I129" s="164"/>
      <c r="J129" s="164">
        <f>J73/J79</f>
        <v>2.8397716050390188E-2</v>
      </c>
      <c r="K129" s="164"/>
      <c r="L129" s="164"/>
      <c r="M129" s="164"/>
      <c r="N129" s="164"/>
      <c r="O129" s="164"/>
      <c r="P129" s="164"/>
      <c r="Q129" s="164">
        <f>Q73/Q79</f>
        <v>4.7274166111481414E-2</v>
      </c>
      <c r="R129" s="164"/>
      <c r="S129" s="164"/>
      <c r="T129" s="164"/>
      <c r="U129" s="164"/>
      <c r="V129" s="164"/>
      <c r="W129" s="164"/>
      <c r="X129" s="164">
        <f>X73/X79</f>
        <v>5.7352269277546095E-2</v>
      </c>
      <c r="Y129" s="164"/>
      <c r="Z129" s="164"/>
      <c r="AA129" s="164"/>
      <c r="AB129" s="164"/>
      <c r="AC129" s="164"/>
      <c r="AD129" s="164"/>
      <c r="AE129" s="164">
        <f>AE73/AE79</f>
        <v>5.7413391124421745E-2</v>
      </c>
      <c r="AF129" s="164"/>
      <c r="AG129" s="164"/>
      <c r="AH129" s="164"/>
      <c r="AI129" s="164"/>
      <c r="AJ129" s="164"/>
      <c r="AK129" s="164"/>
      <c r="AL129" s="164">
        <f>AL73/AL79</f>
        <v>5.7343787612996695E-2</v>
      </c>
      <c r="AM129" s="164"/>
      <c r="AN129" s="164"/>
      <c r="AO129" s="164"/>
      <c r="AP129" s="164"/>
      <c r="AQ129" s="164"/>
      <c r="AR129" s="164"/>
      <c r="AS129" s="164">
        <f>AS73/AS79</f>
        <v>5.7158335419481857E-2</v>
      </c>
      <c r="AT129" s="164"/>
      <c r="AU129" s="164"/>
      <c r="AV129" s="164"/>
      <c r="AW129" s="164"/>
      <c r="AX129" s="164"/>
      <c r="AY129" s="164"/>
      <c r="AZ129" s="164">
        <f>AZ73/AZ79</f>
        <v>5.6974854657141034E-2</v>
      </c>
      <c r="BA129" s="164"/>
      <c r="BB129" s="164"/>
      <c r="BC129" s="164"/>
      <c r="BD129" s="164"/>
      <c r="BE129" s="164"/>
      <c r="BF129" s="164"/>
      <c r="BG129" s="164">
        <f>BG73/BG79</f>
        <v>5.6786829554574737E-2</v>
      </c>
      <c r="BH129" s="164"/>
      <c r="BI129" s="164"/>
      <c r="BJ129" s="164"/>
      <c r="BK129" s="164"/>
      <c r="BL129" s="164"/>
      <c r="BM129" s="164"/>
      <c r="BN129" s="164">
        <f>BN73/BN79</f>
        <v>5.6865631276935329E-2</v>
      </c>
      <c r="BO129" s="164"/>
      <c r="BP129" s="164"/>
      <c r="BQ129" s="164"/>
      <c r="BR129" s="164"/>
      <c r="BS129" s="164"/>
      <c r="BT129" s="164"/>
      <c r="BU129" s="164">
        <f>BU73/BU79</f>
        <v>5.674862198860274E-2</v>
      </c>
      <c r="BV129" s="164"/>
      <c r="BW129" s="164"/>
      <c r="BX129" s="164"/>
      <c r="BY129" s="164"/>
      <c r="BZ129" s="164"/>
      <c r="CA129" s="164"/>
      <c r="CB129" s="164">
        <f>CB73/CB79</f>
        <v>5.640195551528171E-2</v>
      </c>
      <c r="CC129" s="164"/>
      <c r="CD129" s="164"/>
      <c r="CE129" s="164"/>
      <c r="CF129" s="164"/>
      <c r="CG129" s="164"/>
      <c r="CH129" s="164"/>
      <c r="CI129" s="164">
        <f>CI73/CI79</f>
        <v>5.6759137478429811E-2</v>
      </c>
      <c r="CJ129" s="139" t="e">
        <f t="shared" ref="CJ129:CO129" si="55">CJ44/CJ120</f>
        <v>#REF!</v>
      </c>
      <c r="CK129" s="139">
        <f t="shared" si="55"/>
        <v>0</v>
      </c>
      <c r="CL129" s="139">
        <f t="shared" si="55"/>
        <v>0</v>
      </c>
      <c r="CM129" s="139" t="e">
        <f t="shared" si="55"/>
        <v>#REF!</v>
      </c>
      <c r="CN129" s="139">
        <f t="shared" si="55"/>
        <v>0</v>
      </c>
      <c r="CO129" s="139">
        <f t="shared" si="55"/>
        <v>0</v>
      </c>
      <c r="CP129" s="139"/>
    </row>
    <row r="130" spans="2:94" x14ac:dyDescent="0.2">
      <c r="B130" s="105" t="s">
        <v>376</v>
      </c>
      <c r="D130" s="139"/>
      <c r="E130" s="139"/>
      <c r="F130" s="139"/>
      <c r="G130" s="139"/>
      <c r="H130" s="139"/>
      <c r="I130" s="139"/>
      <c r="J130" s="217">
        <f>J44/J121</f>
        <v>0</v>
      </c>
      <c r="K130" s="139"/>
      <c r="L130" s="139"/>
      <c r="M130" s="139"/>
      <c r="N130" s="139"/>
      <c r="O130" s="139"/>
      <c r="P130" s="139"/>
      <c r="Q130" s="217">
        <f>Q44/Q121</f>
        <v>0</v>
      </c>
      <c r="R130" s="139"/>
      <c r="S130" s="139"/>
      <c r="T130" s="139"/>
      <c r="U130" s="139"/>
      <c r="V130" s="139"/>
      <c r="W130" s="139"/>
      <c r="X130" s="217">
        <f>X44/X121</f>
        <v>0</v>
      </c>
      <c r="Y130" s="139"/>
      <c r="Z130" s="139"/>
      <c r="AA130" s="139"/>
      <c r="AB130" s="139"/>
      <c r="AC130" s="139"/>
      <c r="AD130" s="139"/>
      <c r="AE130" s="217">
        <f>AE44/AE121</f>
        <v>0</v>
      </c>
      <c r="AF130" s="139"/>
      <c r="AG130" s="139"/>
      <c r="AH130" s="139"/>
      <c r="AI130" s="139"/>
      <c r="AJ130" s="139"/>
      <c r="AK130" s="139"/>
      <c r="AL130" s="217">
        <f>AL44/AL121</f>
        <v>0</v>
      </c>
      <c r="AM130" s="139"/>
      <c r="AN130" s="139"/>
      <c r="AO130" s="139"/>
      <c r="AP130" s="139"/>
      <c r="AQ130" s="139"/>
      <c r="AR130" s="139"/>
      <c r="AS130" s="217">
        <f>AS44/AS121</f>
        <v>0</v>
      </c>
      <c r="AT130" s="139"/>
      <c r="AU130" s="139"/>
      <c r="AV130" s="139"/>
      <c r="AW130" s="139"/>
      <c r="AX130" s="139"/>
      <c r="AY130" s="139"/>
      <c r="AZ130" s="217">
        <f>AZ44/AZ121</f>
        <v>0</v>
      </c>
      <c r="BA130" s="139"/>
      <c r="BB130" s="139"/>
      <c r="BC130" s="139"/>
      <c r="BD130" s="139"/>
      <c r="BE130" s="139"/>
      <c r="BF130" s="139"/>
      <c r="BG130" s="217">
        <f>BG44/BG121</f>
        <v>0</v>
      </c>
      <c r="BH130" s="139"/>
      <c r="BI130" s="139"/>
      <c r="BJ130" s="139"/>
      <c r="BK130" s="139"/>
      <c r="BL130" s="139"/>
      <c r="BM130" s="139"/>
      <c r="BN130" s="217">
        <f>BN44/BN121</f>
        <v>0</v>
      </c>
      <c r="BO130" s="139"/>
      <c r="BP130" s="139"/>
      <c r="BQ130" s="139"/>
      <c r="BR130" s="139"/>
      <c r="BS130" s="139"/>
      <c r="BT130" s="139"/>
      <c r="BU130" s="217">
        <f>BU44/BU121</f>
        <v>0</v>
      </c>
      <c r="BV130" s="139"/>
      <c r="BW130" s="139"/>
      <c r="BX130" s="139"/>
      <c r="BY130" s="139"/>
      <c r="BZ130" s="139"/>
      <c r="CA130" s="139"/>
      <c r="CB130" s="217">
        <f>CB44/CB121</f>
        <v>0</v>
      </c>
      <c r="CC130" s="139"/>
      <c r="CD130" s="139"/>
      <c r="CE130" s="139"/>
      <c r="CF130" s="139"/>
      <c r="CG130" s="139"/>
      <c r="CH130" s="139"/>
      <c r="CI130" s="217">
        <f>CI44/CI121</f>
        <v>0</v>
      </c>
      <c r="CJ130" s="164" t="e">
        <f t="shared" ref="CJ130:CO130" si="56">CJ120/(CJ44+CJ68)</f>
        <v>#REF!</v>
      </c>
      <c r="CK130" s="164" t="e">
        <f t="shared" si="56"/>
        <v>#DIV/0!</v>
      </c>
      <c r="CL130" s="164" t="e">
        <f t="shared" si="56"/>
        <v>#DIV/0!</v>
      </c>
      <c r="CM130" s="164" t="e">
        <f t="shared" si="56"/>
        <v>#REF!</v>
      </c>
      <c r="CN130" s="164" t="e">
        <f t="shared" si="56"/>
        <v>#DIV/0!</v>
      </c>
      <c r="CO130" s="164" t="e">
        <f t="shared" si="56"/>
        <v>#DIV/0!</v>
      </c>
      <c r="CP130" s="164"/>
    </row>
    <row r="131" spans="2:94" x14ac:dyDescent="0.2">
      <c r="B131" s="105" t="s">
        <v>377</v>
      </c>
      <c r="D131" s="164"/>
      <c r="E131" s="164"/>
      <c r="F131" s="164"/>
      <c r="G131" s="164"/>
      <c r="H131" s="164"/>
      <c r="I131" s="164"/>
      <c r="J131" s="218" t="e">
        <f>J121/(J44+J68)</f>
        <v>#DIV/0!</v>
      </c>
      <c r="K131" s="164"/>
      <c r="L131" s="164"/>
      <c r="M131" s="164"/>
      <c r="N131" s="164"/>
      <c r="O131" s="164"/>
      <c r="P131" s="164"/>
      <c r="Q131" s="218" t="e">
        <f>Q121/(Q44+Q68)</f>
        <v>#DIV/0!</v>
      </c>
      <c r="R131" s="164"/>
      <c r="S131" s="164"/>
      <c r="T131" s="164"/>
      <c r="U131" s="164"/>
      <c r="V131" s="164"/>
      <c r="W131" s="164"/>
      <c r="X131" s="218" t="e">
        <f>X121/(X44+X68)</f>
        <v>#DIV/0!</v>
      </c>
      <c r="Y131" s="164"/>
      <c r="Z131" s="164"/>
      <c r="AA131" s="164"/>
      <c r="AB131" s="164"/>
      <c r="AC131" s="164"/>
      <c r="AD131" s="164"/>
      <c r="AE131" s="218" t="e">
        <f>AE121/(AE44+AE68)</f>
        <v>#DIV/0!</v>
      </c>
      <c r="AF131" s="164"/>
      <c r="AG131" s="164"/>
      <c r="AH131" s="164"/>
      <c r="AI131" s="164"/>
      <c r="AJ131" s="164"/>
      <c r="AK131" s="164"/>
      <c r="AL131" s="218" t="e">
        <f>AL121/(AL44+AL68)</f>
        <v>#DIV/0!</v>
      </c>
      <c r="AM131" s="164"/>
      <c r="AN131" s="164"/>
      <c r="AO131" s="164"/>
      <c r="AP131" s="164"/>
      <c r="AQ131" s="164"/>
      <c r="AR131" s="164"/>
      <c r="AS131" s="218" t="e">
        <f>AS121/(AS44+AS68)</f>
        <v>#DIV/0!</v>
      </c>
      <c r="AT131" s="164"/>
      <c r="AU131" s="164"/>
      <c r="AV131" s="164"/>
      <c r="AW131" s="164"/>
      <c r="AX131" s="164"/>
      <c r="AY131" s="164"/>
      <c r="AZ131" s="218" t="e">
        <f>AZ121/(AZ44+AZ68)</f>
        <v>#DIV/0!</v>
      </c>
      <c r="BA131" s="164"/>
      <c r="BB131" s="164"/>
      <c r="BC131" s="164"/>
      <c r="BD131" s="164"/>
      <c r="BE131" s="164"/>
      <c r="BF131" s="164"/>
      <c r="BG131" s="218" t="e">
        <f>BG121/(BG44+BG68)</f>
        <v>#DIV/0!</v>
      </c>
      <c r="BH131" s="164"/>
      <c r="BI131" s="164"/>
      <c r="BJ131" s="164"/>
      <c r="BK131" s="164"/>
      <c r="BL131" s="164"/>
      <c r="BM131" s="164"/>
      <c r="BN131" s="218" t="e">
        <f>BN121/(BN44+BN68)</f>
        <v>#DIV/0!</v>
      </c>
      <c r="BO131" s="164"/>
      <c r="BP131" s="164"/>
      <c r="BQ131" s="164"/>
      <c r="BR131" s="164"/>
      <c r="BS131" s="164"/>
      <c r="BT131" s="164"/>
      <c r="BU131" s="218" t="e">
        <f>BU121/(BU44+BU68)</f>
        <v>#DIV/0!</v>
      </c>
      <c r="BV131" s="164"/>
      <c r="BW131" s="164"/>
      <c r="BX131" s="164"/>
      <c r="BY131" s="164"/>
      <c r="BZ131" s="164"/>
      <c r="CA131" s="164"/>
      <c r="CB131" s="218" t="e">
        <f>CB121/(CB44+CB68)</f>
        <v>#DIV/0!</v>
      </c>
      <c r="CC131" s="164"/>
      <c r="CD131" s="164"/>
      <c r="CE131" s="164"/>
      <c r="CF131" s="164"/>
      <c r="CG131" s="164"/>
      <c r="CH131" s="164"/>
      <c r="CI131" s="218" t="e">
        <f>CI121/(CI44+CI68)</f>
        <v>#DIV/0!</v>
      </c>
    </row>
    <row r="133" spans="2:94" ht="16" x14ac:dyDescent="0.2">
      <c r="B133" s="183" t="s">
        <v>378</v>
      </c>
      <c r="C133" s="220"/>
      <c r="CJ133" s="164" t="e">
        <f t="shared" ref="CJ133:CO133" si="57">CJ109/CJ6</f>
        <v>#REF!</v>
      </c>
      <c r="CK133" s="164" t="e">
        <f t="shared" si="57"/>
        <v>#REF!</v>
      </c>
      <c r="CL133" s="164" t="e">
        <f t="shared" si="57"/>
        <v>#REF!</v>
      </c>
      <c r="CM133" s="164" t="e">
        <f t="shared" si="57"/>
        <v>#REF!</v>
      </c>
      <c r="CN133" s="164" t="e">
        <f t="shared" si="57"/>
        <v>#REF!</v>
      </c>
      <c r="CO133" s="164" t="e">
        <f t="shared" si="57"/>
        <v>#REF!</v>
      </c>
      <c r="CP133" s="164"/>
    </row>
    <row r="134" spans="2:94" x14ac:dyDescent="0.2">
      <c r="B134" s="105" t="s">
        <v>379</v>
      </c>
      <c r="D134" s="164"/>
      <c r="E134" s="164"/>
      <c r="F134" s="164"/>
      <c r="G134" s="164"/>
      <c r="H134" s="164"/>
      <c r="I134" s="164"/>
      <c r="J134" s="164">
        <f>J110/J6</f>
        <v>0</v>
      </c>
      <c r="K134" s="164"/>
      <c r="L134" s="164"/>
      <c r="M134" s="164"/>
      <c r="N134" s="164"/>
      <c r="O134" s="164"/>
      <c r="P134" s="164"/>
      <c r="Q134" s="164">
        <f>Q110/Q6</f>
        <v>0</v>
      </c>
      <c r="R134" s="164"/>
      <c r="S134" s="164"/>
      <c r="T134" s="164"/>
      <c r="U134" s="164"/>
      <c r="V134" s="164"/>
      <c r="W134" s="164"/>
      <c r="X134" s="164">
        <f>X110/X6</f>
        <v>0</v>
      </c>
      <c r="Y134" s="164"/>
      <c r="Z134" s="164"/>
      <c r="AA134" s="164"/>
      <c r="AB134" s="164"/>
      <c r="AC134" s="164"/>
      <c r="AD134" s="164"/>
      <c r="AE134" s="164">
        <f>AE110/AE6</f>
        <v>0</v>
      </c>
      <c r="AF134" s="164"/>
      <c r="AG134" s="164"/>
      <c r="AH134" s="164"/>
      <c r="AI134" s="164"/>
      <c r="AJ134" s="164"/>
      <c r="AK134" s="164"/>
      <c r="AL134" s="164">
        <f>AL110/AL6</f>
        <v>0</v>
      </c>
      <c r="AM134" s="164"/>
      <c r="AN134" s="164"/>
      <c r="AO134" s="164"/>
      <c r="AP134" s="164"/>
      <c r="AQ134" s="164"/>
      <c r="AR134" s="164"/>
      <c r="AS134" s="164">
        <f>AS110/AS6</f>
        <v>0</v>
      </c>
      <c r="AT134" s="164"/>
      <c r="AU134" s="164"/>
      <c r="AV134" s="164"/>
      <c r="AW134" s="164"/>
      <c r="AX134" s="164"/>
      <c r="AY134" s="164"/>
      <c r="AZ134" s="164">
        <f>AZ110/AZ6</f>
        <v>0</v>
      </c>
      <c r="BA134" s="164"/>
      <c r="BB134" s="164"/>
      <c r="BC134" s="164"/>
      <c r="BD134" s="164"/>
      <c r="BE134" s="164"/>
      <c r="BF134" s="164"/>
      <c r="BG134" s="164">
        <f>BG110/BG6</f>
        <v>0</v>
      </c>
      <c r="BH134" s="164"/>
      <c r="BI134" s="164"/>
      <c r="BJ134" s="164"/>
      <c r="BK134" s="164"/>
      <c r="BL134" s="164"/>
      <c r="BM134" s="164"/>
      <c r="BN134" s="164">
        <f>BN110/BN6</f>
        <v>0</v>
      </c>
      <c r="BO134" s="164"/>
      <c r="BP134" s="164"/>
      <c r="BQ134" s="164"/>
      <c r="BR134" s="164"/>
      <c r="BS134" s="164"/>
      <c r="BT134" s="164"/>
      <c r="BU134" s="164">
        <f>BU110/BU6</f>
        <v>0</v>
      </c>
      <c r="BV134" s="164"/>
      <c r="BW134" s="164"/>
      <c r="BX134" s="164"/>
      <c r="BY134" s="164"/>
      <c r="BZ134" s="164"/>
      <c r="CA134" s="164"/>
      <c r="CB134" s="164">
        <f>CB110/CB6</f>
        <v>0</v>
      </c>
      <c r="CC134" s="164"/>
      <c r="CD134" s="164"/>
      <c r="CE134" s="164"/>
      <c r="CF134" s="164"/>
      <c r="CG134" s="164"/>
      <c r="CH134" s="164"/>
      <c r="CI134" s="164">
        <f>CI110/CI6</f>
        <v>0</v>
      </c>
      <c r="CJ134" s="174">
        <f t="shared" ref="CJ134:CO134" si="58">CJ6/CJ62</f>
        <v>5.2685805273263712E-2</v>
      </c>
      <c r="CK134" s="174">
        <f t="shared" si="58"/>
        <v>2.2640598114289742E-2</v>
      </c>
      <c r="CL134" s="174">
        <f t="shared" si="58"/>
        <v>6.9000826342222432E-2</v>
      </c>
      <c r="CM134" s="174">
        <f t="shared" si="58"/>
        <v>9.3546852703345493E-2</v>
      </c>
      <c r="CN134" s="174">
        <f t="shared" si="58"/>
        <v>9.1648230345025908E-2</v>
      </c>
      <c r="CO134" s="174">
        <f t="shared" si="58"/>
        <v>7.078166639117775E-2</v>
      </c>
      <c r="CP134" s="174"/>
    </row>
    <row r="135" spans="2:94" x14ac:dyDescent="0.2">
      <c r="B135" s="105" t="s">
        <v>444</v>
      </c>
      <c r="D135" s="174"/>
      <c r="E135" s="174"/>
      <c r="F135" s="174"/>
      <c r="G135" s="174"/>
      <c r="H135" s="174"/>
      <c r="I135" s="174"/>
      <c r="J135" s="219">
        <f>J6/J62</f>
        <v>3.3143515952379589E-3</v>
      </c>
      <c r="K135" s="174"/>
      <c r="L135" s="174"/>
      <c r="M135" s="174"/>
      <c r="N135" s="174"/>
      <c r="O135" s="174"/>
      <c r="P135" s="174"/>
      <c r="Q135" s="219">
        <f>Q6/Q62</f>
        <v>1.5113443274285092E-3</v>
      </c>
      <c r="R135" s="174"/>
      <c r="S135" s="174"/>
      <c r="T135" s="174"/>
      <c r="U135" s="174"/>
      <c r="V135" s="174"/>
      <c r="W135" s="174"/>
      <c r="X135" s="219">
        <f>X6/X62</f>
        <v>3.5264700973331882E-3</v>
      </c>
      <c r="Y135" s="174"/>
      <c r="Z135" s="174"/>
      <c r="AA135" s="174"/>
      <c r="AB135" s="174"/>
      <c r="AC135" s="174"/>
      <c r="AD135" s="174"/>
      <c r="AE135" s="219">
        <f>AE6/AE62</f>
        <v>1.978535328293252E-3</v>
      </c>
      <c r="AF135" s="174"/>
      <c r="AG135" s="174"/>
      <c r="AH135" s="174"/>
      <c r="AI135" s="174"/>
      <c r="AJ135" s="174"/>
      <c r="AK135" s="174"/>
      <c r="AL135" s="219">
        <f>AL6/AL62</f>
        <v>4.9747091703883665E-3</v>
      </c>
      <c r="AM135" s="174"/>
      <c r="AN135" s="174"/>
      <c r="AO135" s="174"/>
      <c r="AP135" s="174"/>
      <c r="AQ135" s="174"/>
      <c r="AR135" s="174"/>
      <c r="AS135" s="219">
        <f>AS6/AS62</f>
        <v>4.2322944130550643E-3</v>
      </c>
      <c r="AT135" s="174"/>
      <c r="AU135" s="174"/>
      <c r="AV135" s="174"/>
      <c r="AW135" s="174"/>
      <c r="AX135" s="174"/>
      <c r="AY135" s="174"/>
      <c r="AZ135" s="219">
        <f>AZ6/AZ62</f>
        <v>4.3118388513407749E-3</v>
      </c>
      <c r="BA135" s="174"/>
      <c r="BB135" s="174"/>
      <c r="BC135" s="174"/>
      <c r="BD135" s="174"/>
      <c r="BE135" s="174"/>
      <c r="BF135" s="174"/>
      <c r="BG135" s="219">
        <f>BG6/BG62</f>
        <v>4.5221013165426711E-3</v>
      </c>
      <c r="BH135" s="174"/>
      <c r="BI135" s="174"/>
      <c r="BJ135" s="174"/>
      <c r="BK135" s="174"/>
      <c r="BL135" s="174"/>
      <c r="BM135" s="174"/>
      <c r="BN135" s="219">
        <f>BN6/BN62</f>
        <v>3.7709366709979398E-3</v>
      </c>
      <c r="BO135" s="174"/>
      <c r="BP135" s="174"/>
      <c r="BQ135" s="174"/>
      <c r="BR135" s="174"/>
      <c r="BS135" s="174"/>
      <c r="BT135" s="174"/>
      <c r="BU135" s="219">
        <f>BU6/BU62</f>
        <v>3.2247315281027245E-3</v>
      </c>
      <c r="BV135" s="174"/>
      <c r="BW135" s="174"/>
      <c r="BX135" s="174"/>
      <c r="BY135" s="174"/>
      <c r="BZ135" s="174"/>
      <c r="CA135" s="174"/>
      <c r="CB135" s="219">
        <f>CB6/CB62</f>
        <v>7.1454768912054198E-3</v>
      </c>
      <c r="CC135" s="174"/>
      <c r="CD135" s="174"/>
      <c r="CE135" s="174"/>
      <c r="CF135" s="174"/>
      <c r="CG135" s="174"/>
      <c r="CH135" s="174"/>
      <c r="CI135" s="219">
        <f>CI6/CI62</f>
        <v>3.1610959774741555E-3</v>
      </c>
    </row>
    <row r="137" spans="2:94" ht="16" x14ac:dyDescent="0.2">
      <c r="B137" s="183" t="s">
        <v>380</v>
      </c>
      <c r="C137" s="220"/>
      <c r="CJ137" s="171" t="e">
        <f t="shared" ref="CJ137:CO137" si="59">CJ46/CJ45</f>
        <v>#DIV/0!</v>
      </c>
      <c r="CK137" s="171" t="e">
        <f t="shared" si="59"/>
        <v>#DIV/0!</v>
      </c>
      <c r="CL137" s="171" t="e">
        <f t="shared" si="59"/>
        <v>#DIV/0!</v>
      </c>
      <c r="CM137" s="171" t="e">
        <f t="shared" si="59"/>
        <v>#DIV/0!</v>
      </c>
      <c r="CN137" s="171" t="e">
        <f t="shared" si="59"/>
        <v>#DIV/0!</v>
      </c>
      <c r="CO137" s="171" t="e">
        <f t="shared" si="59"/>
        <v>#DIV/0!</v>
      </c>
      <c r="CP137" s="171"/>
    </row>
    <row r="138" spans="2:94" x14ac:dyDescent="0.2">
      <c r="B138" s="105" t="s">
        <v>381</v>
      </c>
      <c r="D138" s="171"/>
      <c r="E138" s="171"/>
      <c r="F138" s="171"/>
      <c r="G138" s="171"/>
      <c r="H138" s="171"/>
      <c r="I138" s="171"/>
      <c r="J138" s="171">
        <f>J46/J45</f>
        <v>0</v>
      </c>
      <c r="K138" s="171"/>
      <c r="L138" s="171"/>
      <c r="M138" s="171"/>
      <c r="N138" s="171"/>
      <c r="O138" s="171"/>
      <c r="P138" s="171"/>
      <c r="Q138" s="171">
        <f>Q46/Q45</f>
        <v>0</v>
      </c>
      <c r="R138" s="171"/>
      <c r="S138" s="171"/>
      <c r="T138" s="171"/>
      <c r="U138" s="171"/>
      <c r="V138" s="171"/>
      <c r="W138" s="171"/>
      <c r="X138" s="171">
        <f>X46/X45</f>
        <v>0</v>
      </c>
      <c r="Y138" s="171"/>
      <c r="Z138" s="171"/>
      <c r="AA138" s="171"/>
      <c r="AB138" s="171"/>
      <c r="AC138" s="171"/>
      <c r="AD138" s="171"/>
      <c r="AE138" s="171">
        <f>AE46/AE45</f>
        <v>0</v>
      </c>
      <c r="AF138" s="171"/>
      <c r="AG138" s="171"/>
      <c r="AH138" s="171"/>
      <c r="AI138" s="171"/>
      <c r="AJ138" s="171"/>
      <c r="AK138" s="171"/>
      <c r="AL138" s="171">
        <f>AL46/AL45</f>
        <v>0</v>
      </c>
      <c r="AM138" s="171"/>
      <c r="AN138" s="171"/>
      <c r="AO138" s="171"/>
      <c r="AP138" s="171"/>
      <c r="AQ138" s="171"/>
      <c r="AR138" s="171"/>
      <c r="AS138" s="171">
        <f>AS46/AS45</f>
        <v>0</v>
      </c>
      <c r="AT138" s="171"/>
      <c r="AU138" s="171"/>
      <c r="AV138" s="171"/>
      <c r="AW138" s="171"/>
      <c r="AX138" s="171"/>
      <c r="AY138" s="171"/>
      <c r="AZ138" s="171">
        <f>AZ46/AZ45</f>
        <v>0</v>
      </c>
      <c r="BA138" s="171"/>
      <c r="BB138" s="171"/>
      <c r="BC138" s="171"/>
      <c r="BD138" s="171"/>
      <c r="BE138" s="171"/>
      <c r="BF138" s="171"/>
      <c r="BG138" s="171">
        <f>BG46/BG45</f>
        <v>0</v>
      </c>
      <c r="BH138" s="171"/>
      <c r="BI138" s="171"/>
      <c r="BJ138" s="171"/>
      <c r="BK138" s="171"/>
      <c r="BL138" s="171"/>
      <c r="BM138" s="171"/>
      <c r="BN138" s="171">
        <f>BN46/BN45</f>
        <v>0</v>
      </c>
      <c r="BO138" s="171"/>
      <c r="BP138" s="171"/>
      <c r="BQ138" s="171"/>
      <c r="BR138" s="171"/>
      <c r="BS138" s="171"/>
      <c r="BT138" s="171"/>
      <c r="BU138" s="171">
        <f>BU46/BU45</f>
        <v>0</v>
      </c>
      <c r="BV138" s="171"/>
      <c r="BW138" s="171"/>
      <c r="BX138" s="171"/>
      <c r="BY138" s="171"/>
      <c r="BZ138" s="171"/>
      <c r="CA138" s="171"/>
      <c r="CB138" s="171">
        <f>CB46/CB45</f>
        <v>0</v>
      </c>
      <c r="CC138" s="171"/>
      <c r="CD138" s="171"/>
      <c r="CE138" s="171"/>
      <c r="CF138" s="171"/>
      <c r="CG138" s="171"/>
      <c r="CH138" s="171"/>
      <c r="CI138" s="171">
        <f>CI46/CI45</f>
        <v>0</v>
      </c>
      <c r="CJ138" s="137" t="e">
        <f>#REF!*(1-CJ137)</f>
        <v>#REF!</v>
      </c>
      <c r="CK138" s="137" t="e">
        <f>CJ16*(1-CK137)</f>
        <v>#DIV/0!</v>
      </c>
      <c r="CL138" s="137" t="e">
        <f>CL16*(1-CL137)</f>
        <v>#DIV/0!</v>
      </c>
      <c r="CM138" s="137" t="e">
        <f>#REF!*(1-CM137)</f>
        <v>#REF!</v>
      </c>
      <c r="CN138" s="137" t="e">
        <f>CM16*(1-CN137)</f>
        <v>#DIV/0!</v>
      </c>
      <c r="CO138" s="137" t="e">
        <f>CO16*(1-CO137)</f>
        <v>#DIV/0!</v>
      </c>
      <c r="CP138" s="137"/>
    </row>
    <row r="139" spans="2:94" x14ac:dyDescent="0.2">
      <c r="B139" s="105" t="s">
        <v>382</v>
      </c>
      <c r="D139" s="137"/>
      <c r="E139" s="137"/>
      <c r="F139" s="137"/>
      <c r="G139" s="137"/>
      <c r="H139" s="137"/>
      <c r="I139" s="137"/>
      <c r="J139" s="137">
        <f>J16*(1-J138)</f>
        <v>-8147963</v>
      </c>
      <c r="K139" s="137"/>
      <c r="L139" s="137"/>
      <c r="M139" s="137"/>
      <c r="N139" s="137"/>
      <c r="O139" s="137"/>
      <c r="P139" s="137"/>
      <c r="Q139" s="137">
        <f>Q16*(1-Q138)</f>
        <v>-19819884</v>
      </c>
      <c r="R139" s="137"/>
      <c r="S139" s="137"/>
      <c r="T139" s="137"/>
      <c r="U139" s="137"/>
      <c r="V139" s="137"/>
      <c r="W139" s="137"/>
      <c r="X139" s="137">
        <f>X16*(1-X138)</f>
        <v>-9053897</v>
      </c>
      <c r="Y139" s="137"/>
      <c r="Z139" s="137"/>
      <c r="AA139" s="137"/>
      <c r="AB139" s="137"/>
      <c r="AC139" s="137"/>
      <c r="AD139" s="137"/>
      <c r="AE139" s="137">
        <f>AE16*(1-AE138)</f>
        <v>-1334102</v>
      </c>
      <c r="AF139" s="137"/>
      <c r="AG139" s="137"/>
      <c r="AH139" s="137"/>
      <c r="AI139" s="137"/>
      <c r="AJ139" s="137"/>
      <c r="AK139" s="137"/>
      <c r="AL139" s="137">
        <f>AL16*(1-AL138)</f>
        <v>2119241</v>
      </c>
      <c r="AM139" s="137"/>
      <c r="AN139" s="137"/>
      <c r="AO139" s="137"/>
      <c r="AP139" s="137"/>
      <c r="AQ139" s="137"/>
      <c r="AR139" s="137"/>
      <c r="AS139" s="137">
        <f>AS16*(1-AS138)</f>
        <v>7179795</v>
      </c>
      <c r="AT139" s="137"/>
      <c r="AU139" s="137"/>
      <c r="AV139" s="137"/>
      <c r="AW139" s="137"/>
      <c r="AX139" s="137"/>
      <c r="AY139" s="137"/>
      <c r="AZ139" s="137">
        <f>AZ16*(1-AZ138)</f>
        <v>6580660</v>
      </c>
      <c r="BA139" s="137"/>
      <c r="BB139" s="137"/>
      <c r="BC139" s="137"/>
      <c r="BD139" s="137"/>
      <c r="BE139" s="137"/>
      <c r="BF139" s="137"/>
      <c r="BG139" s="137">
        <f>BG16*(1-BG138)</f>
        <v>7709295</v>
      </c>
      <c r="BH139" s="137"/>
      <c r="BI139" s="137"/>
      <c r="BJ139" s="137"/>
      <c r="BK139" s="137"/>
      <c r="BL139" s="137"/>
      <c r="BM139" s="137"/>
      <c r="BN139" s="137">
        <f>BN16*(1-BN138)</f>
        <v>6473195.0099999998</v>
      </c>
      <c r="BO139" s="137"/>
      <c r="BP139" s="137"/>
      <c r="BQ139" s="137"/>
      <c r="BR139" s="137"/>
      <c r="BS139" s="137"/>
      <c r="BT139" s="137"/>
      <c r="BU139" s="137">
        <f>BU16*(1-BU138)</f>
        <v>5120795</v>
      </c>
      <c r="BV139" s="137"/>
      <c r="BW139" s="137"/>
      <c r="BX139" s="137"/>
      <c r="BY139" s="137"/>
      <c r="BZ139" s="137"/>
      <c r="CA139" s="137"/>
      <c r="CB139" s="137">
        <f>CB16*(1-CB138)</f>
        <v>11976090</v>
      </c>
      <c r="CC139" s="137"/>
      <c r="CD139" s="137"/>
      <c r="CE139" s="137"/>
      <c r="CF139" s="137"/>
      <c r="CG139" s="137"/>
      <c r="CH139" s="137"/>
      <c r="CI139" s="137">
        <f>CI16*(1-CI138)</f>
        <v>-10507058</v>
      </c>
      <c r="CJ139" s="137" t="e">
        <f t="shared" ref="CJ139:CO139" si="60">CJ109+CJ62</f>
        <v>#REF!</v>
      </c>
      <c r="CK139" s="137" t="e">
        <f t="shared" si="60"/>
        <v>#REF!</v>
      </c>
      <c r="CL139" s="137" t="e">
        <f t="shared" si="60"/>
        <v>#REF!</v>
      </c>
      <c r="CM139" s="137" t="e">
        <f t="shared" si="60"/>
        <v>#REF!</v>
      </c>
      <c r="CN139" s="137" t="e">
        <f t="shared" si="60"/>
        <v>#REF!</v>
      </c>
      <c r="CO139" s="137" t="e">
        <f t="shared" si="60"/>
        <v>#REF!</v>
      </c>
      <c r="CP139" s="137"/>
    </row>
    <row r="140" spans="2:94" x14ac:dyDescent="0.2">
      <c r="B140" s="105" t="s">
        <v>383</v>
      </c>
      <c r="D140" s="137"/>
      <c r="E140" s="137"/>
      <c r="F140" s="137"/>
      <c r="G140" s="137"/>
      <c r="H140" s="137"/>
      <c r="I140" s="137"/>
      <c r="J140" s="137">
        <f>J110+J62</f>
        <v>1885738377.5999999</v>
      </c>
      <c r="K140" s="137"/>
      <c r="L140" s="137"/>
      <c r="M140" s="137"/>
      <c r="N140" s="137"/>
      <c r="O140" s="137"/>
      <c r="P140" s="137"/>
      <c r="Q140" s="137">
        <f>Q110+Q62</f>
        <v>1885738377.5999999</v>
      </c>
      <c r="R140" s="137"/>
      <c r="S140" s="137"/>
      <c r="T140" s="137"/>
      <c r="U140" s="137"/>
      <c r="V140" s="137"/>
      <c r="W140" s="137"/>
      <c r="X140" s="137">
        <f>X110+X62</f>
        <v>1885738377.5999999</v>
      </c>
      <c r="Y140" s="137"/>
      <c r="Z140" s="137"/>
      <c r="AA140" s="137"/>
      <c r="AB140" s="137"/>
      <c r="AC140" s="137"/>
      <c r="AD140" s="137"/>
      <c r="AE140" s="137">
        <f>AE110+AE62</f>
        <v>1885738377.5999999</v>
      </c>
      <c r="AF140" s="137"/>
      <c r="AG140" s="137"/>
      <c r="AH140" s="137"/>
      <c r="AI140" s="137"/>
      <c r="AJ140" s="137"/>
      <c r="AK140" s="137"/>
      <c r="AL140" s="137">
        <f>AL110+AL62</f>
        <v>1885738377.5999999</v>
      </c>
      <c r="AM140" s="137"/>
      <c r="AN140" s="137"/>
      <c r="AO140" s="137"/>
      <c r="AP140" s="137"/>
      <c r="AQ140" s="137"/>
      <c r="AR140" s="137"/>
      <c r="AS140" s="137">
        <f>AS110+AS62</f>
        <v>1885738377.5999999</v>
      </c>
      <c r="AT140" s="137"/>
      <c r="AU140" s="137"/>
      <c r="AV140" s="137"/>
      <c r="AW140" s="137"/>
      <c r="AX140" s="137"/>
      <c r="AY140" s="137"/>
      <c r="AZ140" s="137">
        <f>AZ110+AZ62</f>
        <v>1885738377.5999999</v>
      </c>
      <c r="BA140" s="137"/>
      <c r="BB140" s="137"/>
      <c r="BC140" s="137"/>
      <c r="BD140" s="137"/>
      <c r="BE140" s="137"/>
      <c r="BF140" s="137"/>
      <c r="BG140" s="137">
        <f>BG110+BG62</f>
        <v>1885738377.5999999</v>
      </c>
      <c r="BH140" s="137"/>
      <c r="BI140" s="137"/>
      <c r="BJ140" s="137"/>
      <c r="BK140" s="137"/>
      <c r="BL140" s="137"/>
      <c r="BM140" s="137"/>
      <c r="BN140" s="137">
        <f>BN110+BN62</f>
        <v>1885738377.5999999</v>
      </c>
      <c r="BO140" s="137"/>
      <c r="BP140" s="137"/>
      <c r="BQ140" s="137"/>
      <c r="BR140" s="137"/>
      <c r="BS140" s="137"/>
      <c r="BT140" s="137"/>
      <c r="BU140" s="137">
        <f>BU110+BU62</f>
        <v>1885738377.5999999</v>
      </c>
      <c r="BV140" s="137"/>
      <c r="BW140" s="137"/>
      <c r="BX140" s="137"/>
      <c r="BY140" s="137"/>
      <c r="BZ140" s="137"/>
      <c r="CA140" s="137"/>
      <c r="CB140" s="137">
        <f>CB110+CB62</f>
        <v>1885738377.5999999</v>
      </c>
      <c r="CC140" s="137"/>
      <c r="CD140" s="137"/>
      <c r="CE140" s="137"/>
      <c r="CF140" s="137"/>
      <c r="CG140" s="137"/>
      <c r="CH140" s="137"/>
      <c r="CI140" s="137">
        <f>CI110+CI62</f>
        <v>1885738377.5999999</v>
      </c>
      <c r="CJ140" s="166" t="e">
        <f t="shared" ref="CJ140:CO140" si="61">CJ138/CJ139</f>
        <v>#REF!</v>
      </c>
      <c r="CK140" s="166" t="e">
        <f t="shared" si="61"/>
        <v>#DIV/0!</v>
      </c>
      <c r="CL140" s="166" t="e">
        <f t="shared" si="61"/>
        <v>#DIV/0!</v>
      </c>
      <c r="CM140" s="166" t="e">
        <f t="shared" si="61"/>
        <v>#REF!</v>
      </c>
      <c r="CN140" s="166" t="e">
        <f t="shared" si="61"/>
        <v>#DIV/0!</v>
      </c>
      <c r="CO140" s="166" t="e">
        <f t="shared" si="61"/>
        <v>#DIV/0!</v>
      </c>
      <c r="CP140" s="166"/>
    </row>
    <row r="141" spans="2:94" x14ac:dyDescent="0.2">
      <c r="B141" s="105" t="s">
        <v>384</v>
      </c>
      <c r="D141" s="166"/>
      <c r="E141" s="166"/>
      <c r="F141" s="166"/>
      <c r="G141" s="166"/>
      <c r="H141" s="166"/>
      <c r="I141" s="166"/>
      <c r="J141" s="139">
        <f>J139/J140</f>
        <v>-4.3208342667183782E-3</v>
      </c>
      <c r="K141" s="166"/>
      <c r="L141" s="166"/>
      <c r="M141" s="166"/>
      <c r="N141" s="166"/>
      <c r="O141" s="166"/>
      <c r="P141" s="166"/>
      <c r="Q141" s="139">
        <f>Q139/Q140</f>
        <v>-1.0510410264453008E-2</v>
      </c>
      <c r="R141" s="166"/>
      <c r="S141" s="166"/>
      <c r="T141" s="166"/>
      <c r="U141" s="166"/>
      <c r="V141" s="166"/>
      <c r="W141" s="166"/>
      <c r="X141" s="139">
        <f>X139/X140</f>
        <v>-4.8012476744112272E-3</v>
      </c>
      <c r="Y141" s="166"/>
      <c r="Z141" s="166"/>
      <c r="AA141" s="166"/>
      <c r="AB141" s="166"/>
      <c r="AC141" s="166"/>
      <c r="AD141" s="166"/>
      <c r="AE141" s="139">
        <f>AE139/AE140</f>
        <v>-7.0746929470562423E-4</v>
      </c>
      <c r="AF141" s="166"/>
      <c r="AG141" s="166"/>
      <c r="AH141" s="166"/>
      <c r="AI141" s="166"/>
      <c r="AJ141" s="166"/>
      <c r="AK141" s="166"/>
      <c r="AL141" s="139">
        <f>AL139/AL140</f>
        <v>1.12382556624699E-3</v>
      </c>
      <c r="AM141" s="166"/>
      <c r="AN141" s="166"/>
      <c r="AO141" s="166"/>
      <c r="AP141" s="166"/>
      <c r="AQ141" s="166"/>
      <c r="AR141" s="166"/>
      <c r="AS141" s="139">
        <f>AS139/AS140</f>
        <v>3.8074184018770433E-3</v>
      </c>
      <c r="AT141" s="166"/>
      <c r="AU141" s="166"/>
      <c r="AV141" s="166"/>
      <c r="AW141" s="166"/>
      <c r="AX141" s="166"/>
      <c r="AY141" s="166"/>
      <c r="AZ141" s="139">
        <f>AZ139/AZ140</f>
        <v>3.4896993549949802E-3</v>
      </c>
      <c r="BA141" s="166"/>
      <c r="BB141" s="166"/>
      <c r="BC141" s="166"/>
      <c r="BD141" s="166"/>
      <c r="BE141" s="166"/>
      <c r="BF141" s="166"/>
      <c r="BG141" s="139">
        <f>BG139/BG140</f>
        <v>4.0882102690256031E-3</v>
      </c>
      <c r="BH141" s="166"/>
      <c r="BI141" s="166"/>
      <c r="BJ141" s="166"/>
      <c r="BK141" s="166"/>
      <c r="BL141" s="166"/>
      <c r="BM141" s="166"/>
      <c r="BN141" s="139">
        <f>BN139/BN140</f>
        <v>3.432711073228783E-3</v>
      </c>
      <c r="BO141" s="166"/>
      <c r="BP141" s="166"/>
      <c r="BQ141" s="166"/>
      <c r="BR141" s="166"/>
      <c r="BS141" s="166"/>
      <c r="BT141" s="166"/>
      <c r="BU141" s="139">
        <f>BU139/BU140</f>
        <v>2.7155384123418503E-3</v>
      </c>
      <c r="BV141" s="166"/>
      <c r="BW141" s="166"/>
      <c r="BX141" s="166"/>
      <c r="BY141" s="166"/>
      <c r="BZ141" s="166"/>
      <c r="CA141" s="166"/>
      <c r="CB141" s="139">
        <f>CB139/CB140</f>
        <v>6.3508756793941388E-3</v>
      </c>
      <c r="CC141" s="166"/>
      <c r="CD141" s="166"/>
      <c r="CE141" s="166"/>
      <c r="CF141" s="166"/>
      <c r="CG141" s="166"/>
      <c r="CH141" s="166"/>
      <c r="CI141" s="139">
        <f>CI139/CI140</f>
        <v>-5.5718535109692408E-3</v>
      </c>
      <c r="CJ141" s="137">
        <f t="shared" ref="CJ141:CO141" si="62">CJ71+CJ68</f>
        <v>0</v>
      </c>
      <c r="CK141" s="137">
        <f t="shared" si="62"/>
        <v>0</v>
      </c>
      <c r="CL141" s="137">
        <f t="shared" si="62"/>
        <v>0</v>
      </c>
      <c r="CM141" s="137">
        <f t="shared" si="62"/>
        <v>0</v>
      </c>
      <c r="CN141" s="137">
        <f t="shared" si="62"/>
        <v>0</v>
      </c>
      <c r="CO141" s="137">
        <f t="shared" si="62"/>
        <v>0</v>
      </c>
      <c r="CP141" s="137"/>
    </row>
    <row r="142" spans="2:94" x14ac:dyDescent="0.2">
      <c r="B142" s="105" t="s">
        <v>385</v>
      </c>
      <c r="D142" s="137"/>
      <c r="E142" s="137"/>
      <c r="F142" s="137"/>
      <c r="G142" s="137"/>
      <c r="H142" s="137"/>
      <c r="I142" s="137"/>
      <c r="J142" s="137">
        <f>J71+J68</f>
        <v>53309451.949999996</v>
      </c>
      <c r="K142" s="137"/>
      <c r="L142" s="137"/>
      <c r="M142" s="137"/>
      <c r="N142" s="137"/>
      <c r="O142" s="137"/>
      <c r="P142" s="137"/>
      <c r="Q142" s="137">
        <f>Q71+Q68</f>
        <v>87883686.50999999</v>
      </c>
      <c r="R142" s="137"/>
      <c r="S142" s="137"/>
      <c r="T142" s="137"/>
      <c r="U142" s="137"/>
      <c r="V142" s="137"/>
      <c r="W142" s="137"/>
      <c r="X142" s="137">
        <f>X71+X68</f>
        <v>104971798.32999998</v>
      </c>
      <c r="Y142" s="137"/>
      <c r="Z142" s="137"/>
      <c r="AA142" s="137"/>
      <c r="AB142" s="137"/>
      <c r="AC142" s="137"/>
      <c r="AD142" s="137"/>
      <c r="AE142" s="137">
        <f>AE71+AE68</f>
        <v>104971798.32999998</v>
      </c>
      <c r="AF142" s="137"/>
      <c r="AG142" s="137"/>
      <c r="AH142" s="137"/>
      <c r="AI142" s="137"/>
      <c r="AJ142" s="137"/>
      <c r="AK142" s="137"/>
      <c r="AL142" s="137">
        <f>AL71+AL68</f>
        <v>104971798.32999998</v>
      </c>
      <c r="AM142" s="137"/>
      <c r="AN142" s="137"/>
      <c r="AO142" s="137"/>
      <c r="AP142" s="137"/>
      <c r="AQ142" s="137"/>
      <c r="AR142" s="137"/>
      <c r="AS142" s="137">
        <f>AS71+AS68</f>
        <v>104971798.32999998</v>
      </c>
      <c r="AT142" s="137"/>
      <c r="AU142" s="137"/>
      <c r="AV142" s="137"/>
      <c r="AW142" s="137"/>
      <c r="AX142" s="137"/>
      <c r="AY142" s="137"/>
      <c r="AZ142" s="137">
        <f>AZ71+AZ68</f>
        <v>104971798.32999998</v>
      </c>
      <c r="BA142" s="137"/>
      <c r="BB142" s="137"/>
      <c r="BC142" s="137"/>
      <c r="BD142" s="137"/>
      <c r="BE142" s="137"/>
      <c r="BF142" s="137"/>
      <c r="BG142" s="137">
        <f>BG71+BG68</f>
        <v>104971798.32999998</v>
      </c>
      <c r="BH142" s="137"/>
      <c r="BI142" s="137"/>
      <c r="BJ142" s="137"/>
      <c r="BK142" s="137"/>
      <c r="BL142" s="137"/>
      <c r="BM142" s="137"/>
      <c r="BN142" s="137">
        <f>BN71+BN68</f>
        <v>104971798.32999998</v>
      </c>
      <c r="BO142" s="137"/>
      <c r="BP142" s="137"/>
      <c r="BQ142" s="137"/>
      <c r="BR142" s="137"/>
      <c r="BS142" s="137"/>
      <c r="BT142" s="137"/>
      <c r="BU142" s="137">
        <f>BU71+BU68</f>
        <v>104971798.32999998</v>
      </c>
      <c r="BV142" s="137"/>
      <c r="BW142" s="137"/>
      <c r="BX142" s="137"/>
      <c r="BY142" s="137"/>
      <c r="BZ142" s="137"/>
      <c r="CA142" s="137"/>
      <c r="CB142" s="137">
        <f>CB71+CB68</f>
        <v>104971798.32999998</v>
      </c>
      <c r="CC142" s="137"/>
      <c r="CD142" s="137"/>
      <c r="CE142" s="137"/>
      <c r="CF142" s="137"/>
      <c r="CG142" s="137"/>
      <c r="CH142" s="137"/>
      <c r="CI142" s="137">
        <f>CI71+CI68</f>
        <v>104971798.32999998</v>
      </c>
      <c r="CJ142" s="137">
        <f t="shared" ref="CJ142:CO142" si="63">CJ79</f>
        <v>0</v>
      </c>
      <c r="CK142" s="137">
        <f t="shared" si="63"/>
        <v>0</v>
      </c>
      <c r="CL142" s="137">
        <f t="shared" si="63"/>
        <v>0</v>
      </c>
      <c r="CM142" s="137">
        <f t="shared" si="63"/>
        <v>0</v>
      </c>
      <c r="CN142" s="137">
        <f t="shared" si="63"/>
        <v>0</v>
      </c>
      <c r="CO142" s="137">
        <f t="shared" si="63"/>
        <v>0</v>
      </c>
      <c r="CP142" s="137"/>
    </row>
    <row r="143" spans="2:94" x14ac:dyDescent="0.2">
      <c r="B143" s="105" t="s">
        <v>386</v>
      </c>
      <c r="D143" s="137"/>
      <c r="E143" s="137"/>
      <c r="F143" s="137"/>
      <c r="G143" s="137"/>
      <c r="H143" s="137"/>
      <c r="I143" s="137"/>
      <c r="J143" s="137">
        <f>J79</f>
        <v>1877244347.9399998</v>
      </c>
      <c r="K143" s="137"/>
      <c r="L143" s="137"/>
      <c r="M143" s="137"/>
      <c r="N143" s="137"/>
      <c r="O143" s="137"/>
      <c r="P143" s="137"/>
      <c r="Q143" s="137">
        <f>Q79</f>
        <v>1859021400.8799999</v>
      </c>
      <c r="R143" s="137"/>
      <c r="S143" s="137"/>
      <c r="T143" s="137"/>
      <c r="U143" s="137"/>
      <c r="V143" s="137"/>
      <c r="W143" s="137"/>
      <c r="X143" s="137">
        <f>X79</f>
        <v>1830298951.5899999</v>
      </c>
      <c r="Y143" s="137"/>
      <c r="Z143" s="137"/>
      <c r="AA143" s="137"/>
      <c r="AB143" s="137"/>
      <c r="AC143" s="137"/>
      <c r="AD143" s="137"/>
      <c r="AE143" s="137">
        <f>AE79</f>
        <v>1828350429.6499999</v>
      </c>
      <c r="AF143" s="137"/>
      <c r="AG143" s="137"/>
      <c r="AH143" s="137"/>
      <c r="AI143" s="137"/>
      <c r="AJ143" s="137"/>
      <c r="AK143" s="137"/>
      <c r="AL143" s="137">
        <f>AL79</f>
        <v>1830569669.3499999</v>
      </c>
      <c r="AM143" s="137"/>
      <c r="AN143" s="137"/>
      <c r="AO143" s="137"/>
      <c r="AP143" s="137"/>
      <c r="AQ143" s="137"/>
      <c r="AR143" s="137"/>
      <c r="AS143" s="137">
        <f>AS79</f>
        <v>1836509015.8699999</v>
      </c>
      <c r="AT143" s="137"/>
      <c r="AU143" s="137"/>
      <c r="AV143" s="137"/>
      <c r="AW143" s="137"/>
      <c r="AX143" s="137"/>
      <c r="AY143" s="137"/>
      <c r="AZ143" s="137">
        <f>AZ79</f>
        <v>1842423275.3499999</v>
      </c>
      <c r="BA143" s="137"/>
      <c r="BB143" s="137"/>
      <c r="BC143" s="137"/>
      <c r="BD143" s="137"/>
      <c r="BE143" s="137"/>
      <c r="BF143" s="137"/>
      <c r="BG143" s="137">
        <f>BG79</f>
        <v>1848523665.6699998</v>
      </c>
      <c r="BH143" s="137"/>
      <c r="BI143" s="137"/>
      <c r="BJ143" s="137"/>
      <c r="BK143" s="137"/>
      <c r="BL143" s="137"/>
      <c r="BM143" s="137"/>
      <c r="BN143" s="137">
        <f>BN79</f>
        <v>1845962068.3499999</v>
      </c>
      <c r="BO143" s="137"/>
      <c r="BP143" s="137"/>
      <c r="BQ143" s="137"/>
      <c r="BR143" s="137"/>
      <c r="BS143" s="137"/>
      <c r="BT143" s="137"/>
      <c r="BU143" s="137">
        <f>BU79</f>
        <v>1849768234.9199998</v>
      </c>
      <c r="BV143" s="137"/>
      <c r="BW143" s="137"/>
      <c r="BX143" s="137"/>
      <c r="BY143" s="137"/>
      <c r="BZ143" s="137"/>
      <c r="CA143" s="137"/>
      <c r="CB143" s="137">
        <f>CB79</f>
        <v>1861137568.2099998</v>
      </c>
      <c r="CC143" s="137"/>
      <c r="CD143" s="137"/>
      <c r="CE143" s="137"/>
      <c r="CF143" s="137"/>
      <c r="CG143" s="137"/>
      <c r="CH143" s="137"/>
      <c r="CI143" s="137">
        <f>CI79</f>
        <v>1849425537.3399999</v>
      </c>
      <c r="CJ143" s="139" t="e">
        <f t="shared" ref="CJ143:CO143" si="64">CJ141/(CJ141+CJ142)</f>
        <v>#DIV/0!</v>
      </c>
      <c r="CK143" s="139" t="e">
        <f t="shared" si="64"/>
        <v>#DIV/0!</v>
      </c>
      <c r="CL143" s="139" t="e">
        <f t="shared" si="64"/>
        <v>#DIV/0!</v>
      </c>
      <c r="CM143" s="139" t="e">
        <f t="shared" si="64"/>
        <v>#DIV/0!</v>
      </c>
      <c r="CN143" s="139" t="e">
        <f t="shared" si="64"/>
        <v>#DIV/0!</v>
      </c>
      <c r="CO143" s="139" t="e">
        <f t="shared" si="64"/>
        <v>#DIV/0!</v>
      </c>
      <c r="CP143" s="139"/>
    </row>
    <row r="144" spans="2:94" x14ac:dyDescent="0.2">
      <c r="B144" s="105" t="s">
        <v>387</v>
      </c>
      <c r="D144" s="139"/>
      <c r="E144" s="139"/>
      <c r="F144" s="139"/>
      <c r="G144" s="139"/>
      <c r="H144" s="139"/>
      <c r="I144" s="139"/>
      <c r="J144" s="139">
        <f>J142/(J142+J143)</f>
        <v>2.76135541796543E-2</v>
      </c>
      <c r="K144" s="139"/>
      <c r="L144" s="139"/>
      <c r="M144" s="139"/>
      <c r="N144" s="139"/>
      <c r="O144" s="139"/>
      <c r="P144" s="139"/>
      <c r="Q144" s="139">
        <f>Q142/(Q142+Q143)</f>
        <v>4.5140200762337067E-2</v>
      </c>
      <c r="R144" s="139"/>
      <c r="S144" s="139"/>
      <c r="T144" s="139"/>
      <c r="U144" s="139"/>
      <c r="V144" s="139"/>
      <c r="W144" s="139"/>
      <c r="X144" s="139">
        <f>X142/(X142+X143)</f>
        <v>5.424140179576388E-2</v>
      </c>
      <c r="Y144" s="139"/>
      <c r="Z144" s="139"/>
      <c r="AA144" s="139"/>
      <c r="AB144" s="139"/>
      <c r="AC144" s="139"/>
      <c r="AD144" s="139"/>
      <c r="AE144" s="139">
        <f>AE142/(AE142+AE143)</f>
        <v>5.4296069641571368E-2</v>
      </c>
      <c r="AF144" s="139"/>
      <c r="AG144" s="139"/>
      <c r="AH144" s="139"/>
      <c r="AI144" s="139"/>
      <c r="AJ144" s="139"/>
      <c r="AK144" s="139"/>
      <c r="AL144" s="139">
        <f>AL142/(AL142+AL143)</f>
        <v>5.4233815230950562E-2</v>
      </c>
      <c r="AM144" s="139"/>
      <c r="AN144" s="139"/>
      <c r="AO144" s="139"/>
      <c r="AP144" s="139"/>
      <c r="AQ144" s="139"/>
      <c r="AR144" s="139"/>
      <c r="AS144" s="139">
        <f>AS142/(AS142+AS143)</f>
        <v>5.4067904025749701E-2</v>
      </c>
      <c r="AT144" s="139"/>
      <c r="AU144" s="139"/>
      <c r="AV144" s="139"/>
      <c r="AW144" s="139"/>
      <c r="AX144" s="139"/>
      <c r="AY144" s="139"/>
      <c r="AZ144" s="139">
        <f>AZ142/(AZ142+AZ143)</f>
        <v>5.390369922813576E-2</v>
      </c>
      <c r="BA144" s="139"/>
      <c r="BB144" s="139"/>
      <c r="BC144" s="139"/>
      <c r="BD144" s="139"/>
      <c r="BE144" s="139"/>
      <c r="BF144" s="139"/>
      <c r="BG144" s="139">
        <f>BG142/(BG142+BG143)</f>
        <v>5.3735368350975601E-2</v>
      </c>
      <c r="BH144" s="139"/>
      <c r="BI144" s="139"/>
      <c r="BJ144" s="139"/>
      <c r="BK144" s="139"/>
      <c r="BL144" s="139"/>
      <c r="BM144" s="139"/>
      <c r="BN144" s="139">
        <f>BN142/(BN142+BN143)</f>
        <v>5.3805923472247504E-2</v>
      </c>
      <c r="BO144" s="139"/>
      <c r="BP144" s="139"/>
      <c r="BQ144" s="139"/>
      <c r="BR144" s="139"/>
      <c r="BS144" s="139"/>
      <c r="BT144" s="139"/>
      <c r="BU144" s="139">
        <f>BU142/(BU142+BU143)</f>
        <v>5.3701155419358368E-2</v>
      </c>
      <c r="BV144" s="139"/>
      <c r="BW144" s="139"/>
      <c r="BX144" s="139"/>
      <c r="BY144" s="139"/>
      <c r="BZ144" s="139"/>
      <c r="CA144" s="139"/>
      <c r="CB144" s="139">
        <f>CB142/(CB142+CB143)</f>
        <v>5.3390620133574533E-2</v>
      </c>
      <c r="CC144" s="139"/>
      <c r="CD144" s="139"/>
      <c r="CE144" s="139"/>
      <c r="CF144" s="139"/>
      <c r="CG144" s="139"/>
      <c r="CH144" s="139"/>
      <c r="CI144" s="139">
        <f>CI142/(CI142+CI143)</f>
        <v>5.3710571752296168E-2</v>
      </c>
      <c r="CJ144" s="139" t="e">
        <f t="shared" ref="CJ144:CO144" si="65">CJ142/(CJ141+CJ142)</f>
        <v>#DIV/0!</v>
      </c>
      <c r="CK144" s="139" t="e">
        <f t="shared" si="65"/>
        <v>#DIV/0!</v>
      </c>
      <c r="CL144" s="139" t="e">
        <f t="shared" si="65"/>
        <v>#DIV/0!</v>
      </c>
      <c r="CM144" s="139" t="e">
        <f t="shared" si="65"/>
        <v>#DIV/0!</v>
      </c>
      <c r="CN144" s="139" t="e">
        <f t="shared" si="65"/>
        <v>#DIV/0!</v>
      </c>
      <c r="CO144" s="139" t="e">
        <f t="shared" si="65"/>
        <v>#DIV/0!</v>
      </c>
      <c r="CP144" s="139"/>
    </row>
    <row r="145" spans="2:94" x14ac:dyDescent="0.2">
      <c r="B145" s="105" t="s">
        <v>388</v>
      </c>
      <c r="D145" s="139"/>
      <c r="E145" s="139"/>
      <c r="F145" s="139"/>
      <c r="G145" s="139"/>
      <c r="H145" s="139"/>
      <c r="I145" s="139"/>
      <c r="J145" s="139">
        <f>J143/(J142+J143)</f>
        <v>0.97238644582034572</v>
      </c>
      <c r="K145" s="139"/>
      <c r="L145" s="139"/>
      <c r="M145" s="139"/>
      <c r="N145" s="139"/>
      <c r="O145" s="139"/>
      <c r="P145" s="139"/>
      <c r="Q145" s="139">
        <f>Q143/(Q142+Q143)</f>
        <v>0.95485979923766295</v>
      </c>
      <c r="R145" s="139"/>
      <c r="S145" s="139"/>
      <c r="T145" s="139"/>
      <c r="U145" s="139"/>
      <c r="V145" s="139"/>
      <c r="W145" s="139"/>
      <c r="X145" s="139">
        <f>X143/(X142+X143)</f>
        <v>0.94575859820423613</v>
      </c>
      <c r="Y145" s="139"/>
      <c r="Z145" s="139"/>
      <c r="AA145" s="139"/>
      <c r="AB145" s="139"/>
      <c r="AC145" s="139"/>
      <c r="AD145" s="139"/>
      <c r="AE145" s="139">
        <f>AE143/(AE142+AE143)</f>
        <v>0.9457039303584287</v>
      </c>
      <c r="AF145" s="139"/>
      <c r="AG145" s="139"/>
      <c r="AH145" s="139"/>
      <c r="AI145" s="139"/>
      <c r="AJ145" s="139"/>
      <c r="AK145" s="139"/>
      <c r="AL145" s="139">
        <f>AL143/(AL142+AL143)</f>
        <v>0.9457661847690495</v>
      </c>
      <c r="AM145" s="139"/>
      <c r="AN145" s="139"/>
      <c r="AO145" s="139"/>
      <c r="AP145" s="139"/>
      <c r="AQ145" s="139"/>
      <c r="AR145" s="139"/>
      <c r="AS145" s="139">
        <f>AS143/(AS142+AS143)</f>
        <v>0.94593209597425032</v>
      </c>
      <c r="AT145" s="139"/>
      <c r="AU145" s="139"/>
      <c r="AV145" s="139"/>
      <c r="AW145" s="139"/>
      <c r="AX145" s="139"/>
      <c r="AY145" s="139"/>
      <c r="AZ145" s="139">
        <f>AZ143/(AZ142+AZ143)</f>
        <v>0.94609630077186424</v>
      </c>
      <c r="BA145" s="139"/>
      <c r="BB145" s="139"/>
      <c r="BC145" s="139"/>
      <c r="BD145" s="139"/>
      <c r="BE145" s="139"/>
      <c r="BF145" s="139"/>
      <c r="BG145" s="139">
        <f>BG143/(BG142+BG143)</f>
        <v>0.94626463164902441</v>
      </c>
      <c r="BH145" s="139"/>
      <c r="BI145" s="139"/>
      <c r="BJ145" s="139"/>
      <c r="BK145" s="139"/>
      <c r="BL145" s="139"/>
      <c r="BM145" s="139"/>
      <c r="BN145" s="139">
        <f>BN143/(BN142+BN143)</f>
        <v>0.94619407652775256</v>
      </c>
      <c r="BO145" s="139"/>
      <c r="BP145" s="139"/>
      <c r="BQ145" s="139"/>
      <c r="BR145" s="139"/>
      <c r="BS145" s="139"/>
      <c r="BT145" s="139"/>
      <c r="BU145" s="139">
        <f>BU143/(BU142+BU143)</f>
        <v>0.94629884458064162</v>
      </c>
      <c r="BV145" s="139"/>
      <c r="BW145" s="139"/>
      <c r="BX145" s="139"/>
      <c r="BY145" s="139"/>
      <c r="BZ145" s="139"/>
      <c r="CA145" s="139"/>
      <c r="CB145" s="139">
        <f>CB143/(CB142+CB143)</f>
        <v>0.94660937986642546</v>
      </c>
      <c r="CC145" s="139"/>
      <c r="CD145" s="139"/>
      <c r="CE145" s="139"/>
      <c r="CF145" s="139"/>
      <c r="CG145" s="139"/>
      <c r="CH145" s="139"/>
      <c r="CI145" s="139">
        <f>CI143/(CI142+CI143)</f>
        <v>0.9462894282477039</v>
      </c>
      <c r="CJ145" s="139" t="e">
        <f t="shared" ref="CJ145:CO145" si="66">CJ44/CJ141</f>
        <v>#DIV/0!</v>
      </c>
      <c r="CK145" s="139" t="e">
        <f t="shared" si="66"/>
        <v>#DIV/0!</v>
      </c>
      <c r="CL145" s="139" t="e">
        <f t="shared" si="66"/>
        <v>#DIV/0!</v>
      </c>
      <c r="CM145" s="139" t="e">
        <f t="shared" si="66"/>
        <v>#DIV/0!</v>
      </c>
      <c r="CN145" s="139" t="e">
        <f t="shared" si="66"/>
        <v>#DIV/0!</v>
      </c>
      <c r="CO145" s="139" t="e">
        <f t="shared" si="66"/>
        <v>#DIV/0!</v>
      </c>
      <c r="CP145" s="139"/>
    </row>
    <row r="146" spans="2:94" x14ac:dyDescent="0.2">
      <c r="B146" s="105" t="s">
        <v>389</v>
      </c>
      <c r="D146" s="139"/>
      <c r="E146" s="139"/>
      <c r="F146" s="139"/>
      <c r="G146" s="139"/>
      <c r="H146" s="139"/>
      <c r="I146" s="139"/>
      <c r="J146" s="139">
        <f>J44/J142</f>
        <v>0</v>
      </c>
      <c r="K146" s="139"/>
      <c r="L146" s="139"/>
      <c r="M146" s="139"/>
      <c r="N146" s="139"/>
      <c r="O146" s="139"/>
      <c r="P146" s="139"/>
      <c r="Q146" s="139">
        <f>Q44/Q142</f>
        <v>0</v>
      </c>
      <c r="R146" s="139"/>
      <c r="S146" s="139"/>
      <c r="T146" s="139"/>
      <c r="U146" s="139"/>
      <c r="V146" s="139"/>
      <c r="W146" s="139"/>
      <c r="X146" s="139">
        <f>X44/X142</f>
        <v>0</v>
      </c>
      <c r="Y146" s="139"/>
      <c r="Z146" s="139"/>
      <c r="AA146" s="139"/>
      <c r="AB146" s="139"/>
      <c r="AC146" s="139"/>
      <c r="AD146" s="139"/>
      <c r="AE146" s="139">
        <f>AE44/AE142</f>
        <v>0</v>
      </c>
      <c r="AF146" s="139"/>
      <c r="AG146" s="139"/>
      <c r="AH146" s="139"/>
      <c r="AI146" s="139"/>
      <c r="AJ146" s="139"/>
      <c r="AK146" s="139"/>
      <c r="AL146" s="139">
        <f>AL44/AL142</f>
        <v>0</v>
      </c>
      <c r="AM146" s="139"/>
      <c r="AN146" s="139"/>
      <c r="AO146" s="139"/>
      <c r="AP146" s="139"/>
      <c r="AQ146" s="139"/>
      <c r="AR146" s="139"/>
      <c r="AS146" s="139">
        <f>AS44/AS142</f>
        <v>0</v>
      </c>
      <c r="AT146" s="139"/>
      <c r="AU146" s="139"/>
      <c r="AV146" s="139"/>
      <c r="AW146" s="139"/>
      <c r="AX146" s="139"/>
      <c r="AY146" s="139"/>
      <c r="AZ146" s="139">
        <f>AZ44/AZ142</f>
        <v>0</v>
      </c>
      <c r="BA146" s="139"/>
      <c r="BB146" s="139"/>
      <c r="BC146" s="139"/>
      <c r="BD146" s="139"/>
      <c r="BE146" s="139"/>
      <c r="BF146" s="139"/>
      <c r="BG146" s="139">
        <f>BG44/BG142</f>
        <v>0</v>
      </c>
      <c r="BH146" s="139"/>
      <c r="BI146" s="139"/>
      <c r="BJ146" s="139"/>
      <c r="BK146" s="139"/>
      <c r="BL146" s="139"/>
      <c r="BM146" s="139"/>
      <c r="BN146" s="139">
        <f>BN44/BN142</f>
        <v>0</v>
      </c>
      <c r="BO146" s="139"/>
      <c r="BP146" s="139"/>
      <c r="BQ146" s="139"/>
      <c r="BR146" s="139"/>
      <c r="BS146" s="139"/>
      <c r="BT146" s="139"/>
      <c r="BU146" s="139">
        <f>BU44/BU142</f>
        <v>0</v>
      </c>
      <c r="BV146" s="139"/>
      <c r="BW146" s="139"/>
      <c r="BX146" s="139"/>
      <c r="BY146" s="139"/>
      <c r="BZ146" s="139"/>
      <c r="CA146" s="139"/>
      <c r="CB146" s="139">
        <f>CB44/CB142</f>
        <v>0</v>
      </c>
      <c r="CC146" s="139"/>
      <c r="CD146" s="139"/>
      <c r="CE146" s="139"/>
      <c r="CF146" s="139"/>
      <c r="CG146" s="139"/>
      <c r="CH146" s="139"/>
      <c r="CI146" s="139">
        <f>CI44/CI142</f>
        <v>0</v>
      </c>
      <c r="CJ146" s="135" t="e">
        <f t="shared" ref="CJ146:CO146" si="67">CJ145*(1-CJ137)</f>
        <v>#DIV/0!</v>
      </c>
      <c r="CK146" s="135" t="e">
        <f t="shared" si="67"/>
        <v>#DIV/0!</v>
      </c>
      <c r="CL146" s="135" t="e">
        <f t="shared" si="67"/>
        <v>#DIV/0!</v>
      </c>
      <c r="CM146" s="135" t="e">
        <f t="shared" si="67"/>
        <v>#DIV/0!</v>
      </c>
      <c r="CN146" s="135" t="e">
        <f t="shared" si="67"/>
        <v>#DIV/0!</v>
      </c>
      <c r="CO146" s="135" t="e">
        <f t="shared" si="67"/>
        <v>#DIV/0!</v>
      </c>
      <c r="CP146" s="135"/>
    </row>
    <row r="147" spans="2:94" ht="16" x14ac:dyDescent="0.2">
      <c r="B147" s="105" t="s">
        <v>390</v>
      </c>
      <c r="D147" s="135"/>
      <c r="E147" s="135"/>
      <c r="F147" s="135"/>
      <c r="G147" s="135"/>
      <c r="H147" s="135"/>
      <c r="I147" s="135"/>
      <c r="J147" s="135">
        <f>J146*(1-J138)</f>
        <v>0</v>
      </c>
      <c r="K147" s="135"/>
      <c r="L147" s="135"/>
      <c r="M147" s="135"/>
      <c r="N147" s="135"/>
      <c r="O147" s="135"/>
      <c r="P147" s="135"/>
      <c r="Q147" s="135">
        <f>Q146*(1-Q138)</f>
        <v>0</v>
      </c>
      <c r="R147" s="135"/>
      <c r="S147" s="135"/>
      <c r="T147" s="135"/>
      <c r="U147" s="135"/>
      <c r="V147" s="135"/>
      <c r="W147" s="135"/>
      <c r="X147" s="135">
        <f>X146*(1-X138)</f>
        <v>0</v>
      </c>
      <c r="Y147" s="135"/>
      <c r="Z147" s="135"/>
      <c r="AA147" s="135"/>
      <c r="AB147" s="135"/>
      <c r="AC147" s="135"/>
      <c r="AD147" s="135"/>
      <c r="AE147" s="135">
        <f>AE146*(1-AE138)</f>
        <v>0</v>
      </c>
      <c r="AF147" s="135"/>
      <c r="AG147" s="135"/>
      <c r="AH147" s="135"/>
      <c r="AI147" s="135"/>
      <c r="AJ147" s="135"/>
      <c r="AK147" s="135"/>
      <c r="AL147" s="135">
        <f>AL146*(1-AL138)</f>
        <v>0</v>
      </c>
      <c r="AM147" s="135"/>
      <c r="AN147" s="135"/>
      <c r="AO147" s="135"/>
      <c r="AP147" s="135"/>
      <c r="AQ147" s="135"/>
      <c r="AR147" s="135"/>
      <c r="AS147" s="135">
        <f>AS146*(1-AS138)</f>
        <v>0</v>
      </c>
      <c r="AT147" s="135"/>
      <c r="AU147" s="135"/>
      <c r="AV147" s="135"/>
      <c r="AW147" s="135"/>
      <c r="AX147" s="135"/>
      <c r="AY147" s="135"/>
      <c r="AZ147" s="135">
        <f>AZ146*(1-AZ138)</f>
        <v>0</v>
      </c>
      <c r="BA147" s="135"/>
      <c r="BB147" s="135"/>
      <c r="BC147" s="135"/>
      <c r="BD147" s="135"/>
      <c r="BE147" s="135"/>
      <c r="BF147" s="135"/>
      <c r="BG147" s="135">
        <f>BG146*(1-BG138)</f>
        <v>0</v>
      </c>
      <c r="BH147" s="135"/>
      <c r="BI147" s="135"/>
      <c r="BJ147" s="135"/>
      <c r="BK147" s="135"/>
      <c r="BL147" s="135"/>
      <c r="BM147" s="135"/>
      <c r="BN147" s="135">
        <f>BN146*(1-BN138)</f>
        <v>0</v>
      </c>
      <c r="BO147" s="135"/>
      <c r="BP147" s="135"/>
      <c r="BQ147" s="135"/>
      <c r="BR147" s="135"/>
      <c r="BS147" s="135"/>
      <c r="BT147" s="135"/>
      <c r="BU147" s="135">
        <f>BU146*(1-BU138)</f>
        <v>0</v>
      </c>
      <c r="BV147" s="135"/>
      <c r="BW147" s="135"/>
      <c r="BX147" s="135"/>
      <c r="BY147" s="135"/>
      <c r="BZ147" s="135"/>
      <c r="CA147" s="135"/>
      <c r="CB147" s="135">
        <f>CB146*(1-CB138)</f>
        <v>0</v>
      </c>
      <c r="CC147" s="135"/>
      <c r="CD147" s="135"/>
      <c r="CE147" s="135"/>
      <c r="CF147" s="135"/>
      <c r="CG147" s="135"/>
      <c r="CH147" s="135"/>
      <c r="CI147" s="135">
        <f>CI146*(1-CI138)</f>
        <v>0</v>
      </c>
      <c r="CJ147" s="175">
        <v>28.73</v>
      </c>
      <c r="CK147" s="175">
        <f>CJ147</f>
        <v>28.73</v>
      </c>
      <c r="CL147" s="175">
        <f>CK147</f>
        <v>28.73</v>
      </c>
      <c r="CM147" s="175">
        <v>29.73</v>
      </c>
      <c r="CN147" s="175">
        <f>CM147</f>
        <v>29.73</v>
      </c>
      <c r="CO147" s="175">
        <f>CN147</f>
        <v>29.73</v>
      </c>
      <c r="CP147" s="175"/>
    </row>
    <row r="148" spans="2:94" ht="16" x14ac:dyDescent="0.2">
      <c r="B148" s="237" t="s">
        <v>445</v>
      </c>
      <c r="C148" s="238"/>
      <c r="D148" s="241"/>
      <c r="E148" s="241"/>
      <c r="F148" s="241"/>
      <c r="G148" s="241"/>
      <c r="H148" s="241"/>
      <c r="I148" s="241"/>
      <c r="J148" s="241">
        <v>0.89</v>
      </c>
      <c r="K148" s="241"/>
      <c r="L148" s="241"/>
      <c r="M148" s="241"/>
      <c r="N148" s="241"/>
      <c r="O148" s="241"/>
      <c r="P148" s="241"/>
      <c r="Q148" s="241">
        <v>0.89</v>
      </c>
      <c r="R148" s="241"/>
      <c r="S148" s="241"/>
      <c r="T148" s="241"/>
      <c r="U148" s="241"/>
      <c r="V148" s="241"/>
      <c r="W148" s="241"/>
      <c r="X148" s="241">
        <v>0.89</v>
      </c>
      <c r="Y148" s="241"/>
      <c r="Z148" s="241"/>
      <c r="AA148" s="241"/>
      <c r="AB148" s="241"/>
      <c r="AC148" s="241"/>
      <c r="AD148" s="241"/>
      <c r="AE148" s="241">
        <v>0.89</v>
      </c>
      <c r="AF148" s="241"/>
      <c r="AG148" s="241"/>
      <c r="AH148" s="241"/>
      <c r="AI148" s="241"/>
      <c r="AJ148" s="241"/>
      <c r="AK148" s="241"/>
      <c r="AL148" s="241">
        <v>0.89</v>
      </c>
      <c r="AM148" s="241"/>
      <c r="AN148" s="241"/>
      <c r="AO148" s="241"/>
      <c r="AP148" s="241"/>
      <c r="AQ148" s="241"/>
      <c r="AR148" s="241"/>
      <c r="AS148" s="241">
        <v>0.89</v>
      </c>
      <c r="AT148" s="241"/>
      <c r="AU148" s="241"/>
      <c r="AV148" s="241"/>
      <c r="AW148" s="241"/>
      <c r="AX148" s="241"/>
      <c r="AY148" s="241"/>
      <c r="AZ148" s="241">
        <v>0.89</v>
      </c>
      <c r="BA148" s="241"/>
      <c r="BB148" s="241"/>
      <c r="BC148" s="241"/>
      <c r="BD148" s="241"/>
      <c r="BE148" s="241"/>
      <c r="BF148" s="241"/>
      <c r="BG148" s="241">
        <v>0.89</v>
      </c>
      <c r="BH148" s="241"/>
      <c r="BI148" s="241"/>
      <c r="BJ148" s="241"/>
      <c r="BK148" s="241"/>
      <c r="BL148" s="241"/>
      <c r="BM148" s="241"/>
      <c r="BN148" s="241">
        <v>0.89</v>
      </c>
      <c r="BO148" s="241"/>
      <c r="BP148" s="241"/>
      <c r="BQ148" s="241"/>
      <c r="BR148" s="241"/>
      <c r="BS148" s="241"/>
      <c r="BT148" s="241"/>
      <c r="BU148" s="241">
        <v>0.89</v>
      </c>
      <c r="BV148" s="241"/>
      <c r="BW148" s="241"/>
      <c r="BX148" s="241"/>
      <c r="BY148" s="241"/>
      <c r="BZ148" s="241"/>
      <c r="CA148" s="241"/>
      <c r="CB148" s="241">
        <v>0.89</v>
      </c>
      <c r="CC148" s="241"/>
      <c r="CD148" s="241"/>
      <c r="CE148" s="241"/>
      <c r="CF148" s="241"/>
      <c r="CG148" s="241"/>
      <c r="CH148" s="241"/>
      <c r="CI148" s="241">
        <v>0.89</v>
      </c>
      <c r="CJ148" s="164" t="e">
        <f t="shared" ref="CJ148:CO148" si="68">CJ147*(1+(1-CJ137)*(CJ141/CJ142))</f>
        <v>#DIV/0!</v>
      </c>
      <c r="CK148" s="164" t="e">
        <f t="shared" si="68"/>
        <v>#DIV/0!</v>
      </c>
      <c r="CL148" s="164" t="e">
        <f t="shared" si="68"/>
        <v>#DIV/0!</v>
      </c>
      <c r="CM148" s="164" t="e">
        <f t="shared" si="68"/>
        <v>#DIV/0!</v>
      </c>
      <c r="CN148" s="164" t="e">
        <f t="shared" si="68"/>
        <v>#DIV/0!</v>
      </c>
      <c r="CO148" s="164" t="e">
        <f t="shared" si="68"/>
        <v>#DIV/0!</v>
      </c>
      <c r="CP148" s="164"/>
    </row>
    <row r="149" spans="2:94" ht="16" x14ac:dyDescent="0.2">
      <c r="B149" s="105" t="s">
        <v>446</v>
      </c>
      <c r="D149" s="164"/>
      <c r="E149" s="164"/>
      <c r="F149" s="164"/>
      <c r="G149" s="164"/>
      <c r="H149" s="164"/>
      <c r="I149" s="164"/>
      <c r="J149" s="164">
        <f>J148*(1+(1-J138)*(J142/J143))</f>
        <v>0.91527396728484722</v>
      </c>
      <c r="K149" s="164"/>
      <c r="L149" s="164"/>
      <c r="M149" s="164"/>
      <c r="N149" s="164"/>
      <c r="O149" s="164"/>
      <c r="P149" s="164"/>
      <c r="Q149" s="164">
        <f>Q148*(1+(1-Q138)*(Q142/Q143))</f>
        <v>0.93207400783921857</v>
      </c>
      <c r="R149" s="164"/>
      <c r="S149" s="164"/>
      <c r="T149" s="164"/>
      <c r="U149" s="164"/>
      <c r="V149" s="164"/>
      <c r="W149" s="164"/>
      <c r="X149" s="164">
        <f>X148*(1+(1-X138)*(X142/X143))</f>
        <v>0.94104351965701605</v>
      </c>
      <c r="Y149" s="164"/>
      <c r="Z149" s="164"/>
      <c r="AA149" s="164"/>
      <c r="AB149" s="164"/>
      <c r="AC149" s="164"/>
      <c r="AD149" s="164"/>
      <c r="AE149" s="164">
        <f>AE148*(1+(1-AE138)*(AE142/AE143))</f>
        <v>0.94109791810073529</v>
      </c>
      <c r="AF149" s="164"/>
      <c r="AG149" s="164"/>
      <c r="AH149" s="164"/>
      <c r="AI149" s="164"/>
      <c r="AJ149" s="164"/>
      <c r="AK149" s="164"/>
      <c r="AL149" s="164">
        <f>AL148*(1+(1-AL138)*(AL142/AL143))</f>
        <v>0.94103597097556713</v>
      </c>
      <c r="AM149" s="164"/>
      <c r="AN149" s="164"/>
      <c r="AO149" s="164"/>
      <c r="AP149" s="164"/>
      <c r="AQ149" s="164"/>
      <c r="AR149" s="164"/>
      <c r="AS149" s="164">
        <f>AS148*(1+(1-AS138)*(AS142/AS143))</f>
        <v>0.94087091852333882</v>
      </c>
      <c r="AT149" s="164"/>
      <c r="AU149" s="164"/>
      <c r="AV149" s="164"/>
      <c r="AW149" s="164"/>
      <c r="AX149" s="164"/>
      <c r="AY149" s="164"/>
      <c r="AZ149" s="164">
        <f>AZ148*(1+(1-AZ138)*(AZ142/AZ143))</f>
        <v>0.94070762064485558</v>
      </c>
      <c r="BA149" s="164"/>
      <c r="BB149" s="164"/>
      <c r="BC149" s="164"/>
      <c r="BD149" s="164"/>
      <c r="BE149" s="164"/>
      <c r="BF149" s="164"/>
      <c r="BG149" s="164">
        <f>BG148*(1+(1-BG138)*(BG142/BG143))</f>
        <v>0.94054027830357156</v>
      </c>
      <c r="BH149" s="164"/>
      <c r="BI149" s="164"/>
      <c r="BJ149" s="164"/>
      <c r="BK149" s="164"/>
      <c r="BL149" s="164"/>
      <c r="BM149" s="164"/>
      <c r="BN149" s="164">
        <f>BN148*(1+(1-BN138)*(BN142/BN143))</f>
        <v>0.94061041183647243</v>
      </c>
      <c r="BO149" s="164"/>
      <c r="BP149" s="164"/>
      <c r="BQ149" s="164"/>
      <c r="BR149" s="164"/>
      <c r="BS149" s="164"/>
      <c r="BT149" s="164"/>
      <c r="BU149" s="164">
        <f>BU148*(1+(1-BU138)*(BU142/BU143))</f>
        <v>0.94050627356985639</v>
      </c>
      <c r="BV149" s="164"/>
      <c r="BW149" s="164"/>
      <c r="BX149" s="164"/>
      <c r="BY149" s="164"/>
      <c r="BZ149" s="164"/>
      <c r="CA149" s="164"/>
      <c r="CB149" s="164">
        <f>CB148*(1+(1-CB138)*(CB142/CB143))</f>
        <v>0.94019774040860071</v>
      </c>
      <c r="CC149" s="164"/>
      <c r="CD149" s="164"/>
      <c r="CE149" s="164"/>
      <c r="CF149" s="164"/>
      <c r="CG149" s="164"/>
      <c r="CH149" s="164"/>
      <c r="CI149" s="164">
        <f>CI148*(1+(1-CI138)*(CI142/CI143))</f>
        <v>0.94051563235580249</v>
      </c>
      <c r="CJ149" s="176">
        <v>4.7899999999999998E-2</v>
      </c>
      <c r="CK149" s="176">
        <f>CJ149</f>
        <v>4.7899999999999998E-2</v>
      </c>
      <c r="CL149" s="176">
        <v>4.7899999999999998E-2</v>
      </c>
      <c r="CM149" s="176">
        <v>4.7899999999999998E-2</v>
      </c>
      <c r="CN149" s="176">
        <f>CM149</f>
        <v>4.7899999999999998E-2</v>
      </c>
      <c r="CO149" s="176">
        <v>4.7899999999999998E-2</v>
      </c>
      <c r="CP149" s="176"/>
    </row>
    <row r="150" spans="2:94" ht="16" x14ac:dyDescent="0.2">
      <c r="B150" s="237" t="s">
        <v>447</v>
      </c>
      <c r="C150" s="238"/>
      <c r="D150" s="239"/>
      <c r="E150" s="239"/>
      <c r="F150" s="239"/>
      <c r="G150" s="239"/>
      <c r="H150" s="239"/>
      <c r="I150" s="239"/>
      <c r="J150" s="239">
        <v>4.7899999999999998E-2</v>
      </c>
      <c r="K150" s="239"/>
      <c r="L150" s="239"/>
      <c r="M150" s="239"/>
      <c r="N150" s="239"/>
      <c r="O150" s="239"/>
      <c r="P150" s="239"/>
      <c r="Q150" s="239">
        <v>4.7899999999999998E-2</v>
      </c>
      <c r="R150" s="239"/>
      <c r="S150" s="239"/>
      <c r="T150" s="239"/>
      <c r="U150" s="239"/>
      <c r="V150" s="239"/>
      <c r="W150" s="239"/>
      <c r="X150" s="239">
        <v>4.7899999999999998E-2</v>
      </c>
      <c r="Y150" s="239"/>
      <c r="Z150" s="239"/>
      <c r="AA150" s="239"/>
      <c r="AB150" s="239"/>
      <c r="AC150" s="239"/>
      <c r="AD150" s="239"/>
      <c r="AE150" s="239">
        <v>4.7899999999999998E-2</v>
      </c>
      <c r="AF150" s="239"/>
      <c r="AG150" s="239"/>
      <c r="AH150" s="239"/>
      <c r="AI150" s="239"/>
      <c r="AJ150" s="239"/>
      <c r="AK150" s="239"/>
      <c r="AL150" s="239">
        <v>4.7899999999999998E-2</v>
      </c>
      <c r="AM150" s="239"/>
      <c r="AN150" s="239"/>
      <c r="AO150" s="239"/>
      <c r="AP150" s="239"/>
      <c r="AQ150" s="239"/>
      <c r="AR150" s="239"/>
      <c r="AS150" s="239">
        <v>4.7899999999999998E-2</v>
      </c>
      <c r="AT150" s="239"/>
      <c r="AU150" s="239"/>
      <c r="AV150" s="239"/>
      <c r="AW150" s="239"/>
      <c r="AX150" s="239"/>
      <c r="AY150" s="239"/>
      <c r="AZ150" s="239">
        <v>4.7899999999999998E-2</v>
      </c>
      <c r="BA150" s="239"/>
      <c r="BB150" s="239"/>
      <c r="BC150" s="239"/>
      <c r="BD150" s="239"/>
      <c r="BE150" s="239"/>
      <c r="BF150" s="239"/>
      <c r="BG150" s="239">
        <v>4.7899999999999998E-2</v>
      </c>
      <c r="BH150" s="239"/>
      <c r="BI150" s="239"/>
      <c r="BJ150" s="239"/>
      <c r="BK150" s="239"/>
      <c r="BL150" s="239"/>
      <c r="BM150" s="239"/>
      <c r="BN150" s="239">
        <v>4.7899999999999998E-2</v>
      </c>
      <c r="BO150" s="239"/>
      <c r="BP150" s="239"/>
      <c r="BQ150" s="239"/>
      <c r="BR150" s="239"/>
      <c r="BS150" s="239"/>
      <c r="BT150" s="239"/>
      <c r="BU150" s="239">
        <v>4.7899999999999998E-2</v>
      </c>
      <c r="BV150" s="239"/>
      <c r="BW150" s="239"/>
      <c r="BX150" s="239"/>
      <c r="BY150" s="239"/>
      <c r="BZ150" s="239"/>
      <c r="CA150" s="239"/>
      <c r="CB150" s="239">
        <v>4.7899999999999998E-2</v>
      </c>
      <c r="CC150" s="239"/>
      <c r="CD150" s="239"/>
      <c r="CE150" s="239"/>
      <c r="CF150" s="239"/>
      <c r="CG150" s="239"/>
      <c r="CH150" s="239"/>
      <c r="CI150" s="239">
        <v>4.7899999999999998E-2</v>
      </c>
      <c r="CJ150" s="176">
        <v>0.1179</v>
      </c>
      <c r="CK150" s="176">
        <f>CJ150</f>
        <v>0.1179</v>
      </c>
      <c r="CL150" s="176">
        <v>0.1179</v>
      </c>
      <c r="CM150" s="176">
        <v>0.1179</v>
      </c>
      <c r="CN150" s="176">
        <f>CM150</f>
        <v>0.1179</v>
      </c>
      <c r="CO150" s="176">
        <v>0.1179</v>
      </c>
      <c r="CP150" s="176"/>
    </row>
    <row r="151" spans="2:94" ht="16" x14ac:dyDescent="0.2">
      <c r="B151" s="237" t="s">
        <v>448</v>
      </c>
      <c r="C151" s="238"/>
      <c r="D151" s="239"/>
      <c r="E151" s="239"/>
      <c r="F151" s="239"/>
      <c r="G151" s="239"/>
      <c r="H151" s="239"/>
      <c r="I151" s="239"/>
      <c r="J151" s="239">
        <v>0.1179</v>
      </c>
      <c r="K151" s="239"/>
      <c r="L151" s="239"/>
      <c r="M151" s="239"/>
      <c r="N151" s="239"/>
      <c r="O151" s="239"/>
      <c r="P151" s="239"/>
      <c r="Q151" s="239">
        <v>0.1179</v>
      </c>
      <c r="R151" s="239"/>
      <c r="S151" s="239"/>
      <c r="T151" s="239"/>
      <c r="U151" s="239"/>
      <c r="V151" s="239"/>
      <c r="W151" s="239"/>
      <c r="X151" s="239">
        <v>0.1179</v>
      </c>
      <c r="Y151" s="239"/>
      <c r="Z151" s="239"/>
      <c r="AA151" s="239"/>
      <c r="AB151" s="239"/>
      <c r="AC151" s="239"/>
      <c r="AD151" s="239"/>
      <c r="AE151" s="239">
        <v>0.1179</v>
      </c>
      <c r="AF151" s="239"/>
      <c r="AG151" s="239"/>
      <c r="AH151" s="239"/>
      <c r="AI151" s="239"/>
      <c r="AJ151" s="239"/>
      <c r="AK151" s="239"/>
      <c r="AL151" s="239">
        <v>0.1179</v>
      </c>
      <c r="AM151" s="239"/>
      <c r="AN151" s="239"/>
      <c r="AO151" s="239"/>
      <c r="AP151" s="239"/>
      <c r="AQ151" s="239"/>
      <c r="AR151" s="239"/>
      <c r="AS151" s="239">
        <v>0.1179</v>
      </c>
      <c r="AT151" s="239"/>
      <c r="AU151" s="239"/>
      <c r="AV151" s="239"/>
      <c r="AW151" s="239"/>
      <c r="AX151" s="239"/>
      <c r="AY151" s="239"/>
      <c r="AZ151" s="239">
        <v>0.1179</v>
      </c>
      <c r="BA151" s="239"/>
      <c r="BB151" s="239"/>
      <c r="BC151" s="239"/>
      <c r="BD151" s="239"/>
      <c r="BE151" s="239"/>
      <c r="BF151" s="239"/>
      <c r="BG151" s="239">
        <v>0.1179</v>
      </c>
      <c r="BH151" s="239"/>
      <c r="BI151" s="239"/>
      <c r="BJ151" s="239"/>
      <c r="BK151" s="239"/>
      <c r="BL151" s="239"/>
      <c r="BM151" s="239"/>
      <c r="BN151" s="239">
        <v>0.1179</v>
      </c>
      <c r="BO151" s="239"/>
      <c r="BP151" s="239"/>
      <c r="BQ151" s="239"/>
      <c r="BR151" s="239"/>
      <c r="BS151" s="239"/>
      <c r="BT151" s="239"/>
      <c r="BU151" s="239">
        <v>0.1179</v>
      </c>
      <c r="BV151" s="239"/>
      <c r="BW151" s="239"/>
      <c r="BX151" s="239"/>
      <c r="BY151" s="239"/>
      <c r="BZ151" s="239"/>
      <c r="CA151" s="239"/>
      <c r="CB151" s="239">
        <v>0.1179</v>
      </c>
      <c r="CC151" s="239"/>
      <c r="CD151" s="239"/>
      <c r="CE151" s="239"/>
      <c r="CF151" s="239"/>
      <c r="CG151" s="239"/>
      <c r="CH151" s="239"/>
      <c r="CI151" s="239">
        <v>0.1179</v>
      </c>
      <c r="CJ151" s="176">
        <v>7.2900000000000006E-2</v>
      </c>
      <c r="CK151" s="176">
        <f>CJ151</f>
        <v>7.2900000000000006E-2</v>
      </c>
      <c r="CL151" s="176">
        <v>7.2900000000000006E-2</v>
      </c>
      <c r="CM151" s="176">
        <v>7.2900000000000006E-2</v>
      </c>
      <c r="CN151" s="176">
        <f>CM151</f>
        <v>7.2900000000000006E-2</v>
      </c>
      <c r="CO151" s="176">
        <v>7.2900000000000006E-2</v>
      </c>
      <c r="CP151" s="176"/>
    </row>
    <row r="152" spans="2:94" ht="16" x14ac:dyDescent="0.2">
      <c r="B152" s="237" t="s">
        <v>449</v>
      </c>
      <c r="C152" s="238"/>
      <c r="D152" s="239"/>
      <c r="E152" s="239"/>
      <c r="F152" s="239"/>
      <c r="G152" s="239"/>
      <c r="H152" s="239"/>
      <c r="I152" s="239"/>
      <c r="J152" s="239">
        <v>7.2900000000000006E-2</v>
      </c>
      <c r="K152" s="239"/>
      <c r="L152" s="239"/>
      <c r="M152" s="239"/>
      <c r="N152" s="239"/>
      <c r="O152" s="239"/>
      <c r="P152" s="239"/>
      <c r="Q152" s="239">
        <v>7.2900000000000006E-2</v>
      </c>
      <c r="R152" s="239"/>
      <c r="S152" s="239"/>
      <c r="T152" s="239"/>
      <c r="U152" s="239"/>
      <c r="V152" s="239"/>
      <c r="W152" s="239"/>
      <c r="X152" s="239">
        <v>7.2900000000000006E-2</v>
      </c>
      <c r="Y152" s="239"/>
      <c r="Z152" s="239"/>
      <c r="AA152" s="239"/>
      <c r="AB152" s="239"/>
      <c r="AC152" s="239"/>
      <c r="AD152" s="239"/>
      <c r="AE152" s="239">
        <v>7.2900000000000006E-2</v>
      </c>
      <c r="AF152" s="239"/>
      <c r="AG152" s="239"/>
      <c r="AH152" s="239"/>
      <c r="AI152" s="239"/>
      <c r="AJ152" s="239"/>
      <c r="AK152" s="239"/>
      <c r="AL152" s="239">
        <v>7.2900000000000006E-2</v>
      </c>
      <c r="AM152" s="239"/>
      <c r="AN152" s="239"/>
      <c r="AO152" s="239"/>
      <c r="AP152" s="239"/>
      <c r="AQ152" s="239"/>
      <c r="AR152" s="239"/>
      <c r="AS152" s="239">
        <v>7.2900000000000006E-2</v>
      </c>
      <c r="AT152" s="239"/>
      <c r="AU152" s="239"/>
      <c r="AV152" s="239"/>
      <c r="AW152" s="239"/>
      <c r="AX152" s="239"/>
      <c r="AY152" s="239"/>
      <c r="AZ152" s="239">
        <v>7.2900000000000006E-2</v>
      </c>
      <c r="BA152" s="239"/>
      <c r="BB152" s="239"/>
      <c r="BC152" s="239"/>
      <c r="BD152" s="239"/>
      <c r="BE152" s="239"/>
      <c r="BF152" s="239"/>
      <c r="BG152" s="239">
        <v>7.2900000000000006E-2</v>
      </c>
      <c r="BH152" s="239"/>
      <c r="BI152" s="239"/>
      <c r="BJ152" s="239"/>
      <c r="BK152" s="239"/>
      <c r="BL152" s="239"/>
      <c r="BM152" s="239"/>
      <c r="BN152" s="239">
        <v>7.2900000000000006E-2</v>
      </c>
      <c r="BO152" s="239"/>
      <c r="BP152" s="239"/>
      <c r="BQ152" s="239"/>
      <c r="BR152" s="239"/>
      <c r="BS152" s="239"/>
      <c r="BT152" s="239"/>
      <c r="BU152" s="239">
        <v>7.2900000000000006E-2</v>
      </c>
      <c r="BV152" s="239"/>
      <c r="BW152" s="239"/>
      <c r="BX152" s="239"/>
      <c r="BY152" s="239"/>
      <c r="BZ152" s="239"/>
      <c r="CA152" s="239"/>
      <c r="CB152" s="239">
        <v>7.2900000000000006E-2</v>
      </c>
      <c r="CC152" s="239"/>
      <c r="CD152" s="239"/>
      <c r="CE152" s="239"/>
      <c r="CF152" s="239"/>
      <c r="CG152" s="239"/>
      <c r="CH152" s="239"/>
      <c r="CI152" s="239">
        <v>7.2900000000000006E-2</v>
      </c>
      <c r="CJ152" s="176">
        <v>4.7E-2</v>
      </c>
      <c r="CK152" s="176">
        <f>CJ152</f>
        <v>4.7E-2</v>
      </c>
      <c r="CL152" s="176">
        <v>4.7E-2</v>
      </c>
      <c r="CM152" s="176">
        <v>4.7E-2</v>
      </c>
      <c r="CN152" s="176">
        <f>CM152</f>
        <v>4.7E-2</v>
      </c>
      <c r="CO152" s="176">
        <v>4.7E-2</v>
      </c>
      <c r="CP152" s="176"/>
    </row>
    <row r="153" spans="2:94" ht="16" x14ac:dyDescent="0.2">
      <c r="B153" s="105" t="s">
        <v>450</v>
      </c>
      <c r="D153" s="176"/>
      <c r="E153" s="176"/>
      <c r="F153" s="176"/>
      <c r="G153" s="176"/>
      <c r="H153" s="176"/>
      <c r="I153" s="176"/>
      <c r="J153" s="176">
        <v>4.7E-2</v>
      </c>
      <c r="K153" s="176"/>
      <c r="L153" s="176"/>
      <c r="M153" s="176"/>
      <c r="N153" s="176"/>
      <c r="O153" s="176"/>
      <c r="P153" s="176"/>
      <c r="Q153" s="176">
        <v>4.7E-2</v>
      </c>
      <c r="R153" s="176"/>
      <c r="S153" s="176"/>
      <c r="T153" s="176"/>
      <c r="U153" s="176"/>
      <c r="V153" s="176"/>
      <c r="W153" s="176"/>
      <c r="X153" s="176">
        <v>4.7E-2</v>
      </c>
      <c r="Y153" s="176"/>
      <c r="Z153" s="176"/>
      <c r="AA153" s="176"/>
      <c r="AB153" s="176"/>
      <c r="AC153" s="176"/>
      <c r="AD153" s="176"/>
      <c r="AE153" s="176">
        <v>4.7E-2</v>
      </c>
      <c r="AF153" s="176"/>
      <c r="AG153" s="176"/>
      <c r="AH153" s="176"/>
      <c r="AI153" s="176"/>
      <c r="AJ153" s="176"/>
      <c r="AK153" s="176"/>
      <c r="AL153" s="176">
        <v>4.7E-2</v>
      </c>
      <c r="AM153" s="176"/>
      <c r="AN153" s="176"/>
      <c r="AO153" s="176"/>
      <c r="AP153" s="176"/>
      <c r="AQ153" s="176"/>
      <c r="AR153" s="176"/>
      <c r="AS153" s="176">
        <v>4.7E-2</v>
      </c>
      <c r="AT153" s="176"/>
      <c r="AU153" s="176"/>
      <c r="AV153" s="176"/>
      <c r="AW153" s="176"/>
      <c r="AX153" s="176"/>
      <c r="AY153" s="176"/>
      <c r="AZ153" s="176">
        <v>4.7E-2</v>
      </c>
      <c r="BA153" s="176"/>
      <c r="BB153" s="176"/>
      <c r="BC153" s="176"/>
      <c r="BD153" s="176"/>
      <c r="BE153" s="176"/>
      <c r="BF153" s="176"/>
      <c r="BG153" s="176">
        <v>4.7E-2</v>
      </c>
      <c r="BH153" s="176"/>
      <c r="BI153" s="176"/>
      <c r="BJ153" s="176"/>
      <c r="BK153" s="176"/>
      <c r="BL153" s="176"/>
      <c r="BM153" s="176"/>
      <c r="BN153" s="176">
        <v>4.7E-2</v>
      </c>
      <c r="BO153" s="176"/>
      <c r="BP153" s="176"/>
      <c r="BQ153" s="176"/>
      <c r="BR153" s="176"/>
      <c r="BS153" s="176"/>
      <c r="BT153" s="176"/>
      <c r="BU153" s="176">
        <v>4.7E-2</v>
      </c>
      <c r="BV153" s="176"/>
      <c r="BW153" s="176"/>
      <c r="BX153" s="176"/>
      <c r="BY153" s="176"/>
      <c r="BZ153" s="176"/>
      <c r="CA153" s="176"/>
      <c r="CB153" s="176">
        <v>4.7E-2</v>
      </c>
      <c r="CC153" s="176"/>
      <c r="CD153" s="176"/>
      <c r="CE153" s="176"/>
      <c r="CF153" s="176"/>
      <c r="CG153" s="176"/>
      <c r="CH153" s="176"/>
      <c r="CI153" s="176">
        <v>4.7E-2</v>
      </c>
      <c r="CJ153" s="176">
        <v>0.03</v>
      </c>
      <c r="CK153" s="176">
        <f>CJ153</f>
        <v>0.03</v>
      </c>
      <c r="CL153" s="176">
        <v>0.03</v>
      </c>
      <c r="CM153" s="176">
        <v>0.03</v>
      </c>
      <c r="CN153" s="176">
        <f>CM153</f>
        <v>0.03</v>
      </c>
      <c r="CO153" s="176">
        <v>0.03</v>
      </c>
      <c r="CP153" s="176"/>
    </row>
    <row r="154" spans="2:94" ht="16" x14ac:dyDescent="0.2">
      <c r="B154" s="105" t="s">
        <v>451</v>
      </c>
      <c r="D154" s="176"/>
      <c r="E154" s="176"/>
      <c r="F154" s="176"/>
      <c r="G154" s="176"/>
      <c r="H154" s="176"/>
      <c r="I154" s="176"/>
      <c r="J154" s="176">
        <v>0.03</v>
      </c>
      <c r="K154" s="176"/>
      <c r="L154" s="176"/>
      <c r="M154" s="176"/>
      <c r="N154" s="176"/>
      <c r="O154" s="176"/>
      <c r="P154" s="176"/>
      <c r="Q154" s="176">
        <v>0.03</v>
      </c>
      <c r="R154" s="176"/>
      <c r="S154" s="176"/>
      <c r="T154" s="176"/>
      <c r="U154" s="176"/>
      <c r="V154" s="176"/>
      <c r="W154" s="176"/>
      <c r="X154" s="176">
        <v>0.03</v>
      </c>
      <c r="Y154" s="176"/>
      <c r="Z154" s="176"/>
      <c r="AA154" s="176"/>
      <c r="AB154" s="176"/>
      <c r="AC154" s="176"/>
      <c r="AD154" s="176"/>
      <c r="AE154" s="176">
        <v>0.03</v>
      </c>
      <c r="AF154" s="176"/>
      <c r="AG154" s="176"/>
      <c r="AH154" s="176"/>
      <c r="AI154" s="176"/>
      <c r="AJ154" s="176"/>
      <c r="AK154" s="176"/>
      <c r="AL154" s="176">
        <v>0.03</v>
      </c>
      <c r="AM154" s="176"/>
      <c r="AN154" s="176"/>
      <c r="AO154" s="176"/>
      <c r="AP154" s="176"/>
      <c r="AQ154" s="176"/>
      <c r="AR154" s="176"/>
      <c r="AS154" s="176">
        <v>0.03</v>
      </c>
      <c r="AT154" s="176"/>
      <c r="AU154" s="176"/>
      <c r="AV154" s="176"/>
      <c r="AW154" s="176"/>
      <c r="AX154" s="176"/>
      <c r="AY154" s="176"/>
      <c r="AZ154" s="176">
        <v>0.03</v>
      </c>
      <c r="BA154" s="176"/>
      <c r="BB154" s="176"/>
      <c r="BC154" s="176"/>
      <c r="BD154" s="176"/>
      <c r="BE154" s="176"/>
      <c r="BF154" s="176"/>
      <c r="BG154" s="176">
        <v>0.03</v>
      </c>
      <c r="BH154" s="176"/>
      <c r="BI154" s="176"/>
      <c r="BJ154" s="176"/>
      <c r="BK154" s="176"/>
      <c r="BL154" s="176"/>
      <c r="BM154" s="176"/>
      <c r="BN154" s="176">
        <v>0.03</v>
      </c>
      <c r="BO154" s="176"/>
      <c r="BP154" s="176"/>
      <c r="BQ154" s="176"/>
      <c r="BR154" s="176"/>
      <c r="BS154" s="176"/>
      <c r="BT154" s="176"/>
      <c r="BU154" s="176">
        <v>0.03</v>
      </c>
      <c r="BV154" s="176"/>
      <c r="BW154" s="176"/>
      <c r="BX154" s="176"/>
      <c r="BY154" s="176"/>
      <c r="BZ154" s="176"/>
      <c r="CA154" s="176"/>
      <c r="CB154" s="176">
        <v>0.03</v>
      </c>
      <c r="CC154" s="176"/>
      <c r="CD154" s="176"/>
      <c r="CE154" s="176"/>
      <c r="CF154" s="176"/>
      <c r="CG154" s="176"/>
      <c r="CH154" s="176"/>
      <c r="CI154" s="176">
        <v>0.03</v>
      </c>
      <c r="CJ154" s="135">
        <f t="shared" ref="CJ154:CO154" si="69">((1+CJ152)/(1+CJ153))-1</f>
        <v>1.6504854368931898E-2</v>
      </c>
      <c r="CK154" s="135">
        <f t="shared" si="69"/>
        <v>1.6504854368931898E-2</v>
      </c>
      <c r="CL154" s="135">
        <f t="shared" si="69"/>
        <v>1.6504854368931898E-2</v>
      </c>
      <c r="CM154" s="135">
        <f t="shared" si="69"/>
        <v>1.6504854368931898E-2</v>
      </c>
      <c r="CN154" s="135">
        <f t="shared" si="69"/>
        <v>1.6504854368931898E-2</v>
      </c>
      <c r="CO154" s="135">
        <f t="shared" si="69"/>
        <v>1.6504854368931898E-2</v>
      </c>
      <c r="CP154" s="135"/>
    </row>
    <row r="155" spans="2:94" x14ac:dyDescent="0.2">
      <c r="B155" s="105" t="s">
        <v>452</v>
      </c>
      <c r="D155" s="135"/>
      <c r="E155" s="135"/>
      <c r="F155" s="135"/>
      <c r="G155" s="135"/>
      <c r="H155" s="135"/>
      <c r="I155" s="135"/>
      <c r="J155" s="135">
        <f>((1+J153)/(1+J154))-1</f>
        <v>1.6504854368931898E-2</v>
      </c>
      <c r="K155" s="135"/>
      <c r="L155" s="135"/>
      <c r="M155" s="135"/>
      <c r="N155" s="135"/>
      <c r="O155" s="135"/>
      <c r="P155" s="135"/>
      <c r="Q155" s="135">
        <f>((1+Q153)/(1+Q154))-1</f>
        <v>1.6504854368931898E-2</v>
      </c>
      <c r="R155" s="135"/>
      <c r="S155" s="135"/>
      <c r="T155" s="135"/>
      <c r="U155" s="135"/>
      <c r="V155" s="135"/>
      <c r="W155" s="135"/>
      <c r="X155" s="135">
        <f>((1+X153)/(1+X154))-1</f>
        <v>1.6504854368931898E-2</v>
      </c>
      <c r="Y155" s="135"/>
      <c r="Z155" s="135"/>
      <c r="AA155" s="135"/>
      <c r="AB155" s="135"/>
      <c r="AC155" s="135"/>
      <c r="AD155" s="135"/>
      <c r="AE155" s="135">
        <f>((1+AE153)/(1+AE154))-1</f>
        <v>1.6504854368931898E-2</v>
      </c>
      <c r="AF155" s="135"/>
      <c r="AG155" s="135"/>
      <c r="AH155" s="135"/>
      <c r="AI155" s="135"/>
      <c r="AJ155" s="135"/>
      <c r="AK155" s="135"/>
      <c r="AL155" s="135">
        <f>((1+AL153)/(1+AL154))-1</f>
        <v>1.6504854368931898E-2</v>
      </c>
      <c r="AM155" s="135"/>
      <c r="AN155" s="135"/>
      <c r="AO155" s="135"/>
      <c r="AP155" s="135"/>
      <c r="AQ155" s="135"/>
      <c r="AR155" s="135"/>
      <c r="AS155" s="135">
        <f>((1+AS153)/(1+AS154))-1</f>
        <v>1.6504854368931898E-2</v>
      </c>
      <c r="AT155" s="135"/>
      <c r="AU155" s="135"/>
      <c r="AV155" s="135"/>
      <c r="AW155" s="135"/>
      <c r="AX155" s="135"/>
      <c r="AY155" s="135"/>
      <c r="AZ155" s="135">
        <f>((1+AZ153)/(1+AZ154))-1</f>
        <v>1.6504854368931898E-2</v>
      </c>
      <c r="BA155" s="135"/>
      <c r="BB155" s="135"/>
      <c r="BC155" s="135"/>
      <c r="BD155" s="135"/>
      <c r="BE155" s="135"/>
      <c r="BF155" s="135"/>
      <c r="BG155" s="135">
        <f>((1+BG153)/(1+BG154))-1</f>
        <v>1.6504854368931898E-2</v>
      </c>
      <c r="BH155" s="135"/>
      <c r="BI155" s="135"/>
      <c r="BJ155" s="135"/>
      <c r="BK155" s="135"/>
      <c r="BL155" s="135"/>
      <c r="BM155" s="135"/>
      <c r="BN155" s="135">
        <f>((1+BN153)/(1+BN154))-1</f>
        <v>1.6504854368931898E-2</v>
      </c>
      <c r="BO155" s="135"/>
      <c r="BP155" s="135"/>
      <c r="BQ155" s="135"/>
      <c r="BR155" s="135"/>
      <c r="BS155" s="135"/>
      <c r="BT155" s="135"/>
      <c r="BU155" s="135">
        <f>((1+BU153)/(1+BU154))-1</f>
        <v>1.6504854368931898E-2</v>
      </c>
      <c r="BV155" s="135"/>
      <c r="BW155" s="135"/>
      <c r="BX155" s="135"/>
      <c r="BY155" s="135"/>
      <c r="BZ155" s="135"/>
      <c r="CA155" s="135"/>
      <c r="CB155" s="135">
        <f>((1+CB153)/(1+CB154))-1</f>
        <v>1.6504854368931898E-2</v>
      </c>
      <c r="CC155" s="135"/>
      <c r="CD155" s="135"/>
      <c r="CE155" s="135"/>
      <c r="CF155" s="135"/>
      <c r="CG155" s="135"/>
      <c r="CH155" s="135"/>
      <c r="CI155" s="135">
        <f>((1+CI153)/(1+CI154))-1</f>
        <v>1.6504854368931898E-2</v>
      </c>
      <c r="CJ155" s="135" t="e">
        <f t="shared" ref="CJ155:CO155" si="70">CJ149+(CJ148*(CJ150-CJ149))+CJ151</f>
        <v>#DIV/0!</v>
      </c>
      <c r="CK155" s="135" t="e">
        <f t="shared" si="70"/>
        <v>#DIV/0!</v>
      </c>
      <c r="CL155" s="135" t="e">
        <f t="shared" si="70"/>
        <v>#DIV/0!</v>
      </c>
      <c r="CM155" s="135" t="e">
        <f t="shared" si="70"/>
        <v>#DIV/0!</v>
      </c>
      <c r="CN155" s="135" t="e">
        <f t="shared" si="70"/>
        <v>#DIV/0!</v>
      </c>
      <c r="CO155" s="135" t="e">
        <f t="shared" si="70"/>
        <v>#DIV/0!</v>
      </c>
      <c r="CP155" s="135"/>
    </row>
    <row r="156" spans="2:94" x14ac:dyDescent="0.2">
      <c r="B156" s="105" t="s">
        <v>453</v>
      </c>
      <c r="D156" s="135"/>
      <c r="E156" s="135"/>
      <c r="F156" s="135"/>
      <c r="G156" s="135"/>
      <c r="H156" s="135"/>
      <c r="I156" s="135"/>
      <c r="J156" s="135">
        <f>J150+(J149*(J151-J150))+J152</f>
        <v>0.18486917770993933</v>
      </c>
      <c r="K156" s="135"/>
      <c r="L156" s="135"/>
      <c r="M156" s="135"/>
      <c r="N156" s="135"/>
      <c r="O156" s="135"/>
      <c r="P156" s="135"/>
      <c r="Q156" s="135">
        <f>Q150+(Q149*(Q151-Q150))+Q152</f>
        <v>0.1860451805487453</v>
      </c>
      <c r="R156" s="135"/>
      <c r="S156" s="135"/>
      <c r="T156" s="135"/>
      <c r="U156" s="135"/>
      <c r="V156" s="135"/>
      <c r="W156" s="135"/>
      <c r="X156" s="135">
        <f>X150+(X149*(X151-X150))+X152</f>
        <v>0.18667304637599114</v>
      </c>
      <c r="Y156" s="135"/>
      <c r="Z156" s="135"/>
      <c r="AA156" s="135"/>
      <c r="AB156" s="135"/>
      <c r="AC156" s="135"/>
      <c r="AD156" s="135"/>
      <c r="AE156" s="135">
        <f>AE150+(AE149*(AE151-AE150))+AE152</f>
        <v>0.1866768542670515</v>
      </c>
      <c r="AF156" s="135"/>
      <c r="AG156" s="135"/>
      <c r="AH156" s="135"/>
      <c r="AI156" s="135"/>
      <c r="AJ156" s="135"/>
      <c r="AK156" s="135"/>
      <c r="AL156" s="135">
        <f>AL150+(AL149*(AL151-AL150))+AL152</f>
        <v>0.18667251796828971</v>
      </c>
      <c r="AM156" s="135"/>
      <c r="AN156" s="135"/>
      <c r="AO156" s="135"/>
      <c r="AP156" s="135"/>
      <c r="AQ156" s="135"/>
      <c r="AR156" s="135"/>
      <c r="AS156" s="135">
        <f>AS150+(AS149*(AS151-AS150))+AS152</f>
        <v>0.18666096429663373</v>
      </c>
      <c r="AT156" s="135"/>
      <c r="AU156" s="135"/>
      <c r="AV156" s="135"/>
      <c r="AW156" s="135"/>
      <c r="AX156" s="135"/>
      <c r="AY156" s="135"/>
      <c r="AZ156" s="135">
        <f>AZ150+(AZ149*(AZ151-AZ150))+AZ152</f>
        <v>0.1866495334451399</v>
      </c>
      <c r="BA156" s="135"/>
      <c r="BB156" s="135"/>
      <c r="BC156" s="135"/>
      <c r="BD156" s="135"/>
      <c r="BE156" s="135"/>
      <c r="BF156" s="135"/>
      <c r="BG156" s="135">
        <f>BG150+(BG149*(BG151-BG150))+BG152</f>
        <v>0.18663781948125002</v>
      </c>
      <c r="BH156" s="135"/>
      <c r="BI156" s="135"/>
      <c r="BJ156" s="135"/>
      <c r="BK156" s="135"/>
      <c r="BL156" s="135"/>
      <c r="BM156" s="135"/>
      <c r="BN156" s="135">
        <f>BN150+(BN149*(BN151-BN150))+BN152</f>
        <v>0.18664272882855309</v>
      </c>
      <c r="BO156" s="135"/>
      <c r="BP156" s="135"/>
      <c r="BQ156" s="135"/>
      <c r="BR156" s="135"/>
      <c r="BS156" s="135"/>
      <c r="BT156" s="135"/>
      <c r="BU156" s="135">
        <f>BU150+(BU149*(BU151-BU150))+BU152</f>
        <v>0.18663543914988995</v>
      </c>
      <c r="BV156" s="135"/>
      <c r="BW156" s="135"/>
      <c r="BX156" s="135"/>
      <c r="BY156" s="135"/>
      <c r="BZ156" s="135"/>
      <c r="CA156" s="135"/>
      <c r="CB156" s="135">
        <f>CB150+(CB149*(CB151-CB150))+CB152</f>
        <v>0.18661384182860208</v>
      </c>
      <c r="CC156" s="135"/>
      <c r="CD156" s="135"/>
      <c r="CE156" s="135"/>
      <c r="CF156" s="135"/>
      <c r="CG156" s="135"/>
      <c r="CH156" s="135"/>
      <c r="CI156" s="135">
        <f>CI150+(CI149*(CI151-CI150))+CI152</f>
        <v>0.18663609426490618</v>
      </c>
      <c r="CJ156" s="135" t="e">
        <f t="shared" ref="CJ156:CO156" si="71">(1+CJ155)*(1+CJ154)-1</f>
        <v>#DIV/0!</v>
      </c>
      <c r="CK156" s="135" t="e">
        <f t="shared" si="71"/>
        <v>#DIV/0!</v>
      </c>
      <c r="CL156" s="135" t="e">
        <f t="shared" si="71"/>
        <v>#DIV/0!</v>
      </c>
      <c r="CM156" s="135" t="e">
        <f t="shared" si="71"/>
        <v>#DIV/0!</v>
      </c>
      <c r="CN156" s="135" t="e">
        <f t="shared" si="71"/>
        <v>#DIV/0!</v>
      </c>
      <c r="CO156" s="135" t="e">
        <f t="shared" si="71"/>
        <v>#DIV/0!</v>
      </c>
      <c r="CP156" s="135"/>
    </row>
    <row r="157" spans="2:94" x14ac:dyDescent="0.2">
      <c r="B157" s="105" t="s">
        <v>454</v>
      </c>
      <c r="D157" s="135"/>
      <c r="E157" s="135"/>
      <c r="F157" s="135"/>
      <c r="G157" s="135"/>
      <c r="H157" s="135"/>
      <c r="I157" s="135"/>
      <c r="J157" s="135">
        <f>(1+J156)*(1+J155)-1</f>
        <v>0.20442527093427798</v>
      </c>
      <c r="K157" s="135"/>
      <c r="L157" s="135"/>
      <c r="M157" s="135"/>
      <c r="N157" s="135"/>
      <c r="O157" s="135"/>
      <c r="P157" s="135"/>
      <c r="Q157" s="135">
        <f>(1+Q156)*(1+Q155)-1</f>
        <v>0.2056206835286758</v>
      </c>
      <c r="R157" s="135"/>
      <c r="S157" s="135"/>
      <c r="T157" s="135"/>
      <c r="U157" s="135"/>
      <c r="V157" s="135"/>
      <c r="W157" s="135"/>
      <c r="X157" s="135">
        <f>(1+X156)*(1+X155)-1</f>
        <v>0.20625891218996362</v>
      </c>
      <c r="Y157" s="135"/>
      <c r="Z157" s="135"/>
      <c r="AA157" s="135"/>
      <c r="AB157" s="135"/>
      <c r="AC157" s="135"/>
      <c r="AD157" s="135"/>
      <c r="AE157" s="135">
        <f>(1+AE156)*(1+AE155)-1</f>
        <v>0.20626278292971145</v>
      </c>
      <c r="AF157" s="135"/>
      <c r="AG157" s="135"/>
      <c r="AH157" s="135"/>
      <c r="AI157" s="135"/>
      <c r="AJ157" s="135"/>
      <c r="AK157" s="135"/>
      <c r="AL157" s="135">
        <f>(1+AL156)*(1+AL155)-1</f>
        <v>0.20625837506097011</v>
      </c>
      <c r="AM157" s="135"/>
      <c r="AN157" s="135"/>
      <c r="AO157" s="135"/>
      <c r="AP157" s="135"/>
      <c r="AQ157" s="135"/>
      <c r="AR157" s="135"/>
      <c r="AS157" s="135">
        <f>(1+AS156)*(1+AS155)-1</f>
        <v>0.20624663069764604</v>
      </c>
      <c r="AT157" s="135"/>
      <c r="AU157" s="135"/>
      <c r="AV157" s="135"/>
      <c r="AW157" s="135"/>
      <c r="AX157" s="135"/>
      <c r="AY157" s="135"/>
      <c r="AZ157" s="135">
        <f>(1+AZ156)*(1+AZ155)-1</f>
        <v>0.20623501118161292</v>
      </c>
      <c r="BA157" s="135"/>
      <c r="BB157" s="135"/>
      <c r="BC157" s="135"/>
      <c r="BD157" s="135"/>
      <c r="BE157" s="135"/>
      <c r="BF157" s="135"/>
      <c r="BG157" s="135">
        <f>(1+BG156)*(1+BG155)-1</f>
        <v>0.20622310388045517</v>
      </c>
      <c r="BH157" s="135"/>
      <c r="BI157" s="135"/>
      <c r="BJ157" s="135"/>
      <c r="BK157" s="135"/>
      <c r="BL157" s="135"/>
      <c r="BM157" s="135"/>
      <c r="BN157" s="135">
        <f>(1+BN156)*(1+BN155)-1</f>
        <v>0.20622809425582034</v>
      </c>
      <c r="BO157" s="135"/>
      <c r="BP157" s="135"/>
      <c r="BQ157" s="135"/>
      <c r="BR157" s="135"/>
      <c r="BS157" s="135"/>
      <c r="BT157" s="135"/>
      <c r="BU157" s="135">
        <f>(1+BU156)*(1+BU155)-1</f>
        <v>0.20622068426207241</v>
      </c>
      <c r="BV157" s="135"/>
      <c r="BW157" s="135"/>
      <c r="BX157" s="135"/>
      <c r="BY157" s="135"/>
      <c r="BZ157" s="135"/>
      <c r="CA157" s="135"/>
      <c r="CB157" s="135">
        <f>(1+CB156)*(1+CB155)-1</f>
        <v>0.20619873048014203</v>
      </c>
      <c r="CC157" s="135"/>
      <c r="CD157" s="135"/>
      <c r="CE157" s="135"/>
      <c r="CF157" s="135"/>
      <c r="CG157" s="135"/>
      <c r="CH157" s="135"/>
      <c r="CI157" s="135">
        <f>(1+CI156)*(1+CI155)-1</f>
        <v>0.20622135018966659</v>
      </c>
      <c r="CJ157" s="135" t="e">
        <f t="shared" ref="CJ157:CO157" si="72">CJ146*CJ143+CJ156*CJ144</f>
        <v>#DIV/0!</v>
      </c>
      <c r="CK157" s="135" t="e">
        <f t="shared" si="72"/>
        <v>#DIV/0!</v>
      </c>
      <c r="CL157" s="135" t="e">
        <f t="shared" si="72"/>
        <v>#DIV/0!</v>
      </c>
      <c r="CM157" s="135" t="e">
        <f t="shared" si="72"/>
        <v>#DIV/0!</v>
      </c>
      <c r="CN157" s="135" t="e">
        <f t="shared" si="72"/>
        <v>#DIV/0!</v>
      </c>
      <c r="CO157" s="135" t="e">
        <f t="shared" si="72"/>
        <v>#DIV/0!</v>
      </c>
      <c r="CP157" s="135"/>
    </row>
    <row r="158" spans="2:94" x14ac:dyDescent="0.2">
      <c r="B158" s="105" t="s">
        <v>391</v>
      </c>
      <c r="D158" s="135"/>
      <c r="E158" s="135"/>
      <c r="F158" s="135"/>
      <c r="G158" s="135"/>
      <c r="H158" s="135"/>
      <c r="I158" s="135"/>
      <c r="J158" s="135">
        <f>J147*J144+J157*J145</f>
        <v>0.1987803626396438</v>
      </c>
      <c r="K158" s="135"/>
      <c r="L158" s="135"/>
      <c r="M158" s="135"/>
      <c r="N158" s="135"/>
      <c r="O158" s="135"/>
      <c r="P158" s="135"/>
      <c r="Q158" s="135">
        <f>Q147*Q144+Q157*Q145</f>
        <v>0.19633892459330241</v>
      </c>
      <c r="R158" s="135"/>
      <c r="S158" s="135"/>
      <c r="T158" s="135"/>
      <c r="U158" s="135"/>
      <c r="V158" s="135"/>
      <c r="W158" s="135"/>
      <c r="X158" s="135">
        <f>X147*X144+X157*X145</f>
        <v>0.19507113965991063</v>
      </c>
      <c r="Y158" s="135"/>
      <c r="Z158" s="135"/>
      <c r="AA158" s="135"/>
      <c r="AB158" s="135"/>
      <c r="AC158" s="135"/>
      <c r="AD158" s="135"/>
      <c r="AE158" s="135">
        <f>AE147*AE144+AE157*AE145</f>
        <v>0.19506352450329553</v>
      </c>
      <c r="AF158" s="135"/>
      <c r="AG158" s="135"/>
      <c r="AH158" s="135"/>
      <c r="AI158" s="135"/>
      <c r="AJ158" s="135"/>
      <c r="AK158" s="135"/>
      <c r="AL158" s="135">
        <f>AL147*AL144+AL157*AL145</f>
        <v>0.19507219645807736</v>
      </c>
      <c r="AM158" s="135"/>
      <c r="AN158" s="135"/>
      <c r="AO158" s="135"/>
      <c r="AP158" s="135"/>
      <c r="AQ158" s="135"/>
      <c r="AR158" s="135"/>
      <c r="AS158" s="135">
        <f>AS147*AS144+AS157*AS145</f>
        <v>0.19509530766345148</v>
      </c>
      <c r="AT158" s="135"/>
      <c r="AU158" s="135"/>
      <c r="AV158" s="135"/>
      <c r="AW158" s="135"/>
      <c r="AX158" s="135"/>
      <c r="AY158" s="135"/>
      <c r="AZ158" s="135">
        <f>AZ147*AZ144+AZ157*AZ145</f>
        <v>0.19511818116856805</v>
      </c>
      <c r="BA158" s="135"/>
      <c r="BB158" s="135"/>
      <c r="BC158" s="135"/>
      <c r="BD158" s="135"/>
      <c r="BE158" s="135"/>
      <c r="BF158" s="135"/>
      <c r="BG158" s="135">
        <f>BG147*BG144+BG157*BG145</f>
        <v>0.19514162943095742</v>
      </c>
      <c r="BH158" s="135"/>
      <c r="BI158" s="135"/>
      <c r="BJ158" s="135"/>
      <c r="BK158" s="135"/>
      <c r="BL158" s="135"/>
      <c r="BM158" s="135"/>
      <c r="BN158" s="135">
        <f>BN147*BN144+BN157*BN145</f>
        <v>0.19513180119846424</v>
      </c>
      <c r="BO158" s="135"/>
      <c r="BP158" s="135"/>
      <c r="BQ158" s="135"/>
      <c r="BR158" s="135"/>
      <c r="BS158" s="135"/>
      <c r="BT158" s="135"/>
      <c r="BU158" s="135">
        <f>BU147*BU144+BU157*BU145</f>
        <v>0.19514639524582841</v>
      </c>
      <c r="BV158" s="135"/>
      <c r="BW158" s="135"/>
      <c r="BX158" s="135"/>
      <c r="BY158" s="135"/>
      <c r="BZ158" s="135"/>
      <c r="CA158" s="135"/>
      <c r="CB158" s="135">
        <f>CB147*CB144+CB157*CB145</f>
        <v>0.19518965238905145</v>
      </c>
      <c r="CC158" s="135"/>
      <c r="CD158" s="135"/>
      <c r="CE158" s="135"/>
      <c r="CF158" s="135"/>
      <c r="CG158" s="135"/>
      <c r="CH158" s="135"/>
      <c r="CI158" s="135">
        <f>CI147*CI144+CI157*CI145</f>
        <v>0.19514508356344912</v>
      </c>
      <c r="CJ158" s="177" t="e">
        <f t="shared" ref="CJ158:CO158" si="73">CJ140-CJ157</f>
        <v>#REF!</v>
      </c>
      <c r="CK158" s="177" t="e">
        <f t="shared" si="73"/>
        <v>#DIV/0!</v>
      </c>
      <c r="CL158" s="177" t="e">
        <f t="shared" si="73"/>
        <v>#DIV/0!</v>
      </c>
      <c r="CM158" s="177" t="e">
        <f t="shared" si="73"/>
        <v>#REF!</v>
      </c>
      <c r="CN158" s="177" t="e">
        <f t="shared" si="73"/>
        <v>#DIV/0!</v>
      </c>
      <c r="CO158" s="177" t="e">
        <f t="shared" si="73"/>
        <v>#DIV/0!</v>
      </c>
      <c r="CP158" s="177"/>
    </row>
    <row r="159" spans="2:94" x14ac:dyDescent="0.2">
      <c r="B159" s="105" t="s">
        <v>392</v>
      </c>
      <c r="D159" s="177"/>
      <c r="E159" s="177"/>
      <c r="F159" s="177"/>
      <c r="G159" s="177"/>
      <c r="H159" s="177"/>
      <c r="I159" s="177"/>
      <c r="J159" s="177">
        <f>J141-J158</f>
        <v>-0.20310119690636216</v>
      </c>
      <c r="K159" s="177"/>
      <c r="L159" s="177"/>
      <c r="M159" s="177"/>
      <c r="N159" s="177"/>
      <c r="O159" s="177"/>
      <c r="P159" s="177"/>
      <c r="Q159" s="177">
        <f>Q141-Q158</f>
        <v>-0.20684933485775542</v>
      </c>
      <c r="R159" s="177"/>
      <c r="S159" s="177"/>
      <c r="T159" s="177"/>
      <c r="U159" s="177"/>
      <c r="V159" s="177"/>
      <c r="W159" s="177"/>
      <c r="X159" s="177">
        <f>X141-X158</f>
        <v>-0.19987238733432186</v>
      </c>
      <c r="Y159" s="177"/>
      <c r="Z159" s="177"/>
      <c r="AA159" s="177"/>
      <c r="AB159" s="177"/>
      <c r="AC159" s="177"/>
      <c r="AD159" s="177"/>
      <c r="AE159" s="177">
        <f>AE141-AE158</f>
        <v>-0.19577099379800117</v>
      </c>
      <c r="AF159" s="177"/>
      <c r="AG159" s="177"/>
      <c r="AH159" s="177"/>
      <c r="AI159" s="177"/>
      <c r="AJ159" s="177"/>
      <c r="AK159" s="177"/>
      <c r="AL159" s="177">
        <f>AL141-AL158</f>
        <v>-0.19394837089183037</v>
      </c>
      <c r="AM159" s="177"/>
      <c r="AN159" s="177"/>
      <c r="AO159" s="177"/>
      <c r="AP159" s="177"/>
      <c r="AQ159" s="177"/>
      <c r="AR159" s="177"/>
      <c r="AS159" s="177">
        <f>AS141-AS158</f>
        <v>-0.19128788926157445</v>
      </c>
      <c r="AT159" s="177"/>
      <c r="AU159" s="177"/>
      <c r="AV159" s="177"/>
      <c r="AW159" s="177"/>
      <c r="AX159" s="177"/>
      <c r="AY159" s="177"/>
      <c r="AZ159" s="177">
        <f>AZ141-AZ158</f>
        <v>-0.19162848181357306</v>
      </c>
      <c r="BA159" s="177"/>
      <c r="BB159" s="177"/>
      <c r="BC159" s="177"/>
      <c r="BD159" s="177"/>
      <c r="BE159" s="177"/>
      <c r="BF159" s="177"/>
      <c r="BG159" s="177">
        <f>BG141-BG158</f>
        <v>-0.1910534191619318</v>
      </c>
      <c r="BH159" s="177"/>
      <c r="BI159" s="177"/>
      <c r="BJ159" s="177"/>
      <c r="BK159" s="177"/>
      <c r="BL159" s="177"/>
      <c r="BM159" s="177"/>
      <c r="BN159" s="177">
        <f>BN141-BN158</f>
        <v>-0.19169909012523545</v>
      </c>
      <c r="BO159" s="177"/>
      <c r="BP159" s="177"/>
      <c r="BQ159" s="177"/>
      <c r="BR159" s="177"/>
      <c r="BS159" s="177"/>
      <c r="BT159" s="177"/>
      <c r="BU159" s="177">
        <f>BU141-BU158</f>
        <v>-0.19243085683348657</v>
      </c>
      <c r="BV159" s="177"/>
      <c r="BW159" s="177"/>
      <c r="BX159" s="177"/>
      <c r="BY159" s="177"/>
      <c r="BZ159" s="177"/>
      <c r="CA159" s="177"/>
      <c r="CB159" s="177">
        <f>CB141-CB158</f>
        <v>-0.18883877670965732</v>
      </c>
      <c r="CC159" s="177"/>
      <c r="CD159" s="177"/>
      <c r="CE159" s="177"/>
      <c r="CF159" s="177"/>
      <c r="CG159" s="177"/>
      <c r="CH159" s="177"/>
      <c r="CI159" s="177">
        <f>CI141-CI158</f>
        <v>-0.20071693707441834</v>
      </c>
      <c r="CJ159" s="178" t="e">
        <f t="shared" ref="CJ159:CO159" si="74">CJ158*CJ139</f>
        <v>#REF!</v>
      </c>
      <c r="CK159" s="178" t="e">
        <f t="shared" si="74"/>
        <v>#DIV/0!</v>
      </c>
      <c r="CL159" s="178" t="e">
        <f t="shared" si="74"/>
        <v>#DIV/0!</v>
      </c>
      <c r="CM159" s="178" t="e">
        <f t="shared" si="74"/>
        <v>#REF!</v>
      </c>
      <c r="CN159" s="178" t="e">
        <f t="shared" si="74"/>
        <v>#DIV/0!</v>
      </c>
      <c r="CO159" s="178" t="e">
        <f t="shared" si="74"/>
        <v>#DIV/0!</v>
      </c>
      <c r="CP159" s="178"/>
    </row>
    <row r="160" spans="2:94" x14ac:dyDescent="0.2">
      <c r="B160" s="105" t="s">
        <v>393</v>
      </c>
      <c r="D160" s="178"/>
      <c r="E160" s="178"/>
      <c r="F160" s="178"/>
      <c r="G160" s="178"/>
      <c r="H160" s="178"/>
      <c r="I160" s="178"/>
      <c r="J160" s="178">
        <f>J159*J140</f>
        <v>-382995721.54282153</v>
      </c>
      <c r="K160" s="178"/>
      <c r="L160" s="178"/>
      <c r="M160" s="178"/>
      <c r="N160" s="178"/>
      <c r="O160" s="178"/>
      <c r="P160" s="178"/>
      <c r="Q160" s="178">
        <f>Q159*Q140</f>
        <v>-390063729.12230283</v>
      </c>
      <c r="R160" s="178"/>
      <c r="S160" s="178"/>
      <c r="T160" s="178"/>
      <c r="U160" s="178"/>
      <c r="V160" s="178"/>
      <c r="W160" s="178"/>
      <c r="X160" s="178">
        <f>X159*X140</f>
        <v>-376907031.41886288</v>
      </c>
      <c r="Y160" s="178"/>
      <c r="Z160" s="178"/>
      <c r="AA160" s="178"/>
      <c r="AB160" s="178"/>
      <c r="AC160" s="178"/>
      <c r="AD160" s="178"/>
      <c r="AE160" s="178">
        <f>AE159*AE140</f>
        <v>-369172876.22578239</v>
      </c>
      <c r="AF160" s="178"/>
      <c r="AG160" s="178"/>
      <c r="AH160" s="178"/>
      <c r="AI160" s="178"/>
      <c r="AJ160" s="178"/>
      <c r="AK160" s="178"/>
      <c r="AL160" s="178">
        <f>AL159*AL140</f>
        <v>-365735886.26372325</v>
      </c>
      <c r="AM160" s="178"/>
      <c r="AN160" s="178"/>
      <c r="AO160" s="178"/>
      <c r="AP160" s="178"/>
      <c r="AQ160" s="178"/>
      <c r="AR160" s="178"/>
      <c r="AS160" s="178">
        <f>AS159*AS140</f>
        <v>-360718913.95064986</v>
      </c>
      <c r="AT160" s="178"/>
      <c r="AU160" s="178"/>
      <c r="AV160" s="178"/>
      <c r="AW160" s="178"/>
      <c r="AX160" s="178"/>
      <c r="AY160" s="178"/>
      <c r="AZ160" s="178">
        <f>AZ159*AZ140</f>
        <v>-361361182.39707834</v>
      </c>
      <c r="BA160" s="178"/>
      <c r="BB160" s="178"/>
      <c r="BC160" s="178"/>
      <c r="BD160" s="178"/>
      <c r="BE160" s="178"/>
      <c r="BF160" s="178"/>
      <c r="BG160" s="178">
        <f>BG159*BG140</f>
        <v>-360276764.68535399</v>
      </c>
      <c r="BH160" s="178"/>
      <c r="BI160" s="178"/>
      <c r="BJ160" s="178"/>
      <c r="BK160" s="178"/>
      <c r="BL160" s="178"/>
      <c r="BM160" s="178"/>
      <c r="BN160" s="178">
        <f>BN159*BN140</f>
        <v>-361494331.20015764</v>
      </c>
      <c r="BO160" s="178"/>
      <c r="BP160" s="178"/>
      <c r="BQ160" s="178"/>
      <c r="BR160" s="178"/>
      <c r="BS160" s="178"/>
      <c r="BT160" s="178"/>
      <c r="BU160" s="178">
        <f>BU159*BU140</f>
        <v>-362874251.76535684</v>
      </c>
      <c r="BV160" s="178"/>
      <c r="BW160" s="178"/>
      <c r="BX160" s="178"/>
      <c r="BY160" s="178"/>
      <c r="BZ160" s="178"/>
      <c r="CA160" s="178"/>
      <c r="CB160" s="178">
        <f>CB159*CB140</f>
        <v>-356100528.42043781</v>
      </c>
      <c r="CC160" s="178"/>
      <c r="CD160" s="178"/>
      <c r="CE160" s="178"/>
      <c r="CF160" s="178"/>
      <c r="CG160" s="178"/>
      <c r="CH160" s="178"/>
      <c r="CI160" s="178">
        <f>CI159*CI140</f>
        <v>-378499631.2755549</v>
      </c>
    </row>
    <row r="161" spans="2:94" x14ac:dyDescent="0.2">
      <c r="CJ161" s="166">
        <f t="shared" ref="CJ161:CO161" si="75">CJ14/CJ62</f>
        <v>0</v>
      </c>
      <c r="CK161" s="166">
        <f t="shared" si="75"/>
        <v>0</v>
      </c>
      <c r="CL161" s="166">
        <f t="shared" si="75"/>
        <v>0</v>
      </c>
      <c r="CM161" s="166">
        <f t="shared" si="75"/>
        <v>0</v>
      </c>
      <c r="CN161" s="166">
        <f t="shared" si="75"/>
        <v>0</v>
      </c>
      <c r="CO161" s="166">
        <f t="shared" si="75"/>
        <v>0</v>
      </c>
      <c r="CP161" s="166"/>
    </row>
    <row r="162" spans="2:94" x14ac:dyDescent="0.2">
      <c r="B162" s="105" t="s">
        <v>394</v>
      </c>
      <c r="D162" s="166"/>
      <c r="E162" s="166"/>
      <c r="F162" s="166"/>
      <c r="G162" s="166"/>
      <c r="H162" s="166"/>
      <c r="I162" s="166"/>
      <c r="J162" s="166">
        <f>J14/J62</f>
        <v>0</v>
      </c>
      <c r="K162" s="166"/>
      <c r="L162" s="166"/>
      <c r="M162" s="166"/>
      <c r="N162" s="166"/>
      <c r="O162" s="166"/>
      <c r="P162" s="166"/>
      <c r="Q162" s="166">
        <f>Q14/Q62</f>
        <v>0</v>
      </c>
      <c r="R162" s="166"/>
      <c r="S162" s="166"/>
      <c r="T162" s="166"/>
      <c r="U162" s="166"/>
      <c r="V162" s="166"/>
      <c r="W162" s="166"/>
      <c r="X162" s="166">
        <f>X14/X62</f>
        <v>0</v>
      </c>
      <c r="Y162" s="166"/>
      <c r="Z162" s="166"/>
      <c r="AA162" s="166"/>
      <c r="AB162" s="166"/>
      <c r="AC162" s="166"/>
      <c r="AD162" s="166"/>
      <c r="AE162" s="166">
        <f>AE14/AE62</f>
        <v>0</v>
      </c>
      <c r="AF162" s="166"/>
      <c r="AG162" s="166"/>
      <c r="AH162" s="166"/>
      <c r="AI162" s="166"/>
      <c r="AJ162" s="166"/>
      <c r="AK162" s="166"/>
      <c r="AL162" s="166">
        <f>AL14/AL62</f>
        <v>0</v>
      </c>
      <c r="AM162" s="166"/>
      <c r="AN162" s="166"/>
      <c r="AO162" s="166"/>
      <c r="AP162" s="166"/>
      <c r="AQ162" s="166"/>
      <c r="AR162" s="166"/>
      <c r="AS162" s="166">
        <f>AS14/AS62</f>
        <v>0</v>
      </c>
      <c r="AT162" s="166"/>
      <c r="AU162" s="166"/>
      <c r="AV162" s="166"/>
      <c r="AW162" s="166"/>
      <c r="AX162" s="166"/>
      <c r="AY162" s="166"/>
      <c r="AZ162" s="166">
        <f>AZ14/AZ62</f>
        <v>0</v>
      </c>
      <c r="BA162" s="166"/>
      <c r="BB162" s="166"/>
      <c r="BC162" s="166"/>
      <c r="BD162" s="166"/>
      <c r="BE162" s="166"/>
      <c r="BF162" s="166"/>
      <c r="BG162" s="166">
        <f>BG14/BG62</f>
        <v>0</v>
      </c>
      <c r="BH162" s="166"/>
      <c r="BI162" s="166"/>
      <c r="BJ162" s="166"/>
      <c r="BK162" s="166"/>
      <c r="BL162" s="166"/>
      <c r="BM162" s="166"/>
      <c r="BN162" s="166">
        <f>BN14/BN62</f>
        <v>0</v>
      </c>
      <c r="BO162" s="166"/>
      <c r="BP162" s="166"/>
      <c r="BQ162" s="166"/>
      <c r="BR162" s="166"/>
      <c r="BS162" s="166"/>
      <c r="BT162" s="166"/>
      <c r="BU162" s="166">
        <f>BU14/BU62</f>
        <v>0</v>
      </c>
      <c r="BV162" s="166"/>
      <c r="BW162" s="166"/>
      <c r="BX162" s="166"/>
      <c r="BY162" s="166"/>
      <c r="BZ162" s="166"/>
      <c r="CA162" s="166"/>
      <c r="CB162" s="166">
        <f>CB14/CB62</f>
        <v>0</v>
      </c>
      <c r="CC162" s="166"/>
      <c r="CD162" s="166"/>
      <c r="CE162" s="166"/>
      <c r="CF162" s="166"/>
      <c r="CG162" s="166"/>
      <c r="CH162" s="166"/>
      <c r="CI162" s="166">
        <f>CI14/CI62</f>
        <v>0</v>
      </c>
      <c r="CJ162" s="137">
        <f t="shared" ref="CJ162:CO162" si="76">-CJ98</f>
        <v>0</v>
      </c>
      <c r="CK162" s="137">
        <f t="shared" si="76"/>
        <v>0</v>
      </c>
      <c r="CL162" s="137">
        <f t="shared" si="76"/>
        <v>0</v>
      </c>
      <c r="CM162" s="137">
        <f t="shared" si="76"/>
        <v>0</v>
      </c>
      <c r="CN162" s="137">
        <f t="shared" si="76"/>
        <v>0</v>
      </c>
      <c r="CO162" s="137">
        <f t="shared" si="76"/>
        <v>0</v>
      </c>
      <c r="CP162" s="137"/>
    </row>
    <row r="163" spans="2:94" x14ac:dyDescent="0.2">
      <c r="B163" s="105" t="s">
        <v>395</v>
      </c>
      <c r="D163" s="137"/>
      <c r="E163" s="137"/>
      <c r="F163" s="137"/>
      <c r="G163" s="137"/>
      <c r="H163" s="137"/>
      <c r="I163" s="137"/>
      <c r="J163" s="137">
        <f>-J98</f>
        <v>0</v>
      </c>
      <c r="K163" s="137"/>
      <c r="L163" s="137"/>
      <c r="M163" s="137"/>
      <c r="N163" s="137"/>
      <c r="O163" s="137"/>
      <c r="P163" s="137"/>
      <c r="Q163" s="137">
        <f>-Q98</f>
        <v>0</v>
      </c>
      <c r="R163" s="137"/>
      <c r="S163" s="137"/>
      <c r="T163" s="137"/>
      <c r="U163" s="137"/>
      <c r="V163" s="137"/>
      <c r="W163" s="137"/>
      <c r="X163" s="137">
        <f>-X98</f>
        <v>0</v>
      </c>
      <c r="Y163" s="137"/>
      <c r="Z163" s="137"/>
      <c r="AA163" s="137"/>
      <c r="AB163" s="137"/>
      <c r="AC163" s="137"/>
      <c r="AD163" s="137"/>
      <c r="AE163" s="137">
        <f>-AE98</f>
        <v>0</v>
      </c>
      <c r="AF163" s="137"/>
      <c r="AG163" s="137"/>
      <c r="AH163" s="137"/>
      <c r="AI163" s="137"/>
      <c r="AJ163" s="137"/>
      <c r="AK163" s="137"/>
      <c r="AL163" s="137">
        <f>-AL98</f>
        <v>0</v>
      </c>
      <c r="AM163" s="137"/>
      <c r="AN163" s="137"/>
      <c r="AO163" s="137"/>
      <c r="AP163" s="137"/>
      <c r="AQ163" s="137"/>
      <c r="AR163" s="137"/>
      <c r="AS163" s="137">
        <f>-AS98</f>
        <v>0</v>
      </c>
      <c r="AT163" s="137"/>
      <c r="AU163" s="137"/>
      <c r="AV163" s="137"/>
      <c r="AW163" s="137"/>
      <c r="AX163" s="137"/>
      <c r="AY163" s="137"/>
      <c r="AZ163" s="137">
        <f>-AZ98</f>
        <v>0</v>
      </c>
      <c r="BA163" s="137"/>
      <c r="BB163" s="137"/>
      <c r="BC163" s="137"/>
      <c r="BD163" s="137"/>
      <c r="BE163" s="137"/>
      <c r="BF163" s="137"/>
      <c r="BG163" s="137">
        <f>-BG98</f>
        <v>0</v>
      </c>
      <c r="BH163" s="137"/>
      <c r="BI163" s="137"/>
      <c r="BJ163" s="137"/>
      <c r="BK163" s="137"/>
      <c r="BL163" s="137"/>
      <c r="BM163" s="137"/>
      <c r="BN163" s="137">
        <f>-BN98</f>
        <v>0</v>
      </c>
      <c r="BO163" s="137"/>
      <c r="BP163" s="137"/>
      <c r="BQ163" s="137"/>
      <c r="BR163" s="137"/>
      <c r="BS163" s="137"/>
      <c r="BT163" s="137"/>
      <c r="BU163" s="137">
        <f>-BU98</f>
        <v>0</v>
      </c>
      <c r="BV163" s="137"/>
      <c r="BW163" s="137"/>
      <c r="BX163" s="137"/>
      <c r="BY163" s="137"/>
      <c r="BZ163" s="137"/>
      <c r="CA163" s="137"/>
      <c r="CB163" s="137">
        <f>-CB98</f>
        <v>0</v>
      </c>
      <c r="CC163" s="137"/>
      <c r="CD163" s="137"/>
      <c r="CE163" s="137"/>
      <c r="CF163" s="137"/>
      <c r="CG163" s="137"/>
      <c r="CH163" s="137"/>
      <c r="CI163" s="137">
        <f>-CI98</f>
        <v>0</v>
      </c>
      <c r="CK163" s="171" t="e">
        <f>CK162/CK47</f>
        <v>#DIV/0!</v>
      </c>
      <c r="CL163" s="171" t="e">
        <f>CL162/CL47</f>
        <v>#DIV/0!</v>
      </c>
      <c r="CN163" s="171" t="e">
        <f>CN162/CN47</f>
        <v>#DIV/0!</v>
      </c>
      <c r="CO163" s="171" t="e">
        <f>CO162/CO47</f>
        <v>#DIV/0!</v>
      </c>
    </row>
    <row r="164" spans="2:94" x14ac:dyDescent="0.2">
      <c r="B164" s="105" t="s">
        <v>396</v>
      </c>
      <c r="E164" s="171"/>
      <c r="F164" s="171"/>
      <c r="H164" s="171"/>
      <c r="I164" s="171"/>
      <c r="J164" s="171">
        <f>J163/J47</f>
        <v>0</v>
      </c>
      <c r="K164" s="171"/>
      <c r="L164" s="171"/>
      <c r="N164" s="171"/>
      <c r="O164" s="171"/>
      <c r="Q164" s="171">
        <f>Q163/Q47</f>
        <v>0</v>
      </c>
      <c r="R164" s="171"/>
      <c r="T164" s="171"/>
      <c r="U164" s="171"/>
      <c r="W164" s="171"/>
      <c r="X164" s="171">
        <f>X163/X47</f>
        <v>0</v>
      </c>
      <c r="Z164" s="171"/>
      <c r="AA164" s="171"/>
      <c r="AC164" s="171"/>
      <c r="AD164" s="171"/>
      <c r="AE164" s="171">
        <f>AE163/AE47</f>
        <v>0</v>
      </c>
      <c r="AF164" s="171"/>
      <c r="AG164" s="171"/>
      <c r="AI164" s="171"/>
      <c r="AJ164" s="171"/>
      <c r="AL164" s="171">
        <f>AL163/AL47</f>
        <v>0</v>
      </c>
      <c r="AM164" s="171"/>
      <c r="AO164" s="171"/>
      <c r="AP164" s="171"/>
      <c r="AR164" s="171"/>
      <c r="AS164" s="171">
        <f>AS163/AS47</f>
        <v>0</v>
      </c>
      <c r="AU164" s="171"/>
      <c r="AV164" s="171"/>
      <c r="AX164" s="171"/>
      <c r="AY164" s="171"/>
      <c r="AZ164" s="171">
        <f>AZ163/AZ47</f>
        <v>0</v>
      </c>
      <c r="BA164" s="171"/>
      <c r="BB164" s="171"/>
      <c r="BD164" s="171"/>
      <c r="BE164" s="171"/>
      <c r="BG164" s="171">
        <f>BG163/BG47</f>
        <v>0</v>
      </c>
      <c r="BH164" s="171"/>
      <c r="BJ164" s="171"/>
      <c r="BK164" s="171"/>
      <c r="BM164" s="171"/>
      <c r="BN164" s="171">
        <f>BN163/BN47</f>
        <v>0</v>
      </c>
      <c r="BP164" s="171"/>
      <c r="BQ164" s="171"/>
      <c r="BS164" s="171"/>
      <c r="BT164" s="171"/>
      <c r="BU164" s="171">
        <f>BU163/BU47</f>
        <v>0</v>
      </c>
      <c r="BV164" s="171"/>
      <c r="BW164" s="171"/>
      <c r="BY164" s="171"/>
      <c r="BZ164" s="171"/>
      <c r="CB164" s="171">
        <f>CB163/CB47</f>
        <v>0</v>
      </c>
      <c r="CC164" s="171"/>
      <c r="CE164" s="171"/>
      <c r="CF164" s="171"/>
      <c r="CH164" s="171"/>
      <c r="CI164" s="171">
        <f>CI163/CI47</f>
        <v>0</v>
      </c>
    </row>
  </sheetData>
  <mergeCells count="2">
    <mergeCell ref="CR1:DC1"/>
    <mergeCell ref="DE1:DP1"/>
  </mergeCells>
  <conditionalFormatting sqref="A1:DB1 DC1:XFD2 CU2:DB2 A2:CT12 CU3:XFD12 A13:XFD16 A17:A18 D17:XFD18 A19:XFD25 CU26:XFD50 A48:AR50 AT48:CT50 A26:CT47">
    <cfRule type="cellIs" dxfId="20" priority="9" operator="lessThan">
      <formula>0</formula>
    </cfRule>
  </conditionalFormatting>
  <conditionalFormatting sqref="A51:XFD1048576">
    <cfRule type="cellIs" dxfId="19" priority="1" operator="less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CE8F-B6B5-E04F-BB32-0329C81C2EAE}">
  <dimension ref="B1:DP164"/>
  <sheetViews>
    <sheetView zoomScale="80" zoomScaleNormal="80" workbookViewId="0">
      <pane xSplit="3" ySplit="4" topLeftCell="J5" activePane="bottomRight" state="frozen"/>
      <selection activeCell="AE32" sqref="AE32"/>
      <selection pane="topRight" activeCell="AE32" sqref="AE32"/>
      <selection pane="bottomLeft" activeCell="AE32" sqref="AE32"/>
      <selection pane="bottomRight" activeCell="A121" sqref="A121:XFD121"/>
    </sheetView>
  </sheetViews>
  <sheetFormatPr baseColWidth="10" defaultColWidth="10.83203125" defaultRowHeight="15" outlineLevelCol="1" x14ac:dyDescent="0.2"/>
  <cols>
    <col min="1" max="1" width="10.83203125" style="105"/>
    <col min="2" max="2" width="32" style="105" customWidth="1"/>
    <col min="3" max="3" width="29.83203125" style="204" bestFit="1" customWidth="1"/>
    <col min="4" max="4" width="12.5" style="105" hidden="1" customWidth="1" outlineLevel="1"/>
    <col min="5" max="5" width="13.1640625" style="105" hidden="1" customWidth="1" outlineLevel="1"/>
    <col min="6" max="7" width="12.5" style="105" hidden="1" customWidth="1" outlineLevel="1"/>
    <col min="8" max="8" width="15" style="105" hidden="1" customWidth="1" outlineLevel="1"/>
    <col min="9" max="9" width="12.5" style="105" hidden="1" customWidth="1" outlineLevel="1"/>
    <col min="10" max="10" width="16.6640625" style="105" bestFit="1" customWidth="1" collapsed="1"/>
    <col min="11" max="11" width="14.1640625" style="105" hidden="1" customWidth="1" outlineLevel="1"/>
    <col min="12" max="12" width="13.1640625" style="105" hidden="1" customWidth="1" outlineLevel="1"/>
    <col min="13" max="14" width="12.5" style="105" hidden="1" customWidth="1" outlineLevel="1"/>
    <col min="15" max="15" width="13.1640625" style="105" hidden="1" customWidth="1" outlineLevel="1"/>
    <col min="16" max="16" width="12.5" style="105" hidden="1" customWidth="1" outlineLevel="1"/>
    <col min="17" max="17" width="16.6640625" style="105" bestFit="1" customWidth="1" collapsed="1"/>
    <col min="18" max="18" width="14.1640625" style="105" hidden="1" customWidth="1" outlineLevel="1"/>
    <col min="19" max="19" width="13.1640625" style="105" hidden="1" customWidth="1" outlineLevel="1"/>
    <col min="20" max="21" width="12.5" style="105" hidden="1" customWidth="1" outlineLevel="1"/>
    <col min="22" max="22" width="13.1640625" style="105" hidden="1" customWidth="1" outlineLevel="1"/>
    <col min="23" max="23" width="12.5" style="105" hidden="1" customWidth="1" outlineLevel="1"/>
    <col min="24" max="24" width="16.6640625" style="105" bestFit="1" customWidth="1" collapsed="1"/>
    <col min="25" max="25" width="14.1640625" style="105" hidden="1" customWidth="1" outlineLevel="1"/>
    <col min="26" max="26" width="13.1640625" style="105" hidden="1" customWidth="1" outlineLevel="1"/>
    <col min="27" max="28" width="12.5" style="105" hidden="1" customWidth="1" outlineLevel="1"/>
    <col min="29" max="29" width="13.1640625" style="105" hidden="1" customWidth="1" outlineLevel="1"/>
    <col min="30" max="30" width="12.5" style="105" hidden="1" customWidth="1" outlineLevel="1"/>
    <col min="31" max="31" width="16.6640625" style="105" bestFit="1" customWidth="1" collapsed="1"/>
    <col min="32" max="32" width="14.1640625" style="105" hidden="1" customWidth="1" outlineLevel="1"/>
    <col min="33" max="33" width="13.1640625" style="105" hidden="1" customWidth="1" outlineLevel="1"/>
    <col min="34" max="35" width="12.5" style="105" hidden="1" customWidth="1" outlineLevel="1"/>
    <col min="36" max="36" width="13.1640625" style="105" hidden="1" customWidth="1" outlineLevel="1"/>
    <col min="37" max="37" width="12.5" style="105" hidden="1" customWidth="1" outlineLevel="1"/>
    <col min="38" max="38" width="16.6640625" style="105" bestFit="1" customWidth="1" collapsed="1"/>
    <col min="39" max="41" width="12.5" style="105" hidden="1" customWidth="1" outlineLevel="1"/>
    <col min="42" max="42" width="11.5" style="105" hidden="1" customWidth="1" outlineLevel="1"/>
    <col min="43" max="44" width="12.5" style="105" hidden="1" customWidth="1" outlineLevel="1"/>
    <col min="45" max="45" width="16.6640625" style="105" bestFit="1" customWidth="1" collapsed="1"/>
    <col min="46" max="48" width="12.5" style="105" hidden="1" customWidth="1" outlineLevel="1"/>
    <col min="49" max="49" width="11.5" style="105" hidden="1" customWidth="1" outlineLevel="1"/>
    <col min="50" max="51" width="12.5" style="105" hidden="1" customWidth="1" outlineLevel="1"/>
    <col min="52" max="52" width="16.6640625" style="105" bestFit="1" customWidth="1" collapsed="1"/>
    <col min="53" max="55" width="12.5" style="105" hidden="1" customWidth="1" outlineLevel="1"/>
    <col min="56" max="56" width="11.5" style="105" hidden="1" customWidth="1" outlineLevel="1"/>
    <col min="57" max="58" width="12.5" style="105" hidden="1" customWidth="1" outlineLevel="1"/>
    <col min="59" max="59" width="16.6640625" style="105" bestFit="1" customWidth="1" collapsed="1"/>
    <col min="60" max="62" width="12.5" style="105" hidden="1" customWidth="1" outlineLevel="1"/>
    <col min="63" max="63" width="11.5" style="105" hidden="1" customWidth="1" outlineLevel="1"/>
    <col min="64" max="65" width="12.5" style="105" hidden="1" customWidth="1" outlineLevel="1"/>
    <col min="66" max="66" width="16.6640625" style="105" bestFit="1" customWidth="1" collapsed="1"/>
    <col min="67" max="69" width="12.5" style="105" hidden="1" customWidth="1" outlineLevel="1"/>
    <col min="70" max="70" width="11.5" style="105" hidden="1" customWidth="1" outlineLevel="1"/>
    <col min="71" max="72" width="12.5" style="105" hidden="1" customWidth="1" outlineLevel="1"/>
    <col min="73" max="73" width="16.6640625" style="105" bestFit="1" customWidth="1" collapsed="1"/>
    <col min="74" max="76" width="12.5" style="105" hidden="1" customWidth="1" outlineLevel="1"/>
    <col min="77" max="77" width="11.5" style="105" hidden="1" customWidth="1" outlineLevel="1"/>
    <col min="78" max="79" width="12.5" style="105" hidden="1" customWidth="1" outlineLevel="1"/>
    <col min="80" max="80" width="16.6640625" style="105" bestFit="1" customWidth="1" collapsed="1"/>
    <col min="81" max="83" width="12.5" style="105" hidden="1" customWidth="1" outlineLevel="1"/>
    <col min="84" max="84" width="11.5" style="105" hidden="1" customWidth="1" outlineLevel="1"/>
    <col min="85" max="86" width="12.1640625" style="105" hidden="1" customWidth="1" outlineLevel="1"/>
    <col min="87" max="87" width="16.6640625" style="105" bestFit="1" customWidth="1" collapsed="1"/>
    <col min="88" max="90" width="12.5" style="105" hidden="1" customWidth="1" outlineLevel="1"/>
    <col min="91" max="91" width="11.5" style="105" hidden="1" customWidth="1" outlineLevel="1"/>
    <col min="92" max="93" width="12.5" style="105" hidden="1" customWidth="1" outlineLevel="1"/>
    <col min="94" max="94" width="16.33203125" style="105" bestFit="1" customWidth="1" collapsed="1"/>
    <col min="95" max="95" width="12.5" style="105" bestFit="1" customWidth="1"/>
    <col min="96" max="107" width="9.83203125" style="105" bestFit="1" customWidth="1"/>
    <col min="108" max="16384" width="10.83203125" style="105"/>
  </cols>
  <sheetData>
    <row r="1" spans="2:120" s="181" customFormat="1" ht="16" x14ac:dyDescent="0.2">
      <c r="B1" s="179">
        <v>2025</v>
      </c>
      <c r="C1" s="201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R1" s="288" t="s">
        <v>504</v>
      </c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E1" s="288" t="s">
        <v>491</v>
      </c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</row>
    <row r="2" spans="2:120" s="190" customFormat="1" ht="31" customHeight="1" x14ac:dyDescent="0.2">
      <c r="B2" s="182"/>
      <c r="C2" s="202"/>
      <c r="D2" s="189">
        <v>1</v>
      </c>
      <c r="E2" s="182">
        <v>1</v>
      </c>
      <c r="F2" s="182">
        <v>1</v>
      </c>
      <c r="G2" s="182">
        <v>1</v>
      </c>
      <c r="H2" s="182">
        <v>1</v>
      </c>
      <c r="I2" s="182">
        <v>1</v>
      </c>
      <c r="J2" s="182">
        <v>1</v>
      </c>
      <c r="K2" s="189">
        <v>2</v>
      </c>
      <c r="L2" s="182">
        <v>2</v>
      </c>
      <c r="M2" s="182">
        <v>2</v>
      </c>
      <c r="N2" s="182">
        <v>2</v>
      </c>
      <c r="O2" s="189">
        <v>2</v>
      </c>
      <c r="P2" s="182">
        <v>2</v>
      </c>
      <c r="Q2" s="182">
        <v>2</v>
      </c>
      <c r="R2" s="189">
        <v>3</v>
      </c>
      <c r="S2" s="182">
        <v>3</v>
      </c>
      <c r="T2" s="182">
        <v>3</v>
      </c>
      <c r="U2" s="182">
        <v>3</v>
      </c>
      <c r="V2" s="182">
        <v>3</v>
      </c>
      <c r="W2" s="182">
        <v>3</v>
      </c>
      <c r="X2" s="182">
        <v>3</v>
      </c>
      <c r="Y2" s="189">
        <v>4</v>
      </c>
      <c r="Z2" s="182">
        <v>4</v>
      </c>
      <c r="AA2" s="182">
        <v>4</v>
      </c>
      <c r="AB2" s="182">
        <v>4</v>
      </c>
      <c r="AC2" s="182">
        <v>4</v>
      </c>
      <c r="AD2" s="182">
        <v>4</v>
      </c>
      <c r="AE2" s="182">
        <v>4</v>
      </c>
      <c r="AF2" s="189">
        <v>5</v>
      </c>
      <c r="AG2" s="182">
        <v>5</v>
      </c>
      <c r="AH2" s="182">
        <v>5</v>
      </c>
      <c r="AI2" s="182">
        <v>5</v>
      </c>
      <c r="AJ2" s="182">
        <v>5</v>
      </c>
      <c r="AK2" s="182">
        <v>5</v>
      </c>
      <c r="AL2" s="182">
        <v>5</v>
      </c>
      <c r="AM2" s="189">
        <v>6</v>
      </c>
      <c r="AN2" s="182">
        <v>6</v>
      </c>
      <c r="AO2" s="182">
        <v>6</v>
      </c>
      <c r="AP2" s="182">
        <v>6</v>
      </c>
      <c r="AQ2" s="182">
        <v>6</v>
      </c>
      <c r="AR2" s="182">
        <v>6</v>
      </c>
      <c r="AS2" s="182">
        <v>6</v>
      </c>
      <c r="AT2" s="189">
        <v>7</v>
      </c>
      <c r="AU2" s="182">
        <v>7</v>
      </c>
      <c r="AV2" s="182">
        <v>7</v>
      </c>
      <c r="AW2" s="182">
        <v>7</v>
      </c>
      <c r="AX2" s="182">
        <v>7</v>
      </c>
      <c r="AY2" s="182">
        <v>7</v>
      </c>
      <c r="AZ2" s="182">
        <v>7</v>
      </c>
      <c r="BA2" s="189">
        <v>8</v>
      </c>
      <c r="BB2" s="182">
        <v>8</v>
      </c>
      <c r="BC2" s="182">
        <v>8</v>
      </c>
      <c r="BD2" s="182">
        <v>8</v>
      </c>
      <c r="BE2" s="182">
        <v>8</v>
      </c>
      <c r="BF2" s="182">
        <v>8</v>
      </c>
      <c r="BG2" s="182">
        <v>8</v>
      </c>
      <c r="BH2" s="189">
        <v>9</v>
      </c>
      <c r="BI2" s="182">
        <v>9</v>
      </c>
      <c r="BJ2" s="182">
        <v>9</v>
      </c>
      <c r="BK2" s="182">
        <v>9</v>
      </c>
      <c r="BL2" s="182">
        <v>9</v>
      </c>
      <c r="BM2" s="182">
        <v>9</v>
      </c>
      <c r="BN2" s="182">
        <v>9</v>
      </c>
      <c r="BO2" s="189">
        <v>10</v>
      </c>
      <c r="BP2" s="189">
        <v>10</v>
      </c>
      <c r="BQ2" s="189">
        <v>10</v>
      </c>
      <c r="BR2" s="189">
        <v>10</v>
      </c>
      <c r="BS2" s="189">
        <v>10</v>
      </c>
      <c r="BT2" s="189">
        <v>10</v>
      </c>
      <c r="BU2" s="182">
        <v>10</v>
      </c>
      <c r="BV2" s="189">
        <v>11</v>
      </c>
      <c r="BW2" s="189">
        <v>11</v>
      </c>
      <c r="BX2" s="189">
        <v>11</v>
      </c>
      <c r="BY2" s="189">
        <v>11</v>
      </c>
      <c r="BZ2" s="189">
        <v>11</v>
      </c>
      <c r="CA2" s="189">
        <v>11</v>
      </c>
      <c r="CB2" s="182">
        <v>11</v>
      </c>
      <c r="CC2" s="189">
        <v>12</v>
      </c>
      <c r="CD2" s="189">
        <v>12</v>
      </c>
      <c r="CE2" s="189">
        <v>12</v>
      </c>
      <c r="CF2" s="189">
        <v>12</v>
      </c>
      <c r="CG2" s="189">
        <v>12</v>
      </c>
      <c r="CH2" s="189">
        <v>12</v>
      </c>
      <c r="CI2" s="189">
        <v>12</v>
      </c>
      <c r="CJ2" s="195"/>
      <c r="CK2" s="195"/>
      <c r="CL2" s="195"/>
      <c r="CM2" s="195"/>
      <c r="CN2" s="195"/>
      <c r="CO2" s="195"/>
      <c r="CP2" s="196">
        <v>2025</v>
      </c>
      <c r="CR2" s="182" t="s">
        <v>492</v>
      </c>
      <c r="CS2" s="182" t="s">
        <v>493</v>
      </c>
      <c r="CT2" s="182" t="s">
        <v>494</v>
      </c>
      <c r="CU2" s="182" t="s">
        <v>495</v>
      </c>
      <c r="CV2" s="182" t="s">
        <v>496</v>
      </c>
      <c r="CW2" s="182" t="s">
        <v>497</v>
      </c>
      <c r="CX2" s="182" t="s">
        <v>498</v>
      </c>
      <c r="CY2" s="182" t="s">
        <v>499</v>
      </c>
      <c r="CZ2" s="182" t="s">
        <v>500</v>
      </c>
      <c r="DA2" s="182" t="s">
        <v>501</v>
      </c>
      <c r="DB2" s="182" t="s">
        <v>502</v>
      </c>
      <c r="DC2" s="182" t="s">
        <v>503</v>
      </c>
      <c r="DE2" s="182" t="s">
        <v>481</v>
      </c>
      <c r="DF2" s="182" t="s">
        <v>482</v>
      </c>
      <c r="DG2" s="182" t="s">
        <v>483</v>
      </c>
      <c r="DH2" s="182" t="s">
        <v>484</v>
      </c>
      <c r="DI2" s="182" t="s">
        <v>485</v>
      </c>
      <c r="DJ2" s="182" t="s">
        <v>486</v>
      </c>
      <c r="DK2" s="182" t="s">
        <v>487</v>
      </c>
      <c r="DL2" s="182" t="s">
        <v>488</v>
      </c>
      <c r="DM2" s="182" t="s">
        <v>489</v>
      </c>
      <c r="DN2" s="182" t="s">
        <v>490</v>
      </c>
      <c r="DO2" s="182" t="s">
        <v>480</v>
      </c>
      <c r="DP2" s="182" t="s">
        <v>479</v>
      </c>
    </row>
    <row r="3" spans="2:120" s="181" customFormat="1" ht="32" x14ac:dyDescent="0.2">
      <c r="B3" s="104"/>
      <c r="C3" s="203"/>
      <c r="D3" s="104" t="s">
        <v>455</v>
      </c>
      <c r="E3" s="104" t="s">
        <v>456</v>
      </c>
      <c r="F3" s="104" t="s">
        <v>457</v>
      </c>
      <c r="G3" s="104" t="s">
        <v>458</v>
      </c>
      <c r="H3" s="104" t="s">
        <v>459</v>
      </c>
      <c r="I3" s="104" t="s">
        <v>460</v>
      </c>
      <c r="J3" s="104" t="s">
        <v>461</v>
      </c>
      <c r="K3" s="104" t="s">
        <v>455</v>
      </c>
      <c r="L3" s="104" t="s">
        <v>456</v>
      </c>
      <c r="M3" s="104" t="s">
        <v>457</v>
      </c>
      <c r="N3" s="104" t="s">
        <v>458</v>
      </c>
      <c r="O3" s="104" t="s">
        <v>459</v>
      </c>
      <c r="P3" s="104" t="s">
        <v>460</v>
      </c>
      <c r="Q3" s="104" t="s">
        <v>462</v>
      </c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463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464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465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466</v>
      </c>
      <c r="AT3" s="104" t="s">
        <v>455</v>
      </c>
      <c r="AU3" s="104" t="s">
        <v>456</v>
      </c>
      <c r="AV3" s="104" t="s">
        <v>457</v>
      </c>
      <c r="AW3" s="104" t="s">
        <v>458</v>
      </c>
      <c r="AX3" s="104" t="s">
        <v>459</v>
      </c>
      <c r="AY3" s="104" t="s">
        <v>460</v>
      </c>
      <c r="AZ3" s="104" t="s">
        <v>467</v>
      </c>
      <c r="BA3" s="104" t="s">
        <v>455</v>
      </c>
      <c r="BB3" s="104" t="s">
        <v>456</v>
      </c>
      <c r="BC3" s="104" t="s">
        <v>457</v>
      </c>
      <c r="BD3" s="104" t="s">
        <v>458</v>
      </c>
      <c r="BE3" s="104" t="s">
        <v>459</v>
      </c>
      <c r="BF3" s="104" t="s">
        <v>460</v>
      </c>
      <c r="BG3" s="104" t="s">
        <v>468</v>
      </c>
      <c r="BH3" s="104" t="s">
        <v>455</v>
      </c>
      <c r="BI3" s="104" t="s">
        <v>456</v>
      </c>
      <c r="BJ3" s="104" t="s">
        <v>457</v>
      </c>
      <c r="BK3" s="104" t="s">
        <v>458</v>
      </c>
      <c r="BL3" s="104" t="s">
        <v>459</v>
      </c>
      <c r="BM3" s="104" t="s">
        <v>460</v>
      </c>
      <c r="BN3" s="104" t="s">
        <v>469</v>
      </c>
      <c r="BO3" s="104" t="s">
        <v>455</v>
      </c>
      <c r="BP3" s="104" t="s">
        <v>456</v>
      </c>
      <c r="BQ3" s="104" t="s">
        <v>457</v>
      </c>
      <c r="BR3" s="104" t="s">
        <v>458</v>
      </c>
      <c r="BS3" s="104" t="s">
        <v>459</v>
      </c>
      <c r="BT3" s="104" t="s">
        <v>460</v>
      </c>
      <c r="BU3" s="104" t="s">
        <v>470</v>
      </c>
      <c r="BV3" s="104" t="s">
        <v>455</v>
      </c>
      <c r="BW3" s="104" t="s">
        <v>456</v>
      </c>
      <c r="BX3" s="104" t="s">
        <v>457</v>
      </c>
      <c r="BY3" s="104" t="s">
        <v>458</v>
      </c>
      <c r="BZ3" s="104" t="s">
        <v>459</v>
      </c>
      <c r="CA3" s="104" t="s">
        <v>460</v>
      </c>
      <c r="CB3" s="104" t="s">
        <v>471</v>
      </c>
      <c r="CC3" s="104" t="s">
        <v>455</v>
      </c>
      <c r="CD3" s="104" t="s">
        <v>456</v>
      </c>
      <c r="CE3" s="104" t="s">
        <v>457</v>
      </c>
      <c r="CF3" s="104" t="s">
        <v>458</v>
      </c>
      <c r="CG3" s="104" t="s">
        <v>459</v>
      </c>
      <c r="CH3" s="104" t="s">
        <v>460</v>
      </c>
      <c r="CI3" s="104" t="s">
        <v>472</v>
      </c>
      <c r="CJ3" s="104" t="s">
        <v>455</v>
      </c>
      <c r="CK3" s="104" t="s">
        <v>456</v>
      </c>
      <c r="CL3" s="104" t="s">
        <v>457</v>
      </c>
      <c r="CM3" s="104" t="s">
        <v>458</v>
      </c>
      <c r="CN3" s="104" t="s">
        <v>459</v>
      </c>
      <c r="CO3" s="104" t="s">
        <v>460</v>
      </c>
      <c r="CP3" s="104" t="s">
        <v>473</v>
      </c>
    </row>
    <row r="4" spans="2:120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  <c r="AT4" s="106"/>
      <c r="AU4" s="106"/>
      <c r="BA4" s="106"/>
      <c r="BB4" s="106"/>
      <c r="BH4" s="106"/>
      <c r="BI4" s="106"/>
      <c r="BO4" s="106"/>
      <c r="BP4" s="106"/>
      <c r="BV4" s="106"/>
      <c r="BW4" s="106"/>
      <c r="CC4" s="106"/>
      <c r="CD4" s="106"/>
      <c r="CJ4" s="106"/>
      <c r="CK4" s="106"/>
    </row>
    <row r="5" spans="2:120" ht="16" x14ac:dyDescent="0.2">
      <c r="B5" s="183" t="s">
        <v>397</v>
      </c>
      <c r="C5" s="205"/>
      <c r="D5" s="108"/>
      <c r="E5" s="108"/>
      <c r="G5" s="107"/>
      <c r="H5" s="107"/>
      <c r="I5" s="107"/>
      <c r="J5" s="107"/>
      <c r="K5" s="107"/>
      <c r="L5" s="107"/>
      <c r="M5" s="107"/>
      <c r="N5" s="107"/>
      <c r="O5" s="107"/>
      <c r="R5" s="107"/>
      <c r="S5" s="107"/>
      <c r="T5" s="107"/>
      <c r="U5" s="107"/>
      <c r="V5" s="107"/>
      <c r="Y5" s="107"/>
      <c r="Z5" s="107"/>
      <c r="AA5" s="107"/>
      <c r="AB5" s="107"/>
      <c r="AC5" s="107"/>
      <c r="AF5" s="107"/>
      <c r="AG5" s="107"/>
      <c r="AH5" s="107"/>
      <c r="AI5" s="107"/>
      <c r="AJ5" s="107"/>
      <c r="AM5" s="107"/>
      <c r="AN5" s="107"/>
      <c r="AO5" s="107"/>
      <c r="AP5" s="107"/>
      <c r="AQ5" s="107"/>
      <c r="AT5" s="107"/>
      <c r="AU5" s="107"/>
      <c r="AV5" s="107"/>
      <c r="AW5" s="107"/>
      <c r="AX5" s="107"/>
      <c r="BA5" s="107"/>
      <c r="BB5" s="107"/>
      <c r="BC5" s="107"/>
      <c r="BD5" s="107"/>
      <c r="BE5" s="107"/>
      <c r="BH5" s="107"/>
      <c r="BI5" s="107"/>
      <c r="BJ5" s="107"/>
      <c r="BK5" s="107"/>
      <c r="BL5" s="107"/>
      <c r="BO5" s="107"/>
      <c r="BP5" s="107"/>
      <c r="BQ5" s="107"/>
      <c r="BR5" s="107"/>
      <c r="BS5" s="107"/>
      <c r="BV5" s="107"/>
      <c r="BW5" s="107"/>
      <c r="BX5" s="107"/>
      <c r="BY5" s="107"/>
      <c r="BZ5" s="107"/>
      <c r="CC5" s="107"/>
      <c r="CD5" s="107"/>
      <c r="CE5" s="107"/>
      <c r="CF5" s="107"/>
      <c r="CG5" s="107"/>
      <c r="CJ5" s="107"/>
      <c r="CK5" s="107"/>
      <c r="CL5" s="107"/>
      <c r="CM5" s="107"/>
      <c r="CN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</row>
    <row r="6" spans="2:120" ht="16" x14ac:dyDescent="0.2">
      <c r="B6" s="109" t="s">
        <v>398</v>
      </c>
      <c r="C6" s="193" t="s">
        <v>130</v>
      </c>
      <c r="D6" s="110">
        <f>SUMIFS(wallet_records!$D:$D,wallet_records!$B:$B,'EEFF 2025'!$C6,wallet_records!$L:$L,'EEFF 2025'!D$3,wallet_records!$O:$O,'EEFF 2025'!$B$1,wallet_records!$N:$N,'EEFF 2025'!D$2)</f>
        <v>1870000</v>
      </c>
      <c r="E6" s="110">
        <f>SUMIFS(wallet_records!$D:$D,wallet_records!$B:$B,'EEFF 2025'!$C6,wallet_records!$L:$L,'EEFF 2025'!E$3,wallet_records!$O:$O,'EEFF 2025'!$B$1,wallet_records!$N:$N,'EEFF 2025'!E$2)</f>
        <v>3000000</v>
      </c>
      <c r="F6" s="110">
        <f>SUMIFS(wallet_records!$D:$D,wallet_records!$B:$B,'EEFF 2025'!$C6,wallet_records!$L:$L,'EEFF 2025'!F$3,wallet_records!$O:$O,'EEFF 2025'!$B$1,wallet_records!$N:$N,'EEFF 2025'!F$2)</f>
        <v>1450000</v>
      </c>
      <c r="G6" s="110">
        <f>SUMIFS(wallet_records!$D:$D,wallet_records!$B:$B,'EEFF 2025'!$C6,wallet_records!$L:$L,'EEFF 2025'!G$3,wallet_records!$O:$O,'EEFF 2025'!$B$1,wallet_records!$N:$N,'EEFF 2025'!G$2)</f>
        <v>450000</v>
      </c>
      <c r="H6" s="110">
        <f>SUMIFS(wallet_records!$D:$D,wallet_records!$B:$B,'EEFF 2025'!$C6,wallet_records!$L:$L,'EEFF 2025'!H$3,wallet_records!$O:$O,'EEFF 2025'!$B$1,wallet_records!$N:$N,'EEFF 2025'!H$2)</f>
        <v>1630000</v>
      </c>
      <c r="I6" s="110">
        <f>SUMIFS(wallet_records!$D:$D,wallet_records!$B:$B,'EEFF 2025'!$C6,wallet_records!$L:$L,'EEFF 2025'!I$3,wallet_records!$O:$O,'EEFF 2025'!$B$1,wallet_records!$N:$N,'EEFF 2025'!I$2)</f>
        <v>881000</v>
      </c>
      <c r="J6" s="263">
        <f>SUM(D6:I6)</f>
        <v>9281000</v>
      </c>
      <c r="K6" s="110">
        <f>SUMIFS(wallet_records!$D:$D,wallet_records!$B:$B,'EEFF 2025'!$C6,wallet_records!$L:$L,'EEFF 2025'!K$3,wallet_records!$O:$O,'EEFF 2025'!$B$1,wallet_records!$N:$N,'EEFF 2025'!K$2)</f>
        <v>1650000</v>
      </c>
      <c r="L6" s="110">
        <f>SUMIFS(wallet_records!$D:$D,wallet_records!$B:$B,'EEFF 2025'!$C6,wallet_records!$L:$L,'EEFF 2025'!L$3,wallet_records!$O:$O,'EEFF 2025'!$B$1,wallet_records!$N:$N,'EEFF 2025'!L$2)</f>
        <v>3000000</v>
      </c>
      <c r="M6" s="110">
        <f>SUMIFS(wallet_records!$D:$D,wallet_records!$B:$B,'EEFF 2025'!$C6,wallet_records!$L:$L,'EEFF 2025'!M$3,wallet_records!$O:$O,'EEFF 2025'!$B$1,wallet_records!$N:$N,'EEFF 2025'!M$2)</f>
        <v>1450000</v>
      </c>
      <c r="N6" s="110">
        <f>SUMIFS(wallet_records!$D:$D,wallet_records!$B:$B,'EEFF 2025'!$C6,wallet_records!$L:$L,'EEFF 2025'!N$3,wallet_records!$O:$O,'EEFF 2025'!$B$1,wallet_records!$N:$N,'EEFF 2025'!N$2)</f>
        <v>0</v>
      </c>
      <c r="O6" s="110">
        <f>SUMIFS(wallet_records!$D:$D,wallet_records!$B:$B,'EEFF 2025'!$C6,wallet_records!$L:$L,'EEFF 2025'!O$3,wallet_records!$O:$O,'EEFF 2025'!$B$1,wallet_records!$N:$N,'EEFF 2025'!O$2)</f>
        <v>1650000</v>
      </c>
      <c r="P6" s="110">
        <f>SUMIFS(wallet_records!$D:$D,wallet_records!$B:$B,'EEFF 2025'!$C6,wallet_records!$L:$L,'EEFF 2025'!P$3,wallet_records!$O:$O,'EEFF 2025'!$B$1,wallet_records!$N:$N,'EEFF 2025'!P$2)</f>
        <v>881000</v>
      </c>
      <c r="Q6" s="110">
        <f>SUM(K6:P6)</f>
        <v>8631000</v>
      </c>
      <c r="R6" s="110">
        <f>SUMIFS(wallet_records!$D:$D,wallet_records!$B:$B,'EEFF 2025'!$C6,wallet_records!$L:$L,'EEFF 2025'!R$3,wallet_records!$O:$O,'EEFF 2025'!$B$1,wallet_records!$N:$N,'EEFF 2025'!R$2)</f>
        <v>1650000</v>
      </c>
      <c r="S6" s="110">
        <f>SUMIFS(wallet_records!$D:$D,wallet_records!$B:$B,'EEFF 2025'!$C6,wallet_records!$L:$L,'EEFF 2025'!S$3,wallet_records!$O:$O,'EEFF 2025'!$B$1,wallet_records!$N:$N,'EEFF 2025'!S$2)</f>
        <v>3000000</v>
      </c>
      <c r="T6" s="110">
        <f>SUMIFS(wallet_records!$D:$D,wallet_records!$B:$B,'EEFF 2025'!$C6,wallet_records!$L:$L,'EEFF 2025'!T$3,wallet_records!$O:$O,'EEFF 2025'!$B$1,wallet_records!$N:$N,'EEFF 2025'!T$2)</f>
        <v>2900000</v>
      </c>
      <c r="U6" s="110">
        <f>SUMIFS(wallet_records!$D:$D,wallet_records!$B:$B,'EEFF 2025'!$C6,wallet_records!$L:$L,'EEFF 2025'!U$3,wallet_records!$O:$O,'EEFF 2025'!$B$1,wallet_records!$N:$N,'EEFF 2025'!U$2)</f>
        <v>900000</v>
      </c>
      <c r="V6" s="110">
        <f>SUMIFS(wallet_records!$D:$D,wallet_records!$B:$B,'EEFF 2025'!$C6,wallet_records!$L:$L,'EEFF 2025'!V$3,wallet_records!$O:$O,'EEFF 2025'!$B$1,wallet_records!$N:$N,'EEFF 2025'!V$2)</f>
        <v>1630000</v>
      </c>
      <c r="W6" s="110">
        <f>SUMIFS(wallet_records!$D:$D,wallet_records!$B:$B,'EEFF 2025'!$C6,wallet_records!$L:$L,'EEFF 2025'!W$3,wallet_records!$O:$O,'EEFF 2025'!$B$1,wallet_records!$N:$N,'EEFF 2025'!W$2)</f>
        <v>881000</v>
      </c>
      <c r="X6" s="110">
        <f>SUM(R6:W6)</f>
        <v>10961000</v>
      </c>
      <c r="Y6" s="110">
        <f>SUMIFS(wallet_records!$D:$D,wallet_records!$B:$B,'EEFF 2025'!$C6,wallet_records!$L:$L,'EEFF 2025'!Y$3,wallet_records!$O:$O,'EEFF 2025'!$B$1,wallet_records!$N:$N,'EEFF 2025'!Y$2)</f>
        <v>1650000</v>
      </c>
      <c r="Z6" s="110">
        <f>SUMIFS(wallet_records!$D:$D,wallet_records!$B:$B,'EEFF 2025'!$C6,wallet_records!$L:$L,'EEFF 2025'!Z$3,wallet_records!$O:$O,'EEFF 2025'!$B$1,wallet_records!$N:$N,'EEFF 2025'!Z$2)</f>
        <v>3000000</v>
      </c>
      <c r="AA6" s="110">
        <f>SUMIFS(wallet_records!$D:$D,wallet_records!$B:$B,'EEFF 2025'!$C6,wallet_records!$L:$L,'EEFF 2025'!AA$3,wallet_records!$O:$O,'EEFF 2025'!$B$1,wallet_records!$N:$N,'EEFF 2025'!AA$2)</f>
        <v>0</v>
      </c>
      <c r="AB6" s="110">
        <f>SUMIFS(wallet_records!$D:$D,wallet_records!$B:$B,'EEFF 2025'!$C6,wallet_records!$L:$L,'EEFF 2025'!AB$3,wallet_records!$O:$O,'EEFF 2025'!$B$1,wallet_records!$N:$N,'EEFF 2025'!AB$2)</f>
        <v>0</v>
      </c>
      <c r="AC6" s="110">
        <f>SUMIFS(wallet_records!$D:$D,wallet_records!$B:$B,'EEFF 2025'!$C6,wallet_records!$L:$L,'EEFF 2025'!AC$3,wallet_records!$O:$O,'EEFF 2025'!$B$1,wallet_records!$N:$N,'EEFF 2025'!AC$2)</f>
        <v>1630000</v>
      </c>
      <c r="AD6" s="110">
        <f>SUMIFS(wallet_records!$D:$D,wallet_records!$B:$B,'EEFF 2025'!$C6,wallet_records!$L:$L,'EEFF 2025'!AD$3,wallet_records!$O:$O,'EEFF 2025'!$B$1,wallet_records!$N:$N,'EEFF 2025'!AD$2)</f>
        <v>881000</v>
      </c>
      <c r="AE6" s="110">
        <f>SUM(Y6:AD6)</f>
        <v>7161000</v>
      </c>
      <c r="AF6" s="110">
        <f>SUMIFS(wallet_records!$D:$D,wallet_records!$B:$B,'EEFF 2025'!$C6,wallet_records!$L:$L,'EEFF 2025'!AF$3,wallet_records!$O:$O,'EEFF 2025'!$B$1,wallet_records!$N:$N,'EEFF 2025'!AF$2)</f>
        <v>1650000</v>
      </c>
      <c r="AG6" s="110">
        <f>SUMIFS(wallet_records!$D:$D,wallet_records!$B:$B,'EEFF 2025'!$C6,wallet_records!$L:$L,'EEFF 2025'!AG$3,wallet_records!$O:$O,'EEFF 2025'!$B$1,wallet_records!$N:$N,'EEFF 2025'!AG$2)</f>
        <v>3000000</v>
      </c>
      <c r="AH6" s="110">
        <f>SUMIFS(wallet_records!$D:$D,wallet_records!$B:$B,'EEFF 2025'!$C6,wallet_records!$L:$L,'EEFF 2025'!AH$3,wallet_records!$O:$O,'EEFF 2025'!$B$1,wallet_records!$N:$N,'EEFF 2025'!AH$2)</f>
        <v>1450000</v>
      </c>
      <c r="AI6" s="110">
        <f>SUMIFS(wallet_records!$D:$D,wallet_records!$B:$B,'EEFF 2025'!$C6,wallet_records!$L:$L,'EEFF 2025'!AI$3,wallet_records!$O:$O,'EEFF 2025'!$B$1,wallet_records!$N:$N,'EEFF 2025'!AI$2)</f>
        <v>950000</v>
      </c>
      <c r="AJ6" s="110">
        <f>SUMIFS(wallet_records!$D:$D,wallet_records!$B:$B,'EEFF 2025'!$C6,wallet_records!$L:$L,'EEFF 2025'!AJ$3,wallet_records!$O:$O,'EEFF 2025'!$B$1,wallet_records!$N:$N,'EEFF 2025'!AJ$2)</f>
        <v>1630000</v>
      </c>
      <c r="AK6" s="110">
        <f>SUMIFS(wallet_records!$D:$D,wallet_records!$B:$B,'EEFF 2025'!$C6,wallet_records!$L:$L,'EEFF 2025'!AK$3,wallet_records!$O:$O,'EEFF 2025'!$B$1,wallet_records!$N:$N,'EEFF 2025'!AK$2)</f>
        <v>926812</v>
      </c>
      <c r="AL6" s="110">
        <f>SUM(AF6:AK6)</f>
        <v>9606812</v>
      </c>
      <c r="AM6" s="110">
        <f>SUMIFS(wallet_records!$D:$D,wallet_records!$B:$B,'EEFF 2025'!$C6,wallet_records!$L:$L,'EEFF 2025'!AM$3,wallet_records!$O:$O,'EEFF 2025'!$B$1,wallet_records!$N:$N,'EEFF 2025'!AM$2)</f>
        <v>1650000</v>
      </c>
      <c r="AN6" s="110">
        <f>SUMIFS(wallet_records!$D:$D,wallet_records!$B:$B,'EEFF 2025'!$C6,wallet_records!$L:$L,'EEFF 2025'!AN$3,wallet_records!$O:$O,'EEFF 2025'!$B$1,wallet_records!$N:$N,'EEFF 2025'!AN$2)</f>
        <v>3000000</v>
      </c>
      <c r="AO6" s="110">
        <f>SUMIFS(wallet_records!$D:$D,wallet_records!$B:$B,'EEFF 2025'!$C6,wallet_records!$L:$L,'EEFF 2025'!AO$3,wallet_records!$O:$O,'EEFF 2025'!$B$1,wallet_records!$N:$N,'EEFF 2025'!AO$2)</f>
        <v>1520000</v>
      </c>
      <c r="AP6" s="110">
        <f>SUMIFS(wallet_records!$D:$D,wallet_records!$B:$B,'EEFF 2025'!$C6,wallet_records!$L:$L,'EEFF 2025'!AP$3,wallet_records!$O:$O,'EEFF 2025'!$B$1,wallet_records!$N:$N,'EEFF 2025'!AP$2)</f>
        <v>450000</v>
      </c>
      <c r="AQ6" s="110">
        <f>SUMIFS(wallet_records!$D:$D,wallet_records!$B:$B,'EEFF 2025'!$C6,wallet_records!$L:$L,'EEFF 2025'!AQ$3,wallet_records!$O:$O,'EEFF 2025'!$B$1,wallet_records!$N:$N,'EEFF 2025'!AQ$2)</f>
        <v>0</v>
      </c>
      <c r="AR6" s="110">
        <f>SUMIFS(wallet_records!$D:$D,wallet_records!$B:$B,'EEFF 2025'!$C6,wallet_records!$L:$L,'EEFF 2025'!AR$3,wallet_records!$O:$O,'EEFF 2025'!$B$1,wallet_records!$N:$N,'EEFF 2025'!AR$2)</f>
        <v>527000</v>
      </c>
      <c r="AS6" s="110">
        <f>SUM(AM6:AR6)</f>
        <v>7147000</v>
      </c>
      <c r="AT6" s="110">
        <f>SUMIFS(wallet_records!$D:$D,wallet_records!$B:$B,'EEFF 2025'!$C6,wallet_records!$L:$L,'EEFF 2025'!AT$3,wallet_records!$O:$O,'EEFF 2025'!$B$1,wallet_records!$N:$N,'EEFF 2025'!AT$2)</f>
        <v>1650000</v>
      </c>
      <c r="AU6" s="110">
        <f>SUMIFS(wallet_records!$D:$D,wallet_records!$B:$B,'EEFF 2025'!$C6,wallet_records!$L:$L,'EEFF 2025'!AU$3,wallet_records!$O:$O,'EEFF 2025'!$B$1,wallet_records!$N:$N,'EEFF 2025'!AU$2)</f>
        <v>3144600</v>
      </c>
      <c r="AV6" s="110">
        <f>SUMIFS(wallet_records!$D:$D,wallet_records!$B:$B,'EEFF 2025'!$C6,wallet_records!$L:$L,'EEFF 2025'!AV$3,wallet_records!$O:$O,'EEFF 2025'!$B$1,wallet_records!$N:$N,'EEFF 2025'!AV$2)</f>
        <v>1520000</v>
      </c>
      <c r="AW6" s="110">
        <f>SUMIFS(wallet_records!$D:$D,wallet_records!$B:$B,'EEFF 2025'!$C6,wallet_records!$L:$L,'EEFF 2025'!AW$3,wallet_records!$O:$O,'EEFF 2025'!$B$1,wallet_records!$N:$N,'EEFF 2025'!AW$2)</f>
        <v>500000</v>
      </c>
      <c r="AX6" s="110">
        <f>SUMIFS(wallet_records!$D:$D,wallet_records!$B:$B,'EEFF 2025'!$C6,wallet_records!$L:$L,'EEFF 2025'!AX$3,wallet_records!$O:$O,'EEFF 2025'!$B$1,wallet_records!$N:$N,'EEFF 2025'!AX$2)</f>
        <v>3260000</v>
      </c>
      <c r="AY6" s="110">
        <f>SUMIFS(wallet_records!$D:$D,wallet_records!$B:$B,'EEFF 2025'!$C6,wallet_records!$L:$L,'EEFF 2025'!AY$3,wallet_records!$O:$O,'EEFF 2025'!$B$1,wallet_records!$N:$N,'EEFF 2025'!AY$2)</f>
        <v>0</v>
      </c>
      <c r="AZ6" s="110">
        <f>SUM(AT6:AY6)</f>
        <v>10074600</v>
      </c>
      <c r="BA6" s="110">
        <f>SUMIFS(wallet_records!$D:$D,wallet_records!$B:$B,'EEFF 2025'!$C6,wallet_records!$L:$L,'EEFF 2025'!BA$3,wallet_records!$O:$O,'EEFF 2025'!$B$1,wallet_records!$N:$N,'EEFF 2025'!BA$2)</f>
        <v>1650000</v>
      </c>
      <c r="BB6" s="110">
        <f>SUMIFS(wallet_records!$D:$D,wallet_records!$B:$B,'EEFF 2025'!$C6,wallet_records!$L:$L,'EEFF 2025'!BB$3,wallet_records!$O:$O,'EEFF 2025'!$B$1,wallet_records!$N:$N,'EEFF 2025'!BB$2)</f>
        <v>3144600</v>
      </c>
      <c r="BC6" s="110">
        <f>SUMIFS(wallet_records!$D:$D,wallet_records!$B:$B,'EEFF 2025'!$C6,wallet_records!$L:$L,'EEFF 2025'!BC$3,wallet_records!$O:$O,'EEFF 2025'!$B$1,wallet_records!$N:$N,'EEFF 2025'!BC$2)</f>
        <v>1520000</v>
      </c>
      <c r="BD6" s="110">
        <f>SUMIFS(wallet_records!$D:$D,wallet_records!$B:$B,'EEFF 2025'!$C6,wallet_records!$L:$L,'EEFF 2025'!BD$3,wallet_records!$O:$O,'EEFF 2025'!$B$1,wallet_records!$N:$N,'EEFF 2025'!BD$2)</f>
        <v>500000</v>
      </c>
      <c r="BE6" s="110">
        <f>SUMIFS(wallet_records!$D:$D,wallet_records!$B:$B,'EEFF 2025'!$C6,wallet_records!$L:$L,'EEFF 2025'!BE$3,wallet_records!$O:$O,'EEFF 2025'!$B$1,wallet_records!$N:$N,'EEFF 2025'!BE$2)</f>
        <v>1630000</v>
      </c>
      <c r="BF6" s="110">
        <f>SUMIFS(wallet_records!$D:$D,wallet_records!$B:$B,'EEFF 2025'!$C6,wallet_records!$L:$L,'EEFF 2025'!BF$3,wallet_records!$O:$O,'EEFF 2025'!$B$1,wallet_records!$N:$N,'EEFF 2025'!BF$2)</f>
        <v>841000</v>
      </c>
      <c r="BG6" s="110">
        <f>SUM(BA6:BF6)</f>
        <v>9285600</v>
      </c>
      <c r="BH6" s="110">
        <f>SUMIFS(wallet_records!$D:$D,wallet_records!$B:$B,'EEFF 2025'!$C6,wallet_records!$L:$L,'EEFF 2025'!BH$3,wallet_records!$O:$O,'EEFF 2025'!$B$1,wallet_records!$N:$N,'EEFF 2025'!BH$2)</f>
        <v>1650000</v>
      </c>
      <c r="BI6" s="110">
        <f>SUMIFS(wallet_records!$D:$D,wallet_records!$B:$B,'EEFF 2025'!$C6,wallet_records!$L:$L,'EEFF 2025'!BI$3,wallet_records!$O:$O,'EEFF 2025'!$B$1,wallet_records!$N:$N,'EEFF 2025'!BI$2)</f>
        <v>3144600</v>
      </c>
      <c r="BJ6" s="110">
        <f>SUMIFS(wallet_records!$D:$D,wallet_records!$B:$B,'EEFF 2025'!$C6,wallet_records!$L:$L,'EEFF 2025'!BJ$3,wallet_records!$O:$O,'EEFF 2025'!$B$1,wallet_records!$N:$N,'EEFF 2025'!BJ$2)</f>
        <v>1520000</v>
      </c>
      <c r="BK6" s="110">
        <f>SUMIFS(wallet_records!$D:$D,wallet_records!$B:$B,'EEFF 2025'!$C6,wallet_records!$L:$L,'EEFF 2025'!BK$3,wallet_records!$O:$O,'EEFF 2025'!$B$1,wallet_records!$N:$N,'EEFF 2025'!BK$2)</f>
        <v>500000</v>
      </c>
      <c r="BL6" s="110">
        <f>SUMIFS(wallet_records!$D:$D,wallet_records!$B:$B,'EEFF 2025'!$C6,wallet_records!$L:$L,'EEFF 2025'!BL$3,wallet_records!$O:$O,'EEFF 2025'!$B$1,wallet_records!$N:$N,'EEFF 2025'!BL$2)</f>
        <v>0</v>
      </c>
      <c r="BM6" s="110">
        <f>SUMIFS(wallet_records!$D:$D,wallet_records!$B:$B,'EEFF 2025'!$C6,wallet_records!$L:$L,'EEFF 2025'!BM$3,wallet_records!$O:$O,'EEFF 2025'!$B$1,wallet_records!$N:$N,'EEFF 2025'!BM$2)</f>
        <v>0</v>
      </c>
      <c r="BN6" s="110">
        <f>SUM(BH6:BM6)</f>
        <v>6814600</v>
      </c>
      <c r="BO6" s="110">
        <f>SUMIFS(wallet_records!$D:$D,wallet_records!$B:$B,'EEFF 2025'!$C6,wallet_records!$L:$L,'EEFF 2025'!BO$3,wallet_records!$O:$O,'EEFF 2025'!$B$1,wallet_records!$N:$N,'EEFF 2025'!BO$2)</f>
        <v>1650000</v>
      </c>
      <c r="BP6" s="110">
        <f>SUMIFS(wallet_records!$D:$D,wallet_records!$B:$B,'EEFF 2025'!$C6,wallet_records!$L:$L,'EEFF 2025'!BP$3,wallet_records!$O:$O,'EEFF 2025'!$B$1,wallet_records!$N:$N,'EEFF 2025'!BP$2)</f>
        <v>3144600</v>
      </c>
      <c r="BQ6" s="110">
        <f>SUMIFS(wallet_records!$D:$D,wallet_records!$B:$B,'EEFF 2025'!$C6,wallet_records!$L:$L,'EEFF 2025'!BQ$3,wallet_records!$O:$O,'EEFF 2025'!$B$1,wallet_records!$N:$N,'EEFF 2025'!BQ$2)</f>
        <v>1520000</v>
      </c>
      <c r="BR6" s="110">
        <f>SUMIFS(wallet_records!$D:$D,wallet_records!$B:$B,'EEFF 2025'!$C6,wallet_records!$L:$L,'EEFF 2025'!BR$3,wallet_records!$O:$O,'EEFF 2025'!$B$1,wallet_records!$N:$N,'EEFF 2025'!BR$2)</f>
        <v>0</v>
      </c>
      <c r="BS6" s="110">
        <f>SUMIFS(wallet_records!$D:$D,wallet_records!$B:$B,'EEFF 2025'!$C6,wallet_records!$L:$L,'EEFF 2025'!BS$3,wallet_records!$O:$O,'EEFF 2025'!$B$1,wallet_records!$N:$N,'EEFF 2025'!BS$2)</f>
        <v>3260000</v>
      </c>
      <c r="BT6" s="110">
        <f>SUMIFS(wallet_records!$D:$D,wallet_records!$B:$B,'EEFF 2025'!$C6,wallet_records!$L:$L,'EEFF 2025'!BT$3,wallet_records!$O:$O,'EEFF 2025'!$B$1,wallet_records!$N:$N,'EEFF 2025'!BT$2)</f>
        <v>1760000</v>
      </c>
      <c r="BU6" s="110">
        <f>SUM(BO6:BT6)</f>
        <v>11334600</v>
      </c>
      <c r="BV6" s="110">
        <f>SUMIFS(wallet_records!$D:$D,wallet_records!$B:$B,'EEFF 2025'!$C6,wallet_records!$L:$L,'EEFF 2025'!BV$3,wallet_records!$O:$O,'EEFF 2025'!$B$1,wallet_records!$N:$N,'EEFF 2025'!BV$2)</f>
        <v>1650000</v>
      </c>
      <c r="BW6" s="110">
        <f>SUMIFS(wallet_records!$D:$D,wallet_records!$B:$B,'EEFF 2025'!$C6,wallet_records!$L:$L,'EEFF 2025'!BW$3,wallet_records!$O:$O,'EEFF 2025'!$B$1,wallet_records!$N:$N,'EEFF 2025'!BW$2)</f>
        <v>3144600</v>
      </c>
      <c r="BX6" s="110">
        <f>SUMIFS(wallet_records!$D:$D,wallet_records!$B:$B,'EEFF 2025'!$C6,wallet_records!$L:$L,'EEFF 2025'!BX$3,wallet_records!$O:$O,'EEFF 2025'!$B$1,wallet_records!$N:$N,'EEFF 2025'!BX$2)</f>
        <v>1520000</v>
      </c>
      <c r="BY6" s="110">
        <f>SUMIFS(wallet_records!$D:$D,wallet_records!$B:$B,'EEFF 2025'!$C6,wallet_records!$L:$L,'EEFF 2025'!BY$3,wallet_records!$O:$O,'EEFF 2025'!$B$1,wallet_records!$N:$N,'EEFF 2025'!BY$2)</f>
        <v>1000000</v>
      </c>
      <c r="BZ6" s="110">
        <f>SUMIFS(wallet_records!$D:$D,wallet_records!$B:$B,'EEFF 2025'!$C6,wallet_records!$L:$L,'EEFF 2025'!BZ$3,wallet_records!$O:$O,'EEFF 2025'!$B$1,wallet_records!$N:$N,'EEFF 2025'!BZ$2)</f>
        <v>0</v>
      </c>
      <c r="CA6" s="110">
        <f>SUMIFS(wallet_records!$D:$D,wallet_records!$B:$B,'EEFF 2025'!$C6,wallet_records!$L:$L,'EEFF 2025'!CA$3,wallet_records!$O:$O,'EEFF 2025'!$B$1,wallet_records!$N:$N,'EEFF 2025'!CA$2)</f>
        <v>881000</v>
      </c>
      <c r="CB6" s="110">
        <f>SUM(BV6:CA6)</f>
        <v>8195600</v>
      </c>
      <c r="CC6" s="110">
        <f>SUMIFS(wallet_records!$D:$D,wallet_records!$B:$B,'EEFF 2025'!$C6,wallet_records!$L:$L,'EEFF 2025'!CC$3,wallet_records!$O:$O,'EEFF 2025'!$B$1,wallet_records!$N:$N,'EEFF 2025'!CC$2)</f>
        <v>1650000</v>
      </c>
      <c r="CD6" s="110">
        <f>SUMIFS(wallet_records!$D:$D,wallet_records!$B:$B,'EEFF 2025'!$C6,wallet_records!$L:$L,'EEFF 2025'!CD$3,wallet_records!$O:$O,'EEFF 2025'!$B$1,wallet_records!$N:$N,'EEFF 2025'!CD$2)</f>
        <v>3144600</v>
      </c>
      <c r="CE6" s="110">
        <f>SUMIFS(wallet_records!$D:$D,wallet_records!$B:$B,'EEFF 2025'!$C6,wallet_records!$L:$L,'EEFF 2025'!CE$3,wallet_records!$O:$O,'EEFF 2025'!$B$1,wallet_records!$N:$N,'EEFF 2025'!CE$2)</f>
        <v>1520000</v>
      </c>
      <c r="CF6" s="110">
        <f>SUMIFS(wallet_records!$D:$D,wallet_records!$B:$B,'EEFF 2025'!$C6,wallet_records!$L:$L,'EEFF 2025'!CF$3,wallet_records!$O:$O,'EEFF 2025'!$B$1,wallet_records!$N:$N,'EEFF 2025'!CF$2)</f>
        <v>500000</v>
      </c>
      <c r="CG6" s="110">
        <f>SUMIFS(wallet_records!$D:$D,wallet_records!$B:$B,'EEFF 2025'!$C6,wallet_records!$L:$L,'EEFF 2025'!CG$3,wallet_records!$O:$O,'EEFF 2025'!$B$1,wallet_records!$N:$N,'EEFF 2025'!CG$2)</f>
        <v>3430000</v>
      </c>
      <c r="CH6" s="110">
        <f>SUMIFS(wallet_records!$D:$D,wallet_records!$B:$B,'EEFF 2025'!$C6,wallet_records!$L:$L,'EEFF 2025'!CH$3,wallet_records!$O:$O,'EEFF 2025'!$B$1,wallet_records!$N:$N,'EEFF 2025'!CH$2)</f>
        <v>881000</v>
      </c>
      <c r="CI6" s="110">
        <f>SUM(CC6:CH6)</f>
        <v>11125600</v>
      </c>
      <c r="CJ6" s="110">
        <f>SUMIFS(wallet_records!$D:$D,wallet_records!$B:$B,'EEFF 2025'!$C$6,wallet_records!$L:$L,'EEFF 2025'!CJ3,wallet_records!$O:$O,'EEFF 2025'!$B$1)</f>
        <v>20020000</v>
      </c>
      <c r="CK6" s="110">
        <f>SUMIFS(wallet_records!$D:$D,wallet_records!$B:$B,'EEFF 2025'!$C$6,wallet_records!$L:$L,'EEFF 2025'!CK3,wallet_records!$O:$O,'EEFF 2025'!$B$1)</f>
        <v>36867600</v>
      </c>
      <c r="CL6" s="110">
        <f>SUMIFS(wallet_records!$D:$D,wallet_records!$B:$B,'EEFF 2025'!$C$6,wallet_records!$L:$L,'EEFF 2025'!CL3,wallet_records!$O:$O,'EEFF 2025'!$B$1)</f>
        <v>17890000</v>
      </c>
      <c r="CM6" s="110">
        <f>SUMIFS(wallet_records!$D:$D,wallet_records!$B:$B,'EEFF 2025'!$C$6,wallet_records!$L:$L,'EEFF 2025'!CM3,wallet_records!$O:$O,'EEFF 2025'!$B$1)</f>
        <v>5750000</v>
      </c>
      <c r="CN6" s="110">
        <f>SUMIFS(wallet_records!$D:$D,wallet_records!$B:$B,'EEFF 2025'!$C$6,wallet_records!$L:$L,'EEFF 2025'!CN3,wallet_records!$O:$O,'EEFF 2025'!$B$1)</f>
        <v>19750000</v>
      </c>
      <c r="CO6" s="110">
        <f>SUMIFS(wallet_records!$D:$D,wallet_records!$B:$B,'EEFF 2025'!$C$6,wallet_records!$L:$L,'EEFF 2025'!CO3,wallet_records!$O:$O,'EEFF 2025'!$B$1)</f>
        <v>9340812</v>
      </c>
      <c r="CP6" s="110">
        <f>SUM(CJ6:CO6)</f>
        <v>109618412</v>
      </c>
      <c r="CQ6" s="107"/>
      <c r="CR6" s="111">
        <f t="shared" ref="CR6:CR47" si="0">J6/J$6</f>
        <v>1</v>
      </c>
      <c r="CS6" s="111">
        <f t="shared" ref="CS6:CS47" si="1">Q6/Q$6</f>
        <v>1</v>
      </c>
      <c r="CT6" s="111">
        <f t="shared" ref="CT6:CT46" si="2">X6/X$6</f>
        <v>1</v>
      </c>
      <c r="CU6" s="111">
        <f t="shared" ref="CU6:CU46" si="3">AE6/AE$6</f>
        <v>1</v>
      </c>
      <c r="CV6" s="111">
        <f t="shared" ref="CV6:CV46" si="4">AL6/AL$6</f>
        <v>1</v>
      </c>
      <c r="CW6" s="111">
        <f t="shared" ref="CW6:CW46" si="5">AS6/AS$6</f>
        <v>1</v>
      </c>
      <c r="CX6" s="111">
        <f t="shared" ref="CX6:CX46" si="6">AZ6/AZ$6</f>
        <v>1</v>
      </c>
      <c r="CY6" s="111">
        <f t="shared" ref="CY6:CY46" si="7">BG6/BG$6</f>
        <v>1</v>
      </c>
      <c r="CZ6" s="111">
        <f t="shared" ref="CZ6:CZ46" si="8">BN6/BN$6</f>
        <v>1</v>
      </c>
      <c r="DA6" s="111">
        <f t="shared" ref="DA6:DA46" si="9">BU6/BU$6</f>
        <v>1</v>
      </c>
      <c r="DB6" s="111">
        <f t="shared" ref="DB6:DB46" si="10">CB6/CB$6</f>
        <v>1</v>
      </c>
      <c r="DC6" s="111">
        <f t="shared" ref="DC6:DC46" si="11">CI6/CI$6</f>
        <v>1</v>
      </c>
    </row>
    <row r="7" spans="2:120" x14ac:dyDescent="0.2">
      <c r="B7" s="112" t="s">
        <v>399</v>
      </c>
      <c r="C7" s="192"/>
      <c r="D7" s="113">
        <v>0</v>
      </c>
      <c r="E7" s="113">
        <v>0</v>
      </c>
      <c r="F7" s="113">
        <v>0</v>
      </c>
      <c r="G7" s="114">
        <v>0</v>
      </c>
      <c r="H7" s="114">
        <v>0</v>
      </c>
      <c r="I7" s="114">
        <v>0</v>
      </c>
      <c r="J7" s="114">
        <f>SUM(D7:I7)</f>
        <v>0</v>
      </c>
      <c r="K7" s="113">
        <v>0</v>
      </c>
      <c r="L7" s="113">
        <v>0</v>
      </c>
      <c r="M7" s="113">
        <v>0</v>
      </c>
      <c r="N7" s="114">
        <v>0</v>
      </c>
      <c r="O7" s="114">
        <v>0</v>
      </c>
      <c r="P7" s="114">
        <v>0</v>
      </c>
      <c r="Q7" s="114">
        <f>SUM(K7:P7)</f>
        <v>0</v>
      </c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T7" s="113">
        <v>0</v>
      </c>
      <c r="AU7" s="113">
        <v>0</v>
      </c>
      <c r="AV7" s="113">
        <v>0</v>
      </c>
      <c r="AW7" s="114">
        <v>0</v>
      </c>
      <c r="AX7" s="114">
        <v>0</v>
      </c>
      <c r="AY7" s="114">
        <v>0</v>
      </c>
      <c r="AZ7" s="114">
        <f>SUM(AT7:AY7)</f>
        <v>0</v>
      </c>
      <c r="BA7" s="113">
        <v>0</v>
      </c>
      <c r="BB7" s="113">
        <v>0</v>
      </c>
      <c r="BC7" s="113">
        <v>0</v>
      </c>
      <c r="BD7" s="114">
        <v>0</v>
      </c>
      <c r="BE7" s="114">
        <v>0</v>
      </c>
      <c r="BF7" s="114">
        <v>0</v>
      </c>
      <c r="BG7" s="114">
        <f>SUM(BA7:BF7)</f>
        <v>0</v>
      </c>
      <c r="BH7" s="113">
        <v>0</v>
      </c>
      <c r="BI7" s="113">
        <v>0</v>
      </c>
      <c r="BJ7" s="113">
        <v>0</v>
      </c>
      <c r="BK7" s="114">
        <v>0</v>
      </c>
      <c r="BL7" s="114">
        <v>0</v>
      </c>
      <c r="BM7" s="114">
        <v>0</v>
      </c>
      <c r="BN7" s="114">
        <f>SUM(BH7:BM7)</f>
        <v>0</v>
      </c>
      <c r="BO7" s="113">
        <v>0</v>
      </c>
      <c r="BP7" s="113">
        <v>0</v>
      </c>
      <c r="BQ7" s="113">
        <v>0</v>
      </c>
      <c r="BR7" s="114">
        <v>0</v>
      </c>
      <c r="BS7" s="114">
        <v>0</v>
      </c>
      <c r="BT7" s="114">
        <v>0</v>
      </c>
      <c r="BU7" s="114">
        <f>SUM(BO7:BT7)</f>
        <v>0</v>
      </c>
      <c r="BV7" s="113">
        <v>0</v>
      </c>
      <c r="BW7" s="113">
        <v>0</v>
      </c>
      <c r="BX7" s="113">
        <v>0</v>
      </c>
      <c r="BY7" s="114">
        <v>0</v>
      </c>
      <c r="BZ7" s="114">
        <v>0</v>
      </c>
      <c r="CA7" s="114">
        <v>0</v>
      </c>
      <c r="CB7" s="114">
        <f>SUM(BV7:CA7)</f>
        <v>0</v>
      </c>
      <c r="CC7" s="113">
        <v>0</v>
      </c>
      <c r="CD7" s="113">
        <v>0</v>
      </c>
      <c r="CE7" s="113">
        <v>0</v>
      </c>
      <c r="CF7" s="114">
        <v>0</v>
      </c>
      <c r="CG7" s="114">
        <v>0</v>
      </c>
      <c r="CH7" s="114">
        <v>0</v>
      </c>
      <c r="CI7" s="114">
        <f>SUM(CC7:CH7)</f>
        <v>0</v>
      </c>
      <c r="CJ7" s="113">
        <v>0</v>
      </c>
      <c r="CK7" s="113">
        <v>0</v>
      </c>
      <c r="CL7" s="113">
        <v>0</v>
      </c>
      <c r="CM7" s="114">
        <v>0</v>
      </c>
      <c r="CN7" s="114">
        <v>0</v>
      </c>
      <c r="CO7" s="114">
        <v>0</v>
      </c>
      <c r="CP7" s="114">
        <f>SUM(CJ7:CO7)</f>
        <v>0</v>
      </c>
      <c r="CQ7" s="107"/>
      <c r="CR7" s="111">
        <f t="shared" si="0"/>
        <v>0</v>
      </c>
      <c r="CS7" s="111">
        <f t="shared" si="1"/>
        <v>0</v>
      </c>
      <c r="CT7" s="111">
        <f t="shared" si="2"/>
        <v>0</v>
      </c>
      <c r="CU7" s="111">
        <f t="shared" si="3"/>
        <v>0</v>
      </c>
      <c r="CV7" s="111">
        <f t="shared" si="4"/>
        <v>0</v>
      </c>
      <c r="CW7" s="111">
        <f t="shared" si="5"/>
        <v>0</v>
      </c>
      <c r="CX7" s="111">
        <f t="shared" si="6"/>
        <v>0</v>
      </c>
      <c r="CY7" s="111">
        <f t="shared" si="7"/>
        <v>0</v>
      </c>
      <c r="CZ7" s="111">
        <f t="shared" si="8"/>
        <v>0</v>
      </c>
      <c r="DA7" s="111">
        <f t="shared" si="9"/>
        <v>0</v>
      </c>
      <c r="DB7" s="111">
        <f t="shared" si="10"/>
        <v>0</v>
      </c>
      <c r="DC7" s="111">
        <f t="shared" si="11"/>
        <v>0</v>
      </c>
    </row>
    <row r="8" spans="2:120" ht="16" x14ac:dyDescent="0.2">
      <c r="B8" s="109" t="s">
        <v>351</v>
      </c>
      <c r="C8" s="193"/>
      <c r="D8" s="117">
        <f>D6-D7</f>
        <v>1870000</v>
      </c>
      <c r="E8" s="117">
        <f t="shared" ref="E8:BP8" si="12">E6-E7</f>
        <v>3000000</v>
      </c>
      <c r="F8" s="117">
        <f t="shared" si="12"/>
        <v>1450000</v>
      </c>
      <c r="G8" s="117">
        <f t="shared" si="12"/>
        <v>450000</v>
      </c>
      <c r="H8" s="117">
        <f t="shared" si="12"/>
        <v>1630000</v>
      </c>
      <c r="I8" s="117">
        <f t="shared" si="12"/>
        <v>881000</v>
      </c>
      <c r="J8" s="292">
        <f t="shared" si="12"/>
        <v>9281000</v>
      </c>
      <c r="K8" s="117">
        <f t="shared" si="12"/>
        <v>1650000</v>
      </c>
      <c r="L8" s="117">
        <f t="shared" si="12"/>
        <v>3000000</v>
      </c>
      <c r="M8" s="117">
        <f t="shared" si="12"/>
        <v>1450000</v>
      </c>
      <c r="N8" s="117">
        <f t="shared" si="12"/>
        <v>0</v>
      </c>
      <c r="O8" s="117">
        <f t="shared" si="12"/>
        <v>1650000</v>
      </c>
      <c r="P8" s="117">
        <f t="shared" si="12"/>
        <v>881000</v>
      </c>
      <c r="Q8" s="117">
        <f t="shared" si="12"/>
        <v>8631000</v>
      </c>
      <c r="R8" s="117">
        <f t="shared" si="12"/>
        <v>1650000</v>
      </c>
      <c r="S8" s="117">
        <f t="shared" si="12"/>
        <v>3000000</v>
      </c>
      <c r="T8" s="117">
        <f t="shared" si="12"/>
        <v>2900000</v>
      </c>
      <c r="U8" s="117">
        <f t="shared" si="12"/>
        <v>900000</v>
      </c>
      <c r="V8" s="117">
        <f t="shared" si="12"/>
        <v>1630000</v>
      </c>
      <c r="W8" s="117">
        <f t="shared" si="12"/>
        <v>881000</v>
      </c>
      <c r="X8" s="117">
        <f t="shared" si="12"/>
        <v>10961000</v>
      </c>
      <c r="Y8" s="117">
        <f t="shared" si="12"/>
        <v>1650000</v>
      </c>
      <c r="Z8" s="117">
        <f t="shared" si="12"/>
        <v>3000000</v>
      </c>
      <c r="AA8" s="117">
        <f t="shared" si="12"/>
        <v>0</v>
      </c>
      <c r="AB8" s="117">
        <f t="shared" si="12"/>
        <v>0</v>
      </c>
      <c r="AC8" s="117">
        <f t="shared" si="12"/>
        <v>1630000</v>
      </c>
      <c r="AD8" s="117">
        <f t="shared" si="12"/>
        <v>881000</v>
      </c>
      <c r="AE8" s="117">
        <f t="shared" si="12"/>
        <v>7161000</v>
      </c>
      <c r="AF8" s="117">
        <f t="shared" si="12"/>
        <v>1650000</v>
      </c>
      <c r="AG8" s="117">
        <f t="shared" si="12"/>
        <v>3000000</v>
      </c>
      <c r="AH8" s="117">
        <f t="shared" si="12"/>
        <v>1450000</v>
      </c>
      <c r="AI8" s="117">
        <f t="shared" si="12"/>
        <v>950000</v>
      </c>
      <c r="AJ8" s="117">
        <f t="shared" si="12"/>
        <v>1630000</v>
      </c>
      <c r="AK8" s="117">
        <f t="shared" si="12"/>
        <v>926812</v>
      </c>
      <c r="AL8" s="117">
        <f t="shared" si="12"/>
        <v>9606812</v>
      </c>
      <c r="AM8" s="117">
        <f t="shared" si="12"/>
        <v>1650000</v>
      </c>
      <c r="AN8" s="117">
        <f t="shared" si="12"/>
        <v>3000000</v>
      </c>
      <c r="AO8" s="117">
        <f t="shared" si="12"/>
        <v>1520000</v>
      </c>
      <c r="AP8" s="117">
        <f t="shared" si="12"/>
        <v>450000</v>
      </c>
      <c r="AQ8" s="117">
        <f t="shared" si="12"/>
        <v>0</v>
      </c>
      <c r="AR8" s="117">
        <f t="shared" si="12"/>
        <v>527000</v>
      </c>
      <c r="AS8" s="117">
        <f t="shared" si="12"/>
        <v>7147000</v>
      </c>
      <c r="AT8" s="117">
        <f t="shared" si="12"/>
        <v>1650000</v>
      </c>
      <c r="AU8" s="117">
        <f t="shared" si="12"/>
        <v>3144600</v>
      </c>
      <c r="AV8" s="117">
        <f t="shared" si="12"/>
        <v>1520000</v>
      </c>
      <c r="AW8" s="117">
        <f t="shared" si="12"/>
        <v>500000</v>
      </c>
      <c r="AX8" s="117">
        <f t="shared" si="12"/>
        <v>3260000</v>
      </c>
      <c r="AY8" s="117">
        <f t="shared" si="12"/>
        <v>0</v>
      </c>
      <c r="AZ8" s="117">
        <f t="shared" si="12"/>
        <v>10074600</v>
      </c>
      <c r="BA8" s="117">
        <f t="shared" si="12"/>
        <v>1650000</v>
      </c>
      <c r="BB8" s="117">
        <f t="shared" si="12"/>
        <v>3144600</v>
      </c>
      <c r="BC8" s="117">
        <f t="shared" si="12"/>
        <v>1520000</v>
      </c>
      <c r="BD8" s="117">
        <f t="shared" si="12"/>
        <v>500000</v>
      </c>
      <c r="BE8" s="117">
        <f t="shared" si="12"/>
        <v>1630000</v>
      </c>
      <c r="BF8" s="117">
        <f t="shared" si="12"/>
        <v>841000</v>
      </c>
      <c r="BG8" s="117">
        <f t="shared" si="12"/>
        <v>9285600</v>
      </c>
      <c r="BH8" s="117">
        <f t="shared" si="12"/>
        <v>1650000</v>
      </c>
      <c r="BI8" s="117">
        <f t="shared" si="12"/>
        <v>3144600</v>
      </c>
      <c r="BJ8" s="117">
        <f t="shared" si="12"/>
        <v>1520000</v>
      </c>
      <c r="BK8" s="117">
        <f t="shared" si="12"/>
        <v>500000</v>
      </c>
      <c r="BL8" s="117">
        <f t="shared" si="12"/>
        <v>0</v>
      </c>
      <c r="BM8" s="117">
        <f t="shared" si="12"/>
        <v>0</v>
      </c>
      <c r="BN8" s="117">
        <f t="shared" si="12"/>
        <v>6814600</v>
      </c>
      <c r="BO8" s="117">
        <f t="shared" si="12"/>
        <v>1650000</v>
      </c>
      <c r="BP8" s="117">
        <f t="shared" si="12"/>
        <v>3144600</v>
      </c>
      <c r="BQ8" s="117">
        <f t="shared" ref="BQ8:CP8" si="13">BQ6-BQ7</f>
        <v>1520000</v>
      </c>
      <c r="BR8" s="117">
        <f t="shared" si="13"/>
        <v>0</v>
      </c>
      <c r="BS8" s="117">
        <f t="shared" si="13"/>
        <v>3260000</v>
      </c>
      <c r="BT8" s="117">
        <f t="shared" si="13"/>
        <v>1760000</v>
      </c>
      <c r="BU8" s="117">
        <f t="shared" si="13"/>
        <v>11334600</v>
      </c>
      <c r="BV8" s="117">
        <f t="shared" si="13"/>
        <v>1650000</v>
      </c>
      <c r="BW8" s="117">
        <f t="shared" si="13"/>
        <v>3144600</v>
      </c>
      <c r="BX8" s="117">
        <f t="shared" si="13"/>
        <v>1520000</v>
      </c>
      <c r="BY8" s="117">
        <f t="shared" si="13"/>
        <v>1000000</v>
      </c>
      <c r="BZ8" s="117">
        <f t="shared" si="13"/>
        <v>0</v>
      </c>
      <c r="CA8" s="117">
        <f t="shared" si="13"/>
        <v>881000</v>
      </c>
      <c r="CB8" s="117">
        <f t="shared" si="13"/>
        <v>8195600</v>
      </c>
      <c r="CC8" s="117">
        <f t="shared" si="13"/>
        <v>1650000</v>
      </c>
      <c r="CD8" s="117">
        <f t="shared" si="13"/>
        <v>3144600</v>
      </c>
      <c r="CE8" s="117">
        <f t="shared" si="13"/>
        <v>1520000</v>
      </c>
      <c r="CF8" s="117">
        <f t="shared" si="13"/>
        <v>500000</v>
      </c>
      <c r="CG8" s="117">
        <f t="shared" si="13"/>
        <v>3430000</v>
      </c>
      <c r="CH8" s="117">
        <f t="shared" si="13"/>
        <v>881000</v>
      </c>
      <c r="CI8" s="117">
        <f t="shared" si="13"/>
        <v>11125600</v>
      </c>
      <c r="CJ8" s="117">
        <f t="shared" si="13"/>
        <v>20020000</v>
      </c>
      <c r="CK8" s="117">
        <f t="shared" si="13"/>
        <v>36867600</v>
      </c>
      <c r="CL8" s="117">
        <f t="shared" si="13"/>
        <v>17890000</v>
      </c>
      <c r="CM8" s="117">
        <f t="shared" si="13"/>
        <v>5750000</v>
      </c>
      <c r="CN8" s="117">
        <f t="shared" si="13"/>
        <v>19750000</v>
      </c>
      <c r="CO8" s="117">
        <f t="shared" si="13"/>
        <v>9340812</v>
      </c>
      <c r="CP8" s="117">
        <f t="shared" si="13"/>
        <v>109618412</v>
      </c>
      <c r="CQ8" s="107"/>
      <c r="CR8" s="111">
        <f t="shared" si="0"/>
        <v>1</v>
      </c>
      <c r="CS8" s="111">
        <f t="shared" si="1"/>
        <v>1</v>
      </c>
      <c r="CT8" s="111">
        <f t="shared" si="2"/>
        <v>1</v>
      </c>
      <c r="CU8" s="111">
        <f t="shared" si="3"/>
        <v>1</v>
      </c>
      <c r="CV8" s="111">
        <f t="shared" si="4"/>
        <v>1</v>
      </c>
      <c r="CW8" s="111">
        <f t="shared" si="5"/>
        <v>1</v>
      </c>
      <c r="CX8" s="111">
        <f t="shared" si="6"/>
        <v>1</v>
      </c>
      <c r="CY8" s="111">
        <f t="shared" si="7"/>
        <v>1</v>
      </c>
      <c r="CZ8" s="111">
        <f t="shared" si="8"/>
        <v>1</v>
      </c>
      <c r="DA8" s="111">
        <f t="shared" si="9"/>
        <v>1</v>
      </c>
      <c r="DB8" s="111">
        <f t="shared" si="10"/>
        <v>1</v>
      </c>
      <c r="DC8" s="111">
        <f t="shared" si="11"/>
        <v>1</v>
      </c>
    </row>
    <row r="9" spans="2:120" x14ac:dyDescent="0.2">
      <c r="B9" s="107" t="s">
        <v>478</v>
      </c>
      <c r="C9" s="191" t="s">
        <v>306</v>
      </c>
      <c r="D9" s="115">
        <f>SUMIFS(wallet_records!$D:$D,wallet_records!$B:$B,'EEFF 2025'!$C9,wallet_records!$L:$L,'EEFF 2025'!D$3,wallet_records!$O:$O,'EEFF 2025'!$B$1,wallet_records!$N:$N,'EEFF 2025'!D$2,wallet_records!$H:$H,'EEFF 2025'!$B9)</f>
        <v>0</v>
      </c>
      <c r="E9" s="115">
        <f>SUMIFS(wallet_records!$D:$D,wallet_records!$B:$B,'EEFF 2025'!$C9,wallet_records!$L:$L,'EEFF 2025'!E$3,wallet_records!$O:$O,'EEFF 2025'!$B$1,wallet_records!$N:$N,'EEFF 2025'!E$2,wallet_records!$H:$H,'EEFF 2025'!$B9)</f>
        <v>0</v>
      </c>
      <c r="F9" s="115">
        <f>SUMIFS(wallet_records!$D:$D,wallet_records!$B:$B,'EEFF 2025'!$C9,wallet_records!$L:$L,'EEFF 2025'!F$3,wallet_records!$O:$O,'EEFF 2025'!$B$1,wallet_records!$N:$N,'EEFF 2025'!F$2,wallet_records!$H:$H,'EEFF 2025'!$B9)</f>
        <v>0</v>
      </c>
      <c r="G9" s="115">
        <f>SUMIFS(wallet_records!$D:$D,wallet_records!$B:$B,'EEFF 2025'!$C9,wallet_records!$L:$L,'EEFF 2025'!G$3,wallet_records!$O:$O,'EEFF 2025'!$B$1,wallet_records!$N:$N,'EEFF 2025'!G$2,wallet_records!$H:$H,'EEFF 2025'!$B9)</f>
        <v>0</v>
      </c>
      <c r="H9" s="115">
        <f>SUMIFS(wallet_records!$D:$D,wallet_records!$B:$B,'EEFF 2025'!$C9,wallet_records!$L:$L,'EEFF 2025'!H$3,wallet_records!$O:$O,'EEFF 2025'!$B$1,wallet_records!$N:$N,'EEFF 2025'!H$2,wallet_records!$H:$H,'EEFF 2025'!$B9)</f>
        <v>0</v>
      </c>
      <c r="I9" s="115">
        <f>SUMIFS(wallet_records!$D:$D,wallet_records!$B:$B,'EEFF 2025'!$C9,wallet_records!$L:$L,'EEFF 2025'!I$3,wallet_records!$O:$O,'EEFF 2025'!$B$1,wallet_records!$N:$N,'EEFF 2025'!I$2,wallet_records!$H:$H,'EEFF 2025'!$B9)</f>
        <v>0</v>
      </c>
      <c r="J9" s="116">
        <f t="shared" ref="J9:J14" si="14">SUM(D9:I9)</f>
        <v>0</v>
      </c>
      <c r="K9" s="115">
        <f>SUMIFS(wallet_records!$D:$D,wallet_records!$B:$B,'EEFF 2025'!$C9,wallet_records!$L:$L,'EEFF 2025'!K$3,wallet_records!$O:$O,'EEFF 2025'!$B$1,wallet_records!$N:$N,'EEFF 2025'!K$2,wallet_records!$H:$H,'EEFF 2025'!$B9)</f>
        <v>0</v>
      </c>
      <c r="L9" s="115">
        <f>SUMIFS(wallet_records!$D:$D,wallet_records!$B:$B,'EEFF 2025'!$C9,wallet_records!$L:$L,'EEFF 2025'!L$3,wallet_records!$O:$O,'EEFF 2025'!$B$1,wallet_records!$N:$N,'EEFF 2025'!L$2,wallet_records!$H:$H,'EEFF 2025'!$B9)</f>
        <v>0</v>
      </c>
      <c r="M9" s="115">
        <f>SUMIFS(wallet_records!$D:$D,wallet_records!$B:$B,'EEFF 2025'!$C9,wallet_records!$L:$L,'EEFF 2025'!M$3,wallet_records!$O:$O,'EEFF 2025'!$B$1,wallet_records!$N:$N,'EEFF 2025'!M$2,wallet_records!$H:$H,'EEFF 2025'!$B9)</f>
        <v>0</v>
      </c>
      <c r="N9" s="115">
        <f>SUMIFS(wallet_records!$D:$D,wallet_records!$B:$B,'EEFF 2025'!$C9,wallet_records!$L:$L,'EEFF 2025'!N$3,wallet_records!$O:$O,'EEFF 2025'!$B$1,wallet_records!$N:$N,'EEFF 2025'!N$2,wallet_records!$H:$H,'EEFF 2025'!$B9)</f>
        <v>0</v>
      </c>
      <c r="O9" s="115">
        <f>SUMIFS(wallet_records!$D:$D,wallet_records!$B:$B,'EEFF 2025'!$C9,wallet_records!$L:$L,'EEFF 2025'!O$3,wallet_records!$O:$O,'EEFF 2025'!$B$1,wallet_records!$N:$N,'EEFF 2025'!O$2,wallet_records!$H:$H,'EEFF 2025'!$B9)</f>
        <v>0</v>
      </c>
      <c r="P9" s="115">
        <f>SUMIFS(wallet_records!$D:$D,wallet_records!$B:$B,'EEFF 2025'!$C9,wallet_records!$L:$L,'EEFF 2025'!P$3,wallet_records!$O:$O,'EEFF 2025'!$B$1,wallet_records!$N:$N,'EEFF 2025'!P$2,wallet_records!$H:$H,'EEFF 2025'!$B9)</f>
        <v>0</v>
      </c>
      <c r="Q9" s="116">
        <f t="shared" ref="Q9:Q14" si="15">SUM(K9:P9)</f>
        <v>0</v>
      </c>
      <c r="R9" s="115">
        <f>SUMIFS(wallet_records!$D:$D,wallet_records!$B:$B,'EEFF 2025'!$C9,wallet_records!$L:$L,'EEFF 2025'!R$3,wallet_records!$O:$O,'EEFF 2025'!$B$1,wallet_records!$N:$N,'EEFF 2025'!R$2,wallet_records!$H:$H,'EEFF 2025'!$B9)</f>
        <v>0</v>
      </c>
      <c r="S9" s="115">
        <f>SUMIFS(wallet_records!$D:$D,wallet_records!$B:$B,'EEFF 2025'!$C9,wallet_records!$L:$L,'EEFF 2025'!S$3,wallet_records!$O:$O,'EEFF 2025'!$B$1,wallet_records!$N:$N,'EEFF 2025'!S$2,wallet_records!$H:$H,'EEFF 2025'!$B9)</f>
        <v>0</v>
      </c>
      <c r="T9" s="115">
        <f>SUMIFS(wallet_records!$D:$D,wallet_records!$B:$B,'EEFF 2025'!$C9,wallet_records!$L:$L,'EEFF 2025'!T$3,wallet_records!$O:$O,'EEFF 2025'!$B$1,wallet_records!$N:$N,'EEFF 2025'!T$2,wallet_records!$H:$H,'EEFF 2025'!$B9)</f>
        <v>0</v>
      </c>
      <c r="U9" s="115">
        <f>SUMIFS(wallet_records!$D:$D,wallet_records!$B:$B,'EEFF 2025'!$C9,wallet_records!$L:$L,'EEFF 2025'!U$3,wallet_records!$O:$O,'EEFF 2025'!$B$1,wallet_records!$N:$N,'EEFF 2025'!U$2,wallet_records!$H:$H,'EEFF 2025'!$B9)</f>
        <v>0</v>
      </c>
      <c r="V9" s="115">
        <f>SUMIFS(wallet_records!$D:$D,wallet_records!$B:$B,'EEFF 2025'!$C9,wallet_records!$L:$L,'EEFF 2025'!V$3,wallet_records!$O:$O,'EEFF 2025'!$B$1,wallet_records!$N:$N,'EEFF 2025'!V$2,wallet_records!$H:$H,'EEFF 2025'!$B9)</f>
        <v>0</v>
      </c>
      <c r="W9" s="115">
        <f>SUMIFS(wallet_records!$D:$D,wallet_records!$B:$B,'EEFF 2025'!$C9,wallet_records!$L:$L,'EEFF 2025'!W$3,wallet_records!$O:$O,'EEFF 2025'!$B$1,wallet_records!$N:$N,'EEFF 2025'!W$2,wallet_records!$H:$H,'EEFF 2025'!$B9)</f>
        <v>0</v>
      </c>
      <c r="X9" s="116">
        <f t="shared" ref="X9:X14" si="16">SUM(R9:W9)</f>
        <v>0</v>
      </c>
      <c r="Y9" s="115">
        <f>SUMIFS(wallet_records!$D:$D,wallet_records!$B:$B,'EEFF 2025'!$C9,wallet_records!$L:$L,'EEFF 2025'!Y$3,wallet_records!$O:$O,'EEFF 2025'!$B$1,wallet_records!$N:$N,'EEFF 2025'!Y$2,wallet_records!$H:$H,'EEFF 2025'!$B9)</f>
        <v>0</v>
      </c>
      <c r="Z9" s="115">
        <f>SUMIFS(wallet_records!$D:$D,wallet_records!$B:$B,'EEFF 2025'!$C9,wallet_records!$L:$L,'EEFF 2025'!Z$3,wallet_records!$O:$O,'EEFF 2025'!$B$1,wallet_records!$N:$N,'EEFF 2025'!Z$2,wallet_records!$H:$H,'EEFF 2025'!$B9)</f>
        <v>0</v>
      </c>
      <c r="AA9" s="115">
        <f>SUMIFS(wallet_records!$D:$D,wallet_records!$B:$B,'EEFF 2025'!$C9,wallet_records!$L:$L,'EEFF 2025'!AA$3,wallet_records!$O:$O,'EEFF 2025'!$B$1,wallet_records!$N:$N,'EEFF 2025'!AA$2,wallet_records!$H:$H,'EEFF 2025'!$B9)</f>
        <v>0</v>
      </c>
      <c r="AB9" s="115">
        <f>SUMIFS(wallet_records!$D:$D,wallet_records!$B:$B,'EEFF 2025'!$C9,wallet_records!$L:$L,'EEFF 2025'!AB$3,wallet_records!$O:$O,'EEFF 2025'!$B$1,wallet_records!$N:$N,'EEFF 2025'!AB$2,wallet_records!$H:$H,'EEFF 2025'!$B9)</f>
        <v>0</v>
      </c>
      <c r="AC9" s="115">
        <f>SUMIFS(wallet_records!$D:$D,wallet_records!$B:$B,'EEFF 2025'!$C9,wallet_records!$L:$L,'EEFF 2025'!AC$3,wallet_records!$O:$O,'EEFF 2025'!$B$1,wallet_records!$N:$N,'EEFF 2025'!AC$2,wallet_records!$H:$H,'EEFF 2025'!$B9)</f>
        <v>0</v>
      </c>
      <c r="AD9" s="115">
        <f>SUMIFS(wallet_records!$D:$D,wallet_records!$B:$B,'EEFF 2025'!$C9,wallet_records!$L:$L,'EEFF 2025'!AD$3,wallet_records!$O:$O,'EEFF 2025'!$B$1,wallet_records!$N:$N,'EEFF 2025'!AD$2,wallet_records!$H:$H,'EEFF 2025'!$B9)</f>
        <v>0</v>
      </c>
      <c r="AE9" s="116">
        <f t="shared" ref="AE9:AE14" si="17">SUM(Y9:AD9)</f>
        <v>0</v>
      </c>
      <c r="AF9" s="115">
        <f>SUMIFS(wallet_records!$D:$D,wallet_records!$B:$B,'EEFF 2025'!$C9,wallet_records!$L:$L,'EEFF 2025'!AF$3,wallet_records!$O:$O,'EEFF 2025'!$B$1,wallet_records!$N:$N,'EEFF 2025'!AF$2,wallet_records!$H:$H,'EEFF 2025'!$B9)</f>
        <v>0</v>
      </c>
      <c r="AG9" s="115">
        <f>SUMIFS(wallet_records!$D:$D,wallet_records!$B:$B,'EEFF 2025'!$C9,wallet_records!$L:$L,'EEFF 2025'!AG$3,wallet_records!$O:$O,'EEFF 2025'!$B$1,wallet_records!$N:$N,'EEFF 2025'!AG$2,wallet_records!$H:$H,'EEFF 2025'!$B9)</f>
        <v>0</v>
      </c>
      <c r="AH9" s="115">
        <f>SUMIFS(wallet_records!$D:$D,wallet_records!$B:$B,'EEFF 2025'!$C9,wallet_records!$L:$L,'EEFF 2025'!AH$3,wallet_records!$O:$O,'EEFF 2025'!$B$1,wallet_records!$N:$N,'EEFF 2025'!AH$2,wallet_records!$H:$H,'EEFF 2025'!$B9)</f>
        <v>0</v>
      </c>
      <c r="AI9" s="115">
        <f>SUMIFS(wallet_records!$D:$D,wallet_records!$B:$B,'EEFF 2025'!$C9,wallet_records!$L:$L,'EEFF 2025'!AI$3,wallet_records!$O:$O,'EEFF 2025'!$B$1,wallet_records!$N:$N,'EEFF 2025'!AI$2,wallet_records!$H:$H,'EEFF 2025'!$B9)</f>
        <v>0</v>
      </c>
      <c r="AJ9" s="115">
        <f>SUMIFS(wallet_records!$D:$D,wallet_records!$B:$B,'EEFF 2025'!$C9,wallet_records!$L:$L,'EEFF 2025'!AJ$3,wallet_records!$O:$O,'EEFF 2025'!$B$1,wallet_records!$N:$N,'EEFF 2025'!AJ$2,wallet_records!$H:$H,'EEFF 2025'!$B9)</f>
        <v>0</v>
      </c>
      <c r="AK9" s="115">
        <f>SUMIFS(wallet_records!$D:$D,wallet_records!$B:$B,'EEFF 2025'!$C9,wallet_records!$L:$L,'EEFF 2025'!AK$3,wallet_records!$O:$O,'EEFF 2025'!$B$1,wallet_records!$N:$N,'EEFF 2025'!AK$2,wallet_records!$H:$H,'EEFF 2025'!$B9)</f>
        <v>0</v>
      </c>
      <c r="AL9" s="116">
        <f t="shared" ref="AL9:AL14" si="18">SUM(AF9:AK9)</f>
        <v>0</v>
      </c>
      <c r="AM9" s="115">
        <f>SUMIFS(wallet_records!$D:$D,wallet_records!$B:$B,'EEFF 2025'!$C9,wallet_records!$L:$L,'EEFF 2025'!AM$3,wallet_records!$O:$O,'EEFF 2025'!$B$1,wallet_records!$N:$N,'EEFF 2025'!AM$2,wallet_records!$H:$H,'EEFF 2025'!$B9)</f>
        <v>0</v>
      </c>
      <c r="AN9" s="115">
        <f>SUMIFS(wallet_records!$D:$D,wallet_records!$B:$B,'EEFF 2025'!$C9,wallet_records!$L:$L,'EEFF 2025'!AN$3,wallet_records!$O:$O,'EEFF 2025'!$B$1,wallet_records!$N:$N,'EEFF 2025'!AN$2,wallet_records!$H:$H,'EEFF 2025'!$B9)</f>
        <v>0</v>
      </c>
      <c r="AO9" s="115">
        <f>SUMIFS(wallet_records!$D:$D,wallet_records!$B:$B,'EEFF 2025'!$C9,wallet_records!$L:$L,'EEFF 2025'!AO$3,wallet_records!$O:$O,'EEFF 2025'!$B$1,wallet_records!$N:$N,'EEFF 2025'!AO$2,wallet_records!$H:$H,'EEFF 2025'!$B9)</f>
        <v>0</v>
      </c>
      <c r="AP9" s="115">
        <f>SUMIFS(wallet_records!$D:$D,wallet_records!$B:$B,'EEFF 2025'!$C9,wallet_records!$L:$L,'EEFF 2025'!AP$3,wallet_records!$O:$O,'EEFF 2025'!$B$1,wallet_records!$N:$N,'EEFF 2025'!AP$2,wallet_records!$H:$H,'EEFF 2025'!$B9)</f>
        <v>0</v>
      </c>
      <c r="AQ9" s="115">
        <f>SUMIFS(wallet_records!$D:$D,wallet_records!$B:$B,'EEFF 2025'!$C9,wallet_records!$L:$L,'EEFF 2025'!AQ$3,wallet_records!$O:$O,'EEFF 2025'!$B$1,wallet_records!$N:$N,'EEFF 2025'!AQ$2,wallet_records!$H:$H,'EEFF 2025'!$B9)</f>
        <v>0</v>
      </c>
      <c r="AR9" s="115">
        <f>SUMIFS(wallet_records!$D:$D,wallet_records!$B:$B,'EEFF 2025'!$C9,wallet_records!$L:$L,'EEFF 2025'!AR$3,wallet_records!$O:$O,'EEFF 2025'!$B$1,wallet_records!$N:$N,'EEFF 2025'!AR$2,wallet_records!$H:$H,'EEFF 2025'!$B9)</f>
        <v>0</v>
      </c>
      <c r="AS9" s="116">
        <f t="shared" ref="AS9:AS14" si="19">SUM(AM9:AR9)</f>
        <v>0</v>
      </c>
      <c r="AT9" s="115">
        <f>SUMIFS(wallet_records!$D:$D,wallet_records!$B:$B,'EEFF 2025'!$C9,wallet_records!$L:$L,'EEFF 2025'!AT$3,wallet_records!$O:$O,'EEFF 2025'!$B$1,wallet_records!$N:$N,'EEFF 2025'!AT$2,wallet_records!$H:$H,'EEFF 2025'!$B9)</f>
        <v>0</v>
      </c>
      <c r="AU9" s="115">
        <f>SUMIFS(wallet_records!$D:$D,wallet_records!$B:$B,'EEFF 2025'!$C9,wallet_records!$L:$L,'EEFF 2025'!AU$3,wallet_records!$O:$O,'EEFF 2025'!$B$1,wallet_records!$N:$N,'EEFF 2025'!AU$2,wallet_records!$H:$H,'EEFF 2025'!$B9)</f>
        <v>0</v>
      </c>
      <c r="AV9" s="115">
        <f>SUMIFS(wallet_records!$D:$D,wallet_records!$B:$B,'EEFF 2025'!$C9,wallet_records!$L:$L,'EEFF 2025'!AV$3,wallet_records!$O:$O,'EEFF 2025'!$B$1,wallet_records!$N:$N,'EEFF 2025'!AV$2,wallet_records!$H:$H,'EEFF 2025'!$B9)</f>
        <v>0</v>
      </c>
      <c r="AW9" s="115">
        <f>SUMIFS(wallet_records!$D:$D,wallet_records!$B:$B,'EEFF 2025'!$C9,wallet_records!$L:$L,'EEFF 2025'!AW$3,wallet_records!$O:$O,'EEFF 2025'!$B$1,wallet_records!$N:$N,'EEFF 2025'!AW$2,wallet_records!$H:$H,'EEFF 2025'!$B9)</f>
        <v>0</v>
      </c>
      <c r="AX9" s="115">
        <f>SUMIFS(wallet_records!$D:$D,wallet_records!$B:$B,'EEFF 2025'!$C9,wallet_records!$L:$L,'EEFF 2025'!AX$3,wallet_records!$O:$O,'EEFF 2025'!$B$1,wallet_records!$N:$N,'EEFF 2025'!AX$2,wallet_records!$H:$H,'EEFF 2025'!$B9)</f>
        <v>0</v>
      </c>
      <c r="AY9" s="115">
        <f>SUMIFS(wallet_records!$D:$D,wallet_records!$B:$B,'EEFF 2025'!$C9,wallet_records!$L:$L,'EEFF 2025'!AY$3,wallet_records!$O:$O,'EEFF 2025'!$B$1,wallet_records!$N:$N,'EEFF 2025'!AY$2,wallet_records!$H:$H,'EEFF 2025'!$B9)</f>
        <v>0</v>
      </c>
      <c r="AZ9" s="116">
        <f t="shared" ref="AZ9:AZ14" si="20">SUM(AT9:AY9)</f>
        <v>0</v>
      </c>
      <c r="BA9" s="115">
        <f>SUMIFS(wallet_records!$D:$D,wallet_records!$B:$B,'EEFF 2025'!$C9,wallet_records!$L:$L,'EEFF 2025'!BA$3,wallet_records!$O:$O,'EEFF 2025'!$B$1,wallet_records!$N:$N,'EEFF 2025'!BA$2,wallet_records!$H:$H,'EEFF 2025'!$B9)</f>
        <v>0</v>
      </c>
      <c r="BB9" s="115">
        <f>SUMIFS(wallet_records!$D:$D,wallet_records!$B:$B,'EEFF 2025'!$C9,wallet_records!$L:$L,'EEFF 2025'!BB$3,wallet_records!$O:$O,'EEFF 2025'!$B$1,wallet_records!$N:$N,'EEFF 2025'!BB$2,wallet_records!$H:$H,'EEFF 2025'!$B9)</f>
        <v>0</v>
      </c>
      <c r="BC9" s="115">
        <f>SUMIFS(wallet_records!$D:$D,wallet_records!$B:$B,'EEFF 2025'!$C9,wallet_records!$L:$L,'EEFF 2025'!BC$3,wallet_records!$O:$O,'EEFF 2025'!$B$1,wallet_records!$N:$N,'EEFF 2025'!BC$2,wallet_records!$H:$H,'EEFF 2025'!$B9)</f>
        <v>0</v>
      </c>
      <c r="BD9" s="115">
        <f>SUMIFS(wallet_records!$D:$D,wallet_records!$B:$B,'EEFF 2025'!$C9,wallet_records!$L:$L,'EEFF 2025'!BD$3,wallet_records!$O:$O,'EEFF 2025'!$B$1,wallet_records!$N:$N,'EEFF 2025'!BD$2,wallet_records!$H:$H,'EEFF 2025'!$B9)</f>
        <v>0</v>
      </c>
      <c r="BE9" s="115">
        <f>SUMIFS(wallet_records!$D:$D,wallet_records!$B:$B,'EEFF 2025'!$C9,wallet_records!$L:$L,'EEFF 2025'!BE$3,wallet_records!$O:$O,'EEFF 2025'!$B$1,wallet_records!$N:$N,'EEFF 2025'!BE$2,wallet_records!$H:$H,'EEFF 2025'!$B9)</f>
        <v>0</v>
      </c>
      <c r="BF9" s="115">
        <f>SUMIFS(wallet_records!$D:$D,wallet_records!$B:$B,'EEFF 2025'!$C9,wallet_records!$L:$L,'EEFF 2025'!BF$3,wallet_records!$O:$O,'EEFF 2025'!$B$1,wallet_records!$N:$N,'EEFF 2025'!BF$2,wallet_records!$H:$H,'EEFF 2025'!$B9)</f>
        <v>0</v>
      </c>
      <c r="BG9" s="116">
        <f t="shared" ref="BG9:BG14" si="21">SUM(BA9:BF9)</f>
        <v>0</v>
      </c>
      <c r="BH9" s="115">
        <f>SUMIFS(wallet_records!$D:$D,wallet_records!$B:$B,'EEFF 2025'!$C9,wallet_records!$L:$L,'EEFF 2025'!BH$3,wallet_records!$O:$O,'EEFF 2025'!$B$1,wallet_records!$N:$N,'EEFF 2025'!BH$2,wallet_records!$H:$H,'EEFF 2025'!$B9)</f>
        <v>0</v>
      </c>
      <c r="BI9" s="115">
        <f>SUMIFS(wallet_records!$D:$D,wallet_records!$B:$B,'EEFF 2025'!$C9,wallet_records!$L:$L,'EEFF 2025'!BI$3,wallet_records!$O:$O,'EEFF 2025'!$B$1,wallet_records!$N:$N,'EEFF 2025'!BI$2,wallet_records!$H:$H,'EEFF 2025'!$B9)</f>
        <v>0</v>
      </c>
      <c r="BJ9" s="115">
        <f>SUMIFS(wallet_records!$D:$D,wallet_records!$B:$B,'EEFF 2025'!$C9,wallet_records!$L:$L,'EEFF 2025'!BJ$3,wallet_records!$O:$O,'EEFF 2025'!$B$1,wallet_records!$N:$N,'EEFF 2025'!BJ$2,wallet_records!$H:$H,'EEFF 2025'!$B9)</f>
        <v>0</v>
      </c>
      <c r="BK9" s="115">
        <f>SUMIFS(wallet_records!$D:$D,wallet_records!$B:$B,'EEFF 2025'!$C9,wallet_records!$L:$L,'EEFF 2025'!BK$3,wallet_records!$O:$O,'EEFF 2025'!$B$1,wallet_records!$N:$N,'EEFF 2025'!BK$2,wallet_records!$H:$H,'EEFF 2025'!$B9)</f>
        <v>0</v>
      </c>
      <c r="BL9" s="115">
        <f>SUMIFS(wallet_records!$D:$D,wallet_records!$B:$B,'EEFF 2025'!$C9,wallet_records!$L:$L,'EEFF 2025'!BL$3,wallet_records!$O:$O,'EEFF 2025'!$B$1,wallet_records!$N:$N,'EEFF 2025'!BL$2,wallet_records!$H:$H,'EEFF 2025'!$B9)</f>
        <v>0</v>
      </c>
      <c r="BM9" s="115">
        <f>SUMIFS(wallet_records!$D:$D,wallet_records!$B:$B,'EEFF 2025'!$C9,wallet_records!$L:$L,'EEFF 2025'!BM$3,wallet_records!$O:$O,'EEFF 2025'!$B$1,wallet_records!$N:$N,'EEFF 2025'!BM$2,wallet_records!$H:$H,'EEFF 2025'!$B9)</f>
        <v>0</v>
      </c>
      <c r="BN9" s="116">
        <f t="shared" ref="BN9:BN14" si="22">SUM(BH9:BM9)</f>
        <v>0</v>
      </c>
      <c r="BO9" s="115">
        <f>SUMIFS(wallet_records!$D:$D,wallet_records!$B:$B,'EEFF 2025'!$C9,wallet_records!$L:$L,'EEFF 2025'!BO$3,wallet_records!$O:$O,'EEFF 2025'!$B$1,wallet_records!$N:$N,'EEFF 2025'!BO$2,wallet_records!$H:$H,'EEFF 2025'!$B9)</f>
        <v>0</v>
      </c>
      <c r="BP9" s="115">
        <f>SUMIFS(wallet_records!$D:$D,wallet_records!$B:$B,'EEFF 2025'!$C9,wallet_records!$L:$L,'EEFF 2025'!BP$3,wallet_records!$O:$O,'EEFF 2025'!$B$1,wallet_records!$N:$N,'EEFF 2025'!BP$2,wallet_records!$H:$H,'EEFF 2025'!$B9)</f>
        <v>0</v>
      </c>
      <c r="BQ9" s="115">
        <f>SUMIFS(wallet_records!$D:$D,wallet_records!$B:$B,'EEFF 2025'!$C9,wallet_records!$L:$L,'EEFF 2025'!BQ$3,wallet_records!$O:$O,'EEFF 2025'!$B$1,wallet_records!$N:$N,'EEFF 2025'!BQ$2,wallet_records!$H:$H,'EEFF 2025'!$B9)</f>
        <v>0</v>
      </c>
      <c r="BR9" s="115">
        <f>SUMIFS(wallet_records!$D:$D,wallet_records!$B:$B,'EEFF 2025'!$C9,wallet_records!$L:$L,'EEFF 2025'!BR$3,wallet_records!$O:$O,'EEFF 2025'!$B$1,wallet_records!$N:$N,'EEFF 2025'!BR$2,wallet_records!$H:$H,'EEFF 2025'!$B9)</f>
        <v>0</v>
      </c>
      <c r="BS9" s="115">
        <f>SUMIFS(wallet_records!$D:$D,wallet_records!$B:$B,'EEFF 2025'!$C9,wallet_records!$L:$L,'EEFF 2025'!BS$3,wallet_records!$O:$O,'EEFF 2025'!$B$1,wallet_records!$N:$N,'EEFF 2025'!BS$2,wallet_records!$H:$H,'EEFF 2025'!$B9)</f>
        <v>0</v>
      </c>
      <c r="BT9" s="115">
        <f>SUMIFS(wallet_records!$D:$D,wallet_records!$B:$B,'EEFF 2025'!$C9,wallet_records!$L:$L,'EEFF 2025'!BT$3,wallet_records!$O:$O,'EEFF 2025'!$B$1,wallet_records!$N:$N,'EEFF 2025'!BT$2,wallet_records!$H:$H,'EEFF 2025'!$B9)</f>
        <v>0</v>
      </c>
      <c r="BU9" s="116">
        <f t="shared" ref="BU9:BU14" si="23">SUM(BO9:BT9)</f>
        <v>0</v>
      </c>
      <c r="BV9" s="115">
        <f>SUMIFS(wallet_records!$D:$D,wallet_records!$B:$B,'EEFF 2025'!$C9,wallet_records!$L:$L,'EEFF 2025'!BV$3,wallet_records!$O:$O,'EEFF 2025'!$B$1,wallet_records!$N:$N,'EEFF 2025'!BV$2,wallet_records!$H:$H,'EEFF 2025'!$B9)</f>
        <v>0</v>
      </c>
      <c r="BW9" s="115">
        <f>SUMIFS(wallet_records!$D:$D,wallet_records!$B:$B,'EEFF 2025'!$C9,wallet_records!$L:$L,'EEFF 2025'!BW$3,wallet_records!$O:$O,'EEFF 2025'!$B$1,wallet_records!$N:$N,'EEFF 2025'!BW$2,wallet_records!$H:$H,'EEFF 2025'!$B9)</f>
        <v>0</v>
      </c>
      <c r="BX9" s="115">
        <f>SUMIFS(wallet_records!$D:$D,wallet_records!$B:$B,'EEFF 2025'!$C9,wallet_records!$L:$L,'EEFF 2025'!BX$3,wallet_records!$O:$O,'EEFF 2025'!$B$1,wallet_records!$N:$N,'EEFF 2025'!BX$2,wallet_records!$H:$H,'EEFF 2025'!$B9)</f>
        <v>0</v>
      </c>
      <c r="BY9" s="115">
        <f>SUMIFS(wallet_records!$D:$D,wallet_records!$B:$B,'EEFF 2025'!$C9,wallet_records!$L:$L,'EEFF 2025'!BY$3,wallet_records!$O:$O,'EEFF 2025'!$B$1,wallet_records!$N:$N,'EEFF 2025'!BY$2,wallet_records!$H:$H,'EEFF 2025'!$B9)</f>
        <v>0</v>
      </c>
      <c r="BZ9" s="115">
        <f>SUMIFS(wallet_records!$D:$D,wallet_records!$B:$B,'EEFF 2025'!$C9,wallet_records!$L:$L,'EEFF 2025'!BZ$3,wallet_records!$O:$O,'EEFF 2025'!$B$1,wallet_records!$N:$N,'EEFF 2025'!BZ$2,wallet_records!$H:$H,'EEFF 2025'!$B9)</f>
        <v>0</v>
      </c>
      <c r="CA9" s="115">
        <f>SUMIFS(wallet_records!$D:$D,wallet_records!$B:$B,'EEFF 2025'!$C9,wallet_records!$L:$L,'EEFF 2025'!CA$3,wallet_records!$O:$O,'EEFF 2025'!$B$1,wallet_records!$N:$N,'EEFF 2025'!CA$2,wallet_records!$H:$H,'EEFF 2025'!$B9)</f>
        <v>0</v>
      </c>
      <c r="CB9" s="116">
        <f t="shared" ref="CB9:CB14" si="24">SUM(BV9:CA9)</f>
        <v>0</v>
      </c>
      <c r="CC9" s="115">
        <f>SUMIFS(wallet_records!$D:$D,wallet_records!$B:$B,'EEFF 2025'!$C9,wallet_records!$L:$L,'EEFF 2025'!CC$3,wallet_records!$O:$O,'EEFF 2025'!$B$1,wallet_records!$N:$N,'EEFF 2025'!CC$2,wallet_records!$H:$H,'EEFF 2025'!$B9)</f>
        <v>0</v>
      </c>
      <c r="CD9" s="115">
        <f>SUMIFS(wallet_records!$D:$D,wallet_records!$B:$B,'EEFF 2025'!$C9,wallet_records!$L:$L,'EEFF 2025'!CD$3,wallet_records!$O:$O,'EEFF 2025'!$B$1,wallet_records!$N:$N,'EEFF 2025'!CD$2,wallet_records!$H:$H,'EEFF 2025'!$B9)</f>
        <v>0</v>
      </c>
      <c r="CE9" s="115">
        <f>SUMIFS(wallet_records!$D:$D,wallet_records!$B:$B,'EEFF 2025'!$C9,wallet_records!$L:$L,'EEFF 2025'!CE$3,wallet_records!$O:$O,'EEFF 2025'!$B$1,wallet_records!$N:$N,'EEFF 2025'!CE$2,wallet_records!$H:$H,'EEFF 2025'!$B9)</f>
        <v>0</v>
      </c>
      <c r="CF9" s="115">
        <f>SUMIFS(wallet_records!$D:$D,wallet_records!$B:$B,'EEFF 2025'!$C9,wallet_records!$L:$L,'EEFF 2025'!CF$3,wallet_records!$O:$O,'EEFF 2025'!$B$1,wallet_records!$N:$N,'EEFF 2025'!CF$2,wallet_records!$H:$H,'EEFF 2025'!$B9)</f>
        <v>0</v>
      </c>
      <c r="CG9" s="115">
        <f>SUMIFS(wallet_records!$D:$D,wallet_records!$B:$B,'EEFF 2025'!$C9,wallet_records!$L:$L,'EEFF 2025'!CG$3,wallet_records!$O:$O,'EEFF 2025'!$B$1,wallet_records!$N:$N,'EEFF 2025'!CG$2,wallet_records!$H:$H,'EEFF 2025'!$B9)</f>
        <v>0</v>
      </c>
      <c r="CH9" s="115">
        <f>SUMIFS(wallet_records!$D:$D,wallet_records!$B:$B,'EEFF 2025'!$C9,wallet_records!$L:$L,'EEFF 2025'!CH$3,wallet_records!$O:$O,'EEFF 2025'!$B$1,wallet_records!$N:$N,'EEFF 2025'!CH$2,wallet_records!$H:$H,'EEFF 2025'!$B9)</f>
        <v>0</v>
      </c>
      <c r="CI9" s="116">
        <f t="shared" ref="CI9:CI14" si="25">SUM(CC9:CH9)</f>
        <v>0</v>
      </c>
      <c r="CJ9" s="115">
        <f>SUMIFS(wallet_records!$D:$D,wallet_records!$B:$B,'EEFF 2025'!$C9,wallet_records!$L:$L,'EEFF 2025'!CJ$3,wallet_records!$O:$O,'EEFF 2025'!$B$1,wallet_records!$H:$H,'EEFF 2025'!$B9)</f>
        <v>0</v>
      </c>
      <c r="CK9" s="115">
        <f>SUMIFS(wallet_records!$D:$D,wallet_records!$B:$B,'EEFF 2025'!$C9,wallet_records!$L:$L,'EEFF 2025'!CK$3,wallet_records!$O:$O,'EEFF 2025'!$B$1,wallet_records!$H:$H,'EEFF 2025'!$B9)</f>
        <v>0</v>
      </c>
      <c r="CL9" s="115">
        <f>SUMIFS(wallet_records!$D:$D,wallet_records!$B:$B,'EEFF 2025'!$C9,wallet_records!$L:$L,'EEFF 2025'!CL$3,wallet_records!$O:$O,'EEFF 2025'!$B$1,wallet_records!$H:$H,'EEFF 2025'!$B9)</f>
        <v>0</v>
      </c>
      <c r="CM9" s="115">
        <f>SUMIFS(wallet_records!$D:$D,wallet_records!$B:$B,'EEFF 2025'!$C9,wallet_records!$L:$L,'EEFF 2025'!CM$3,wallet_records!$O:$O,'EEFF 2025'!$B$1,wallet_records!$H:$H,'EEFF 2025'!$B9)</f>
        <v>0</v>
      </c>
      <c r="CN9" s="115">
        <f>SUMIFS(wallet_records!$D:$D,wallet_records!$B:$B,'EEFF 2025'!$C9,wallet_records!$L:$L,'EEFF 2025'!CN$3,wallet_records!$O:$O,'EEFF 2025'!$B$1,wallet_records!$H:$H,'EEFF 2025'!$B9)</f>
        <v>0</v>
      </c>
      <c r="CO9" s="115">
        <f>SUMIFS(wallet_records!$D:$D,wallet_records!$B:$B,'EEFF 2025'!$C9,wallet_records!$L:$L,'EEFF 2025'!CO$3,wallet_records!$O:$O,'EEFF 2025'!$B$1,wallet_records!$H:$H,'EEFF 2025'!$B9)</f>
        <v>0</v>
      </c>
      <c r="CP9" s="116">
        <f t="shared" ref="CP9:CP14" si="26">SUM(CJ9:CO9)</f>
        <v>0</v>
      </c>
      <c r="CQ9" s="107"/>
      <c r="CR9" s="118">
        <f t="shared" si="0"/>
        <v>0</v>
      </c>
      <c r="CS9" s="118">
        <f t="shared" si="1"/>
        <v>0</v>
      </c>
      <c r="CT9" s="118">
        <f t="shared" si="2"/>
        <v>0</v>
      </c>
      <c r="CU9" s="118">
        <f t="shared" si="3"/>
        <v>0</v>
      </c>
      <c r="CV9" s="118">
        <f t="shared" si="4"/>
        <v>0</v>
      </c>
      <c r="CW9" s="118">
        <f t="shared" si="5"/>
        <v>0</v>
      </c>
      <c r="CX9" s="118">
        <f t="shared" si="6"/>
        <v>0</v>
      </c>
      <c r="CY9" s="118">
        <f t="shared" si="7"/>
        <v>0</v>
      </c>
      <c r="CZ9" s="118">
        <f t="shared" si="8"/>
        <v>0</v>
      </c>
      <c r="DA9" s="118">
        <f t="shared" si="9"/>
        <v>0</v>
      </c>
      <c r="DB9" s="118">
        <f t="shared" si="10"/>
        <v>0</v>
      </c>
      <c r="DC9" s="118">
        <f t="shared" si="11"/>
        <v>0</v>
      </c>
    </row>
    <row r="10" spans="2:120" x14ac:dyDescent="0.2">
      <c r="B10" s="107" t="s">
        <v>118</v>
      </c>
      <c r="C10" s="191" t="s">
        <v>114</v>
      </c>
      <c r="D10" s="115">
        <f>SUMIFS(wallet_records!$D:$D,wallet_records!$B:$B,'EEFF 2025'!$C10,wallet_records!$L:$L,'EEFF 2025'!D$3,wallet_records!$O:$O,'EEFF 2025'!$B$1,wallet_records!$N:$N,'EEFF 2025'!D$2,wallet_records!$H:$H,'EEFF 2025'!$B10)</f>
        <v>7124837.6699999999</v>
      </c>
      <c r="E10" s="115">
        <f>SUMIFS(wallet_records!$D:$D,wallet_records!$B:$B,'EEFF 2025'!$C10,wallet_records!$L:$L,'EEFF 2025'!E$3,wallet_records!$O:$O,'EEFF 2025'!$B$1,wallet_records!$N:$N,'EEFF 2025'!E$2,wallet_records!$H:$H,'EEFF 2025'!$B10)</f>
        <v>0</v>
      </c>
      <c r="F10" s="115">
        <f>SUMIFS(wallet_records!$D:$D,wallet_records!$B:$B,'EEFF 2025'!$C10,wallet_records!$L:$L,'EEFF 2025'!F$3,wallet_records!$O:$O,'EEFF 2025'!$B$1,wallet_records!$N:$N,'EEFF 2025'!F$2,wallet_records!$H:$H,'EEFF 2025'!$B10)</f>
        <v>0</v>
      </c>
      <c r="G10" s="115">
        <f>SUMIFS(wallet_records!$D:$D,wallet_records!$B:$B,'EEFF 2025'!$C10,wallet_records!$L:$L,'EEFF 2025'!G$3,wallet_records!$O:$O,'EEFF 2025'!$B$1,wallet_records!$N:$N,'EEFF 2025'!G$2,wallet_records!$H:$H,'EEFF 2025'!$B10)</f>
        <v>0</v>
      </c>
      <c r="H10" s="115">
        <f>SUMIFS(wallet_records!$D:$D,wallet_records!$B:$B,'EEFF 2025'!$C10,wallet_records!$L:$L,'EEFF 2025'!H$3,wallet_records!$O:$O,'EEFF 2025'!$B$1,wallet_records!$N:$N,'EEFF 2025'!H$2,wallet_records!$H:$H,'EEFF 2025'!$B10)</f>
        <v>0</v>
      </c>
      <c r="I10" s="115">
        <f>SUMIFS(wallet_records!$D:$D,wallet_records!$B:$B,'EEFF 2025'!$C10,wallet_records!$L:$L,'EEFF 2025'!I$3,wallet_records!$O:$O,'EEFF 2025'!$B$1,wallet_records!$N:$N,'EEFF 2025'!I$2,wallet_records!$H:$H,'EEFF 2025'!$B10)</f>
        <v>0</v>
      </c>
      <c r="J10" s="116">
        <f t="shared" si="14"/>
        <v>7124837.6699999999</v>
      </c>
      <c r="K10" s="115">
        <f>SUMIFS(wallet_records!$D:$D,wallet_records!$B:$B,'EEFF 2025'!$C10,wallet_records!$L:$L,'EEFF 2025'!K$3,wallet_records!$O:$O,'EEFF 2025'!$B$1,wallet_records!$N:$N,'EEFF 2025'!K$2,wallet_records!$H:$H,'EEFF 2025'!$B10)</f>
        <v>0</v>
      </c>
      <c r="L10" s="115">
        <f>SUMIFS(wallet_records!$D:$D,wallet_records!$B:$B,'EEFF 2025'!$C10,wallet_records!$L:$L,'EEFF 2025'!L$3,wallet_records!$O:$O,'EEFF 2025'!$B$1,wallet_records!$N:$N,'EEFF 2025'!L$2,wallet_records!$H:$H,'EEFF 2025'!$B10)</f>
        <v>0</v>
      </c>
      <c r="M10" s="115">
        <f>SUMIFS(wallet_records!$D:$D,wallet_records!$B:$B,'EEFF 2025'!$C10,wallet_records!$L:$L,'EEFF 2025'!M$3,wallet_records!$O:$O,'EEFF 2025'!$B$1,wallet_records!$N:$N,'EEFF 2025'!M$2,wallet_records!$H:$H,'EEFF 2025'!$B10)</f>
        <v>0</v>
      </c>
      <c r="N10" s="115">
        <f>SUMIFS(wallet_records!$D:$D,wallet_records!$B:$B,'EEFF 2025'!$C10,wallet_records!$L:$L,'EEFF 2025'!N$3,wallet_records!$O:$O,'EEFF 2025'!$B$1,wallet_records!$N:$N,'EEFF 2025'!N$2,wallet_records!$H:$H,'EEFF 2025'!$B10)</f>
        <v>0</v>
      </c>
      <c r="O10" s="115">
        <f>SUMIFS(wallet_records!$D:$D,wallet_records!$B:$B,'EEFF 2025'!$C10,wallet_records!$L:$L,'EEFF 2025'!O$3,wallet_records!$O:$O,'EEFF 2025'!$B$1,wallet_records!$N:$N,'EEFF 2025'!O$2,wallet_records!$H:$H,'EEFF 2025'!$B10)</f>
        <v>0</v>
      </c>
      <c r="P10" s="115">
        <f>SUMIFS(wallet_records!$D:$D,wallet_records!$B:$B,'EEFF 2025'!$C10,wallet_records!$L:$L,'EEFF 2025'!P$3,wallet_records!$O:$O,'EEFF 2025'!$B$1,wallet_records!$N:$N,'EEFF 2025'!P$2,wallet_records!$H:$H,'EEFF 2025'!$B10)</f>
        <v>0</v>
      </c>
      <c r="Q10" s="116">
        <f t="shared" si="15"/>
        <v>0</v>
      </c>
      <c r="R10" s="115">
        <f>SUMIFS(wallet_records!$D:$D,wallet_records!$B:$B,'EEFF 2025'!$C10,wallet_records!$L:$L,'EEFF 2025'!R$3,wallet_records!$O:$O,'EEFF 2025'!$B$1,wallet_records!$N:$N,'EEFF 2025'!R$2,wallet_records!$H:$H,'EEFF 2025'!$B10)</f>
        <v>690000</v>
      </c>
      <c r="S10" s="115">
        <f>SUMIFS(wallet_records!$D:$D,wallet_records!$B:$B,'EEFF 2025'!$C10,wallet_records!$L:$L,'EEFF 2025'!S$3,wallet_records!$O:$O,'EEFF 2025'!$B$1,wallet_records!$N:$N,'EEFF 2025'!S$2,wallet_records!$H:$H,'EEFF 2025'!$B10)</f>
        <v>4522000</v>
      </c>
      <c r="T10" s="115">
        <f>SUMIFS(wallet_records!$D:$D,wallet_records!$B:$B,'EEFF 2025'!$C10,wallet_records!$L:$L,'EEFF 2025'!T$3,wallet_records!$O:$O,'EEFF 2025'!$B$1,wallet_records!$N:$N,'EEFF 2025'!T$2,wallet_records!$H:$H,'EEFF 2025'!$B10)</f>
        <v>0</v>
      </c>
      <c r="U10" s="115">
        <f>SUMIFS(wallet_records!$D:$D,wallet_records!$B:$B,'EEFF 2025'!$C10,wallet_records!$L:$L,'EEFF 2025'!U$3,wallet_records!$O:$O,'EEFF 2025'!$B$1,wallet_records!$N:$N,'EEFF 2025'!U$2,wallet_records!$H:$H,'EEFF 2025'!$B10)</f>
        <v>0</v>
      </c>
      <c r="V10" s="115">
        <f>SUMIFS(wallet_records!$D:$D,wallet_records!$B:$B,'EEFF 2025'!$C10,wallet_records!$L:$L,'EEFF 2025'!V$3,wallet_records!$O:$O,'EEFF 2025'!$B$1,wallet_records!$N:$N,'EEFF 2025'!V$2,wallet_records!$H:$H,'EEFF 2025'!$B10)</f>
        <v>0</v>
      </c>
      <c r="W10" s="115">
        <f>SUMIFS(wallet_records!$D:$D,wallet_records!$B:$B,'EEFF 2025'!$C10,wallet_records!$L:$L,'EEFF 2025'!W$3,wallet_records!$O:$O,'EEFF 2025'!$B$1,wallet_records!$N:$N,'EEFF 2025'!W$2,wallet_records!$H:$H,'EEFF 2025'!$B10)</f>
        <v>0</v>
      </c>
      <c r="X10" s="116">
        <f t="shared" si="16"/>
        <v>5212000</v>
      </c>
      <c r="Y10" s="115">
        <f>SUMIFS(wallet_records!$D:$D,wallet_records!$B:$B,'EEFF 2025'!$C10,wallet_records!$L:$L,'EEFF 2025'!Y$3,wallet_records!$O:$O,'EEFF 2025'!$B$1,wallet_records!$N:$N,'EEFF 2025'!Y$2,wallet_records!$H:$H,'EEFF 2025'!$B10)</f>
        <v>300000</v>
      </c>
      <c r="Z10" s="115">
        <f>SUMIFS(wallet_records!$D:$D,wallet_records!$B:$B,'EEFF 2025'!$C10,wallet_records!$L:$L,'EEFF 2025'!Z$3,wallet_records!$O:$O,'EEFF 2025'!$B$1,wallet_records!$N:$N,'EEFF 2025'!Z$2,wallet_records!$H:$H,'EEFF 2025'!$B10)</f>
        <v>0</v>
      </c>
      <c r="AA10" s="115">
        <f>SUMIFS(wallet_records!$D:$D,wallet_records!$B:$B,'EEFF 2025'!$C10,wallet_records!$L:$L,'EEFF 2025'!AA$3,wallet_records!$O:$O,'EEFF 2025'!$B$1,wallet_records!$N:$N,'EEFF 2025'!AA$2,wallet_records!$H:$H,'EEFF 2025'!$B10)</f>
        <v>0</v>
      </c>
      <c r="AB10" s="115">
        <f>SUMIFS(wallet_records!$D:$D,wallet_records!$B:$B,'EEFF 2025'!$C10,wallet_records!$L:$L,'EEFF 2025'!AB$3,wallet_records!$O:$O,'EEFF 2025'!$B$1,wallet_records!$N:$N,'EEFF 2025'!AB$2,wallet_records!$H:$H,'EEFF 2025'!$B10)</f>
        <v>0</v>
      </c>
      <c r="AC10" s="115">
        <f>SUMIFS(wallet_records!$D:$D,wallet_records!$B:$B,'EEFF 2025'!$C10,wallet_records!$L:$L,'EEFF 2025'!AC$3,wallet_records!$O:$O,'EEFF 2025'!$B$1,wallet_records!$N:$N,'EEFF 2025'!AC$2,wallet_records!$H:$H,'EEFF 2025'!$B10)</f>
        <v>0</v>
      </c>
      <c r="AD10" s="115">
        <f>SUMIFS(wallet_records!$D:$D,wallet_records!$B:$B,'EEFF 2025'!$C10,wallet_records!$L:$L,'EEFF 2025'!AD$3,wallet_records!$O:$O,'EEFF 2025'!$B$1,wallet_records!$N:$N,'EEFF 2025'!AD$2,wallet_records!$H:$H,'EEFF 2025'!$B10)</f>
        <v>0</v>
      </c>
      <c r="AE10" s="116">
        <f t="shared" si="17"/>
        <v>300000</v>
      </c>
      <c r="AF10" s="115">
        <f>SUMIFS(wallet_records!$D:$D,wallet_records!$B:$B,'EEFF 2025'!$C10,wallet_records!$L:$L,'EEFF 2025'!AF$3,wallet_records!$O:$O,'EEFF 2025'!$B$1,wallet_records!$N:$N,'EEFF 2025'!AF$2,wallet_records!$H:$H,'EEFF 2025'!$B10)</f>
        <v>2500000</v>
      </c>
      <c r="AG10" s="115">
        <f>SUMIFS(wallet_records!$D:$D,wallet_records!$B:$B,'EEFF 2025'!$C10,wallet_records!$L:$L,'EEFF 2025'!AG$3,wallet_records!$O:$O,'EEFF 2025'!$B$1,wallet_records!$N:$N,'EEFF 2025'!AG$2,wallet_records!$H:$H,'EEFF 2025'!$B10)</f>
        <v>0</v>
      </c>
      <c r="AH10" s="115">
        <f>SUMIFS(wallet_records!$D:$D,wallet_records!$B:$B,'EEFF 2025'!$C10,wallet_records!$L:$L,'EEFF 2025'!AH$3,wallet_records!$O:$O,'EEFF 2025'!$B$1,wallet_records!$N:$N,'EEFF 2025'!AH$2,wallet_records!$H:$H,'EEFF 2025'!$B10)</f>
        <v>0</v>
      </c>
      <c r="AI10" s="115">
        <f>SUMIFS(wallet_records!$D:$D,wallet_records!$B:$B,'EEFF 2025'!$C10,wallet_records!$L:$L,'EEFF 2025'!AI$3,wallet_records!$O:$O,'EEFF 2025'!$B$1,wallet_records!$N:$N,'EEFF 2025'!AI$2,wallet_records!$H:$H,'EEFF 2025'!$B10)</f>
        <v>0</v>
      </c>
      <c r="AJ10" s="115">
        <f>SUMIFS(wallet_records!$D:$D,wallet_records!$B:$B,'EEFF 2025'!$C10,wallet_records!$L:$L,'EEFF 2025'!AJ$3,wallet_records!$O:$O,'EEFF 2025'!$B$1,wallet_records!$N:$N,'EEFF 2025'!AJ$2,wallet_records!$H:$H,'EEFF 2025'!$B10)</f>
        <v>0</v>
      </c>
      <c r="AK10" s="115">
        <f>SUMIFS(wallet_records!$D:$D,wallet_records!$B:$B,'EEFF 2025'!$C10,wallet_records!$L:$L,'EEFF 2025'!AK$3,wallet_records!$O:$O,'EEFF 2025'!$B$1,wallet_records!$N:$N,'EEFF 2025'!AK$2,wallet_records!$H:$H,'EEFF 2025'!$B10)</f>
        <v>0</v>
      </c>
      <c r="AL10" s="116">
        <f t="shared" si="18"/>
        <v>2500000</v>
      </c>
      <c r="AM10" s="115">
        <f>SUMIFS(wallet_records!$D:$D,wallet_records!$B:$B,'EEFF 2025'!$C10,wallet_records!$L:$L,'EEFF 2025'!AM$3,wallet_records!$O:$O,'EEFF 2025'!$B$1,wallet_records!$N:$N,'EEFF 2025'!AM$2,wallet_records!$H:$H,'EEFF 2025'!$B10)</f>
        <v>1109000</v>
      </c>
      <c r="AN10" s="115">
        <f>SUMIFS(wallet_records!$D:$D,wallet_records!$B:$B,'EEFF 2025'!$C10,wallet_records!$L:$L,'EEFF 2025'!AN$3,wallet_records!$O:$O,'EEFF 2025'!$B$1,wallet_records!$N:$N,'EEFF 2025'!AN$2,wallet_records!$H:$H,'EEFF 2025'!$B10)</f>
        <v>144800</v>
      </c>
      <c r="AO10" s="115">
        <f>SUMIFS(wallet_records!$D:$D,wallet_records!$B:$B,'EEFF 2025'!$C10,wallet_records!$L:$L,'EEFF 2025'!AO$3,wallet_records!$O:$O,'EEFF 2025'!$B$1,wallet_records!$N:$N,'EEFF 2025'!AO$2,wallet_records!$H:$H,'EEFF 2025'!$B10)</f>
        <v>0</v>
      </c>
      <c r="AP10" s="115">
        <f>SUMIFS(wallet_records!$D:$D,wallet_records!$B:$B,'EEFF 2025'!$C10,wallet_records!$L:$L,'EEFF 2025'!AP$3,wallet_records!$O:$O,'EEFF 2025'!$B$1,wallet_records!$N:$N,'EEFF 2025'!AP$2,wallet_records!$H:$H,'EEFF 2025'!$B10)</f>
        <v>223700</v>
      </c>
      <c r="AQ10" s="115">
        <f>SUMIFS(wallet_records!$D:$D,wallet_records!$B:$B,'EEFF 2025'!$C10,wallet_records!$L:$L,'EEFF 2025'!AQ$3,wallet_records!$O:$O,'EEFF 2025'!$B$1,wallet_records!$N:$N,'EEFF 2025'!AQ$2,wallet_records!$H:$H,'EEFF 2025'!$B10)</f>
        <v>864700</v>
      </c>
      <c r="AR10" s="115">
        <f>SUMIFS(wallet_records!$D:$D,wallet_records!$B:$B,'EEFF 2025'!$C10,wallet_records!$L:$L,'EEFF 2025'!AR$3,wallet_records!$O:$O,'EEFF 2025'!$B$1,wallet_records!$N:$N,'EEFF 2025'!AR$2,wallet_records!$H:$H,'EEFF 2025'!$B10)</f>
        <v>0</v>
      </c>
      <c r="AS10" s="116">
        <f t="shared" si="19"/>
        <v>2342200</v>
      </c>
      <c r="AT10" s="115">
        <f>SUMIFS(wallet_records!$D:$D,wallet_records!$B:$B,'EEFF 2025'!$C10,wallet_records!$L:$L,'EEFF 2025'!AT$3,wallet_records!$O:$O,'EEFF 2025'!$B$1,wallet_records!$N:$N,'EEFF 2025'!AT$2,wallet_records!$H:$H,'EEFF 2025'!$B10)</f>
        <v>345700</v>
      </c>
      <c r="AU10" s="115">
        <f>SUMIFS(wallet_records!$D:$D,wallet_records!$B:$B,'EEFF 2025'!$C10,wallet_records!$L:$L,'EEFF 2025'!AU$3,wallet_records!$O:$O,'EEFF 2025'!$B$1,wallet_records!$N:$N,'EEFF 2025'!AU$2,wallet_records!$H:$H,'EEFF 2025'!$B10)</f>
        <v>0</v>
      </c>
      <c r="AV10" s="115">
        <f>SUMIFS(wallet_records!$D:$D,wallet_records!$B:$B,'EEFF 2025'!$C10,wallet_records!$L:$L,'EEFF 2025'!AV$3,wallet_records!$O:$O,'EEFF 2025'!$B$1,wallet_records!$N:$N,'EEFF 2025'!AV$2,wallet_records!$H:$H,'EEFF 2025'!$B10)</f>
        <v>0</v>
      </c>
      <c r="AW10" s="115">
        <f>SUMIFS(wallet_records!$D:$D,wallet_records!$B:$B,'EEFF 2025'!$C10,wallet_records!$L:$L,'EEFF 2025'!AW$3,wallet_records!$O:$O,'EEFF 2025'!$B$1,wallet_records!$N:$N,'EEFF 2025'!AW$2,wallet_records!$H:$H,'EEFF 2025'!$B10)</f>
        <v>55000</v>
      </c>
      <c r="AX10" s="115">
        <f>SUMIFS(wallet_records!$D:$D,wallet_records!$B:$B,'EEFF 2025'!$C10,wallet_records!$L:$L,'EEFF 2025'!AX$3,wallet_records!$O:$O,'EEFF 2025'!$B$1,wallet_records!$N:$N,'EEFF 2025'!AX$2,wallet_records!$H:$H,'EEFF 2025'!$B10)</f>
        <v>0</v>
      </c>
      <c r="AY10" s="115">
        <f>SUMIFS(wallet_records!$D:$D,wallet_records!$B:$B,'EEFF 2025'!$C10,wallet_records!$L:$L,'EEFF 2025'!AY$3,wallet_records!$O:$O,'EEFF 2025'!$B$1,wallet_records!$N:$N,'EEFF 2025'!AY$2,wallet_records!$H:$H,'EEFF 2025'!$B10)</f>
        <v>0</v>
      </c>
      <c r="AZ10" s="116">
        <f t="shared" si="20"/>
        <v>400700</v>
      </c>
      <c r="BA10" s="115">
        <f>SUMIFS(wallet_records!$D:$D,wallet_records!$B:$B,'EEFF 2025'!$C10,wallet_records!$L:$L,'EEFF 2025'!BA$3,wallet_records!$O:$O,'EEFF 2025'!$B$1,wallet_records!$N:$N,'EEFF 2025'!BA$2,wallet_records!$H:$H,'EEFF 2025'!$B10)</f>
        <v>0</v>
      </c>
      <c r="BB10" s="115">
        <f>SUMIFS(wallet_records!$D:$D,wallet_records!$B:$B,'EEFF 2025'!$C10,wallet_records!$L:$L,'EEFF 2025'!BB$3,wallet_records!$O:$O,'EEFF 2025'!$B$1,wallet_records!$N:$N,'EEFF 2025'!BB$2,wallet_records!$H:$H,'EEFF 2025'!$B10)</f>
        <v>0</v>
      </c>
      <c r="BC10" s="115">
        <f>SUMIFS(wallet_records!$D:$D,wallet_records!$B:$B,'EEFF 2025'!$C10,wallet_records!$L:$L,'EEFF 2025'!BC$3,wallet_records!$O:$O,'EEFF 2025'!$B$1,wallet_records!$N:$N,'EEFF 2025'!BC$2,wallet_records!$H:$H,'EEFF 2025'!$B10)</f>
        <v>0</v>
      </c>
      <c r="BD10" s="115">
        <f>SUMIFS(wallet_records!$D:$D,wallet_records!$B:$B,'EEFF 2025'!$C10,wallet_records!$L:$L,'EEFF 2025'!BD$3,wallet_records!$O:$O,'EEFF 2025'!$B$1,wallet_records!$N:$N,'EEFF 2025'!BD$2,wallet_records!$H:$H,'EEFF 2025'!$B10)</f>
        <v>0</v>
      </c>
      <c r="BE10" s="115">
        <f>SUMIFS(wallet_records!$D:$D,wallet_records!$B:$B,'EEFF 2025'!$C10,wallet_records!$L:$L,'EEFF 2025'!BE$3,wallet_records!$O:$O,'EEFF 2025'!$B$1,wallet_records!$N:$N,'EEFF 2025'!BE$2,wallet_records!$H:$H,'EEFF 2025'!$B10)</f>
        <v>0</v>
      </c>
      <c r="BF10" s="115">
        <f>SUMIFS(wallet_records!$D:$D,wallet_records!$B:$B,'EEFF 2025'!$C10,wallet_records!$L:$L,'EEFF 2025'!BF$3,wallet_records!$O:$O,'EEFF 2025'!$B$1,wallet_records!$N:$N,'EEFF 2025'!BF$2,wallet_records!$H:$H,'EEFF 2025'!$B10)</f>
        <v>0</v>
      </c>
      <c r="BG10" s="116">
        <f t="shared" si="21"/>
        <v>0</v>
      </c>
      <c r="BH10" s="115">
        <f>SUMIFS(wallet_records!$D:$D,wallet_records!$B:$B,'EEFF 2025'!$C10,wallet_records!$L:$L,'EEFF 2025'!BH$3,wallet_records!$O:$O,'EEFF 2025'!$B$1,wallet_records!$N:$N,'EEFF 2025'!BH$2,wallet_records!$H:$H,'EEFF 2025'!$B10)</f>
        <v>0</v>
      </c>
      <c r="BI10" s="115">
        <f>SUMIFS(wallet_records!$D:$D,wallet_records!$B:$B,'EEFF 2025'!$C10,wallet_records!$L:$L,'EEFF 2025'!BI$3,wallet_records!$O:$O,'EEFF 2025'!$B$1,wallet_records!$N:$N,'EEFF 2025'!BI$2,wallet_records!$H:$H,'EEFF 2025'!$B10)</f>
        <v>0</v>
      </c>
      <c r="BJ10" s="115">
        <f>SUMIFS(wallet_records!$D:$D,wallet_records!$B:$B,'EEFF 2025'!$C10,wallet_records!$L:$L,'EEFF 2025'!BJ$3,wallet_records!$O:$O,'EEFF 2025'!$B$1,wallet_records!$N:$N,'EEFF 2025'!BJ$2,wallet_records!$H:$H,'EEFF 2025'!$B10)</f>
        <v>0</v>
      </c>
      <c r="BK10" s="115">
        <f>SUMIFS(wallet_records!$D:$D,wallet_records!$B:$B,'EEFF 2025'!$C10,wallet_records!$L:$L,'EEFF 2025'!BK$3,wallet_records!$O:$O,'EEFF 2025'!$B$1,wallet_records!$N:$N,'EEFF 2025'!BK$2,wallet_records!$H:$H,'EEFF 2025'!$B10)</f>
        <v>0</v>
      </c>
      <c r="BL10" s="115">
        <f>SUMIFS(wallet_records!$D:$D,wallet_records!$B:$B,'EEFF 2025'!$C10,wallet_records!$L:$L,'EEFF 2025'!BL$3,wallet_records!$O:$O,'EEFF 2025'!$B$1,wallet_records!$N:$N,'EEFF 2025'!BL$2,wallet_records!$H:$H,'EEFF 2025'!$B10)</f>
        <v>0</v>
      </c>
      <c r="BM10" s="115">
        <f>SUMIFS(wallet_records!$D:$D,wallet_records!$B:$B,'EEFF 2025'!$C10,wallet_records!$L:$L,'EEFF 2025'!BM$3,wallet_records!$O:$O,'EEFF 2025'!$B$1,wallet_records!$N:$N,'EEFF 2025'!BM$2,wallet_records!$H:$H,'EEFF 2025'!$B10)</f>
        <v>1104400</v>
      </c>
      <c r="BN10" s="116">
        <f t="shared" si="22"/>
        <v>1104400</v>
      </c>
      <c r="BO10" s="115">
        <f>SUMIFS(wallet_records!$D:$D,wallet_records!$B:$B,'EEFF 2025'!$C10,wallet_records!$L:$L,'EEFF 2025'!BO$3,wallet_records!$O:$O,'EEFF 2025'!$B$1,wallet_records!$N:$N,'EEFF 2025'!BO$2,wallet_records!$H:$H,'EEFF 2025'!$B10)</f>
        <v>5050000</v>
      </c>
      <c r="BP10" s="115">
        <f>SUMIFS(wallet_records!$D:$D,wallet_records!$B:$B,'EEFF 2025'!$C10,wallet_records!$L:$L,'EEFF 2025'!BP$3,wallet_records!$O:$O,'EEFF 2025'!$B$1,wallet_records!$N:$N,'EEFF 2025'!BP$2,wallet_records!$H:$H,'EEFF 2025'!$B10)</f>
        <v>0</v>
      </c>
      <c r="BQ10" s="115">
        <f>SUMIFS(wallet_records!$D:$D,wallet_records!$B:$B,'EEFF 2025'!$C10,wallet_records!$L:$L,'EEFF 2025'!BQ$3,wallet_records!$O:$O,'EEFF 2025'!$B$1,wallet_records!$N:$N,'EEFF 2025'!BQ$2,wallet_records!$H:$H,'EEFF 2025'!$B10)</f>
        <v>0</v>
      </c>
      <c r="BR10" s="115">
        <f>SUMIFS(wallet_records!$D:$D,wallet_records!$B:$B,'EEFF 2025'!$C10,wallet_records!$L:$L,'EEFF 2025'!BR$3,wallet_records!$O:$O,'EEFF 2025'!$B$1,wallet_records!$N:$N,'EEFF 2025'!BR$2,wallet_records!$H:$H,'EEFF 2025'!$B10)</f>
        <v>0</v>
      </c>
      <c r="BS10" s="115">
        <f>SUMIFS(wallet_records!$D:$D,wallet_records!$B:$B,'EEFF 2025'!$C10,wallet_records!$L:$L,'EEFF 2025'!BS$3,wallet_records!$O:$O,'EEFF 2025'!$B$1,wallet_records!$N:$N,'EEFF 2025'!BS$2,wallet_records!$H:$H,'EEFF 2025'!$B10)</f>
        <v>0</v>
      </c>
      <c r="BT10" s="115">
        <f>SUMIFS(wallet_records!$D:$D,wallet_records!$B:$B,'EEFF 2025'!$C10,wallet_records!$L:$L,'EEFF 2025'!BT$3,wallet_records!$O:$O,'EEFF 2025'!$B$1,wallet_records!$N:$N,'EEFF 2025'!BT$2,wallet_records!$H:$H,'EEFF 2025'!$B10)</f>
        <v>0</v>
      </c>
      <c r="BU10" s="116">
        <f t="shared" si="23"/>
        <v>5050000</v>
      </c>
      <c r="BV10" s="115">
        <f>SUMIFS(wallet_records!$D:$D,wallet_records!$B:$B,'EEFF 2025'!$C10,wallet_records!$L:$L,'EEFF 2025'!BV$3,wallet_records!$O:$O,'EEFF 2025'!$B$1,wallet_records!$N:$N,'EEFF 2025'!BV$2,wallet_records!$H:$H,'EEFF 2025'!$B10)</f>
        <v>1150000</v>
      </c>
      <c r="BW10" s="115">
        <f>SUMIFS(wallet_records!$D:$D,wallet_records!$B:$B,'EEFF 2025'!$C10,wallet_records!$L:$L,'EEFF 2025'!BW$3,wallet_records!$O:$O,'EEFF 2025'!$B$1,wallet_records!$N:$N,'EEFF 2025'!BW$2,wallet_records!$H:$H,'EEFF 2025'!$B10)</f>
        <v>0</v>
      </c>
      <c r="BX10" s="115">
        <f>SUMIFS(wallet_records!$D:$D,wallet_records!$B:$B,'EEFF 2025'!$C10,wallet_records!$L:$L,'EEFF 2025'!BX$3,wallet_records!$O:$O,'EEFF 2025'!$B$1,wallet_records!$N:$N,'EEFF 2025'!BX$2,wallet_records!$H:$H,'EEFF 2025'!$B10)</f>
        <v>0</v>
      </c>
      <c r="BY10" s="115">
        <f>SUMIFS(wallet_records!$D:$D,wallet_records!$B:$B,'EEFF 2025'!$C10,wallet_records!$L:$L,'EEFF 2025'!BY$3,wallet_records!$O:$O,'EEFF 2025'!$B$1,wallet_records!$N:$N,'EEFF 2025'!BY$2,wallet_records!$H:$H,'EEFF 2025'!$B10)</f>
        <v>150000</v>
      </c>
      <c r="BZ10" s="115">
        <f>SUMIFS(wallet_records!$D:$D,wallet_records!$B:$B,'EEFF 2025'!$C10,wallet_records!$L:$L,'EEFF 2025'!BZ$3,wallet_records!$O:$O,'EEFF 2025'!$B$1,wallet_records!$N:$N,'EEFF 2025'!BZ$2,wallet_records!$H:$H,'EEFF 2025'!$B10)</f>
        <v>0</v>
      </c>
      <c r="CA10" s="115">
        <f>SUMIFS(wallet_records!$D:$D,wallet_records!$B:$B,'EEFF 2025'!$C10,wallet_records!$L:$L,'EEFF 2025'!CA$3,wallet_records!$O:$O,'EEFF 2025'!$B$1,wallet_records!$N:$N,'EEFF 2025'!CA$2,wallet_records!$H:$H,'EEFF 2025'!$B10)</f>
        <v>1025000</v>
      </c>
      <c r="CB10" s="116">
        <f t="shared" si="24"/>
        <v>2325000</v>
      </c>
      <c r="CC10" s="115">
        <f>SUMIFS(wallet_records!$D:$D,wallet_records!$B:$B,'EEFF 2025'!$C10,wallet_records!$L:$L,'EEFF 2025'!CC$3,wallet_records!$O:$O,'EEFF 2025'!$B$1,wallet_records!$N:$N,'EEFF 2025'!CC$2,wallet_records!$H:$H,'EEFF 2025'!$B10)</f>
        <v>0</v>
      </c>
      <c r="CD10" s="115">
        <f>SUMIFS(wallet_records!$D:$D,wallet_records!$B:$B,'EEFF 2025'!$C10,wallet_records!$L:$L,'EEFF 2025'!CD$3,wallet_records!$O:$O,'EEFF 2025'!$B$1,wallet_records!$N:$N,'EEFF 2025'!CD$2,wallet_records!$H:$H,'EEFF 2025'!$B10)</f>
        <v>0</v>
      </c>
      <c r="CE10" s="115">
        <f>SUMIFS(wallet_records!$D:$D,wallet_records!$B:$B,'EEFF 2025'!$C10,wallet_records!$L:$L,'EEFF 2025'!CE$3,wallet_records!$O:$O,'EEFF 2025'!$B$1,wallet_records!$N:$N,'EEFF 2025'!CE$2,wallet_records!$H:$H,'EEFF 2025'!$B10)</f>
        <v>90000</v>
      </c>
      <c r="CF10" s="115">
        <f>SUMIFS(wallet_records!$D:$D,wallet_records!$B:$B,'EEFF 2025'!$C10,wallet_records!$L:$L,'EEFF 2025'!CF$3,wallet_records!$O:$O,'EEFF 2025'!$B$1,wallet_records!$N:$N,'EEFF 2025'!CF$2,wallet_records!$H:$H,'EEFF 2025'!$B10)</f>
        <v>0</v>
      </c>
      <c r="CG10" s="115">
        <f>SUMIFS(wallet_records!$D:$D,wallet_records!$B:$B,'EEFF 2025'!$C10,wallet_records!$L:$L,'EEFF 2025'!CG$3,wallet_records!$O:$O,'EEFF 2025'!$B$1,wallet_records!$N:$N,'EEFF 2025'!CG$2,wallet_records!$H:$H,'EEFF 2025'!$B10)</f>
        <v>0</v>
      </c>
      <c r="CH10" s="115">
        <f>SUMIFS(wallet_records!$D:$D,wallet_records!$B:$B,'EEFF 2025'!$C10,wallet_records!$L:$L,'EEFF 2025'!CH$3,wallet_records!$O:$O,'EEFF 2025'!$B$1,wallet_records!$N:$N,'EEFF 2025'!CH$2,wallet_records!$H:$H,'EEFF 2025'!$B10)</f>
        <v>0</v>
      </c>
      <c r="CI10" s="116">
        <f t="shared" si="25"/>
        <v>90000</v>
      </c>
      <c r="CJ10" s="115">
        <f>SUMIFS(wallet_records!$D:$D,wallet_records!$B:$B,'EEFF 2025'!$C10,wallet_records!$L:$L,'EEFF 2025'!CJ$3,wallet_records!$O:$O,'EEFF 2025'!$B$1,wallet_records!$H:$H,'EEFF 2025'!$B10)</f>
        <v>18269537.670000002</v>
      </c>
      <c r="CK10" s="115">
        <f>SUMIFS(wallet_records!$D:$D,wallet_records!$B:$B,'EEFF 2025'!$C10,wallet_records!$L:$L,'EEFF 2025'!CK$3,wallet_records!$O:$O,'EEFF 2025'!$B$1,wallet_records!$H:$H,'EEFF 2025'!$B10)</f>
        <v>4666800</v>
      </c>
      <c r="CL10" s="115">
        <f>SUMIFS(wallet_records!$D:$D,wallet_records!$B:$B,'EEFF 2025'!$C10,wallet_records!$L:$L,'EEFF 2025'!CL$3,wallet_records!$O:$O,'EEFF 2025'!$B$1,wallet_records!$H:$H,'EEFF 2025'!$B10)</f>
        <v>90000</v>
      </c>
      <c r="CM10" s="115">
        <f>SUMIFS(wallet_records!$D:$D,wallet_records!$B:$B,'EEFF 2025'!$C10,wallet_records!$L:$L,'EEFF 2025'!CM$3,wallet_records!$O:$O,'EEFF 2025'!$B$1,wallet_records!$H:$H,'EEFF 2025'!$B10)</f>
        <v>428700</v>
      </c>
      <c r="CN10" s="115">
        <f>SUMIFS(wallet_records!$D:$D,wallet_records!$B:$B,'EEFF 2025'!$C10,wallet_records!$L:$L,'EEFF 2025'!CN$3,wallet_records!$O:$O,'EEFF 2025'!$B$1,wallet_records!$H:$H,'EEFF 2025'!$B10)</f>
        <v>864700</v>
      </c>
      <c r="CO10" s="115">
        <f>SUMIFS(wallet_records!$D:$D,wallet_records!$B:$B,'EEFF 2025'!$C10,wallet_records!$L:$L,'EEFF 2025'!CO$3,wallet_records!$O:$O,'EEFF 2025'!$B$1,wallet_records!$H:$H,'EEFF 2025'!$B10)</f>
        <v>2129400</v>
      </c>
      <c r="CP10" s="116">
        <f t="shared" si="26"/>
        <v>26449137.670000002</v>
      </c>
      <c r="CQ10" s="107"/>
      <c r="CR10" s="118">
        <f t="shared" si="0"/>
        <v>0.76767995582372583</v>
      </c>
      <c r="CS10" s="118">
        <f t="shared" si="1"/>
        <v>0</v>
      </c>
      <c r="CT10" s="118">
        <f t="shared" si="2"/>
        <v>0.47550405984855398</v>
      </c>
      <c r="CU10" s="118">
        <f t="shared" si="3"/>
        <v>4.1893590280687058E-2</v>
      </c>
      <c r="CV10" s="118">
        <f t="shared" si="4"/>
        <v>0.26023201036930876</v>
      </c>
      <c r="CW10" s="118">
        <f t="shared" si="5"/>
        <v>0.32771792360430951</v>
      </c>
      <c r="CX10" s="118">
        <f t="shared" si="6"/>
        <v>3.977329124729518E-2</v>
      </c>
      <c r="CY10" s="118">
        <f t="shared" si="7"/>
        <v>0</v>
      </c>
      <c r="CZ10" s="118">
        <f t="shared" si="8"/>
        <v>0.16206380418513192</v>
      </c>
      <c r="DA10" s="118">
        <f t="shared" si="9"/>
        <v>0.44553843982143171</v>
      </c>
      <c r="DB10" s="118">
        <f t="shared" si="10"/>
        <v>0.28368880862902046</v>
      </c>
      <c r="DC10" s="118">
        <f t="shared" si="11"/>
        <v>8.089451355432516E-3</v>
      </c>
    </row>
    <row r="11" spans="2:120" x14ac:dyDescent="0.2">
      <c r="B11" s="107" t="s">
        <v>140</v>
      </c>
      <c r="C11" s="191" t="s">
        <v>136</v>
      </c>
      <c r="D11" s="115">
        <f>SUMIFS(wallet_records!$D:$D,wallet_records!$B:$B,'EEFF 2025'!$C11,wallet_records!$L:$L,'EEFF 2025'!D$3,wallet_records!$O:$O,'EEFF 2025'!$B$1,wallet_records!$N:$N,'EEFF 2025'!D$2,wallet_records!$H:$H,'EEFF 2025'!$B11)</f>
        <v>146000</v>
      </c>
      <c r="E11" s="115">
        <f>SUMIFS(wallet_records!$D:$D,wallet_records!$B:$B,'EEFF 2025'!$C11,wallet_records!$L:$L,'EEFF 2025'!E$3,wallet_records!$O:$O,'EEFF 2025'!$B$1,wallet_records!$N:$N,'EEFF 2025'!E$2,wallet_records!$H:$H,'EEFF 2025'!$B11)</f>
        <v>0</v>
      </c>
      <c r="F11" s="115">
        <f>SUMIFS(wallet_records!$D:$D,wallet_records!$B:$B,'EEFF 2025'!$C11,wallet_records!$L:$L,'EEFF 2025'!F$3,wallet_records!$O:$O,'EEFF 2025'!$B$1,wallet_records!$N:$N,'EEFF 2025'!F$2,wallet_records!$H:$H,'EEFF 2025'!$B11)</f>
        <v>463323</v>
      </c>
      <c r="G11" s="115">
        <f>SUMIFS(wallet_records!$D:$D,wallet_records!$B:$B,'EEFF 2025'!$C11,wallet_records!$L:$L,'EEFF 2025'!G$3,wallet_records!$O:$O,'EEFF 2025'!$B$1,wallet_records!$N:$N,'EEFF 2025'!G$2,wallet_records!$H:$H,'EEFF 2025'!$B11)</f>
        <v>0</v>
      </c>
      <c r="H11" s="115">
        <f>SUMIFS(wallet_records!$D:$D,wallet_records!$B:$B,'EEFF 2025'!$C11,wallet_records!$L:$L,'EEFF 2025'!H$3,wallet_records!$O:$O,'EEFF 2025'!$B$1,wallet_records!$N:$N,'EEFF 2025'!H$2,wallet_records!$H:$H,'EEFF 2025'!$B11)</f>
        <v>246200</v>
      </c>
      <c r="I11" s="115">
        <f>SUMIFS(wallet_records!$D:$D,wallet_records!$B:$B,'EEFF 2025'!$C11,wallet_records!$L:$L,'EEFF 2025'!I$3,wallet_records!$O:$O,'EEFF 2025'!$B$1,wallet_records!$N:$N,'EEFF 2025'!I$2,wallet_records!$H:$H,'EEFF 2025'!$B11)</f>
        <v>0</v>
      </c>
      <c r="J11" s="116">
        <f t="shared" si="14"/>
        <v>855523</v>
      </c>
      <c r="K11" s="115">
        <f>SUMIFS(wallet_records!$D:$D,wallet_records!$B:$B,'EEFF 2025'!$C11,wallet_records!$L:$L,'EEFF 2025'!K$3,wallet_records!$O:$O,'EEFF 2025'!$B$1,wallet_records!$N:$N,'EEFF 2025'!K$2,wallet_records!$H:$H,'EEFF 2025'!$B11)</f>
        <v>146000</v>
      </c>
      <c r="L11" s="115">
        <f>SUMIFS(wallet_records!$D:$D,wallet_records!$B:$B,'EEFF 2025'!$C11,wallet_records!$L:$L,'EEFF 2025'!L$3,wallet_records!$O:$O,'EEFF 2025'!$B$1,wallet_records!$N:$N,'EEFF 2025'!L$2,wallet_records!$H:$H,'EEFF 2025'!$B11)</f>
        <v>0</v>
      </c>
      <c r="M11" s="115">
        <f>SUMIFS(wallet_records!$D:$D,wallet_records!$B:$B,'EEFF 2025'!$C11,wallet_records!$L:$L,'EEFF 2025'!M$3,wallet_records!$O:$O,'EEFF 2025'!$B$1,wallet_records!$N:$N,'EEFF 2025'!M$2,wallet_records!$H:$H,'EEFF 2025'!$B11)</f>
        <v>460205</v>
      </c>
      <c r="N11" s="115">
        <f>SUMIFS(wallet_records!$D:$D,wallet_records!$B:$B,'EEFF 2025'!$C11,wallet_records!$L:$L,'EEFF 2025'!N$3,wallet_records!$O:$O,'EEFF 2025'!$B$1,wallet_records!$N:$N,'EEFF 2025'!N$2,wallet_records!$H:$H,'EEFF 2025'!$B11)</f>
        <v>0</v>
      </c>
      <c r="O11" s="115">
        <f>SUMIFS(wallet_records!$D:$D,wallet_records!$B:$B,'EEFF 2025'!$C11,wallet_records!$L:$L,'EEFF 2025'!O$3,wallet_records!$O:$O,'EEFF 2025'!$B$1,wallet_records!$N:$N,'EEFF 2025'!O$2,wallet_records!$H:$H,'EEFF 2025'!$B11)</f>
        <v>246200</v>
      </c>
      <c r="P11" s="115">
        <f>SUMIFS(wallet_records!$D:$D,wallet_records!$B:$B,'EEFF 2025'!$C11,wallet_records!$L:$L,'EEFF 2025'!P$3,wallet_records!$O:$O,'EEFF 2025'!$B$1,wallet_records!$N:$N,'EEFF 2025'!P$2,wallet_records!$H:$H,'EEFF 2025'!$B11)</f>
        <v>0</v>
      </c>
      <c r="Q11" s="116">
        <f t="shared" si="15"/>
        <v>852405</v>
      </c>
      <c r="R11" s="115">
        <f>SUMIFS(wallet_records!$D:$D,wallet_records!$B:$B,'EEFF 2025'!$C11,wallet_records!$L:$L,'EEFF 2025'!R$3,wallet_records!$O:$O,'EEFF 2025'!$B$1,wallet_records!$N:$N,'EEFF 2025'!R$2,wallet_records!$H:$H,'EEFF 2025'!$B11)</f>
        <v>146000</v>
      </c>
      <c r="S11" s="115">
        <f>SUMIFS(wallet_records!$D:$D,wallet_records!$B:$B,'EEFF 2025'!$C11,wallet_records!$L:$L,'EEFF 2025'!S$3,wallet_records!$O:$O,'EEFF 2025'!$B$1,wallet_records!$N:$N,'EEFF 2025'!S$2,wallet_records!$H:$H,'EEFF 2025'!$B11)</f>
        <v>0</v>
      </c>
      <c r="T11" s="115">
        <f>SUMIFS(wallet_records!$D:$D,wallet_records!$B:$B,'EEFF 2025'!$C11,wallet_records!$L:$L,'EEFF 2025'!T$3,wallet_records!$O:$O,'EEFF 2025'!$B$1,wallet_records!$N:$N,'EEFF 2025'!T$2,wallet_records!$H:$H,'EEFF 2025'!$B11)</f>
        <v>937410</v>
      </c>
      <c r="U11" s="115">
        <f>SUMIFS(wallet_records!$D:$D,wallet_records!$B:$B,'EEFF 2025'!$C11,wallet_records!$L:$L,'EEFF 2025'!U$3,wallet_records!$O:$O,'EEFF 2025'!$B$1,wallet_records!$N:$N,'EEFF 2025'!U$2,wallet_records!$H:$H,'EEFF 2025'!$B11)</f>
        <v>0</v>
      </c>
      <c r="V11" s="115">
        <f>SUMIFS(wallet_records!$D:$D,wallet_records!$B:$B,'EEFF 2025'!$C11,wallet_records!$L:$L,'EEFF 2025'!V$3,wallet_records!$O:$O,'EEFF 2025'!$B$1,wallet_records!$N:$N,'EEFF 2025'!V$2,wallet_records!$H:$H,'EEFF 2025'!$B11)</f>
        <v>286600</v>
      </c>
      <c r="W11" s="115">
        <f>SUMIFS(wallet_records!$D:$D,wallet_records!$B:$B,'EEFF 2025'!$C11,wallet_records!$L:$L,'EEFF 2025'!W$3,wallet_records!$O:$O,'EEFF 2025'!$B$1,wallet_records!$N:$N,'EEFF 2025'!W$2,wallet_records!$H:$H,'EEFF 2025'!$B11)</f>
        <v>0</v>
      </c>
      <c r="X11" s="116">
        <f t="shared" si="16"/>
        <v>1370010</v>
      </c>
      <c r="Y11" s="115">
        <f>SUMIFS(wallet_records!$D:$D,wallet_records!$B:$B,'EEFF 2025'!$C11,wallet_records!$L:$L,'EEFF 2025'!Y$3,wallet_records!$O:$O,'EEFF 2025'!$B$1,wallet_records!$N:$N,'EEFF 2025'!Y$2,wallet_records!$H:$H,'EEFF 2025'!$B11)</f>
        <v>146000</v>
      </c>
      <c r="Z11" s="115">
        <f>SUMIFS(wallet_records!$D:$D,wallet_records!$B:$B,'EEFF 2025'!$C11,wallet_records!$L:$L,'EEFF 2025'!Z$3,wallet_records!$O:$O,'EEFF 2025'!$B$1,wallet_records!$N:$N,'EEFF 2025'!Z$2,wallet_records!$H:$H,'EEFF 2025'!$B11)</f>
        <v>0</v>
      </c>
      <c r="AA11" s="115">
        <f>SUMIFS(wallet_records!$D:$D,wallet_records!$B:$B,'EEFF 2025'!$C11,wallet_records!$L:$L,'EEFF 2025'!AA$3,wallet_records!$O:$O,'EEFF 2025'!$B$1,wallet_records!$N:$N,'EEFF 2025'!AA$2,wallet_records!$H:$H,'EEFF 2025'!$B11)</f>
        <v>0</v>
      </c>
      <c r="AB11" s="115">
        <f>SUMIFS(wallet_records!$D:$D,wallet_records!$B:$B,'EEFF 2025'!$C11,wallet_records!$L:$L,'EEFF 2025'!AB$3,wallet_records!$O:$O,'EEFF 2025'!$B$1,wallet_records!$N:$N,'EEFF 2025'!AB$2,wallet_records!$H:$H,'EEFF 2025'!$B11)</f>
        <v>0</v>
      </c>
      <c r="AC11" s="115">
        <f>SUMIFS(wallet_records!$D:$D,wallet_records!$B:$B,'EEFF 2025'!$C11,wallet_records!$L:$L,'EEFF 2025'!AC$3,wallet_records!$O:$O,'EEFF 2025'!$B$1,wallet_records!$N:$N,'EEFF 2025'!AC$2,wallet_records!$H:$H,'EEFF 2025'!$B11)</f>
        <v>256300</v>
      </c>
      <c r="AD11" s="115">
        <f>SUMIFS(wallet_records!$D:$D,wallet_records!$B:$B,'EEFF 2025'!$C11,wallet_records!$L:$L,'EEFF 2025'!AD$3,wallet_records!$O:$O,'EEFF 2025'!$B$1,wallet_records!$N:$N,'EEFF 2025'!AD$2,wallet_records!$H:$H,'EEFF 2025'!$B11)</f>
        <v>0</v>
      </c>
      <c r="AE11" s="116">
        <f t="shared" si="17"/>
        <v>402300</v>
      </c>
      <c r="AF11" s="115">
        <f>SUMIFS(wallet_records!$D:$D,wallet_records!$B:$B,'EEFF 2025'!$C11,wallet_records!$L:$L,'EEFF 2025'!AF$3,wallet_records!$O:$O,'EEFF 2025'!$B$1,wallet_records!$N:$N,'EEFF 2025'!AF$2,wallet_records!$H:$H,'EEFF 2025'!$B11)</f>
        <v>146000</v>
      </c>
      <c r="AG11" s="115">
        <f>SUMIFS(wallet_records!$D:$D,wallet_records!$B:$B,'EEFF 2025'!$C11,wallet_records!$L:$L,'EEFF 2025'!AG$3,wallet_records!$O:$O,'EEFF 2025'!$B$1,wallet_records!$N:$N,'EEFF 2025'!AG$2,wallet_records!$H:$H,'EEFF 2025'!$B11)</f>
        <v>0</v>
      </c>
      <c r="AH11" s="115">
        <f>SUMIFS(wallet_records!$D:$D,wallet_records!$B:$B,'EEFF 2025'!$C11,wallet_records!$L:$L,'EEFF 2025'!AH$3,wallet_records!$O:$O,'EEFF 2025'!$B$1,wallet_records!$N:$N,'EEFF 2025'!AH$2,wallet_records!$H:$H,'EEFF 2025'!$B11)</f>
        <v>477205</v>
      </c>
      <c r="AI11" s="115">
        <f>SUMIFS(wallet_records!$D:$D,wallet_records!$B:$B,'EEFF 2025'!$C11,wallet_records!$L:$L,'EEFF 2025'!AI$3,wallet_records!$O:$O,'EEFF 2025'!$B$1,wallet_records!$N:$N,'EEFF 2025'!AI$2,wallet_records!$H:$H,'EEFF 2025'!$B11)</f>
        <v>0</v>
      </c>
      <c r="AJ11" s="115">
        <f>SUMIFS(wallet_records!$D:$D,wallet_records!$B:$B,'EEFF 2025'!$C11,wallet_records!$L:$L,'EEFF 2025'!AJ$3,wallet_records!$O:$O,'EEFF 2025'!$B$1,wallet_records!$N:$N,'EEFF 2025'!AJ$2,wallet_records!$H:$H,'EEFF 2025'!$B11)</f>
        <v>256300</v>
      </c>
      <c r="AK11" s="115">
        <f>SUMIFS(wallet_records!$D:$D,wallet_records!$B:$B,'EEFF 2025'!$C11,wallet_records!$L:$L,'EEFF 2025'!AK$3,wallet_records!$O:$O,'EEFF 2025'!$B$1,wallet_records!$N:$N,'EEFF 2025'!AK$2,wallet_records!$H:$H,'EEFF 2025'!$B11)</f>
        <v>0</v>
      </c>
      <c r="AL11" s="116">
        <f t="shared" si="18"/>
        <v>879505</v>
      </c>
      <c r="AM11" s="115">
        <f>SUMIFS(wallet_records!$D:$D,wallet_records!$B:$B,'EEFF 2025'!$C11,wallet_records!$L:$L,'EEFF 2025'!AM$3,wallet_records!$O:$O,'EEFF 2025'!$B$1,wallet_records!$N:$N,'EEFF 2025'!AM$2,wallet_records!$H:$H,'EEFF 2025'!$B11)</f>
        <v>146000</v>
      </c>
      <c r="AN11" s="115">
        <f>SUMIFS(wallet_records!$D:$D,wallet_records!$B:$B,'EEFF 2025'!$C11,wallet_records!$L:$L,'EEFF 2025'!AN$3,wallet_records!$O:$O,'EEFF 2025'!$B$1,wallet_records!$N:$N,'EEFF 2025'!AN$2,wallet_records!$H:$H,'EEFF 2025'!$B11)</f>
        <v>0</v>
      </c>
      <c r="AO11" s="115">
        <f>SUMIFS(wallet_records!$D:$D,wallet_records!$B:$B,'EEFF 2025'!$C11,wallet_records!$L:$L,'EEFF 2025'!AO$3,wallet_records!$O:$O,'EEFF 2025'!$B$1,wallet_records!$N:$N,'EEFF 2025'!AO$2,wallet_records!$H:$H,'EEFF 2025'!$B11)</f>
        <v>477205</v>
      </c>
      <c r="AP11" s="115">
        <f>SUMIFS(wallet_records!$D:$D,wallet_records!$B:$B,'EEFF 2025'!$C11,wallet_records!$L:$L,'EEFF 2025'!AP$3,wallet_records!$O:$O,'EEFF 2025'!$B$1,wallet_records!$N:$N,'EEFF 2025'!AP$2,wallet_records!$H:$H,'EEFF 2025'!$B11)</f>
        <v>0</v>
      </c>
      <c r="AQ11" s="115">
        <f>SUMIFS(wallet_records!$D:$D,wallet_records!$B:$B,'EEFF 2025'!$C11,wallet_records!$L:$L,'EEFF 2025'!AQ$3,wallet_records!$O:$O,'EEFF 2025'!$B$1,wallet_records!$N:$N,'EEFF 2025'!AQ$2,wallet_records!$H:$H,'EEFF 2025'!$B11)</f>
        <v>0</v>
      </c>
      <c r="AR11" s="115">
        <f>SUMIFS(wallet_records!$D:$D,wallet_records!$B:$B,'EEFF 2025'!$C11,wallet_records!$L:$L,'EEFF 2025'!AR$3,wallet_records!$O:$O,'EEFF 2025'!$B$1,wallet_records!$N:$N,'EEFF 2025'!AR$2,wallet_records!$H:$H,'EEFF 2025'!$B11)</f>
        <v>0</v>
      </c>
      <c r="AS11" s="116">
        <f t="shared" si="19"/>
        <v>623205</v>
      </c>
      <c r="AT11" s="115">
        <f>SUMIFS(wallet_records!$D:$D,wallet_records!$B:$B,'EEFF 2025'!$C11,wallet_records!$L:$L,'EEFF 2025'!AT$3,wallet_records!$O:$O,'EEFF 2025'!$B$1,wallet_records!$N:$N,'EEFF 2025'!AT$2,wallet_records!$H:$H,'EEFF 2025'!$B11)</f>
        <v>146000</v>
      </c>
      <c r="AU11" s="115">
        <f>SUMIFS(wallet_records!$D:$D,wallet_records!$B:$B,'EEFF 2025'!$C11,wallet_records!$L:$L,'EEFF 2025'!AU$3,wallet_records!$O:$O,'EEFF 2025'!$B$1,wallet_records!$N:$N,'EEFF 2025'!AU$2,wallet_records!$H:$H,'EEFF 2025'!$B11)</f>
        <v>0</v>
      </c>
      <c r="AV11" s="115">
        <f>SUMIFS(wallet_records!$D:$D,wallet_records!$B:$B,'EEFF 2025'!$C11,wallet_records!$L:$L,'EEFF 2025'!AV$3,wallet_records!$O:$O,'EEFF 2025'!$B$1,wallet_records!$N:$N,'EEFF 2025'!AV$2,wallet_records!$H:$H,'EEFF 2025'!$B11)</f>
        <v>477205</v>
      </c>
      <c r="AW11" s="115">
        <f>SUMIFS(wallet_records!$D:$D,wallet_records!$B:$B,'EEFF 2025'!$C11,wallet_records!$L:$L,'EEFF 2025'!AW$3,wallet_records!$O:$O,'EEFF 2025'!$B$1,wallet_records!$N:$N,'EEFF 2025'!AW$2,wallet_records!$H:$H,'EEFF 2025'!$B11)</f>
        <v>0</v>
      </c>
      <c r="AX11" s="115">
        <f>SUMIFS(wallet_records!$D:$D,wallet_records!$B:$B,'EEFF 2025'!$C11,wallet_records!$L:$L,'EEFF 2025'!AX$3,wallet_records!$O:$O,'EEFF 2025'!$B$1,wallet_records!$N:$N,'EEFF 2025'!AX$2,wallet_records!$H:$H,'EEFF 2025'!$B11)</f>
        <v>512600</v>
      </c>
      <c r="AY11" s="115">
        <f>SUMIFS(wallet_records!$D:$D,wallet_records!$B:$B,'EEFF 2025'!$C11,wallet_records!$L:$L,'EEFF 2025'!AY$3,wallet_records!$O:$O,'EEFF 2025'!$B$1,wallet_records!$N:$N,'EEFF 2025'!AY$2,wallet_records!$H:$H,'EEFF 2025'!$B11)</f>
        <v>0</v>
      </c>
      <c r="AZ11" s="116">
        <f t="shared" si="20"/>
        <v>1135805</v>
      </c>
      <c r="BA11" s="115">
        <f>SUMIFS(wallet_records!$D:$D,wallet_records!$B:$B,'EEFF 2025'!$C11,wallet_records!$L:$L,'EEFF 2025'!BA$3,wallet_records!$O:$O,'EEFF 2025'!$B$1,wallet_records!$N:$N,'EEFF 2025'!BA$2,wallet_records!$H:$H,'EEFF 2025'!$B11)</f>
        <v>146000</v>
      </c>
      <c r="BB11" s="115">
        <f>SUMIFS(wallet_records!$D:$D,wallet_records!$B:$B,'EEFF 2025'!$C11,wallet_records!$L:$L,'EEFF 2025'!BB$3,wallet_records!$O:$O,'EEFF 2025'!$B$1,wallet_records!$N:$N,'EEFF 2025'!BB$2,wallet_records!$H:$H,'EEFF 2025'!$B11)</f>
        <v>0</v>
      </c>
      <c r="BC11" s="115">
        <f>SUMIFS(wallet_records!$D:$D,wallet_records!$B:$B,'EEFF 2025'!$C11,wallet_records!$L:$L,'EEFF 2025'!BC$3,wallet_records!$O:$O,'EEFF 2025'!$B$1,wallet_records!$N:$N,'EEFF 2025'!BC$2,wallet_records!$H:$H,'EEFF 2025'!$B11)</f>
        <v>477205</v>
      </c>
      <c r="BD11" s="115">
        <f>SUMIFS(wallet_records!$D:$D,wallet_records!$B:$B,'EEFF 2025'!$C11,wallet_records!$L:$L,'EEFF 2025'!BD$3,wallet_records!$O:$O,'EEFF 2025'!$B$1,wallet_records!$N:$N,'EEFF 2025'!BD$2,wallet_records!$H:$H,'EEFF 2025'!$B11)</f>
        <v>0</v>
      </c>
      <c r="BE11" s="115">
        <f>SUMIFS(wallet_records!$D:$D,wallet_records!$B:$B,'EEFF 2025'!$C11,wallet_records!$L:$L,'EEFF 2025'!BE$3,wallet_records!$O:$O,'EEFF 2025'!$B$1,wallet_records!$N:$N,'EEFF 2025'!BE$2,wallet_records!$H:$H,'EEFF 2025'!$B11)</f>
        <v>256300</v>
      </c>
      <c r="BF11" s="115">
        <f>SUMIFS(wallet_records!$D:$D,wallet_records!$B:$B,'EEFF 2025'!$C11,wallet_records!$L:$L,'EEFF 2025'!BF$3,wallet_records!$O:$O,'EEFF 2025'!$B$1,wallet_records!$N:$N,'EEFF 2025'!BF$2,wallet_records!$H:$H,'EEFF 2025'!$B11)</f>
        <v>0</v>
      </c>
      <c r="BG11" s="116">
        <f t="shared" si="21"/>
        <v>879505</v>
      </c>
      <c r="BH11" s="115">
        <f>SUMIFS(wallet_records!$D:$D,wallet_records!$B:$B,'EEFF 2025'!$C11,wallet_records!$L:$L,'EEFF 2025'!BH$3,wallet_records!$O:$O,'EEFF 2025'!$B$1,wallet_records!$N:$N,'EEFF 2025'!BH$2,wallet_records!$H:$H,'EEFF 2025'!$B11)</f>
        <v>146000</v>
      </c>
      <c r="BI11" s="115">
        <f>SUMIFS(wallet_records!$D:$D,wallet_records!$B:$B,'EEFF 2025'!$C11,wallet_records!$L:$L,'EEFF 2025'!BI$3,wallet_records!$O:$O,'EEFF 2025'!$B$1,wallet_records!$N:$N,'EEFF 2025'!BI$2,wallet_records!$H:$H,'EEFF 2025'!$B11)</f>
        <v>0</v>
      </c>
      <c r="BJ11" s="115">
        <f>SUMIFS(wallet_records!$D:$D,wallet_records!$B:$B,'EEFF 2025'!$C11,wallet_records!$L:$L,'EEFF 2025'!BJ$3,wallet_records!$O:$O,'EEFF 2025'!$B$1,wallet_records!$N:$N,'EEFF 2025'!BJ$2,wallet_records!$H:$H,'EEFF 2025'!$B11)</f>
        <v>477205</v>
      </c>
      <c r="BK11" s="115">
        <f>SUMIFS(wallet_records!$D:$D,wallet_records!$B:$B,'EEFF 2025'!$C11,wallet_records!$L:$L,'EEFF 2025'!BK$3,wallet_records!$O:$O,'EEFF 2025'!$B$1,wallet_records!$N:$N,'EEFF 2025'!BK$2,wallet_records!$H:$H,'EEFF 2025'!$B11)</f>
        <v>0</v>
      </c>
      <c r="BL11" s="115">
        <f>SUMIFS(wallet_records!$D:$D,wallet_records!$B:$B,'EEFF 2025'!$C11,wallet_records!$L:$L,'EEFF 2025'!BL$3,wallet_records!$O:$O,'EEFF 2025'!$B$1,wallet_records!$N:$N,'EEFF 2025'!BL$2,wallet_records!$H:$H,'EEFF 2025'!$B11)</f>
        <v>0</v>
      </c>
      <c r="BM11" s="115">
        <f>SUMIFS(wallet_records!$D:$D,wallet_records!$B:$B,'EEFF 2025'!$C11,wallet_records!$L:$L,'EEFF 2025'!BM$3,wallet_records!$O:$O,'EEFF 2025'!$B$1,wallet_records!$N:$N,'EEFF 2025'!BM$2,wallet_records!$H:$H,'EEFF 2025'!$B11)</f>
        <v>0</v>
      </c>
      <c r="BN11" s="116">
        <f t="shared" si="22"/>
        <v>623205</v>
      </c>
      <c r="BO11" s="115">
        <f>SUMIFS(wallet_records!$D:$D,wallet_records!$B:$B,'EEFF 2025'!$C11,wallet_records!$L:$L,'EEFF 2025'!BO$3,wallet_records!$O:$O,'EEFF 2025'!$B$1,wallet_records!$N:$N,'EEFF 2025'!BO$2,wallet_records!$H:$H,'EEFF 2025'!$B11)</f>
        <v>146000</v>
      </c>
      <c r="BP11" s="115">
        <f>SUMIFS(wallet_records!$D:$D,wallet_records!$B:$B,'EEFF 2025'!$C11,wallet_records!$L:$L,'EEFF 2025'!BP$3,wallet_records!$O:$O,'EEFF 2025'!$B$1,wallet_records!$N:$N,'EEFF 2025'!BP$2,wallet_records!$H:$H,'EEFF 2025'!$B11)</f>
        <v>0</v>
      </c>
      <c r="BQ11" s="115">
        <f>SUMIFS(wallet_records!$D:$D,wallet_records!$B:$B,'EEFF 2025'!$C11,wallet_records!$L:$L,'EEFF 2025'!BQ$3,wallet_records!$O:$O,'EEFF 2025'!$B$1,wallet_records!$N:$N,'EEFF 2025'!BQ$2,wallet_records!$H:$H,'EEFF 2025'!$B11)</f>
        <v>477205</v>
      </c>
      <c r="BR11" s="115">
        <f>SUMIFS(wallet_records!$D:$D,wallet_records!$B:$B,'EEFF 2025'!$C11,wallet_records!$L:$L,'EEFF 2025'!BR$3,wallet_records!$O:$O,'EEFF 2025'!$B$1,wallet_records!$N:$N,'EEFF 2025'!BR$2,wallet_records!$H:$H,'EEFF 2025'!$B11)</f>
        <v>0</v>
      </c>
      <c r="BS11" s="115">
        <f>SUMIFS(wallet_records!$D:$D,wallet_records!$B:$B,'EEFF 2025'!$C11,wallet_records!$L:$L,'EEFF 2025'!BS$3,wallet_records!$O:$O,'EEFF 2025'!$B$1,wallet_records!$N:$N,'EEFF 2025'!BS$2,wallet_records!$H:$H,'EEFF 2025'!$B11)</f>
        <v>528593</v>
      </c>
      <c r="BT11" s="115">
        <f>SUMIFS(wallet_records!$D:$D,wallet_records!$B:$B,'EEFF 2025'!$C11,wallet_records!$L:$L,'EEFF 2025'!BT$3,wallet_records!$O:$O,'EEFF 2025'!$B$1,wallet_records!$N:$N,'EEFF 2025'!BT$2,wallet_records!$H:$H,'EEFF 2025'!$B11)</f>
        <v>0</v>
      </c>
      <c r="BU11" s="116">
        <f t="shared" si="23"/>
        <v>1151798</v>
      </c>
      <c r="BV11" s="115">
        <f>SUMIFS(wallet_records!$D:$D,wallet_records!$B:$B,'EEFF 2025'!$C11,wallet_records!$L:$L,'EEFF 2025'!BV$3,wallet_records!$O:$O,'EEFF 2025'!$B$1,wallet_records!$N:$N,'EEFF 2025'!BV$2,wallet_records!$H:$H,'EEFF 2025'!$B11)</f>
        <v>146000</v>
      </c>
      <c r="BW11" s="115">
        <f>SUMIFS(wallet_records!$D:$D,wallet_records!$B:$B,'EEFF 2025'!$C11,wallet_records!$L:$L,'EEFF 2025'!BW$3,wallet_records!$O:$O,'EEFF 2025'!$B$1,wallet_records!$N:$N,'EEFF 2025'!BW$2,wallet_records!$H:$H,'EEFF 2025'!$B11)</f>
        <v>0</v>
      </c>
      <c r="BX11" s="115">
        <f>SUMIFS(wallet_records!$D:$D,wallet_records!$B:$B,'EEFF 2025'!$C11,wallet_records!$L:$L,'EEFF 2025'!BX$3,wallet_records!$O:$O,'EEFF 2025'!$B$1,wallet_records!$N:$N,'EEFF 2025'!BX$2,wallet_records!$H:$H,'EEFF 2025'!$B11)</f>
        <v>477205</v>
      </c>
      <c r="BY11" s="115">
        <f>SUMIFS(wallet_records!$D:$D,wallet_records!$B:$B,'EEFF 2025'!$C11,wallet_records!$L:$L,'EEFF 2025'!BY$3,wallet_records!$O:$O,'EEFF 2025'!$B$1,wallet_records!$N:$N,'EEFF 2025'!BY$2,wallet_records!$H:$H,'EEFF 2025'!$B11)</f>
        <v>0</v>
      </c>
      <c r="BZ11" s="115">
        <f>SUMIFS(wallet_records!$D:$D,wallet_records!$B:$B,'EEFF 2025'!$C11,wallet_records!$L:$L,'EEFF 2025'!BZ$3,wallet_records!$O:$O,'EEFF 2025'!$B$1,wallet_records!$N:$N,'EEFF 2025'!BZ$2,wallet_records!$H:$H,'EEFF 2025'!$B11)</f>
        <v>0</v>
      </c>
      <c r="CA11" s="115">
        <f>SUMIFS(wallet_records!$D:$D,wallet_records!$B:$B,'EEFF 2025'!$C11,wallet_records!$L:$L,'EEFF 2025'!CA$3,wallet_records!$O:$O,'EEFF 2025'!$B$1,wallet_records!$N:$N,'EEFF 2025'!CA$2,wallet_records!$H:$H,'EEFF 2025'!$B11)</f>
        <v>0</v>
      </c>
      <c r="CB11" s="116">
        <f t="shared" si="24"/>
        <v>623205</v>
      </c>
      <c r="CC11" s="115">
        <f>SUMIFS(wallet_records!$D:$D,wallet_records!$B:$B,'EEFF 2025'!$C11,wallet_records!$L:$L,'EEFF 2025'!CC$3,wallet_records!$O:$O,'EEFF 2025'!$B$1,wallet_records!$N:$N,'EEFF 2025'!CC$2,wallet_records!$H:$H,'EEFF 2025'!$B11)</f>
        <v>146000</v>
      </c>
      <c r="CD11" s="115">
        <f>SUMIFS(wallet_records!$D:$D,wallet_records!$B:$B,'EEFF 2025'!$C11,wallet_records!$L:$L,'EEFF 2025'!CD$3,wallet_records!$O:$O,'EEFF 2025'!$B$1,wallet_records!$N:$N,'EEFF 2025'!CD$2,wallet_records!$H:$H,'EEFF 2025'!$B11)</f>
        <v>0</v>
      </c>
      <c r="CE11" s="115">
        <f>SUMIFS(wallet_records!$D:$D,wallet_records!$B:$B,'EEFF 2025'!$C11,wallet_records!$L:$L,'EEFF 2025'!CE$3,wallet_records!$O:$O,'EEFF 2025'!$B$1,wallet_records!$N:$N,'EEFF 2025'!CE$2,wallet_records!$H:$H,'EEFF 2025'!$B11)</f>
        <v>477205</v>
      </c>
      <c r="CF11" s="115">
        <f>SUMIFS(wallet_records!$D:$D,wallet_records!$B:$B,'EEFF 2025'!$C11,wallet_records!$L:$L,'EEFF 2025'!CF$3,wallet_records!$O:$O,'EEFF 2025'!$B$1,wallet_records!$N:$N,'EEFF 2025'!CF$2,wallet_records!$H:$H,'EEFF 2025'!$B11)</f>
        <v>0</v>
      </c>
      <c r="CG11" s="115">
        <f>SUMIFS(wallet_records!$D:$D,wallet_records!$B:$B,'EEFF 2025'!$C11,wallet_records!$L:$L,'EEFF 2025'!CG$3,wallet_records!$O:$O,'EEFF 2025'!$B$1,wallet_records!$N:$N,'EEFF 2025'!CG$2,wallet_records!$H:$H,'EEFF 2025'!$B11)</f>
        <v>256300</v>
      </c>
      <c r="CH11" s="115">
        <f>SUMIFS(wallet_records!$D:$D,wallet_records!$B:$B,'EEFF 2025'!$C11,wallet_records!$L:$L,'EEFF 2025'!CH$3,wallet_records!$O:$O,'EEFF 2025'!$B$1,wallet_records!$N:$N,'EEFF 2025'!CH$2,wallet_records!$H:$H,'EEFF 2025'!$B11)</f>
        <v>0</v>
      </c>
      <c r="CI11" s="116">
        <f t="shared" si="25"/>
        <v>879505</v>
      </c>
      <c r="CJ11" s="115">
        <f>SUMIFS(wallet_records!$D:$D,wallet_records!$B:$B,'EEFF 2025'!$C11,wallet_records!$L:$L,'EEFF 2025'!CJ$3,wallet_records!$O:$O,'EEFF 2025'!$B$1,wallet_records!$H:$H,'EEFF 2025'!$B11)</f>
        <v>1752000</v>
      </c>
      <c r="CK11" s="115">
        <f>SUMIFS(wallet_records!$D:$D,wallet_records!$B:$B,'EEFF 2025'!$C11,wallet_records!$L:$L,'EEFF 2025'!CK$3,wallet_records!$O:$O,'EEFF 2025'!$B$1,wallet_records!$H:$H,'EEFF 2025'!$B11)</f>
        <v>0</v>
      </c>
      <c r="CL11" s="115">
        <f>SUMIFS(wallet_records!$D:$D,wallet_records!$B:$B,'EEFF 2025'!$C11,wallet_records!$L:$L,'EEFF 2025'!CL$3,wallet_records!$O:$O,'EEFF 2025'!$B$1,wallet_records!$H:$H,'EEFF 2025'!$B11)</f>
        <v>5678578</v>
      </c>
      <c r="CM11" s="115">
        <f>SUMIFS(wallet_records!$D:$D,wallet_records!$B:$B,'EEFF 2025'!$C11,wallet_records!$L:$L,'EEFF 2025'!CM$3,wallet_records!$O:$O,'EEFF 2025'!$B$1,wallet_records!$H:$H,'EEFF 2025'!$B11)</f>
        <v>0</v>
      </c>
      <c r="CN11" s="115">
        <f>SUMIFS(wallet_records!$D:$D,wallet_records!$B:$B,'EEFF 2025'!$C11,wallet_records!$L:$L,'EEFF 2025'!CN$3,wallet_records!$O:$O,'EEFF 2025'!$B$1,wallet_records!$H:$H,'EEFF 2025'!$B11)</f>
        <v>2845393</v>
      </c>
      <c r="CO11" s="115">
        <f>SUMIFS(wallet_records!$D:$D,wallet_records!$B:$B,'EEFF 2025'!$C11,wallet_records!$L:$L,'EEFF 2025'!CO$3,wallet_records!$O:$O,'EEFF 2025'!$B$1,wallet_records!$H:$H,'EEFF 2025'!$B11)</f>
        <v>0</v>
      </c>
      <c r="CP11" s="116">
        <f t="shared" si="26"/>
        <v>10275971</v>
      </c>
      <c r="CQ11" s="107"/>
      <c r="CR11" s="118">
        <f t="shared" si="0"/>
        <v>9.2180045253744208E-2</v>
      </c>
      <c r="CS11" s="118">
        <f t="shared" si="1"/>
        <v>9.8760862009037192E-2</v>
      </c>
      <c r="CT11" s="118">
        <f t="shared" si="2"/>
        <v>0.12498950825654594</v>
      </c>
      <c r="CU11" s="118">
        <f t="shared" si="3"/>
        <v>5.6179304566401342E-2</v>
      </c>
      <c r="CV11" s="118">
        <f t="shared" si="4"/>
        <v>9.1550141711943561E-2</v>
      </c>
      <c r="CW11" s="118">
        <f t="shared" si="5"/>
        <v>8.7198125087449285E-2</v>
      </c>
      <c r="CX11" s="118">
        <f t="shared" si="6"/>
        <v>0.11273946360153257</v>
      </c>
      <c r="CY11" s="118">
        <f t="shared" si="7"/>
        <v>9.4717088825708617E-2</v>
      </c>
      <c r="CZ11" s="118">
        <f t="shared" si="8"/>
        <v>9.1451442491121998E-2</v>
      </c>
      <c r="DA11" s="118">
        <f t="shared" si="9"/>
        <v>0.10161787800187037</v>
      </c>
      <c r="DB11" s="118">
        <f t="shared" si="10"/>
        <v>7.6041412465225236E-2</v>
      </c>
      <c r="DC11" s="118">
        <f t="shared" si="11"/>
        <v>7.90523657151075E-2</v>
      </c>
    </row>
    <row r="12" spans="2:120" x14ac:dyDescent="0.2">
      <c r="B12" s="107" t="s">
        <v>508</v>
      </c>
      <c r="C12" s="191" t="s">
        <v>154</v>
      </c>
      <c r="D12" s="115">
        <f>SUMIFS(wallet_records!$D:$D,wallet_records!$B:$B,'EEFF 2025'!$C12,wallet_records!$L:$L,'EEFF 2025'!D$3,wallet_records!$O:$O,'EEFF 2025'!$B$1,wallet_records!$N:$N,'EEFF 2025'!D$2,wallet_records!$H:$H,'EEFF 2025'!$B12)</f>
        <v>0</v>
      </c>
      <c r="E12" s="115">
        <f>SUMIFS(wallet_records!$D:$D,wallet_records!$B:$B,'EEFF 2025'!$C12,wallet_records!$L:$L,'EEFF 2025'!E$3,wallet_records!$O:$O,'EEFF 2025'!$B$1,wallet_records!$N:$N,'EEFF 2025'!E$2,wallet_records!$H:$H,'EEFF 2025'!$B12)</f>
        <v>0</v>
      </c>
      <c r="F12" s="115">
        <f>SUMIFS(wallet_records!$D:$D,wallet_records!$B:$B,'EEFF 2025'!$C12,wallet_records!$L:$L,'EEFF 2025'!F$3,wallet_records!$O:$O,'EEFF 2025'!$B$1,wallet_records!$N:$N,'EEFF 2025'!F$2,wallet_records!$H:$H,'EEFF 2025'!$B12)</f>
        <v>0</v>
      </c>
      <c r="G12" s="115">
        <f>SUMIFS(wallet_records!$D:$D,wallet_records!$B:$B,'EEFF 2025'!$C12,wallet_records!$L:$L,'EEFF 2025'!G$3,wallet_records!$O:$O,'EEFF 2025'!$B$1,wallet_records!$N:$N,'EEFF 2025'!G$2,wallet_records!$H:$H,'EEFF 2025'!$B12)</f>
        <v>0</v>
      </c>
      <c r="H12" s="115">
        <f>SUMIFS(wallet_records!$D:$D,wallet_records!$B:$B,'EEFF 2025'!$C12,wallet_records!$L:$L,'EEFF 2025'!H$3,wallet_records!$O:$O,'EEFF 2025'!$B$1,wallet_records!$N:$N,'EEFF 2025'!H$2,wallet_records!$H:$H,'EEFF 2025'!$B12)</f>
        <v>0</v>
      </c>
      <c r="I12" s="115">
        <f>SUMIFS(wallet_records!$D:$D,wallet_records!$B:$B,'EEFF 2025'!$C12,wallet_records!$L:$L,'EEFF 2025'!I$3,wallet_records!$O:$O,'EEFF 2025'!$B$1,wallet_records!$N:$N,'EEFF 2025'!I$2,wallet_records!$H:$H,'EEFF 2025'!$B12)</f>
        <v>0</v>
      </c>
      <c r="J12" s="116">
        <f t="shared" si="14"/>
        <v>0</v>
      </c>
      <c r="K12" s="115">
        <f>SUMIFS(wallet_records!$D:$D,wallet_records!$B:$B,'EEFF 2025'!$C12,wallet_records!$L:$L,'EEFF 2025'!K$3,wallet_records!$O:$O,'EEFF 2025'!$B$1,wallet_records!$N:$N,'EEFF 2025'!K$2,wallet_records!$H:$H,'EEFF 2025'!$B12)</f>
        <v>2177825</v>
      </c>
      <c r="L12" s="115">
        <f>SUMIFS(wallet_records!$D:$D,wallet_records!$B:$B,'EEFF 2025'!$C12,wallet_records!$L:$L,'EEFF 2025'!L$3,wallet_records!$O:$O,'EEFF 2025'!$B$1,wallet_records!$N:$N,'EEFF 2025'!L$2,wallet_records!$H:$H,'EEFF 2025'!$B12)</f>
        <v>3904447</v>
      </c>
      <c r="M12" s="115">
        <f>SUMIFS(wallet_records!$D:$D,wallet_records!$B:$B,'EEFF 2025'!$C12,wallet_records!$L:$L,'EEFF 2025'!M$3,wallet_records!$O:$O,'EEFF 2025'!$B$1,wallet_records!$N:$N,'EEFF 2025'!M$2,wallet_records!$H:$H,'EEFF 2025'!$B12)</f>
        <v>1613328</v>
      </c>
      <c r="N12" s="115">
        <f>SUMIFS(wallet_records!$D:$D,wallet_records!$B:$B,'EEFF 2025'!$C12,wallet_records!$L:$L,'EEFF 2025'!N$3,wallet_records!$O:$O,'EEFF 2025'!$B$1,wallet_records!$N:$N,'EEFF 2025'!N$2,wallet_records!$H:$H,'EEFF 2025'!$B12)</f>
        <v>316495</v>
      </c>
      <c r="O12" s="115">
        <f>SUMIFS(wallet_records!$D:$D,wallet_records!$B:$B,'EEFF 2025'!$C12,wallet_records!$L:$L,'EEFF 2025'!O$3,wallet_records!$O:$O,'EEFF 2025'!$B$1,wallet_records!$N:$N,'EEFF 2025'!O$2,wallet_records!$H:$H,'EEFF 2025'!$B12)</f>
        <v>1170958</v>
      </c>
      <c r="P12" s="115">
        <f>SUMIFS(wallet_records!$D:$D,wallet_records!$B:$B,'EEFF 2025'!$C12,wallet_records!$L:$L,'EEFF 2025'!P$3,wallet_records!$O:$O,'EEFF 2025'!$B$1,wallet_records!$N:$N,'EEFF 2025'!P$2,wallet_records!$H:$H,'EEFF 2025'!$B12)</f>
        <v>0</v>
      </c>
      <c r="Q12" s="116">
        <f t="shared" si="15"/>
        <v>9183053</v>
      </c>
      <c r="R12" s="115">
        <f>SUMIFS(wallet_records!$D:$D,wallet_records!$B:$B,'EEFF 2025'!$C12,wallet_records!$L:$L,'EEFF 2025'!R$3,wallet_records!$O:$O,'EEFF 2025'!$B$1,wallet_records!$N:$N,'EEFF 2025'!R$2,wallet_records!$H:$H,'EEFF 2025'!$B12)</f>
        <v>0</v>
      </c>
      <c r="S12" s="115">
        <f>SUMIFS(wallet_records!$D:$D,wallet_records!$B:$B,'EEFF 2025'!$C12,wallet_records!$L:$L,'EEFF 2025'!S$3,wallet_records!$O:$O,'EEFF 2025'!$B$1,wallet_records!$N:$N,'EEFF 2025'!S$2,wallet_records!$H:$H,'EEFF 2025'!$B12)</f>
        <v>0</v>
      </c>
      <c r="T12" s="115">
        <f>SUMIFS(wallet_records!$D:$D,wallet_records!$B:$B,'EEFF 2025'!$C12,wallet_records!$L:$L,'EEFF 2025'!T$3,wallet_records!$O:$O,'EEFF 2025'!$B$1,wallet_records!$N:$N,'EEFF 2025'!T$2,wallet_records!$H:$H,'EEFF 2025'!$B12)</f>
        <v>0</v>
      </c>
      <c r="U12" s="115">
        <f>SUMIFS(wallet_records!$D:$D,wallet_records!$B:$B,'EEFF 2025'!$C12,wallet_records!$L:$L,'EEFF 2025'!U$3,wallet_records!$O:$O,'EEFF 2025'!$B$1,wallet_records!$N:$N,'EEFF 2025'!U$2,wallet_records!$H:$H,'EEFF 2025'!$B12)</f>
        <v>0</v>
      </c>
      <c r="V12" s="115">
        <f>SUMIFS(wallet_records!$D:$D,wallet_records!$B:$B,'EEFF 2025'!$C12,wallet_records!$L:$L,'EEFF 2025'!V$3,wallet_records!$O:$O,'EEFF 2025'!$B$1,wallet_records!$N:$N,'EEFF 2025'!V$2,wallet_records!$H:$H,'EEFF 2025'!$B12)</f>
        <v>0</v>
      </c>
      <c r="W12" s="115">
        <f>SUMIFS(wallet_records!$D:$D,wallet_records!$B:$B,'EEFF 2025'!$C12,wallet_records!$L:$L,'EEFF 2025'!W$3,wallet_records!$O:$O,'EEFF 2025'!$B$1,wallet_records!$N:$N,'EEFF 2025'!W$2,wallet_records!$H:$H,'EEFF 2025'!$B12)</f>
        <v>756032</v>
      </c>
      <c r="X12" s="116">
        <f t="shared" si="16"/>
        <v>756032</v>
      </c>
      <c r="Y12" s="115">
        <f>SUMIFS(wallet_records!$D:$D,wallet_records!$B:$B,'EEFF 2025'!$C12,wallet_records!$L:$L,'EEFF 2025'!Y$3,wallet_records!$O:$O,'EEFF 2025'!$B$1,wallet_records!$N:$N,'EEFF 2025'!Y$2,wallet_records!$H:$H,'EEFF 2025'!$B12)</f>
        <v>0</v>
      </c>
      <c r="Z12" s="115">
        <f>SUMIFS(wallet_records!$D:$D,wallet_records!$B:$B,'EEFF 2025'!$C12,wallet_records!$L:$L,'EEFF 2025'!Z$3,wallet_records!$O:$O,'EEFF 2025'!$B$1,wallet_records!$N:$N,'EEFF 2025'!Z$2,wallet_records!$H:$H,'EEFF 2025'!$B12)</f>
        <v>0</v>
      </c>
      <c r="AA12" s="115">
        <f>SUMIFS(wallet_records!$D:$D,wallet_records!$B:$B,'EEFF 2025'!$C12,wallet_records!$L:$L,'EEFF 2025'!AA$3,wallet_records!$O:$O,'EEFF 2025'!$B$1,wallet_records!$N:$N,'EEFF 2025'!AA$2,wallet_records!$H:$H,'EEFF 2025'!$B12)</f>
        <v>0</v>
      </c>
      <c r="AB12" s="115">
        <f>SUMIFS(wallet_records!$D:$D,wallet_records!$B:$B,'EEFF 2025'!$C12,wallet_records!$L:$L,'EEFF 2025'!AB$3,wallet_records!$O:$O,'EEFF 2025'!$B$1,wallet_records!$N:$N,'EEFF 2025'!AB$2,wallet_records!$H:$H,'EEFF 2025'!$B12)</f>
        <v>0</v>
      </c>
      <c r="AC12" s="115">
        <f>SUMIFS(wallet_records!$D:$D,wallet_records!$B:$B,'EEFF 2025'!$C12,wallet_records!$L:$L,'EEFF 2025'!AC$3,wallet_records!$O:$O,'EEFF 2025'!$B$1,wallet_records!$N:$N,'EEFF 2025'!AC$2,wallet_records!$H:$H,'EEFF 2025'!$B12)</f>
        <v>0</v>
      </c>
      <c r="AD12" s="115">
        <f>SUMIFS(wallet_records!$D:$D,wallet_records!$B:$B,'EEFF 2025'!$C12,wallet_records!$L:$L,'EEFF 2025'!AD$3,wallet_records!$O:$O,'EEFF 2025'!$B$1,wallet_records!$N:$N,'EEFF 2025'!AD$2,wallet_records!$H:$H,'EEFF 2025'!$B12)</f>
        <v>0</v>
      </c>
      <c r="AE12" s="116">
        <f t="shared" si="17"/>
        <v>0</v>
      </c>
      <c r="AF12" s="115">
        <f>SUMIFS(wallet_records!$D:$D,wallet_records!$B:$B,'EEFF 2025'!$C12,wallet_records!$L:$L,'EEFF 2025'!AF$3,wallet_records!$O:$O,'EEFF 2025'!$B$1,wallet_records!$N:$N,'EEFF 2025'!AF$2,wallet_records!$H:$H,'EEFF 2025'!$B12)</f>
        <v>0</v>
      </c>
      <c r="AG12" s="115">
        <f>SUMIFS(wallet_records!$D:$D,wallet_records!$B:$B,'EEFF 2025'!$C12,wallet_records!$L:$L,'EEFF 2025'!AG$3,wallet_records!$O:$O,'EEFF 2025'!$B$1,wallet_records!$N:$N,'EEFF 2025'!AG$2,wallet_records!$H:$H,'EEFF 2025'!$B12)</f>
        <v>0</v>
      </c>
      <c r="AH12" s="115">
        <f>SUMIFS(wallet_records!$D:$D,wallet_records!$B:$B,'EEFF 2025'!$C12,wallet_records!$L:$L,'EEFF 2025'!AH$3,wallet_records!$O:$O,'EEFF 2025'!$B$1,wallet_records!$N:$N,'EEFF 2025'!AH$2,wallet_records!$H:$H,'EEFF 2025'!$B12)</f>
        <v>0</v>
      </c>
      <c r="AI12" s="115">
        <f>SUMIFS(wallet_records!$D:$D,wallet_records!$B:$B,'EEFF 2025'!$C12,wallet_records!$L:$L,'EEFF 2025'!AI$3,wallet_records!$O:$O,'EEFF 2025'!$B$1,wallet_records!$N:$N,'EEFF 2025'!AI$2,wallet_records!$H:$H,'EEFF 2025'!$B12)</f>
        <v>0</v>
      </c>
      <c r="AJ12" s="115">
        <f>SUMIFS(wallet_records!$D:$D,wallet_records!$B:$B,'EEFF 2025'!$C12,wallet_records!$L:$L,'EEFF 2025'!AJ$3,wallet_records!$O:$O,'EEFF 2025'!$B$1,wallet_records!$N:$N,'EEFF 2025'!AJ$2,wallet_records!$H:$H,'EEFF 2025'!$B12)</f>
        <v>0</v>
      </c>
      <c r="AK12" s="115">
        <f>SUMIFS(wallet_records!$D:$D,wallet_records!$B:$B,'EEFF 2025'!$C12,wallet_records!$L:$L,'EEFF 2025'!AK$3,wallet_records!$O:$O,'EEFF 2025'!$B$1,wallet_records!$N:$N,'EEFF 2025'!AK$2,wallet_records!$H:$H,'EEFF 2025'!$B12)</f>
        <v>0</v>
      </c>
      <c r="AL12" s="116">
        <f t="shared" si="18"/>
        <v>0</v>
      </c>
      <c r="AM12" s="115">
        <f>SUMIFS(wallet_records!$D:$D,wallet_records!$B:$B,'EEFF 2025'!$C12,wallet_records!$L:$L,'EEFF 2025'!AM$3,wallet_records!$O:$O,'EEFF 2025'!$B$1,wallet_records!$N:$N,'EEFF 2025'!AM$2,wallet_records!$H:$H,'EEFF 2025'!$B12)</f>
        <v>0</v>
      </c>
      <c r="AN12" s="115">
        <f>SUMIFS(wallet_records!$D:$D,wallet_records!$B:$B,'EEFF 2025'!$C12,wallet_records!$L:$L,'EEFF 2025'!AN$3,wallet_records!$O:$O,'EEFF 2025'!$B$1,wallet_records!$N:$N,'EEFF 2025'!AN$2,wallet_records!$H:$H,'EEFF 2025'!$B12)</f>
        <v>0</v>
      </c>
      <c r="AO12" s="115">
        <f>SUMIFS(wallet_records!$D:$D,wallet_records!$B:$B,'EEFF 2025'!$C12,wallet_records!$L:$L,'EEFF 2025'!AO$3,wallet_records!$O:$O,'EEFF 2025'!$B$1,wallet_records!$N:$N,'EEFF 2025'!AO$2,wallet_records!$H:$H,'EEFF 2025'!$B12)</f>
        <v>0</v>
      </c>
      <c r="AP12" s="115">
        <f>SUMIFS(wallet_records!$D:$D,wallet_records!$B:$B,'EEFF 2025'!$C12,wallet_records!$L:$L,'EEFF 2025'!AP$3,wallet_records!$O:$O,'EEFF 2025'!$B$1,wallet_records!$N:$N,'EEFF 2025'!AP$2,wallet_records!$H:$H,'EEFF 2025'!$B12)</f>
        <v>0</v>
      </c>
      <c r="AQ12" s="115">
        <f>SUMIFS(wallet_records!$D:$D,wallet_records!$B:$B,'EEFF 2025'!$C12,wallet_records!$L:$L,'EEFF 2025'!AQ$3,wallet_records!$O:$O,'EEFF 2025'!$B$1,wallet_records!$N:$N,'EEFF 2025'!AQ$2,wallet_records!$H:$H,'EEFF 2025'!$B12)</f>
        <v>0</v>
      </c>
      <c r="AR12" s="115">
        <f>SUMIFS(wallet_records!$D:$D,wallet_records!$B:$B,'EEFF 2025'!$C12,wallet_records!$L:$L,'EEFF 2025'!AR$3,wallet_records!$O:$O,'EEFF 2025'!$B$1,wallet_records!$N:$N,'EEFF 2025'!AR$2,wallet_records!$H:$H,'EEFF 2025'!$B12)</f>
        <v>0</v>
      </c>
      <c r="AS12" s="116">
        <f t="shared" si="19"/>
        <v>0</v>
      </c>
      <c r="AT12" s="115">
        <f>SUMIFS(wallet_records!$D:$D,wallet_records!$B:$B,'EEFF 2025'!$C12,wallet_records!$L:$L,'EEFF 2025'!AT$3,wallet_records!$O:$O,'EEFF 2025'!$B$1,wallet_records!$N:$N,'EEFF 2025'!AT$2,wallet_records!$H:$H,'EEFF 2025'!$B12)</f>
        <v>0</v>
      </c>
      <c r="AU12" s="115">
        <f>SUMIFS(wallet_records!$D:$D,wallet_records!$B:$B,'EEFF 2025'!$C12,wallet_records!$L:$L,'EEFF 2025'!AU$3,wallet_records!$O:$O,'EEFF 2025'!$B$1,wallet_records!$N:$N,'EEFF 2025'!AU$2,wallet_records!$H:$H,'EEFF 2025'!$B12)</f>
        <v>0</v>
      </c>
      <c r="AV12" s="115">
        <f>SUMIFS(wallet_records!$D:$D,wallet_records!$B:$B,'EEFF 2025'!$C12,wallet_records!$L:$L,'EEFF 2025'!AV$3,wallet_records!$O:$O,'EEFF 2025'!$B$1,wallet_records!$N:$N,'EEFF 2025'!AV$2,wallet_records!$H:$H,'EEFF 2025'!$B12)</f>
        <v>0</v>
      </c>
      <c r="AW12" s="115">
        <f>SUMIFS(wallet_records!$D:$D,wallet_records!$B:$B,'EEFF 2025'!$C12,wallet_records!$L:$L,'EEFF 2025'!AW$3,wallet_records!$O:$O,'EEFF 2025'!$B$1,wallet_records!$N:$N,'EEFF 2025'!AW$2,wallet_records!$H:$H,'EEFF 2025'!$B12)</f>
        <v>0</v>
      </c>
      <c r="AX12" s="115">
        <f>SUMIFS(wallet_records!$D:$D,wallet_records!$B:$B,'EEFF 2025'!$C12,wallet_records!$L:$L,'EEFF 2025'!AX$3,wallet_records!$O:$O,'EEFF 2025'!$B$1,wallet_records!$N:$N,'EEFF 2025'!AX$2,wallet_records!$H:$H,'EEFF 2025'!$B12)</f>
        <v>0</v>
      </c>
      <c r="AY12" s="115">
        <f>SUMIFS(wallet_records!$D:$D,wallet_records!$B:$B,'EEFF 2025'!$C12,wallet_records!$L:$L,'EEFF 2025'!AY$3,wallet_records!$O:$O,'EEFF 2025'!$B$1,wallet_records!$N:$N,'EEFF 2025'!AY$2,wallet_records!$H:$H,'EEFF 2025'!$B12)</f>
        <v>0</v>
      </c>
      <c r="AZ12" s="116">
        <f t="shared" si="20"/>
        <v>0</v>
      </c>
      <c r="BA12" s="115">
        <f>SUMIFS(wallet_records!$D:$D,wallet_records!$B:$B,'EEFF 2025'!$C12,wallet_records!$L:$L,'EEFF 2025'!BA$3,wallet_records!$O:$O,'EEFF 2025'!$B$1,wallet_records!$N:$N,'EEFF 2025'!BA$2,wallet_records!$H:$H,'EEFF 2025'!$B12)</f>
        <v>0</v>
      </c>
      <c r="BB12" s="115">
        <f>SUMIFS(wallet_records!$D:$D,wallet_records!$B:$B,'EEFF 2025'!$C12,wallet_records!$L:$L,'EEFF 2025'!BB$3,wallet_records!$O:$O,'EEFF 2025'!$B$1,wallet_records!$N:$N,'EEFF 2025'!BB$2,wallet_records!$H:$H,'EEFF 2025'!$B12)</f>
        <v>0</v>
      </c>
      <c r="BC12" s="115">
        <f>SUMIFS(wallet_records!$D:$D,wallet_records!$B:$B,'EEFF 2025'!$C12,wallet_records!$L:$L,'EEFF 2025'!BC$3,wallet_records!$O:$O,'EEFF 2025'!$B$1,wallet_records!$N:$N,'EEFF 2025'!BC$2,wallet_records!$H:$H,'EEFF 2025'!$B12)</f>
        <v>0</v>
      </c>
      <c r="BD12" s="115">
        <f>SUMIFS(wallet_records!$D:$D,wallet_records!$B:$B,'EEFF 2025'!$C12,wallet_records!$L:$L,'EEFF 2025'!BD$3,wallet_records!$O:$O,'EEFF 2025'!$B$1,wallet_records!$N:$N,'EEFF 2025'!BD$2,wallet_records!$H:$H,'EEFF 2025'!$B12)</f>
        <v>0</v>
      </c>
      <c r="BE12" s="115">
        <f>SUMIFS(wallet_records!$D:$D,wallet_records!$B:$B,'EEFF 2025'!$C12,wallet_records!$L:$L,'EEFF 2025'!BE$3,wallet_records!$O:$O,'EEFF 2025'!$B$1,wallet_records!$N:$N,'EEFF 2025'!BE$2,wallet_records!$H:$H,'EEFF 2025'!$B12)</f>
        <v>0</v>
      </c>
      <c r="BF12" s="115">
        <f>SUMIFS(wallet_records!$D:$D,wallet_records!$B:$B,'EEFF 2025'!$C12,wallet_records!$L:$L,'EEFF 2025'!BF$3,wallet_records!$O:$O,'EEFF 2025'!$B$1,wallet_records!$N:$N,'EEFF 2025'!BF$2,wallet_records!$H:$H,'EEFF 2025'!$B12)</f>
        <v>0</v>
      </c>
      <c r="BG12" s="116">
        <f t="shared" si="21"/>
        <v>0</v>
      </c>
      <c r="BH12" s="115">
        <f>SUMIFS(wallet_records!$D:$D,wallet_records!$B:$B,'EEFF 2025'!$C12,wallet_records!$L:$L,'EEFF 2025'!BH$3,wallet_records!$O:$O,'EEFF 2025'!$B$1,wallet_records!$N:$N,'EEFF 2025'!BH$2,wallet_records!$H:$H,'EEFF 2025'!$B12)</f>
        <v>0</v>
      </c>
      <c r="BI12" s="115">
        <f>SUMIFS(wallet_records!$D:$D,wallet_records!$B:$B,'EEFF 2025'!$C12,wallet_records!$L:$L,'EEFF 2025'!BI$3,wallet_records!$O:$O,'EEFF 2025'!$B$1,wallet_records!$N:$N,'EEFF 2025'!BI$2,wallet_records!$H:$H,'EEFF 2025'!$B12)</f>
        <v>0</v>
      </c>
      <c r="BJ12" s="115">
        <f>SUMIFS(wallet_records!$D:$D,wallet_records!$B:$B,'EEFF 2025'!$C12,wallet_records!$L:$L,'EEFF 2025'!BJ$3,wallet_records!$O:$O,'EEFF 2025'!$B$1,wallet_records!$N:$N,'EEFF 2025'!BJ$2,wallet_records!$H:$H,'EEFF 2025'!$B12)</f>
        <v>0</v>
      </c>
      <c r="BK12" s="115">
        <f>SUMIFS(wallet_records!$D:$D,wallet_records!$B:$B,'EEFF 2025'!$C12,wallet_records!$L:$L,'EEFF 2025'!BK$3,wallet_records!$O:$O,'EEFF 2025'!$B$1,wallet_records!$N:$N,'EEFF 2025'!BK$2,wallet_records!$H:$H,'EEFF 2025'!$B12)</f>
        <v>0</v>
      </c>
      <c r="BL12" s="115">
        <f>SUMIFS(wallet_records!$D:$D,wallet_records!$B:$B,'EEFF 2025'!$C12,wallet_records!$L:$L,'EEFF 2025'!BL$3,wallet_records!$O:$O,'EEFF 2025'!$B$1,wallet_records!$N:$N,'EEFF 2025'!BL$2,wallet_records!$H:$H,'EEFF 2025'!$B12)</f>
        <v>0</v>
      </c>
      <c r="BM12" s="115">
        <f>SUMIFS(wallet_records!$D:$D,wallet_records!$B:$B,'EEFF 2025'!$C12,wallet_records!$L:$L,'EEFF 2025'!BM$3,wallet_records!$O:$O,'EEFF 2025'!$B$1,wallet_records!$N:$N,'EEFF 2025'!BM$2,wallet_records!$H:$H,'EEFF 2025'!$B12)</f>
        <v>0</v>
      </c>
      <c r="BN12" s="116">
        <f t="shared" si="22"/>
        <v>0</v>
      </c>
      <c r="BO12" s="115">
        <f>SUMIFS(wallet_records!$D:$D,wallet_records!$B:$B,'EEFF 2025'!$C12,wallet_records!$L:$L,'EEFF 2025'!BO$3,wallet_records!$O:$O,'EEFF 2025'!$B$1,wallet_records!$N:$N,'EEFF 2025'!BO$2,wallet_records!$H:$H,'EEFF 2025'!$B12)</f>
        <v>0</v>
      </c>
      <c r="BP12" s="115">
        <f>SUMIFS(wallet_records!$D:$D,wallet_records!$B:$B,'EEFF 2025'!$C12,wallet_records!$L:$L,'EEFF 2025'!BP$3,wallet_records!$O:$O,'EEFF 2025'!$B$1,wallet_records!$N:$N,'EEFF 2025'!BP$2,wallet_records!$H:$H,'EEFF 2025'!$B12)</f>
        <v>0</v>
      </c>
      <c r="BQ12" s="115">
        <f>SUMIFS(wallet_records!$D:$D,wallet_records!$B:$B,'EEFF 2025'!$C12,wallet_records!$L:$L,'EEFF 2025'!BQ$3,wallet_records!$O:$O,'EEFF 2025'!$B$1,wallet_records!$N:$N,'EEFF 2025'!BQ$2,wallet_records!$H:$H,'EEFF 2025'!$B12)</f>
        <v>0</v>
      </c>
      <c r="BR12" s="115">
        <f>SUMIFS(wallet_records!$D:$D,wallet_records!$B:$B,'EEFF 2025'!$C12,wallet_records!$L:$L,'EEFF 2025'!BR$3,wallet_records!$O:$O,'EEFF 2025'!$B$1,wallet_records!$N:$N,'EEFF 2025'!BR$2,wallet_records!$H:$H,'EEFF 2025'!$B12)</f>
        <v>0</v>
      </c>
      <c r="BS12" s="115">
        <f>SUMIFS(wallet_records!$D:$D,wallet_records!$B:$B,'EEFF 2025'!$C12,wallet_records!$L:$L,'EEFF 2025'!BS$3,wallet_records!$O:$O,'EEFF 2025'!$B$1,wallet_records!$N:$N,'EEFF 2025'!BS$2,wallet_records!$H:$H,'EEFF 2025'!$B12)</f>
        <v>0</v>
      </c>
      <c r="BT12" s="115">
        <f>SUMIFS(wallet_records!$D:$D,wallet_records!$B:$B,'EEFF 2025'!$C12,wallet_records!$L:$L,'EEFF 2025'!BT$3,wallet_records!$O:$O,'EEFF 2025'!$B$1,wallet_records!$N:$N,'EEFF 2025'!BT$2,wallet_records!$H:$H,'EEFF 2025'!$B12)</f>
        <v>0</v>
      </c>
      <c r="BU12" s="116">
        <f t="shared" si="23"/>
        <v>0</v>
      </c>
      <c r="BV12" s="115">
        <f>SUMIFS(wallet_records!$D:$D,wallet_records!$B:$B,'EEFF 2025'!$C12,wallet_records!$L:$L,'EEFF 2025'!BV$3,wallet_records!$O:$O,'EEFF 2025'!$B$1,wallet_records!$N:$N,'EEFF 2025'!BV$2,wallet_records!$H:$H,'EEFF 2025'!$B12)</f>
        <v>0</v>
      </c>
      <c r="BW12" s="115">
        <f>SUMIFS(wallet_records!$D:$D,wallet_records!$B:$B,'EEFF 2025'!$C12,wallet_records!$L:$L,'EEFF 2025'!BW$3,wallet_records!$O:$O,'EEFF 2025'!$B$1,wallet_records!$N:$N,'EEFF 2025'!BW$2,wallet_records!$H:$H,'EEFF 2025'!$B12)</f>
        <v>0</v>
      </c>
      <c r="BX12" s="115">
        <f>SUMIFS(wallet_records!$D:$D,wallet_records!$B:$B,'EEFF 2025'!$C12,wallet_records!$L:$L,'EEFF 2025'!BX$3,wallet_records!$O:$O,'EEFF 2025'!$B$1,wallet_records!$N:$N,'EEFF 2025'!BX$2,wallet_records!$H:$H,'EEFF 2025'!$B12)</f>
        <v>0</v>
      </c>
      <c r="BY12" s="115">
        <f>SUMIFS(wallet_records!$D:$D,wallet_records!$B:$B,'EEFF 2025'!$C12,wallet_records!$L:$L,'EEFF 2025'!BY$3,wallet_records!$O:$O,'EEFF 2025'!$B$1,wallet_records!$N:$N,'EEFF 2025'!BY$2,wallet_records!$H:$H,'EEFF 2025'!$B12)</f>
        <v>0</v>
      </c>
      <c r="BZ12" s="115">
        <f>SUMIFS(wallet_records!$D:$D,wallet_records!$B:$B,'EEFF 2025'!$C12,wallet_records!$L:$L,'EEFF 2025'!BZ$3,wallet_records!$O:$O,'EEFF 2025'!$B$1,wallet_records!$N:$N,'EEFF 2025'!BZ$2,wallet_records!$H:$H,'EEFF 2025'!$B12)</f>
        <v>0</v>
      </c>
      <c r="CA12" s="115">
        <f>SUMIFS(wallet_records!$D:$D,wallet_records!$B:$B,'EEFF 2025'!$C12,wallet_records!$L:$L,'EEFF 2025'!CA$3,wallet_records!$O:$O,'EEFF 2025'!$B$1,wallet_records!$N:$N,'EEFF 2025'!CA$2,wallet_records!$H:$H,'EEFF 2025'!$B12)</f>
        <v>0</v>
      </c>
      <c r="CB12" s="116">
        <f t="shared" si="24"/>
        <v>0</v>
      </c>
      <c r="CC12" s="115">
        <f>SUMIFS(wallet_records!$D:$D,wallet_records!$B:$B,'EEFF 2025'!$C12,wallet_records!$L:$L,'EEFF 2025'!CC$3,wallet_records!$O:$O,'EEFF 2025'!$B$1,wallet_records!$N:$N,'EEFF 2025'!CC$2,wallet_records!$H:$H,'EEFF 2025'!$B12)</f>
        <v>0</v>
      </c>
      <c r="CD12" s="115">
        <f>SUMIFS(wallet_records!$D:$D,wallet_records!$B:$B,'EEFF 2025'!$C12,wallet_records!$L:$L,'EEFF 2025'!CD$3,wallet_records!$O:$O,'EEFF 2025'!$B$1,wallet_records!$N:$N,'EEFF 2025'!CD$2,wallet_records!$H:$H,'EEFF 2025'!$B12)</f>
        <v>0</v>
      </c>
      <c r="CE12" s="115">
        <f>SUMIFS(wallet_records!$D:$D,wallet_records!$B:$B,'EEFF 2025'!$C12,wallet_records!$L:$L,'EEFF 2025'!CE$3,wallet_records!$O:$O,'EEFF 2025'!$B$1,wallet_records!$N:$N,'EEFF 2025'!CE$2,wallet_records!$H:$H,'EEFF 2025'!$B12)</f>
        <v>0</v>
      </c>
      <c r="CF12" s="115">
        <f>SUMIFS(wallet_records!$D:$D,wallet_records!$B:$B,'EEFF 2025'!$C12,wallet_records!$L:$L,'EEFF 2025'!CF$3,wallet_records!$O:$O,'EEFF 2025'!$B$1,wallet_records!$N:$N,'EEFF 2025'!CF$2,wallet_records!$H:$H,'EEFF 2025'!$B12)</f>
        <v>0</v>
      </c>
      <c r="CG12" s="115">
        <f>SUMIFS(wallet_records!$D:$D,wallet_records!$B:$B,'EEFF 2025'!$C12,wallet_records!$L:$L,'EEFF 2025'!CG$3,wallet_records!$O:$O,'EEFF 2025'!$B$1,wallet_records!$N:$N,'EEFF 2025'!CG$2,wallet_records!$H:$H,'EEFF 2025'!$B12)</f>
        <v>0</v>
      </c>
      <c r="CH12" s="115">
        <f>SUMIFS(wallet_records!$D:$D,wallet_records!$B:$B,'EEFF 2025'!$C12,wallet_records!$L:$L,'EEFF 2025'!CH$3,wallet_records!$O:$O,'EEFF 2025'!$B$1,wallet_records!$N:$N,'EEFF 2025'!CH$2,wallet_records!$H:$H,'EEFF 2025'!$B12)</f>
        <v>0</v>
      </c>
      <c r="CI12" s="116">
        <f t="shared" si="25"/>
        <v>0</v>
      </c>
      <c r="CJ12" s="115">
        <f>SUMIFS(wallet_records!$D:$D,wallet_records!$B:$B,'EEFF 2025'!$C12,wallet_records!$L:$L,'EEFF 2025'!CJ$3,wallet_records!$O:$O,'EEFF 2025'!$B$1,wallet_records!$H:$H,'EEFF 2025'!$B12)</f>
        <v>2177825</v>
      </c>
      <c r="CK12" s="115">
        <f>SUMIFS(wallet_records!$D:$D,wallet_records!$B:$B,'EEFF 2025'!$C12,wallet_records!$L:$L,'EEFF 2025'!CK$3,wallet_records!$O:$O,'EEFF 2025'!$B$1,wallet_records!$H:$H,'EEFF 2025'!$B12)</f>
        <v>3904447</v>
      </c>
      <c r="CL12" s="115">
        <f>SUMIFS(wallet_records!$D:$D,wallet_records!$B:$B,'EEFF 2025'!$C12,wallet_records!$L:$L,'EEFF 2025'!CL$3,wallet_records!$O:$O,'EEFF 2025'!$B$1,wallet_records!$H:$H,'EEFF 2025'!$B12)</f>
        <v>1613328</v>
      </c>
      <c r="CM12" s="115">
        <f>SUMIFS(wallet_records!$D:$D,wallet_records!$B:$B,'EEFF 2025'!$C12,wallet_records!$L:$L,'EEFF 2025'!CM$3,wallet_records!$O:$O,'EEFF 2025'!$B$1,wallet_records!$H:$H,'EEFF 2025'!$B12)</f>
        <v>316495</v>
      </c>
      <c r="CN12" s="115">
        <f>SUMIFS(wallet_records!$D:$D,wallet_records!$B:$B,'EEFF 2025'!$C12,wallet_records!$L:$L,'EEFF 2025'!CN$3,wallet_records!$O:$O,'EEFF 2025'!$B$1,wallet_records!$H:$H,'EEFF 2025'!$B12)</f>
        <v>1170958</v>
      </c>
      <c r="CO12" s="115">
        <f>SUMIFS(wallet_records!$D:$D,wallet_records!$B:$B,'EEFF 2025'!$C12,wallet_records!$L:$L,'EEFF 2025'!CO$3,wallet_records!$O:$O,'EEFF 2025'!$B$1,wallet_records!$H:$H,'EEFF 2025'!$B12)</f>
        <v>756032</v>
      </c>
      <c r="CP12" s="116">
        <f t="shared" si="26"/>
        <v>9939085</v>
      </c>
      <c r="CQ12" s="107"/>
      <c r="CR12" s="118">
        <f t="shared" si="0"/>
        <v>0</v>
      </c>
      <c r="CS12" s="118">
        <f t="shared" si="1"/>
        <v>1.0639616498667595</v>
      </c>
      <c r="CT12" s="118">
        <f t="shared" si="2"/>
        <v>6.8974728583158465E-2</v>
      </c>
      <c r="CU12" s="118">
        <f t="shared" si="3"/>
        <v>0</v>
      </c>
      <c r="CV12" s="118">
        <f t="shared" si="4"/>
        <v>0</v>
      </c>
      <c r="CW12" s="118">
        <f t="shared" si="5"/>
        <v>0</v>
      </c>
      <c r="CX12" s="118">
        <f t="shared" si="6"/>
        <v>0</v>
      </c>
      <c r="CY12" s="118">
        <f t="shared" si="7"/>
        <v>0</v>
      </c>
      <c r="CZ12" s="118">
        <f t="shared" si="8"/>
        <v>0</v>
      </c>
      <c r="DA12" s="118">
        <f t="shared" si="9"/>
        <v>0</v>
      </c>
      <c r="DB12" s="118">
        <f t="shared" si="10"/>
        <v>0</v>
      </c>
      <c r="DC12" s="118">
        <f t="shared" si="11"/>
        <v>0</v>
      </c>
    </row>
    <row r="13" spans="2:120" x14ac:dyDescent="0.2">
      <c r="B13" s="10" t="s">
        <v>510</v>
      </c>
      <c r="C13" s="191" t="s">
        <v>154</v>
      </c>
      <c r="D13" s="115">
        <f>SUMIFS(wallet_records!$D:$D,wallet_records!$B:$B,'EEFF 2025'!$C13,wallet_records!$L:$L,'EEFF 2025'!D$3,wallet_records!$O:$O,'EEFF 2025'!$B$1,wallet_records!$N:$N,'EEFF 2025'!D$2,wallet_records!$H:$H,'EEFF 2025'!$B13)</f>
        <v>0</v>
      </c>
      <c r="E13" s="115">
        <f>SUMIFS(wallet_records!$D:$D,wallet_records!$B:$B,'EEFF 2025'!$C13,wallet_records!$L:$L,'EEFF 2025'!E$3,wallet_records!$O:$O,'EEFF 2025'!$B$1,wallet_records!$N:$N,'EEFF 2025'!E$2,wallet_records!$H:$H,'EEFF 2025'!$B13)</f>
        <v>0</v>
      </c>
      <c r="F13" s="115">
        <f>SUMIFS(wallet_records!$D:$D,wallet_records!$B:$B,'EEFF 2025'!$C13,wallet_records!$L:$L,'EEFF 2025'!F$3,wallet_records!$O:$O,'EEFF 2025'!$B$1,wallet_records!$N:$N,'EEFF 2025'!F$2,wallet_records!$H:$H,'EEFF 2025'!$B13)</f>
        <v>0</v>
      </c>
      <c r="G13" s="115">
        <f>SUMIFS(wallet_records!$D:$D,wallet_records!$B:$B,'EEFF 2025'!$C13,wallet_records!$L:$L,'EEFF 2025'!G$3,wallet_records!$O:$O,'EEFF 2025'!$B$1,wallet_records!$N:$N,'EEFF 2025'!G$2,wallet_records!$H:$H,'EEFF 2025'!$B13)</f>
        <v>0</v>
      </c>
      <c r="H13" s="115">
        <f>SUMIFS(wallet_records!$D:$D,wallet_records!$B:$B,'EEFF 2025'!$C13,wallet_records!$L:$L,'EEFF 2025'!H$3,wallet_records!$O:$O,'EEFF 2025'!$B$1,wallet_records!$N:$N,'EEFF 2025'!H$2,wallet_records!$H:$H,'EEFF 2025'!$B13)</f>
        <v>0</v>
      </c>
      <c r="I13" s="115">
        <f>SUMIFS(wallet_records!$D:$D,wallet_records!$B:$B,'EEFF 2025'!$C13,wallet_records!$L:$L,'EEFF 2025'!I$3,wallet_records!$O:$O,'EEFF 2025'!$B$1,wallet_records!$N:$N,'EEFF 2025'!I$2,wallet_records!$H:$H,'EEFF 2025'!$B13)</f>
        <v>0</v>
      </c>
      <c r="J13" s="116">
        <f t="shared" si="14"/>
        <v>0</v>
      </c>
      <c r="K13" s="115">
        <f>SUMIFS(wallet_records!$D:$D,wallet_records!$B:$B,'EEFF 2025'!$C13,wallet_records!$L:$L,'EEFF 2025'!K$3,wallet_records!$O:$O,'EEFF 2025'!$B$1,wallet_records!$N:$N,'EEFF 2025'!K$2,wallet_records!$H:$H,'EEFF 2025'!$B13)</f>
        <v>0</v>
      </c>
      <c r="L13" s="115">
        <f>SUMIFS(wallet_records!$D:$D,wallet_records!$B:$B,'EEFF 2025'!$C13,wallet_records!$L:$L,'EEFF 2025'!L$3,wallet_records!$O:$O,'EEFF 2025'!$B$1,wallet_records!$N:$N,'EEFF 2025'!L$2,wallet_records!$H:$H,'EEFF 2025'!$B13)</f>
        <v>0</v>
      </c>
      <c r="M13" s="115">
        <f>SUMIFS(wallet_records!$D:$D,wallet_records!$B:$B,'EEFF 2025'!$C13,wallet_records!$L:$L,'EEFF 2025'!M$3,wallet_records!$O:$O,'EEFF 2025'!$B$1,wallet_records!$N:$N,'EEFF 2025'!M$2,wallet_records!$H:$H,'EEFF 2025'!$B13)</f>
        <v>0</v>
      </c>
      <c r="N13" s="115">
        <f>SUMIFS(wallet_records!$D:$D,wallet_records!$B:$B,'EEFF 2025'!$C13,wallet_records!$L:$L,'EEFF 2025'!N$3,wallet_records!$O:$O,'EEFF 2025'!$B$1,wallet_records!$N:$N,'EEFF 2025'!N$2,wallet_records!$H:$H,'EEFF 2025'!$B13)</f>
        <v>0</v>
      </c>
      <c r="O13" s="115">
        <f>SUMIFS(wallet_records!$D:$D,wallet_records!$B:$B,'EEFF 2025'!$C13,wallet_records!$L:$L,'EEFF 2025'!O$3,wallet_records!$O:$O,'EEFF 2025'!$B$1,wallet_records!$N:$N,'EEFF 2025'!O$2,wallet_records!$H:$H,'EEFF 2025'!$B13)</f>
        <v>0</v>
      </c>
      <c r="P13" s="115">
        <f>SUMIFS(wallet_records!$D:$D,wallet_records!$B:$B,'EEFF 2025'!$C13,wallet_records!$L:$L,'EEFF 2025'!P$3,wallet_records!$O:$O,'EEFF 2025'!$B$1,wallet_records!$N:$N,'EEFF 2025'!P$2,wallet_records!$H:$H,'EEFF 2025'!$B13)</f>
        <v>0</v>
      </c>
      <c r="Q13" s="116">
        <f t="shared" si="15"/>
        <v>0</v>
      </c>
      <c r="R13" s="115">
        <f>SUMIFS(wallet_records!$D:$D,wallet_records!$B:$B,'EEFF 2025'!$C13,wallet_records!$L:$L,'EEFF 2025'!R$3,wallet_records!$O:$O,'EEFF 2025'!$B$1,wallet_records!$N:$N,'EEFF 2025'!R$2,wallet_records!$H:$H,'EEFF 2025'!$B13)</f>
        <v>0</v>
      </c>
      <c r="S13" s="115">
        <f>SUMIFS(wallet_records!$D:$D,wallet_records!$B:$B,'EEFF 2025'!$C13,wallet_records!$L:$L,'EEFF 2025'!S$3,wallet_records!$O:$O,'EEFF 2025'!$B$1,wallet_records!$N:$N,'EEFF 2025'!S$2,wallet_records!$H:$H,'EEFF 2025'!$B13)</f>
        <v>0</v>
      </c>
      <c r="T13" s="115">
        <f>SUMIFS(wallet_records!$D:$D,wallet_records!$B:$B,'EEFF 2025'!$C13,wallet_records!$L:$L,'EEFF 2025'!T$3,wallet_records!$O:$O,'EEFF 2025'!$B$1,wallet_records!$N:$N,'EEFF 2025'!T$2,wallet_records!$H:$H,'EEFF 2025'!$B13)</f>
        <v>0</v>
      </c>
      <c r="U13" s="115">
        <f>SUMIFS(wallet_records!$D:$D,wallet_records!$B:$B,'EEFF 2025'!$C13,wallet_records!$L:$L,'EEFF 2025'!U$3,wallet_records!$O:$O,'EEFF 2025'!$B$1,wallet_records!$N:$N,'EEFF 2025'!U$2,wallet_records!$H:$H,'EEFF 2025'!$B13)</f>
        <v>0</v>
      </c>
      <c r="V13" s="115">
        <f>SUMIFS(wallet_records!$D:$D,wallet_records!$B:$B,'EEFF 2025'!$C13,wallet_records!$L:$L,'EEFF 2025'!V$3,wallet_records!$O:$O,'EEFF 2025'!$B$1,wallet_records!$N:$N,'EEFF 2025'!V$2,wallet_records!$H:$H,'EEFF 2025'!$B13)</f>
        <v>0</v>
      </c>
      <c r="W13" s="115">
        <f>SUMIFS(wallet_records!$D:$D,wallet_records!$B:$B,'EEFF 2025'!$C13,wallet_records!$L:$L,'EEFF 2025'!W$3,wallet_records!$O:$O,'EEFF 2025'!$B$1,wallet_records!$N:$N,'EEFF 2025'!W$2,wallet_records!$H:$H,'EEFF 2025'!$B13)</f>
        <v>0</v>
      </c>
      <c r="X13" s="116">
        <f t="shared" si="16"/>
        <v>0</v>
      </c>
      <c r="Y13" s="115">
        <f>SUMIFS(wallet_records!$D:$D,wallet_records!$B:$B,'EEFF 2025'!$C13,wallet_records!$L:$L,'EEFF 2025'!Y$3,wallet_records!$O:$O,'EEFF 2025'!$B$1,wallet_records!$N:$N,'EEFF 2025'!Y$2,wallet_records!$H:$H,'EEFF 2025'!$B13)</f>
        <v>0</v>
      </c>
      <c r="Z13" s="115">
        <f>SUMIFS(wallet_records!$D:$D,wallet_records!$B:$B,'EEFF 2025'!$C13,wallet_records!$L:$L,'EEFF 2025'!Z$3,wallet_records!$O:$O,'EEFF 2025'!$B$1,wallet_records!$N:$N,'EEFF 2025'!Z$2,wallet_records!$H:$H,'EEFF 2025'!$B13)</f>
        <v>0</v>
      </c>
      <c r="AA13" s="115">
        <f>SUMIFS(wallet_records!$D:$D,wallet_records!$B:$B,'EEFF 2025'!$C13,wallet_records!$L:$L,'EEFF 2025'!AA$3,wallet_records!$O:$O,'EEFF 2025'!$B$1,wallet_records!$N:$N,'EEFF 2025'!AA$2,wallet_records!$H:$H,'EEFF 2025'!$B13)</f>
        <v>0</v>
      </c>
      <c r="AB13" s="115">
        <f>SUMIFS(wallet_records!$D:$D,wallet_records!$B:$B,'EEFF 2025'!$C13,wallet_records!$L:$L,'EEFF 2025'!AB$3,wallet_records!$O:$O,'EEFF 2025'!$B$1,wallet_records!$N:$N,'EEFF 2025'!AB$2,wallet_records!$H:$H,'EEFF 2025'!$B13)</f>
        <v>0</v>
      </c>
      <c r="AC13" s="115">
        <f>SUMIFS(wallet_records!$D:$D,wallet_records!$B:$B,'EEFF 2025'!$C13,wallet_records!$L:$L,'EEFF 2025'!AC$3,wallet_records!$O:$O,'EEFF 2025'!$B$1,wallet_records!$N:$N,'EEFF 2025'!AC$2,wallet_records!$H:$H,'EEFF 2025'!$B13)</f>
        <v>0</v>
      </c>
      <c r="AD13" s="115">
        <f>SUMIFS(wallet_records!$D:$D,wallet_records!$B:$B,'EEFF 2025'!$C13,wallet_records!$L:$L,'EEFF 2025'!AD$3,wallet_records!$O:$O,'EEFF 2025'!$B$1,wallet_records!$N:$N,'EEFF 2025'!AD$2,wallet_records!$H:$H,'EEFF 2025'!$B13)</f>
        <v>0</v>
      </c>
      <c r="AE13" s="116">
        <f t="shared" si="17"/>
        <v>0</v>
      </c>
      <c r="AF13" s="115">
        <f>SUMIFS(wallet_records!$D:$D,wallet_records!$B:$B,'EEFF 2025'!$C13,wallet_records!$L:$L,'EEFF 2025'!AF$3,wallet_records!$O:$O,'EEFF 2025'!$B$1,wallet_records!$N:$N,'EEFF 2025'!AF$2,wallet_records!$H:$H,'EEFF 2025'!$B13)</f>
        <v>17500</v>
      </c>
      <c r="AG13" s="115">
        <f>SUMIFS(wallet_records!$D:$D,wallet_records!$B:$B,'EEFF 2025'!$C13,wallet_records!$L:$L,'EEFF 2025'!AG$3,wallet_records!$O:$O,'EEFF 2025'!$B$1,wallet_records!$N:$N,'EEFF 2025'!AG$2,wallet_records!$H:$H,'EEFF 2025'!$B13)</f>
        <v>0</v>
      </c>
      <c r="AH13" s="115">
        <f>SUMIFS(wallet_records!$D:$D,wallet_records!$B:$B,'EEFF 2025'!$C13,wallet_records!$L:$L,'EEFF 2025'!AH$3,wallet_records!$O:$O,'EEFF 2025'!$B$1,wallet_records!$N:$N,'EEFF 2025'!AH$2,wallet_records!$H:$H,'EEFF 2025'!$B13)</f>
        <v>24000</v>
      </c>
      <c r="AI13" s="115">
        <f>SUMIFS(wallet_records!$D:$D,wallet_records!$B:$B,'EEFF 2025'!$C13,wallet_records!$L:$L,'EEFF 2025'!AI$3,wallet_records!$O:$O,'EEFF 2025'!$B$1,wallet_records!$N:$N,'EEFF 2025'!AI$2,wallet_records!$H:$H,'EEFF 2025'!$B13)</f>
        <v>0</v>
      </c>
      <c r="AJ13" s="115">
        <f>SUMIFS(wallet_records!$D:$D,wallet_records!$B:$B,'EEFF 2025'!$C13,wallet_records!$L:$L,'EEFF 2025'!AJ$3,wallet_records!$O:$O,'EEFF 2025'!$B$1,wallet_records!$N:$N,'EEFF 2025'!AJ$2,wallet_records!$H:$H,'EEFF 2025'!$B13)</f>
        <v>34000</v>
      </c>
      <c r="AK13" s="115">
        <f>SUMIFS(wallet_records!$D:$D,wallet_records!$B:$B,'EEFF 2025'!$C13,wallet_records!$L:$L,'EEFF 2025'!AK$3,wallet_records!$O:$O,'EEFF 2025'!$B$1,wallet_records!$N:$N,'EEFF 2025'!AK$2,wallet_records!$H:$H,'EEFF 2025'!$B13)</f>
        <v>0</v>
      </c>
      <c r="AL13" s="116">
        <f t="shared" si="18"/>
        <v>75500</v>
      </c>
      <c r="AM13" s="115">
        <f>SUMIFS(wallet_records!$D:$D,wallet_records!$B:$B,'EEFF 2025'!$C13,wallet_records!$L:$L,'EEFF 2025'!AM$3,wallet_records!$O:$O,'EEFF 2025'!$B$1,wallet_records!$N:$N,'EEFF 2025'!AM$2,wallet_records!$H:$H,'EEFF 2025'!$B13)</f>
        <v>0</v>
      </c>
      <c r="AN13" s="115">
        <f>SUMIFS(wallet_records!$D:$D,wallet_records!$B:$B,'EEFF 2025'!$C13,wallet_records!$L:$L,'EEFF 2025'!AN$3,wallet_records!$O:$O,'EEFF 2025'!$B$1,wallet_records!$N:$N,'EEFF 2025'!AN$2,wallet_records!$H:$H,'EEFF 2025'!$B13)</f>
        <v>0</v>
      </c>
      <c r="AO13" s="115">
        <f>SUMIFS(wallet_records!$D:$D,wallet_records!$B:$B,'EEFF 2025'!$C13,wallet_records!$L:$L,'EEFF 2025'!AO$3,wallet_records!$O:$O,'EEFF 2025'!$B$1,wallet_records!$N:$N,'EEFF 2025'!AO$2,wallet_records!$H:$H,'EEFF 2025'!$B13)</f>
        <v>0</v>
      </c>
      <c r="AP13" s="115">
        <f>SUMIFS(wallet_records!$D:$D,wallet_records!$B:$B,'EEFF 2025'!$C13,wallet_records!$L:$L,'EEFF 2025'!AP$3,wallet_records!$O:$O,'EEFF 2025'!$B$1,wallet_records!$N:$N,'EEFF 2025'!AP$2,wallet_records!$H:$H,'EEFF 2025'!$B13)</f>
        <v>0</v>
      </c>
      <c r="AQ13" s="115">
        <f>SUMIFS(wallet_records!$D:$D,wallet_records!$B:$B,'EEFF 2025'!$C13,wallet_records!$L:$L,'EEFF 2025'!AQ$3,wallet_records!$O:$O,'EEFF 2025'!$B$1,wallet_records!$N:$N,'EEFF 2025'!AQ$2,wallet_records!$H:$H,'EEFF 2025'!$B13)</f>
        <v>0</v>
      </c>
      <c r="AR13" s="115">
        <f>SUMIFS(wallet_records!$D:$D,wallet_records!$B:$B,'EEFF 2025'!$C13,wallet_records!$L:$L,'EEFF 2025'!AR$3,wallet_records!$O:$O,'EEFF 2025'!$B$1,wallet_records!$N:$N,'EEFF 2025'!AR$2,wallet_records!$H:$H,'EEFF 2025'!$B13)</f>
        <v>0</v>
      </c>
      <c r="AS13" s="116">
        <f t="shared" si="19"/>
        <v>0</v>
      </c>
      <c r="AT13" s="115">
        <f>SUMIFS(wallet_records!$D:$D,wallet_records!$B:$B,'EEFF 2025'!$C13,wallet_records!$L:$L,'EEFF 2025'!AT$3,wallet_records!$O:$O,'EEFF 2025'!$B$1,wallet_records!$N:$N,'EEFF 2025'!AT$2,wallet_records!$H:$H,'EEFF 2025'!$B13)</f>
        <v>26500</v>
      </c>
      <c r="AU13" s="115">
        <f>SUMIFS(wallet_records!$D:$D,wallet_records!$B:$B,'EEFF 2025'!$C13,wallet_records!$L:$L,'EEFF 2025'!AU$3,wallet_records!$O:$O,'EEFF 2025'!$B$1,wallet_records!$N:$N,'EEFF 2025'!AU$2,wallet_records!$H:$H,'EEFF 2025'!$B13)</f>
        <v>0</v>
      </c>
      <c r="AV13" s="115">
        <f>SUMIFS(wallet_records!$D:$D,wallet_records!$B:$B,'EEFF 2025'!$C13,wallet_records!$L:$L,'EEFF 2025'!AV$3,wallet_records!$O:$O,'EEFF 2025'!$B$1,wallet_records!$N:$N,'EEFF 2025'!AV$2,wallet_records!$H:$H,'EEFF 2025'!$B13)</f>
        <v>23700</v>
      </c>
      <c r="AW13" s="115">
        <f>SUMIFS(wallet_records!$D:$D,wallet_records!$B:$B,'EEFF 2025'!$C13,wallet_records!$L:$L,'EEFF 2025'!AW$3,wallet_records!$O:$O,'EEFF 2025'!$B$1,wallet_records!$N:$N,'EEFF 2025'!AW$2,wallet_records!$H:$H,'EEFF 2025'!$B13)</f>
        <v>0</v>
      </c>
      <c r="AX13" s="115">
        <f>SUMIFS(wallet_records!$D:$D,wallet_records!$B:$B,'EEFF 2025'!$C13,wallet_records!$L:$L,'EEFF 2025'!AX$3,wallet_records!$O:$O,'EEFF 2025'!$B$1,wallet_records!$N:$N,'EEFF 2025'!AX$2,wallet_records!$H:$H,'EEFF 2025'!$B13)</f>
        <v>29400</v>
      </c>
      <c r="AY13" s="115">
        <f>SUMIFS(wallet_records!$D:$D,wallet_records!$B:$B,'EEFF 2025'!$C13,wallet_records!$L:$L,'EEFF 2025'!AY$3,wallet_records!$O:$O,'EEFF 2025'!$B$1,wallet_records!$N:$N,'EEFF 2025'!AY$2,wallet_records!$H:$H,'EEFF 2025'!$B13)</f>
        <v>0</v>
      </c>
      <c r="AZ13" s="116">
        <f t="shared" si="20"/>
        <v>79600</v>
      </c>
      <c r="BA13" s="115">
        <f>SUMIFS(wallet_records!$D:$D,wallet_records!$B:$B,'EEFF 2025'!$C13,wallet_records!$L:$L,'EEFF 2025'!BA$3,wallet_records!$O:$O,'EEFF 2025'!$B$1,wallet_records!$N:$N,'EEFF 2025'!BA$2,wallet_records!$H:$H,'EEFF 2025'!$B13)</f>
        <v>15000</v>
      </c>
      <c r="BB13" s="115">
        <f>SUMIFS(wallet_records!$D:$D,wallet_records!$B:$B,'EEFF 2025'!$C13,wallet_records!$L:$L,'EEFF 2025'!BB$3,wallet_records!$O:$O,'EEFF 2025'!$B$1,wallet_records!$N:$N,'EEFF 2025'!BB$2,wallet_records!$H:$H,'EEFF 2025'!$B13)</f>
        <v>38000</v>
      </c>
      <c r="BC13" s="115">
        <f>SUMIFS(wallet_records!$D:$D,wallet_records!$B:$B,'EEFF 2025'!$C13,wallet_records!$L:$L,'EEFF 2025'!BC$3,wallet_records!$O:$O,'EEFF 2025'!$B$1,wallet_records!$N:$N,'EEFF 2025'!BC$2,wallet_records!$H:$H,'EEFF 2025'!$B13)</f>
        <v>12000</v>
      </c>
      <c r="BD13" s="115">
        <f>SUMIFS(wallet_records!$D:$D,wallet_records!$B:$B,'EEFF 2025'!$C13,wallet_records!$L:$L,'EEFF 2025'!BD$3,wallet_records!$O:$O,'EEFF 2025'!$B$1,wallet_records!$N:$N,'EEFF 2025'!BD$2,wallet_records!$H:$H,'EEFF 2025'!$B13)</f>
        <v>0</v>
      </c>
      <c r="BE13" s="115">
        <f>SUMIFS(wallet_records!$D:$D,wallet_records!$B:$B,'EEFF 2025'!$C13,wallet_records!$L:$L,'EEFF 2025'!BE$3,wallet_records!$O:$O,'EEFF 2025'!$B$1,wallet_records!$N:$N,'EEFF 2025'!BE$2,wallet_records!$H:$H,'EEFF 2025'!$B13)</f>
        <v>17000</v>
      </c>
      <c r="BF13" s="115">
        <f>SUMIFS(wallet_records!$D:$D,wallet_records!$B:$B,'EEFF 2025'!$C13,wallet_records!$L:$L,'EEFF 2025'!BF$3,wallet_records!$O:$O,'EEFF 2025'!$B$1,wallet_records!$N:$N,'EEFF 2025'!BF$2,wallet_records!$H:$H,'EEFF 2025'!$B13)</f>
        <v>9500</v>
      </c>
      <c r="BG13" s="116">
        <f t="shared" si="21"/>
        <v>91500</v>
      </c>
      <c r="BH13" s="115">
        <f>SUMIFS(wallet_records!$D:$D,wallet_records!$B:$B,'EEFF 2025'!$C13,wallet_records!$L:$L,'EEFF 2025'!BH$3,wallet_records!$O:$O,'EEFF 2025'!$B$1,wallet_records!$N:$N,'EEFF 2025'!BH$2,wallet_records!$H:$H,'EEFF 2025'!$B13)</f>
        <v>0</v>
      </c>
      <c r="BI13" s="115">
        <f>SUMIFS(wallet_records!$D:$D,wallet_records!$B:$B,'EEFF 2025'!$C13,wallet_records!$L:$L,'EEFF 2025'!BI$3,wallet_records!$O:$O,'EEFF 2025'!$B$1,wallet_records!$N:$N,'EEFF 2025'!BI$2,wallet_records!$H:$H,'EEFF 2025'!$B13)</f>
        <v>0</v>
      </c>
      <c r="BJ13" s="115">
        <f>SUMIFS(wallet_records!$D:$D,wallet_records!$B:$B,'EEFF 2025'!$C13,wallet_records!$L:$L,'EEFF 2025'!BJ$3,wallet_records!$O:$O,'EEFF 2025'!$B$1,wallet_records!$N:$N,'EEFF 2025'!BJ$2,wallet_records!$H:$H,'EEFF 2025'!$B13)</f>
        <v>0</v>
      </c>
      <c r="BK13" s="115">
        <f>SUMIFS(wallet_records!$D:$D,wallet_records!$B:$B,'EEFF 2025'!$C13,wallet_records!$L:$L,'EEFF 2025'!BK$3,wallet_records!$O:$O,'EEFF 2025'!$B$1,wallet_records!$N:$N,'EEFF 2025'!BK$2,wallet_records!$H:$H,'EEFF 2025'!$B13)</f>
        <v>0</v>
      </c>
      <c r="BL13" s="115">
        <f>SUMIFS(wallet_records!$D:$D,wallet_records!$B:$B,'EEFF 2025'!$C13,wallet_records!$L:$L,'EEFF 2025'!BL$3,wallet_records!$O:$O,'EEFF 2025'!$B$1,wallet_records!$N:$N,'EEFF 2025'!BL$2,wallet_records!$H:$H,'EEFF 2025'!$B13)</f>
        <v>0</v>
      </c>
      <c r="BM13" s="115">
        <f>SUMIFS(wallet_records!$D:$D,wallet_records!$B:$B,'EEFF 2025'!$C13,wallet_records!$L:$L,'EEFF 2025'!BM$3,wallet_records!$O:$O,'EEFF 2025'!$B$1,wallet_records!$N:$N,'EEFF 2025'!BM$2,wallet_records!$H:$H,'EEFF 2025'!$B13)</f>
        <v>0</v>
      </c>
      <c r="BN13" s="116">
        <f t="shared" si="22"/>
        <v>0</v>
      </c>
      <c r="BO13" s="115">
        <f>SUMIFS(wallet_records!$D:$D,wallet_records!$B:$B,'EEFF 2025'!$C13,wallet_records!$L:$L,'EEFF 2025'!BO$3,wallet_records!$O:$O,'EEFF 2025'!$B$1,wallet_records!$N:$N,'EEFF 2025'!BO$2,wallet_records!$H:$H,'EEFF 2025'!$B13)</f>
        <v>0</v>
      </c>
      <c r="BP13" s="115">
        <f>SUMIFS(wallet_records!$D:$D,wallet_records!$B:$B,'EEFF 2025'!$C13,wallet_records!$L:$L,'EEFF 2025'!BP$3,wallet_records!$O:$O,'EEFF 2025'!$B$1,wallet_records!$N:$N,'EEFF 2025'!BP$2,wallet_records!$H:$H,'EEFF 2025'!$B13)</f>
        <v>0</v>
      </c>
      <c r="BQ13" s="115">
        <f>SUMIFS(wallet_records!$D:$D,wallet_records!$B:$B,'EEFF 2025'!$C13,wallet_records!$L:$L,'EEFF 2025'!BQ$3,wallet_records!$O:$O,'EEFF 2025'!$B$1,wallet_records!$N:$N,'EEFF 2025'!BQ$2,wallet_records!$H:$H,'EEFF 2025'!$B13)</f>
        <v>0</v>
      </c>
      <c r="BR13" s="115">
        <f>SUMIFS(wallet_records!$D:$D,wallet_records!$B:$B,'EEFF 2025'!$C13,wallet_records!$L:$L,'EEFF 2025'!BR$3,wallet_records!$O:$O,'EEFF 2025'!$B$1,wallet_records!$N:$N,'EEFF 2025'!BR$2,wallet_records!$H:$H,'EEFF 2025'!$B13)</f>
        <v>0</v>
      </c>
      <c r="BS13" s="115">
        <f>SUMIFS(wallet_records!$D:$D,wallet_records!$B:$B,'EEFF 2025'!$C13,wallet_records!$L:$L,'EEFF 2025'!BS$3,wallet_records!$O:$O,'EEFF 2025'!$B$1,wallet_records!$N:$N,'EEFF 2025'!BS$2,wallet_records!$H:$H,'EEFF 2025'!$B13)</f>
        <v>0</v>
      </c>
      <c r="BT13" s="115">
        <f>SUMIFS(wallet_records!$D:$D,wallet_records!$B:$B,'EEFF 2025'!$C13,wallet_records!$L:$L,'EEFF 2025'!BT$3,wallet_records!$O:$O,'EEFF 2025'!$B$1,wallet_records!$N:$N,'EEFF 2025'!BT$2,wallet_records!$H:$H,'EEFF 2025'!$B13)</f>
        <v>0</v>
      </c>
      <c r="BU13" s="116">
        <f t="shared" si="23"/>
        <v>0</v>
      </c>
      <c r="BV13" s="115">
        <f>SUMIFS(wallet_records!$D:$D,wallet_records!$B:$B,'EEFF 2025'!$C13,wallet_records!$L:$L,'EEFF 2025'!BV$3,wallet_records!$O:$O,'EEFF 2025'!$B$1,wallet_records!$N:$N,'EEFF 2025'!BV$2,wallet_records!$H:$H,'EEFF 2025'!$B13)</f>
        <v>42600</v>
      </c>
      <c r="BW13" s="115">
        <f>SUMIFS(wallet_records!$D:$D,wallet_records!$B:$B,'EEFF 2025'!$C13,wallet_records!$L:$L,'EEFF 2025'!BW$3,wallet_records!$O:$O,'EEFF 2025'!$B$1,wallet_records!$N:$N,'EEFF 2025'!BW$2,wallet_records!$H:$H,'EEFF 2025'!$B13)</f>
        <v>35800</v>
      </c>
      <c r="BX13" s="115">
        <f>SUMIFS(wallet_records!$D:$D,wallet_records!$B:$B,'EEFF 2025'!$C13,wallet_records!$L:$L,'EEFF 2025'!BX$3,wallet_records!$O:$O,'EEFF 2025'!$B$1,wallet_records!$N:$N,'EEFF 2025'!BX$2,wallet_records!$H:$H,'EEFF 2025'!$B13)</f>
        <v>38600</v>
      </c>
      <c r="BY13" s="115">
        <f>SUMIFS(wallet_records!$D:$D,wallet_records!$B:$B,'EEFF 2025'!$C13,wallet_records!$L:$L,'EEFF 2025'!BY$3,wallet_records!$O:$O,'EEFF 2025'!$B$1,wallet_records!$N:$N,'EEFF 2025'!BY$2,wallet_records!$H:$H,'EEFF 2025'!$B13)</f>
        <v>0</v>
      </c>
      <c r="BZ13" s="115">
        <f>SUMIFS(wallet_records!$D:$D,wallet_records!$B:$B,'EEFF 2025'!$C13,wallet_records!$L:$L,'EEFF 2025'!BZ$3,wallet_records!$O:$O,'EEFF 2025'!$B$1,wallet_records!$N:$N,'EEFF 2025'!BZ$2,wallet_records!$H:$H,'EEFF 2025'!$B13)</f>
        <v>46400</v>
      </c>
      <c r="CA13" s="115">
        <f>SUMIFS(wallet_records!$D:$D,wallet_records!$B:$B,'EEFF 2025'!$C13,wallet_records!$L:$L,'EEFF 2025'!CA$3,wallet_records!$O:$O,'EEFF 2025'!$B$1,wallet_records!$N:$N,'EEFF 2025'!CA$2,wallet_records!$H:$H,'EEFF 2025'!$B13)</f>
        <v>8010</v>
      </c>
      <c r="CB13" s="116">
        <f>SUM(BV13:CA13)</f>
        <v>171410</v>
      </c>
      <c r="CC13" s="115">
        <f>SUMIFS(wallet_records!$D:$D,wallet_records!$B:$B,'EEFF 2025'!$C13,wallet_records!$L:$L,'EEFF 2025'!CC$3,wallet_records!$O:$O,'EEFF 2025'!$B$1,wallet_records!$N:$N,'EEFF 2025'!CC$2,wallet_records!$H:$H,'EEFF 2025'!$B13)</f>
        <v>0</v>
      </c>
      <c r="CD13" s="115">
        <f>SUMIFS(wallet_records!$D:$D,wallet_records!$B:$B,'EEFF 2025'!$C13,wallet_records!$L:$L,'EEFF 2025'!CD$3,wallet_records!$O:$O,'EEFF 2025'!$B$1,wallet_records!$N:$N,'EEFF 2025'!CD$2,wallet_records!$H:$H,'EEFF 2025'!$B13)</f>
        <v>0</v>
      </c>
      <c r="CE13" s="115">
        <f>SUMIFS(wallet_records!$D:$D,wallet_records!$B:$B,'EEFF 2025'!$C13,wallet_records!$L:$L,'EEFF 2025'!CE$3,wallet_records!$O:$O,'EEFF 2025'!$B$1,wallet_records!$N:$N,'EEFF 2025'!CE$2,wallet_records!$H:$H,'EEFF 2025'!$B13)</f>
        <v>0</v>
      </c>
      <c r="CF13" s="115">
        <f>SUMIFS(wallet_records!$D:$D,wallet_records!$B:$B,'EEFF 2025'!$C13,wallet_records!$L:$L,'EEFF 2025'!CF$3,wallet_records!$O:$O,'EEFF 2025'!$B$1,wallet_records!$N:$N,'EEFF 2025'!CF$2,wallet_records!$H:$H,'EEFF 2025'!$B13)</f>
        <v>0</v>
      </c>
      <c r="CG13" s="115">
        <f>SUMIFS(wallet_records!$D:$D,wallet_records!$B:$B,'EEFF 2025'!$C13,wallet_records!$L:$L,'EEFF 2025'!CG$3,wallet_records!$O:$O,'EEFF 2025'!$B$1,wallet_records!$N:$N,'EEFF 2025'!CG$2,wallet_records!$H:$H,'EEFF 2025'!$B13)</f>
        <v>0</v>
      </c>
      <c r="CH13" s="115">
        <f>SUMIFS(wallet_records!$D:$D,wallet_records!$B:$B,'EEFF 2025'!$C13,wallet_records!$L:$L,'EEFF 2025'!CH$3,wallet_records!$O:$O,'EEFF 2025'!$B$1,wallet_records!$N:$N,'EEFF 2025'!CH$2,wallet_records!$H:$H,'EEFF 2025'!$B13)</f>
        <v>0</v>
      </c>
      <c r="CI13" s="116">
        <f t="shared" si="25"/>
        <v>0</v>
      </c>
      <c r="CJ13" s="115">
        <f>SUMIFS(wallet_records!$D:$D,wallet_records!$B:$B,'EEFF 2025'!$C13,wallet_records!$L:$L,'EEFF 2025'!CJ$3,wallet_records!$O:$O,'EEFF 2025'!$B$1,wallet_records!$H:$H,'EEFF 2025'!$B13)</f>
        <v>101600</v>
      </c>
      <c r="CK13" s="115">
        <f>SUMIFS(wallet_records!$D:$D,wallet_records!$B:$B,'EEFF 2025'!$C13,wallet_records!$L:$L,'EEFF 2025'!CK$3,wallet_records!$O:$O,'EEFF 2025'!$B$1,wallet_records!$H:$H,'EEFF 2025'!$B13)</f>
        <v>73800</v>
      </c>
      <c r="CL13" s="115">
        <f>SUMIFS(wallet_records!$D:$D,wallet_records!$B:$B,'EEFF 2025'!$C13,wallet_records!$L:$L,'EEFF 2025'!CL$3,wallet_records!$O:$O,'EEFF 2025'!$B$1,wallet_records!$H:$H,'EEFF 2025'!$B13)</f>
        <v>98300</v>
      </c>
      <c r="CM13" s="115">
        <f>SUMIFS(wallet_records!$D:$D,wallet_records!$B:$B,'EEFF 2025'!$C13,wallet_records!$L:$L,'EEFF 2025'!CM$3,wallet_records!$O:$O,'EEFF 2025'!$B$1,wallet_records!$H:$H,'EEFF 2025'!$B13)</f>
        <v>0</v>
      </c>
      <c r="CN13" s="115">
        <f>SUMIFS(wallet_records!$D:$D,wallet_records!$B:$B,'EEFF 2025'!$C13,wallet_records!$L:$L,'EEFF 2025'!CN$3,wallet_records!$O:$O,'EEFF 2025'!$B$1,wallet_records!$H:$H,'EEFF 2025'!$B13)</f>
        <v>126800</v>
      </c>
      <c r="CO13" s="115">
        <f>SUMIFS(wallet_records!$D:$D,wallet_records!$B:$B,'EEFF 2025'!$C13,wallet_records!$L:$L,'EEFF 2025'!CO$3,wallet_records!$O:$O,'EEFF 2025'!$B$1,wallet_records!$H:$H,'EEFF 2025'!$B13)</f>
        <v>17510</v>
      </c>
      <c r="CP13" s="116">
        <f t="shared" si="26"/>
        <v>418010</v>
      </c>
      <c r="CQ13" s="107"/>
      <c r="CR13" s="118">
        <f t="shared" si="0"/>
        <v>0</v>
      </c>
      <c r="CS13" s="118">
        <f t="shared" si="1"/>
        <v>0</v>
      </c>
      <c r="CT13" s="118">
        <f t="shared" si="2"/>
        <v>0</v>
      </c>
      <c r="CU13" s="118">
        <f t="shared" si="3"/>
        <v>0</v>
      </c>
      <c r="CV13" s="118">
        <f t="shared" si="4"/>
        <v>7.8590067131531251E-3</v>
      </c>
      <c r="CW13" s="118">
        <f t="shared" si="5"/>
        <v>0</v>
      </c>
      <c r="CX13" s="118">
        <f t="shared" si="6"/>
        <v>7.9010581065253205E-3</v>
      </c>
      <c r="CY13" s="118">
        <f t="shared" si="7"/>
        <v>9.8539674334453351E-3</v>
      </c>
      <c r="CZ13" s="118">
        <f t="shared" si="8"/>
        <v>0</v>
      </c>
      <c r="DA13" s="118">
        <f t="shared" si="9"/>
        <v>0</v>
      </c>
      <c r="DB13" s="118">
        <f t="shared" si="10"/>
        <v>2.0914881155742106E-2</v>
      </c>
      <c r="DC13" s="118">
        <f t="shared" si="11"/>
        <v>0</v>
      </c>
    </row>
    <row r="14" spans="2:120" ht="16" x14ac:dyDescent="0.2">
      <c r="B14" s="107" t="s">
        <v>400</v>
      </c>
      <c r="C14" s="191"/>
      <c r="D14" s="116">
        <v>0</v>
      </c>
      <c r="E14" s="116">
        <v>0</v>
      </c>
      <c r="F14" s="116">
        <v>0</v>
      </c>
      <c r="G14" s="119">
        <v>0</v>
      </c>
      <c r="H14" s="119">
        <v>0</v>
      </c>
      <c r="I14" s="119">
        <v>0</v>
      </c>
      <c r="J14" s="119">
        <f t="shared" si="14"/>
        <v>0</v>
      </c>
      <c r="K14" s="116">
        <v>0</v>
      </c>
      <c r="L14" s="116">
        <v>0</v>
      </c>
      <c r="M14" s="116">
        <v>0</v>
      </c>
      <c r="N14" s="119">
        <v>0</v>
      </c>
      <c r="O14" s="119">
        <v>0</v>
      </c>
      <c r="P14" s="119">
        <v>0</v>
      </c>
      <c r="Q14" s="119">
        <f t="shared" si="15"/>
        <v>0</v>
      </c>
      <c r="R14" s="116">
        <v>0</v>
      </c>
      <c r="S14" s="116">
        <v>0</v>
      </c>
      <c r="T14" s="116">
        <v>0</v>
      </c>
      <c r="U14" s="119">
        <v>0</v>
      </c>
      <c r="V14" s="119">
        <v>0</v>
      </c>
      <c r="W14" s="119">
        <v>0</v>
      </c>
      <c r="X14" s="119">
        <f t="shared" si="16"/>
        <v>0</v>
      </c>
      <c r="Y14" s="116">
        <v>0</v>
      </c>
      <c r="Z14" s="116">
        <v>0</v>
      </c>
      <c r="AA14" s="116">
        <v>0</v>
      </c>
      <c r="AB14" s="119">
        <v>0</v>
      </c>
      <c r="AC14" s="119">
        <v>0</v>
      </c>
      <c r="AD14" s="119">
        <v>0</v>
      </c>
      <c r="AE14" s="119">
        <f t="shared" si="17"/>
        <v>0</v>
      </c>
      <c r="AF14" s="116">
        <v>0</v>
      </c>
      <c r="AG14" s="116">
        <v>0</v>
      </c>
      <c r="AH14" s="116">
        <v>0</v>
      </c>
      <c r="AI14" s="119">
        <v>0</v>
      </c>
      <c r="AJ14" s="119">
        <v>0</v>
      </c>
      <c r="AK14" s="119">
        <v>0</v>
      </c>
      <c r="AL14" s="119">
        <f t="shared" si="18"/>
        <v>0</v>
      </c>
      <c r="AM14" s="116">
        <v>0</v>
      </c>
      <c r="AN14" s="116">
        <v>0</v>
      </c>
      <c r="AO14" s="116">
        <v>0</v>
      </c>
      <c r="AP14" s="119">
        <v>0</v>
      </c>
      <c r="AQ14" s="119">
        <v>0</v>
      </c>
      <c r="AR14" s="119">
        <v>0</v>
      </c>
      <c r="AS14" s="119">
        <f t="shared" si="19"/>
        <v>0</v>
      </c>
      <c r="AT14" s="116">
        <v>0</v>
      </c>
      <c r="AU14" s="116">
        <v>0</v>
      </c>
      <c r="AV14" s="116">
        <v>0</v>
      </c>
      <c r="AW14" s="119">
        <v>0</v>
      </c>
      <c r="AX14" s="119">
        <v>0</v>
      </c>
      <c r="AY14" s="119">
        <v>0</v>
      </c>
      <c r="AZ14" s="119">
        <f t="shared" si="20"/>
        <v>0</v>
      </c>
      <c r="BA14" s="116">
        <v>0</v>
      </c>
      <c r="BB14" s="116">
        <v>0</v>
      </c>
      <c r="BC14" s="116">
        <v>0</v>
      </c>
      <c r="BD14" s="119">
        <v>0</v>
      </c>
      <c r="BE14" s="119">
        <v>0</v>
      </c>
      <c r="BF14" s="119">
        <v>0</v>
      </c>
      <c r="BG14" s="119">
        <f t="shared" si="21"/>
        <v>0</v>
      </c>
      <c r="BH14" s="116">
        <v>0</v>
      </c>
      <c r="BI14" s="116">
        <v>0</v>
      </c>
      <c r="BJ14" s="116">
        <v>0</v>
      </c>
      <c r="BK14" s="119">
        <v>0</v>
      </c>
      <c r="BL14" s="119">
        <v>0</v>
      </c>
      <c r="BM14" s="119">
        <v>0</v>
      </c>
      <c r="BN14" s="119">
        <f t="shared" si="22"/>
        <v>0</v>
      </c>
      <c r="BO14" s="116">
        <v>0</v>
      </c>
      <c r="BP14" s="116">
        <v>0</v>
      </c>
      <c r="BQ14" s="116">
        <v>0</v>
      </c>
      <c r="BR14" s="119">
        <v>0</v>
      </c>
      <c r="BS14" s="119">
        <v>0</v>
      </c>
      <c r="BT14" s="119">
        <v>0</v>
      </c>
      <c r="BU14" s="119">
        <f t="shared" si="23"/>
        <v>0</v>
      </c>
      <c r="BV14" s="116">
        <v>0</v>
      </c>
      <c r="BW14" s="116">
        <v>0</v>
      </c>
      <c r="BX14" s="116">
        <v>0</v>
      </c>
      <c r="BY14" s="119">
        <v>0</v>
      </c>
      <c r="BZ14" s="119">
        <v>0</v>
      </c>
      <c r="CA14" s="119">
        <v>0</v>
      </c>
      <c r="CB14" s="119">
        <f t="shared" si="24"/>
        <v>0</v>
      </c>
      <c r="CC14" s="116">
        <v>0</v>
      </c>
      <c r="CD14" s="116">
        <v>0</v>
      </c>
      <c r="CE14" s="116">
        <v>0</v>
      </c>
      <c r="CF14" s="119">
        <v>0</v>
      </c>
      <c r="CG14" s="119">
        <v>0</v>
      </c>
      <c r="CH14" s="119">
        <v>0</v>
      </c>
      <c r="CI14" s="119">
        <f t="shared" si="25"/>
        <v>0</v>
      </c>
      <c r="CJ14" s="115">
        <f>SUMIFS(wallet_records!$D:$D,wallet_records!$B:$B,'EEFF 2025'!$C14,wallet_records!$L:$L,'EEFF 2025'!CJ$3,wallet_records!$O:$O,'EEFF 2025'!$B$1,wallet_records!$H:$H,'EEFF 2025'!$B14)</f>
        <v>0</v>
      </c>
      <c r="CK14" s="115">
        <f>SUMIFS(wallet_records!$D:$D,wallet_records!$B:$B,'EEFF 2025'!$C14,wallet_records!$L:$L,'EEFF 2025'!CK$3,wallet_records!$O:$O,'EEFF 2025'!$B$1,wallet_records!$H:$H,'EEFF 2025'!$B14)</f>
        <v>0</v>
      </c>
      <c r="CL14" s="115">
        <f>SUMIFS(wallet_records!$D:$D,wallet_records!$B:$B,'EEFF 2025'!$C14,wallet_records!$L:$L,'EEFF 2025'!CL$3,wallet_records!$O:$O,'EEFF 2025'!$B$1,wallet_records!$H:$H,'EEFF 2025'!$B14)</f>
        <v>0</v>
      </c>
      <c r="CM14" s="115">
        <f>SUMIFS(wallet_records!$D:$D,wallet_records!$B:$B,'EEFF 2025'!$C14,wallet_records!$L:$L,'EEFF 2025'!CM$3,wallet_records!$O:$O,'EEFF 2025'!$B$1,wallet_records!$H:$H,'EEFF 2025'!$B14)</f>
        <v>0</v>
      </c>
      <c r="CN14" s="115">
        <f>SUMIFS(wallet_records!$D:$D,wallet_records!$B:$B,'EEFF 2025'!$C14,wallet_records!$L:$L,'EEFF 2025'!CN$3,wallet_records!$O:$O,'EEFF 2025'!$B$1,wallet_records!$H:$H,'EEFF 2025'!$B14)</f>
        <v>0</v>
      </c>
      <c r="CO14" s="115">
        <f>SUMIFS(wallet_records!$D:$D,wallet_records!$B:$B,'EEFF 2025'!$C14,wallet_records!$L:$L,'EEFF 2025'!CO$3,wallet_records!$O:$O,'EEFF 2025'!$B$1,wallet_records!$H:$H,'EEFF 2025'!$B14)</f>
        <v>0</v>
      </c>
      <c r="CP14" s="119">
        <f t="shared" si="26"/>
        <v>0</v>
      </c>
      <c r="CQ14" s="107"/>
      <c r="CR14" s="118">
        <f t="shared" si="0"/>
        <v>0</v>
      </c>
      <c r="CS14" s="118">
        <f t="shared" si="1"/>
        <v>0</v>
      </c>
      <c r="CT14" s="118">
        <f t="shared" si="2"/>
        <v>0</v>
      </c>
      <c r="CU14" s="118">
        <f t="shared" si="3"/>
        <v>0</v>
      </c>
      <c r="CV14" s="118">
        <f t="shared" si="4"/>
        <v>0</v>
      </c>
      <c r="CW14" s="118">
        <f t="shared" si="5"/>
        <v>0</v>
      </c>
      <c r="CX14" s="118">
        <f t="shared" si="6"/>
        <v>0</v>
      </c>
      <c r="CY14" s="118">
        <f t="shared" si="7"/>
        <v>0</v>
      </c>
      <c r="CZ14" s="118">
        <f t="shared" si="8"/>
        <v>0</v>
      </c>
      <c r="DA14" s="118">
        <f t="shared" si="9"/>
        <v>0</v>
      </c>
      <c r="DB14" s="118">
        <f t="shared" si="10"/>
        <v>0</v>
      </c>
      <c r="DC14" s="118">
        <f t="shared" si="11"/>
        <v>0</v>
      </c>
    </row>
    <row r="15" spans="2:120" ht="16" x14ac:dyDescent="0.2">
      <c r="B15" s="107" t="s">
        <v>530</v>
      </c>
      <c r="C15" s="191"/>
      <c r="D15" s="116"/>
      <c r="E15" s="116"/>
      <c r="F15" s="116"/>
      <c r="G15" s="119"/>
      <c r="H15" s="119"/>
      <c r="I15" s="119"/>
      <c r="J15" s="119"/>
      <c r="K15" s="116"/>
      <c r="L15" s="116"/>
      <c r="M15" s="116"/>
      <c r="N15" s="119"/>
      <c r="O15" s="119"/>
      <c r="P15" s="119"/>
      <c r="Q15" s="119"/>
      <c r="R15" s="116"/>
      <c r="S15" s="116"/>
      <c r="T15" s="116"/>
      <c r="U15" s="119"/>
      <c r="V15" s="119"/>
      <c r="W15" s="119"/>
      <c r="X15" s="119"/>
      <c r="Y15" s="116"/>
      <c r="Z15" s="116"/>
      <c r="AA15" s="116"/>
      <c r="AB15" s="119"/>
      <c r="AC15" s="119"/>
      <c r="AD15" s="119"/>
      <c r="AE15" s="119"/>
      <c r="AF15" s="116"/>
      <c r="AG15" s="116"/>
      <c r="AH15" s="116"/>
      <c r="AI15" s="119"/>
      <c r="AJ15" s="119"/>
      <c r="AK15" s="119"/>
      <c r="AL15" s="119"/>
      <c r="AM15" s="116"/>
      <c r="AN15" s="116"/>
      <c r="AO15" s="116"/>
      <c r="AP15" s="119"/>
      <c r="AQ15" s="119"/>
      <c r="AR15" s="119"/>
      <c r="AS15" s="119"/>
      <c r="AT15" s="116"/>
      <c r="AU15" s="116"/>
      <c r="AV15" s="116"/>
      <c r="AW15" s="119"/>
      <c r="AX15" s="119"/>
      <c r="AY15" s="119"/>
      <c r="AZ15" s="119"/>
      <c r="BA15" s="116"/>
      <c r="BB15" s="116"/>
      <c r="BC15" s="116"/>
      <c r="BD15" s="119"/>
      <c r="BE15" s="119"/>
      <c r="BF15" s="119"/>
      <c r="BG15" s="119"/>
      <c r="BH15" s="116"/>
      <c r="BI15" s="116"/>
      <c r="BJ15" s="116"/>
      <c r="BK15" s="119"/>
      <c r="BL15" s="119"/>
      <c r="BM15" s="119"/>
      <c r="BN15" s="119"/>
      <c r="BO15" s="116"/>
      <c r="BP15" s="116"/>
      <c r="BQ15" s="116"/>
      <c r="BR15" s="119"/>
      <c r="BS15" s="119"/>
      <c r="BT15" s="119"/>
      <c r="BU15" s="119"/>
      <c r="BV15" s="116"/>
      <c r="BW15" s="116"/>
      <c r="BX15" s="116"/>
      <c r="BY15" s="119"/>
      <c r="BZ15" s="119"/>
      <c r="CA15" s="119"/>
      <c r="CB15" s="119"/>
      <c r="CC15" s="116"/>
      <c r="CD15" s="116"/>
      <c r="CE15" s="116"/>
      <c r="CF15" s="119"/>
      <c r="CG15" s="119"/>
      <c r="CH15" s="119"/>
      <c r="CI15" s="119"/>
      <c r="CJ15" s="115"/>
      <c r="CK15" s="115"/>
      <c r="CL15" s="115"/>
      <c r="CM15" s="115"/>
      <c r="CN15" s="115"/>
      <c r="CO15" s="115"/>
      <c r="CP15" s="119"/>
      <c r="CQ15" s="107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</row>
    <row r="16" spans="2:120" ht="16" x14ac:dyDescent="0.2">
      <c r="B16" s="109" t="s">
        <v>401</v>
      </c>
      <c r="C16" s="193"/>
      <c r="D16" s="110">
        <f>D8-D9-D10-D11-D12-D13-D14</f>
        <v>-5400837.6699999999</v>
      </c>
      <c r="E16" s="110">
        <f t="shared" ref="E16:BP16" si="27">E8-E9-E10-E11-E12-E13-E14</f>
        <v>3000000</v>
      </c>
      <c r="F16" s="110">
        <f t="shared" si="27"/>
        <v>986677</v>
      </c>
      <c r="G16" s="110">
        <f t="shared" si="27"/>
        <v>450000</v>
      </c>
      <c r="H16" s="110">
        <f t="shared" si="27"/>
        <v>1383800</v>
      </c>
      <c r="I16" s="110">
        <f t="shared" si="27"/>
        <v>881000</v>
      </c>
      <c r="J16" s="263">
        <f t="shared" si="27"/>
        <v>1300639.33</v>
      </c>
      <c r="K16" s="110">
        <f t="shared" si="27"/>
        <v>-673825</v>
      </c>
      <c r="L16" s="110">
        <f t="shared" si="27"/>
        <v>-904447</v>
      </c>
      <c r="M16" s="110">
        <f t="shared" si="27"/>
        <v>-623533</v>
      </c>
      <c r="N16" s="110">
        <f t="shared" si="27"/>
        <v>-316495</v>
      </c>
      <c r="O16" s="110">
        <f t="shared" si="27"/>
        <v>232842</v>
      </c>
      <c r="P16" s="110">
        <f t="shared" si="27"/>
        <v>881000</v>
      </c>
      <c r="Q16" s="110">
        <f t="shared" si="27"/>
        <v>-1404458</v>
      </c>
      <c r="R16" s="110">
        <f t="shared" si="27"/>
        <v>814000</v>
      </c>
      <c r="S16" s="110">
        <f t="shared" si="27"/>
        <v>-1522000</v>
      </c>
      <c r="T16" s="110">
        <f t="shared" si="27"/>
        <v>1962590</v>
      </c>
      <c r="U16" s="110">
        <f t="shared" si="27"/>
        <v>900000</v>
      </c>
      <c r="V16" s="110">
        <f t="shared" si="27"/>
        <v>1343400</v>
      </c>
      <c r="W16" s="110">
        <f t="shared" si="27"/>
        <v>124968</v>
      </c>
      <c r="X16" s="110">
        <f t="shared" si="27"/>
        <v>3622958</v>
      </c>
      <c r="Y16" s="110">
        <f t="shared" si="27"/>
        <v>1204000</v>
      </c>
      <c r="Z16" s="110">
        <f t="shared" si="27"/>
        <v>3000000</v>
      </c>
      <c r="AA16" s="110">
        <f t="shared" si="27"/>
        <v>0</v>
      </c>
      <c r="AB16" s="110">
        <f t="shared" si="27"/>
        <v>0</v>
      </c>
      <c r="AC16" s="110">
        <f t="shared" si="27"/>
        <v>1373700</v>
      </c>
      <c r="AD16" s="110">
        <f t="shared" si="27"/>
        <v>881000</v>
      </c>
      <c r="AE16" s="110">
        <f t="shared" si="27"/>
        <v>6458700</v>
      </c>
      <c r="AF16" s="110">
        <f t="shared" si="27"/>
        <v>-1013500</v>
      </c>
      <c r="AG16" s="110">
        <f t="shared" si="27"/>
        <v>3000000</v>
      </c>
      <c r="AH16" s="110">
        <f t="shared" si="27"/>
        <v>948795</v>
      </c>
      <c r="AI16" s="110">
        <f t="shared" si="27"/>
        <v>950000</v>
      </c>
      <c r="AJ16" s="110">
        <f t="shared" si="27"/>
        <v>1339700</v>
      </c>
      <c r="AK16" s="110">
        <f t="shared" si="27"/>
        <v>926812</v>
      </c>
      <c r="AL16" s="110">
        <f t="shared" si="27"/>
        <v>6151807</v>
      </c>
      <c r="AM16" s="110">
        <f t="shared" si="27"/>
        <v>395000</v>
      </c>
      <c r="AN16" s="110">
        <f t="shared" si="27"/>
        <v>2855200</v>
      </c>
      <c r="AO16" s="110">
        <f t="shared" si="27"/>
        <v>1042795</v>
      </c>
      <c r="AP16" s="110">
        <f t="shared" si="27"/>
        <v>226300</v>
      </c>
      <c r="AQ16" s="110">
        <f t="shared" si="27"/>
        <v>-864700</v>
      </c>
      <c r="AR16" s="110">
        <f t="shared" si="27"/>
        <v>527000</v>
      </c>
      <c r="AS16" s="110">
        <f t="shared" si="27"/>
        <v>4181595</v>
      </c>
      <c r="AT16" s="110">
        <f t="shared" si="27"/>
        <v>1131800</v>
      </c>
      <c r="AU16" s="110">
        <f t="shared" si="27"/>
        <v>3144600</v>
      </c>
      <c r="AV16" s="110">
        <f t="shared" si="27"/>
        <v>1019095</v>
      </c>
      <c r="AW16" s="110">
        <f t="shared" si="27"/>
        <v>445000</v>
      </c>
      <c r="AX16" s="110">
        <f t="shared" si="27"/>
        <v>2718000</v>
      </c>
      <c r="AY16" s="110">
        <f t="shared" si="27"/>
        <v>0</v>
      </c>
      <c r="AZ16" s="110">
        <f t="shared" si="27"/>
        <v>8458495</v>
      </c>
      <c r="BA16" s="110">
        <f t="shared" si="27"/>
        <v>1489000</v>
      </c>
      <c r="BB16" s="110">
        <f t="shared" si="27"/>
        <v>3106600</v>
      </c>
      <c r="BC16" s="110">
        <f t="shared" si="27"/>
        <v>1030795</v>
      </c>
      <c r="BD16" s="110">
        <f t="shared" si="27"/>
        <v>500000</v>
      </c>
      <c r="BE16" s="110">
        <f t="shared" si="27"/>
        <v>1356700</v>
      </c>
      <c r="BF16" s="110">
        <f t="shared" si="27"/>
        <v>831500</v>
      </c>
      <c r="BG16" s="110">
        <f t="shared" si="27"/>
        <v>8314595</v>
      </c>
      <c r="BH16" s="110">
        <f t="shared" si="27"/>
        <v>1504000</v>
      </c>
      <c r="BI16" s="110">
        <f t="shared" si="27"/>
        <v>3144600</v>
      </c>
      <c r="BJ16" s="110">
        <f t="shared" si="27"/>
        <v>1042795</v>
      </c>
      <c r="BK16" s="110">
        <f t="shared" si="27"/>
        <v>500000</v>
      </c>
      <c r="BL16" s="110">
        <f t="shared" si="27"/>
        <v>0</v>
      </c>
      <c r="BM16" s="110">
        <f t="shared" si="27"/>
        <v>-1104400</v>
      </c>
      <c r="BN16" s="110">
        <f t="shared" si="27"/>
        <v>5086995</v>
      </c>
      <c r="BO16" s="110">
        <f t="shared" si="27"/>
        <v>-3546000</v>
      </c>
      <c r="BP16" s="110">
        <f t="shared" si="27"/>
        <v>3144600</v>
      </c>
      <c r="BQ16" s="110">
        <f t="shared" ref="BQ16:CO16" si="28">BQ8-BQ9-BQ10-BQ11-BQ12-BQ13-BQ14</f>
        <v>1042795</v>
      </c>
      <c r="BR16" s="110">
        <f t="shared" si="28"/>
        <v>0</v>
      </c>
      <c r="BS16" s="110">
        <f t="shared" si="28"/>
        <v>2731407</v>
      </c>
      <c r="BT16" s="110">
        <f t="shared" si="28"/>
        <v>1760000</v>
      </c>
      <c r="BU16" s="110">
        <f t="shared" si="28"/>
        <v>5132802</v>
      </c>
      <c r="BV16" s="110">
        <f t="shared" si="28"/>
        <v>311400</v>
      </c>
      <c r="BW16" s="110">
        <f t="shared" si="28"/>
        <v>3108800</v>
      </c>
      <c r="BX16" s="110">
        <f t="shared" si="28"/>
        <v>1004195</v>
      </c>
      <c r="BY16" s="110">
        <f t="shared" si="28"/>
        <v>850000</v>
      </c>
      <c r="BZ16" s="110">
        <f t="shared" si="28"/>
        <v>-46400</v>
      </c>
      <c r="CA16" s="110">
        <f t="shared" si="28"/>
        <v>-152010</v>
      </c>
      <c r="CB16" s="110">
        <f t="shared" si="28"/>
        <v>5075985</v>
      </c>
      <c r="CC16" s="110">
        <f t="shared" si="28"/>
        <v>1504000</v>
      </c>
      <c r="CD16" s="110">
        <f t="shared" si="28"/>
        <v>3144600</v>
      </c>
      <c r="CE16" s="110">
        <f t="shared" si="28"/>
        <v>952795</v>
      </c>
      <c r="CF16" s="110">
        <f t="shared" si="28"/>
        <v>500000</v>
      </c>
      <c r="CG16" s="110">
        <f t="shared" si="28"/>
        <v>3173700</v>
      </c>
      <c r="CH16" s="110">
        <f t="shared" si="28"/>
        <v>881000</v>
      </c>
      <c r="CI16" s="110">
        <f t="shared" si="28"/>
        <v>10156095</v>
      </c>
      <c r="CJ16" s="110">
        <f t="shared" si="28"/>
        <v>-2280962.6700000018</v>
      </c>
      <c r="CK16" s="110">
        <f t="shared" si="28"/>
        <v>28222553</v>
      </c>
      <c r="CL16" s="110">
        <f t="shared" si="28"/>
        <v>10409794</v>
      </c>
      <c r="CM16" s="110">
        <f t="shared" si="28"/>
        <v>5004805</v>
      </c>
      <c r="CN16" s="110">
        <f t="shared" si="28"/>
        <v>14742149</v>
      </c>
      <c r="CO16" s="110">
        <f t="shared" si="28"/>
        <v>6437870</v>
      </c>
      <c r="CP16" s="110">
        <f>CP8-CP9-CP10-CP11-CP12-CP13-CP14</f>
        <v>62536208.329999998</v>
      </c>
      <c r="CQ16" s="107"/>
      <c r="CR16" s="111">
        <f t="shared" si="0"/>
        <v>0.1401399989225299</v>
      </c>
      <c r="CS16" s="111">
        <f t="shared" si="1"/>
        <v>-0.16272251187579656</v>
      </c>
      <c r="CT16" s="111">
        <f t="shared" si="2"/>
        <v>0.33053170331174164</v>
      </c>
      <c r="CU16" s="111">
        <f t="shared" si="3"/>
        <v>0.90192710515291163</v>
      </c>
      <c r="CV16" s="111">
        <f t="shared" si="4"/>
        <v>0.6403588412055945</v>
      </c>
      <c r="CW16" s="111">
        <f t="shared" si="5"/>
        <v>0.5850839513082412</v>
      </c>
      <c r="CX16" s="111">
        <f t="shared" si="6"/>
        <v>0.83958618704464694</v>
      </c>
      <c r="CY16" s="111">
        <f t="shared" si="7"/>
        <v>0.89542894374084603</v>
      </c>
      <c r="CZ16" s="111">
        <f t="shared" si="8"/>
        <v>0.74648475332374609</v>
      </c>
      <c r="DA16" s="111">
        <f t="shared" si="9"/>
        <v>0.4528436821766979</v>
      </c>
      <c r="DB16" s="111">
        <f t="shared" si="10"/>
        <v>0.61935489775001218</v>
      </c>
      <c r="DC16" s="111">
        <f t="shared" si="11"/>
        <v>0.91285818292945997</v>
      </c>
    </row>
    <row r="17" spans="2:107" ht="16" x14ac:dyDescent="0.2"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6">
        <f>SUMIFS(wallet_records!$D:$D,wallet_records!$B:$B,'EEFF 2025'!$C17,wallet_records!$O:$O,'EEFF 2025'!$B$1,wallet_records!$N:$N,'EEFF 2025'!J$2,wallet_records!$H:$H,'EEFF 2025'!$B17,wallet_records!$F:$F,"Ingreso")</f>
        <v>0</v>
      </c>
      <c r="K17" s="120"/>
      <c r="L17" s="120"/>
      <c r="M17" s="120"/>
      <c r="N17" s="120"/>
      <c r="O17" s="120"/>
      <c r="P17" s="120"/>
      <c r="Q17" s="115">
        <f>SUMIFS(wallet_records!$D:$D,wallet_records!$B:$B,'EEFF 2025'!$C17,wallet_records!$O:$O,'EEFF 2025'!$B$1,wallet_records!$N:$N,'EEFF 2025'!Q$2,wallet_records!$H:$H,'EEFF 2025'!$B17,wallet_records!$F:$F,"Ingreso")</f>
        <v>0</v>
      </c>
      <c r="R17" s="120"/>
      <c r="S17" s="120"/>
      <c r="T17" s="120"/>
      <c r="U17" s="120"/>
      <c r="V17" s="120"/>
      <c r="W17" s="120"/>
      <c r="X17" s="115">
        <f>SUMIFS(wallet_records!$D:$D,wallet_records!$B:$B,'EEFF 2025'!$C17,wallet_records!$O:$O,'EEFF 2025'!$B$1,wallet_records!$N:$N,'EEFF 2025'!X$2,wallet_records!$H:$H,'EEFF 2025'!$B17,wallet_records!$F:$F,"Ingreso")</f>
        <v>0</v>
      </c>
      <c r="Y17" s="120"/>
      <c r="Z17" s="120"/>
      <c r="AA17" s="120"/>
      <c r="AB17" s="120"/>
      <c r="AC17" s="120"/>
      <c r="AD17" s="120"/>
      <c r="AE17" s="115">
        <f>SUMIFS(wallet_records!$D:$D,wallet_records!$B:$B,'EEFF 2025'!$C17,wallet_records!$O:$O,'EEFF 2025'!$B$1,wallet_records!$N:$N,'EEFF 2025'!AE$2,wallet_records!$H:$H,'EEFF 2025'!$B17,wallet_records!$F:$F,"Ingreso")</f>
        <v>0</v>
      </c>
      <c r="AF17" s="120"/>
      <c r="AG17" s="120"/>
      <c r="AH17" s="120"/>
      <c r="AI17" s="120"/>
      <c r="AJ17" s="120"/>
      <c r="AK17" s="120"/>
      <c r="AL17" s="115">
        <f>SUMIFS(wallet_records!$D:$D,wallet_records!$B:$B,'EEFF 2025'!$C17,wallet_records!$O:$O,'EEFF 2025'!$B$1,wallet_records!$N:$N,'EEFF 2025'!AL$2,wallet_records!$H:$H,'EEFF 2025'!$B17,wallet_records!$F:$F,"Ingreso")</f>
        <v>0</v>
      </c>
      <c r="AM17" s="120"/>
      <c r="AN17" s="120"/>
      <c r="AO17" s="120"/>
      <c r="AP17" s="120"/>
      <c r="AQ17" s="120"/>
      <c r="AR17" s="120"/>
      <c r="AS17" s="115">
        <f>SUMIFS(wallet_records!$D:$D,wallet_records!$B:$B,'EEFF 2025'!$C17,wallet_records!$O:$O,'EEFF 2025'!$B$1,wallet_records!$N:$N,'EEFF 2025'!AS$2,wallet_records!$H:$H,'EEFF 2025'!$B17,wallet_records!$F:$F,"Ingreso")</f>
        <v>0</v>
      </c>
      <c r="AT17" s="120"/>
      <c r="AU17" s="120"/>
      <c r="AV17" s="120"/>
      <c r="AW17" s="120"/>
      <c r="AX17" s="120"/>
      <c r="AY17" s="120"/>
      <c r="AZ17" s="115">
        <f>SUMIFS(wallet_records!$D:$D,wallet_records!$B:$B,'EEFF 2025'!$C17,wallet_records!$O:$O,'EEFF 2025'!$B$1,wallet_records!$N:$N,'EEFF 2025'!AZ$2,wallet_records!$H:$H,'EEFF 2025'!$B17,wallet_records!$F:$F,"Ingreso")</f>
        <v>0</v>
      </c>
      <c r="BA17" s="120"/>
      <c r="BB17" s="120"/>
      <c r="BC17" s="120"/>
      <c r="BD17" s="120"/>
      <c r="BE17" s="120"/>
      <c r="BF17" s="120"/>
      <c r="BG17" s="115">
        <f>SUMIFS(wallet_records!$D:$D,wallet_records!$B:$B,'EEFF 2025'!$C17,wallet_records!$O:$O,'EEFF 2025'!$B$1,wallet_records!$N:$N,'EEFF 2025'!BG$2,wallet_records!$H:$H,'EEFF 2025'!$B17,wallet_records!$F:$F,"Ingreso")</f>
        <v>0</v>
      </c>
      <c r="BH17" s="120"/>
      <c r="BI17" s="120"/>
      <c r="BJ17" s="120"/>
      <c r="BK17" s="120"/>
      <c r="BL17" s="120"/>
      <c r="BM17" s="120"/>
      <c r="BN17" s="115">
        <f>SUMIFS(wallet_records!$D:$D,wallet_records!$B:$B,'EEFF 2025'!$C17,wallet_records!$O:$O,'EEFF 2025'!$B$1,wallet_records!$N:$N,'EEFF 2025'!BN$2,wallet_records!$H:$H,'EEFF 2025'!$B17,wallet_records!$F:$F,"Ingreso")</f>
        <v>0</v>
      </c>
      <c r="BO17" s="120"/>
      <c r="BP17" s="120"/>
      <c r="BQ17" s="120"/>
      <c r="BR17" s="120"/>
      <c r="BS17" s="120"/>
      <c r="BT17" s="120"/>
      <c r="BU17" s="115">
        <f>SUMIFS(wallet_records!$D:$D,wallet_records!$B:$B,'EEFF 2025'!$C17,wallet_records!$O:$O,'EEFF 2025'!$B$1,wallet_records!$N:$N,'EEFF 2025'!BU$2,wallet_records!$H:$H,'EEFF 2025'!$B17,wallet_records!$F:$F,"Ingreso")</f>
        <v>0</v>
      </c>
      <c r="BV17" s="120"/>
      <c r="BW17" s="120"/>
      <c r="BX17" s="120"/>
      <c r="BY17" s="120"/>
      <c r="BZ17" s="120"/>
      <c r="CA17" s="120"/>
      <c r="CB17" s="115">
        <f>SUMIFS(wallet_records!$D:$D,wallet_records!$B:$B,'EEFF 2025'!$C17,wallet_records!$O:$O,'EEFF 2025'!$B$1,wallet_records!$N:$N,'EEFF 2025'!CB$2,wallet_records!$H:$H,'EEFF 2025'!$B17,wallet_records!$F:$F,"Ingreso")</f>
        <v>0</v>
      </c>
      <c r="CC17" s="120"/>
      <c r="CD17" s="120"/>
      <c r="CE17" s="120"/>
      <c r="CF17" s="120"/>
      <c r="CG17" s="120"/>
      <c r="CH17" s="120"/>
      <c r="CI17" s="115">
        <f>SUMIFS(wallet_records!$D:$D,wallet_records!$B:$B,'EEFF 2025'!$C17,wallet_records!$O:$O,'EEFF 2025'!$B$1,wallet_records!$N:$N,'EEFF 2025'!CI$2,wallet_records!$H:$H,'EEFF 2025'!$B17,wallet_records!$F:$F,"Ingreso")</f>
        <v>0</v>
      </c>
      <c r="CJ17" s="120"/>
      <c r="CK17" s="120"/>
      <c r="CL17" s="120"/>
      <c r="CM17" s="120"/>
      <c r="CN17" s="120"/>
      <c r="CO17" s="120"/>
      <c r="CP17" s="115">
        <f>SUMIFS(wallet_records!$D:$D,wallet_records!$B:$B,'EEFF 2025'!$C17,wallet_records!$O:$O,'EEFF 2025'!$B$1,wallet_records!$H:$H,'EEFF 2025'!$B17,wallet_records!$F:$F,"Ingreso")</f>
        <v>0</v>
      </c>
      <c r="CQ17" s="107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</row>
    <row r="18" spans="2:107" ht="16" x14ac:dyDescent="0.2">
      <c r="B18" s="235" t="s">
        <v>522</v>
      </c>
      <c r="C18" s="191" t="s">
        <v>136</v>
      </c>
      <c r="D18" s="115"/>
      <c r="E18" s="115"/>
      <c r="F18" s="115"/>
      <c r="G18" s="121"/>
      <c r="H18" s="121"/>
      <c r="I18" s="121"/>
      <c r="J18" s="116">
        <f>SUMIFS(wallet_records!$D:$D,wallet_records!$B:$B,'EEFF 2025'!$C18,wallet_records!$O:$O,'EEFF 2025'!$B$1,wallet_records!$N:$N,'EEFF 2025'!J$2,wallet_records!$H:$H,'EEFF 2025'!$B18,wallet_records!$F:$F,"Ingreso")</f>
        <v>5986883.79</v>
      </c>
      <c r="K18" s="115"/>
      <c r="L18" s="115"/>
      <c r="M18" s="115"/>
      <c r="N18" s="121"/>
      <c r="O18" s="121"/>
      <c r="P18" s="121"/>
      <c r="Q18" s="115">
        <f>SUMIFS(wallet_records!$D:$D,wallet_records!$B:$B,'EEFF 2025'!$C18,wallet_records!$O:$O,'EEFF 2025'!$B$1,wallet_records!$N:$N,'EEFF 2025'!Q$2,wallet_records!$H:$H,'EEFF 2025'!$B18,wallet_records!$F:$F,"Ingreso")</f>
        <v>1541564.6600000001</v>
      </c>
      <c r="R18" s="121"/>
      <c r="S18" s="121"/>
      <c r="T18" s="121"/>
      <c r="U18" s="121"/>
      <c r="V18" s="121"/>
      <c r="X18" s="115">
        <f>SUMIFS(wallet_records!$D:$D,wallet_records!$B:$B,'EEFF 2025'!$C18,wallet_records!$O:$O,'EEFF 2025'!$B$1,wallet_records!$N:$N,'EEFF 2025'!X$2,wallet_records!$H:$H,'EEFF 2025'!$B18,wallet_records!$F:$F,"Ingreso")</f>
        <v>2667965.48</v>
      </c>
      <c r="Y18" s="121"/>
      <c r="Z18" s="121"/>
      <c r="AA18" s="121"/>
      <c r="AB18" s="121"/>
      <c r="AC18" s="121"/>
      <c r="AE18" s="115">
        <f>SUMIFS(wallet_records!$D:$D,wallet_records!$B:$B,'EEFF 2025'!$C18,wallet_records!$O:$O,'EEFF 2025'!$B$1,wallet_records!$N:$N,'EEFF 2025'!AE$2,wallet_records!$H:$H,'EEFF 2025'!$B18,wallet_records!$F:$F,"Ingreso")</f>
        <v>6100163.3899999997</v>
      </c>
      <c r="AF18" s="121"/>
      <c r="AG18" s="121"/>
      <c r="AH18" s="121"/>
      <c r="AI18" s="121"/>
      <c r="AJ18" s="121"/>
      <c r="AL18" s="115">
        <f>SUMIFS(wallet_records!$D:$D,wallet_records!$B:$B,'EEFF 2025'!$C18,wallet_records!$O:$O,'EEFF 2025'!$B$1,wallet_records!$N:$N,'EEFF 2025'!AL$2,wallet_records!$H:$H,'EEFF 2025'!$B18,wallet_records!$F:$F,"Ingreso")</f>
        <v>2181937.2000000002</v>
      </c>
      <c r="AM18" s="121"/>
      <c r="AN18" s="121"/>
      <c r="AO18" s="121"/>
      <c r="AP18" s="121"/>
      <c r="AQ18" s="121"/>
      <c r="AS18" s="115">
        <f>SUMIFS(wallet_records!$D:$D,wallet_records!$B:$B,'EEFF 2025'!$C18,wallet_records!$O:$O,'EEFF 2025'!$B$1,wallet_records!$N:$N,'EEFF 2025'!AS$2,wallet_records!$H:$H,'EEFF 2025'!$B18,wallet_records!$F:$F,"Ingreso")</f>
        <v>2474384.1999999997</v>
      </c>
      <c r="AT18" s="121"/>
      <c r="AU18" s="121"/>
      <c r="AV18" s="121"/>
      <c r="AW18" s="121"/>
      <c r="AX18" s="121"/>
      <c r="AZ18" s="115">
        <f>SUMIFS(wallet_records!$D:$D,wallet_records!$B:$B,'EEFF 2025'!$C18,wallet_records!$O:$O,'EEFF 2025'!$B$1,wallet_records!$N:$N,'EEFF 2025'!AZ$2,wallet_records!$H:$H,'EEFF 2025'!$B18,wallet_records!$F:$F,"Ingreso")</f>
        <v>7627950.3200000003</v>
      </c>
      <c r="BA18" s="121"/>
      <c r="BB18" s="121"/>
      <c r="BC18" s="121"/>
      <c r="BD18" s="121"/>
      <c r="BE18" s="121"/>
      <c r="BG18" s="115">
        <f>SUMIFS(wallet_records!$D:$D,wallet_records!$B:$B,'EEFF 2025'!$C18,wallet_records!$O:$O,'EEFF 2025'!$B$1,wallet_records!$N:$N,'EEFF 2025'!BG$2,wallet_records!$H:$H,'EEFF 2025'!$B18,wallet_records!$F:$F,"Ingreso")</f>
        <v>2881520.52</v>
      </c>
      <c r="BH18" s="121"/>
      <c r="BI18" s="121"/>
      <c r="BJ18" s="121"/>
      <c r="BK18" s="121"/>
      <c r="BL18" s="121"/>
      <c r="BN18" s="115">
        <f>SUMIFS(wallet_records!$D:$D,wallet_records!$B:$B,'EEFF 2025'!$C18,wallet_records!$O:$O,'EEFF 2025'!$B$1,wallet_records!$N:$N,'EEFF 2025'!BN$2,wallet_records!$H:$H,'EEFF 2025'!$B18,wallet_records!$F:$F,"Ingreso")</f>
        <v>8219827.9699999997</v>
      </c>
      <c r="BO18" s="121"/>
      <c r="BP18" s="121"/>
      <c r="BQ18" s="121"/>
      <c r="BR18" s="121"/>
      <c r="BS18" s="121"/>
      <c r="BU18" s="115">
        <f>SUMIFS(wallet_records!$D:$D,wallet_records!$B:$B,'EEFF 2025'!$C18,wallet_records!$O:$O,'EEFF 2025'!$B$1,wallet_records!$N:$N,'EEFF 2025'!BU$2,wallet_records!$H:$H,'EEFF 2025'!$B18,wallet_records!$F:$F,"Ingreso")</f>
        <v>9249186.4199999999</v>
      </c>
      <c r="BV18" s="121"/>
      <c r="BW18" s="121"/>
      <c r="BX18" s="121"/>
      <c r="BY18" s="121"/>
      <c r="BZ18" s="121"/>
      <c r="CB18" s="115">
        <f>SUMIFS(wallet_records!$D:$D,wallet_records!$B:$B,'EEFF 2025'!$C18,wallet_records!$O:$O,'EEFF 2025'!$B$1,wallet_records!$N:$N,'EEFF 2025'!CB$2,wallet_records!$H:$H,'EEFF 2025'!$B18,wallet_records!$F:$F,"Ingreso")</f>
        <v>5144449.76</v>
      </c>
      <c r="CC18" s="121"/>
      <c r="CD18" s="121"/>
      <c r="CE18" s="121"/>
      <c r="CF18" s="121"/>
      <c r="CG18" s="121"/>
      <c r="CI18" s="115">
        <f>SUMIFS(wallet_records!$D:$D,wallet_records!$B:$B,'EEFF 2025'!$C18,wallet_records!$O:$O,'EEFF 2025'!$B$1,wallet_records!$N:$N,'EEFF 2025'!CI$2,wallet_records!$H:$H,'EEFF 2025'!$B18,wallet_records!$F:$F,"Ingreso")</f>
        <v>410654.5</v>
      </c>
      <c r="CJ18" s="121"/>
      <c r="CK18" s="121"/>
      <c r="CL18" s="121"/>
      <c r="CM18" s="121"/>
      <c r="CN18" s="121"/>
      <c r="CP18" s="115">
        <f>SUMIFS(wallet_records!$D:$D,wallet_records!$B:$B,'EEFF 2025'!$C18,wallet_records!$O:$O,'EEFF 2025'!$B$1,wallet_records!$H:$H,'EEFF 2025'!$B18,wallet_records!$F:$F,"Ingreso")</f>
        <v>54486488.209999986</v>
      </c>
      <c r="CQ18" s="107"/>
      <c r="CR18" s="118">
        <f t="shared" si="0"/>
        <v>0.64506882771253093</v>
      </c>
      <c r="CS18" s="118">
        <f t="shared" si="1"/>
        <v>0.17860788552890744</v>
      </c>
      <c r="CT18" s="118">
        <f t="shared" si="2"/>
        <v>0.24340529878660705</v>
      </c>
      <c r="CU18" s="118">
        <f t="shared" si="3"/>
        <v>0.85185915235302323</v>
      </c>
      <c r="CV18" s="118">
        <f t="shared" si="4"/>
        <v>0.22712396162223225</v>
      </c>
      <c r="CW18" s="118">
        <f t="shared" si="5"/>
        <v>0.34621298446900794</v>
      </c>
      <c r="CX18" s="118">
        <f t="shared" si="6"/>
        <v>0.75714671748754292</v>
      </c>
      <c r="CY18" s="118">
        <f t="shared" si="7"/>
        <v>0.310321413802016</v>
      </c>
      <c r="CZ18" s="118">
        <f t="shared" si="8"/>
        <v>1.2062084304287852</v>
      </c>
      <c r="DA18" s="118">
        <f t="shared" si="9"/>
        <v>0.816013482610767</v>
      </c>
      <c r="DB18" s="118">
        <f t="shared" si="10"/>
        <v>0.62770874127580645</v>
      </c>
      <c r="DC18" s="118">
        <f t="shared" si="11"/>
        <v>3.6910773351549582E-2</v>
      </c>
    </row>
    <row r="19" spans="2:107" ht="16" x14ac:dyDescent="0.2">
      <c r="B19" s="289" t="s">
        <v>535</v>
      </c>
      <c r="C19" s="191" t="s">
        <v>144</v>
      </c>
      <c r="D19" s="115"/>
      <c r="E19" s="115"/>
      <c r="F19" s="115"/>
      <c r="G19" s="121"/>
      <c r="H19" s="121"/>
      <c r="I19" s="121"/>
      <c r="J19" s="116">
        <f>SUMIFS(wallet_records!$D:$D,wallet_records!$B:$B,'EEFF 2025'!$C19,wallet_records!$O:$O,'EEFF 2025'!$B$1,wallet_records!$N:$N,'EEFF 2025'!J$2,wallet_records!$H:$H,'EEFF 2025'!$B19)</f>
        <v>0</v>
      </c>
      <c r="K19" s="115"/>
      <c r="L19" s="115"/>
      <c r="M19" s="115"/>
      <c r="N19" s="121"/>
      <c r="O19" s="121"/>
      <c r="P19" s="121"/>
      <c r="Q19" s="115">
        <f>SUMIFS(wallet_records!$D:$D,wallet_records!$B:$B,'EEFF 2025'!$C19,wallet_records!$O:$O,'EEFF 2025'!$B$1,wallet_records!$N:$N,'EEFF 2025'!Q$2,wallet_records!$H:$H,'EEFF 2025'!$B19)</f>
        <v>0</v>
      </c>
      <c r="R19" s="121"/>
      <c r="S19" s="121"/>
      <c r="T19" s="121"/>
      <c r="U19" s="121"/>
      <c r="V19" s="121"/>
      <c r="X19" s="115">
        <f>SUMIFS(wallet_records!$D:$D,wallet_records!$B:$B,'EEFF 2025'!$C19,wallet_records!$O:$O,'EEFF 2025'!$B$1,wallet_records!$N:$N,'EEFF 2025'!X$2,wallet_records!$H:$H,'EEFF 2025'!$B19)</f>
        <v>0</v>
      </c>
      <c r="Y19" s="121"/>
      <c r="Z19" s="121"/>
      <c r="AA19" s="121"/>
      <c r="AB19" s="121"/>
      <c r="AC19" s="121"/>
      <c r="AE19" s="115">
        <f>SUMIFS(wallet_records!$D:$D,wallet_records!$B:$B,'EEFF 2025'!$C19,wallet_records!$O:$O,'EEFF 2025'!$B$1,wallet_records!$N:$N,'EEFF 2025'!AE$2,wallet_records!$H:$H,'EEFF 2025'!$B19)</f>
        <v>0</v>
      </c>
      <c r="AF19" s="121"/>
      <c r="AG19" s="121"/>
      <c r="AH19" s="121"/>
      <c r="AI19" s="121"/>
      <c r="AJ19" s="121"/>
      <c r="AL19" s="115">
        <f>SUMIFS(wallet_records!$D:$D,wallet_records!$B:$B,'EEFF 2025'!$C19,wallet_records!$O:$O,'EEFF 2025'!$B$1,wallet_records!$N:$N,'EEFF 2025'!AL$2,wallet_records!$H:$H,'EEFF 2025'!$B19)</f>
        <v>0</v>
      </c>
      <c r="AM19" s="121"/>
      <c r="AN19" s="121"/>
      <c r="AO19" s="121"/>
      <c r="AP19" s="121"/>
      <c r="AQ19" s="121"/>
      <c r="AS19" s="115">
        <f>SUMIFS(wallet_records!$D:$D,wallet_records!$B:$B,'EEFF 2025'!$C19,wallet_records!$O:$O,'EEFF 2025'!$B$1,wallet_records!$N:$N,'EEFF 2025'!AS$2,wallet_records!$H:$H,'EEFF 2025'!$B19)</f>
        <v>0</v>
      </c>
      <c r="AT19" s="121"/>
      <c r="AU19" s="121"/>
      <c r="AV19" s="121"/>
      <c r="AW19" s="121"/>
      <c r="AX19" s="121"/>
      <c r="AZ19" s="115">
        <f>SUMIFS(wallet_records!$D:$D,wallet_records!$B:$B,'EEFF 2025'!$C19,wallet_records!$O:$O,'EEFF 2025'!$B$1,wallet_records!$N:$N,'EEFF 2025'!AZ$2,wallet_records!$H:$H,'EEFF 2025'!$B19)</f>
        <v>0</v>
      </c>
      <c r="BA19" s="121"/>
      <c r="BB19" s="121"/>
      <c r="BC19" s="121"/>
      <c r="BD19" s="121"/>
      <c r="BE19" s="121"/>
      <c r="BG19" s="115">
        <f>SUMIFS(wallet_records!$D:$D,wallet_records!$B:$B,'EEFF 2025'!$C19,wallet_records!$O:$O,'EEFF 2025'!$B$1,wallet_records!$N:$N,'EEFF 2025'!BG$2,wallet_records!$H:$H,'EEFF 2025'!$B19)</f>
        <v>0</v>
      </c>
      <c r="BH19" s="121"/>
      <c r="BI19" s="121"/>
      <c r="BJ19" s="121"/>
      <c r="BK19" s="121"/>
      <c r="BL19" s="121"/>
      <c r="BN19" s="115">
        <f>SUMIFS(wallet_records!$D:$D,wallet_records!$B:$B,'EEFF 2025'!$C19,wallet_records!$O:$O,'EEFF 2025'!$B$1,wallet_records!$N:$N,'EEFF 2025'!BN$2,wallet_records!$H:$H,'EEFF 2025'!$B19)</f>
        <v>0</v>
      </c>
      <c r="BO19" s="121"/>
      <c r="BP19" s="121"/>
      <c r="BQ19" s="121"/>
      <c r="BR19" s="121"/>
      <c r="BS19" s="121"/>
      <c r="BU19" s="115">
        <f>SUMIFS(wallet_records!$D:$D,wallet_records!$B:$B,'EEFF 2025'!$C19,wallet_records!$O:$O,'EEFF 2025'!$B$1,wallet_records!$N:$N,'EEFF 2025'!BU$2,wallet_records!$H:$H,'EEFF 2025'!$B19)</f>
        <v>0</v>
      </c>
      <c r="BV19" s="121"/>
      <c r="BW19" s="121"/>
      <c r="BX19" s="121"/>
      <c r="BY19" s="121"/>
      <c r="BZ19" s="121"/>
      <c r="CB19" s="115">
        <f>SUMIFS(wallet_records!$D:$D,wallet_records!$B:$B,'EEFF 2025'!$C19,wallet_records!$O:$O,'EEFF 2025'!$B$1,wallet_records!$N:$N,'EEFF 2025'!CB$2,wallet_records!$H:$H,'EEFF 2025'!$B19)</f>
        <v>0</v>
      </c>
      <c r="CC19" s="121"/>
      <c r="CD19" s="121"/>
      <c r="CE19" s="121"/>
      <c r="CF19" s="121"/>
      <c r="CG19" s="121"/>
      <c r="CI19" s="115">
        <f>SUMIFS(wallet_records!$D:$D,wallet_records!$B:$B,'EEFF 2025'!$C19,wallet_records!$O:$O,'EEFF 2025'!$B$1,wallet_records!$N:$N,'EEFF 2025'!CI$2,wallet_records!$H:$H,'EEFF 2025'!$B19)</f>
        <v>0</v>
      </c>
      <c r="CJ19" s="121"/>
      <c r="CK19" s="121"/>
      <c r="CL19" s="121"/>
      <c r="CM19" s="121"/>
      <c r="CN19" s="121"/>
      <c r="CP19" s="115">
        <f>SUMIFS(wallet_records!$D:$D,wallet_records!$B:$B,'EEFF 2025'!$C19,wallet_records!$O:$O,'EEFF 2025'!$B$1,wallet_records!$H:$H,'EEFF 2025'!$B19)</f>
        <v>0</v>
      </c>
      <c r="CQ19" s="107"/>
      <c r="CR19" s="118">
        <f t="shared" si="0"/>
        <v>0</v>
      </c>
      <c r="CS19" s="118">
        <f t="shared" si="1"/>
        <v>0</v>
      </c>
      <c r="CT19" s="118">
        <f t="shared" si="2"/>
        <v>0</v>
      </c>
      <c r="CU19" s="118">
        <f t="shared" si="3"/>
        <v>0</v>
      </c>
      <c r="CV19" s="118">
        <f t="shared" si="4"/>
        <v>0</v>
      </c>
      <c r="CW19" s="118">
        <f t="shared" si="5"/>
        <v>0</v>
      </c>
      <c r="CX19" s="118">
        <f t="shared" si="6"/>
        <v>0</v>
      </c>
      <c r="CY19" s="118">
        <f t="shared" si="7"/>
        <v>0</v>
      </c>
      <c r="CZ19" s="118">
        <f t="shared" si="8"/>
        <v>0</v>
      </c>
      <c r="DA19" s="118">
        <f t="shared" si="9"/>
        <v>0</v>
      </c>
      <c r="DB19" s="118">
        <f t="shared" si="10"/>
        <v>0</v>
      </c>
      <c r="DC19" s="118">
        <f t="shared" si="11"/>
        <v>0</v>
      </c>
    </row>
    <row r="20" spans="2:107" x14ac:dyDescent="0.2">
      <c r="B20" s="107" t="s">
        <v>145</v>
      </c>
      <c r="C20" s="191" t="s">
        <v>144</v>
      </c>
      <c r="D20" s="187"/>
      <c r="E20" s="187"/>
      <c r="F20" s="187"/>
      <c r="G20" s="188"/>
      <c r="H20" s="188"/>
      <c r="I20" s="188"/>
      <c r="J20" s="116">
        <f>SUMIFS(wallet_records!$D:$D,wallet_records!$B:$B,'EEFF 2025'!$C20,wallet_records!$O:$O,'EEFF 2025'!$B$1,wallet_records!$N:$N,'EEFF 2025'!J$2,wallet_records!$H:$H,'EEFF 2025'!$B20)</f>
        <v>405800</v>
      </c>
      <c r="K20" s="187"/>
      <c r="L20" s="187"/>
      <c r="M20" s="187"/>
      <c r="N20" s="187"/>
      <c r="O20" s="187"/>
      <c r="P20" s="187"/>
      <c r="Q20" s="115">
        <f>SUMIFS(wallet_records!$D:$D,wallet_records!$B:$B,'EEFF 2025'!$C20,wallet_records!$O:$O,'EEFF 2025'!$B$1,wallet_records!$N:$N,'EEFF 2025'!Q$2,wallet_records!$H:$H,'EEFF 2025'!$B20)</f>
        <v>405800</v>
      </c>
      <c r="R20" s="187"/>
      <c r="S20" s="187"/>
      <c r="T20" s="187"/>
      <c r="U20" s="188"/>
      <c r="V20" s="188"/>
      <c r="W20" s="188"/>
      <c r="X20" s="115">
        <f>SUMIFS(wallet_records!$D:$D,wallet_records!$B:$B,'EEFF 2025'!$C20,wallet_records!$O:$O,'EEFF 2025'!$B$1,wallet_records!$N:$N,'EEFF 2025'!X$2,wallet_records!$H:$H,'EEFF 2025'!$B20)</f>
        <v>405800</v>
      </c>
      <c r="Y20" s="187"/>
      <c r="Z20" s="187"/>
      <c r="AA20" s="187"/>
      <c r="AB20" s="188"/>
      <c r="AC20" s="188"/>
      <c r="AD20" s="188"/>
      <c r="AE20" s="115">
        <f>SUMIFS(wallet_records!$D:$D,wallet_records!$B:$B,'EEFF 2025'!$C20,wallet_records!$O:$O,'EEFF 2025'!$B$1,wallet_records!$N:$N,'EEFF 2025'!AE$2,wallet_records!$H:$H,'EEFF 2025'!$B20)</f>
        <v>405800</v>
      </c>
      <c r="AF20" s="187"/>
      <c r="AG20" s="187"/>
      <c r="AH20" s="187"/>
      <c r="AI20" s="188"/>
      <c r="AJ20" s="188"/>
      <c r="AK20" s="188"/>
      <c r="AL20" s="115">
        <f>SUMIFS(wallet_records!$D:$D,wallet_records!$B:$B,'EEFF 2025'!$C20,wallet_records!$O:$O,'EEFF 2025'!$B$1,wallet_records!$N:$N,'EEFF 2025'!AL$2,wallet_records!$H:$H,'EEFF 2025'!$B20)</f>
        <v>178000</v>
      </c>
      <c r="AM20" s="187"/>
      <c r="AN20" s="187"/>
      <c r="AO20" s="187"/>
      <c r="AP20" s="188"/>
      <c r="AQ20" s="188"/>
      <c r="AR20" s="188"/>
      <c r="AS20" s="115">
        <f>SUMIFS(wallet_records!$D:$D,wallet_records!$B:$B,'EEFF 2025'!$C20,wallet_records!$O:$O,'EEFF 2025'!$B$1,wallet_records!$N:$N,'EEFF 2025'!AS$2,wallet_records!$H:$H,'EEFF 2025'!$B20)</f>
        <v>178000</v>
      </c>
      <c r="AT20" s="187"/>
      <c r="AU20" s="187"/>
      <c r="AV20" s="187"/>
      <c r="AW20" s="188"/>
      <c r="AX20" s="188"/>
      <c r="AY20" s="188"/>
      <c r="AZ20" s="115">
        <f>SUMIFS(wallet_records!$D:$D,wallet_records!$B:$B,'EEFF 2025'!$C20,wallet_records!$O:$O,'EEFF 2025'!$B$1,wallet_records!$N:$N,'EEFF 2025'!AZ$2,wallet_records!$H:$H,'EEFF 2025'!$B20)</f>
        <v>178000</v>
      </c>
      <c r="BA20" s="187"/>
      <c r="BB20" s="187"/>
      <c r="BC20" s="187"/>
      <c r="BD20" s="188"/>
      <c r="BE20" s="188"/>
      <c r="BF20" s="188"/>
      <c r="BG20" s="115">
        <f>SUMIFS(wallet_records!$D:$D,wallet_records!$B:$B,'EEFF 2025'!$C20,wallet_records!$O:$O,'EEFF 2025'!$B$1,wallet_records!$N:$N,'EEFF 2025'!BG$2,wallet_records!$H:$H,'EEFF 2025'!$B20)</f>
        <v>178000</v>
      </c>
      <c r="BH20" s="187"/>
      <c r="BI20" s="187"/>
      <c r="BJ20" s="187"/>
      <c r="BK20" s="188"/>
      <c r="BL20" s="188"/>
      <c r="BM20" s="188"/>
      <c r="BN20" s="115">
        <f>SUMIFS(wallet_records!$D:$D,wallet_records!$B:$B,'EEFF 2025'!$C20,wallet_records!$O:$O,'EEFF 2025'!$B$1,wallet_records!$N:$N,'EEFF 2025'!BN$2,wallet_records!$H:$H,'EEFF 2025'!$B20)</f>
        <v>178000</v>
      </c>
      <c r="BO20" s="187"/>
      <c r="BP20" s="187"/>
      <c r="BQ20" s="187"/>
      <c r="BR20" s="188"/>
      <c r="BS20" s="188"/>
      <c r="BT20" s="188"/>
      <c r="BU20" s="115">
        <f>SUMIFS(wallet_records!$D:$D,wallet_records!$B:$B,'EEFF 2025'!$C20,wallet_records!$O:$O,'EEFF 2025'!$B$1,wallet_records!$N:$N,'EEFF 2025'!BU$2,wallet_records!$H:$H,'EEFF 2025'!$B20)</f>
        <v>178000</v>
      </c>
      <c r="BV20" s="187"/>
      <c r="BW20" s="187"/>
      <c r="BX20" s="187"/>
      <c r="BY20" s="188"/>
      <c r="BZ20" s="188"/>
      <c r="CA20" s="188"/>
      <c r="CB20" s="115">
        <f>SUMIFS(wallet_records!$D:$D,wallet_records!$B:$B,'EEFF 2025'!$C20,wallet_records!$O:$O,'EEFF 2025'!$B$1,wallet_records!$N:$N,'EEFF 2025'!CB$2,wallet_records!$H:$H,'EEFF 2025'!$B20)</f>
        <v>178000</v>
      </c>
      <c r="CC20" s="187"/>
      <c r="CD20" s="187"/>
      <c r="CE20" s="187"/>
      <c r="CF20" s="188"/>
      <c r="CG20" s="188"/>
      <c r="CH20" s="188"/>
      <c r="CI20" s="115">
        <f>SUMIFS(wallet_records!$D:$D,wallet_records!$B:$B,'EEFF 2025'!$C20,wallet_records!$O:$O,'EEFF 2025'!$B$1,wallet_records!$N:$N,'EEFF 2025'!CI$2,wallet_records!$H:$H,'EEFF 2025'!$B20)</f>
        <v>178000</v>
      </c>
      <c r="CJ20" s="116"/>
      <c r="CK20" s="116"/>
      <c r="CL20" s="116"/>
      <c r="CM20" s="116"/>
      <c r="CN20" s="116"/>
      <c r="CP20" s="115">
        <f>SUMIFS(wallet_records!$D:$D,wallet_records!$B:$B,'EEFF 2025'!$C20,wallet_records!$O:$O,'EEFF 2025'!$B$1,wallet_records!$H:$H,'EEFF 2025'!$B20)</f>
        <v>3047200</v>
      </c>
      <c r="CQ20" s="107"/>
      <c r="CR20" s="118">
        <f t="shared" si="0"/>
        <v>4.3723736666307508E-2</v>
      </c>
      <c r="CS20" s="118">
        <f t="shared" si="1"/>
        <v>4.7016568184451393E-2</v>
      </c>
      <c r="CT20" s="118">
        <f t="shared" si="2"/>
        <v>3.70221695100812E-2</v>
      </c>
      <c r="CU20" s="118">
        <f t="shared" si="3"/>
        <v>5.6668063119676024E-2</v>
      </c>
      <c r="CV20" s="118">
        <f t="shared" si="4"/>
        <v>1.8528519138294786E-2</v>
      </c>
      <c r="CW20" s="118">
        <f t="shared" si="5"/>
        <v>2.4905554778228627E-2</v>
      </c>
      <c r="CX20" s="118">
        <f t="shared" si="6"/>
        <v>1.7668195263335518E-2</v>
      </c>
      <c r="CY20" s="118">
        <f t="shared" si="7"/>
        <v>1.916946670112863E-2</v>
      </c>
      <c r="CZ20" s="118">
        <f t="shared" si="8"/>
        <v>2.6120388577466028E-2</v>
      </c>
      <c r="DA20" s="118">
        <f t="shared" si="9"/>
        <v>1.5704127185785118E-2</v>
      </c>
      <c r="DB20" s="118">
        <f t="shared" si="10"/>
        <v>2.1718971155254039E-2</v>
      </c>
      <c r="DC20" s="118">
        <f t="shared" si="11"/>
        <v>1.5999137125188755E-2</v>
      </c>
    </row>
    <row r="21" spans="2:107" x14ac:dyDescent="0.2">
      <c r="B21" s="10" t="s">
        <v>132</v>
      </c>
      <c r="C21" s="191" t="s">
        <v>131</v>
      </c>
      <c r="D21" s="115"/>
      <c r="E21" s="115"/>
      <c r="F21" s="115"/>
      <c r="G21" s="116"/>
      <c r="H21" s="116"/>
      <c r="I21" s="116"/>
      <c r="J21" s="116">
        <f>SUMIFS(wallet_records!$D:$D,wallet_records!$B:$B,'EEFF 2025'!$C21,wallet_records!$O:$O,'EEFF 2025'!$B$1,wallet_records!$N:$N,'EEFF 2025'!J$2,wallet_records!$H:$H,'EEFF 2025'!$B21)</f>
        <v>365221</v>
      </c>
      <c r="K21" s="115"/>
      <c r="L21" s="115"/>
      <c r="M21" s="115"/>
      <c r="N21" s="116"/>
      <c r="O21" s="116"/>
      <c r="P21" s="116"/>
      <c r="Q21" s="115">
        <f>SUMIFS(wallet_records!$D:$D,wallet_records!$B:$B,'EEFF 2025'!$C21,wallet_records!$O:$O,'EEFF 2025'!$B$1,wallet_records!$N:$N,'EEFF 2025'!Q$2,wallet_records!$H:$H,'EEFF 2025'!$B21)</f>
        <v>365000</v>
      </c>
      <c r="R21" s="116"/>
      <c r="S21" s="116"/>
      <c r="T21" s="116"/>
      <c r="U21" s="116"/>
      <c r="V21" s="116"/>
      <c r="X21" s="115">
        <f>SUMIFS(wallet_records!$D:$D,wallet_records!$B:$B,'EEFF 2025'!$C21,wallet_records!$O:$O,'EEFF 2025'!$B$1,wallet_records!$N:$N,'EEFF 2025'!X$2,wallet_records!$H:$H,'EEFF 2025'!$B21)</f>
        <v>0</v>
      </c>
      <c r="Y21" s="116"/>
      <c r="Z21" s="116"/>
      <c r="AA21" s="116"/>
      <c r="AB21" s="116"/>
      <c r="AC21" s="116"/>
      <c r="AE21" s="115">
        <f>SUMIFS(wallet_records!$D:$D,wallet_records!$B:$B,'EEFF 2025'!$C21,wallet_records!$O:$O,'EEFF 2025'!$B$1,wallet_records!$N:$N,'EEFF 2025'!AE$2,wallet_records!$H:$H,'EEFF 2025'!$B21)</f>
        <v>0</v>
      </c>
      <c r="AF21" s="116"/>
      <c r="AG21" s="116"/>
      <c r="AH21" s="116"/>
      <c r="AI21" s="116"/>
      <c r="AJ21" s="116"/>
      <c r="AL21" s="115">
        <f>SUMIFS(wallet_records!$D:$D,wallet_records!$B:$B,'EEFF 2025'!$C21,wallet_records!$O:$O,'EEFF 2025'!$B$1,wallet_records!$N:$N,'EEFF 2025'!AL$2,wallet_records!$H:$H,'EEFF 2025'!$B21)</f>
        <v>0</v>
      </c>
      <c r="AM21" s="116"/>
      <c r="AN21" s="116"/>
      <c r="AO21" s="116"/>
      <c r="AP21" s="116"/>
      <c r="AQ21" s="116"/>
      <c r="AS21" s="115">
        <f>SUMIFS(wallet_records!$D:$D,wallet_records!$B:$B,'EEFF 2025'!$C21,wallet_records!$O:$O,'EEFF 2025'!$B$1,wallet_records!$N:$N,'EEFF 2025'!AS$2,wallet_records!$H:$H,'EEFF 2025'!$B21)</f>
        <v>0</v>
      </c>
      <c r="AT21" s="116"/>
      <c r="AU21" s="116"/>
      <c r="AV21" s="116"/>
      <c r="AW21" s="116"/>
      <c r="AX21" s="116"/>
      <c r="AZ21" s="115">
        <f>SUMIFS(wallet_records!$D:$D,wallet_records!$B:$B,'EEFF 2025'!$C21,wallet_records!$O:$O,'EEFF 2025'!$B$1,wallet_records!$N:$N,'EEFF 2025'!AZ$2,wallet_records!$H:$H,'EEFF 2025'!$B21)</f>
        <v>0</v>
      </c>
      <c r="BA21" s="116"/>
      <c r="BB21" s="116"/>
      <c r="BC21" s="116"/>
      <c r="BD21" s="116"/>
      <c r="BE21" s="116"/>
      <c r="BG21" s="115">
        <f>SUMIFS(wallet_records!$D:$D,wallet_records!$B:$B,'EEFF 2025'!$C21,wallet_records!$O:$O,'EEFF 2025'!$B$1,wallet_records!$N:$N,'EEFF 2025'!BG$2,wallet_records!$H:$H,'EEFF 2025'!$B21)</f>
        <v>0</v>
      </c>
      <c r="BH21" s="116"/>
      <c r="BI21" s="116"/>
      <c r="BJ21" s="116"/>
      <c r="BK21" s="116"/>
      <c r="BL21" s="116"/>
      <c r="BN21" s="115">
        <f>SUMIFS(wallet_records!$D:$D,wallet_records!$B:$B,'EEFF 2025'!$C21,wallet_records!$O:$O,'EEFF 2025'!$B$1,wallet_records!$N:$N,'EEFF 2025'!BN$2,wallet_records!$H:$H,'EEFF 2025'!$B21)</f>
        <v>0</v>
      </c>
      <c r="BO21" s="116"/>
      <c r="BP21" s="116"/>
      <c r="BQ21" s="116"/>
      <c r="BR21" s="116"/>
      <c r="BS21" s="116"/>
      <c r="BU21" s="115">
        <f>SUMIFS(wallet_records!$D:$D,wallet_records!$B:$B,'EEFF 2025'!$C21,wallet_records!$O:$O,'EEFF 2025'!$B$1,wallet_records!$N:$N,'EEFF 2025'!BU$2,wallet_records!$H:$H,'EEFF 2025'!$B21)</f>
        <v>0</v>
      </c>
      <c r="BV21" s="116"/>
      <c r="BW21" s="116"/>
      <c r="BX21" s="116"/>
      <c r="BY21" s="116"/>
      <c r="BZ21" s="116"/>
      <c r="CB21" s="115">
        <f>SUMIFS(wallet_records!$D:$D,wallet_records!$B:$B,'EEFF 2025'!$C21,wallet_records!$O:$O,'EEFF 2025'!$B$1,wallet_records!$N:$N,'EEFF 2025'!CB$2,wallet_records!$H:$H,'EEFF 2025'!$B21)</f>
        <v>0</v>
      </c>
      <c r="CC21" s="116"/>
      <c r="CD21" s="116"/>
      <c r="CE21" s="116"/>
      <c r="CF21" s="116"/>
      <c r="CG21" s="116"/>
      <c r="CI21" s="115">
        <f>SUMIFS(wallet_records!$D:$D,wallet_records!$B:$B,'EEFF 2025'!$C21,wallet_records!$O:$O,'EEFF 2025'!$B$1,wallet_records!$N:$N,'EEFF 2025'!CI$2,wallet_records!$H:$H,'EEFF 2025'!$B21)</f>
        <v>1503502</v>
      </c>
      <c r="CJ21" s="116"/>
      <c r="CK21" s="116"/>
      <c r="CL21" s="116"/>
      <c r="CM21" s="116"/>
      <c r="CN21" s="116"/>
      <c r="CP21" s="115">
        <f>SUMIFS(wallet_records!$D:$D,wallet_records!$B:$B,'EEFF 2025'!$C21,wallet_records!$O:$O,'EEFF 2025'!$B$1,wallet_records!$H:$H,'EEFF 2025'!$B21)</f>
        <v>2233723</v>
      </c>
      <c r="CQ21" s="107"/>
      <c r="CR21" s="118">
        <f t="shared" si="0"/>
        <v>3.9351470746686781E-2</v>
      </c>
      <c r="CS21" s="118">
        <f t="shared" si="1"/>
        <v>4.2289421851465649E-2</v>
      </c>
      <c r="CT21" s="118">
        <f t="shared" si="2"/>
        <v>0</v>
      </c>
      <c r="CU21" s="118">
        <f t="shared" si="3"/>
        <v>0</v>
      </c>
      <c r="CV21" s="118">
        <f t="shared" si="4"/>
        <v>0</v>
      </c>
      <c r="CW21" s="118">
        <f t="shared" si="5"/>
        <v>0</v>
      </c>
      <c r="CX21" s="118">
        <f t="shared" si="6"/>
        <v>0</v>
      </c>
      <c r="CY21" s="118">
        <f t="shared" si="7"/>
        <v>0</v>
      </c>
      <c r="CZ21" s="118">
        <f t="shared" si="8"/>
        <v>0</v>
      </c>
      <c r="DA21" s="118">
        <f t="shared" si="9"/>
        <v>0</v>
      </c>
      <c r="DB21" s="118">
        <f t="shared" si="10"/>
        <v>0</v>
      </c>
      <c r="DC21" s="118">
        <f t="shared" si="11"/>
        <v>0.13513895879772778</v>
      </c>
    </row>
    <row r="22" spans="2:107" x14ac:dyDescent="0.2">
      <c r="B22" s="10" t="s">
        <v>222</v>
      </c>
      <c r="C22" s="191" t="s">
        <v>131</v>
      </c>
      <c r="D22" s="115"/>
      <c r="E22" s="115"/>
      <c r="F22" s="115"/>
      <c r="G22" s="116"/>
      <c r="H22" s="116"/>
      <c r="I22" s="116"/>
      <c r="J22" s="116">
        <f>SUMIFS(wallet_records!$D:$D,wallet_records!$B:$B,'EEFF 2025'!$C22,wallet_records!$O:$O,'EEFF 2025'!$B$1,wallet_records!$N:$N,'EEFF 2025'!J$2,wallet_records!$H:$H,'EEFF 2025'!$B22)</f>
        <v>2200000</v>
      </c>
      <c r="K22" s="115"/>
      <c r="L22" s="115"/>
      <c r="M22" s="115"/>
      <c r="N22" s="116"/>
      <c r="O22" s="116"/>
      <c r="P22" s="116"/>
      <c r="Q22" s="115">
        <f>SUMIFS(wallet_records!$D:$D,wallet_records!$B:$B,'EEFF 2025'!$C22,wallet_records!$O:$O,'EEFF 2025'!$B$1,wallet_records!$N:$N,'EEFF 2025'!Q$2,wallet_records!$H:$H,'EEFF 2025'!$B22)</f>
        <v>0</v>
      </c>
      <c r="R22" s="116"/>
      <c r="S22" s="116"/>
      <c r="T22" s="116"/>
      <c r="U22" s="116"/>
      <c r="V22" s="116"/>
      <c r="X22" s="115">
        <f>SUMIFS(wallet_records!$D:$D,wallet_records!$B:$B,'EEFF 2025'!$C22,wallet_records!$O:$O,'EEFF 2025'!$B$1,wallet_records!$N:$N,'EEFF 2025'!X$2,wallet_records!$H:$H,'EEFF 2025'!$B22)</f>
        <v>0</v>
      </c>
      <c r="Y22" s="116"/>
      <c r="Z22" s="116"/>
      <c r="AA22" s="116"/>
      <c r="AB22" s="116"/>
      <c r="AC22" s="116"/>
      <c r="AE22" s="115">
        <f>SUMIFS(wallet_records!$D:$D,wallet_records!$B:$B,'EEFF 2025'!$C22,wallet_records!$O:$O,'EEFF 2025'!$B$1,wallet_records!$N:$N,'EEFF 2025'!AE$2,wallet_records!$H:$H,'EEFF 2025'!$B22)</f>
        <v>0</v>
      </c>
      <c r="AF22" s="116"/>
      <c r="AG22" s="116"/>
      <c r="AH22" s="116"/>
      <c r="AI22" s="116"/>
      <c r="AJ22" s="116"/>
      <c r="AL22" s="115">
        <f>SUMIFS(wallet_records!$D:$D,wallet_records!$B:$B,'EEFF 2025'!$C22,wallet_records!$O:$O,'EEFF 2025'!$B$1,wallet_records!$N:$N,'EEFF 2025'!AL$2,wallet_records!$H:$H,'EEFF 2025'!$B22)</f>
        <v>0</v>
      </c>
      <c r="AM22" s="116"/>
      <c r="AN22" s="116"/>
      <c r="AO22" s="116"/>
      <c r="AP22" s="116"/>
      <c r="AQ22" s="116"/>
      <c r="AS22" s="115">
        <f>SUMIFS(wallet_records!$D:$D,wallet_records!$B:$B,'EEFF 2025'!$C22,wallet_records!$O:$O,'EEFF 2025'!$B$1,wallet_records!$N:$N,'EEFF 2025'!AS$2,wallet_records!$H:$H,'EEFF 2025'!$B22)</f>
        <v>0</v>
      </c>
      <c r="AT22" s="116"/>
      <c r="AU22" s="116"/>
      <c r="AV22" s="116"/>
      <c r="AW22" s="116"/>
      <c r="AX22" s="116"/>
      <c r="AZ22" s="115">
        <f>SUMIFS(wallet_records!$D:$D,wallet_records!$B:$B,'EEFF 2025'!$C22,wallet_records!$O:$O,'EEFF 2025'!$B$1,wallet_records!$N:$N,'EEFF 2025'!AZ$2,wallet_records!$H:$H,'EEFF 2025'!$B22)</f>
        <v>0</v>
      </c>
      <c r="BA22" s="116"/>
      <c r="BB22" s="116"/>
      <c r="BC22" s="116"/>
      <c r="BD22" s="116"/>
      <c r="BE22" s="116"/>
      <c r="BG22" s="115">
        <f>SUMIFS(wallet_records!$D:$D,wallet_records!$B:$B,'EEFF 2025'!$C22,wallet_records!$O:$O,'EEFF 2025'!$B$1,wallet_records!$N:$N,'EEFF 2025'!BG$2,wallet_records!$H:$H,'EEFF 2025'!$B22)</f>
        <v>0</v>
      </c>
      <c r="BH22" s="116"/>
      <c r="BI22" s="116"/>
      <c r="BJ22" s="116"/>
      <c r="BK22" s="116"/>
      <c r="BL22" s="116"/>
      <c r="BN22" s="115">
        <f>SUMIFS(wallet_records!$D:$D,wallet_records!$B:$B,'EEFF 2025'!$C22,wallet_records!$O:$O,'EEFF 2025'!$B$1,wallet_records!$N:$N,'EEFF 2025'!BN$2,wallet_records!$H:$H,'EEFF 2025'!$B22)</f>
        <v>0</v>
      </c>
      <c r="BO22" s="116"/>
      <c r="BP22" s="116"/>
      <c r="BQ22" s="116"/>
      <c r="BR22" s="116"/>
      <c r="BS22" s="116"/>
      <c r="BU22" s="115">
        <f>SUMIFS(wallet_records!$D:$D,wallet_records!$B:$B,'EEFF 2025'!$C22,wallet_records!$O:$O,'EEFF 2025'!$B$1,wallet_records!$N:$N,'EEFF 2025'!BU$2,wallet_records!$H:$H,'EEFF 2025'!$B22)</f>
        <v>0</v>
      </c>
      <c r="BV22" s="116"/>
      <c r="BW22" s="116"/>
      <c r="BX22" s="116"/>
      <c r="BY22" s="116"/>
      <c r="BZ22" s="116"/>
      <c r="CB22" s="115">
        <f>SUMIFS(wallet_records!$D:$D,wallet_records!$B:$B,'EEFF 2025'!$C22,wallet_records!$O:$O,'EEFF 2025'!$B$1,wallet_records!$N:$N,'EEFF 2025'!CB$2,wallet_records!$H:$H,'EEFF 2025'!$B22)</f>
        <v>0</v>
      </c>
      <c r="CC22" s="116"/>
      <c r="CD22" s="116"/>
      <c r="CE22" s="116"/>
      <c r="CF22" s="116"/>
      <c r="CG22" s="116"/>
      <c r="CI22" s="115">
        <f>SUMIFS(wallet_records!$D:$D,wallet_records!$B:$B,'EEFF 2025'!$C22,wallet_records!$O:$O,'EEFF 2025'!$B$1,wallet_records!$N:$N,'EEFF 2025'!CI$2,wallet_records!$H:$H,'EEFF 2025'!$B22)</f>
        <v>0</v>
      </c>
      <c r="CJ22" s="116"/>
      <c r="CK22" s="116"/>
      <c r="CL22" s="116"/>
      <c r="CM22" s="116"/>
      <c r="CN22" s="116"/>
      <c r="CP22" s="115">
        <f>SUMIFS(wallet_records!$D:$D,wallet_records!$B:$B,'EEFF 2025'!$C22,wallet_records!$O:$O,'EEFF 2025'!$B$1,wallet_records!$H:$H,'EEFF 2025'!$B22)</f>
        <v>2200000</v>
      </c>
      <c r="CQ22" s="107"/>
      <c r="CR22" s="118">
        <f t="shared" si="0"/>
        <v>0.23704342204503825</v>
      </c>
      <c r="CS22" s="118">
        <f t="shared" si="1"/>
        <v>0</v>
      </c>
      <c r="CT22" s="118">
        <f t="shared" si="2"/>
        <v>0</v>
      </c>
      <c r="CU22" s="118">
        <f t="shared" si="3"/>
        <v>0</v>
      </c>
      <c r="CV22" s="118">
        <f t="shared" si="4"/>
        <v>0</v>
      </c>
      <c r="CW22" s="118">
        <f t="shared" si="5"/>
        <v>0</v>
      </c>
      <c r="CX22" s="118">
        <f t="shared" si="6"/>
        <v>0</v>
      </c>
      <c r="CY22" s="118">
        <f t="shared" si="7"/>
        <v>0</v>
      </c>
      <c r="CZ22" s="118">
        <f t="shared" si="8"/>
        <v>0</v>
      </c>
      <c r="DA22" s="118">
        <f t="shared" si="9"/>
        <v>0</v>
      </c>
      <c r="DB22" s="118">
        <f t="shared" si="10"/>
        <v>0</v>
      </c>
      <c r="DC22" s="118">
        <f t="shared" si="11"/>
        <v>0</v>
      </c>
    </row>
    <row r="23" spans="2:107" x14ac:dyDescent="0.2">
      <c r="B23" s="10" t="s">
        <v>87</v>
      </c>
      <c r="C23" s="191" t="s">
        <v>114</v>
      </c>
      <c r="D23" s="115"/>
      <c r="E23" s="115"/>
      <c r="F23" s="115"/>
      <c r="G23" s="116"/>
      <c r="H23" s="116"/>
      <c r="I23" s="116"/>
      <c r="J23" s="116">
        <f>SUMIFS(wallet_records!$D:$D,wallet_records!$B:$B,'EEFF 2025'!$C23,wallet_records!$O:$O,'EEFF 2025'!$B$1,wallet_records!$N:$N,'EEFF 2025'!J$2,wallet_records!$H:$H,'EEFF 2025'!$B23)</f>
        <v>0</v>
      </c>
      <c r="K23" s="115"/>
      <c r="L23" s="115"/>
      <c r="M23" s="115"/>
      <c r="N23" s="116"/>
      <c r="O23" s="116"/>
      <c r="P23" s="116"/>
      <c r="Q23" s="115">
        <f>SUMIFS(wallet_records!$D:$D,wallet_records!$B:$B,'EEFF 2025'!$C23,wallet_records!$O:$O,'EEFF 2025'!$B$1,wallet_records!$N:$N,'EEFF 2025'!Q$2,wallet_records!$H:$H,'EEFF 2025'!$B23)</f>
        <v>0</v>
      </c>
      <c r="R23" s="116"/>
      <c r="S23" s="116"/>
      <c r="T23" s="116"/>
      <c r="U23" s="116"/>
      <c r="V23" s="116"/>
      <c r="X23" s="115">
        <f>SUMIFS(wallet_records!$D:$D,wallet_records!$B:$B,'EEFF 2025'!$C23,wallet_records!$O:$O,'EEFF 2025'!$B$1,wallet_records!$N:$N,'EEFF 2025'!X$2,wallet_records!$H:$H,'EEFF 2025'!$B23)</f>
        <v>0</v>
      </c>
      <c r="Y23" s="116"/>
      <c r="Z23" s="116"/>
      <c r="AA23" s="116"/>
      <c r="AB23" s="116"/>
      <c r="AC23" s="116"/>
      <c r="AE23" s="115">
        <f>SUMIFS(wallet_records!$D:$D,wallet_records!$B:$B,'EEFF 2025'!$C23,wallet_records!$O:$O,'EEFF 2025'!$B$1,wallet_records!$N:$N,'EEFF 2025'!AE$2,wallet_records!$H:$H,'EEFF 2025'!$B23)</f>
        <v>0</v>
      </c>
      <c r="AF23" s="116"/>
      <c r="AG23" s="116"/>
      <c r="AH23" s="116"/>
      <c r="AI23" s="116"/>
      <c r="AJ23" s="116"/>
      <c r="AL23" s="115">
        <f>SUMIFS(wallet_records!$D:$D,wallet_records!$B:$B,'EEFF 2025'!$C23,wallet_records!$O:$O,'EEFF 2025'!$B$1,wallet_records!$N:$N,'EEFF 2025'!AL$2,wallet_records!$H:$H,'EEFF 2025'!$B23)</f>
        <v>0</v>
      </c>
      <c r="AM23" s="116"/>
      <c r="AN23" s="116"/>
      <c r="AO23" s="116"/>
      <c r="AP23" s="116"/>
      <c r="AQ23" s="116"/>
      <c r="AS23" s="115">
        <f>SUMIFS(wallet_records!$D:$D,wallet_records!$B:$B,'EEFF 2025'!$C23,wallet_records!$O:$O,'EEFF 2025'!$B$1,wallet_records!$N:$N,'EEFF 2025'!AS$2,wallet_records!$H:$H,'EEFF 2025'!$B23)</f>
        <v>0</v>
      </c>
      <c r="AT23" s="116"/>
      <c r="AU23" s="116"/>
      <c r="AV23" s="116"/>
      <c r="AW23" s="116"/>
      <c r="AX23" s="116"/>
      <c r="AZ23" s="115">
        <f>SUMIFS(wallet_records!$D:$D,wallet_records!$B:$B,'EEFF 2025'!$C23,wallet_records!$O:$O,'EEFF 2025'!$B$1,wallet_records!$N:$N,'EEFF 2025'!AZ$2,wallet_records!$H:$H,'EEFF 2025'!$B23)</f>
        <v>0</v>
      </c>
      <c r="BA23" s="116"/>
      <c r="BB23" s="116"/>
      <c r="BC23" s="116"/>
      <c r="BD23" s="116"/>
      <c r="BE23" s="116"/>
      <c r="BG23" s="115">
        <f>SUMIFS(wallet_records!$D:$D,wallet_records!$B:$B,'EEFF 2025'!$C23,wallet_records!$O:$O,'EEFF 2025'!$B$1,wallet_records!$N:$N,'EEFF 2025'!BG$2,wallet_records!$H:$H,'EEFF 2025'!$B23)</f>
        <v>0</v>
      </c>
      <c r="BH23" s="116"/>
      <c r="BI23" s="116"/>
      <c r="BJ23" s="116"/>
      <c r="BK23" s="116"/>
      <c r="BL23" s="116"/>
      <c r="BN23" s="115">
        <f>SUMIFS(wallet_records!$D:$D,wallet_records!$B:$B,'EEFF 2025'!$C23,wallet_records!$O:$O,'EEFF 2025'!$B$1,wallet_records!$N:$N,'EEFF 2025'!BN$2,wallet_records!$H:$H,'EEFF 2025'!$B23)</f>
        <v>0</v>
      </c>
      <c r="BO23" s="116"/>
      <c r="BP23" s="116"/>
      <c r="BQ23" s="116"/>
      <c r="BR23" s="116"/>
      <c r="BS23" s="116"/>
      <c r="BU23" s="115">
        <f>SUMIFS(wallet_records!$D:$D,wallet_records!$B:$B,'EEFF 2025'!$C23,wallet_records!$O:$O,'EEFF 2025'!$B$1,wallet_records!$N:$N,'EEFF 2025'!BU$2,wallet_records!$H:$H,'EEFF 2025'!$B23)</f>
        <v>0</v>
      </c>
      <c r="BV23" s="116"/>
      <c r="BW23" s="116"/>
      <c r="BX23" s="116"/>
      <c r="BY23" s="116"/>
      <c r="BZ23" s="116"/>
      <c r="CB23" s="115">
        <f>SUMIFS(wallet_records!$D:$D,wallet_records!$B:$B,'EEFF 2025'!$C23,wallet_records!$O:$O,'EEFF 2025'!$B$1,wallet_records!$N:$N,'EEFF 2025'!CB$2,wallet_records!$H:$H,'EEFF 2025'!$B23)</f>
        <v>0</v>
      </c>
      <c r="CC23" s="116"/>
      <c r="CD23" s="116"/>
      <c r="CE23" s="116"/>
      <c r="CF23" s="116"/>
      <c r="CG23" s="116"/>
      <c r="CI23" s="115">
        <f>SUMIFS(wallet_records!$D:$D,wallet_records!$B:$B,'EEFF 2025'!$C23,wallet_records!$O:$O,'EEFF 2025'!$B$1,wallet_records!$N:$N,'EEFF 2025'!CI$2,wallet_records!$H:$H,'EEFF 2025'!$B23)</f>
        <v>324523</v>
      </c>
      <c r="CJ23" s="116"/>
      <c r="CK23" s="116"/>
      <c r="CL23" s="116"/>
      <c r="CM23" s="116"/>
      <c r="CN23" s="116"/>
      <c r="CP23" s="115">
        <f>SUMIFS(wallet_records!$D:$D,wallet_records!$B:$B,'EEFF 2025'!$C23,wallet_records!$O:$O,'EEFF 2025'!$B$1,wallet_records!$H:$H,'EEFF 2025'!$B23)</f>
        <v>324523</v>
      </c>
      <c r="CQ23" s="107"/>
      <c r="CR23" s="118">
        <f t="shared" si="0"/>
        <v>0</v>
      </c>
      <c r="CS23" s="118">
        <f t="shared" si="1"/>
        <v>0</v>
      </c>
      <c r="CT23" s="118">
        <f t="shared" si="2"/>
        <v>0</v>
      </c>
      <c r="CU23" s="118">
        <f t="shared" si="3"/>
        <v>0</v>
      </c>
      <c r="CV23" s="118">
        <f t="shared" si="4"/>
        <v>0</v>
      </c>
      <c r="CW23" s="118">
        <f t="shared" si="5"/>
        <v>0</v>
      </c>
      <c r="CX23" s="118">
        <f t="shared" si="6"/>
        <v>0</v>
      </c>
      <c r="CY23" s="118">
        <f t="shared" si="7"/>
        <v>0</v>
      </c>
      <c r="CZ23" s="118">
        <f t="shared" si="8"/>
        <v>0</v>
      </c>
      <c r="DA23" s="118">
        <f t="shared" si="9"/>
        <v>0</v>
      </c>
      <c r="DB23" s="118">
        <f t="shared" si="10"/>
        <v>0</v>
      </c>
      <c r="DC23" s="118">
        <f t="shared" si="11"/>
        <v>2.9169033580211404E-2</v>
      </c>
    </row>
    <row r="24" spans="2:107" x14ac:dyDescent="0.2">
      <c r="B24" s="10" t="s">
        <v>88</v>
      </c>
      <c r="C24" s="191" t="s">
        <v>131</v>
      </c>
      <c r="D24" s="115"/>
      <c r="E24" s="115"/>
      <c r="F24" s="115"/>
      <c r="G24" s="116"/>
      <c r="H24" s="116"/>
      <c r="I24" s="116"/>
      <c r="J24" s="116">
        <f>SUMIFS(wallet_records!$D:$D,wallet_records!$B:$B,'EEFF 2025'!$C24,wallet_records!$O:$O,'EEFF 2025'!$B$1,wallet_records!$N:$N,'EEFF 2025'!J$2,wallet_records!$H:$H,'EEFF 2025'!$B24)</f>
        <v>0</v>
      </c>
      <c r="K24" s="115"/>
      <c r="L24" s="115"/>
      <c r="M24" s="115"/>
      <c r="N24" s="116"/>
      <c r="O24" s="116"/>
      <c r="P24" s="116"/>
      <c r="Q24" s="115">
        <f>SUMIFS(wallet_records!$D:$D,wallet_records!$B:$B,'EEFF 2025'!$C24,wallet_records!$O:$O,'EEFF 2025'!$B$1,wallet_records!$N:$N,'EEFF 2025'!Q$2,wallet_records!$H:$H,'EEFF 2025'!$B24)</f>
        <v>0</v>
      </c>
      <c r="R24" s="116"/>
      <c r="S24" s="116"/>
      <c r="T24" s="116"/>
      <c r="U24" s="116"/>
      <c r="V24" s="116"/>
      <c r="X24" s="115">
        <f>SUMIFS(wallet_records!$D:$D,wallet_records!$B:$B,'EEFF 2025'!$C24,wallet_records!$O:$O,'EEFF 2025'!$B$1,wallet_records!$N:$N,'EEFF 2025'!X$2,wallet_records!$H:$H,'EEFF 2025'!$B24)</f>
        <v>0</v>
      </c>
      <c r="Y24" s="116"/>
      <c r="Z24" s="116"/>
      <c r="AA24" s="116"/>
      <c r="AB24" s="116"/>
      <c r="AC24" s="116"/>
      <c r="AE24" s="115">
        <f>SUMIFS(wallet_records!$D:$D,wallet_records!$B:$B,'EEFF 2025'!$C24,wallet_records!$O:$O,'EEFF 2025'!$B$1,wallet_records!$N:$N,'EEFF 2025'!AE$2,wallet_records!$H:$H,'EEFF 2025'!$B24)</f>
        <v>0</v>
      </c>
      <c r="AF24" s="116"/>
      <c r="AG24" s="116"/>
      <c r="AH24" s="116"/>
      <c r="AI24" s="116"/>
      <c r="AJ24" s="116"/>
      <c r="AL24" s="115">
        <f>SUMIFS(wallet_records!$D:$D,wallet_records!$B:$B,'EEFF 2025'!$C24,wallet_records!$O:$O,'EEFF 2025'!$B$1,wallet_records!$N:$N,'EEFF 2025'!AL$2,wallet_records!$H:$H,'EEFF 2025'!$B24)</f>
        <v>0</v>
      </c>
      <c r="AM24" s="116"/>
      <c r="AN24" s="116"/>
      <c r="AO24" s="116"/>
      <c r="AP24" s="116"/>
      <c r="AQ24" s="116"/>
      <c r="AS24" s="115">
        <f>SUMIFS(wallet_records!$D:$D,wallet_records!$B:$B,'EEFF 2025'!$C24,wallet_records!$O:$O,'EEFF 2025'!$B$1,wallet_records!$N:$N,'EEFF 2025'!AS$2,wallet_records!$H:$H,'EEFF 2025'!$B24)</f>
        <v>0</v>
      </c>
      <c r="AT24" s="116"/>
      <c r="AU24" s="116"/>
      <c r="AV24" s="116"/>
      <c r="AW24" s="116"/>
      <c r="AX24" s="116"/>
      <c r="AZ24" s="115">
        <f>SUMIFS(wallet_records!$D:$D,wallet_records!$B:$B,'EEFF 2025'!$C24,wallet_records!$O:$O,'EEFF 2025'!$B$1,wallet_records!$N:$N,'EEFF 2025'!AZ$2,wallet_records!$H:$H,'EEFF 2025'!$B24)</f>
        <v>0</v>
      </c>
      <c r="BA24" s="116"/>
      <c r="BB24" s="116"/>
      <c r="BC24" s="116"/>
      <c r="BD24" s="116"/>
      <c r="BE24" s="116"/>
      <c r="BG24" s="115">
        <f>SUMIFS(wallet_records!$D:$D,wallet_records!$B:$B,'EEFF 2025'!$C24,wallet_records!$O:$O,'EEFF 2025'!$B$1,wallet_records!$N:$N,'EEFF 2025'!BG$2,wallet_records!$H:$H,'EEFF 2025'!$B24)</f>
        <v>0</v>
      </c>
      <c r="BH24" s="116"/>
      <c r="BI24" s="116"/>
      <c r="BJ24" s="116"/>
      <c r="BK24" s="116"/>
      <c r="BL24" s="116"/>
      <c r="BN24" s="115">
        <f>SUMIFS(wallet_records!$D:$D,wallet_records!$B:$B,'EEFF 2025'!$C24,wallet_records!$O:$O,'EEFF 2025'!$B$1,wallet_records!$N:$N,'EEFF 2025'!BN$2,wallet_records!$H:$H,'EEFF 2025'!$B24)</f>
        <v>0</v>
      </c>
      <c r="BO24" s="116"/>
      <c r="BP24" s="116"/>
      <c r="BQ24" s="116"/>
      <c r="BR24" s="116"/>
      <c r="BS24" s="116"/>
      <c r="BU24" s="115">
        <f>SUMIFS(wallet_records!$D:$D,wallet_records!$B:$B,'EEFF 2025'!$C24,wallet_records!$O:$O,'EEFF 2025'!$B$1,wallet_records!$N:$N,'EEFF 2025'!BU$2,wallet_records!$H:$H,'EEFF 2025'!$B24)</f>
        <v>0</v>
      </c>
      <c r="BV24" s="116"/>
      <c r="BW24" s="116"/>
      <c r="BX24" s="116"/>
      <c r="BY24" s="116"/>
      <c r="BZ24" s="116"/>
      <c r="CB24" s="115">
        <f>SUMIFS(wallet_records!$D:$D,wallet_records!$B:$B,'EEFF 2025'!$C24,wallet_records!$O:$O,'EEFF 2025'!$B$1,wallet_records!$N:$N,'EEFF 2025'!CB$2,wallet_records!$H:$H,'EEFF 2025'!$B24)</f>
        <v>0</v>
      </c>
      <c r="CC24" s="116"/>
      <c r="CD24" s="116"/>
      <c r="CE24" s="116"/>
      <c r="CF24" s="116"/>
      <c r="CG24" s="116"/>
      <c r="CI24" s="115">
        <f>SUMIFS(wallet_records!$D:$D,wallet_records!$B:$B,'EEFF 2025'!$C24,wallet_records!$O:$O,'EEFF 2025'!$B$1,wallet_records!$N:$N,'EEFF 2025'!CI$2,wallet_records!$H:$H,'EEFF 2025'!$B24)</f>
        <v>268200</v>
      </c>
      <c r="CJ24" s="116"/>
      <c r="CK24" s="116"/>
      <c r="CL24" s="116"/>
      <c r="CM24" s="116"/>
      <c r="CN24" s="116"/>
      <c r="CP24" s="115">
        <f>SUMIFS(wallet_records!$D:$D,wallet_records!$B:$B,'EEFF 2025'!$C24,wallet_records!$O:$O,'EEFF 2025'!$B$1,wallet_records!$H:$H,'EEFF 2025'!$B24)</f>
        <v>268200</v>
      </c>
      <c r="CQ24" s="107"/>
      <c r="CR24" s="118">
        <f t="shared" si="0"/>
        <v>0</v>
      </c>
      <c r="CS24" s="118">
        <f t="shared" si="1"/>
        <v>0</v>
      </c>
      <c r="CT24" s="118">
        <f t="shared" si="2"/>
        <v>0</v>
      </c>
      <c r="CU24" s="118">
        <f t="shared" si="3"/>
        <v>0</v>
      </c>
      <c r="CV24" s="118">
        <f t="shared" si="4"/>
        <v>0</v>
      </c>
      <c r="CW24" s="118">
        <f t="shared" si="5"/>
        <v>0</v>
      </c>
      <c r="CX24" s="118">
        <f t="shared" si="6"/>
        <v>0</v>
      </c>
      <c r="CY24" s="118">
        <f t="shared" si="7"/>
        <v>0</v>
      </c>
      <c r="CZ24" s="118">
        <f t="shared" si="8"/>
        <v>0</v>
      </c>
      <c r="DA24" s="118">
        <f t="shared" si="9"/>
        <v>0</v>
      </c>
      <c r="DB24" s="118">
        <f t="shared" si="10"/>
        <v>0</v>
      </c>
      <c r="DC24" s="118">
        <f t="shared" si="11"/>
        <v>2.4106565039188899E-2</v>
      </c>
    </row>
    <row r="25" spans="2:107" x14ac:dyDescent="0.2">
      <c r="B25" s="10" t="s">
        <v>99</v>
      </c>
      <c r="C25" s="191" t="s">
        <v>154</v>
      </c>
      <c r="D25" s="115"/>
      <c r="E25" s="115"/>
      <c r="F25" s="115"/>
      <c r="G25" s="116"/>
      <c r="H25" s="116"/>
      <c r="I25" s="116"/>
      <c r="J25" s="116">
        <f>SUMIFS(wallet_records!$D:$D,wallet_records!$B:$B,'EEFF 2025'!$C25,wallet_records!$O:$O,'EEFF 2025'!$B$1,wallet_records!$N:$N,'EEFF 2025'!J$2,wallet_records!$H:$H,'EEFF 2025'!$B25)</f>
        <v>0</v>
      </c>
      <c r="K25" s="115"/>
      <c r="L25" s="115"/>
      <c r="M25" s="115"/>
      <c r="N25" s="116"/>
      <c r="O25" s="116"/>
      <c r="P25" s="116"/>
      <c r="Q25" s="115">
        <f>SUMIFS(wallet_records!$D:$D,wallet_records!$B:$B,'EEFF 2025'!$C25,wallet_records!$O:$O,'EEFF 2025'!$B$1,wallet_records!$N:$N,'EEFF 2025'!Q$2,wallet_records!$H:$H,'EEFF 2025'!$B25)</f>
        <v>59208</v>
      </c>
      <c r="R25" s="116"/>
      <c r="S25" s="116"/>
      <c r="T25" s="116"/>
      <c r="U25" s="116"/>
      <c r="V25" s="116"/>
      <c r="X25" s="115">
        <f>SUMIFS(wallet_records!$D:$D,wallet_records!$B:$B,'EEFF 2025'!$C25,wallet_records!$O:$O,'EEFF 2025'!$B$1,wallet_records!$N:$N,'EEFF 2025'!X$2,wallet_records!$H:$H,'EEFF 2025'!$B25)</f>
        <v>0</v>
      </c>
      <c r="Y25" s="116"/>
      <c r="Z25" s="116"/>
      <c r="AA25" s="116"/>
      <c r="AB25" s="116"/>
      <c r="AC25" s="116"/>
      <c r="AE25" s="115">
        <f>SUMIFS(wallet_records!$D:$D,wallet_records!$B:$B,'EEFF 2025'!$C25,wallet_records!$O:$O,'EEFF 2025'!$B$1,wallet_records!$N:$N,'EEFF 2025'!AE$2,wallet_records!$H:$H,'EEFF 2025'!$B25)</f>
        <v>0</v>
      </c>
      <c r="AF25" s="116"/>
      <c r="AG25" s="116"/>
      <c r="AH25" s="116"/>
      <c r="AI25" s="116"/>
      <c r="AJ25" s="116"/>
      <c r="AL25" s="115">
        <f>SUMIFS(wallet_records!$D:$D,wallet_records!$B:$B,'EEFF 2025'!$C25,wallet_records!$O:$O,'EEFF 2025'!$B$1,wallet_records!$N:$N,'EEFF 2025'!AL$2,wallet_records!$H:$H,'EEFF 2025'!$B25)</f>
        <v>0</v>
      </c>
      <c r="AM25" s="116"/>
      <c r="AN25" s="116"/>
      <c r="AO25" s="116"/>
      <c r="AP25" s="116"/>
      <c r="AQ25" s="116"/>
      <c r="AS25" s="115">
        <f>SUMIFS(wallet_records!$D:$D,wallet_records!$B:$B,'EEFF 2025'!$C25,wallet_records!$O:$O,'EEFF 2025'!$B$1,wallet_records!$N:$N,'EEFF 2025'!AS$2,wallet_records!$H:$H,'EEFF 2025'!$B25)</f>
        <v>0</v>
      </c>
      <c r="AT25" s="116"/>
      <c r="AU25" s="116"/>
      <c r="AV25" s="116"/>
      <c r="AW25" s="116"/>
      <c r="AX25" s="116"/>
      <c r="AZ25" s="115">
        <f>SUMIFS(wallet_records!$D:$D,wallet_records!$B:$B,'EEFF 2025'!$C25,wallet_records!$O:$O,'EEFF 2025'!$B$1,wallet_records!$N:$N,'EEFF 2025'!AZ$2,wallet_records!$H:$H,'EEFF 2025'!$B25)</f>
        <v>0</v>
      </c>
      <c r="BA25" s="116"/>
      <c r="BB25" s="116"/>
      <c r="BC25" s="116"/>
      <c r="BD25" s="116"/>
      <c r="BE25" s="116"/>
      <c r="BG25" s="115">
        <f>SUMIFS(wallet_records!$D:$D,wallet_records!$B:$B,'EEFF 2025'!$C25,wallet_records!$O:$O,'EEFF 2025'!$B$1,wallet_records!$N:$N,'EEFF 2025'!BG$2,wallet_records!$H:$H,'EEFF 2025'!$B25)</f>
        <v>0</v>
      </c>
      <c r="BH25" s="116"/>
      <c r="BI25" s="116"/>
      <c r="BJ25" s="116"/>
      <c r="BK25" s="116"/>
      <c r="BL25" s="116"/>
      <c r="BN25" s="115">
        <f>SUMIFS(wallet_records!$D:$D,wallet_records!$B:$B,'EEFF 2025'!$C25,wallet_records!$O:$O,'EEFF 2025'!$B$1,wallet_records!$N:$N,'EEFF 2025'!BN$2,wallet_records!$H:$H,'EEFF 2025'!$B25)</f>
        <v>0</v>
      </c>
      <c r="BO25" s="116"/>
      <c r="BP25" s="116"/>
      <c r="BQ25" s="116"/>
      <c r="BR25" s="116"/>
      <c r="BS25" s="116"/>
      <c r="BU25" s="115">
        <f>SUMIFS(wallet_records!$D:$D,wallet_records!$B:$B,'EEFF 2025'!$C25,wallet_records!$O:$O,'EEFF 2025'!$B$1,wallet_records!$N:$N,'EEFF 2025'!BU$2,wallet_records!$H:$H,'EEFF 2025'!$B25)</f>
        <v>0</v>
      </c>
      <c r="BV25" s="116"/>
      <c r="BW25" s="116"/>
      <c r="BX25" s="116"/>
      <c r="BY25" s="116"/>
      <c r="BZ25" s="116"/>
      <c r="CB25" s="115">
        <f>SUMIFS(wallet_records!$D:$D,wallet_records!$B:$B,'EEFF 2025'!$C25,wallet_records!$O:$O,'EEFF 2025'!$B$1,wallet_records!$N:$N,'EEFF 2025'!CB$2,wallet_records!$H:$H,'EEFF 2025'!$B25)</f>
        <v>0</v>
      </c>
      <c r="CC25" s="116"/>
      <c r="CD25" s="116"/>
      <c r="CE25" s="116"/>
      <c r="CF25" s="116"/>
      <c r="CG25" s="116"/>
      <c r="CI25" s="115">
        <f>SUMIFS(wallet_records!$D:$D,wallet_records!$B:$B,'EEFF 2025'!$C25,wallet_records!$O:$O,'EEFF 2025'!$B$1,wallet_records!$N:$N,'EEFF 2025'!CI$2,wallet_records!$H:$H,'EEFF 2025'!$B25)</f>
        <v>0</v>
      </c>
      <c r="CJ25" s="116"/>
      <c r="CK25" s="116"/>
      <c r="CL25" s="116"/>
      <c r="CM25" s="116"/>
      <c r="CN25" s="116"/>
      <c r="CP25" s="115">
        <f>SUMIFS(wallet_records!$D:$D,wallet_records!$B:$B,'EEFF 2025'!$C25,wallet_records!$O:$O,'EEFF 2025'!$B$1,wallet_records!$H:$H,'EEFF 2025'!$B25)</f>
        <v>59208</v>
      </c>
      <c r="CQ25" s="107"/>
      <c r="CR25" s="118">
        <f t="shared" si="0"/>
        <v>0</v>
      </c>
      <c r="CS25" s="118">
        <f t="shared" si="1"/>
        <v>6.8599235314563784E-3</v>
      </c>
      <c r="CT25" s="118">
        <f t="shared" si="2"/>
        <v>0</v>
      </c>
      <c r="CU25" s="118">
        <f t="shared" si="3"/>
        <v>0</v>
      </c>
      <c r="CV25" s="118">
        <f t="shared" si="4"/>
        <v>0</v>
      </c>
      <c r="CW25" s="118">
        <f t="shared" si="5"/>
        <v>0</v>
      </c>
      <c r="CX25" s="118">
        <f t="shared" si="6"/>
        <v>0</v>
      </c>
      <c r="CY25" s="118">
        <f t="shared" si="7"/>
        <v>0</v>
      </c>
      <c r="CZ25" s="118">
        <f t="shared" si="8"/>
        <v>0</v>
      </c>
      <c r="DA25" s="118">
        <f t="shared" si="9"/>
        <v>0</v>
      </c>
      <c r="DB25" s="118">
        <f t="shared" si="10"/>
        <v>0</v>
      </c>
      <c r="DC25" s="118">
        <f t="shared" si="11"/>
        <v>0</v>
      </c>
    </row>
    <row r="26" spans="2:107" x14ac:dyDescent="0.2">
      <c r="B26" s="10" t="s">
        <v>509</v>
      </c>
      <c r="C26" s="191" t="s">
        <v>114</v>
      </c>
      <c r="D26" s="115"/>
      <c r="E26" s="115"/>
      <c r="F26" s="115"/>
      <c r="G26" s="116"/>
      <c r="H26" s="116"/>
      <c r="I26" s="116"/>
      <c r="J26" s="116">
        <f>SUMIFS(wallet_records!$D:$D,wallet_records!$B:$B,'EEFF 2025'!$C26,wallet_records!$O:$O,'EEFF 2025'!$B$1,wallet_records!$N:$N,'EEFF 2025'!J$2,wallet_records!$H:$H,'EEFF 2025'!$B26)</f>
        <v>0</v>
      </c>
      <c r="K26" s="115"/>
      <c r="L26" s="115"/>
      <c r="M26" s="115"/>
      <c r="N26" s="116"/>
      <c r="O26" s="116"/>
      <c r="P26" s="116"/>
      <c r="Q26" s="115">
        <f>SUMIFS(wallet_records!$D:$D,wallet_records!$B:$B,'EEFF 2025'!$C26,wallet_records!$O:$O,'EEFF 2025'!$B$1,wallet_records!$N:$N,'EEFF 2025'!Q$2,wallet_records!$H:$H,'EEFF 2025'!$B26)</f>
        <v>0</v>
      </c>
      <c r="R26" s="116"/>
      <c r="S26" s="116"/>
      <c r="T26" s="116"/>
      <c r="U26" s="116"/>
      <c r="V26" s="116"/>
      <c r="X26" s="115">
        <f>SUMIFS(wallet_records!$D:$D,wallet_records!$B:$B,'EEFF 2025'!$C26,wallet_records!$O:$O,'EEFF 2025'!$B$1,wallet_records!$N:$N,'EEFF 2025'!X$2,wallet_records!$H:$H,'EEFF 2025'!$B26)</f>
        <v>0</v>
      </c>
      <c r="Y26" s="116"/>
      <c r="Z26" s="116"/>
      <c r="AA26" s="116"/>
      <c r="AB26" s="116"/>
      <c r="AC26" s="116"/>
      <c r="AE26" s="115">
        <f>SUMIFS(wallet_records!$D:$D,wallet_records!$B:$B,'EEFF 2025'!$C26,wallet_records!$O:$O,'EEFF 2025'!$B$1,wallet_records!$N:$N,'EEFF 2025'!AE$2,wallet_records!$H:$H,'EEFF 2025'!$B26)</f>
        <v>0</v>
      </c>
      <c r="AF26" s="116"/>
      <c r="AG26" s="116"/>
      <c r="AH26" s="116"/>
      <c r="AI26" s="116"/>
      <c r="AJ26" s="116"/>
      <c r="AL26" s="115">
        <f>SUMIFS(wallet_records!$D:$D,wallet_records!$B:$B,'EEFF 2025'!$C26,wallet_records!$O:$O,'EEFF 2025'!$B$1,wallet_records!$N:$N,'EEFF 2025'!AL$2,wallet_records!$H:$H,'EEFF 2025'!$B26)</f>
        <v>0</v>
      </c>
      <c r="AM26" s="116"/>
      <c r="AN26" s="116"/>
      <c r="AO26" s="116"/>
      <c r="AP26" s="116"/>
      <c r="AQ26" s="116"/>
      <c r="AS26" s="115">
        <f>SUMIFS(wallet_records!$D:$D,wallet_records!$B:$B,'EEFF 2025'!$C26,wallet_records!$O:$O,'EEFF 2025'!$B$1,wallet_records!$N:$N,'EEFF 2025'!AS$2,wallet_records!$H:$H,'EEFF 2025'!$B26)</f>
        <v>0</v>
      </c>
      <c r="AT26" s="116"/>
      <c r="AU26" s="116"/>
      <c r="AV26" s="116"/>
      <c r="AW26" s="116"/>
      <c r="AX26" s="116"/>
      <c r="AZ26" s="115">
        <f>SUMIFS(wallet_records!$D:$D,wallet_records!$B:$B,'EEFF 2025'!$C26,wallet_records!$O:$O,'EEFF 2025'!$B$1,wallet_records!$N:$N,'EEFF 2025'!AZ$2,wallet_records!$H:$H,'EEFF 2025'!$B26)</f>
        <v>0</v>
      </c>
      <c r="BA26" s="116"/>
      <c r="BB26" s="116"/>
      <c r="BC26" s="116"/>
      <c r="BD26" s="116"/>
      <c r="BE26" s="116"/>
      <c r="BG26" s="115">
        <f>SUMIFS(wallet_records!$D:$D,wallet_records!$B:$B,'EEFF 2025'!$C26,wallet_records!$O:$O,'EEFF 2025'!$B$1,wallet_records!$N:$N,'EEFF 2025'!BG$2,wallet_records!$H:$H,'EEFF 2025'!$B26)</f>
        <v>0</v>
      </c>
      <c r="BH26" s="116"/>
      <c r="BI26" s="116"/>
      <c r="BJ26" s="116"/>
      <c r="BK26" s="116"/>
      <c r="BL26" s="116"/>
      <c r="BN26" s="115">
        <f>SUMIFS(wallet_records!$D:$D,wallet_records!$B:$B,'EEFF 2025'!$C26,wallet_records!$O:$O,'EEFF 2025'!$B$1,wallet_records!$N:$N,'EEFF 2025'!BN$2,wallet_records!$H:$H,'EEFF 2025'!$B26)</f>
        <v>1000000</v>
      </c>
      <c r="BO26" s="116"/>
      <c r="BP26" s="116"/>
      <c r="BQ26" s="116"/>
      <c r="BR26" s="116"/>
      <c r="BS26" s="116"/>
      <c r="BU26" s="115">
        <f>SUMIFS(wallet_records!$D:$D,wallet_records!$B:$B,'EEFF 2025'!$C26,wallet_records!$O:$O,'EEFF 2025'!$B$1,wallet_records!$N:$N,'EEFF 2025'!BU$2,wallet_records!$H:$H,'EEFF 2025'!$B26)</f>
        <v>0</v>
      </c>
      <c r="BV26" s="116"/>
      <c r="BW26" s="116"/>
      <c r="BX26" s="116"/>
      <c r="BY26" s="116"/>
      <c r="BZ26" s="116"/>
      <c r="CB26" s="115">
        <f>SUMIFS(wallet_records!$D:$D,wallet_records!$B:$B,'EEFF 2025'!$C26,wallet_records!$O:$O,'EEFF 2025'!$B$1,wallet_records!$N:$N,'EEFF 2025'!CB$2,wallet_records!$H:$H,'EEFF 2025'!$B26)</f>
        <v>0</v>
      </c>
      <c r="CC26" s="116"/>
      <c r="CD26" s="116"/>
      <c r="CE26" s="116"/>
      <c r="CF26" s="116"/>
      <c r="CG26" s="116"/>
      <c r="CI26" s="115">
        <f>SUMIFS(wallet_records!$D:$D,wallet_records!$B:$B,'EEFF 2025'!$C26,wallet_records!$O:$O,'EEFF 2025'!$B$1,wallet_records!$N:$N,'EEFF 2025'!CI$2,wallet_records!$H:$H,'EEFF 2025'!$B26)</f>
        <v>90000</v>
      </c>
      <c r="CJ26" s="116"/>
      <c r="CK26" s="116"/>
      <c r="CL26" s="116"/>
      <c r="CM26" s="116"/>
      <c r="CN26" s="116"/>
      <c r="CP26" s="115">
        <f>SUMIFS(wallet_records!$D:$D,wallet_records!$B:$B,'EEFF 2025'!$C26,wallet_records!$O:$O,'EEFF 2025'!$B$1,wallet_records!$H:$H,'EEFF 2025'!$B26)</f>
        <v>1090000</v>
      </c>
      <c r="CQ26" s="107"/>
      <c r="CR26" s="118">
        <f t="shared" si="0"/>
        <v>0</v>
      </c>
      <c r="CS26" s="118">
        <f t="shared" si="1"/>
        <v>0</v>
      </c>
      <c r="CT26" s="118">
        <f t="shared" si="2"/>
        <v>0</v>
      </c>
      <c r="CU26" s="118">
        <f t="shared" si="3"/>
        <v>0</v>
      </c>
      <c r="CV26" s="118">
        <f t="shared" si="4"/>
        <v>0</v>
      </c>
      <c r="CW26" s="118">
        <f t="shared" si="5"/>
        <v>0</v>
      </c>
      <c r="CX26" s="118">
        <f t="shared" si="6"/>
        <v>0</v>
      </c>
      <c r="CY26" s="118">
        <f t="shared" si="7"/>
        <v>0</v>
      </c>
      <c r="CZ26" s="118">
        <f t="shared" si="8"/>
        <v>0.14674375605317994</v>
      </c>
      <c r="DA26" s="118">
        <f t="shared" si="9"/>
        <v>0</v>
      </c>
      <c r="DB26" s="118">
        <f t="shared" si="10"/>
        <v>0</v>
      </c>
      <c r="DC26" s="118">
        <f t="shared" si="11"/>
        <v>8.089451355432516E-3</v>
      </c>
    </row>
    <row r="27" spans="2:107" x14ac:dyDescent="0.2">
      <c r="B27" s="10" t="s">
        <v>93</v>
      </c>
      <c r="C27" s="191" t="s">
        <v>131</v>
      </c>
      <c r="D27" s="115"/>
      <c r="E27" s="115"/>
      <c r="F27" s="115"/>
      <c r="G27" s="116"/>
      <c r="H27" s="116"/>
      <c r="I27" s="116"/>
      <c r="J27" s="116">
        <f>SUMIFS(wallet_records!$D:$D,wallet_records!$B:$B,'EEFF 2025'!$C27,wallet_records!$O:$O,'EEFF 2025'!$B$1,wallet_records!$N:$N,'EEFF 2025'!J$2,wallet_records!$H:$H,'EEFF 2025'!$B27)</f>
        <v>0</v>
      </c>
      <c r="K27" s="115"/>
      <c r="L27" s="115"/>
      <c r="M27" s="115"/>
      <c r="N27" s="116"/>
      <c r="O27" s="116"/>
      <c r="P27" s="116"/>
      <c r="Q27" s="115">
        <f>SUMIFS(wallet_records!$D:$D,wallet_records!$B:$B,'EEFF 2025'!$C27,wallet_records!$O:$O,'EEFF 2025'!$B$1,wallet_records!$N:$N,'EEFF 2025'!Q$2,wallet_records!$H:$H,'EEFF 2025'!$B27)</f>
        <v>2843190</v>
      </c>
      <c r="R27" s="116"/>
      <c r="S27" s="116"/>
      <c r="T27" s="116"/>
      <c r="U27" s="116"/>
      <c r="V27" s="116"/>
      <c r="X27" s="115">
        <f>SUMIFS(wallet_records!$D:$D,wallet_records!$B:$B,'EEFF 2025'!$C27,wallet_records!$O:$O,'EEFF 2025'!$B$1,wallet_records!$N:$N,'EEFF 2025'!X$2,wallet_records!$H:$H,'EEFF 2025'!$B27)</f>
        <v>0</v>
      </c>
      <c r="Y27" s="116"/>
      <c r="Z27" s="116"/>
      <c r="AA27" s="116"/>
      <c r="AB27" s="116"/>
      <c r="AC27" s="116"/>
      <c r="AE27" s="115">
        <f>SUMIFS(wallet_records!$D:$D,wallet_records!$B:$B,'EEFF 2025'!$C27,wallet_records!$O:$O,'EEFF 2025'!$B$1,wallet_records!$N:$N,'EEFF 2025'!AE$2,wallet_records!$H:$H,'EEFF 2025'!$B27)</f>
        <v>0</v>
      </c>
      <c r="AF27" s="116"/>
      <c r="AG27" s="116"/>
      <c r="AH27" s="116"/>
      <c r="AI27" s="116"/>
      <c r="AJ27" s="116"/>
      <c r="AL27" s="115">
        <f>SUMIFS(wallet_records!$D:$D,wallet_records!$B:$B,'EEFF 2025'!$C27,wallet_records!$O:$O,'EEFF 2025'!$B$1,wallet_records!$N:$N,'EEFF 2025'!AL$2,wallet_records!$H:$H,'EEFF 2025'!$B27)</f>
        <v>0</v>
      </c>
      <c r="AM27" s="116"/>
      <c r="AN27" s="116"/>
      <c r="AO27" s="116"/>
      <c r="AP27" s="116"/>
      <c r="AQ27" s="116"/>
      <c r="AS27" s="115">
        <f>SUMIFS(wallet_records!$D:$D,wallet_records!$B:$B,'EEFF 2025'!$C27,wallet_records!$O:$O,'EEFF 2025'!$B$1,wallet_records!$N:$N,'EEFF 2025'!AS$2,wallet_records!$H:$H,'EEFF 2025'!$B27)</f>
        <v>0</v>
      </c>
      <c r="AT27" s="116"/>
      <c r="AU27" s="116"/>
      <c r="AV27" s="116"/>
      <c r="AW27" s="116"/>
      <c r="AX27" s="116"/>
      <c r="AZ27" s="115">
        <f>SUMIFS(wallet_records!$D:$D,wallet_records!$B:$B,'EEFF 2025'!$C27,wallet_records!$O:$O,'EEFF 2025'!$B$1,wallet_records!$N:$N,'EEFF 2025'!AZ$2,wallet_records!$H:$H,'EEFF 2025'!$B27)</f>
        <v>0</v>
      </c>
      <c r="BA27" s="116"/>
      <c r="BB27" s="116"/>
      <c r="BC27" s="116"/>
      <c r="BD27" s="116"/>
      <c r="BE27" s="116"/>
      <c r="BG27" s="115">
        <f>SUMIFS(wallet_records!$D:$D,wallet_records!$B:$B,'EEFF 2025'!$C27,wallet_records!$O:$O,'EEFF 2025'!$B$1,wallet_records!$N:$N,'EEFF 2025'!BG$2,wallet_records!$H:$H,'EEFF 2025'!$B27)</f>
        <v>0</v>
      </c>
      <c r="BH27" s="116"/>
      <c r="BI27" s="116"/>
      <c r="BJ27" s="116"/>
      <c r="BK27" s="116"/>
      <c r="BL27" s="116"/>
      <c r="BN27" s="115">
        <f>SUMIFS(wallet_records!$D:$D,wallet_records!$B:$B,'EEFF 2025'!$C27,wallet_records!$O:$O,'EEFF 2025'!$B$1,wallet_records!$N:$N,'EEFF 2025'!BN$2,wallet_records!$H:$H,'EEFF 2025'!$B27)</f>
        <v>0</v>
      </c>
      <c r="BO27" s="116"/>
      <c r="BP27" s="116"/>
      <c r="BQ27" s="116"/>
      <c r="BR27" s="116"/>
      <c r="BS27" s="116"/>
      <c r="BU27" s="115">
        <f>SUMIFS(wallet_records!$D:$D,wallet_records!$B:$B,'EEFF 2025'!$C27,wallet_records!$O:$O,'EEFF 2025'!$B$1,wallet_records!$N:$N,'EEFF 2025'!BU$2,wallet_records!$H:$H,'EEFF 2025'!$B27)</f>
        <v>0</v>
      </c>
      <c r="BV27" s="116"/>
      <c r="BW27" s="116"/>
      <c r="BX27" s="116"/>
      <c r="BY27" s="116"/>
      <c r="BZ27" s="116"/>
      <c r="CB27" s="115">
        <f>SUMIFS(wallet_records!$D:$D,wallet_records!$B:$B,'EEFF 2025'!$C27,wallet_records!$O:$O,'EEFF 2025'!$B$1,wallet_records!$N:$N,'EEFF 2025'!CB$2,wallet_records!$H:$H,'EEFF 2025'!$B27)</f>
        <v>0</v>
      </c>
      <c r="CC27" s="116"/>
      <c r="CD27" s="116"/>
      <c r="CE27" s="116"/>
      <c r="CF27" s="116"/>
      <c r="CG27" s="116"/>
      <c r="CI27" s="115">
        <f>SUMIFS(wallet_records!$D:$D,wallet_records!$B:$B,'EEFF 2025'!$C27,wallet_records!$O:$O,'EEFF 2025'!$B$1,wallet_records!$N:$N,'EEFF 2025'!CI$2,wallet_records!$H:$H,'EEFF 2025'!$B27)</f>
        <v>0</v>
      </c>
      <c r="CJ27" s="116"/>
      <c r="CK27" s="116"/>
      <c r="CL27" s="116"/>
      <c r="CM27" s="116"/>
      <c r="CN27" s="116"/>
      <c r="CP27" s="115">
        <f>SUMIFS(wallet_records!$D:$D,wallet_records!$B:$B,'EEFF 2025'!$C27,wallet_records!$O:$O,'EEFF 2025'!$B$1,wallet_records!$H:$H,'EEFF 2025'!$B27)</f>
        <v>2843190</v>
      </c>
      <c r="CQ27" s="107"/>
      <c r="CR27" s="118">
        <f t="shared" si="0"/>
        <v>0</v>
      </c>
      <c r="CS27" s="118">
        <f t="shared" si="1"/>
        <v>0.3294160583941606</v>
      </c>
      <c r="CT27" s="118">
        <f t="shared" si="2"/>
        <v>0</v>
      </c>
      <c r="CU27" s="118">
        <f t="shared" si="3"/>
        <v>0</v>
      </c>
      <c r="CV27" s="118">
        <f t="shared" si="4"/>
        <v>0</v>
      </c>
      <c r="CW27" s="118">
        <f t="shared" si="5"/>
        <v>0</v>
      </c>
      <c r="CX27" s="118">
        <f t="shared" si="6"/>
        <v>0</v>
      </c>
      <c r="CY27" s="118">
        <f t="shared" si="7"/>
        <v>0</v>
      </c>
      <c r="CZ27" s="118">
        <f t="shared" si="8"/>
        <v>0</v>
      </c>
      <c r="DA27" s="118">
        <f t="shared" si="9"/>
        <v>0</v>
      </c>
      <c r="DB27" s="118">
        <f t="shared" si="10"/>
        <v>0</v>
      </c>
      <c r="DC27" s="118">
        <f t="shared" si="11"/>
        <v>0</v>
      </c>
    </row>
    <row r="28" spans="2:107" x14ac:dyDescent="0.2">
      <c r="B28" s="10" t="s">
        <v>225</v>
      </c>
      <c r="C28" s="191" t="s">
        <v>131</v>
      </c>
      <c r="D28" s="115"/>
      <c r="E28" s="115"/>
      <c r="F28" s="115"/>
      <c r="G28" s="116"/>
      <c r="H28" s="116"/>
      <c r="I28" s="116"/>
      <c r="J28" s="116">
        <f>SUMIFS(wallet_records!$D:$D,wallet_records!$B:$B,'EEFF 2025'!$C28,wallet_records!$O:$O,'EEFF 2025'!$B$1,wallet_records!$N:$N,'EEFF 2025'!J$2,wallet_records!$H:$H,'EEFF 2025'!$B28)</f>
        <v>674700</v>
      </c>
      <c r="K28" s="115"/>
      <c r="L28" s="115"/>
      <c r="M28" s="115"/>
      <c r="N28" s="116"/>
      <c r="O28" s="116"/>
      <c r="P28" s="116"/>
      <c r="Q28" s="115">
        <f>SUMIFS(wallet_records!$D:$D,wallet_records!$B:$B,'EEFF 2025'!$C28,wallet_records!$O:$O,'EEFF 2025'!$B$1,wallet_records!$N:$N,'EEFF 2025'!Q$2,wallet_records!$H:$H,'EEFF 2025'!$B28)</f>
        <v>0</v>
      </c>
      <c r="R28" s="116"/>
      <c r="S28" s="116"/>
      <c r="T28" s="116"/>
      <c r="U28" s="116"/>
      <c r="V28" s="116"/>
      <c r="X28" s="115">
        <f>SUMIFS(wallet_records!$D:$D,wallet_records!$B:$B,'EEFF 2025'!$C28,wallet_records!$O:$O,'EEFF 2025'!$B$1,wallet_records!$N:$N,'EEFF 2025'!X$2,wallet_records!$H:$H,'EEFF 2025'!$B28)</f>
        <v>0</v>
      </c>
      <c r="Y28" s="116"/>
      <c r="Z28" s="116"/>
      <c r="AA28" s="116"/>
      <c r="AB28" s="116"/>
      <c r="AC28" s="116"/>
      <c r="AE28" s="115">
        <f>SUMIFS(wallet_records!$D:$D,wallet_records!$B:$B,'EEFF 2025'!$C28,wallet_records!$O:$O,'EEFF 2025'!$B$1,wallet_records!$N:$N,'EEFF 2025'!AE$2,wallet_records!$H:$H,'EEFF 2025'!$B28)</f>
        <v>0</v>
      </c>
      <c r="AF28" s="116"/>
      <c r="AG28" s="116"/>
      <c r="AH28" s="116"/>
      <c r="AI28" s="116"/>
      <c r="AJ28" s="116"/>
      <c r="AL28" s="115">
        <f>SUMIFS(wallet_records!$D:$D,wallet_records!$B:$B,'EEFF 2025'!$C28,wallet_records!$O:$O,'EEFF 2025'!$B$1,wallet_records!$N:$N,'EEFF 2025'!AL$2,wallet_records!$H:$H,'EEFF 2025'!$B28)</f>
        <v>0</v>
      </c>
      <c r="AM28" s="116"/>
      <c r="AN28" s="116"/>
      <c r="AO28" s="116"/>
      <c r="AP28" s="116"/>
      <c r="AQ28" s="116"/>
      <c r="AS28" s="115">
        <f>SUMIFS(wallet_records!$D:$D,wallet_records!$B:$B,'EEFF 2025'!$C28,wallet_records!$O:$O,'EEFF 2025'!$B$1,wallet_records!$N:$N,'EEFF 2025'!AS$2,wallet_records!$H:$H,'EEFF 2025'!$B28)</f>
        <v>0</v>
      </c>
      <c r="AT28" s="116"/>
      <c r="AU28" s="116"/>
      <c r="AV28" s="116"/>
      <c r="AW28" s="116"/>
      <c r="AX28" s="116"/>
      <c r="AZ28" s="115">
        <f>SUMIFS(wallet_records!$D:$D,wallet_records!$B:$B,'EEFF 2025'!$C28,wallet_records!$O:$O,'EEFF 2025'!$B$1,wallet_records!$N:$N,'EEFF 2025'!AZ$2,wallet_records!$H:$H,'EEFF 2025'!$B28)</f>
        <v>0</v>
      </c>
      <c r="BA28" s="116"/>
      <c r="BB28" s="116"/>
      <c r="BC28" s="116"/>
      <c r="BD28" s="116"/>
      <c r="BE28" s="116"/>
      <c r="BG28" s="115">
        <f>SUMIFS(wallet_records!$D:$D,wallet_records!$B:$B,'EEFF 2025'!$C28,wallet_records!$O:$O,'EEFF 2025'!$B$1,wallet_records!$N:$N,'EEFF 2025'!BG$2,wallet_records!$H:$H,'EEFF 2025'!$B28)</f>
        <v>0</v>
      </c>
      <c r="BH28" s="116"/>
      <c r="BI28" s="116"/>
      <c r="BJ28" s="116"/>
      <c r="BK28" s="116"/>
      <c r="BL28" s="116"/>
      <c r="BN28" s="115">
        <f>SUMIFS(wallet_records!$D:$D,wallet_records!$B:$B,'EEFF 2025'!$C28,wallet_records!$O:$O,'EEFF 2025'!$B$1,wallet_records!$N:$N,'EEFF 2025'!BN$2,wallet_records!$H:$H,'EEFF 2025'!$B28)</f>
        <v>0</v>
      </c>
      <c r="BO28" s="116"/>
      <c r="BP28" s="116"/>
      <c r="BQ28" s="116"/>
      <c r="BR28" s="116"/>
      <c r="BS28" s="116"/>
      <c r="BU28" s="115">
        <f>SUMIFS(wallet_records!$D:$D,wallet_records!$B:$B,'EEFF 2025'!$C28,wallet_records!$O:$O,'EEFF 2025'!$B$1,wallet_records!$N:$N,'EEFF 2025'!BU$2,wallet_records!$H:$H,'EEFF 2025'!$B28)</f>
        <v>0</v>
      </c>
      <c r="BV28" s="116"/>
      <c r="BW28" s="116"/>
      <c r="BX28" s="116"/>
      <c r="BY28" s="116"/>
      <c r="BZ28" s="116"/>
      <c r="CB28" s="115">
        <f>SUMIFS(wallet_records!$D:$D,wallet_records!$B:$B,'EEFF 2025'!$C28,wallet_records!$O:$O,'EEFF 2025'!$B$1,wallet_records!$N:$N,'EEFF 2025'!CB$2,wallet_records!$H:$H,'EEFF 2025'!$B28)</f>
        <v>0</v>
      </c>
      <c r="CC28" s="116"/>
      <c r="CD28" s="116"/>
      <c r="CE28" s="116"/>
      <c r="CF28" s="116"/>
      <c r="CG28" s="116"/>
      <c r="CI28" s="115">
        <f>SUMIFS(wallet_records!$D:$D,wallet_records!$B:$B,'EEFF 2025'!$C28,wallet_records!$O:$O,'EEFF 2025'!$B$1,wallet_records!$N:$N,'EEFF 2025'!CI$2,wallet_records!$H:$H,'EEFF 2025'!$B28)</f>
        <v>0</v>
      </c>
      <c r="CJ28" s="116"/>
      <c r="CK28" s="116"/>
      <c r="CL28" s="116"/>
      <c r="CM28" s="116"/>
      <c r="CN28" s="116"/>
      <c r="CP28" s="115">
        <f>SUMIFS(wallet_records!$D:$D,wallet_records!$B:$B,'EEFF 2025'!$C28,wallet_records!$O:$O,'EEFF 2025'!$B$1,wallet_records!$H:$H,'EEFF 2025'!$B28)</f>
        <v>674700</v>
      </c>
      <c r="CQ28" s="107"/>
      <c r="CR28" s="118">
        <f t="shared" si="0"/>
        <v>7.269690766081241E-2</v>
      </c>
      <c r="CS28" s="118">
        <f t="shared" si="1"/>
        <v>0</v>
      </c>
      <c r="CT28" s="118">
        <f t="shared" si="2"/>
        <v>0</v>
      </c>
      <c r="CU28" s="118">
        <f t="shared" si="3"/>
        <v>0</v>
      </c>
      <c r="CV28" s="118">
        <f t="shared" si="4"/>
        <v>0</v>
      </c>
      <c r="CW28" s="118">
        <f t="shared" si="5"/>
        <v>0</v>
      </c>
      <c r="CX28" s="118">
        <f t="shared" si="6"/>
        <v>0</v>
      </c>
      <c r="CY28" s="118">
        <f t="shared" si="7"/>
        <v>0</v>
      </c>
      <c r="CZ28" s="118">
        <f t="shared" si="8"/>
        <v>0</v>
      </c>
      <c r="DA28" s="118">
        <f t="shared" si="9"/>
        <v>0</v>
      </c>
      <c r="DB28" s="118">
        <f t="shared" si="10"/>
        <v>0</v>
      </c>
      <c r="DC28" s="118">
        <f t="shared" si="11"/>
        <v>0</v>
      </c>
    </row>
    <row r="29" spans="2:107" x14ac:dyDescent="0.2">
      <c r="B29" s="10" t="s">
        <v>92</v>
      </c>
      <c r="C29" s="191" t="s">
        <v>114</v>
      </c>
      <c r="D29" s="115"/>
      <c r="E29" s="115"/>
      <c r="F29" s="115"/>
      <c r="G29" s="116"/>
      <c r="H29" s="116"/>
      <c r="I29" s="116"/>
      <c r="J29" s="116">
        <f>SUMIFS(wallet_records!$D:$D,wallet_records!$B:$B,'EEFF 2025'!$C29,wallet_records!$O:$O,'EEFF 2025'!$B$1,wallet_records!$N:$N,'EEFF 2025'!J$2,wallet_records!$H:$H,'EEFF 2025'!$B29)</f>
        <v>298492.71999999997</v>
      </c>
      <c r="K29" s="115"/>
      <c r="L29" s="115"/>
      <c r="M29" s="115"/>
      <c r="N29" s="116"/>
      <c r="O29" s="116"/>
      <c r="P29" s="116"/>
      <c r="Q29" s="115">
        <f>SUMIFS(wallet_records!$D:$D,wallet_records!$B:$B,'EEFF 2025'!$C29,wallet_records!$O:$O,'EEFF 2025'!$B$1,wallet_records!$N:$N,'EEFF 2025'!Q$2,wallet_records!$H:$H,'EEFF 2025'!$B29)</f>
        <v>0</v>
      </c>
      <c r="R29" s="116"/>
      <c r="S29" s="116"/>
      <c r="T29" s="116"/>
      <c r="U29" s="116"/>
      <c r="V29" s="116"/>
      <c r="X29" s="115">
        <f>SUMIFS(wallet_records!$D:$D,wallet_records!$B:$B,'EEFF 2025'!$C29,wallet_records!$O:$O,'EEFF 2025'!$B$1,wallet_records!$N:$N,'EEFF 2025'!X$2,wallet_records!$H:$H,'EEFF 2025'!$B29)</f>
        <v>0</v>
      </c>
      <c r="Y29" s="116"/>
      <c r="Z29" s="116"/>
      <c r="AA29" s="116"/>
      <c r="AB29" s="116"/>
      <c r="AC29" s="116"/>
      <c r="AE29" s="115">
        <f>SUMIFS(wallet_records!$D:$D,wallet_records!$B:$B,'EEFF 2025'!$C29,wallet_records!$O:$O,'EEFF 2025'!$B$1,wallet_records!$N:$N,'EEFF 2025'!AE$2,wallet_records!$H:$H,'EEFF 2025'!$B29)</f>
        <v>0</v>
      </c>
      <c r="AF29" s="116"/>
      <c r="AG29" s="116"/>
      <c r="AH29" s="116"/>
      <c r="AI29" s="116"/>
      <c r="AJ29" s="116"/>
      <c r="AL29" s="115">
        <f>SUMIFS(wallet_records!$D:$D,wallet_records!$B:$B,'EEFF 2025'!$C29,wallet_records!$O:$O,'EEFF 2025'!$B$1,wallet_records!$N:$N,'EEFF 2025'!AL$2,wallet_records!$H:$H,'EEFF 2025'!$B29)</f>
        <v>0</v>
      </c>
      <c r="AM29" s="116"/>
      <c r="AN29" s="116"/>
      <c r="AO29" s="116"/>
      <c r="AP29" s="116"/>
      <c r="AQ29" s="116"/>
      <c r="AS29" s="115">
        <f>SUMIFS(wallet_records!$D:$D,wallet_records!$B:$B,'EEFF 2025'!$C29,wallet_records!$O:$O,'EEFF 2025'!$B$1,wallet_records!$N:$N,'EEFF 2025'!AS$2,wallet_records!$H:$H,'EEFF 2025'!$B29)</f>
        <v>0</v>
      </c>
      <c r="AT29" s="116"/>
      <c r="AU29" s="116"/>
      <c r="AV29" s="116"/>
      <c r="AW29" s="116"/>
      <c r="AX29" s="116"/>
      <c r="AZ29" s="115">
        <f>SUMIFS(wallet_records!$D:$D,wallet_records!$B:$B,'EEFF 2025'!$C29,wallet_records!$O:$O,'EEFF 2025'!$B$1,wallet_records!$N:$N,'EEFF 2025'!AZ$2,wallet_records!$H:$H,'EEFF 2025'!$B29)</f>
        <v>0</v>
      </c>
      <c r="BA29" s="116"/>
      <c r="BB29" s="116"/>
      <c r="BC29" s="116"/>
      <c r="BD29" s="116"/>
      <c r="BE29" s="116"/>
      <c r="BG29" s="115">
        <f>SUMIFS(wallet_records!$D:$D,wallet_records!$B:$B,'EEFF 2025'!$C29,wallet_records!$O:$O,'EEFF 2025'!$B$1,wallet_records!$N:$N,'EEFF 2025'!BG$2,wallet_records!$H:$H,'EEFF 2025'!$B29)</f>
        <v>0</v>
      </c>
      <c r="BH29" s="116"/>
      <c r="BI29" s="116"/>
      <c r="BJ29" s="116"/>
      <c r="BK29" s="116"/>
      <c r="BL29" s="116"/>
      <c r="BN29" s="115">
        <f>SUMIFS(wallet_records!$D:$D,wallet_records!$B:$B,'EEFF 2025'!$C29,wallet_records!$O:$O,'EEFF 2025'!$B$1,wallet_records!$N:$N,'EEFF 2025'!BN$2,wallet_records!$H:$H,'EEFF 2025'!$B29)</f>
        <v>0</v>
      </c>
      <c r="BO29" s="116"/>
      <c r="BP29" s="116"/>
      <c r="BQ29" s="116"/>
      <c r="BR29" s="116"/>
      <c r="BS29" s="116"/>
      <c r="BU29" s="115">
        <f>SUMIFS(wallet_records!$D:$D,wallet_records!$B:$B,'EEFF 2025'!$C29,wallet_records!$O:$O,'EEFF 2025'!$B$1,wallet_records!$N:$N,'EEFF 2025'!BU$2,wallet_records!$H:$H,'EEFF 2025'!$B29)</f>
        <v>0</v>
      </c>
      <c r="BV29" s="116"/>
      <c r="BW29" s="116"/>
      <c r="BX29" s="116"/>
      <c r="BY29" s="116"/>
      <c r="BZ29" s="116"/>
      <c r="CB29" s="115">
        <f>SUMIFS(wallet_records!$D:$D,wallet_records!$B:$B,'EEFF 2025'!$C29,wallet_records!$O:$O,'EEFF 2025'!$B$1,wallet_records!$N:$N,'EEFF 2025'!CB$2,wallet_records!$H:$H,'EEFF 2025'!$B29)</f>
        <v>0</v>
      </c>
      <c r="CC29" s="116"/>
      <c r="CD29" s="116"/>
      <c r="CE29" s="116"/>
      <c r="CF29" s="116"/>
      <c r="CG29" s="116"/>
      <c r="CI29" s="115">
        <f>SUMIFS(wallet_records!$D:$D,wallet_records!$B:$B,'EEFF 2025'!$C29,wallet_records!$O:$O,'EEFF 2025'!$B$1,wallet_records!$N:$N,'EEFF 2025'!CI$2,wallet_records!$H:$H,'EEFF 2025'!$B29)</f>
        <v>0</v>
      </c>
      <c r="CJ29" s="116"/>
      <c r="CK29" s="116"/>
      <c r="CL29" s="116"/>
      <c r="CM29" s="116"/>
      <c r="CN29" s="116"/>
      <c r="CP29" s="115">
        <f>SUMIFS(wallet_records!$D:$D,wallet_records!$B:$B,'EEFF 2025'!$C29,wallet_records!$O:$O,'EEFF 2025'!$B$1,wallet_records!$H:$H,'EEFF 2025'!$B29)</f>
        <v>298492.71999999997</v>
      </c>
      <c r="CQ29" s="107"/>
      <c r="CR29" s="118">
        <f t="shared" si="0"/>
        <v>3.2161698092877923E-2</v>
      </c>
      <c r="CS29" s="118">
        <f t="shared" si="1"/>
        <v>0</v>
      </c>
      <c r="CT29" s="118">
        <f t="shared" si="2"/>
        <v>0</v>
      </c>
      <c r="CU29" s="118">
        <f t="shared" si="3"/>
        <v>0</v>
      </c>
      <c r="CV29" s="118">
        <f t="shared" si="4"/>
        <v>0</v>
      </c>
      <c r="CW29" s="118">
        <f t="shared" si="5"/>
        <v>0</v>
      </c>
      <c r="CX29" s="118">
        <f t="shared" si="6"/>
        <v>0</v>
      </c>
      <c r="CY29" s="118">
        <f t="shared" si="7"/>
        <v>0</v>
      </c>
      <c r="CZ29" s="118">
        <f t="shared" si="8"/>
        <v>0</v>
      </c>
      <c r="DA29" s="118">
        <f t="shared" si="9"/>
        <v>0</v>
      </c>
      <c r="DB29" s="118">
        <f t="shared" si="10"/>
        <v>0</v>
      </c>
      <c r="DC29" s="118">
        <f t="shared" si="11"/>
        <v>0</v>
      </c>
    </row>
    <row r="30" spans="2:107" x14ac:dyDescent="0.2">
      <c r="B30" s="10" t="s">
        <v>97</v>
      </c>
      <c r="C30" s="191" t="s">
        <v>154</v>
      </c>
      <c r="D30" s="115"/>
      <c r="E30" s="115"/>
      <c r="F30" s="115"/>
      <c r="G30" s="116"/>
      <c r="H30" s="116"/>
      <c r="I30" s="116"/>
      <c r="J30" s="116">
        <f>SUMIFS(wallet_records!$D:$D,wallet_records!$B:$B,'EEFF 2025'!$C30,wallet_records!$O:$O,'EEFF 2025'!$B$1,wallet_records!$N:$N,'EEFF 2025'!J$2,wallet_records!$H:$H,'EEFF 2025'!$B30)</f>
        <v>40800</v>
      </c>
      <c r="K30" s="115"/>
      <c r="L30" s="115"/>
      <c r="M30" s="115"/>
      <c r="N30" s="116"/>
      <c r="O30" s="116"/>
      <c r="P30" s="116"/>
      <c r="Q30" s="115">
        <f>SUMIFS(wallet_records!$D:$D,wallet_records!$B:$B,'EEFF 2025'!$C30,wallet_records!$O:$O,'EEFF 2025'!$B$1,wallet_records!$N:$N,'EEFF 2025'!Q$2,wallet_records!$H:$H,'EEFF 2025'!$B30)</f>
        <v>0</v>
      </c>
      <c r="R30" s="116"/>
      <c r="S30" s="116"/>
      <c r="T30" s="116"/>
      <c r="U30" s="116"/>
      <c r="V30" s="116"/>
      <c r="X30" s="115">
        <f>SUMIFS(wallet_records!$D:$D,wallet_records!$B:$B,'EEFF 2025'!$C30,wallet_records!$O:$O,'EEFF 2025'!$B$1,wallet_records!$N:$N,'EEFF 2025'!X$2,wallet_records!$H:$H,'EEFF 2025'!$B30)</f>
        <v>0</v>
      </c>
      <c r="Y30" s="116"/>
      <c r="Z30" s="116"/>
      <c r="AA30" s="116"/>
      <c r="AB30" s="116"/>
      <c r="AC30" s="116"/>
      <c r="AE30" s="115">
        <f>SUMIFS(wallet_records!$D:$D,wallet_records!$B:$B,'EEFF 2025'!$C30,wallet_records!$O:$O,'EEFF 2025'!$B$1,wallet_records!$N:$N,'EEFF 2025'!AE$2,wallet_records!$H:$H,'EEFF 2025'!$B30)</f>
        <v>0</v>
      </c>
      <c r="AF30" s="116"/>
      <c r="AG30" s="116"/>
      <c r="AH30" s="116"/>
      <c r="AI30" s="116"/>
      <c r="AJ30" s="116"/>
      <c r="AL30" s="115">
        <f>SUMIFS(wallet_records!$D:$D,wallet_records!$B:$B,'EEFF 2025'!$C30,wallet_records!$O:$O,'EEFF 2025'!$B$1,wallet_records!$N:$N,'EEFF 2025'!AL$2,wallet_records!$H:$H,'EEFF 2025'!$B30)</f>
        <v>0</v>
      </c>
      <c r="AM30" s="116"/>
      <c r="AN30" s="116"/>
      <c r="AO30" s="116"/>
      <c r="AP30" s="116"/>
      <c r="AQ30" s="116"/>
      <c r="AS30" s="115">
        <f>SUMIFS(wallet_records!$D:$D,wallet_records!$B:$B,'EEFF 2025'!$C30,wallet_records!$O:$O,'EEFF 2025'!$B$1,wallet_records!$N:$N,'EEFF 2025'!AS$2,wallet_records!$H:$H,'EEFF 2025'!$B30)</f>
        <v>0</v>
      </c>
      <c r="AT30" s="116"/>
      <c r="AU30" s="116"/>
      <c r="AV30" s="116"/>
      <c r="AW30" s="116"/>
      <c r="AX30" s="116"/>
      <c r="AZ30" s="115">
        <f>SUMIFS(wallet_records!$D:$D,wallet_records!$B:$B,'EEFF 2025'!$C30,wallet_records!$O:$O,'EEFF 2025'!$B$1,wallet_records!$N:$N,'EEFF 2025'!AZ$2,wallet_records!$H:$H,'EEFF 2025'!$B30)</f>
        <v>0</v>
      </c>
      <c r="BA30" s="116"/>
      <c r="BB30" s="116"/>
      <c r="BC30" s="116"/>
      <c r="BD30" s="116"/>
      <c r="BE30" s="116"/>
      <c r="BG30" s="115">
        <f>SUMIFS(wallet_records!$D:$D,wallet_records!$B:$B,'EEFF 2025'!$C30,wallet_records!$O:$O,'EEFF 2025'!$B$1,wallet_records!$N:$N,'EEFF 2025'!BG$2,wallet_records!$H:$H,'EEFF 2025'!$B30)</f>
        <v>0</v>
      </c>
      <c r="BH30" s="116"/>
      <c r="BI30" s="116"/>
      <c r="BJ30" s="116"/>
      <c r="BK30" s="116"/>
      <c r="BL30" s="116"/>
      <c r="BN30" s="115">
        <f>SUMIFS(wallet_records!$D:$D,wallet_records!$B:$B,'EEFF 2025'!$C30,wallet_records!$O:$O,'EEFF 2025'!$B$1,wallet_records!$N:$N,'EEFF 2025'!BN$2,wallet_records!$H:$H,'EEFF 2025'!$B30)</f>
        <v>0</v>
      </c>
      <c r="BO30" s="116"/>
      <c r="BP30" s="116"/>
      <c r="BQ30" s="116"/>
      <c r="BR30" s="116"/>
      <c r="BS30" s="116"/>
      <c r="BU30" s="115">
        <f>SUMIFS(wallet_records!$D:$D,wallet_records!$B:$B,'EEFF 2025'!$C30,wallet_records!$O:$O,'EEFF 2025'!$B$1,wallet_records!$N:$N,'EEFF 2025'!BU$2,wallet_records!$H:$H,'EEFF 2025'!$B30)</f>
        <v>0</v>
      </c>
      <c r="BV30" s="116"/>
      <c r="BW30" s="116"/>
      <c r="BX30" s="116"/>
      <c r="BY30" s="116"/>
      <c r="BZ30" s="116"/>
      <c r="CB30" s="115">
        <f>SUMIFS(wallet_records!$D:$D,wallet_records!$B:$B,'EEFF 2025'!$C30,wallet_records!$O:$O,'EEFF 2025'!$B$1,wallet_records!$N:$N,'EEFF 2025'!CB$2,wallet_records!$H:$H,'EEFF 2025'!$B30)</f>
        <v>0</v>
      </c>
      <c r="CC30" s="116"/>
      <c r="CD30" s="116"/>
      <c r="CE30" s="116"/>
      <c r="CF30" s="116"/>
      <c r="CG30" s="116"/>
      <c r="CI30" s="115">
        <f>SUMIFS(wallet_records!$D:$D,wallet_records!$B:$B,'EEFF 2025'!$C30,wallet_records!$O:$O,'EEFF 2025'!$B$1,wallet_records!$N:$N,'EEFF 2025'!CI$2,wallet_records!$H:$H,'EEFF 2025'!$B30)</f>
        <v>0</v>
      </c>
      <c r="CJ30" s="116"/>
      <c r="CK30" s="116"/>
      <c r="CL30" s="116"/>
      <c r="CM30" s="116"/>
      <c r="CN30" s="116"/>
      <c r="CP30" s="115">
        <f>SUMIFS(wallet_records!$D:$D,wallet_records!$B:$B,'EEFF 2025'!$C30,wallet_records!$O:$O,'EEFF 2025'!$B$1,wallet_records!$H:$H,'EEFF 2025'!$B30)</f>
        <v>40800</v>
      </c>
      <c r="CQ30" s="107"/>
      <c r="CR30" s="118">
        <f t="shared" si="0"/>
        <v>4.3960780088352549E-3</v>
      </c>
      <c r="CS30" s="118">
        <f t="shared" si="1"/>
        <v>0</v>
      </c>
      <c r="CT30" s="118">
        <f t="shared" si="2"/>
        <v>0</v>
      </c>
      <c r="CU30" s="118">
        <f t="shared" si="3"/>
        <v>0</v>
      </c>
      <c r="CV30" s="118">
        <f t="shared" si="4"/>
        <v>0</v>
      </c>
      <c r="CW30" s="118">
        <f t="shared" si="5"/>
        <v>0</v>
      </c>
      <c r="CX30" s="118">
        <f t="shared" si="6"/>
        <v>0</v>
      </c>
      <c r="CY30" s="118">
        <f t="shared" si="7"/>
        <v>0</v>
      </c>
      <c r="CZ30" s="118">
        <f t="shared" si="8"/>
        <v>0</v>
      </c>
      <c r="DA30" s="118">
        <f t="shared" si="9"/>
        <v>0</v>
      </c>
      <c r="DB30" s="118">
        <f t="shared" si="10"/>
        <v>0</v>
      </c>
      <c r="DC30" s="118">
        <f t="shared" si="11"/>
        <v>0</v>
      </c>
    </row>
    <row r="31" spans="2:107" x14ac:dyDescent="0.2">
      <c r="B31" s="10" t="s">
        <v>98</v>
      </c>
      <c r="C31" s="191" t="s">
        <v>154</v>
      </c>
      <c r="D31" s="115"/>
      <c r="E31" s="115"/>
      <c r="F31" s="115"/>
      <c r="G31" s="116"/>
      <c r="H31" s="116"/>
      <c r="I31" s="116"/>
      <c r="J31" s="116">
        <f>SUMIFS(wallet_records!$D:$D,wallet_records!$B:$B,'EEFF 2025'!$C31,wallet_records!$O:$O,'EEFF 2025'!$B$1,wallet_records!$N:$N,'EEFF 2025'!J$2,wallet_records!$H:$H,'EEFF 2025'!$B31)</f>
        <v>216000</v>
      </c>
      <c r="K31" s="115"/>
      <c r="L31" s="115"/>
      <c r="M31" s="115"/>
      <c r="N31" s="116"/>
      <c r="O31" s="116"/>
      <c r="P31" s="116"/>
      <c r="Q31" s="115">
        <f>SUMIFS(wallet_records!$D:$D,wallet_records!$B:$B,'EEFF 2025'!$C31,wallet_records!$O:$O,'EEFF 2025'!$B$1,wallet_records!$N:$N,'EEFF 2025'!Q$2,wallet_records!$H:$H,'EEFF 2025'!$B31)</f>
        <v>0</v>
      </c>
      <c r="R31" s="116"/>
      <c r="S31" s="116"/>
      <c r="T31" s="116"/>
      <c r="U31" s="116"/>
      <c r="V31" s="116"/>
      <c r="X31" s="115">
        <f>SUMIFS(wallet_records!$D:$D,wallet_records!$B:$B,'EEFF 2025'!$C31,wallet_records!$O:$O,'EEFF 2025'!$B$1,wallet_records!$N:$N,'EEFF 2025'!X$2,wallet_records!$H:$H,'EEFF 2025'!$B31)</f>
        <v>0</v>
      </c>
      <c r="Y31" s="116"/>
      <c r="Z31" s="116"/>
      <c r="AA31" s="116"/>
      <c r="AB31" s="116"/>
      <c r="AC31" s="116"/>
      <c r="AE31" s="115">
        <f>SUMIFS(wallet_records!$D:$D,wallet_records!$B:$B,'EEFF 2025'!$C31,wallet_records!$O:$O,'EEFF 2025'!$B$1,wallet_records!$N:$N,'EEFF 2025'!AE$2,wallet_records!$H:$H,'EEFF 2025'!$B31)</f>
        <v>0</v>
      </c>
      <c r="AF31" s="116"/>
      <c r="AG31" s="116"/>
      <c r="AH31" s="116"/>
      <c r="AI31" s="116"/>
      <c r="AJ31" s="116"/>
      <c r="AL31" s="115">
        <f>SUMIFS(wallet_records!$D:$D,wallet_records!$B:$B,'EEFF 2025'!$C31,wallet_records!$O:$O,'EEFF 2025'!$B$1,wallet_records!$N:$N,'EEFF 2025'!AL$2,wallet_records!$H:$H,'EEFF 2025'!$B31)</f>
        <v>0</v>
      </c>
      <c r="AM31" s="116"/>
      <c r="AN31" s="116"/>
      <c r="AO31" s="116"/>
      <c r="AP31" s="116"/>
      <c r="AQ31" s="116"/>
      <c r="AS31" s="115">
        <f>SUMIFS(wallet_records!$D:$D,wallet_records!$B:$B,'EEFF 2025'!$C31,wallet_records!$O:$O,'EEFF 2025'!$B$1,wallet_records!$N:$N,'EEFF 2025'!AS$2,wallet_records!$H:$H,'EEFF 2025'!$B31)</f>
        <v>0</v>
      </c>
      <c r="AT31" s="116"/>
      <c r="AU31" s="116"/>
      <c r="AV31" s="116"/>
      <c r="AW31" s="116"/>
      <c r="AX31" s="116"/>
      <c r="AZ31" s="115">
        <f>SUMIFS(wallet_records!$D:$D,wallet_records!$B:$B,'EEFF 2025'!$C31,wallet_records!$O:$O,'EEFF 2025'!$B$1,wallet_records!$N:$N,'EEFF 2025'!AZ$2,wallet_records!$H:$H,'EEFF 2025'!$B31)</f>
        <v>0</v>
      </c>
      <c r="BA31" s="116"/>
      <c r="BB31" s="116"/>
      <c r="BC31" s="116"/>
      <c r="BD31" s="116"/>
      <c r="BE31" s="116"/>
      <c r="BG31" s="115">
        <f>SUMIFS(wallet_records!$D:$D,wallet_records!$B:$B,'EEFF 2025'!$C31,wallet_records!$O:$O,'EEFF 2025'!$B$1,wallet_records!$N:$N,'EEFF 2025'!BG$2,wallet_records!$H:$H,'EEFF 2025'!$B31)</f>
        <v>0</v>
      </c>
      <c r="BH31" s="116"/>
      <c r="BI31" s="116"/>
      <c r="BJ31" s="116"/>
      <c r="BK31" s="116"/>
      <c r="BL31" s="116"/>
      <c r="BN31" s="115">
        <f>SUMIFS(wallet_records!$D:$D,wallet_records!$B:$B,'EEFF 2025'!$C31,wallet_records!$O:$O,'EEFF 2025'!$B$1,wallet_records!$N:$N,'EEFF 2025'!BN$2,wallet_records!$H:$H,'EEFF 2025'!$B31)</f>
        <v>0</v>
      </c>
      <c r="BO31" s="116"/>
      <c r="BP31" s="116"/>
      <c r="BQ31" s="116"/>
      <c r="BR31" s="116"/>
      <c r="BS31" s="116"/>
      <c r="BU31" s="115">
        <f>SUMIFS(wallet_records!$D:$D,wallet_records!$B:$B,'EEFF 2025'!$C31,wallet_records!$O:$O,'EEFF 2025'!$B$1,wallet_records!$N:$N,'EEFF 2025'!BU$2,wallet_records!$H:$H,'EEFF 2025'!$B31)</f>
        <v>0</v>
      </c>
      <c r="BV31" s="116"/>
      <c r="BW31" s="116"/>
      <c r="BX31" s="116"/>
      <c r="BY31" s="116"/>
      <c r="BZ31" s="116"/>
      <c r="CB31" s="115">
        <f>SUMIFS(wallet_records!$D:$D,wallet_records!$B:$B,'EEFF 2025'!$C31,wallet_records!$O:$O,'EEFF 2025'!$B$1,wallet_records!$N:$N,'EEFF 2025'!CB$2,wallet_records!$H:$H,'EEFF 2025'!$B31)</f>
        <v>0</v>
      </c>
      <c r="CC31" s="116"/>
      <c r="CD31" s="116"/>
      <c r="CE31" s="116"/>
      <c r="CF31" s="116"/>
      <c r="CG31" s="116"/>
      <c r="CI31" s="115">
        <f>SUMIFS(wallet_records!$D:$D,wallet_records!$B:$B,'EEFF 2025'!$C31,wallet_records!$O:$O,'EEFF 2025'!$B$1,wallet_records!$N:$N,'EEFF 2025'!CI$2,wallet_records!$H:$H,'EEFF 2025'!$B31)</f>
        <v>0</v>
      </c>
      <c r="CJ31" s="116"/>
      <c r="CK31" s="116"/>
      <c r="CL31" s="116"/>
      <c r="CM31" s="116"/>
      <c r="CN31" s="116"/>
      <c r="CP31" s="115">
        <f>SUMIFS(wallet_records!$D:$D,wallet_records!$B:$B,'EEFF 2025'!$C31,wallet_records!$O:$O,'EEFF 2025'!$B$1,wallet_records!$H:$H,'EEFF 2025'!$B31)</f>
        <v>216000</v>
      </c>
      <c r="CQ31" s="107"/>
      <c r="CR31" s="118">
        <f t="shared" si="0"/>
        <v>2.3273354164421937E-2</v>
      </c>
      <c r="CS31" s="118">
        <f t="shared" si="1"/>
        <v>0</v>
      </c>
      <c r="CT31" s="118">
        <f t="shared" si="2"/>
        <v>0</v>
      </c>
      <c r="CU31" s="118">
        <f t="shared" si="3"/>
        <v>0</v>
      </c>
      <c r="CV31" s="118">
        <f t="shared" si="4"/>
        <v>0</v>
      </c>
      <c r="CW31" s="118">
        <f t="shared" si="5"/>
        <v>0</v>
      </c>
      <c r="CX31" s="118">
        <f t="shared" si="6"/>
        <v>0</v>
      </c>
      <c r="CY31" s="118">
        <f t="shared" si="7"/>
        <v>0</v>
      </c>
      <c r="CZ31" s="118">
        <f t="shared" si="8"/>
        <v>0</v>
      </c>
      <c r="DA31" s="118">
        <f t="shared" si="9"/>
        <v>0</v>
      </c>
      <c r="DB31" s="118">
        <f t="shared" si="10"/>
        <v>0</v>
      </c>
      <c r="DC31" s="118">
        <f t="shared" si="11"/>
        <v>0</v>
      </c>
    </row>
    <row r="32" spans="2:107" x14ac:dyDescent="0.2">
      <c r="B32" s="10" t="s">
        <v>287</v>
      </c>
      <c r="C32" s="191" t="s">
        <v>114</v>
      </c>
      <c r="D32" s="115"/>
      <c r="E32" s="115"/>
      <c r="F32" s="115"/>
      <c r="G32" s="116"/>
      <c r="H32" s="116"/>
      <c r="I32" s="116"/>
      <c r="J32" s="116">
        <f>SUMIFS(wallet_records!$D:$D,wallet_records!$B:$B,'EEFF 2025'!$C32,wallet_records!$O:$O,'EEFF 2025'!$B$1,wallet_records!$N:$N,'EEFF 2025'!J$2,wallet_records!$H:$H,'EEFF 2025'!$B32)</f>
        <v>0</v>
      </c>
      <c r="K32" s="115"/>
      <c r="L32" s="115"/>
      <c r="M32" s="115"/>
      <c r="N32" s="116"/>
      <c r="O32" s="116"/>
      <c r="P32" s="116"/>
      <c r="Q32" s="115">
        <f>SUMIFS(wallet_records!$D:$D,wallet_records!$B:$B,'EEFF 2025'!$C32,wallet_records!$O:$O,'EEFF 2025'!$B$1,wallet_records!$N:$N,'EEFF 2025'!Q$2,wallet_records!$H:$H,'EEFF 2025'!$B32)</f>
        <v>0</v>
      </c>
      <c r="R32" s="116"/>
      <c r="S32" s="116"/>
      <c r="T32" s="116"/>
      <c r="U32" s="116"/>
      <c r="V32" s="116"/>
      <c r="X32" s="115">
        <f>SUMIFS(wallet_records!$D:$D,wallet_records!$B:$B,'EEFF 2025'!$C32,wallet_records!$O:$O,'EEFF 2025'!$B$1,wallet_records!$N:$N,'EEFF 2025'!X$2,wallet_records!$H:$H,'EEFF 2025'!$B32)</f>
        <v>0</v>
      </c>
      <c r="Y32" s="116"/>
      <c r="Z32" s="116"/>
      <c r="AA32" s="116"/>
      <c r="AB32" s="116"/>
      <c r="AC32" s="116"/>
      <c r="AE32" s="115">
        <f>SUMIFS(wallet_records!$D:$D,wallet_records!$B:$B,'EEFF 2025'!$C32,wallet_records!$O:$O,'EEFF 2025'!$B$1,wallet_records!$N:$N,'EEFF 2025'!AE$2,wallet_records!$H:$H,'EEFF 2025'!$B32)</f>
        <v>0</v>
      </c>
      <c r="AF32" s="116"/>
      <c r="AG32" s="116"/>
      <c r="AH32" s="116"/>
      <c r="AI32" s="116"/>
      <c r="AJ32" s="116"/>
      <c r="AL32" s="115">
        <f>SUMIFS(wallet_records!$D:$D,wallet_records!$B:$B,'EEFF 2025'!$C32,wallet_records!$O:$O,'EEFF 2025'!$B$1,wallet_records!$N:$N,'EEFF 2025'!AL$2,wallet_records!$H:$H,'EEFF 2025'!$B32)</f>
        <v>0</v>
      </c>
      <c r="AM32" s="116"/>
      <c r="AN32" s="116"/>
      <c r="AO32" s="116"/>
      <c r="AP32" s="116"/>
      <c r="AQ32" s="116"/>
      <c r="AS32" s="115">
        <f>SUMIFS(wallet_records!$D:$D,wallet_records!$B:$B,'EEFF 2025'!$C32,wallet_records!$O:$O,'EEFF 2025'!$B$1,wallet_records!$N:$N,'EEFF 2025'!AS$2,wallet_records!$H:$H,'EEFF 2025'!$B32)</f>
        <v>0</v>
      </c>
      <c r="AT32" s="116"/>
      <c r="AU32" s="116"/>
      <c r="AV32" s="116"/>
      <c r="AW32" s="116"/>
      <c r="AX32" s="116"/>
      <c r="AZ32" s="115">
        <f>SUMIFS(wallet_records!$D:$D,wallet_records!$B:$B,'EEFF 2025'!$C32,wallet_records!$O:$O,'EEFF 2025'!$B$1,wallet_records!$N:$N,'EEFF 2025'!AZ$2,wallet_records!$H:$H,'EEFF 2025'!$B32)</f>
        <v>0</v>
      </c>
      <c r="BA32" s="116"/>
      <c r="BB32" s="116"/>
      <c r="BC32" s="116"/>
      <c r="BD32" s="116"/>
      <c r="BE32" s="116"/>
      <c r="BG32" s="115">
        <f>SUMIFS(wallet_records!$D:$D,wallet_records!$B:$B,'EEFF 2025'!$C32,wallet_records!$O:$O,'EEFF 2025'!$B$1,wallet_records!$N:$N,'EEFF 2025'!BG$2,wallet_records!$H:$H,'EEFF 2025'!$B32)</f>
        <v>0</v>
      </c>
      <c r="BH32" s="116"/>
      <c r="BI32" s="116"/>
      <c r="BJ32" s="116"/>
      <c r="BK32" s="116"/>
      <c r="BL32" s="116"/>
      <c r="BN32" s="115">
        <f>SUMIFS(wallet_records!$D:$D,wallet_records!$B:$B,'EEFF 2025'!$C32,wallet_records!$O:$O,'EEFF 2025'!$B$1,wallet_records!$N:$N,'EEFF 2025'!BN$2,wallet_records!$H:$H,'EEFF 2025'!$B32)</f>
        <v>0</v>
      </c>
      <c r="BO32" s="116"/>
      <c r="BP32" s="116"/>
      <c r="BQ32" s="116"/>
      <c r="BR32" s="116"/>
      <c r="BS32" s="116"/>
      <c r="BU32" s="115">
        <f>SUMIFS(wallet_records!$D:$D,wallet_records!$B:$B,'EEFF 2025'!$C32,wallet_records!$O:$O,'EEFF 2025'!$B$1,wallet_records!$N:$N,'EEFF 2025'!BU$2,wallet_records!$H:$H,'EEFF 2025'!$B32)</f>
        <v>0</v>
      </c>
      <c r="BV32" s="116"/>
      <c r="BW32" s="116"/>
      <c r="BX32" s="116"/>
      <c r="BY32" s="116"/>
      <c r="BZ32" s="116"/>
      <c r="CB32" s="115">
        <f>SUMIFS(wallet_records!$D:$D,wallet_records!$B:$B,'EEFF 2025'!$C32,wallet_records!$O:$O,'EEFF 2025'!$B$1,wallet_records!$N:$N,'EEFF 2025'!CB$2,wallet_records!$H:$H,'EEFF 2025'!$B32)</f>
        <v>0</v>
      </c>
      <c r="CC32" s="116"/>
      <c r="CD32" s="116"/>
      <c r="CE32" s="116"/>
      <c r="CF32" s="116"/>
      <c r="CG32" s="116"/>
      <c r="CI32" s="115">
        <f>SUMIFS(wallet_records!$D:$D,wallet_records!$B:$B,'EEFF 2025'!$C32,wallet_records!$O:$O,'EEFF 2025'!$B$1,wallet_records!$N:$N,'EEFF 2025'!CI$2,wallet_records!$H:$H,'EEFF 2025'!$B32)</f>
        <v>0</v>
      </c>
      <c r="CJ32" s="116"/>
      <c r="CK32" s="116"/>
      <c r="CL32" s="116"/>
      <c r="CM32" s="116"/>
      <c r="CN32" s="116"/>
      <c r="CP32" s="115">
        <f>SUMIFS(wallet_records!$D:$D,wallet_records!$B:$B,'EEFF 2025'!$C32,wallet_records!$O:$O,'EEFF 2025'!$B$1,wallet_records!$H:$H,'EEFF 2025'!$B32)</f>
        <v>0</v>
      </c>
      <c r="CQ32" s="107"/>
      <c r="CR32" s="118">
        <f t="shared" si="0"/>
        <v>0</v>
      </c>
      <c r="CS32" s="118">
        <f t="shared" si="1"/>
        <v>0</v>
      </c>
      <c r="CT32" s="118">
        <f t="shared" si="2"/>
        <v>0</v>
      </c>
      <c r="CU32" s="118">
        <f t="shared" si="3"/>
        <v>0</v>
      </c>
      <c r="CV32" s="118">
        <f t="shared" si="4"/>
        <v>0</v>
      </c>
      <c r="CW32" s="118">
        <f t="shared" si="5"/>
        <v>0</v>
      </c>
      <c r="CX32" s="118">
        <f t="shared" si="6"/>
        <v>0</v>
      </c>
      <c r="CY32" s="118">
        <f t="shared" si="7"/>
        <v>0</v>
      </c>
      <c r="CZ32" s="118">
        <f t="shared" si="8"/>
        <v>0</v>
      </c>
      <c r="DA32" s="118">
        <f t="shared" si="9"/>
        <v>0</v>
      </c>
      <c r="DB32" s="118">
        <f t="shared" si="10"/>
        <v>0</v>
      </c>
      <c r="DC32" s="118">
        <f t="shared" si="11"/>
        <v>0</v>
      </c>
    </row>
    <row r="33" spans="2:107" x14ac:dyDescent="0.2">
      <c r="B33" s="10" t="s">
        <v>173</v>
      </c>
      <c r="C33" s="191" t="s">
        <v>172</v>
      </c>
      <c r="D33" s="115"/>
      <c r="E33" s="115"/>
      <c r="F33" s="115"/>
      <c r="G33" s="116"/>
      <c r="H33" s="116"/>
      <c r="I33" s="116"/>
      <c r="J33" s="116">
        <f>SUMIFS(wallet_records!$D:$D,wallet_records!$B:$B,'EEFF 2025'!$C33,wallet_records!$O:$O,'EEFF 2025'!$B$1,wallet_records!$N:$N,'EEFF 2025'!J$2,wallet_records!$H:$H,'EEFF 2025'!$B33)</f>
        <v>11270000</v>
      </c>
      <c r="K33" s="115"/>
      <c r="L33" s="115"/>
      <c r="M33" s="115"/>
      <c r="N33" s="116"/>
      <c r="O33" s="116"/>
      <c r="P33" s="116"/>
      <c r="Q33" s="115">
        <f>SUMIFS(wallet_records!$D:$D,wallet_records!$B:$B,'EEFF 2025'!$C33,wallet_records!$O:$O,'EEFF 2025'!$B$1,wallet_records!$N:$N,'EEFF 2025'!Q$2,wallet_records!$H:$H,'EEFF 2025'!$B33)</f>
        <v>0</v>
      </c>
      <c r="R33" s="116"/>
      <c r="S33" s="116"/>
      <c r="T33" s="116"/>
      <c r="U33" s="116"/>
      <c r="V33" s="116"/>
      <c r="X33" s="115">
        <f>SUMIFS(wallet_records!$D:$D,wallet_records!$B:$B,'EEFF 2025'!$C33,wallet_records!$O:$O,'EEFF 2025'!$B$1,wallet_records!$N:$N,'EEFF 2025'!X$2,wallet_records!$H:$H,'EEFF 2025'!$B33)</f>
        <v>0</v>
      </c>
      <c r="Y33" s="116"/>
      <c r="Z33" s="116"/>
      <c r="AA33" s="116"/>
      <c r="AB33" s="116"/>
      <c r="AC33" s="116"/>
      <c r="AE33" s="115">
        <f>SUMIFS(wallet_records!$D:$D,wallet_records!$B:$B,'EEFF 2025'!$C33,wallet_records!$O:$O,'EEFF 2025'!$B$1,wallet_records!$N:$N,'EEFF 2025'!AE$2,wallet_records!$H:$H,'EEFF 2025'!$B33)</f>
        <v>0</v>
      </c>
      <c r="AF33" s="116"/>
      <c r="AG33" s="116"/>
      <c r="AH33" s="116"/>
      <c r="AI33" s="116"/>
      <c r="AJ33" s="116"/>
      <c r="AL33" s="115">
        <f>SUMIFS(wallet_records!$D:$D,wallet_records!$B:$B,'EEFF 2025'!$C33,wallet_records!$O:$O,'EEFF 2025'!$B$1,wallet_records!$N:$N,'EEFF 2025'!AL$2,wallet_records!$H:$H,'EEFF 2025'!$B33)</f>
        <v>0</v>
      </c>
      <c r="AM33" s="116"/>
      <c r="AN33" s="116"/>
      <c r="AO33" s="116"/>
      <c r="AP33" s="116"/>
      <c r="AQ33" s="116"/>
      <c r="AS33" s="115">
        <f>SUMIFS(wallet_records!$D:$D,wallet_records!$B:$B,'EEFF 2025'!$C33,wallet_records!$O:$O,'EEFF 2025'!$B$1,wallet_records!$N:$N,'EEFF 2025'!AS$2,wallet_records!$H:$H,'EEFF 2025'!$B33)</f>
        <v>0</v>
      </c>
      <c r="AT33" s="116"/>
      <c r="AU33" s="116"/>
      <c r="AV33" s="116"/>
      <c r="AW33" s="116"/>
      <c r="AX33" s="116"/>
      <c r="AZ33" s="115">
        <f>SUMIFS(wallet_records!$D:$D,wallet_records!$B:$B,'EEFF 2025'!$C33,wallet_records!$O:$O,'EEFF 2025'!$B$1,wallet_records!$N:$N,'EEFF 2025'!AZ$2,wallet_records!$H:$H,'EEFF 2025'!$B33)</f>
        <v>0</v>
      </c>
      <c r="BA33" s="116"/>
      <c r="BB33" s="116"/>
      <c r="BC33" s="116"/>
      <c r="BD33" s="116"/>
      <c r="BE33" s="116"/>
      <c r="BG33" s="115">
        <f>SUMIFS(wallet_records!$D:$D,wallet_records!$B:$B,'EEFF 2025'!$C33,wallet_records!$O:$O,'EEFF 2025'!$B$1,wallet_records!$N:$N,'EEFF 2025'!BG$2,wallet_records!$H:$H,'EEFF 2025'!$B33)</f>
        <v>0</v>
      </c>
      <c r="BH33" s="116"/>
      <c r="BI33" s="116"/>
      <c r="BJ33" s="116"/>
      <c r="BK33" s="116"/>
      <c r="BL33" s="116"/>
      <c r="BN33" s="115">
        <f>SUMIFS(wallet_records!$D:$D,wallet_records!$B:$B,'EEFF 2025'!$C33,wallet_records!$O:$O,'EEFF 2025'!$B$1,wallet_records!$N:$N,'EEFF 2025'!BN$2,wallet_records!$H:$H,'EEFF 2025'!$B33)</f>
        <v>7000000</v>
      </c>
      <c r="BO33" s="116"/>
      <c r="BP33" s="116"/>
      <c r="BQ33" s="116"/>
      <c r="BR33" s="116"/>
      <c r="BS33" s="116"/>
      <c r="BU33" s="115">
        <f>SUMIFS(wallet_records!$D:$D,wallet_records!$B:$B,'EEFF 2025'!$C33,wallet_records!$O:$O,'EEFF 2025'!$B$1,wallet_records!$N:$N,'EEFF 2025'!BU$2,wallet_records!$H:$H,'EEFF 2025'!$B33)</f>
        <v>0</v>
      </c>
      <c r="BV33" s="116"/>
      <c r="BW33" s="116"/>
      <c r="BX33" s="116"/>
      <c r="BY33" s="116"/>
      <c r="BZ33" s="116"/>
      <c r="CB33" s="115">
        <f>SUMIFS(wallet_records!$D:$D,wallet_records!$B:$B,'EEFF 2025'!$C33,wallet_records!$O:$O,'EEFF 2025'!$B$1,wallet_records!$N:$N,'EEFF 2025'!CB$2,wallet_records!$H:$H,'EEFF 2025'!$B33)</f>
        <v>0</v>
      </c>
      <c r="CC33" s="116"/>
      <c r="CD33" s="116"/>
      <c r="CE33" s="116"/>
      <c r="CF33" s="116"/>
      <c r="CG33" s="116"/>
      <c r="CI33" s="115">
        <f>SUMIFS(wallet_records!$D:$D,wallet_records!$B:$B,'EEFF 2025'!$C33,wallet_records!$O:$O,'EEFF 2025'!$B$1,wallet_records!$N:$N,'EEFF 2025'!CI$2,wallet_records!$H:$H,'EEFF 2025'!$B33)</f>
        <v>0</v>
      </c>
      <c r="CJ33" s="116"/>
      <c r="CK33" s="116"/>
      <c r="CL33" s="116"/>
      <c r="CM33" s="116"/>
      <c r="CN33" s="116"/>
      <c r="CP33" s="115">
        <f>SUMIFS(wallet_records!$D:$D,wallet_records!$B:$B,'EEFF 2025'!$C33,wallet_records!$O:$O,'EEFF 2025'!$B$1,wallet_records!$H:$H,'EEFF 2025'!$B33)</f>
        <v>18270000</v>
      </c>
      <c r="CQ33" s="107"/>
      <c r="CR33" s="118">
        <f t="shared" si="0"/>
        <v>1.2143088029307187</v>
      </c>
      <c r="CS33" s="118">
        <f t="shared" si="1"/>
        <v>0</v>
      </c>
      <c r="CT33" s="118">
        <f t="shared" si="2"/>
        <v>0</v>
      </c>
      <c r="CU33" s="118">
        <f t="shared" si="3"/>
        <v>0</v>
      </c>
      <c r="CV33" s="118">
        <f t="shared" si="4"/>
        <v>0</v>
      </c>
      <c r="CW33" s="118">
        <f t="shared" si="5"/>
        <v>0</v>
      </c>
      <c r="CX33" s="118">
        <f t="shared" si="6"/>
        <v>0</v>
      </c>
      <c r="CY33" s="118">
        <f t="shared" si="7"/>
        <v>0</v>
      </c>
      <c r="CZ33" s="118">
        <f t="shared" si="8"/>
        <v>1.0272062923722596</v>
      </c>
      <c r="DA33" s="118">
        <f t="shared" si="9"/>
        <v>0</v>
      </c>
      <c r="DB33" s="118">
        <f t="shared" si="10"/>
        <v>0</v>
      </c>
      <c r="DC33" s="118">
        <f t="shared" si="11"/>
        <v>0</v>
      </c>
    </row>
    <row r="34" spans="2:107" x14ac:dyDescent="0.2">
      <c r="B34" s="10" t="s">
        <v>174</v>
      </c>
      <c r="C34" s="191" t="s">
        <v>172</v>
      </c>
      <c r="D34" s="115"/>
      <c r="E34" s="115"/>
      <c r="F34" s="115"/>
      <c r="G34" s="116"/>
      <c r="H34" s="116"/>
      <c r="I34" s="116"/>
      <c r="J34" s="116">
        <f>SUMIFS(wallet_records!$D:$D,wallet_records!$B:$B,'EEFF 2025'!$C34,wallet_records!$O:$O,'EEFF 2025'!$B$1,wallet_records!$N:$N,'EEFF 2025'!J$2,wallet_records!$H:$H,'EEFF 2025'!$B34)</f>
        <v>0</v>
      </c>
      <c r="K34" s="115"/>
      <c r="L34" s="115"/>
      <c r="M34" s="115"/>
      <c r="N34" s="116"/>
      <c r="O34" s="116"/>
      <c r="P34" s="116"/>
      <c r="Q34" s="115">
        <f>SUMIFS(wallet_records!$D:$D,wallet_records!$B:$B,'EEFF 2025'!$C34,wallet_records!$O:$O,'EEFF 2025'!$B$1,wallet_records!$N:$N,'EEFF 2025'!Q$2,wallet_records!$H:$H,'EEFF 2025'!$B34)</f>
        <v>0</v>
      </c>
      <c r="R34" s="116"/>
      <c r="S34" s="116"/>
      <c r="T34" s="116"/>
      <c r="U34" s="116"/>
      <c r="V34" s="116"/>
      <c r="X34" s="115">
        <f>SUMIFS(wallet_records!$D:$D,wallet_records!$B:$B,'EEFF 2025'!$C34,wallet_records!$O:$O,'EEFF 2025'!$B$1,wallet_records!$N:$N,'EEFF 2025'!X$2,wallet_records!$H:$H,'EEFF 2025'!$B34)</f>
        <v>0</v>
      </c>
      <c r="Y34" s="116"/>
      <c r="Z34" s="116"/>
      <c r="AA34" s="116"/>
      <c r="AB34" s="116"/>
      <c r="AC34" s="116"/>
      <c r="AE34" s="115">
        <f>SUMIFS(wallet_records!$D:$D,wallet_records!$B:$B,'EEFF 2025'!$C34,wallet_records!$O:$O,'EEFF 2025'!$B$1,wallet_records!$N:$N,'EEFF 2025'!AE$2,wallet_records!$H:$H,'EEFF 2025'!$B34)</f>
        <v>0</v>
      </c>
      <c r="AF34" s="116"/>
      <c r="AG34" s="116"/>
      <c r="AH34" s="116"/>
      <c r="AI34" s="116"/>
      <c r="AJ34" s="116"/>
      <c r="AL34" s="115">
        <f>SUMIFS(wallet_records!$D:$D,wallet_records!$B:$B,'EEFF 2025'!$C34,wallet_records!$O:$O,'EEFF 2025'!$B$1,wallet_records!$N:$N,'EEFF 2025'!AL$2,wallet_records!$H:$H,'EEFF 2025'!$B34)</f>
        <v>0</v>
      </c>
      <c r="AM34" s="116"/>
      <c r="AN34" s="116"/>
      <c r="AO34" s="116"/>
      <c r="AP34" s="116"/>
      <c r="AQ34" s="116"/>
      <c r="AS34" s="115">
        <f>SUMIFS(wallet_records!$D:$D,wallet_records!$B:$B,'EEFF 2025'!$C34,wallet_records!$O:$O,'EEFF 2025'!$B$1,wallet_records!$N:$N,'EEFF 2025'!AS$2,wallet_records!$H:$H,'EEFF 2025'!$B34)</f>
        <v>0</v>
      </c>
      <c r="AT34" s="116"/>
      <c r="AU34" s="116"/>
      <c r="AV34" s="116"/>
      <c r="AW34" s="116"/>
      <c r="AX34" s="116"/>
      <c r="AZ34" s="115">
        <f>SUMIFS(wallet_records!$D:$D,wallet_records!$B:$B,'EEFF 2025'!$C34,wallet_records!$O:$O,'EEFF 2025'!$B$1,wallet_records!$N:$N,'EEFF 2025'!AZ$2,wallet_records!$H:$H,'EEFF 2025'!$B34)</f>
        <v>0</v>
      </c>
      <c r="BA34" s="116"/>
      <c r="BB34" s="116"/>
      <c r="BC34" s="116"/>
      <c r="BD34" s="116"/>
      <c r="BE34" s="116"/>
      <c r="BG34" s="115">
        <f>SUMIFS(wallet_records!$D:$D,wallet_records!$B:$B,'EEFF 2025'!$C34,wallet_records!$O:$O,'EEFF 2025'!$B$1,wallet_records!$N:$N,'EEFF 2025'!BG$2,wallet_records!$H:$H,'EEFF 2025'!$B34)</f>
        <v>600000</v>
      </c>
      <c r="BH34" s="116"/>
      <c r="BI34" s="116"/>
      <c r="BJ34" s="116"/>
      <c r="BK34" s="116"/>
      <c r="BL34" s="116"/>
      <c r="BN34" s="115">
        <f>SUMIFS(wallet_records!$D:$D,wallet_records!$B:$B,'EEFF 2025'!$C34,wallet_records!$O:$O,'EEFF 2025'!$B$1,wallet_records!$N:$N,'EEFF 2025'!BN$2,wallet_records!$H:$H,'EEFF 2025'!$B34)</f>
        <v>0</v>
      </c>
      <c r="BO34" s="116"/>
      <c r="BP34" s="116"/>
      <c r="BQ34" s="116"/>
      <c r="BR34" s="116"/>
      <c r="BS34" s="116"/>
      <c r="BU34" s="115">
        <f>SUMIFS(wallet_records!$D:$D,wallet_records!$B:$B,'EEFF 2025'!$C34,wallet_records!$O:$O,'EEFF 2025'!$B$1,wallet_records!$N:$N,'EEFF 2025'!BU$2,wallet_records!$H:$H,'EEFF 2025'!$B34)</f>
        <v>0</v>
      </c>
      <c r="BV34" s="116"/>
      <c r="BW34" s="116"/>
      <c r="BX34" s="116"/>
      <c r="BY34" s="116"/>
      <c r="BZ34" s="116"/>
      <c r="CB34" s="115">
        <f>SUMIFS(wallet_records!$D:$D,wallet_records!$B:$B,'EEFF 2025'!$C34,wallet_records!$O:$O,'EEFF 2025'!$B$1,wallet_records!$N:$N,'EEFF 2025'!CB$2,wallet_records!$H:$H,'EEFF 2025'!$B34)</f>
        <v>0</v>
      </c>
      <c r="CC34" s="116"/>
      <c r="CD34" s="116"/>
      <c r="CE34" s="116"/>
      <c r="CF34" s="116"/>
      <c r="CG34" s="116"/>
      <c r="CI34" s="115">
        <f>SUMIFS(wallet_records!$D:$D,wallet_records!$B:$B,'EEFF 2025'!$C34,wallet_records!$O:$O,'EEFF 2025'!$B$1,wallet_records!$N:$N,'EEFF 2025'!CI$2,wallet_records!$H:$H,'EEFF 2025'!$B34)</f>
        <v>0</v>
      </c>
      <c r="CJ34" s="116"/>
      <c r="CK34" s="116"/>
      <c r="CL34" s="116"/>
      <c r="CM34" s="116"/>
      <c r="CN34" s="116"/>
      <c r="CP34" s="115">
        <f>SUMIFS(wallet_records!$D:$D,wallet_records!$B:$B,'EEFF 2025'!$C34,wallet_records!$O:$O,'EEFF 2025'!$B$1,wallet_records!$H:$H,'EEFF 2025'!$B34)</f>
        <v>600000</v>
      </c>
      <c r="CQ34" s="107"/>
      <c r="CR34" s="118">
        <f t="shared" si="0"/>
        <v>0</v>
      </c>
      <c r="CS34" s="118">
        <f t="shared" si="1"/>
        <v>0</v>
      </c>
      <c r="CT34" s="118">
        <f t="shared" si="2"/>
        <v>0</v>
      </c>
      <c r="CU34" s="118">
        <f t="shared" si="3"/>
        <v>0</v>
      </c>
      <c r="CV34" s="118">
        <f t="shared" si="4"/>
        <v>0</v>
      </c>
      <c r="CW34" s="118">
        <f t="shared" si="5"/>
        <v>0</v>
      </c>
      <c r="CX34" s="118">
        <f t="shared" si="6"/>
        <v>0</v>
      </c>
      <c r="CY34" s="118">
        <f t="shared" si="7"/>
        <v>6.4616179891444817E-2</v>
      </c>
      <c r="CZ34" s="118">
        <f t="shared" si="8"/>
        <v>0</v>
      </c>
      <c r="DA34" s="118">
        <f t="shared" si="9"/>
        <v>0</v>
      </c>
      <c r="DB34" s="118">
        <f t="shared" si="10"/>
        <v>0</v>
      </c>
      <c r="DC34" s="118">
        <f t="shared" si="11"/>
        <v>0</v>
      </c>
    </row>
    <row r="35" spans="2:107" x14ac:dyDescent="0.2">
      <c r="B35" s="10" t="s">
        <v>94</v>
      </c>
      <c r="C35" s="191" t="s">
        <v>136</v>
      </c>
      <c r="D35" s="115"/>
      <c r="E35" s="115"/>
      <c r="F35" s="115"/>
      <c r="G35" s="116"/>
      <c r="H35" s="116"/>
      <c r="I35" s="116"/>
      <c r="J35" s="116">
        <f>SUMIFS(wallet_records!$D:$D,wallet_records!$B:$B,'EEFF 2025'!$C35,wallet_records!$O:$O,'EEFF 2025'!$B$1,wallet_records!$N:$N,'EEFF 2025'!J$2,wallet_records!$H:$H,'EEFF 2025'!$B35)</f>
        <v>0</v>
      </c>
      <c r="K35" s="115"/>
      <c r="L35" s="115"/>
      <c r="M35" s="115"/>
      <c r="N35" s="116"/>
      <c r="O35" s="116"/>
      <c r="P35" s="116"/>
      <c r="Q35" s="115">
        <f>SUMIFS(wallet_records!$D:$D,wallet_records!$B:$B,'EEFF 2025'!$C35,wallet_records!$O:$O,'EEFF 2025'!$B$1,wallet_records!$N:$N,'EEFF 2025'!Q$2,wallet_records!$H:$H,'EEFF 2025'!$B35)</f>
        <v>45000</v>
      </c>
      <c r="R35" s="116"/>
      <c r="S35" s="116"/>
      <c r="T35" s="116"/>
      <c r="U35" s="116"/>
      <c r="V35" s="116"/>
      <c r="X35" s="115">
        <f>SUMIFS(wallet_records!$D:$D,wallet_records!$B:$B,'EEFF 2025'!$C35,wallet_records!$O:$O,'EEFF 2025'!$B$1,wallet_records!$N:$N,'EEFF 2025'!X$2,wallet_records!$H:$H,'EEFF 2025'!$B35)</f>
        <v>0</v>
      </c>
      <c r="Y35" s="116"/>
      <c r="Z35" s="116"/>
      <c r="AA35" s="116"/>
      <c r="AB35" s="116"/>
      <c r="AC35" s="116"/>
      <c r="AE35" s="115">
        <f>SUMIFS(wallet_records!$D:$D,wallet_records!$B:$B,'EEFF 2025'!$C35,wallet_records!$O:$O,'EEFF 2025'!$B$1,wallet_records!$N:$N,'EEFF 2025'!AE$2,wallet_records!$H:$H,'EEFF 2025'!$B35)</f>
        <v>0</v>
      </c>
      <c r="AF35" s="116"/>
      <c r="AG35" s="116"/>
      <c r="AH35" s="116"/>
      <c r="AI35" s="116"/>
      <c r="AJ35" s="116"/>
      <c r="AL35" s="115">
        <f>SUMIFS(wallet_records!$D:$D,wallet_records!$B:$B,'EEFF 2025'!$C35,wallet_records!$O:$O,'EEFF 2025'!$B$1,wallet_records!$N:$N,'EEFF 2025'!AL$2,wallet_records!$H:$H,'EEFF 2025'!$B35)</f>
        <v>0</v>
      </c>
      <c r="AM35" s="116"/>
      <c r="AN35" s="116"/>
      <c r="AO35" s="116"/>
      <c r="AP35" s="116"/>
      <c r="AQ35" s="116"/>
      <c r="AS35" s="115">
        <f>SUMIFS(wallet_records!$D:$D,wallet_records!$B:$B,'EEFF 2025'!$C35,wallet_records!$O:$O,'EEFF 2025'!$B$1,wallet_records!$N:$N,'EEFF 2025'!AS$2,wallet_records!$H:$H,'EEFF 2025'!$B35)</f>
        <v>0</v>
      </c>
      <c r="AT35" s="116"/>
      <c r="AU35" s="116"/>
      <c r="AV35" s="116"/>
      <c r="AW35" s="116"/>
      <c r="AX35" s="116"/>
      <c r="AZ35" s="115">
        <f>SUMIFS(wallet_records!$D:$D,wallet_records!$B:$B,'EEFF 2025'!$C35,wallet_records!$O:$O,'EEFF 2025'!$B$1,wallet_records!$N:$N,'EEFF 2025'!AZ$2,wallet_records!$H:$H,'EEFF 2025'!$B35)</f>
        <v>0</v>
      </c>
      <c r="BA35" s="116"/>
      <c r="BB35" s="116"/>
      <c r="BC35" s="116"/>
      <c r="BD35" s="116"/>
      <c r="BE35" s="116"/>
      <c r="BG35" s="115">
        <f>SUMIFS(wallet_records!$D:$D,wallet_records!$B:$B,'EEFF 2025'!$C35,wallet_records!$O:$O,'EEFF 2025'!$B$1,wallet_records!$N:$N,'EEFF 2025'!BG$2,wallet_records!$H:$H,'EEFF 2025'!$B35)</f>
        <v>0</v>
      </c>
      <c r="BH35" s="116"/>
      <c r="BI35" s="116"/>
      <c r="BJ35" s="116"/>
      <c r="BK35" s="116"/>
      <c r="BL35" s="116"/>
      <c r="BN35" s="115">
        <f>SUMIFS(wallet_records!$D:$D,wallet_records!$B:$B,'EEFF 2025'!$C35,wallet_records!$O:$O,'EEFF 2025'!$B$1,wallet_records!$N:$N,'EEFF 2025'!BN$2,wallet_records!$H:$H,'EEFF 2025'!$B35)</f>
        <v>0</v>
      </c>
      <c r="BO35" s="116"/>
      <c r="BP35" s="116"/>
      <c r="BQ35" s="116"/>
      <c r="BR35" s="116"/>
      <c r="BS35" s="116"/>
      <c r="BU35" s="115">
        <f>SUMIFS(wallet_records!$D:$D,wallet_records!$B:$B,'EEFF 2025'!$C35,wallet_records!$O:$O,'EEFF 2025'!$B$1,wallet_records!$N:$N,'EEFF 2025'!BU$2,wallet_records!$H:$H,'EEFF 2025'!$B35)</f>
        <v>0</v>
      </c>
      <c r="BV35" s="116"/>
      <c r="BW35" s="116"/>
      <c r="BX35" s="116"/>
      <c r="BY35" s="116"/>
      <c r="BZ35" s="116"/>
      <c r="CB35" s="115">
        <f>SUMIFS(wallet_records!$D:$D,wallet_records!$B:$B,'EEFF 2025'!$C35,wallet_records!$O:$O,'EEFF 2025'!$B$1,wallet_records!$N:$N,'EEFF 2025'!CB$2,wallet_records!$H:$H,'EEFF 2025'!$B35)</f>
        <v>0</v>
      </c>
      <c r="CC35" s="116"/>
      <c r="CD35" s="116"/>
      <c r="CE35" s="116"/>
      <c r="CF35" s="116"/>
      <c r="CG35" s="116"/>
      <c r="CI35" s="115">
        <f>SUMIFS(wallet_records!$D:$D,wallet_records!$B:$B,'EEFF 2025'!$C35,wallet_records!$O:$O,'EEFF 2025'!$B$1,wallet_records!$N:$N,'EEFF 2025'!CI$2,wallet_records!$H:$H,'EEFF 2025'!$B35)</f>
        <v>0</v>
      </c>
      <c r="CJ35" s="116"/>
      <c r="CK35" s="116"/>
      <c r="CL35" s="116"/>
      <c r="CM35" s="116"/>
      <c r="CN35" s="116"/>
      <c r="CP35" s="115">
        <f>SUMIFS(wallet_records!$D:$D,wallet_records!$B:$B,'EEFF 2025'!$C35,wallet_records!$O:$O,'EEFF 2025'!$B$1,wallet_records!$H:$H,'EEFF 2025'!$B35)</f>
        <v>45000</v>
      </c>
      <c r="CQ35" s="107"/>
      <c r="CR35" s="118">
        <f t="shared" si="0"/>
        <v>0</v>
      </c>
      <c r="CS35" s="118">
        <f t="shared" si="1"/>
        <v>5.2137643378519288E-3</v>
      </c>
      <c r="CT35" s="118">
        <f t="shared" si="2"/>
        <v>0</v>
      </c>
      <c r="CU35" s="118">
        <f t="shared" si="3"/>
        <v>0</v>
      </c>
      <c r="CV35" s="118">
        <f t="shared" si="4"/>
        <v>0</v>
      </c>
      <c r="CW35" s="118">
        <f t="shared" si="5"/>
        <v>0</v>
      </c>
      <c r="CX35" s="118">
        <f t="shared" si="6"/>
        <v>0</v>
      </c>
      <c r="CY35" s="118">
        <f t="shared" si="7"/>
        <v>0</v>
      </c>
      <c r="CZ35" s="118">
        <f t="shared" si="8"/>
        <v>0</v>
      </c>
      <c r="DA35" s="118">
        <f t="shared" si="9"/>
        <v>0</v>
      </c>
      <c r="DB35" s="118">
        <f t="shared" si="10"/>
        <v>0</v>
      </c>
      <c r="DC35" s="118">
        <f t="shared" si="11"/>
        <v>0</v>
      </c>
    </row>
    <row r="36" spans="2:107" x14ac:dyDescent="0.2">
      <c r="B36" s="10" t="s">
        <v>95</v>
      </c>
      <c r="C36" s="191" t="s">
        <v>136</v>
      </c>
      <c r="D36" s="115"/>
      <c r="E36" s="115"/>
      <c r="F36" s="115"/>
      <c r="G36" s="116"/>
      <c r="H36" s="116"/>
      <c r="I36" s="116"/>
      <c r="J36" s="116">
        <f>SUMIFS(wallet_records!$D:$D,wallet_records!$B:$B,'EEFF 2025'!$C36,wallet_records!$O:$O,'EEFF 2025'!$B$1,wallet_records!$N:$N,'EEFF 2025'!J$2,wallet_records!$H:$H,'EEFF 2025'!$B36)</f>
        <v>94800</v>
      </c>
      <c r="K36" s="115"/>
      <c r="L36" s="115"/>
      <c r="M36" s="115"/>
      <c r="N36" s="116"/>
      <c r="O36" s="116"/>
      <c r="P36" s="116"/>
      <c r="Q36" s="115">
        <f>SUMIFS(wallet_records!$D:$D,wallet_records!$B:$B,'EEFF 2025'!$C36,wallet_records!$O:$O,'EEFF 2025'!$B$1,wallet_records!$N:$N,'EEFF 2025'!Q$2,wallet_records!$H:$H,'EEFF 2025'!$B36)</f>
        <v>0</v>
      </c>
      <c r="R36" s="116"/>
      <c r="S36" s="116"/>
      <c r="T36" s="116"/>
      <c r="U36" s="116"/>
      <c r="V36" s="116"/>
      <c r="X36" s="115">
        <f>SUMIFS(wallet_records!$D:$D,wallet_records!$B:$B,'EEFF 2025'!$C36,wallet_records!$O:$O,'EEFF 2025'!$B$1,wallet_records!$N:$N,'EEFF 2025'!X$2,wallet_records!$H:$H,'EEFF 2025'!$B36)</f>
        <v>0</v>
      </c>
      <c r="Y36" s="116"/>
      <c r="Z36" s="116"/>
      <c r="AA36" s="116"/>
      <c r="AB36" s="116"/>
      <c r="AC36" s="116"/>
      <c r="AE36" s="115">
        <f>SUMIFS(wallet_records!$D:$D,wallet_records!$B:$B,'EEFF 2025'!$C36,wallet_records!$O:$O,'EEFF 2025'!$B$1,wallet_records!$N:$N,'EEFF 2025'!AE$2,wallet_records!$H:$H,'EEFF 2025'!$B36)</f>
        <v>0</v>
      </c>
      <c r="AF36" s="116"/>
      <c r="AG36" s="116"/>
      <c r="AH36" s="116"/>
      <c r="AI36" s="116"/>
      <c r="AJ36" s="116"/>
      <c r="AL36" s="115">
        <f>SUMIFS(wallet_records!$D:$D,wallet_records!$B:$B,'EEFF 2025'!$C36,wallet_records!$O:$O,'EEFF 2025'!$B$1,wallet_records!$N:$N,'EEFF 2025'!AL$2,wallet_records!$H:$H,'EEFF 2025'!$B36)</f>
        <v>0</v>
      </c>
      <c r="AM36" s="116"/>
      <c r="AN36" s="116"/>
      <c r="AO36" s="116"/>
      <c r="AP36" s="116"/>
      <c r="AQ36" s="116"/>
      <c r="AS36" s="115">
        <f>SUMIFS(wallet_records!$D:$D,wallet_records!$B:$B,'EEFF 2025'!$C36,wallet_records!$O:$O,'EEFF 2025'!$B$1,wallet_records!$N:$N,'EEFF 2025'!AS$2,wallet_records!$H:$H,'EEFF 2025'!$B36)</f>
        <v>0</v>
      </c>
      <c r="AT36" s="116"/>
      <c r="AU36" s="116"/>
      <c r="AV36" s="116"/>
      <c r="AW36" s="116"/>
      <c r="AX36" s="116"/>
      <c r="AZ36" s="115">
        <f>SUMIFS(wallet_records!$D:$D,wallet_records!$B:$B,'EEFF 2025'!$C36,wallet_records!$O:$O,'EEFF 2025'!$B$1,wallet_records!$N:$N,'EEFF 2025'!AZ$2,wallet_records!$H:$H,'EEFF 2025'!$B36)</f>
        <v>0</v>
      </c>
      <c r="BA36" s="116"/>
      <c r="BB36" s="116"/>
      <c r="BC36" s="116"/>
      <c r="BD36" s="116"/>
      <c r="BE36" s="116"/>
      <c r="BG36" s="115">
        <f>SUMIFS(wallet_records!$D:$D,wallet_records!$B:$B,'EEFF 2025'!$C36,wallet_records!$O:$O,'EEFF 2025'!$B$1,wallet_records!$N:$N,'EEFF 2025'!BG$2,wallet_records!$H:$H,'EEFF 2025'!$B36)</f>
        <v>0</v>
      </c>
      <c r="BH36" s="116"/>
      <c r="BI36" s="116"/>
      <c r="BJ36" s="116"/>
      <c r="BK36" s="116"/>
      <c r="BL36" s="116"/>
      <c r="BN36" s="115">
        <f>SUMIFS(wallet_records!$D:$D,wallet_records!$B:$B,'EEFF 2025'!$C36,wallet_records!$O:$O,'EEFF 2025'!$B$1,wallet_records!$N:$N,'EEFF 2025'!BN$2,wallet_records!$H:$H,'EEFF 2025'!$B36)</f>
        <v>0</v>
      </c>
      <c r="BO36" s="116"/>
      <c r="BP36" s="116"/>
      <c r="BQ36" s="116"/>
      <c r="BR36" s="116"/>
      <c r="BS36" s="116"/>
      <c r="BU36" s="115">
        <f>SUMIFS(wallet_records!$D:$D,wallet_records!$B:$B,'EEFF 2025'!$C36,wallet_records!$O:$O,'EEFF 2025'!$B$1,wallet_records!$N:$N,'EEFF 2025'!BU$2,wallet_records!$H:$H,'EEFF 2025'!$B36)</f>
        <v>0</v>
      </c>
      <c r="BV36" s="116"/>
      <c r="BW36" s="116"/>
      <c r="BX36" s="116"/>
      <c r="BY36" s="116"/>
      <c r="BZ36" s="116"/>
      <c r="CB36" s="115">
        <f>SUMIFS(wallet_records!$D:$D,wallet_records!$B:$B,'EEFF 2025'!$C36,wallet_records!$O:$O,'EEFF 2025'!$B$1,wallet_records!$N:$N,'EEFF 2025'!CB$2,wallet_records!$H:$H,'EEFF 2025'!$B36)</f>
        <v>0</v>
      </c>
      <c r="CC36" s="116"/>
      <c r="CD36" s="116"/>
      <c r="CE36" s="116"/>
      <c r="CF36" s="116"/>
      <c r="CG36" s="116"/>
      <c r="CI36" s="115">
        <f>SUMIFS(wallet_records!$D:$D,wallet_records!$B:$B,'EEFF 2025'!$C36,wallet_records!$O:$O,'EEFF 2025'!$B$1,wallet_records!$N:$N,'EEFF 2025'!CI$2,wallet_records!$H:$H,'EEFF 2025'!$B36)</f>
        <v>0</v>
      </c>
      <c r="CJ36" s="116"/>
      <c r="CK36" s="116"/>
      <c r="CL36" s="116"/>
      <c r="CM36" s="116"/>
      <c r="CN36" s="116"/>
      <c r="CP36" s="115">
        <f>SUMIFS(wallet_records!$D:$D,wallet_records!$B:$B,'EEFF 2025'!$C36,wallet_records!$O:$O,'EEFF 2025'!$B$1,wallet_records!$H:$H,'EEFF 2025'!$B36)</f>
        <v>94800</v>
      </c>
      <c r="CQ36" s="107"/>
      <c r="CR36" s="118">
        <f t="shared" si="0"/>
        <v>1.0214416549940739E-2</v>
      </c>
      <c r="CS36" s="118">
        <f t="shared" si="1"/>
        <v>0</v>
      </c>
      <c r="CT36" s="118">
        <f t="shared" si="2"/>
        <v>0</v>
      </c>
      <c r="CU36" s="118">
        <f t="shared" si="3"/>
        <v>0</v>
      </c>
      <c r="CV36" s="118">
        <f t="shared" si="4"/>
        <v>0</v>
      </c>
      <c r="CW36" s="118">
        <f t="shared" si="5"/>
        <v>0</v>
      </c>
      <c r="CX36" s="118">
        <f t="shared" si="6"/>
        <v>0</v>
      </c>
      <c r="CY36" s="118">
        <f t="shared" si="7"/>
        <v>0</v>
      </c>
      <c r="CZ36" s="118">
        <f t="shared" si="8"/>
        <v>0</v>
      </c>
      <c r="DA36" s="118">
        <f t="shared" si="9"/>
        <v>0</v>
      </c>
      <c r="DB36" s="118">
        <f t="shared" si="10"/>
        <v>0</v>
      </c>
      <c r="DC36" s="118">
        <f t="shared" si="11"/>
        <v>0</v>
      </c>
    </row>
    <row r="37" spans="2:107" x14ac:dyDescent="0.2">
      <c r="B37" s="10" t="s">
        <v>137</v>
      </c>
      <c r="C37" s="191" t="s">
        <v>136</v>
      </c>
      <c r="D37" s="115"/>
      <c r="E37" s="115"/>
      <c r="F37" s="115"/>
      <c r="G37" s="116"/>
      <c r="H37" s="116"/>
      <c r="I37" s="116"/>
      <c r="J37" s="116">
        <f>SUMIFS(wallet_records!$D:$D,wallet_records!$B:$B,'EEFF 2025'!$C37,wallet_records!$O:$O,'EEFF 2025'!$B$1,wallet_records!$N:$N,'EEFF 2025'!J$2,wallet_records!$H:$H,'EEFF 2025'!$B37)</f>
        <v>0</v>
      </c>
      <c r="K37" s="115"/>
      <c r="L37" s="115"/>
      <c r="M37" s="115"/>
      <c r="N37" s="116"/>
      <c r="O37" s="116"/>
      <c r="P37" s="116"/>
      <c r="Q37" s="115">
        <f>SUMIFS(wallet_records!$D:$D,wallet_records!$B:$B,'EEFF 2025'!$C37,wallet_records!$O:$O,'EEFF 2025'!$B$1,wallet_records!$N:$N,'EEFF 2025'!Q$2,wallet_records!$H:$H,'EEFF 2025'!$B37)</f>
        <v>0</v>
      </c>
      <c r="R37" s="116"/>
      <c r="S37" s="116"/>
      <c r="T37" s="116"/>
      <c r="U37" s="116"/>
      <c r="V37" s="116"/>
      <c r="X37" s="115">
        <f>SUMIFS(wallet_records!$D:$D,wallet_records!$B:$B,'EEFF 2025'!$C37,wallet_records!$O:$O,'EEFF 2025'!$B$1,wallet_records!$N:$N,'EEFF 2025'!X$2,wallet_records!$H:$H,'EEFF 2025'!$B37)</f>
        <v>0</v>
      </c>
      <c r="Y37" s="116"/>
      <c r="Z37" s="116"/>
      <c r="AA37" s="116"/>
      <c r="AB37" s="116"/>
      <c r="AC37" s="116"/>
      <c r="AE37" s="115">
        <f>SUMIFS(wallet_records!$D:$D,wallet_records!$B:$B,'EEFF 2025'!$C37,wallet_records!$O:$O,'EEFF 2025'!$B$1,wallet_records!$N:$N,'EEFF 2025'!AE$2,wallet_records!$H:$H,'EEFF 2025'!$B37)</f>
        <v>0</v>
      </c>
      <c r="AF37" s="116"/>
      <c r="AG37" s="116"/>
      <c r="AH37" s="116"/>
      <c r="AI37" s="116"/>
      <c r="AJ37" s="116"/>
      <c r="AL37" s="115">
        <f>SUMIFS(wallet_records!$D:$D,wallet_records!$B:$B,'EEFF 2025'!$C37,wallet_records!$O:$O,'EEFF 2025'!$B$1,wallet_records!$N:$N,'EEFF 2025'!AL$2,wallet_records!$H:$H,'EEFF 2025'!$B37)</f>
        <v>0</v>
      </c>
      <c r="AM37" s="116"/>
      <c r="AN37" s="116"/>
      <c r="AO37" s="116"/>
      <c r="AP37" s="116"/>
      <c r="AQ37" s="116"/>
      <c r="AS37" s="115">
        <f>SUMIFS(wallet_records!$D:$D,wallet_records!$B:$B,'EEFF 2025'!$C37,wallet_records!$O:$O,'EEFF 2025'!$B$1,wallet_records!$N:$N,'EEFF 2025'!AS$2,wallet_records!$H:$H,'EEFF 2025'!$B37)</f>
        <v>0</v>
      </c>
      <c r="AT37" s="116"/>
      <c r="AU37" s="116"/>
      <c r="AV37" s="116"/>
      <c r="AW37" s="116"/>
      <c r="AX37" s="116"/>
      <c r="AZ37" s="115">
        <f>SUMIFS(wallet_records!$D:$D,wallet_records!$B:$B,'EEFF 2025'!$C37,wallet_records!$O:$O,'EEFF 2025'!$B$1,wallet_records!$N:$N,'EEFF 2025'!AZ$2,wallet_records!$H:$H,'EEFF 2025'!$B37)</f>
        <v>0</v>
      </c>
      <c r="BA37" s="116"/>
      <c r="BB37" s="116"/>
      <c r="BC37" s="116"/>
      <c r="BD37" s="116"/>
      <c r="BE37" s="116"/>
      <c r="BG37" s="115">
        <f>SUMIFS(wallet_records!$D:$D,wallet_records!$B:$B,'EEFF 2025'!$C37,wallet_records!$O:$O,'EEFF 2025'!$B$1,wallet_records!$N:$N,'EEFF 2025'!BG$2,wallet_records!$H:$H,'EEFF 2025'!$B37)</f>
        <v>0</v>
      </c>
      <c r="BH37" s="116"/>
      <c r="BI37" s="116"/>
      <c r="BJ37" s="116"/>
      <c r="BK37" s="116"/>
      <c r="BL37" s="116"/>
      <c r="BN37" s="115">
        <f>SUMIFS(wallet_records!$D:$D,wallet_records!$B:$B,'EEFF 2025'!$C37,wallet_records!$O:$O,'EEFF 2025'!$B$1,wallet_records!$N:$N,'EEFF 2025'!BN$2,wallet_records!$H:$H,'EEFF 2025'!$B37)</f>
        <v>0</v>
      </c>
      <c r="BO37" s="116"/>
      <c r="BP37" s="116"/>
      <c r="BQ37" s="116"/>
      <c r="BR37" s="116"/>
      <c r="BS37" s="116"/>
      <c r="BU37" s="115">
        <f>SUMIFS(wallet_records!$D:$D,wallet_records!$B:$B,'EEFF 2025'!$C37,wallet_records!$O:$O,'EEFF 2025'!$B$1,wallet_records!$N:$N,'EEFF 2025'!BU$2,wallet_records!$H:$H,'EEFF 2025'!$B37)</f>
        <v>0</v>
      </c>
      <c r="BV37" s="116"/>
      <c r="BW37" s="116"/>
      <c r="BX37" s="116"/>
      <c r="BY37" s="116"/>
      <c r="BZ37" s="116"/>
      <c r="CB37" s="115">
        <f>SUMIFS(wallet_records!$D:$D,wallet_records!$B:$B,'EEFF 2025'!$C37,wallet_records!$O:$O,'EEFF 2025'!$B$1,wallet_records!$N:$N,'EEFF 2025'!CB$2,wallet_records!$H:$H,'EEFF 2025'!$B37)</f>
        <v>0</v>
      </c>
      <c r="CC37" s="116"/>
      <c r="CD37" s="116"/>
      <c r="CE37" s="116"/>
      <c r="CF37" s="116"/>
      <c r="CG37" s="116"/>
      <c r="CI37" s="115">
        <f>SUMIFS(wallet_records!$D:$D,wallet_records!$B:$B,'EEFF 2025'!$C37,wallet_records!$O:$O,'EEFF 2025'!$B$1,wallet_records!$N:$N,'EEFF 2025'!CI$2,wallet_records!$H:$H,'EEFF 2025'!$B37)</f>
        <v>254400</v>
      </c>
      <c r="CJ37" s="116"/>
      <c r="CK37" s="116"/>
      <c r="CL37" s="116"/>
      <c r="CM37" s="116"/>
      <c r="CN37" s="116"/>
      <c r="CP37" s="115">
        <f>SUMIFS(wallet_records!$D:$D,wallet_records!$B:$B,'EEFF 2025'!$C37,wallet_records!$O:$O,'EEFF 2025'!$B$1,wallet_records!$H:$H,'EEFF 2025'!$B37)</f>
        <v>254400</v>
      </c>
      <c r="CQ37" s="107"/>
      <c r="CR37" s="118">
        <f t="shared" si="0"/>
        <v>0</v>
      </c>
      <c r="CS37" s="118">
        <f t="shared" si="1"/>
        <v>0</v>
      </c>
      <c r="CT37" s="118">
        <f t="shared" si="2"/>
        <v>0</v>
      </c>
      <c r="CU37" s="118">
        <f t="shared" si="3"/>
        <v>0</v>
      </c>
      <c r="CV37" s="118">
        <f t="shared" si="4"/>
        <v>0</v>
      </c>
      <c r="CW37" s="118">
        <f t="shared" si="5"/>
        <v>0</v>
      </c>
      <c r="CX37" s="118">
        <f t="shared" si="6"/>
        <v>0</v>
      </c>
      <c r="CY37" s="118">
        <f t="shared" si="7"/>
        <v>0</v>
      </c>
      <c r="CZ37" s="118">
        <f t="shared" si="8"/>
        <v>0</v>
      </c>
      <c r="DA37" s="118">
        <f t="shared" si="9"/>
        <v>0</v>
      </c>
      <c r="DB37" s="118">
        <f t="shared" si="10"/>
        <v>0</v>
      </c>
      <c r="DC37" s="118">
        <f t="shared" si="11"/>
        <v>2.2866182498022577E-2</v>
      </c>
    </row>
    <row r="38" spans="2:107" x14ac:dyDescent="0.2">
      <c r="B38" s="10" t="s">
        <v>156</v>
      </c>
      <c r="C38" s="191" t="s">
        <v>136</v>
      </c>
      <c r="D38" s="115"/>
      <c r="E38" s="115"/>
      <c r="F38" s="115"/>
      <c r="G38" s="116"/>
      <c r="H38" s="116"/>
      <c r="I38" s="116"/>
      <c r="J38" s="116">
        <f>SUMIFS(wallet_records!$D:$D,wallet_records!$B:$B,'EEFF 2025'!$C38,wallet_records!$O:$O,'EEFF 2025'!$B$1,wallet_records!$N:$N,'EEFF 2025'!J$2,wallet_records!$H:$H,'EEFF 2025'!$B38)</f>
        <v>0</v>
      </c>
      <c r="K38" s="115"/>
      <c r="L38" s="115"/>
      <c r="M38" s="115"/>
      <c r="N38" s="116"/>
      <c r="O38" s="116"/>
      <c r="P38" s="116"/>
      <c r="Q38" s="115">
        <f>SUMIFS(wallet_records!$D:$D,wallet_records!$B:$B,'EEFF 2025'!$C38,wallet_records!$O:$O,'EEFF 2025'!$B$1,wallet_records!$N:$N,'EEFF 2025'!Q$2,wallet_records!$H:$H,'EEFF 2025'!$B38)</f>
        <v>0</v>
      </c>
      <c r="R38" s="116"/>
      <c r="S38" s="116"/>
      <c r="T38" s="116"/>
      <c r="U38" s="116"/>
      <c r="V38" s="116"/>
      <c r="X38" s="115">
        <f>SUMIFS(wallet_records!$D:$D,wallet_records!$B:$B,'EEFF 2025'!$C38,wallet_records!$O:$O,'EEFF 2025'!$B$1,wallet_records!$N:$N,'EEFF 2025'!X$2,wallet_records!$H:$H,'EEFF 2025'!$B38)</f>
        <v>0</v>
      </c>
      <c r="Y38" s="116"/>
      <c r="Z38" s="116"/>
      <c r="AA38" s="116"/>
      <c r="AB38" s="116"/>
      <c r="AC38" s="116"/>
      <c r="AE38" s="115">
        <f>SUMIFS(wallet_records!$D:$D,wallet_records!$B:$B,'EEFF 2025'!$C38,wallet_records!$O:$O,'EEFF 2025'!$B$1,wallet_records!$N:$N,'EEFF 2025'!AE$2,wallet_records!$H:$H,'EEFF 2025'!$B38)</f>
        <v>0</v>
      </c>
      <c r="AF38" s="116"/>
      <c r="AG38" s="116"/>
      <c r="AH38" s="116"/>
      <c r="AI38" s="116"/>
      <c r="AJ38" s="116"/>
      <c r="AL38" s="115">
        <f>SUMIFS(wallet_records!$D:$D,wallet_records!$B:$B,'EEFF 2025'!$C38,wallet_records!$O:$O,'EEFF 2025'!$B$1,wallet_records!$N:$N,'EEFF 2025'!AL$2,wallet_records!$H:$H,'EEFF 2025'!$B38)</f>
        <v>0</v>
      </c>
      <c r="AM38" s="116"/>
      <c r="AN38" s="116"/>
      <c r="AO38" s="116"/>
      <c r="AP38" s="116"/>
      <c r="AQ38" s="116"/>
      <c r="AS38" s="115">
        <f>SUMIFS(wallet_records!$D:$D,wallet_records!$B:$B,'EEFF 2025'!$C38,wallet_records!$O:$O,'EEFF 2025'!$B$1,wallet_records!$N:$N,'EEFF 2025'!AS$2,wallet_records!$H:$H,'EEFF 2025'!$B38)</f>
        <v>0</v>
      </c>
      <c r="AT38" s="116"/>
      <c r="AU38" s="116"/>
      <c r="AV38" s="116"/>
      <c r="AW38" s="116"/>
      <c r="AX38" s="116"/>
      <c r="AZ38" s="115">
        <f>SUMIFS(wallet_records!$D:$D,wallet_records!$B:$B,'EEFF 2025'!$C38,wallet_records!$O:$O,'EEFF 2025'!$B$1,wallet_records!$N:$N,'EEFF 2025'!AZ$2,wallet_records!$H:$H,'EEFF 2025'!$B38)</f>
        <v>0</v>
      </c>
      <c r="BA38" s="116"/>
      <c r="BB38" s="116"/>
      <c r="BC38" s="116"/>
      <c r="BD38" s="116"/>
      <c r="BE38" s="116"/>
      <c r="BG38" s="115">
        <f>SUMIFS(wallet_records!$D:$D,wallet_records!$B:$B,'EEFF 2025'!$C38,wallet_records!$O:$O,'EEFF 2025'!$B$1,wallet_records!$N:$N,'EEFF 2025'!BG$2,wallet_records!$H:$H,'EEFF 2025'!$B38)</f>
        <v>0</v>
      </c>
      <c r="BH38" s="116"/>
      <c r="BI38" s="116"/>
      <c r="BJ38" s="116"/>
      <c r="BK38" s="116"/>
      <c r="BL38" s="116"/>
      <c r="BN38" s="115">
        <f>SUMIFS(wallet_records!$D:$D,wallet_records!$B:$B,'EEFF 2025'!$C38,wallet_records!$O:$O,'EEFF 2025'!$B$1,wallet_records!$N:$N,'EEFF 2025'!BN$2,wallet_records!$H:$H,'EEFF 2025'!$B38)</f>
        <v>10100000</v>
      </c>
      <c r="BO38" s="116"/>
      <c r="BP38" s="116"/>
      <c r="BQ38" s="116"/>
      <c r="BR38" s="116"/>
      <c r="BS38" s="116"/>
      <c r="BU38" s="115">
        <f>SUMIFS(wallet_records!$D:$D,wallet_records!$B:$B,'EEFF 2025'!$C38,wallet_records!$O:$O,'EEFF 2025'!$B$1,wallet_records!$N:$N,'EEFF 2025'!BU$2,wallet_records!$H:$H,'EEFF 2025'!$B38)</f>
        <v>5100000</v>
      </c>
      <c r="BV38" s="116"/>
      <c r="BW38" s="116"/>
      <c r="BX38" s="116"/>
      <c r="BY38" s="116"/>
      <c r="BZ38" s="116"/>
      <c r="CB38" s="115">
        <f>SUMIFS(wallet_records!$D:$D,wallet_records!$B:$B,'EEFF 2025'!$C38,wallet_records!$O:$O,'EEFF 2025'!$B$1,wallet_records!$N:$N,'EEFF 2025'!CB$2,wallet_records!$H:$H,'EEFF 2025'!$B38)</f>
        <v>2294000</v>
      </c>
      <c r="CC38" s="116"/>
      <c r="CD38" s="116"/>
      <c r="CE38" s="116"/>
      <c r="CF38" s="116"/>
      <c r="CG38" s="116"/>
      <c r="CI38" s="115">
        <f>SUMIFS(wallet_records!$D:$D,wallet_records!$B:$B,'EEFF 2025'!$C38,wallet_records!$O:$O,'EEFF 2025'!$B$1,wallet_records!$N:$N,'EEFF 2025'!CI$2,wallet_records!$H:$H,'EEFF 2025'!$B38)</f>
        <v>0</v>
      </c>
      <c r="CJ38" s="116"/>
      <c r="CK38" s="116"/>
      <c r="CL38" s="116"/>
      <c r="CM38" s="116"/>
      <c r="CN38" s="116"/>
      <c r="CP38" s="115">
        <f>SUMIFS(wallet_records!$D:$D,wallet_records!$B:$B,'EEFF 2025'!$C38,wallet_records!$O:$O,'EEFF 2025'!$B$1,wallet_records!$H:$H,'EEFF 2025'!$B38)</f>
        <v>17494000</v>
      </c>
      <c r="CQ38" s="107"/>
      <c r="CR38" s="118">
        <f t="shared" si="0"/>
        <v>0</v>
      </c>
      <c r="CS38" s="118">
        <f t="shared" si="1"/>
        <v>0</v>
      </c>
      <c r="CT38" s="118">
        <f t="shared" si="2"/>
        <v>0</v>
      </c>
      <c r="CU38" s="118">
        <f t="shared" si="3"/>
        <v>0</v>
      </c>
      <c r="CV38" s="118">
        <f t="shared" si="4"/>
        <v>0</v>
      </c>
      <c r="CW38" s="118">
        <f t="shared" si="5"/>
        <v>0</v>
      </c>
      <c r="CX38" s="118">
        <f t="shared" si="6"/>
        <v>0</v>
      </c>
      <c r="CY38" s="118">
        <f t="shared" si="7"/>
        <v>0</v>
      </c>
      <c r="CZ38" s="118">
        <f t="shared" si="8"/>
        <v>1.4821119361371173</v>
      </c>
      <c r="DA38" s="118">
        <f t="shared" si="9"/>
        <v>0.44994971150283203</v>
      </c>
      <c r="DB38" s="118">
        <f t="shared" si="10"/>
        <v>0.27990629118063354</v>
      </c>
      <c r="DC38" s="118">
        <f t="shared" si="11"/>
        <v>0</v>
      </c>
    </row>
    <row r="39" spans="2:107" x14ac:dyDescent="0.2">
      <c r="B39" s="10" t="s">
        <v>510</v>
      </c>
      <c r="C39" s="191" t="s">
        <v>131</v>
      </c>
      <c r="D39" s="115"/>
      <c r="E39" s="115"/>
      <c r="F39" s="115"/>
      <c r="G39" s="116"/>
      <c r="H39" s="116"/>
      <c r="I39" s="116"/>
      <c r="J39" s="116">
        <f>SUMIFS(wallet_records!$D:$D,wallet_records!$B:$B,'EEFF 2025'!$C39,wallet_records!$O:$O,'EEFF 2025'!$B$1,wallet_records!$N:$N,'EEFF 2025'!J$2,wallet_records!$H:$H,'EEFF 2025'!$B39)</f>
        <v>0</v>
      </c>
      <c r="K39" s="115"/>
      <c r="L39" s="115"/>
      <c r="M39" s="115"/>
      <c r="N39" s="116"/>
      <c r="O39" s="116"/>
      <c r="P39" s="116"/>
      <c r="Q39" s="115">
        <f>SUMIFS(wallet_records!$D:$D,wallet_records!$B:$B,'EEFF 2025'!$C39,wallet_records!$O:$O,'EEFF 2025'!$B$1,wallet_records!$N:$N,'EEFF 2025'!Q$2,wallet_records!$H:$H,'EEFF 2025'!$B39)</f>
        <v>0</v>
      </c>
      <c r="R39" s="116"/>
      <c r="S39" s="116"/>
      <c r="T39" s="116"/>
      <c r="U39" s="116"/>
      <c r="V39" s="116"/>
      <c r="X39" s="115">
        <f>SUMIFS(wallet_records!$D:$D,wallet_records!$B:$B,'EEFF 2025'!$C39,wallet_records!$O:$O,'EEFF 2025'!$B$1,wallet_records!$N:$N,'EEFF 2025'!X$2,wallet_records!$H:$H,'EEFF 2025'!$B39)</f>
        <v>0</v>
      </c>
      <c r="Y39" s="116"/>
      <c r="Z39" s="116"/>
      <c r="AA39" s="116"/>
      <c r="AB39" s="116"/>
      <c r="AC39" s="116"/>
      <c r="AE39" s="115">
        <f>SUMIFS(wallet_records!$D:$D,wallet_records!$B:$B,'EEFF 2025'!$C39,wallet_records!$O:$O,'EEFF 2025'!$B$1,wallet_records!$N:$N,'EEFF 2025'!AE$2,wallet_records!$H:$H,'EEFF 2025'!$B39)</f>
        <v>0</v>
      </c>
      <c r="AF39" s="116"/>
      <c r="AG39" s="116"/>
      <c r="AH39" s="116"/>
      <c r="AI39" s="116"/>
      <c r="AJ39" s="116"/>
      <c r="AL39" s="115">
        <f>SUMIFS(wallet_records!$D:$D,wallet_records!$B:$B,'EEFF 2025'!$C39,wallet_records!$O:$O,'EEFF 2025'!$B$1,wallet_records!$N:$N,'EEFF 2025'!AL$2,wallet_records!$H:$H,'EEFF 2025'!$B39)</f>
        <v>0</v>
      </c>
      <c r="AM39" s="116"/>
      <c r="AN39" s="116"/>
      <c r="AO39" s="116"/>
      <c r="AP39" s="116"/>
      <c r="AQ39" s="116"/>
      <c r="AS39" s="115">
        <f>SUMIFS(wallet_records!$D:$D,wallet_records!$B:$B,'EEFF 2025'!$C39,wallet_records!$O:$O,'EEFF 2025'!$B$1,wallet_records!$N:$N,'EEFF 2025'!AS$2,wallet_records!$H:$H,'EEFF 2025'!$B39)</f>
        <v>0</v>
      </c>
      <c r="AT39" s="116"/>
      <c r="AU39" s="116"/>
      <c r="AV39" s="116"/>
      <c r="AW39" s="116"/>
      <c r="AX39" s="116"/>
      <c r="AZ39" s="115">
        <f>SUMIFS(wallet_records!$D:$D,wallet_records!$B:$B,'EEFF 2025'!$C39,wallet_records!$O:$O,'EEFF 2025'!$B$1,wallet_records!$N:$N,'EEFF 2025'!AZ$2,wallet_records!$H:$H,'EEFF 2025'!$B39)</f>
        <v>0</v>
      </c>
      <c r="BA39" s="116"/>
      <c r="BB39" s="116"/>
      <c r="BC39" s="116"/>
      <c r="BD39" s="116"/>
      <c r="BE39" s="116"/>
      <c r="BG39" s="115">
        <f>SUMIFS(wallet_records!$D:$D,wallet_records!$B:$B,'EEFF 2025'!$C39,wallet_records!$O:$O,'EEFF 2025'!$B$1,wallet_records!$N:$N,'EEFF 2025'!BG$2,wallet_records!$H:$H,'EEFF 2025'!$B39)</f>
        <v>0</v>
      </c>
      <c r="BH39" s="116"/>
      <c r="BI39" s="116"/>
      <c r="BJ39" s="116"/>
      <c r="BK39" s="116"/>
      <c r="BL39" s="116"/>
      <c r="BN39" s="115">
        <f>SUMIFS(wallet_records!$D:$D,wallet_records!$B:$B,'EEFF 2025'!$C39,wallet_records!$O:$O,'EEFF 2025'!$B$1,wallet_records!$N:$N,'EEFF 2025'!BN$2,wallet_records!$H:$H,'EEFF 2025'!$B39)</f>
        <v>0</v>
      </c>
      <c r="BO39" s="116"/>
      <c r="BP39" s="116"/>
      <c r="BQ39" s="116"/>
      <c r="BR39" s="116"/>
      <c r="BS39" s="116"/>
      <c r="BU39" s="115">
        <f>SUMIFS(wallet_records!$D:$D,wallet_records!$B:$B,'EEFF 2025'!$C39,wallet_records!$O:$O,'EEFF 2025'!$B$1,wallet_records!$N:$N,'EEFF 2025'!BU$2,wallet_records!$H:$H,'EEFF 2025'!$B39)</f>
        <v>0</v>
      </c>
      <c r="BV39" s="116"/>
      <c r="BW39" s="116"/>
      <c r="BX39" s="116"/>
      <c r="BY39" s="116"/>
      <c r="BZ39" s="116"/>
      <c r="CB39" s="115">
        <f>SUMIFS(wallet_records!$D:$D,wallet_records!$B:$B,'EEFF 2025'!$C39,wallet_records!$O:$O,'EEFF 2025'!$B$1,wallet_records!$N:$N,'EEFF 2025'!CB$2,wallet_records!$H:$H,'EEFF 2025'!$B39)</f>
        <v>0</v>
      </c>
      <c r="CC39" s="116"/>
      <c r="CD39" s="116"/>
      <c r="CE39" s="116"/>
      <c r="CF39" s="116"/>
      <c r="CG39" s="116"/>
      <c r="CI39" s="115">
        <f>SUMIFS(wallet_records!$D:$D,wallet_records!$B:$B,'EEFF 2025'!$C39,wallet_records!$O:$O,'EEFF 2025'!$B$1,wallet_records!$N:$N,'EEFF 2025'!CI$2,wallet_records!$H:$H,'EEFF 2025'!$B39)</f>
        <v>0</v>
      </c>
      <c r="CJ39" s="116"/>
      <c r="CK39" s="116"/>
      <c r="CL39" s="116"/>
      <c r="CM39" s="116"/>
      <c r="CN39" s="116"/>
      <c r="CP39" s="115">
        <f>SUMIFS(wallet_records!$D:$D,wallet_records!$B:$B,'EEFF 2025'!$C39,wallet_records!$O:$O,'EEFF 2025'!$B$1,wallet_records!$H:$H,'EEFF 2025'!$B39)</f>
        <v>0</v>
      </c>
      <c r="CQ39" s="107"/>
      <c r="CR39" s="118">
        <f t="shared" si="0"/>
        <v>0</v>
      </c>
      <c r="CS39" s="118">
        <f t="shared" si="1"/>
        <v>0</v>
      </c>
      <c r="CT39" s="118">
        <f t="shared" si="2"/>
        <v>0</v>
      </c>
      <c r="CU39" s="118">
        <f t="shared" si="3"/>
        <v>0</v>
      </c>
      <c r="CV39" s="118">
        <f t="shared" si="4"/>
        <v>0</v>
      </c>
      <c r="CW39" s="118">
        <f t="shared" si="5"/>
        <v>0</v>
      </c>
      <c r="CX39" s="118">
        <f t="shared" si="6"/>
        <v>0</v>
      </c>
      <c r="CY39" s="118">
        <f t="shared" si="7"/>
        <v>0</v>
      </c>
      <c r="CZ39" s="118">
        <f t="shared" si="8"/>
        <v>0</v>
      </c>
      <c r="DA39" s="118">
        <f t="shared" si="9"/>
        <v>0</v>
      </c>
      <c r="DB39" s="118">
        <f t="shared" si="10"/>
        <v>0</v>
      </c>
      <c r="DC39" s="118">
        <f t="shared" si="11"/>
        <v>0</v>
      </c>
    </row>
    <row r="40" spans="2:107" x14ac:dyDescent="0.2">
      <c r="B40" s="10" t="s">
        <v>522</v>
      </c>
      <c r="C40" s="191" t="s">
        <v>136</v>
      </c>
      <c r="D40" s="115"/>
      <c r="E40" s="115"/>
      <c r="F40" s="115"/>
      <c r="G40" s="116"/>
      <c r="H40" s="116"/>
      <c r="I40" s="116"/>
      <c r="J40" s="116">
        <f>SUMIFS(wallet_records!$D:$D,wallet_records!$B:$B,'EEFF 2025'!$C40,wallet_records!$O:$O,'EEFF 2025'!$B$1,wallet_records!$N:$N,'EEFF 2025'!J$2,wallet_records!$H:$H,'EEFF 2025'!$B40,wallet_records!$F:$F,"Gasto")</f>
        <v>9927580.5199999996</v>
      </c>
      <c r="K40" s="115"/>
      <c r="L40" s="115"/>
      <c r="M40" s="115"/>
      <c r="N40" s="116"/>
      <c r="O40" s="116"/>
      <c r="P40" s="116"/>
      <c r="Q40" s="115">
        <f>SUMIFS(wallet_records!$D:$D,wallet_records!$B:$B,'EEFF 2025'!$C40,wallet_records!$O:$O,'EEFF 2025'!$B$1,wallet_records!$N:$N,'EEFF 2025'!Q$2,wallet_records!$H:$H,'EEFF 2025'!$B40,wallet_records!$F:$F,"Gasto")</f>
        <v>1892615.66</v>
      </c>
      <c r="R40" s="116"/>
      <c r="S40" s="116"/>
      <c r="T40" s="116"/>
      <c r="U40" s="116"/>
      <c r="V40" s="116"/>
      <c r="X40" s="115">
        <f>SUMIFS(wallet_records!$D:$D,wallet_records!$B:$B,'EEFF 2025'!$C40,wallet_records!$O:$O,'EEFF 2025'!$B$1,wallet_records!$N:$N,'EEFF 2025'!X$2,wallet_records!$H:$H,'EEFF 2025'!$B40,wallet_records!$F:$F,"Gasto")</f>
        <v>3997783.59</v>
      </c>
      <c r="Y40" s="116"/>
      <c r="Z40" s="116"/>
      <c r="AA40" s="116"/>
      <c r="AB40" s="116"/>
      <c r="AC40" s="116"/>
      <c r="AE40" s="115">
        <f>SUMIFS(wallet_records!$D:$D,wallet_records!$B:$B,'EEFF 2025'!$C40,wallet_records!$O:$O,'EEFF 2025'!$B$1,wallet_records!$N:$N,'EEFF 2025'!AE$2,wallet_records!$H:$H,'EEFF 2025'!$B40,wallet_records!$F:$F,"Gasto")</f>
        <v>10155100.049999999</v>
      </c>
      <c r="AF40" s="116"/>
      <c r="AG40" s="116"/>
      <c r="AH40" s="116"/>
      <c r="AI40" s="116"/>
      <c r="AJ40" s="116"/>
      <c r="AL40" s="115">
        <f>SUMIFS(wallet_records!$D:$D,wallet_records!$B:$B,'EEFF 2025'!$C40,wallet_records!$O:$O,'EEFF 2025'!$B$1,wallet_records!$N:$N,'EEFF 2025'!AL$2,wallet_records!$H:$H,'EEFF 2025'!$B40,wallet_records!$F:$F,"Gasto")</f>
        <v>3084823.95</v>
      </c>
      <c r="AM40" s="116"/>
      <c r="AN40" s="116"/>
      <c r="AO40" s="116"/>
      <c r="AP40" s="116"/>
      <c r="AQ40" s="116"/>
      <c r="AS40" s="115">
        <f>SUMIFS(wallet_records!$D:$D,wallet_records!$B:$B,'EEFF 2025'!$C40,wallet_records!$O:$O,'EEFF 2025'!$B$1,wallet_records!$N:$N,'EEFF 2025'!AS$2,wallet_records!$H:$H,'EEFF 2025'!$B40,wallet_records!$F:$F,"Gasto")</f>
        <v>6472175.5999999996</v>
      </c>
      <c r="AT40" s="116"/>
      <c r="AU40" s="116"/>
      <c r="AV40" s="116"/>
      <c r="AW40" s="116"/>
      <c r="AX40" s="116"/>
      <c r="AZ40" s="115">
        <f>SUMIFS(wallet_records!$D:$D,wallet_records!$B:$B,'EEFF 2025'!$C40,wallet_records!$O:$O,'EEFF 2025'!$B$1,wallet_records!$N:$N,'EEFF 2025'!AZ$2,wallet_records!$H:$H,'EEFF 2025'!$B40,wallet_records!$F:$F,"Gasto")</f>
        <v>223024.69999999998</v>
      </c>
      <c r="BA40" s="116"/>
      <c r="BB40" s="116"/>
      <c r="BC40" s="116"/>
      <c r="BD40" s="116"/>
      <c r="BE40" s="116"/>
      <c r="BG40" s="115">
        <f>SUMIFS(wallet_records!$D:$D,wallet_records!$B:$B,'EEFF 2025'!$C40,wallet_records!$O:$O,'EEFF 2025'!$B$1,wallet_records!$N:$N,'EEFF 2025'!BG$2,wallet_records!$H:$H,'EEFF 2025'!$B40,wallet_records!$F:$F,"Gasto")</f>
        <v>1068116.28</v>
      </c>
      <c r="BH40" s="116"/>
      <c r="BI40" s="116"/>
      <c r="BJ40" s="116"/>
      <c r="BK40" s="116"/>
      <c r="BL40" s="116"/>
      <c r="BN40" s="115">
        <f>SUMIFS(wallet_records!$D:$D,wallet_records!$B:$B,'EEFF 2025'!$C40,wallet_records!$O:$O,'EEFF 2025'!$B$1,wallet_records!$N:$N,'EEFF 2025'!BN$2,wallet_records!$H:$H,'EEFF 2025'!$B40,wallet_records!$F:$F,"Gasto")</f>
        <v>2379476.7799999998</v>
      </c>
      <c r="BO40" s="116"/>
      <c r="BP40" s="116"/>
      <c r="BQ40" s="116"/>
      <c r="BR40" s="116"/>
      <c r="BS40" s="116"/>
      <c r="BU40" s="115">
        <f>SUMIFS(wallet_records!$D:$D,wallet_records!$B:$B,'EEFF 2025'!$C40,wallet_records!$O:$O,'EEFF 2025'!$B$1,wallet_records!$N:$N,'EEFF 2025'!BU$2,wallet_records!$H:$H,'EEFF 2025'!$B40,wallet_records!$F:$F,"Gasto")</f>
        <v>7027231.2699999996</v>
      </c>
      <c r="BV40" s="116"/>
      <c r="BW40" s="116"/>
      <c r="BX40" s="116"/>
      <c r="BY40" s="116"/>
      <c r="BZ40" s="116"/>
      <c r="CB40" s="115">
        <f>SUMIFS(wallet_records!$D:$D,wallet_records!$B:$B,'EEFF 2025'!$C40,wallet_records!$O:$O,'EEFF 2025'!$B$1,wallet_records!$N:$N,'EEFF 2025'!CB$2,wallet_records!$H:$H,'EEFF 2025'!$B40,wallet_records!$F:$F,"Gasto")</f>
        <v>2724752.21</v>
      </c>
      <c r="CC40" s="116"/>
      <c r="CD40" s="116"/>
      <c r="CE40" s="116"/>
      <c r="CF40" s="116"/>
      <c r="CG40" s="116"/>
      <c r="CI40" s="115">
        <f>SUMIFS(wallet_records!$D:$D,wallet_records!$B:$B,'EEFF 2025'!$C40,wallet_records!$O:$O,'EEFF 2025'!$B$1,wallet_records!$N:$N,'EEFF 2025'!CI$2,wallet_records!$H:$H,'EEFF 2025'!$B40,wallet_records!$F:$F,"Gasto")</f>
        <v>4013822.4399999995</v>
      </c>
      <c r="CJ40" s="116"/>
      <c r="CK40" s="116"/>
      <c r="CL40" s="116"/>
      <c r="CM40" s="116"/>
      <c r="CN40" s="116"/>
      <c r="CP40" s="115">
        <f>SUMIFS(wallet_records!$D:$D,wallet_records!$B:$B,'EEFF 2025'!$C40,wallet_records!$O:$O,'EEFF 2025'!$B$1,wallet_records!$H:$H,'EEFF 2025'!$B40,wallet_records!$F:$F,"Gasto")</f>
        <v>52966503.049999997</v>
      </c>
      <c r="CQ40" s="107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</row>
    <row r="41" spans="2:107" x14ac:dyDescent="0.2">
      <c r="B41" s="10" t="s">
        <v>216</v>
      </c>
      <c r="C41" s="191" t="s">
        <v>215</v>
      </c>
      <c r="D41" s="115"/>
      <c r="E41" s="115"/>
      <c r="F41" s="115"/>
      <c r="G41" s="116"/>
      <c r="H41" s="116"/>
      <c r="I41" s="116"/>
      <c r="J41" s="116">
        <f>SUMIFS(wallet_records!$D:$D,wallet_records!$B:$B,'EEFF 2025'!$C41,wallet_records!$O:$O,'EEFF 2025'!$B$1,wallet_records!$N:$N,'EEFF 2025'!J$2,wallet_records!$H:$H,'EEFF 2025'!$B41)</f>
        <v>0</v>
      </c>
      <c r="K41" s="115"/>
      <c r="L41" s="115"/>
      <c r="M41" s="115"/>
      <c r="N41" s="116"/>
      <c r="O41" s="116"/>
      <c r="P41" s="116"/>
      <c r="Q41" s="115">
        <f>SUMIFS(wallet_records!$D:$D,wallet_records!$B:$B,'EEFF 2025'!$C41,wallet_records!$O:$O,'EEFF 2025'!$B$1,wallet_records!$N:$N,'EEFF 2025'!Q$2,wallet_records!$H:$H,'EEFF 2025'!$B41)</f>
        <v>5000000</v>
      </c>
      <c r="R41" s="116"/>
      <c r="S41" s="116"/>
      <c r="T41" s="116"/>
      <c r="U41" s="116"/>
      <c r="V41" s="116"/>
      <c r="X41" s="115">
        <f>SUMIFS(wallet_records!$D:$D,wallet_records!$B:$B,'EEFF 2025'!$C41,wallet_records!$O:$O,'EEFF 2025'!$B$1,wallet_records!$N:$N,'EEFF 2025'!X$2,wallet_records!$H:$H,'EEFF 2025'!$B41)</f>
        <v>0</v>
      </c>
      <c r="Y41" s="116"/>
      <c r="Z41" s="116"/>
      <c r="AA41" s="116"/>
      <c r="AB41" s="116"/>
      <c r="AC41" s="116"/>
      <c r="AE41" s="115">
        <f>SUMIFS(wallet_records!$D:$D,wallet_records!$B:$B,'EEFF 2025'!$C41,wallet_records!$O:$O,'EEFF 2025'!$B$1,wallet_records!$N:$N,'EEFF 2025'!AE$2,wallet_records!$H:$H,'EEFF 2025'!$B41)</f>
        <v>0</v>
      </c>
      <c r="AF41" s="116"/>
      <c r="AG41" s="116"/>
      <c r="AH41" s="116"/>
      <c r="AI41" s="116"/>
      <c r="AJ41" s="116"/>
      <c r="AL41" s="115">
        <f>SUMIFS(wallet_records!$D:$D,wallet_records!$B:$B,'EEFF 2025'!$C41,wallet_records!$O:$O,'EEFF 2025'!$B$1,wallet_records!$N:$N,'EEFF 2025'!AL$2,wallet_records!$H:$H,'EEFF 2025'!$B41)</f>
        <v>0</v>
      </c>
      <c r="AM41" s="116"/>
      <c r="AN41" s="116"/>
      <c r="AO41" s="116"/>
      <c r="AP41" s="116"/>
      <c r="AQ41" s="116"/>
      <c r="AS41" s="115">
        <f>SUMIFS(wallet_records!$D:$D,wallet_records!$B:$B,'EEFF 2025'!$C41,wallet_records!$O:$O,'EEFF 2025'!$B$1,wallet_records!$N:$N,'EEFF 2025'!AS$2,wallet_records!$H:$H,'EEFF 2025'!$B41)</f>
        <v>0</v>
      </c>
      <c r="AT41" s="116"/>
      <c r="AU41" s="116"/>
      <c r="AV41" s="116"/>
      <c r="AW41" s="116"/>
      <c r="AX41" s="116"/>
      <c r="AZ41" s="115">
        <f>SUMIFS(wallet_records!$D:$D,wallet_records!$B:$B,'EEFF 2025'!$C41,wallet_records!$O:$O,'EEFF 2025'!$B$1,wallet_records!$N:$N,'EEFF 2025'!AZ$2,wallet_records!$H:$H,'EEFF 2025'!$B41)</f>
        <v>0</v>
      </c>
      <c r="BA41" s="116"/>
      <c r="BB41" s="116"/>
      <c r="BC41" s="116"/>
      <c r="BD41" s="116"/>
      <c r="BE41" s="116"/>
      <c r="BG41" s="115">
        <f>SUMIFS(wallet_records!$D:$D,wallet_records!$B:$B,'EEFF 2025'!$C41,wallet_records!$O:$O,'EEFF 2025'!$B$1,wallet_records!$N:$N,'EEFF 2025'!BG$2,wallet_records!$H:$H,'EEFF 2025'!$B41)</f>
        <v>0</v>
      </c>
      <c r="BH41" s="116"/>
      <c r="BI41" s="116"/>
      <c r="BJ41" s="116"/>
      <c r="BK41" s="116"/>
      <c r="BL41" s="116"/>
      <c r="BN41" s="115">
        <f>SUMIFS(wallet_records!$D:$D,wallet_records!$B:$B,'EEFF 2025'!$C41,wallet_records!$O:$O,'EEFF 2025'!$B$1,wallet_records!$N:$N,'EEFF 2025'!BN$2,wallet_records!$H:$H,'EEFF 2025'!$B41)</f>
        <v>0</v>
      </c>
      <c r="BO41" s="116"/>
      <c r="BP41" s="116"/>
      <c r="BQ41" s="116"/>
      <c r="BR41" s="116"/>
      <c r="BS41" s="116"/>
      <c r="BU41" s="115">
        <f>SUMIFS(wallet_records!$D:$D,wallet_records!$B:$B,'EEFF 2025'!$C41,wallet_records!$O:$O,'EEFF 2025'!$B$1,wallet_records!$N:$N,'EEFF 2025'!BU$2,wallet_records!$H:$H,'EEFF 2025'!$B41)</f>
        <v>0</v>
      </c>
      <c r="BV41" s="116"/>
      <c r="BW41" s="116"/>
      <c r="BX41" s="116"/>
      <c r="BY41" s="116"/>
      <c r="BZ41" s="116"/>
      <c r="CB41" s="115">
        <f>SUMIFS(wallet_records!$D:$D,wallet_records!$B:$B,'EEFF 2025'!$C41,wallet_records!$O:$O,'EEFF 2025'!$B$1,wallet_records!$N:$N,'EEFF 2025'!CB$2,wallet_records!$H:$H,'EEFF 2025'!$B41)</f>
        <v>0</v>
      </c>
      <c r="CC41" s="116"/>
      <c r="CD41" s="116"/>
      <c r="CE41" s="116"/>
      <c r="CF41" s="116"/>
      <c r="CG41" s="116"/>
      <c r="CI41" s="115">
        <f>SUMIFS(wallet_records!$D:$D,wallet_records!$B:$B,'EEFF 2025'!$C41,wallet_records!$O:$O,'EEFF 2025'!$B$1,wallet_records!$N:$N,'EEFF 2025'!CI$2,wallet_records!$H:$H,'EEFF 2025'!$B41)</f>
        <v>0</v>
      </c>
      <c r="CJ41" s="116"/>
      <c r="CK41" s="116"/>
      <c r="CL41" s="116"/>
      <c r="CM41" s="116"/>
      <c r="CN41" s="116"/>
      <c r="CP41" s="115">
        <f>SUMIFS(wallet_records!$D:$D,wallet_records!$B:$B,'EEFF 2025'!$C41,wallet_records!$O:$O,'EEFF 2025'!$B$1,wallet_records!$H:$H,'EEFF 2025'!$B41)</f>
        <v>5000000</v>
      </c>
      <c r="CQ41" s="107"/>
      <c r="CR41" s="118">
        <f t="shared" si="0"/>
        <v>0</v>
      </c>
      <c r="CS41" s="118">
        <f t="shared" si="1"/>
        <v>0.57930714865021438</v>
      </c>
      <c r="CT41" s="118">
        <f t="shared" si="2"/>
        <v>0</v>
      </c>
      <c r="CU41" s="118">
        <f t="shared" si="3"/>
        <v>0</v>
      </c>
      <c r="CV41" s="118">
        <f t="shared" si="4"/>
        <v>0</v>
      </c>
      <c r="CW41" s="118">
        <f t="shared" si="5"/>
        <v>0</v>
      </c>
      <c r="CX41" s="118">
        <f t="shared" si="6"/>
        <v>0</v>
      </c>
      <c r="CY41" s="118">
        <f t="shared" si="7"/>
        <v>0</v>
      </c>
      <c r="CZ41" s="118">
        <f t="shared" si="8"/>
        <v>0</v>
      </c>
      <c r="DA41" s="118">
        <f t="shared" si="9"/>
        <v>0</v>
      </c>
      <c r="DB41" s="118">
        <f t="shared" si="10"/>
        <v>0</v>
      </c>
      <c r="DC41" s="118">
        <f t="shared" si="11"/>
        <v>0</v>
      </c>
    </row>
    <row r="42" spans="2:107" x14ac:dyDescent="0.2">
      <c r="B42" s="107" t="s">
        <v>125</v>
      </c>
      <c r="C42" s="191" t="s">
        <v>124</v>
      </c>
      <c r="D42" s="115"/>
      <c r="E42" s="115"/>
      <c r="F42" s="122"/>
      <c r="G42" s="116"/>
      <c r="H42" s="116"/>
      <c r="I42" s="116"/>
      <c r="J42" s="116">
        <f>SUMIFS(wallet_records!$D:$D,wallet_records!$B:$B,'EEFF 2025'!$C42,wallet_records!$O:$O,'EEFF 2025'!$B$1,wallet_records!$N:$N,'EEFF 2025'!J$2,wallet_records!$H:$H,'EEFF 2025'!$B42)</f>
        <v>321872.81</v>
      </c>
      <c r="K42" s="115"/>
      <c r="L42" s="115"/>
      <c r="M42" s="115"/>
      <c r="N42" s="116"/>
      <c r="O42" s="116"/>
      <c r="P42" s="115"/>
      <c r="Q42" s="115">
        <f>SUMIFS(wallet_records!$D:$D,wallet_records!$B:$B,'EEFF 2025'!$C42,wallet_records!$O:$O,'EEFF 2025'!$B$1,wallet_records!$N:$N,'EEFF 2025'!Q$2,wallet_records!$H:$H,'EEFF 2025'!$B42)</f>
        <v>286860.62</v>
      </c>
      <c r="R42" s="116"/>
      <c r="S42" s="116"/>
      <c r="T42" s="116"/>
      <c r="U42" s="116"/>
      <c r="V42" s="116"/>
      <c r="X42" s="115">
        <f>SUMIFS(wallet_records!$D:$D,wallet_records!$B:$B,'EEFF 2025'!$C42,wallet_records!$O:$O,'EEFF 2025'!$B$1,wallet_records!$N:$N,'EEFF 2025'!X$2,wallet_records!$H:$H,'EEFF 2025'!$B42)</f>
        <v>191346.21</v>
      </c>
      <c r="Y42" s="116"/>
      <c r="Z42" s="116"/>
      <c r="AA42" s="116"/>
      <c r="AB42" s="116"/>
      <c r="AC42" s="116"/>
      <c r="AE42" s="115">
        <f>SUMIFS(wallet_records!$D:$D,wallet_records!$B:$B,'EEFF 2025'!$C42,wallet_records!$O:$O,'EEFF 2025'!$B$1,wallet_records!$N:$N,'EEFF 2025'!AE$2,wallet_records!$H:$H,'EEFF 2025'!$B42)</f>
        <v>291557.63999999996</v>
      </c>
      <c r="AF42" s="116"/>
      <c r="AG42" s="116"/>
      <c r="AH42" s="116"/>
      <c r="AI42" s="116"/>
      <c r="AJ42" s="116"/>
      <c r="AL42" s="115">
        <f>SUMIFS(wallet_records!$D:$D,wallet_records!$B:$B,'EEFF 2025'!$C42,wallet_records!$O:$O,'EEFF 2025'!$B$1,wallet_records!$N:$N,'EEFF 2025'!AL$2,wallet_records!$H:$H,'EEFF 2025'!$B42)</f>
        <v>314349.26</v>
      </c>
      <c r="AM42" s="116"/>
      <c r="AN42" s="116"/>
      <c r="AO42" s="116"/>
      <c r="AP42" s="116"/>
      <c r="AQ42" s="116"/>
      <c r="AS42" s="115">
        <f>SUMIFS(wallet_records!$D:$D,wallet_records!$B:$B,'EEFF 2025'!$C42,wallet_records!$O:$O,'EEFF 2025'!$B$1,wallet_records!$N:$N,'EEFF 2025'!AS$2,wallet_records!$H:$H,'EEFF 2025'!$B42)</f>
        <v>184130.47999999998</v>
      </c>
      <c r="AT42" s="116"/>
      <c r="AU42" s="116"/>
      <c r="AV42" s="116"/>
      <c r="AW42" s="116"/>
      <c r="AX42" s="116"/>
      <c r="AZ42" s="115">
        <f>SUMIFS(wallet_records!$D:$D,wallet_records!$B:$B,'EEFF 2025'!$C42,wallet_records!$O:$O,'EEFF 2025'!$B$1,wallet_records!$N:$N,'EEFF 2025'!AZ$2,wallet_records!$H:$H,'EEFF 2025'!$B42)</f>
        <v>390054.03</v>
      </c>
      <c r="BA42" s="116"/>
      <c r="BB42" s="116"/>
      <c r="BC42" s="116"/>
      <c r="BD42" s="116"/>
      <c r="BE42" s="116"/>
      <c r="BG42" s="115">
        <f>SUMIFS(wallet_records!$D:$D,wallet_records!$B:$B,'EEFF 2025'!$C42,wallet_records!$O:$O,'EEFF 2025'!$B$1,wallet_records!$N:$N,'EEFF 2025'!BG$2,wallet_records!$H:$H,'EEFF 2025'!$B42)</f>
        <v>418038.07000000007</v>
      </c>
      <c r="BH42" s="116"/>
      <c r="BI42" s="116"/>
      <c r="BJ42" s="116"/>
      <c r="BK42" s="116"/>
      <c r="BL42" s="116"/>
      <c r="BN42" s="115">
        <f>SUMIFS(wallet_records!$D:$D,wallet_records!$B:$B,'EEFF 2025'!$C42,wallet_records!$O:$O,'EEFF 2025'!$B$1,wallet_records!$N:$N,'EEFF 2025'!BN$2,wallet_records!$H:$H,'EEFF 2025'!$B42)</f>
        <v>406882.42000000004</v>
      </c>
      <c r="BO42" s="116"/>
      <c r="BP42" s="116"/>
      <c r="BQ42" s="116"/>
      <c r="BR42" s="116"/>
      <c r="BS42" s="116"/>
      <c r="BU42" s="115">
        <f>SUMIFS(wallet_records!$D:$D,wallet_records!$B:$B,'EEFF 2025'!$C42,wallet_records!$O:$O,'EEFF 2025'!$B$1,wallet_records!$N:$N,'EEFF 2025'!BU$2,wallet_records!$H:$H,'EEFF 2025'!$B42)</f>
        <v>483229.36</v>
      </c>
      <c r="BV42" s="116"/>
      <c r="BW42" s="116"/>
      <c r="BX42" s="116"/>
      <c r="BY42" s="116"/>
      <c r="BZ42" s="116"/>
      <c r="CB42" s="115">
        <f>SUMIFS(wallet_records!$D:$D,wallet_records!$B:$B,'EEFF 2025'!$C42,wallet_records!$O:$O,'EEFF 2025'!$B$1,wallet_records!$N:$N,'EEFF 2025'!CB$2,wallet_records!$H:$H,'EEFF 2025'!$B42)</f>
        <v>340821.31</v>
      </c>
      <c r="CC42" s="116"/>
      <c r="CD42" s="116"/>
      <c r="CE42" s="116"/>
      <c r="CF42" s="116"/>
      <c r="CG42" s="116"/>
      <c r="CI42" s="115">
        <f>SUMIFS(wallet_records!$D:$D,wallet_records!$B:$B,'EEFF 2025'!$C42,wallet_records!$O:$O,'EEFF 2025'!$B$1,wallet_records!$N:$N,'EEFF 2025'!CI$2,wallet_records!$H:$H,'EEFF 2025'!$B42)</f>
        <v>440529.49</v>
      </c>
      <c r="CJ42" s="116"/>
      <c r="CK42" s="116"/>
      <c r="CL42" s="116"/>
      <c r="CM42" s="116"/>
      <c r="CN42" s="116"/>
      <c r="CP42" s="115">
        <f>SUMIFS(wallet_records!$D:$D,wallet_records!$B:$B,'EEFF 2025'!$C42,wallet_records!$O:$O,'EEFF 2025'!$B$1,wallet_records!$H:$H,'EEFF 2025'!$B42)</f>
        <v>4069671.7000000007</v>
      </c>
      <c r="CQ42" s="107"/>
      <c r="CR42" s="118">
        <f t="shared" si="0"/>
        <v>3.4680832884387461E-2</v>
      </c>
      <c r="CS42" s="118">
        <f t="shared" si="1"/>
        <v>3.3236081566446529E-2</v>
      </c>
      <c r="CT42" s="118">
        <f t="shared" si="2"/>
        <v>1.7457003010674207E-2</v>
      </c>
      <c r="CU42" s="118">
        <f t="shared" si="3"/>
        <v>4.0714654377880181E-2</v>
      </c>
      <c r="CV42" s="118">
        <f t="shared" si="4"/>
        <v>3.2721495955161814E-2</v>
      </c>
      <c r="CW42" s="118">
        <f t="shared" si="5"/>
        <v>2.5763324471806348E-2</v>
      </c>
      <c r="CX42" s="118">
        <f t="shared" si="6"/>
        <v>3.8716577333095116E-2</v>
      </c>
      <c r="CY42" s="118">
        <f t="shared" si="7"/>
        <v>4.5020038554320678E-2</v>
      </c>
      <c r="CZ42" s="118">
        <f t="shared" si="8"/>
        <v>5.9707454582807511E-2</v>
      </c>
      <c r="DA42" s="118">
        <f t="shared" si="9"/>
        <v>4.263311982778395E-2</v>
      </c>
      <c r="DB42" s="118">
        <f t="shared" si="10"/>
        <v>4.1585888769583676E-2</v>
      </c>
      <c r="DC42" s="118">
        <f t="shared" si="11"/>
        <v>3.9596020888761053E-2</v>
      </c>
    </row>
    <row r="43" spans="2:107" x14ac:dyDescent="0.2">
      <c r="B43" s="107" t="s">
        <v>155</v>
      </c>
      <c r="C43" s="191" t="s">
        <v>154</v>
      </c>
      <c r="D43" s="115"/>
      <c r="E43" s="115"/>
      <c r="F43" s="122"/>
      <c r="G43" s="116"/>
      <c r="H43" s="116"/>
      <c r="I43" s="116"/>
      <c r="J43" s="116">
        <f>SUMIFS(wallet_records!$D:$D,wallet_records!$B:$B,'EEFF 2025'!$C43,wallet_records!$O:$O,'EEFF 2025'!$B$1,wallet_records!$N:$N,'EEFF 2025'!J$2,wallet_records!$H:$H,'EEFF 2025'!$B43)</f>
        <v>0</v>
      </c>
      <c r="K43" s="115"/>
      <c r="L43" s="115"/>
      <c r="M43" s="115"/>
      <c r="N43" s="116"/>
      <c r="O43" s="116"/>
      <c r="P43" s="115"/>
      <c r="Q43" s="115">
        <f>SUMIFS(wallet_records!$D:$D,wallet_records!$B:$B,'EEFF 2025'!$C43,wallet_records!$O:$O,'EEFF 2025'!$B$1,wallet_records!$N:$N,'EEFF 2025'!Q$2,wallet_records!$H:$H,'EEFF 2025'!$B43)</f>
        <v>0</v>
      </c>
      <c r="R43" s="116"/>
      <c r="S43" s="116"/>
      <c r="T43" s="116"/>
      <c r="U43" s="116"/>
      <c r="V43" s="116"/>
      <c r="X43" s="115">
        <f>SUMIFS(wallet_records!$D:$D,wallet_records!$B:$B,'EEFF 2025'!$C43,wallet_records!$O:$O,'EEFF 2025'!$B$1,wallet_records!$N:$N,'EEFF 2025'!X$2,wallet_records!$H:$H,'EEFF 2025'!$B43)</f>
        <v>0</v>
      </c>
      <c r="Y43" s="116"/>
      <c r="Z43" s="116"/>
      <c r="AA43" s="116"/>
      <c r="AB43" s="116"/>
      <c r="AC43" s="116"/>
      <c r="AE43" s="115">
        <f>SUMIFS(wallet_records!$D:$D,wallet_records!$B:$B,'EEFF 2025'!$C43,wallet_records!$O:$O,'EEFF 2025'!$B$1,wallet_records!$N:$N,'EEFF 2025'!AE$2,wallet_records!$H:$H,'EEFF 2025'!$B43)</f>
        <v>0</v>
      </c>
      <c r="AF43" s="116"/>
      <c r="AG43" s="116"/>
      <c r="AH43" s="116"/>
      <c r="AI43" s="116"/>
      <c r="AJ43" s="116"/>
      <c r="AL43" s="115">
        <f>SUMIFS(wallet_records!$D:$D,wallet_records!$B:$B,'EEFF 2025'!$C43,wallet_records!$O:$O,'EEFF 2025'!$B$1,wallet_records!$N:$N,'EEFF 2025'!AL$2,wallet_records!$H:$H,'EEFF 2025'!$B43)</f>
        <v>0</v>
      </c>
      <c r="AM43" s="116"/>
      <c r="AN43" s="116"/>
      <c r="AO43" s="116"/>
      <c r="AP43" s="116"/>
      <c r="AQ43" s="116"/>
      <c r="AS43" s="115">
        <f>SUMIFS(wallet_records!$D:$D,wallet_records!$B:$B,'EEFF 2025'!$C43,wallet_records!$O:$O,'EEFF 2025'!$B$1,wallet_records!$N:$N,'EEFF 2025'!AS$2,wallet_records!$H:$H,'EEFF 2025'!$B43)</f>
        <v>0</v>
      </c>
      <c r="AT43" s="116"/>
      <c r="AU43" s="116"/>
      <c r="AV43" s="116"/>
      <c r="AW43" s="116"/>
      <c r="AX43" s="116"/>
      <c r="AZ43" s="115">
        <f>SUMIFS(wallet_records!$D:$D,wallet_records!$B:$B,'EEFF 2025'!$C43,wallet_records!$O:$O,'EEFF 2025'!$B$1,wallet_records!$N:$N,'EEFF 2025'!AZ$2,wallet_records!$H:$H,'EEFF 2025'!$B43)</f>
        <v>0</v>
      </c>
      <c r="BA43" s="116"/>
      <c r="BB43" s="116"/>
      <c r="BC43" s="116"/>
      <c r="BD43" s="116"/>
      <c r="BE43" s="116"/>
      <c r="BG43" s="115">
        <f>SUMIFS(wallet_records!$D:$D,wallet_records!$B:$B,'EEFF 2025'!$C43,wallet_records!$O:$O,'EEFF 2025'!$B$1,wallet_records!$N:$N,'EEFF 2025'!BG$2,wallet_records!$H:$H,'EEFF 2025'!$B43)</f>
        <v>0</v>
      </c>
      <c r="BH43" s="116"/>
      <c r="BI43" s="116"/>
      <c r="BJ43" s="116"/>
      <c r="BK43" s="116"/>
      <c r="BL43" s="116"/>
      <c r="BN43" s="115">
        <f>SUMIFS(wallet_records!$D:$D,wallet_records!$B:$B,'EEFF 2025'!$C43,wallet_records!$O:$O,'EEFF 2025'!$B$1,wallet_records!$N:$N,'EEFF 2025'!BN$2,wallet_records!$H:$H,'EEFF 2025'!$B43)</f>
        <v>40400</v>
      </c>
      <c r="BO43" s="116"/>
      <c r="BP43" s="116"/>
      <c r="BQ43" s="116"/>
      <c r="BR43" s="116"/>
      <c r="BS43" s="116"/>
      <c r="BU43" s="115">
        <f>SUMIFS(wallet_records!$D:$D,wallet_records!$B:$B,'EEFF 2025'!$C43,wallet_records!$O:$O,'EEFF 2025'!$B$1,wallet_records!$N:$N,'EEFF 2025'!BU$2,wallet_records!$H:$H,'EEFF 2025'!$B43)</f>
        <v>20400</v>
      </c>
      <c r="BV43" s="116"/>
      <c r="BW43" s="116"/>
      <c r="BX43" s="116"/>
      <c r="BY43" s="116"/>
      <c r="BZ43" s="116"/>
      <c r="CB43" s="115">
        <f>SUMIFS(wallet_records!$D:$D,wallet_records!$B:$B,'EEFF 2025'!$C43,wallet_records!$O:$O,'EEFF 2025'!$B$1,wallet_records!$N:$N,'EEFF 2025'!CB$2,wallet_records!$H:$H,'EEFF 2025'!$B43)</f>
        <v>9176</v>
      </c>
      <c r="CC43" s="116"/>
      <c r="CD43" s="116"/>
      <c r="CE43" s="116"/>
      <c r="CF43" s="116"/>
      <c r="CG43" s="116"/>
      <c r="CI43" s="115">
        <f>SUMIFS(wallet_records!$D:$D,wallet_records!$B:$B,'EEFF 2025'!$C43,wallet_records!$O:$O,'EEFF 2025'!$B$1,wallet_records!$N:$N,'EEFF 2025'!CI$2,wallet_records!$H:$H,'EEFF 2025'!$B43)</f>
        <v>0</v>
      </c>
      <c r="CJ43" s="116"/>
      <c r="CK43" s="116"/>
      <c r="CL43" s="116"/>
      <c r="CM43" s="116"/>
      <c r="CN43" s="116"/>
      <c r="CP43" s="115">
        <f>SUMIFS(wallet_records!$D:$D,wallet_records!$B:$B,'EEFF 2025'!$C43,wallet_records!$O:$O,'EEFF 2025'!$B$1,wallet_records!$H:$H,'EEFF 2025'!$B43)</f>
        <v>69976</v>
      </c>
      <c r="CQ43" s="107"/>
      <c r="CR43" s="118">
        <f t="shared" si="0"/>
        <v>0</v>
      </c>
      <c r="CS43" s="118">
        <f t="shared" si="1"/>
        <v>0</v>
      </c>
      <c r="CT43" s="118">
        <f t="shared" si="2"/>
        <v>0</v>
      </c>
      <c r="CU43" s="118">
        <f t="shared" si="3"/>
        <v>0</v>
      </c>
      <c r="CV43" s="118">
        <f t="shared" si="4"/>
        <v>0</v>
      </c>
      <c r="CW43" s="118">
        <f t="shared" si="5"/>
        <v>0</v>
      </c>
      <c r="CX43" s="118">
        <f t="shared" si="6"/>
        <v>0</v>
      </c>
      <c r="CY43" s="118">
        <f t="shared" si="7"/>
        <v>0</v>
      </c>
      <c r="CZ43" s="118">
        <f t="shared" si="8"/>
        <v>5.9284477445484696E-3</v>
      </c>
      <c r="DA43" s="118">
        <f t="shared" si="9"/>
        <v>1.7997988460113281E-3</v>
      </c>
      <c r="DB43" s="118">
        <f t="shared" si="10"/>
        <v>1.119625164722534E-3</v>
      </c>
      <c r="DC43" s="118">
        <f t="shared" si="11"/>
        <v>0</v>
      </c>
    </row>
    <row r="44" spans="2:107" x14ac:dyDescent="0.2">
      <c r="B44" s="107" t="s">
        <v>205</v>
      </c>
      <c r="C44" s="191" t="s">
        <v>154</v>
      </c>
      <c r="D44" s="115"/>
      <c r="E44" s="115"/>
      <c r="F44" s="122"/>
      <c r="G44" s="123"/>
      <c r="H44" s="123"/>
      <c r="I44" s="123"/>
      <c r="J44" s="116">
        <f>SUMIFS(wallet_records!$D:$D,wallet_records!$B:$B,'EEFF 2025'!$C44,wallet_records!$O:$O,'EEFF 2025'!$B$1,wallet_records!$N:$N,'EEFF 2025'!J$2,wallet_records!$H:$H,'EEFF 2025'!$B44)</f>
        <v>6709.79</v>
      </c>
      <c r="K44" s="115"/>
      <c r="L44" s="115"/>
      <c r="M44" s="115"/>
      <c r="N44" s="116"/>
      <c r="O44" s="116"/>
      <c r="P44" s="115"/>
      <c r="Q44" s="115">
        <f>SUMIFS(wallet_records!$D:$D,wallet_records!$B:$B,'EEFF 2025'!$C44,wallet_records!$O:$O,'EEFF 2025'!$B$1,wallet_records!$N:$N,'EEFF 2025'!Q$2,wallet_records!$H:$H,'EEFF 2025'!$B44)</f>
        <v>0</v>
      </c>
      <c r="R44" s="116"/>
      <c r="S44" s="116"/>
      <c r="T44" s="116"/>
      <c r="U44" s="116"/>
      <c r="V44" s="116"/>
      <c r="X44" s="115">
        <f>SUMIFS(wallet_records!$D:$D,wallet_records!$B:$B,'EEFF 2025'!$C44,wallet_records!$O:$O,'EEFF 2025'!$B$1,wallet_records!$N:$N,'EEFF 2025'!X$2,wallet_records!$H:$H,'EEFF 2025'!$B44)</f>
        <v>3127.75</v>
      </c>
      <c r="Y44" s="116"/>
      <c r="Z44" s="116"/>
      <c r="AA44" s="116"/>
      <c r="AB44" s="116"/>
      <c r="AC44" s="116"/>
      <c r="AE44" s="115">
        <f>SUMIFS(wallet_records!$D:$D,wallet_records!$B:$B,'EEFF 2025'!$C44,wallet_records!$O:$O,'EEFF 2025'!$B$1,wallet_records!$N:$N,'EEFF 2025'!AE$2,wallet_records!$H:$H,'EEFF 2025'!$B44)</f>
        <v>0</v>
      </c>
      <c r="AF44" s="116"/>
      <c r="AG44" s="116"/>
      <c r="AH44" s="116"/>
      <c r="AI44" s="116"/>
      <c r="AJ44" s="116"/>
      <c r="AL44" s="115">
        <f>SUMIFS(wallet_records!$D:$D,wallet_records!$B:$B,'EEFF 2025'!$C44,wallet_records!$O:$O,'EEFF 2025'!$B$1,wallet_records!$N:$N,'EEFF 2025'!AL$2,wallet_records!$H:$H,'EEFF 2025'!$B44)</f>
        <v>0</v>
      </c>
      <c r="AM44" s="116"/>
      <c r="AN44" s="116"/>
      <c r="AO44" s="116"/>
      <c r="AP44" s="116"/>
      <c r="AQ44" s="116"/>
      <c r="AS44" s="115">
        <f>SUMIFS(wallet_records!$D:$D,wallet_records!$B:$B,'EEFF 2025'!$C44,wallet_records!$O:$O,'EEFF 2025'!$B$1,wallet_records!$N:$N,'EEFF 2025'!AS$2,wallet_records!$H:$H,'EEFF 2025'!$B44)</f>
        <v>0</v>
      </c>
      <c r="AT44" s="116"/>
      <c r="AU44" s="116"/>
      <c r="AV44" s="116"/>
      <c r="AW44" s="116"/>
      <c r="AX44" s="116"/>
      <c r="AZ44" s="115">
        <f>SUMIFS(wallet_records!$D:$D,wallet_records!$B:$B,'EEFF 2025'!$C44,wallet_records!$O:$O,'EEFF 2025'!$B$1,wallet_records!$N:$N,'EEFF 2025'!AZ$2,wallet_records!$H:$H,'EEFF 2025'!$B44)</f>
        <v>0</v>
      </c>
      <c r="BA44" s="116"/>
      <c r="BB44" s="116"/>
      <c r="BC44" s="116"/>
      <c r="BD44" s="116"/>
      <c r="BE44" s="116"/>
      <c r="BG44" s="115">
        <f>SUMIFS(wallet_records!$D:$D,wallet_records!$B:$B,'EEFF 2025'!$C44,wallet_records!$O:$O,'EEFF 2025'!$B$1,wallet_records!$N:$N,'EEFF 2025'!BG$2,wallet_records!$H:$H,'EEFF 2025'!$B44)</f>
        <v>0</v>
      </c>
      <c r="BH44" s="116"/>
      <c r="BI44" s="116"/>
      <c r="BJ44" s="116"/>
      <c r="BK44" s="116"/>
      <c r="BL44" s="116"/>
      <c r="BN44" s="115">
        <f>SUMIFS(wallet_records!$D:$D,wallet_records!$B:$B,'EEFF 2025'!$C44,wallet_records!$O:$O,'EEFF 2025'!$B$1,wallet_records!$N:$N,'EEFF 2025'!BN$2,wallet_records!$H:$H,'EEFF 2025'!$B44)</f>
        <v>0</v>
      </c>
      <c r="BO44" s="116"/>
      <c r="BP44" s="116"/>
      <c r="BQ44" s="116"/>
      <c r="BR44" s="116"/>
      <c r="BS44" s="116"/>
      <c r="BU44" s="115">
        <f>SUMIFS(wallet_records!$D:$D,wallet_records!$B:$B,'EEFF 2025'!$C44,wallet_records!$O:$O,'EEFF 2025'!$B$1,wallet_records!$N:$N,'EEFF 2025'!BU$2,wallet_records!$H:$H,'EEFF 2025'!$B44)</f>
        <v>0</v>
      </c>
      <c r="BV44" s="116"/>
      <c r="BW44" s="116"/>
      <c r="BX44" s="116"/>
      <c r="BY44" s="116"/>
      <c r="BZ44" s="116"/>
      <c r="CB44" s="115">
        <f>SUMIFS(wallet_records!$D:$D,wallet_records!$B:$B,'EEFF 2025'!$C44,wallet_records!$O:$O,'EEFF 2025'!$B$1,wallet_records!$N:$N,'EEFF 2025'!CB$2,wallet_records!$H:$H,'EEFF 2025'!$B44)</f>
        <v>0</v>
      </c>
      <c r="CC44" s="116"/>
      <c r="CD44" s="116"/>
      <c r="CE44" s="116"/>
      <c r="CF44" s="116"/>
      <c r="CG44" s="116"/>
      <c r="CI44" s="115">
        <f>SUMIFS(wallet_records!$D:$D,wallet_records!$B:$B,'EEFF 2025'!$C44,wallet_records!$O:$O,'EEFF 2025'!$B$1,wallet_records!$N:$N,'EEFF 2025'!CI$2,wallet_records!$H:$H,'EEFF 2025'!$B44)</f>
        <v>0</v>
      </c>
      <c r="CJ44" s="116"/>
      <c r="CK44" s="123"/>
      <c r="CL44" s="123"/>
      <c r="CM44" s="123"/>
      <c r="CN44" s="123"/>
      <c r="CP44" s="115">
        <f>SUMIFS(wallet_records!$D:$D,wallet_records!$B:$B,'EEFF 2025'!$C44,wallet_records!$O:$O,'EEFF 2025'!$B$1,wallet_records!$H:$H,'EEFF 2025'!$B44)</f>
        <v>9837.5400000000009</v>
      </c>
      <c r="CQ44" s="107"/>
      <c r="CR44" s="118">
        <f t="shared" si="0"/>
        <v>7.2295981036526232E-4</v>
      </c>
      <c r="CS44" s="118">
        <f t="shared" si="1"/>
        <v>0</v>
      </c>
      <c r="CT44" s="118">
        <f t="shared" si="2"/>
        <v>2.8535261381260833E-4</v>
      </c>
      <c r="CU44" s="118">
        <f t="shared" si="3"/>
        <v>0</v>
      </c>
      <c r="CV44" s="118">
        <f t="shared" si="4"/>
        <v>0</v>
      </c>
      <c r="CW44" s="118">
        <f t="shared" si="5"/>
        <v>0</v>
      </c>
      <c r="CX44" s="118">
        <f t="shared" si="6"/>
        <v>0</v>
      </c>
      <c r="CY44" s="118">
        <f t="shared" si="7"/>
        <v>0</v>
      </c>
      <c r="CZ44" s="118">
        <f t="shared" si="8"/>
        <v>0</v>
      </c>
      <c r="DA44" s="118">
        <f t="shared" si="9"/>
        <v>0</v>
      </c>
      <c r="DB44" s="118">
        <f t="shared" si="10"/>
        <v>0</v>
      </c>
      <c r="DC44" s="118">
        <f t="shared" si="11"/>
        <v>0</v>
      </c>
    </row>
    <row r="45" spans="2:107" ht="16" x14ac:dyDescent="0.2">
      <c r="B45" s="199" t="s">
        <v>402</v>
      </c>
      <c r="C45" s="194"/>
      <c r="D45" s="124"/>
      <c r="E45" s="124"/>
      <c r="F45" s="124"/>
      <c r="G45" s="124"/>
      <c r="H45" s="124"/>
      <c r="I45" s="124"/>
      <c r="J45" s="110">
        <f>J16+J18-J19-J20-J21-J22-J23-J24-J25-J26-J27-J28-J29-J30-J31-J32-J33-J34-J35-J36-J37-J38-J39-J40-J41+J42-J43-J44</f>
        <v>-17890708.099999998</v>
      </c>
      <c r="K45" s="110"/>
      <c r="L45" s="110"/>
      <c r="M45" s="110"/>
      <c r="N45" s="110"/>
      <c r="O45" s="110"/>
      <c r="P45" s="110"/>
      <c r="Q45" s="110">
        <f>Q16+Q18-Q19-Q20-Q21-Q22-Q23-Q24-Q25-Q26-Q27-Q28-Q29-Q30-Q31-Q32-Q33-Q34-Q35-Q36-Q37-Q38-Q39-Q40-Q41+Q42-Q43-Q44</f>
        <v>-10186846.380000001</v>
      </c>
      <c r="R45" s="110"/>
      <c r="S45" s="110"/>
      <c r="T45" s="110"/>
      <c r="U45" s="110"/>
      <c r="V45" s="110"/>
      <c r="W45" s="110"/>
      <c r="X45" s="110">
        <f>X16+X18-X19-X20-X21-X22-X23-X24-X25-X26-X27-X28-X29-X30-X31-X32-X33-X34-X35-X36-X37-X38-X39-X40-X41+X42-X43-X44</f>
        <v>2075558.3500000006</v>
      </c>
      <c r="Y45" s="110"/>
      <c r="Z45" s="110"/>
      <c r="AA45" s="110"/>
      <c r="AB45" s="110"/>
      <c r="AC45" s="110"/>
      <c r="AD45" s="110"/>
      <c r="AE45" s="110">
        <f>AE16+AE18-AE19-AE20-AE21-AE22-AE23-AE24-AE25-AE26-AE27-AE28-AE29-AE30-AE31-AE32-AE33-AE34-AE35-AE36-AE37-AE38-AE39-AE40-AE41+AE42-AE43-AE44</f>
        <v>2289520.9800000018</v>
      </c>
      <c r="AF45" s="110"/>
      <c r="AG45" s="110"/>
      <c r="AH45" s="110"/>
      <c r="AI45" s="110"/>
      <c r="AJ45" s="110"/>
      <c r="AK45" s="110"/>
      <c r="AL45" s="110">
        <f>AL16+AL18-AL19-AL20-AL21-AL22-AL23-AL24-AL25-AL26-AL27-AL28-AL29-AL30-AL31-AL32-AL33-AL34-AL35-AL36-AL37-AL38-AL39-AL40-AL41+AL42-AL43-AL44</f>
        <v>5385269.5099999998</v>
      </c>
      <c r="AM45" s="110"/>
      <c r="AN45" s="110"/>
      <c r="AO45" s="110"/>
      <c r="AP45" s="110"/>
      <c r="AQ45" s="110"/>
      <c r="AR45" s="110"/>
      <c r="AS45" s="110">
        <f>AS16+AS18-AS19-AS20-AS21-AS22-AS23-AS24-AS25-AS26-AS27-AS28-AS29-AS30-AS31-AS32-AS33-AS34-AS35-AS36-AS37-AS38-AS39-AS40-AS41+AS42-AS43-AS44</f>
        <v>189934.07999999961</v>
      </c>
      <c r="AT45" s="110"/>
      <c r="AU45" s="110"/>
      <c r="AV45" s="110"/>
      <c r="AW45" s="110"/>
      <c r="AX45" s="110"/>
      <c r="AY45" s="110"/>
      <c r="AZ45" s="110">
        <f>AZ16+AZ18-AZ19-AZ20-AZ21-AZ22-AZ23-AZ24-AZ25-AZ26-AZ27-AZ28-AZ29-AZ30-AZ31-AZ32-AZ33-AZ34-AZ35-AZ36-AZ37-AZ38-AZ39-AZ40-AZ41+AZ42-AZ43-AZ44</f>
        <v>16075474.65</v>
      </c>
      <c r="BA45" s="110"/>
      <c r="BB45" s="110"/>
      <c r="BC45" s="110"/>
      <c r="BD45" s="110"/>
      <c r="BE45" s="110"/>
      <c r="BF45" s="110"/>
      <c r="BG45" s="110">
        <f>BG16+BG18-BG19-BG20-BG21-BG22-BG23-BG24-BG25-BG26-BG27-BG28-BG29-BG30-BG31-BG32-BG33-BG34-BG35-BG36-BG37-BG38-BG39-BG40-BG41+BG42-BG43-BG44</f>
        <v>9768037.3100000005</v>
      </c>
      <c r="BH45" s="110"/>
      <c r="BI45" s="110"/>
      <c r="BJ45" s="110"/>
      <c r="BK45" s="110"/>
      <c r="BL45" s="110"/>
      <c r="BM45" s="110"/>
      <c r="BN45" s="110">
        <f>BN16+BN18-BN19-BN20-BN21-BN22-BN23-BN24-BN25-BN26-BN27-BN28-BN29-BN30-BN31-BN32-BN33-BN34-BN35-BN36-BN37-BN38-BN39-BN40-BN41+BN42-BN43-BN44</f>
        <v>-6984171.3900000006</v>
      </c>
      <c r="BO45" s="110"/>
      <c r="BP45" s="110"/>
      <c r="BQ45" s="110"/>
      <c r="BR45" s="110"/>
      <c r="BS45" s="110"/>
      <c r="BT45" s="110"/>
      <c r="BU45" s="110">
        <f>BU16+BU18-BU19-BU20-BU21-BU22-BU23-BU24-BU25-BU26-BU27-BU28-BU29-BU30-BU31-BU32-BU33-BU34-BU35-BU36-BU37-BU38-BU39-BU40-BU41+BU42-BU43-BU44</f>
        <v>2539586.5100000002</v>
      </c>
      <c r="BV45" s="110"/>
      <c r="BW45" s="110"/>
      <c r="BX45" s="110"/>
      <c r="BY45" s="110"/>
      <c r="BZ45" s="110"/>
      <c r="CA45" s="110"/>
      <c r="CB45" s="110">
        <f>CB16+CB18-CB19-CB20-CB21-CB22-CB23-CB24-CB25-CB26-CB27-CB28-CB29-CB30-CB31-CB32-CB33-CB34-CB35-CB36-CB37-CB38-CB39-CB40-CB41+CB42-CB43-CB44</f>
        <v>5355327.8599999994</v>
      </c>
      <c r="CC45" s="110"/>
      <c r="CD45" s="110"/>
      <c r="CE45" s="110"/>
      <c r="CF45" s="110"/>
      <c r="CG45" s="110"/>
      <c r="CH45" s="110"/>
      <c r="CI45" s="110">
        <f>CI16+CI18-CI19-CI20-CI21-CI22-CI23-CI24-CI25-CI26-CI27-CI28-CI29-CI30-CI31-CI32-CI33-CI34-CI35-CI36-CI37-CI38-CI39-CI40-CI41+CI42-CI43-CI44</f>
        <v>4374831.5500000007</v>
      </c>
      <c r="CJ45" s="110"/>
      <c r="CK45" s="110"/>
      <c r="CL45" s="110"/>
      <c r="CM45" s="110"/>
      <c r="CN45" s="110"/>
      <c r="CO45" s="110"/>
      <c r="CP45" s="110">
        <f>CP16+CP18-CP19-CP20-CP21-CP22-CP23-CP24-CP25-CP26-CP27-CP28-CP29-CP30-CP31-CP32-CP33-CP34-CP35-CP36-CP37-CP38-CP39-CP40-CP41+CP42-CP43-CP44</f>
        <v>12991814.929999998</v>
      </c>
      <c r="CQ45" s="107"/>
      <c r="CR45" s="125">
        <f t="shared" si="0"/>
        <v>-1.927670304924038</v>
      </c>
      <c r="CS45" s="125">
        <f t="shared" si="1"/>
        <v>-1.1802625860271116</v>
      </c>
      <c r="CT45" s="125">
        <f t="shared" si="2"/>
        <v>0.18935848462731508</v>
      </c>
      <c r="CU45" s="125">
        <f t="shared" si="3"/>
        <v>0.31972084625052394</v>
      </c>
      <c r="CV45" s="125">
        <f t="shared" si="4"/>
        <v>0.56056780438713694</v>
      </c>
      <c r="CW45" s="125">
        <f t="shared" si="5"/>
        <v>2.6575357492654206E-2</v>
      </c>
      <c r="CX45" s="125">
        <f t="shared" si="6"/>
        <v>1.5956439610505628</v>
      </c>
      <c r="CY45" s="125">
        <f t="shared" si="7"/>
        <v>1.0519554266821747</v>
      </c>
      <c r="CZ45" s="125">
        <f t="shared" si="8"/>
        <v>-1.0248835426877587</v>
      </c>
      <c r="DA45" s="125">
        <f t="shared" si="9"/>
        <v>0.22405612108058512</v>
      </c>
      <c r="DB45" s="125">
        <f t="shared" si="10"/>
        <v>0.65343938942847379</v>
      </c>
      <c r="DC45" s="125">
        <f t="shared" si="11"/>
        <v>0.39322207791040492</v>
      </c>
    </row>
    <row r="46" spans="2:107" ht="16" x14ac:dyDescent="0.2">
      <c r="B46" s="112" t="s">
        <v>90</v>
      </c>
      <c r="C46" s="192" t="s">
        <v>154</v>
      </c>
      <c r="D46" s="126"/>
      <c r="E46" s="126"/>
      <c r="F46" s="126"/>
      <c r="G46" s="127"/>
      <c r="H46" s="127"/>
      <c r="I46" s="127"/>
      <c r="J46" s="115">
        <f>SUMIFS(wallet_records!$D:$D,wallet_records!$B:$B,'EEFF 2025'!$C46,wallet_records!$O:$O,'EEFF 2025'!$B$1,wallet_records!$N:$N,'EEFF 2025'!J$2,wallet_records!$H:$H,'EEFF 2025'!$B46)</f>
        <v>0</v>
      </c>
      <c r="K46" s="115"/>
      <c r="L46" s="115"/>
      <c r="M46" s="115"/>
      <c r="N46" s="116"/>
      <c r="O46" s="116"/>
      <c r="P46" s="116"/>
      <c r="Q46" s="115">
        <f>SUMIFS(wallet_records!$D:$D,wallet_records!$B:$B,'EEFF 2025'!$C46,wallet_records!$O:$O,'EEFF 2025'!$B$1,wallet_records!$N:$N,'EEFF 2025'!Q$2,wallet_records!$H:$H,'EEFF 2025'!$B46)</f>
        <v>0</v>
      </c>
      <c r="R46" s="119"/>
      <c r="S46" s="119"/>
      <c r="T46" s="119"/>
      <c r="U46" s="128"/>
      <c r="V46" s="128"/>
      <c r="X46" s="115">
        <f>SUMIFS(wallet_records!$D:$D,wallet_records!$B:$B,'EEFF 2025'!$C46,wallet_records!$O:$O,'EEFF 2025'!$B$1,wallet_records!$N:$N,'EEFF 2025'!X$2,wallet_records!$H:$H,'EEFF 2025'!$B46)</f>
        <v>0</v>
      </c>
      <c r="Y46" s="128"/>
      <c r="Z46" s="128"/>
      <c r="AA46" s="128"/>
      <c r="AB46" s="128"/>
      <c r="AC46" s="128"/>
      <c r="AE46" s="115">
        <f>SUMIFS(wallet_records!$D:$D,wallet_records!$B:$B,'EEFF 2025'!$C46,wallet_records!$O:$O,'EEFF 2025'!$B$1,wallet_records!$N:$N,'EEFF 2025'!AE$2,wallet_records!$H:$H,'EEFF 2025'!$B46)</f>
        <v>0</v>
      </c>
      <c r="AF46" s="128"/>
      <c r="AG46" s="128"/>
      <c r="AH46" s="128"/>
      <c r="AI46" s="128"/>
      <c r="AJ46" s="128"/>
      <c r="AL46" s="115">
        <f>SUMIFS(wallet_records!$D:$D,wallet_records!$B:$B,'EEFF 2025'!$C46,wallet_records!$O:$O,'EEFF 2025'!$B$1,wallet_records!$N:$N,'EEFF 2025'!AL$2,wallet_records!$H:$H,'EEFF 2025'!$B46)</f>
        <v>0</v>
      </c>
      <c r="AM46" s="128"/>
      <c r="AN46" s="128"/>
      <c r="AO46" s="128"/>
      <c r="AP46" s="128"/>
      <c r="AQ46" s="128"/>
      <c r="AS46" s="115">
        <f>SUMIFS(wallet_records!$D:$D,wallet_records!$B:$B,'EEFF 2025'!$C46,wallet_records!$O:$O,'EEFF 2025'!$B$1,wallet_records!$N:$N,'EEFF 2025'!AS$2,wallet_records!$H:$H,'EEFF 2025'!$B46)</f>
        <v>0</v>
      </c>
      <c r="AT46" s="128"/>
      <c r="AU46" s="128"/>
      <c r="AV46" s="128"/>
      <c r="AW46" s="128"/>
      <c r="AX46" s="128"/>
      <c r="AZ46" s="115">
        <f>SUMIFS(wallet_records!$D:$D,wallet_records!$B:$B,'EEFF 2025'!$C46,wallet_records!$O:$O,'EEFF 2025'!$B$1,wallet_records!$N:$N,'EEFF 2025'!AZ$2,wallet_records!$H:$H,'EEFF 2025'!$B46)</f>
        <v>0</v>
      </c>
      <c r="BA46" s="128"/>
      <c r="BB46" s="128"/>
      <c r="BC46" s="128"/>
      <c r="BD46" s="128"/>
      <c r="BE46" s="128"/>
      <c r="BG46" s="115">
        <f>SUMIFS(wallet_records!$D:$D,wallet_records!$B:$B,'EEFF 2025'!$C46,wallet_records!$O:$O,'EEFF 2025'!$B$1,wallet_records!$N:$N,'EEFF 2025'!BG$2,wallet_records!$H:$H,'EEFF 2025'!$B46)</f>
        <v>961000</v>
      </c>
      <c r="BH46" s="128"/>
      <c r="BI46" s="128"/>
      <c r="BJ46" s="128"/>
      <c r="BK46" s="128"/>
      <c r="BL46" s="128"/>
      <c r="BN46" s="115">
        <f>SUMIFS(wallet_records!$D:$D,wallet_records!$B:$B,'EEFF 2025'!$C46,wallet_records!$O:$O,'EEFF 2025'!$B$1,wallet_records!$N:$N,'EEFF 2025'!BN$2,wallet_records!$H:$H,'EEFF 2025'!$B46)</f>
        <v>0</v>
      </c>
      <c r="BO46" s="128"/>
      <c r="BP46" s="128"/>
      <c r="BQ46" s="128"/>
      <c r="BR46" s="128"/>
      <c r="BS46" s="128"/>
      <c r="BU46" s="115">
        <f>SUMIFS(wallet_records!$D:$D,wallet_records!$B:$B,'EEFF 2025'!$C46,wallet_records!$O:$O,'EEFF 2025'!$B$1,wallet_records!$N:$N,'EEFF 2025'!BU$2,wallet_records!$H:$H,'EEFF 2025'!$B46)</f>
        <v>0</v>
      </c>
      <c r="BV46" s="128"/>
      <c r="BW46" s="128"/>
      <c r="BX46" s="128"/>
      <c r="BY46" s="128"/>
      <c r="BZ46" s="128"/>
      <c r="CB46" s="115">
        <f>SUMIFS(wallet_records!$D:$D,wallet_records!$B:$B,'EEFF 2025'!$C46,wallet_records!$O:$O,'EEFF 2025'!$B$1,wallet_records!$N:$N,'EEFF 2025'!CB$2,wallet_records!$H:$H,'EEFF 2025'!$B46)</f>
        <v>0</v>
      </c>
      <c r="CC46" s="128"/>
      <c r="CD46" s="128"/>
      <c r="CE46" s="128"/>
      <c r="CF46" s="128"/>
      <c r="CG46" s="128"/>
      <c r="CI46" s="115">
        <f>SUMIFS(wallet_records!$D:$D,wallet_records!$B:$B,'EEFF 2025'!$C46,wallet_records!$O:$O,'EEFF 2025'!$B$1,wallet_records!$N:$N,'EEFF 2025'!CI$2,wallet_records!$H:$H,'EEFF 2025'!$B46)</f>
        <v>0</v>
      </c>
      <c r="CJ46" s="128"/>
      <c r="CK46" s="128"/>
      <c r="CL46" s="128"/>
      <c r="CM46" s="128"/>
      <c r="CN46" s="128"/>
      <c r="CP46" s="115">
        <f>SUMIFS(wallet_records!$D:$D,wallet_records!$B:$B,'EEFF 2025'!$C46,wallet_records!$O:$O,'EEFF 2025'!$B$1,wallet_records!$H:$H,'EEFF 2025'!$B46)</f>
        <v>961000</v>
      </c>
      <c r="CQ46" s="107"/>
      <c r="CR46" s="111">
        <f t="shared" si="0"/>
        <v>0</v>
      </c>
      <c r="CS46" s="111">
        <f t="shared" si="1"/>
        <v>0</v>
      </c>
      <c r="CT46" s="111">
        <f t="shared" si="2"/>
        <v>0</v>
      </c>
      <c r="CU46" s="111">
        <f t="shared" si="3"/>
        <v>0</v>
      </c>
      <c r="CV46" s="111">
        <f t="shared" si="4"/>
        <v>0</v>
      </c>
      <c r="CW46" s="111">
        <f t="shared" si="5"/>
        <v>0</v>
      </c>
      <c r="CX46" s="111">
        <f t="shared" si="6"/>
        <v>0</v>
      </c>
      <c r="CY46" s="111">
        <f t="shared" si="7"/>
        <v>0.10349358145946412</v>
      </c>
      <c r="CZ46" s="111">
        <f t="shared" si="8"/>
        <v>0</v>
      </c>
      <c r="DA46" s="111">
        <f t="shared" si="9"/>
        <v>0</v>
      </c>
      <c r="DB46" s="111">
        <f t="shared" si="10"/>
        <v>0</v>
      </c>
      <c r="DC46" s="111">
        <f t="shared" si="11"/>
        <v>0</v>
      </c>
    </row>
    <row r="47" spans="2:107" ht="16" x14ac:dyDescent="0.2">
      <c r="B47" s="129" t="s">
        <v>352</v>
      </c>
      <c r="C47" s="206"/>
      <c r="D47" s="130"/>
      <c r="E47" s="130"/>
      <c r="F47" s="130"/>
      <c r="G47" s="130"/>
      <c r="H47" s="130"/>
      <c r="I47" s="130"/>
      <c r="J47" s="263">
        <f>J45-J46</f>
        <v>-17890708.099999998</v>
      </c>
      <c r="K47" s="110"/>
      <c r="L47" s="110"/>
      <c r="M47" s="110"/>
      <c r="N47" s="110"/>
      <c r="O47" s="110"/>
      <c r="P47" s="110"/>
      <c r="Q47" s="263">
        <f>Q45-Q46</f>
        <v>-10186846.380000001</v>
      </c>
      <c r="R47" s="110"/>
      <c r="S47" s="110"/>
      <c r="T47" s="110"/>
      <c r="U47" s="110"/>
      <c r="V47" s="110"/>
      <c r="W47" s="110"/>
      <c r="X47" s="110">
        <f>X45-X46</f>
        <v>2075558.3500000006</v>
      </c>
      <c r="Y47" s="110"/>
      <c r="Z47" s="110"/>
      <c r="AA47" s="110"/>
      <c r="AB47" s="110"/>
      <c r="AC47" s="110"/>
      <c r="AD47" s="110"/>
      <c r="AE47" s="110">
        <f>AE45-AE46</f>
        <v>2289520.9800000018</v>
      </c>
      <c r="AF47" s="110"/>
      <c r="AG47" s="110"/>
      <c r="AH47" s="110"/>
      <c r="AI47" s="110"/>
      <c r="AJ47" s="110"/>
      <c r="AK47" s="110"/>
      <c r="AL47" s="110">
        <f>AL45-AL46</f>
        <v>5385269.5099999998</v>
      </c>
      <c r="AM47" s="110"/>
      <c r="AN47" s="110"/>
      <c r="AO47" s="110"/>
      <c r="AP47" s="110"/>
      <c r="AQ47" s="110"/>
      <c r="AR47" s="110"/>
      <c r="AS47" s="110">
        <f>AS45-AS46</f>
        <v>189934.07999999961</v>
      </c>
      <c r="AT47" s="110"/>
      <c r="AU47" s="110"/>
      <c r="AV47" s="110"/>
      <c r="AW47" s="110"/>
      <c r="AX47" s="110"/>
      <c r="AY47" s="110"/>
      <c r="AZ47" s="110">
        <f>AZ45-AZ46</f>
        <v>16075474.65</v>
      </c>
      <c r="BA47" s="110"/>
      <c r="BB47" s="110"/>
      <c r="BC47" s="110"/>
      <c r="BD47" s="110"/>
      <c r="BE47" s="110"/>
      <c r="BF47" s="110"/>
      <c r="BG47" s="110">
        <f>BG45-BG46</f>
        <v>8807037.3100000005</v>
      </c>
      <c r="BH47" s="110"/>
      <c r="BI47" s="110"/>
      <c r="BJ47" s="110"/>
      <c r="BK47" s="110"/>
      <c r="BL47" s="110"/>
      <c r="BM47" s="110"/>
      <c r="BN47" s="110">
        <f>BN45-BN46</f>
        <v>-6984171.3900000006</v>
      </c>
      <c r="BO47" s="110"/>
      <c r="BP47" s="110"/>
      <c r="BQ47" s="110"/>
      <c r="BR47" s="110"/>
      <c r="BS47" s="110"/>
      <c r="BT47" s="110"/>
      <c r="BU47" s="110">
        <f>BU45-BU46</f>
        <v>2539586.5100000002</v>
      </c>
      <c r="BV47" s="110"/>
      <c r="BW47" s="110"/>
      <c r="BX47" s="110"/>
      <c r="BY47" s="110"/>
      <c r="BZ47" s="110"/>
      <c r="CA47" s="110"/>
      <c r="CB47" s="110">
        <f>CB45-CB46</f>
        <v>5355327.8599999994</v>
      </c>
      <c r="CC47" s="110"/>
      <c r="CD47" s="110"/>
      <c r="CE47" s="110"/>
      <c r="CF47" s="110"/>
      <c r="CG47" s="110"/>
      <c r="CH47" s="110"/>
      <c r="CI47" s="110">
        <f>CI45-CI46</f>
        <v>4374831.5500000007</v>
      </c>
      <c r="CJ47" s="110"/>
      <c r="CK47" s="110"/>
      <c r="CL47" s="110"/>
      <c r="CM47" s="110"/>
      <c r="CN47" s="110"/>
      <c r="CO47" s="110"/>
      <c r="CP47" s="268">
        <f>CI47+CB47+BU47+BN47+BG47+AZ47+AS47+AL47+AE47+X47+Q47+J47</f>
        <v>12030814.930000003</v>
      </c>
      <c r="CQ47" s="107"/>
      <c r="CR47" s="131">
        <f t="shared" si="0"/>
        <v>-1.927670304924038</v>
      </c>
      <c r="CS47" s="131">
        <f t="shared" si="1"/>
        <v>-1.1802625860271116</v>
      </c>
      <c r="CT47" s="131">
        <f>X47/X$6</f>
        <v>0.18935848462731508</v>
      </c>
      <c r="CU47" s="131">
        <f>AE47/AE$6</f>
        <v>0.31972084625052394</v>
      </c>
      <c r="CV47" s="131">
        <f>AL47/AL$6</f>
        <v>0.56056780438713694</v>
      </c>
      <c r="CW47" s="131">
        <f>AS47/AS$6</f>
        <v>2.6575357492654206E-2</v>
      </c>
      <c r="CX47" s="131">
        <f>AZ47/AZ$6</f>
        <v>1.5956439610505628</v>
      </c>
      <c r="CY47" s="131">
        <f>BG47/BG$6</f>
        <v>0.94846184522271049</v>
      </c>
      <c r="CZ47" s="131">
        <f>BN47/BN$6</f>
        <v>-1.0248835426877587</v>
      </c>
      <c r="DA47" s="131">
        <f>BU47/BU$6</f>
        <v>0.22405612108058512</v>
      </c>
      <c r="DB47" s="131">
        <f>CB47/CB$6</f>
        <v>0.65343938942847379</v>
      </c>
      <c r="DC47" s="131">
        <f>CI47/CI$6</f>
        <v>0.39322207791040492</v>
      </c>
    </row>
    <row r="48" spans="2:107" x14ac:dyDescent="0.2">
      <c r="D48" s="106"/>
      <c r="E48" s="106"/>
      <c r="F48" s="132"/>
      <c r="I48" s="133"/>
      <c r="J48" s="133"/>
      <c r="K48" s="106"/>
      <c r="L48" s="106"/>
      <c r="M48" s="134"/>
      <c r="P48" s="116"/>
      <c r="Q48" s="133"/>
      <c r="R48" s="133"/>
      <c r="S48" s="133"/>
      <c r="T48" s="133"/>
      <c r="U48" s="133"/>
      <c r="V48" s="133"/>
      <c r="Y48" s="133"/>
      <c r="Z48" s="133"/>
      <c r="AA48" s="133"/>
      <c r="AB48" s="133"/>
      <c r="AC48" s="133"/>
      <c r="AF48" s="133"/>
      <c r="AG48" s="133"/>
      <c r="AH48" s="133"/>
      <c r="AI48" s="133"/>
      <c r="AJ48" s="133"/>
      <c r="AM48" s="133"/>
      <c r="AN48" s="133"/>
      <c r="AO48" s="133"/>
      <c r="AP48" s="133"/>
      <c r="AQ48" s="133"/>
      <c r="AT48" s="133"/>
      <c r="AU48" s="133"/>
      <c r="AV48" s="133"/>
      <c r="AW48" s="133"/>
      <c r="AX48" s="133"/>
      <c r="BA48" s="133"/>
      <c r="BB48" s="133"/>
      <c r="BC48" s="133"/>
      <c r="BD48" s="133"/>
      <c r="BE48" s="133"/>
      <c r="BH48" s="133"/>
      <c r="BI48" s="133"/>
      <c r="BJ48" s="133"/>
      <c r="BK48" s="133"/>
      <c r="BL48" s="133"/>
      <c r="BO48" s="133"/>
      <c r="BP48" s="133"/>
      <c r="BQ48" s="133"/>
      <c r="BR48" s="133"/>
      <c r="BS48" s="133"/>
      <c r="BV48" s="133"/>
      <c r="BW48" s="133"/>
      <c r="BX48" s="133"/>
      <c r="BY48" s="133"/>
      <c r="BZ48" s="133"/>
      <c r="CC48" s="133"/>
      <c r="CD48" s="133"/>
      <c r="CE48" s="133"/>
      <c r="CF48" s="133"/>
      <c r="CG48" s="133"/>
      <c r="CJ48" s="133"/>
      <c r="CK48" s="133"/>
      <c r="CL48" s="133"/>
      <c r="CM48" s="133"/>
      <c r="CN48" s="133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</row>
    <row r="49" spans="2:107" ht="16" x14ac:dyDescent="0.2">
      <c r="D49" s="106"/>
      <c r="E49" s="106"/>
      <c r="F49" s="106"/>
      <c r="K49" s="106"/>
      <c r="L49" s="106"/>
      <c r="M49" s="106"/>
      <c r="P49" s="120"/>
    </row>
    <row r="50" spans="2:107" s="181" customFormat="1" ht="16" x14ac:dyDescent="0.2">
      <c r="B50" s="183" t="s">
        <v>403</v>
      </c>
      <c r="C50" s="214"/>
      <c r="D50" s="184"/>
      <c r="E50" s="185"/>
      <c r="F50" s="185"/>
      <c r="G50" s="185"/>
      <c r="I50" s="186"/>
      <c r="J50" s="186"/>
      <c r="K50" s="184"/>
      <c r="L50" s="185"/>
      <c r="M50" s="185"/>
      <c r="N50" s="185"/>
      <c r="P50" s="115"/>
      <c r="Q50" s="186"/>
      <c r="R50" s="186"/>
      <c r="S50" s="186"/>
      <c r="T50" s="186"/>
      <c r="U50" s="186"/>
      <c r="V50" s="186"/>
      <c r="Y50" s="186"/>
      <c r="Z50" s="186"/>
      <c r="AA50" s="186"/>
      <c r="AB50" s="186"/>
      <c r="AC50" s="186"/>
      <c r="AF50" s="186"/>
      <c r="AG50" s="186"/>
      <c r="AH50" s="186"/>
      <c r="AI50" s="186"/>
      <c r="AJ50" s="186"/>
      <c r="AM50" s="186"/>
      <c r="AN50" s="186"/>
      <c r="AO50" s="186"/>
      <c r="AP50" s="186"/>
      <c r="AQ50" s="186"/>
      <c r="AT50" s="186"/>
      <c r="AU50" s="186"/>
      <c r="AV50" s="186"/>
      <c r="AW50" s="186"/>
      <c r="AX50" s="186"/>
      <c r="BA50" s="186"/>
      <c r="BB50" s="186"/>
      <c r="BC50" s="186"/>
      <c r="BD50" s="186"/>
      <c r="BE50" s="186"/>
      <c r="BH50" s="186"/>
      <c r="BI50" s="186"/>
      <c r="BJ50" s="186"/>
      <c r="BK50" s="186"/>
      <c r="BL50" s="186"/>
      <c r="BO50" s="186"/>
      <c r="BP50" s="186"/>
      <c r="BQ50" s="186"/>
      <c r="BR50" s="186"/>
      <c r="BS50" s="186"/>
      <c r="BV50" s="186"/>
      <c r="BW50" s="186"/>
      <c r="BX50" s="186"/>
      <c r="BY50" s="186"/>
      <c r="BZ50" s="186"/>
      <c r="CC50" s="186"/>
      <c r="CD50" s="186"/>
      <c r="CE50" s="186"/>
      <c r="CF50" s="186"/>
      <c r="CG50" s="186"/>
      <c r="CJ50" s="186"/>
      <c r="CK50" s="186"/>
      <c r="CL50" s="186"/>
      <c r="CM50" s="186"/>
      <c r="CN50" s="186"/>
    </row>
    <row r="51" spans="2:107" x14ac:dyDescent="0.2">
      <c r="B51" s="105" t="s">
        <v>404</v>
      </c>
      <c r="D51" s="136"/>
      <c r="E51" s="136"/>
      <c r="F51" s="136"/>
      <c r="G51" s="137"/>
      <c r="H51" s="137"/>
      <c r="I51" s="137"/>
      <c r="J51" s="137">
        <f>SUM(J52:P57)</f>
        <v>50768249.969999999</v>
      </c>
      <c r="K51" s="138"/>
      <c r="L51" s="138"/>
      <c r="M51" s="138"/>
      <c r="N51" s="137"/>
      <c r="O51" s="137"/>
      <c r="P51" s="115"/>
      <c r="Q51" s="137">
        <f>SUM(Q52:W57)</f>
        <v>40581403.590000004</v>
      </c>
      <c r="R51" s="137"/>
      <c r="S51" s="137"/>
      <c r="T51" s="137"/>
      <c r="U51" s="137"/>
      <c r="V51" s="137"/>
      <c r="X51" s="137">
        <f>SUM(X52:AD57)</f>
        <v>42656961.939999998</v>
      </c>
      <c r="Y51" s="137"/>
      <c r="Z51" s="137"/>
      <c r="AA51" s="137"/>
      <c r="AB51" s="137"/>
      <c r="AC51" s="137"/>
      <c r="AE51" s="137">
        <f>SUM(AE52:AK57)</f>
        <v>44946482.920000002</v>
      </c>
      <c r="AF51" s="137"/>
      <c r="AG51" s="137"/>
      <c r="AH51" s="137"/>
      <c r="AI51" s="137"/>
      <c r="AJ51" s="137"/>
      <c r="AL51" s="137">
        <f>SUM(AL52:AR57)</f>
        <v>50331752.43</v>
      </c>
      <c r="AM51" s="137"/>
      <c r="AN51" s="137"/>
      <c r="AO51" s="137"/>
      <c r="AP51" s="137"/>
      <c r="AQ51" s="137"/>
      <c r="AS51" s="137">
        <f>SUM(AS52:AY57)</f>
        <v>50521686.510000005</v>
      </c>
      <c r="AT51" s="137"/>
      <c r="AU51" s="137"/>
      <c r="AV51" s="137"/>
      <c r="AW51" s="137"/>
      <c r="AX51" s="137"/>
      <c r="AZ51" s="137">
        <f>SUM(AZ52:BF57)</f>
        <v>66597161.159999996</v>
      </c>
      <c r="BA51" s="137"/>
      <c r="BB51" s="137"/>
      <c r="BC51" s="137"/>
      <c r="BD51" s="137"/>
      <c r="BE51" s="137"/>
      <c r="BG51" s="137">
        <f>SUM(BG52:BM57)</f>
        <v>75404198.469999999</v>
      </c>
      <c r="BH51" s="137"/>
      <c r="BI51" s="137"/>
      <c r="BJ51" s="137"/>
      <c r="BK51" s="137"/>
      <c r="BL51" s="137"/>
      <c r="BN51" s="137">
        <f>SUM(BN52:BT57)</f>
        <v>68420027.080000013</v>
      </c>
      <c r="BO51" s="137"/>
      <c r="BP51" s="137"/>
      <c r="BQ51" s="137"/>
      <c r="BR51" s="137"/>
      <c r="BS51" s="137"/>
      <c r="BU51" s="137">
        <f>SUM(BU52:CA57)</f>
        <v>70959613.590000004</v>
      </c>
      <c r="BV51" s="137"/>
      <c r="BW51" s="137"/>
      <c r="BX51" s="137"/>
      <c r="BY51" s="137"/>
      <c r="BZ51" s="137"/>
      <c r="CB51" s="137">
        <f>SUM(CB52:CH57)</f>
        <v>76314941.450000003</v>
      </c>
      <c r="CC51" s="137"/>
      <c r="CD51" s="137"/>
      <c r="CE51" s="137"/>
      <c r="CF51" s="137"/>
      <c r="CG51" s="137"/>
      <c r="CI51" s="137">
        <f>SUM(CI52:CO57)</f>
        <v>80689773</v>
      </c>
      <c r="CJ51" s="137"/>
      <c r="CK51" s="137"/>
      <c r="CL51" s="137"/>
      <c r="CM51" s="137"/>
      <c r="CN51" s="137"/>
      <c r="CP51" s="137">
        <f>CI51</f>
        <v>80689773</v>
      </c>
      <c r="CR51" s="139">
        <f>J51/J$64</f>
        <v>2.6216409098328713E-2</v>
      </c>
      <c r="CS51" s="139">
        <f>Q51/Q$64</f>
        <v>2.1066805203511178E-2</v>
      </c>
      <c r="CT51" s="139">
        <f>X51/X$64</f>
        <v>2.2120444426180476E-2</v>
      </c>
      <c r="CU51" s="139">
        <f>AE51/AE$64</f>
        <v>2.3280072185314783E-2</v>
      </c>
      <c r="CV51" s="139">
        <f>AL51/AL$64</f>
        <v>2.5996864291904599E-2</v>
      </c>
      <c r="CW51" s="139">
        <f>AS51/AS$64</f>
        <v>2.6092407443843165E-2</v>
      </c>
      <c r="CX51" s="139">
        <f>AZ51/AZ$64</f>
        <v>3.4111534537909556E-2</v>
      </c>
      <c r="CY51" s="139">
        <f>BG51/BG$64</f>
        <v>3.8449116035767797E-2</v>
      </c>
      <c r="CZ51" s="139">
        <f>BN51/BN$64</f>
        <v>3.5012528624159323E-2</v>
      </c>
      <c r="DA51" s="139">
        <f>BU51/BU$64</f>
        <v>3.6264980037540022E-2</v>
      </c>
      <c r="DB51" s="139">
        <f>CB51/CB$64</f>
        <v>3.8895447289348219E-2</v>
      </c>
      <c r="DC51" s="139">
        <f>CI51/CI$64</f>
        <v>4.1033674673229124E-2</v>
      </c>
    </row>
    <row r="52" spans="2:107" x14ac:dyDescent="0.2">
      <c r="C52" s="204" t="s">
        <v>505</v>
      </c>
      <c r="D52" s="136"/>
      <c r="E52" s="136"/>
      <c r="F52" s="136"/>
      <c r="G52" s="137"/>
      <c r="H52" s="137"/>
      <c r="I52" s="137"/>
      <c r="J52" s="137">
        <v>0</v>
      </c>
      <c r="K52" s="138"/>
      <c r="L52" s="138"/>
      <c r="M52" s="138"/>
      <c r="N52" s="137"/>
      <c r="O52" s="137"/>
      <c r="P52" s="115"/>
      <c r="Q52" s="137">
        <v>0</v>
      </c>
      <c r="R52" s="137"/>
      <c r="S52" s="137"/>
      <c r="T52" s="137"/>
      <c r="U52" s="137"/>
      <c r="V52" s="137"/>
      <c r="X52" s="137">
        <v>0</v>
      </c>
      <c r="Y52" s="137"/>
      <c r="Z52" s="137"/>
      <c r="AA52" s="137"/>
      <c r="AB52" s="137"/>
      <c r="AC52" s="137"/>
      <c r="AE52" s="137">
        <v>0</v>
      </c>
      <c r="AF52" s="137"/>
      <c r="AG52" s="137"/>
      <c r="AH52" s="137"/>
      <c r="AI52" s="137"/>
      <c r="AJ52" s="137"/>
      <c r="AL52" s="137">
        <v>0</v>
      </c>
      <c r="AM52" s="137"/>
      <c r="AN52" s="137"/>
      <c r="AO52" s="137"/>
      <c r="AP52" s="137"/>
      <c r="AQ52" s="137"/>
      <c r="AS52" s="137">
        <v>0</v>
      </c>
      <c r="AT52" s="137"/>
      <c r="AU52" s="137"/>
      <c r="AV52" s="137"/>
      <c r="AW52" s="137"/>
      <c r="AX52" s="137"/>
      <c r="AZ52" s="137">
        <v>0</v>
      </c>
      <c r="BA52" s="137"/>
      <c r="BB52" s="137"/>
      <c r="BC52" s="137"/>
      <c r="BD52" s="137"/>
      <c r="BE52" s="137"/>
      <c r="BG52" s="137">
        <v>0</v>
      </c>
      <c r="BH52" s="137"/>
      <c r="BI52" s="137"/>
      <c r="BJ52" s="137"/>
      <c r="BK52" s="137"/>
      <c r="BL52" s="137"/>
      <c r="BN52" s="137">
        <v>0</v>
      </c>
      <c r="BO52" s="137"/>
      <c r="BP52" s="137"/>
      <c r="BQ52" s="137"/>
      <c r="BR52" s="137"/>
      <c r="BS52" s="137"/>
      <c r="BU52" s="137">
        <v>0</v>
      </c>
      <c r="BV52" s="137"/>
      <c r="BW52" s="137"/>
      <c r="BX52" s="137"/>
      <c r="BY52" s="137"/>
      <c r="BZ52" s="137"/>
      <c r="CB52" s="137">
        <v>0</v>
      </c>
      <c r="CC52" s="137"/>
      <c r="CD52" s="137"/>
      <c r="CE52" s="137"/>
      <c r="CF52" s="137"/>
      <c r="CG52" s="137"/>
      <c r="CI52" s="137">
        <v>0</v>
      </c>
      <c r="CJ52" s="137"/>
      <c r="CK52" s="137"/>
      <c r="CL52" s="137"/>
      <c r="CM52" s="137"/>
      <c r="CN52" s="137"/>
      <c r="CP52" s="137">
        <f t="shared" ref="CP52:CP57" si="29">CI52</f>
        <v>0</v>
      </c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</row>
    <row r="53" spans="2:107" x14ac:dyDescent="0.2">
      <c r="C53" s="204" t="s">
        <v>127</v>
      </c>
      <c r="D53" s="136"/>
      <c r="E53" s="136"/>
      <c r="F53" s="136"/>
      <c r="G53" s="137"/>
      <c r="H53" s="137"/>
      <c r="I53" s="137"/>
      <c r="J53" s="115">
        <f>SUMIFS(Saldos!$D:$D,Saldos!$B:$B,'EEFF 2025'!J$2,Saldos!$C:$C,'EEFF 2025'!$B$1)</f>
        <v>10099360.539999999</v>
      </c>
      <c r="K53" s="138"/>
      <c r="L53" s="138"/>
      <c r="M53" s="138"/>
      <c r="N53" s="137"/>
      <c r="O53" s="137"/>
      <c r="P53" s="115"/>
      <c r="Q53" s="115">
        <f>SUMIFS(Saldos!$D:$D,Saldos!$B:$B,'EEFF 2025'!Q$2,Saldos!$C:$C,'EEFF 2025'!$B$1)</f>
        <v>13095566.550000001</v>
      </c>
      <c r="R53" s="137"/>
      <c r="S53" s="137"/>
      <c r="T53" s="137"/>
      <c r="U53" s="137"/>
      <c r="V53" s="137"/>
      <c r="X53" s="115">
        <f>SUMIFS(Saldos!$D:$D,Saldos!$B:$B,'EEFF 2025'!X$2,Saldos!$C:$C,'EEFF 2025'!$B$1)</f>
        <v>12664018.34</v>
      </c>
      <c r="Y53" s="137"/>
      <c r="Z53" s="137"/>
      <c r="AA53" s="137"/>
      <c r="AB53" s="137"/>
      <c r="AC53" s="137"/>
      <c r="AE53" s="115">
        <f>SUMIFS(Saldos!$D:$D,Saldos!$B:$B,'EEFF 2025'!AE$2,Saldos!$C:$C,'EEFF 2025'!$B$1)</f>
        <v>3039418.24</v>
      </c>
      <c r="AF53" s="137"/>
      <c r="AG53" s="137"/>
      <c r="AH53" s="137"/>
      <c r="AI53" s="137"/>
      <c r="AJ53" s="137"/>
      <c r="AL53" s="115">
        <f>SUMIFS(Saldos!$D:$D,Saldos!$B:$B,'EEFF 2025'!AL$2,Saldos!$C:$C,'EEFF 2025'!$B$1)</f>
        <v>6467955.54</v>
      </c>
      <c r="AM53" s="137"/>
      <c r="AN53" s="137"/>
      <c r="AO53" s="137"/>
      <c r="AP53" s="137"/>
      <c r="AQ53" s="137"/>
      <c r="AS53" s="115">
        <f>SUMIFS(Saldos!$D:$D,Saldos!$B:$B,'EEFF 2025'!AS$2,Saldos!$C:$C,'EEFF 2025'!$B$1)</f>
        <v>1517074.45</v>
      </c>
      <c r="AT53" s="137"/>
      <c r="AU53" s="137"/>
      <c r="AV53" s="137"/>
      <c r="AW53" s="137"/>
      <c r="AX53" s="137"/>
      <c r="AZ53" s="115">
        <f>SUMIFS(Saldos!$D:$D,Saldos!$B:$B,'EEFF 2025'!AZ$2,Saldos!$C:$C,'EEFF 2025'!$B$1)</f>
        <v>2466895.61</v>
      </c>
      <c r="BA53" s="137"/>
      <c r="BB53" s="137"/>
      <c r="BC53" s="137"/>
      <c r="BD53" s="137"/>
      <c r="BE53" s="137"/>
      <c r="BG53" s="115">
        <f>SUMIFS(Saldos!$D:$D,Saldos!$B:$B,'EEFF 2025'!BG$2,Saldos!$C:$C,'EEFF 2025'!$B$1)</f>
        <v>5528188.0899999999</v>
      </c>
      <c r="BH53" s="137"/>
      <c r="BI53" s="137"/>
      <c r="BJ53" s="137"/>
      <c r="BK53" s="137"/>
      <c r="BL53" s="137"/>
      <c r="BN53" s="115">
        <f>SUMIFS(Saldos!$D:$D,Saldos!$B:$B,'EEFF 2025'!BN$2,Saldos!$C:$C,'EEFF 2025'!$B$1)</f>
        <v>4277655.9800000004</v>
      </c>
      <c r="BO53" s="137"/>
      <c r="BP53" s="137"/>
      <c r="BQ53" s="137"/>
      <c r="BR53" s="137"/>
      <c r="BS53" s="137"/>
      <c r="BU53" s="115">
        <f>SUMIFS(Saldos!$D:$D,Saldos!$B:$B,'EEFF 2025'!BU$2,Saldos!$C:$C,'EEFF 2025'!$B$1)</f>
        <v>4922160.63</v>
      </c>
      <c r="BV53" s="137"/>
      <c r="BW53" s="137"/>
      <c r="BX53" s="137"/>
      <c r="BY53" s="137"/>
      <c r="BZ53" s="137"/>
      <c r="CB53" s="115">
        <f>SUMIFS(Saldos!$D:$D,Saldos!$B:$B,'EEFF 2025'!CB$2,Saldos!$C:$C,'EEFF 2025'!$B$1)</f>
        <v>5940354.0899999999</v>
      </c>
      <c r="CC53" s="137"/>
      <c r="CD53" s="137"/>
      <c r="CE53" s="137"/>
      <c r="CF53" s="137"/>
      <c r="CG53" s="137"/>
      <c r="CI53" s="115">
        <f>SUMIFS(Saldos!$D:$D,Saldos!$B:$B,'EEFF 2025'!CI$2,Saldos!$C:$C,'EEFF 2025'!$B$1)</f>
        <v>4112943.35</v>
      </c>
      <c r="CJ53" s="137"/>
      <c r="CK53" s="137"/>
      <c r="CL53" s="137"/>
      <c r="CM53" s="137"/>
      <c r="CN53" s="137"/>
      <c r="CP53" s="137">
        <f t="shared" si="29"/>
        <v>4112943.35</v>
      </c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</row>
    <row r="54" spans="2:107" x14ac:dyDescent="0.2">
      <c r="C54" s="204" t="s">
        <v>118</v>
      </c>
      <c r="D54" s="136"/>
      <c r="E54" s="136"/>
      <c r="F54" s="136"/>
      <c r="G54" s="137"/>
      <c r="H54" s="137"/>
      <c r="I54" s="137"/>
      <c r="J54" s="115">
        <f>SUMIFS(Saldos!$E:$E,Saldos!$B:$B,'EEFF 2025'!J$2,Saldos!$C:$C,'EEFF 2025'!$B$1)</f>
        <v>2329817</v>
      </c>
      <c r="K54" s="138"/>
      <c r="L54" s="138"/>
      <c r="M54" s="138"/>
      <c r="N54" s="137"/>
      <c r="O54" s="137"/>
      <c r="P54" s="115"/>
      <c r="Q54" s="115">
        <f>SUMIFS(Saldos!$E:$E,Saldos!$B:$B,'EEFF 2025'!Q$2,Saldos!$C:$C,'EEFF 2025'!$B$1)</f>
        <v>3560678</v>
      </c>
      <c r="R54" s="137"/>
      <c r="S54" s="137"/>
      <c r="T54" s="137"/>
      <c r="U54" s="137"/>
      <c r="V54" s="137"/>
      <c r="X54" s="115">
        <f>SUMIFS(Saldos!$E:$E,Saldos!$B:$B,'EEFF 2025'!X$2,Saldos!$C:$C,'EEFF 2025'!$B$1)</f>
        <v>6663379</v>
      </c>
      <c r="Y54" s="137"/>
      <c r="Z54" s="137"/>
      <c r="AA54" s="137"/>
      <c r="AB54" s="137"/>
      <c r="AC54" s="137"/>
      <c r="AE54" s="115">
        <f>SUMIFS(Saldos!$E:$E,Saldos!$B:$B,'EEFF 2025'!AE$2,Saldos!$C:$C,'EEFF 2025'!$B$1)</f>
        <v>7951642</v>
      </c>
      <c r="AF54" s="137"/>
      <c r="AG54" s="137"/>
      <c r="AH54" s="137"/>
      <c r="AI54" s="137"/>
      <c r="AJ54" s="137"/>
      <c r="AL54" s="115">
        <f>SUMIFS(Saldos!$E:$E,Saldos!$B:$B,'EEFF 2025'!AL$2,Saldos!$C:$C,'EEFF 2025'!$B$1)</f>
        <v>5299122</v>
      </c>
      <c r="AM54" s="137"/>
      <c r="AN54" s="137"/>
      <c r="AO54" s="137"/>
      <c r="AP54" s="137"/>
      <c r="AQ54" s="137"/>
      <c r="AS54" s="115">
        <f>SUMIFS(Saldos!$E:$E,Saldos!$B:$B,'EEFF 2025'!AS$2,Saldos!$C:$C,'EEFF 2025'!$B$1)</f>
        <v>6768135</v>
      </c>
      <c r="AT54" s="137"/>
      <c r="AU54" s="137"/>
      <c r="AV54" s="137"/>
      <c r="AW54" s="137"/>
      <c r="AX54" s="137"/>
      <c r="AZ54" s="115">
        <f>SUMIFS(Saldos!$E:$E,Saldos!$B:$B,'EEFF 2025'!AZ$2,Saldos!$C:$C,'EEFF 2025'!$B$1)</f>
        <v>7618507</v>
      </c>
      <c r="BA54" s="137"/>
      <c r="BB54" s="137"/>
      <c r="BC54" s="137"/>
      <c r="BD54" s="137"/>
      <c r="BE54" s="137"/>
      <c r="BG54" s="115">
        <f>SUMIFS(Saldos!$E:$E,Saldos!$B:$B,'EEFF 2025'!BG$2,Saldos!$C:$C,'EEFF 2025'!$B$1)</f>
        <v>8000000</v>
      </c>
      <c r="BH54" s="137"/>
      <c r="BI54" s="137"/>
      <c r="BJ54" s="137"/>
      <c r="BK54" s="137"/>
      <c r="BL54" s="137"/>
      <c r="BN54" s="115">
        <f>SUMIFS(Saldos!$E:$E,Saldos!$B:$B,'EEFF 2025'!BN$2,Saldos!$C:$C,'EEFF 2025'!$B$1)</f>
        <v>10218831</v>
      </c>
      <c r="BO54" s="137"/>
      <c r="BP54" s="137"/>
      <c r="BQ54" s="137"/>
      <c r="BR54" s="137"/>
      <c r="BS54" s="137"/>
      <c r="BU54" s="115">
        <f>SUMIFS(Saldos!$E:$E,Saldos!$B:$B,'EEFF 2025'!BU$2,Saldos!$C:$C,'EEFF 2025'!$B$1)</f>
        <v>9642198</v>
      </c>
      <c r="BV54" s="137"/>
      <c r="BW54" s="137"/>
      <c r="BX54" s="137"/>
      <c r="BY54" s="137"/>
      <c r="BZ54" s="137"/>
      <c r="CB54" s="115">
        <f>SUMIFS(Saldos!$E:$E,Saldos!$B:$B,'EEFF 2025'!CB$2,Saldos!$C:$C,'EEFF 2025'!$B$1)</f>
        <v>6112754</v>
      </c>
      <c r="CC54" s="137"/>
      <c r="CD54" s="137"/>
      <c r="CE54" s="137"/>
      <c r="CF54" s="137"/>
      <c r="CG54" s="137"/>
      <c r="CI54" s="115">
        <f>SUMIFS(Saldos!$E:$E,Saldos!$B:$B,'EEFF 2025'!CI$2,Saldos!$C:$C,'EEFF 2025'!$B$1)</f>
        <v>5263268</v>
      </c>
      <c r="CJ54" s="137"/>
      <c r="CK54" s="137"/>
      <c r="CL54" s="137"/>
      <c r="CM54" s="137"/>
      <c r="CN54" s="137"/>
      <c r="CP54" s="137">
        <f t="shared" si="29"/>
        <v>5263268</v>
      </c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</row>
    <row r="55" spans="2:107" x14ac:dyDescent="0.2">
      <c r="C55" s="204" t="s">
        <v>515</v>
      </c>
      <c r="D55" s="136"/>
      <c r="E55" s="136"/>
      <c r="F55" s="136"/>
      <c r="G55" s="137"/>
      <c r="H55" s="137"/>
      <c r="I55" s="137"/>
      <c r="J55" s="115">
        <f>SUMIFS(Saldos!$F:$F,Saldos!$B:$B,'EEFF 2025'!J$2,Saldos!$C:$C,'EEFF 2025'!$B$1)</f>
        <v>25544674</v>
      </c>
      <c r="K55" s="138"/>
      <c r="L55" s="138"/>
      <c r="M55" s="138"/>
      <c r="N55" s="137"/>
      <c r="O55" s="137"/>
      <c r="P55" s="115"/>
      <c r="Q55" s="115">
        <f>SUMIFS(Saldos!$F:$F,Saldos!$B:$B,'EEFF 2025'!Q$2,Saldos!$C:$C,'EEFF 2025'!$B$1)</f>
        <v>8827679</v>
      </c>
      <c r="R55" s="137"/>
      <c r="S55" s="137"/>
      <c r="T55" s="137"/>
      <c r="U55" s="137"/>
      <c r="V55" s="137"/>
      <c r="X55" s="115">
        <f>SUMIFS(Saldos!$F:$F,Saldos!$B:$B,'EEFF 2025'!X$2,Saldos!$C:$C,'EEFF 2025'!$B$1)</f>
        <v>8118747</v>
      </c>
      <c r="Y55" s="137"/>
      <c r="Z55" s="137"/>
      <c r="AA55" s="137"/>
      <c r="AB55" s="137"/>
      <c r="AC55" s="137"/>
      <c r="AE55" s="115">
        <f>SUMIFS(Saldos!$F:$F,Saldos!$B:$B,'EEFF 2025'!AE$2,Saldos!$C:$C,'EEFF 2025'!$B$1)</f>
        <v>16428550</v>
      </c>
      <c r="AF55" s="137"/>
      <c r="AG55" s="137"/>
      <c r="AH55" s="137"/>
      <c r="AI55" s="137"/>
      <c r="AJ55" s="137"/>
      <c r="AL55" s="115">
        <f>SUMIFS(Saldos!$F:$F,Saldos!$B:$B,'EEFF 2025'!AL$2,Saldos!$C:$C,'EEFF 2025'!$B$1)</f>
        <v>17303293</v>
      </c>
      <c r="AM55" s="137"/>
      <c r="AN55" s="137"/>
      <c r="AO55" s="137"/>
      <c r="AP55" s="137"/>
      <c r="AQ55" s="137"/>
      <c r="AS55" s="115">
        <f>SUMIFS(Saldos!$F:$F,Saldos!$B:$B,'EEFF 2025'!AS$2,Saldos!$C:$C,'EEFF 2025'!$B$1)</f>
        <v>19840467</v>
      </c>
      <c r="AT55" s="137"/>
      <c r="AU55" s="137"/>
      <c r="AV55" s="137"/>
      <c r="AW55" s="137"/>
      <c r="AX55" s="137"/>
      <c r="AZ55" s="115">
        <f>SUMIFS(Saldos!$F:$F,Saldos!$B:$B,'EEFF 2025'!AZ$2,Saldos!$C:$C,'EEFF 2025'!$B$1)</f>
        <v>22496662</v>
      </c>
      <c r="BA55" s="137"/>
      <c r="BB55" s="137"/>
      <c r="BC55" s="137"/>
      <c r="BD55" s="137"/>
      <c r="BE55" s="137"/>
      <c r="BG55" s="115">
        <f>SUMIFS(Saldos!$F:$F,Saldos!$B:$B,'EEFF 2025'!BG$2,Saldos!$C:$C,'EEFF 2025'!$B$1)</f>
        <v>25038216</v>
      </c>
      <c r="BH55" s="137"/>
      <c r="BI55" s="137"/>
      <c r="BJ55" s="137"/>
      <c r="BK55" s="137"/>
      <c r="BL55" s="137"/>
      <c r="BN55" s="115">
        <f>SUMIFS(Saldos!$F:$F,Saldos!$B:$B,'EEFF 2025'!BN$2,Saldos!$C:$C,'EEFF 2025'!$B$1)</f>
        <v>26046906</v>
      </c>
      <c r="BO55" s="137"/>
      <c r="BP55" s="137"/>
      <c r="BQ55" s="137"/>
      <c r="BR55" s="137"/>
      <c r="BS55" s="137"/>
      <c r="BU55" s="115">
        <f>SUMIFS(Saldos!$F:$F,Saldos!$B:$B,'EEFF 2025'!BU$2,Saldos!$C:$C,'EEFF 2025'!$B$1)</f>
        <v>21711664</v>
      </c>
      <c r="BV55" s="137"/>
      <c r="BW55" s="137"/>
      <c r="BX55" s="137"/>
      <c r="BY55" s="137"/>
      <c r="BZ55" s="137"/>
      <c r="CB55" s="115">
        <f>SUMIFS(Saldos!$F:$F,Saldos!$B:$B,'EEFF 2025'!CB$2,Saldos!$C:$C,'EEFF 2025'!$B$1)</f>
        <v>24117560</v>
      </c>
      <c r="CC55" s="137"/>
      <c r="CD55" s="137"/>
      <c r="CE55" s="137"/>
      <c r="CF55" s="137"/>
      <c r="CG55" s="137"/>
      <c r="CI55" s="115">
        <f>SUMIFS(Saldos!$F:$F,Saldos!$B:$B,'EEFF 2025'!CI$2,Saldos!$C:$C,'EEFF 2025'!$B$1)</f>
        <v>24828736</v>
      </c>
      <c r="CJ55" s="137"/>
      <c r="CK55" s="137"/>
      <c r="CL55" s="137"/>
      <c r="CM55" s="137"/>
      <c r="CN55" s="137"/>
      <c r="CP55" s="137">
        <f t="shared" si="29"/>
        <v>24828736</v>
      </c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</row>
    <row r="56" spans="2:107" x14ac:dyDescent="0.2">
      <c r="C56" s="204" t="s">
        <v>516</v>
      </c>
      <c r="D56" s="136"/>
      <c r="E56" s="136"/>
      <c r="F56" s="136"/>
      <c r="G56" s="137"/>
      <c r="H56" s="137"/>
      <c r="I56" s="137"/>
      <c r="J56" s="115">
        <f>SUMIFS(Saldos!$H:$H,Saldos!$B:$B,'EEFF 2025'!J$2,Saldos!$C:$C,'EEFF 2025'!$B$1)</f>
        <v>4922376.1900000004</v>
      </c>
      <c r="K56" s="138"/>
      <c r="L56" s="138"/>
      <c r="M56" s="138"/>
      <c r="N56" s="137"/>
      <c r="O56" s="137"/>
      <c r="P56" s="115"/>
      <c r="Q56" s="115">
        <f>SUMIFS(Saldos!$H:$H,Saldos!$B:$B,'EEFF 2025'!Q$2,Saldos!$C:$C,'EEFF 2025'!$B$1)</f>
        <v>5953229.6299999999</v>
      </c>
      <c r="R56" s="137"/>
      <c r="S56" s="137"/>
      <c r="T56" s="137"/>
      <c r="U56" s="137"/>
      <c r="V56" s="137"/>
      <c r="X56" s="115">
        <f>SUMIFS(Saldos!$H:$H,Saldos!$B:$B,'EEFF 2025'!X$2,Saldos!$C:$C,'EEFF 2025'!$B$1)</f>
        <v>4787125.59</v>
      </c>
      <c r="Y56" s="137"/>
      <c r="Z56" s="137"/>
      <c r="AA56" s="137"/>
      <c r="AB56" s="137"/>
      <c r="AC56" s="137"/>
      <c r="AE56" s="115">
        <f>SUMIFS(Saldos!$H:$H,Saldos!$B:$B,'EEFF 2025'!AE$2,Saldos!$C:$C,'EEFF 2025'!$B$1)</f>
        <v>5822455.8399999999</v>
      </c>
      <c r="AF56" s="137"/>
      <c r="AG56" s="137"/>
      <c r="AH56" s="137"/>
      <c r="AI56" s="137"/>
      <c r="AJ56" s="137"/>
      <c r="AL56" s="115">
        <f>SUMIFS(Saldos!$H:$H,Saldos!$B:$B,'EEFF 2025'!AL$2,Saldos!$C:$C,'EEFF 2025'!$B$1)</f>
        <v>6866147.9299999997</v>
      </c>
      <c r="AM56" s="137"/>
      <c r="AN56" s="137"/>
      <c r="AO56" s="137"/>
      <c r="AP56" s="137"/>
      <c r="AQ56" s="137"/>
      <c r="AS56" s="115">
        <f>SUMIFS(Saldos!$H:$H,Saldos!$B:$B,'EEFF 2025'!AS$2,Saldos!$C:$C,'EEFF 2025'!$B$1)</f>
        <v>7903098.7199999997</v>
      </c>
      <c r="AT56" s="137"/>
      <c r="AU56" s="137"/>
      <c r="AV56" s="137"/>
      <c r="AW56" s="137"/>
      <c r="AX56" s="137"/>
      <c r="AZ56" s="115">
        <f>SUMIFS(Saldos!$H:$H,Saldos!$B:$B,'EEFF 2025'!AZ$2,Saldos!$C:$C,'EEFF 2025'!$B$1)</f>
        <v>8970967.6400000006</v>
      </c>
      <c r="BA56" s="137"/>
      <c r="BB56" s="137"/>
      <c r="BC56" s="137"/>
      <c r="BD56" s="137"/>
      <c r="BE56" s="137"/>
      <c r="BG56" s="115">
        <f>SUMIFS(Saldos!$H:$H,Saldos!$B:$B,'EEFF 2025'!BG$2,Saldos!$C:$C,'EEFF 2025'!$B$1)</f>
        <v>10025404.67</v>
      </c>
      <c r="BH56" s="137"/>
      <c r="BI56" s="137"/>
      <c r="BJ56" s="137"/>
      <c r="BK56" s="137"/>
      <c r="BL56" s="137"/>
      <c r="BN56" s="115">
        <f>SUMIFS(Saldos!$H:$H,Saldos!$B:$B,'EEFF 2025'!BN$2,Saldos!$C:$C,'EEFF 2025'!$B$1)</f>
        <v>11083051.880000001</v>
      </c>
      <c r="BO56" s="137"/>
      <c r="BP56" s="137"/>
      <c r="BQ56" s="137"/>
      <c r="BR56" s="137"/>
      <c r="BS56" s="137"/>
      <c r="BU56" s="115">
        <f>SUMIFS(Saldos!$H:$H,Saldos!$B:$B,'EEFF 2025'!BU$2,Saldos!$C:$C,'EEFF 2025'!$B$1)</f>
        <v>12151350.890000001</v>
      </c>
      <c r="BV56" s="137"/>
      <c r="BW56" s="137"/>
      <c r="BX56" s="137"/>
      <c r="BY56" s="137"/>
      <c r="BZ56" s="137"/>
      <c r="CB56" s="115">
        <f>SUMIFS(Saldos!$H:$H,Saldos!$B:$B,'EEFF 2025'!CB$2,Saldos!$C:$C,'EEFF 2025'!$B$1)</f>
        <v>13200824.300000001</v>
      </c>
      <c r="CC56" s="137"/>
      <c r="CD56" s="137"/>
      <c r="CE56" s="137"/>
      <c r="CF56" s="137"/>
      <c r="CG56" s="137"/>
      <c r="CI56" s="115">
        <f>SUMIFS(Saldos!$H:$H,Saldos!$B:$B,'EEFF 2025'!CI$2,Saldos!$C:$C,'EEFF 2025'!$B$1)</f>
        <v>14238315.6</v>
      </c>
      <c r="CJ56" s="137"/>
      <c r="CK56" s="137"/>
      <c r="CL56" s="137"/>
      <c r="CM56" s="137"/>
      <c r="CN56" s="137"/>
      <c r="CP56" s="137">
        <f t="shared" si="29"/>
        <v>14238315.6</v>
      </c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</row>
    <row r="57" spans="2:107" x14ac:dyDescent="0.2">
      <c r="C57" s="204" t="s">
        <v>126</v>
      </c>
      <c r="D57" s="136"/>
      <c r="E57" s="136"/>
      <c r="F57" s="136"/>
      <c r="G57" s="137"/>
      <c r="H57" s="137"/>
      <c r="I57" s="137"/>
      <c r="J57" s="115">
        <f>SUMIFS(Saldos!$I:$I,Saldos!$B:$B,'EEFF 2025'!J$2,Saldos!$C:$C,'EEFF 2025'!$B$1)</f>
        <v>7872022.2400000002</v>
      </c>
      <c r="K57" s="138"/>
      <c r="L57" s="138"/>
      <c r="M57" s="138"/>
      <c r="N57" s="137"/>
      <c r="O57" s="137"/>
      <c r="P57" s="115"/>
      <c r="Q57" s="115">
        <f>SUMIFS(Saldos!$I:$I,Saldos!$B:$B,'EEFF 2025'!Q$2,Saldos!$C:$C,'EEFF 2025'!$B$1)</f>
        <v>9144250.4100000001</v>
      </c>
      <c r="R57" s="137"/>
      <c r="S57" s="137"/>
      <c r="T57" s="137"/>
      <c r="U57" s="137"/>
      <c r="V57" s="137"/>
      <c r="X57" s="115">
        <f>SUMIFS(Saldos!$I:$I,Saldos!$B:$B,'EEFF 2025'!X$2,Saldos!$C:$C,'EEFF 2025'!$B$1)</f>
        <v>10423692.01</v>
      </c>
      <c r="Y57" s="137"/>
      <c r="Z57" s="137"/>
      <c r="AA57" s="137"/>
      <c r="AB57" s="137"/>
      <c r="AC57" s="137"/>
      <c r="AE57" s="115">
        <f>SUMIFS(Saldos!$I:$I,Saldos!$B:$B,'EEFF 2025'!AE$2,Saldos!$C:$C,'EEFF 2025'!$B$1)</f>
        <v>11704416.84</v>
      </c>
      <c r="AF57" s="137"/>
      <c r="AG57" s="137"/>
      <c r="AH57" s="137"/>
      <c r="AI57" s="137"/>
      <c r="AJ57" s="137"/>
      <c r="AL57" s="115">
        <f>SUMIFS(Saldos!$I:$I,Saldos!$B:$B,'EEFF 2025'!AL$2,Saldos!$C:$C,'EEFF 2025'!$B$1)</f>
        <v>14395233.960000001</v>
      </c>
      <c r="AM57" s="137"/>
      <c r="AN57" s="137"/>
      <c r="AO57" s="137"/>
      <c r="AP57" s="137"/>
      <c r="AQ57" s="137"/>
      <c r="AS57" s="115">
        <f>SUMIFS(Saldos!$I:$I,Saldos!$B:$B,'EEFF 2025'!AS$2,Saldos!$C:$C,'EEFF 2025'!$B$1)</f>
        <v>14492911.34</v>
      </c>
      <c r="AT57" s="137"/>
      <c r="AU57" s="137"/>
      <c r="AV57" s="137"/>
      <c r="AW57" s="137"/>
      <c r="AX57" s="137"/>
      <c r="AZ57" s="115">
        <f>SUMIFS(Saldos!$I:$I,Saldos!$B:$B,'EEFF 2025'!AZ$2,Saldos!$C:$C,'EEFF 2025'!$B$1)</f>
        <v>25044128.91</v>
      </c>
      <c r="BA57" s="137"/>
      <c r="BB57" s="137"/>
      <c r="BC57" s="137"/>
      <c r="BD57" s="137"/>
      <c r="BE57" s="137"/>
      <c r="BG57" s="115">
        <f>SUMIFS(Saldos!$I:$I,Saldos!$B:$B,'EEFF 2025'!BG$2,Saldos!$C:$C,'EEFF 2025'!$B$1)</f>
        <v>26812389.710000001</v>
      </c>
      <c r="BH57" s="137"/>
      <c r="BI57" s="137"/>
      <c r="BJ57" s="137"/>
      <c r="BK57" s="137"/>
      <c r="BL57" s="137"/>
      <c r="BN57" s="115">
        <f>SUMIFS(Saldos!$I:$I,Saldos!$B:$B,'EEFF 2025'!BN$2,Saldos!$C:$C,'EEFF 2025'!$B$1)</f>
        <v>16793582.219999999</v>
      </c>
      <c r="BO57" s="137"/>
      <c r="BP57" s="137"/>
      <c r="BQ57" s="137"/>
      <c r="BR57" s="137"/>
      <c r="BS57" s="137"/>
      <c r="BU57" s="115">
        <f>SUMIFS(Saldos!$I:$I,Saldos!$B:$B,'EEFF 2025'!BU$2,Saldos!$C:$C,'EEFF 2025'!$B$1)</f>
        <v>22532240.07</v>
      </c>
      <c r="BV57" s="137"/>
      <c r="BW57" s="137"/>
      <c r="BX57" s="137"/>
      <c r="BY57" s="137"/>
      <c r="BZ57" s="137"/>
      <c r="CB57" s="115">
        <f>SUMIFS(Saldos!$I:$I,Saldos!$B:$B,'EEFF 2025'!CB$2,Saldos!$C:$C,'EEFF 2025'!$B$1)</f>
        <v>26943449.059999999</v>
      </c>
      <c r="CC57" s="137"/>
      <c r="CD57" s="137"/>
      <c r="CE57" s="137"/>
      <c r="CF57" s="137"/>
      <c r="CG57" s="137"/>
      <c r="CI57" s="115">
        <f>SUMIFS(Saldos!$I:$I,Saldos!$B:$B,'EEFF 2025'!CI$2,Saldos!$C:$C,'EEFF 2025'!$B$1)</f>
        <v>32246510.050000001</v>
      </c>
      <c r="CJ57" s="137"/>
      <c r="CK57" s="137"/>
      <c r="CL57" s="137"/>
      <c r="CM57" s="137"/>
      <c r="CN57" s="137"/>
      <c r="CP57" s="137">
        <f t="shared" si="29"/>
        <v>32246510.050000001</v>
      </c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</row>
    <row r="58" spans="2:107" x14ac:dyDescent="0.2">
      <c r="B58" s="105" t="s">
        <v>405</v>
      </c>
      <c r="D58" s="136"/>
      <c r="E58" s="136"/>
      <c r="F58" s="136"/>
      <c r="G58" s="133"/>
      <c r="H58" s="133"/>
      <c r="I58" s="133"/>
      <c r="K58" s="138"/>
      <c r="L58" s="138"/>
      <c r="M58" s="138"/>
      <c r="N58" s="133"/>
      <c r="O58" s="133"/>
      <c r="P58" s="115"/>
      <c r="R58" s="133"/>
      <c r="S58" s="133"/>
      <c r="T58" s="133"/>
      <c r="U58" s="133"/>
      <c r="V58" s="133"/>
      <c r="Y58" s="133"/>
      <c r="Z58" s="133"/>
      <c r="AA58" s="133"/>
      <c r="AB58" s="133"/>
      <c r="AC58" s="133"/>
      <c r="AF58" s="133"/>
      <c r="AG58" s="133"/>
      <c r="AH58" s="133"/>
      <c r="AI58" s="133"/>
      <c r="AJ58" s="133"/>
      <c r="AM58" s="133"/>
      <c r="AN58" s="133"/>
      <c r="AO58" s="133"/>
      <c r="AP58" s="133"/>
      <c r="AQ58" s="133"/>
      <c r="AT58" s="133"/>
      <c r="AU58" s="133"/>
      <c r="AV58" s="133"/>
      <c r="AW58" s="133"/>
      <c r="AX58" s="133"/>
      <c r="BA58" s="133"/>
      <c r="BB58" s="133"/>
      <c r="BC58" s="133"/>
      <c r="BD58" s="133"/>
      <c r="BE58" s="133"/>
      <c r="BH58" s="133"/>
      <c r="BI58" s="133"/>
      <c r="BJ58" s="133"/>
      <c r="BK58" s="133"/>
      <c r="BL58" s="133"/>
      <c r="BO58" s="133"/>
      <c r="BP58" s="133"/>
      <c r="BQ58" s="133"/>
      <c r="BR58" s="133"/>
      <c r="BS58" s="133"/>
      <c r="BV58" s="133"/>
      <c r="BW58" s="133"/>
      <c r="BX58" s="133"/>
      <c r="BY58" s="133"/>
      <c r="BZ58" s="133"/>
      <c r="CC58" s="133"/>
      <c r="CD58" s="133"/>
      <c r="CE58" s="133"/>
      <c r="CF58" s="133"/>
      <c r="CG58" s="133"/>
      <c r="CJ58" s="133"/>
      <c r="CK58" s="133"/>
      <c r="CL58" s="133"/>
      <c r="CM58" s="133"/>
      <c r="CN58" s="133"/>
      <c r="CR58" s="139">
        <f>J58/J$64</f>
        <v>0</v>
      </c>
      <c r="CS58" s="139">
        <f>Q58/Q$64</f>
        <v>0</v>
      </c>
      <c r="CT58" s="139">
        <f>X58/X$64</f>
        <v>0</v>
      </c>
      <c r="CU58" s="139">
        <f>AE58/AE$64</f>
        <v>0</v>
      </c>
      <c r="CV58" s="139">
        <f>AL58/AL$64</f>
        <v>0</v>
      </c>
      <c r="CW58" s="139">
        <f>AS58/AS$64</f>
        <v>0</v>
      </c>
      <c r="CX58" s="139">
        <f>AZ58/AZ$64</f>
        <v>0</v>
      </c>
      <c r="CY58" s="139">
        <f>BG58/BG$64</f>
        <v>0</v>
      </c>
      <c r="CZ58" s="139">
        <f>BN58/BN$64</f>
        <v>0</v>
      </c>
      <c r="DA58" s="139">
        <f>BU58/BU$64</f>
        <v>0</v>
      </c>
      <c r="DB58" s="139">
        <f>CB58/CB$64</f>
        <v>0</v>
      </c>
      <c r="DC58" s="139">
        <f>CI58/CI$64</f>
        <v>0</v>
      </c>
    </row>
    <row r="59" spans="2:107" x14ac:dyDescent="0.2">
      <c r="B59" s="105" t="s">
        <v>406</v>
      </c>
      <c r="D59" s="136"/>
      <c r="E59" s="136"/>
      <c r="F59" s="136"/>
      <c r="G59" s="133"/>
      <c r="H59" s="133"/>
      <c r="I59" s="133"/>
      <c r="K59" s="138"/>
      <c r="L59" s="138"/>
      <c r="M59" s="138"/>
      <c r="N59" s="133"/>
      <c r="O59" s="133"/>
      <c r="P59" s="115"/>
      <c r="R59" s="133"/>
      <c r="S59" s="133"/>
      <c r="T59" s="133"/>
      <c r="U59" s="133"/>
      <c r="V59" s="133"/>
      <c r="Y59" s="133"/>
      <c r="Z59" s="133"/>
      <c r="AA59" s="133"/>
      <c r="AB59" s="133"/>
      <c r="AC59" s="133"/>
      <c r="AF59" s="133"/>
      <c r="AG59" s="133"/>
      <c r="AH59" s="133"/>
      <c r="AI59" s="133"/>
      <c r="AJ59" s="133"/>
      <c r="AM59" s="133"/>
      <c r="AN59" s="133"/>
      <c r="AO59" s="133"/>
      <c r="AP59" s="133"/>
      <c r="AQ59" s="133"/>
      <c r="AT59" s="133"/>
      <c r="AU59" s="133"/>
      <c r="AV59" s="133"/>
      <c r="AW59" s="133"/>
      <c r="AX59" s="133"/>
      <c r="BA59" s="133"/>
      <c r="BB59" s="133"/>
      <c r="BC59" s="133"/>
      <c r="BD59" s="133"/>
      <c r="BE59" s="133"/>
      <c r="BH59" s="133"/>
      <c r="BI59" s="133"/>
      <c r="BJ59" s="133"/>
      <c r="BK59" s="133"/>
      <c r="BL59" s="133"/>
      <c r="BO59" s="133"/>
      <c r="BP59" s="133"/>
      <c r="BQ59" s="133"/>
      <c r="BR59" s="133"/>
      <c r="BS59" s="133"/>
      <c r="BV59" s="133"/>
      <c r="BW59" s="133"/>
      <c r="BX59" s="133"/>
      <c r="BY59" s="133"/>
      <c r="BZ59" s="133"/>
      <c r="CC59" s="133"/>
      <c r="CD59" s="133"/>
      <c r="CE59" s="133"/>
      <c r="CF59" s="133"/>
      <c r="CG59" s="133"/>
      <c r="CJ59" s="133"/>
      <c r="CK59" s="133"/>
      <c r="CL59" s="133"/>
      <c r="CM59" s="133"/>
      <c r="CN59" s="133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</row>
    <row r="60" spans="2:107" ht="16" x14ac:dyDescent="0.2">
      <c r="B60" s="105" t="s">
        <v>407</v>
      </c>
      <c r="D60" s="136"/>
      <c r="E60" s="136"/>
      <c r="F60" s="136"/>
      <c r="G60" s="140"/>
      <c r="H60" s="140"/>
      <c r="I60" s="140"/>
      <c r="K60" s="138"/>
      <c r="L60" s="138"/>
      <c r="M60" s="138"/>
      <c r="N60" s="140"/>
      <c r="O60" s="140"/>
      <c r="P60" s="120"/>
      <c r="R60" s="140"/>
      <c r="S60" s="140"/>
      <c r="T60" s="140"/>
      <c r="U60" s="140"/>
      <c r="V60" s="140"/>
      <c r="Y60" s="140"/>
      <c r="Z60" s="140"/>
      <c r="AA60" s="140"/>
      <c r="AB60" s="140"/>
      <c r="AC60" s="140"/>
      <c r="AF60" s="140"/>
      <c r="AG60" s="140"/>
      <c r="AH60" s="140"/>
      <c r="AI60" s="140"/>
      <c r="AJ60" s="140"/>
      <c r="AM60" s="140"/>
      <c r="AN60" s="140"/>
      <c r="AO60" s="140"/>
      <c r="AP60" s="140"/>
      <c r="AQ60" s="140"/>
      <c r="AT60" s="140"/>
      <c r="AU60" s="140"/>
      <c r="AV60" s="140"/>
      <c r="AW60" s="140"/>
      <c r="AX60" s="140"/>
      <c r="BA60" s="140"/>
      <c r="BB60" s="140"/>
      <c r="BC60" s="140"/>
      <c r="BD60" s="140"/>
      <c r="BE60" s="140"/>
      <c r="BH60" s="140"/>
      <c r="BI60" s="140"/>
      <c r="BJ60" s="140"/>
      <c r="BK60" s="140"/>
      <c r="BL60" s="140"/>
      <c r="BO60" s="140"/>
      <c r="BP60" s="140"/>
      <c r="BQ60" s="140"/>
      <c r="BR60" s="140"/>
      <c r="BS60" s="140"/>
      <c r="BV60" s="140"/>
      <c r="BW60" s="140"/>
      <c r="BX60" s="140"/>
      <c r="BY60" s="140"/>
      <c r="BZ60" s="140"/>
      <c r="CC60" s="140"/>
      <c r="CD60" s="140"/>
      <c r="CE60" s="140"/>
      <c r="CF60" s="140"/>
      <c r="CG60" s="140"/>
      <c r="CJ60" s="140"/>
      <c r="CK60" s="140"/>
      <c r="CL60" s="140"/>
      <c r="CM60" s="140"/>
      <c r="CN60" s="140"/>
      <c r="CR60" s="139">
        <f>J60/J$64</f>
        <v>0</v>
      </c>
      <c r="CS60" s="139">
        <f>Q60/Q$64</f>
        <v>0</v>
      </c>
      <c r="CT60" s="139">
        <f>X60/X$64</f>
        <v>0</v>
      </c>
      <c r="CU60" s="139">
        <f>AE60/AE$64</f>
        <v>0</v>
      </c>
      <c r="CV60" s="139">
        <f>AL60/AL$64</f>
        <v>0</v>
      </c>
      <c r="CW60" s="139">
        <f>AS60/AS$64</f>
        <v>0</v>
      </c>
      <c r="CX60" s="139">
        <f>AZ60/AZ$64</f>
        <v>0</v>
      </c>
      <c r="CY60" s="139">
        <f>BG60/BG$64</f>
        <v>0</v>
      </c>
      <c r="CZ60" s="139">
        <f>BN60/BN$64</f>
        <v>0</v>
      </c>
      <c r="DA60" s="139">
        <f t="shared" ref="DA60:DA80" si="30">BU60/BU$64</f>
        <v>0</v>
      </c>
      <c r="DB60" s="139">
        <f t="shared" ref="DB60:DB80" si="31">CB60/CB$64</f>
        <v>0</v>
      </c>
      <c r="DC60" s="139">
        <f t="shared" ref="DC60:DC80" si="32">CI60/CI$64</f>
        <v>0</v>
      </c>
    </row>
    <row r="61" spans="2:107" ht="16" x14ac:dyDescent="0.2">
      <c r="B61" s="141" t="s">
        <v>408</v>
      </c>
      <c r="C61" s="207"/>
      <c r="D61" s="142"/>
      <c r="E61" s="142"/>
      <c r="F61" s="142"/>
      <c r="G61" s="142"/>
      <c r="H61" s="142"/>
      <c r="I61" s="142"/>
      <c r="J61" s="142">
        <f>SUM(J58:J60)+J51</f>
        <v>50768249.969999999</v>
      </c>
      <c r="K61" s="142"/>
      <c r="L61" s="142"/>
      <c r="M61" s="142"/>
      <c r="N61" s="142"/>
      <c r="O61" s="142"/>
      <c r="P61" s="142"/>
      <c r="Q61" s="142">
        <f>SUM(Q58:Q60)+Q51</f>
        <v>40581403.590000004</v>
      </c>
      <c r="R61" s="142"/>
      <c r="S61" s="142"/>
      <c r="T61" s="142"/>
      <c r="U61" s="142"/>
      <c r="V61" s="142"/>
      <c r="W61" s="142"/>
      <c r="X61" s="142">
        <f>SUM(X58:X60)+X51</f>
        <v>42656961.939999998</v>
      </c>
      <c r="Y61" s="142"/>
      <c r="Z61" s="142"/>
      <c r="AA61" s="142"/>
      <c r="AB61" s="142"/>
      <c r="AC61" s="142"/>
      <c r="AD61" s="142"/>
      <c r="AE61" s="142">
        <f>SUM(AE58:AE60)+AE51</f>
        <v>44946482.920000002</v>
      </c>
      <c r="AF61" s="142"/>
      <c r="AG61" s="142"/>
      <c r="AH61" s="142"/>
      <c r="AI61" s="142"/>
      <c r="AJ61" s="142"/>
      <c r="AK61" s="142"/>
      <c r="AL61" s="142">
        <f>SUM(AL58:AL60)+AL51</f>
        <v>50331752.43</v>
      </c>
      <c r="AM61" s="142"/>
      <c r="AN61" s="142"/>
      <c r="AO61" s="142"/>
      <c r="AP61" s="142"/>
      <c r="AQ61" s="142"/>
      <c r="AR61" s="142"/>
      <c r="AS61" s="142">
        <f>SUM(AS58:AS60)+AS51</f>
        <v>50521686.510000005</v>
      </c>
      <c r="AT61" s="142"/>
      <c r="AU61" s="142"/>
      <c r="AV61" s="142"/>
      <c r="AW61" s="142"/>
      <c r="AX61" s="142"/>
      <c r="AY61" s="142"/>
      <c r="AZ61" s="142">
        <f>SUM(AZ58:AZ60)+AZ51</f>
        <v>66597161.159999996</v>
      </c>
      <c r="BA61" s="142"/>
      <c r="BB61" s="142"/>
      <c r="BC61" s="142"/>
      <c r="BD61" s="142"/>
      <c r="BE61" s="142"/>
      <c r="BF61" s="142"/>
      <c r="BG61" s="142">
        <f>SUM(BG58:BG60)+BG51</f>
        <v>75404198.469999999</v>
      </c>
      <c r="BH61" s="142"/>
      <c r="BI61" s="142"/>
      <c r="BJ61" s="142"/>
      <c r="BK61" s="142"/>
      <c r="BL61" s="142"/>
      <c r="BM61" s="142"/>
      <c r="BN61" s="142">
        <f>SUM(BN58:BN60)+BN51</f>
        <v>68420027.080000013</v>
      </c>
      <c r="BO61" s="142"/>
      <c r="BP61" s="142"/>
      <c r="BQ61" s="142"/>
      <c r="BR61" s="142"/>
      <c r="BS61" s="142"/>
      <c r="BT61" s="142"/>
      <c r="BU61" s="142">
        <f>SUM(BU58:BU60)+BU51</f>
        <v>70959613.590000004</v>
      </c>
      <c r="BV61" s="142"/>
      <c r="BW61" s="142"/>
      <c r="BX61" s="142"/>
      <c r="BY61" s="142"/>
      <c r="BZ61" s="142"/>
      <c r="CA61" s="142"/>
      <c r="CB61" s="142">
        <f>SUM(CB58:CB60)+CB51</f>
        <v>76314941.450000003</v>
      </c>
      <c r="CC61" s="142"/>
      <c r="CD61" s="142"/>
      <c r="CE61" s="142"/>
      <c r="CF61" s="142"/>
      <c r="CG61" s="142"/>
      <c r="CH61" s="142"/>
      <c r="CI61" s="142">
        <f>SUM(CI58:CI60)+CI51</f>
        <v>80689773</v>
      </c>
      <c r="CJ61" s="142"/>
      <c r="CK61" s="142"/>
      <c r="CL61" s="142"/>
      <c r="CM61" s="142"/>
      <c r="CN61" s="142"/>
      <c r="CO61" s="142"/>
      <c r="CP61" s="142">
        <f>SUM(CP58:CP60)+CP51</f>
        <v>80689773</v>
      </c>
      <c r="CR61" s="145">
        <f t="shared" ref="CR61:CR80" si="33">J61/J$64</f>
        <v>2.6216409098328713E-2</v>
      </c>
      <c r="CS61" s="145">
        <f t="shared" ref="CS61:CS80" si="34">Q61/Q$64</f>
        <v>2.1066805203511178E-2</v>
      </c>
      <c r="CT61" s="145">
        <f t="shared" ref="CT61:CT80" si="35">X61/X$64</f>
        <v>2.2120444426180476E-2</v>
      </c>
      <c r="CU61" s="145">
        <f t="shared" ref="CU61:CU80" si="36">AE61/AE$64</f>
        <v>2.3280072185314783E-2</v>
      </c>
      <c r="CV61" s="145">
        <f t="shared" ref="CV61:CV80" si="37">AL61/AL$64</f>
        <v>2.5996864291904599E-2</v>
      </c>
      <c r="CW61" s="145">
        <f t="shared" ref="CW61:CW80" si="38">AS61/AS$64</f>
        <v>2.6092407443843165E-2</v>
      </c>
      <c r="CX61" s="145">
        <f t="shared" ref="CX61:CX80" si="39">AZ61/AZ$64</f>
        <v>3.4111534537909556E-2</v>
      </c>
      <c r="CY61" s="145">
        <f t="shared" ref="CY61:CY80" si="40">BG61/BG$64</f>
        <v>3.8449116035767797E-2</v>
      </c>
      <c r="CZ61" s="145">
        <f t="shared" ref="CZ61:CZ80" si="41">BN61/BN$64</f>
        <v>3.5012528624159323E-2</v>
      </c>
      <c r="DA61" s="145">
        <f t="shared" si="30"/>
        <v>3.6264980037540022E-2</v>
      </c>
      <c r="DB61" s="145">
        <f t="shared" si="31"/>
        <v>3.8895447289348219E-2</v>
      </c>
      <c r="DC61" s="145">
        <f t="shared" si="32"/>
        <v>4.1033674673229124E-2</v>
      </c>
    </row>
    <row r="62" spans="2:107" x14ac:dyDescent="0.2">
      <c r="B62" s="147" t="s">
        <v>409</v>
      </c>
      <c r="C62" s="208"/>
      <c r="D62" s="148">
        <f>Activos!$H$129</f>
        <v>269047800</v>
      </c>
      <c r="E62" s="148">
        <f>Activos!$H$110</f>
        <v>993789999.99999988</v>
      </c>
      <c r="F62" s="148">
        <f>Activos!$H$34</f>
        <v>239852199.99999997</v>
      </c>
      <c r="G62" s="148">
        <f>Activos!$H$91</f>
        <v>56763000</v>
      </c>
      <c r="H62" s="148">
        <f>Activos!$H$53</f>
        <v>215607000</v>
      </c>
      <c r="I62" s="148">
        <f>Activos!$H$72</f>
        <v>110678377.59999999</v>
      </c>
      <c r="J62" s="148">
        <f>SUM(D62:I62)</f>
        <v>1885738377.5999999</v>
      </c>
      <c r="K62" s="148">
        <f>Activos!$H$129</f>
        <v>269047800</v>
      </c>
      <c r="L62" s="148">
        <f>Activos!$H$110</f>
        <v>993789999.99999988</v>
      </c>
      <c r="M62" s="148">
        <f>Activos!$H$34</f>
        <v>239852199.99999997</v>
      </c>
      <c r="N62" s="148">
        <f>Activos!$H$91</f>
        <v>56763000</v>
      </c>
      <c r="O62" s="148">
        <f>Activos!$H$53</f>
        <v>215607000</v>
      </c>
      <c r="P62" s="148">
        <f>Activos!$H$72</f>
        <v>110678377.59999999</v>
      </c>
      <c r="Q62" s="148">
        <f>SUM(K62:P62)</f>
        <v>1885738377.5999999</v>
      </c>
      <c r="R62" s="148">
        <f>Activos!$H$129</f>
        <v>269047800</v>
      </c>
      <c r="S62" s="148">
        <f>Activos!$H$110</f>
        <v>993789999.99999988</v>
      </c>
      <c r="T62" s="148">
        <f>Activos!$H$34</f>
        <v>239852199.99999997</v>
      </c>
      <c r="U62" s="148">
        <f>Activos!$H$91</f>
        <v>56763000</v>
      </c>
      <c r="V62" s="148">
        <f>Activos!$H$53</f>
        <v>215607000</v>
      </c>
      <c r="W62" s="148">
        <f>Activos!$H$72</f>
        <v>110678377.59999999</v>
      </c>
      <c r="X62" s="148">
        <f>SUM(R62:W62)</f>
        <v>1885738377.5999999</v>
      </c>
      <c r="Y62" s="148">
        <f>Activos!$H$129</f>
        <v>269047800</v>
      </c>
      <c r="Z62" s="148">
        <f>Activos!$H$110</f>
        <v>993789999.99999988</v>
      </c>
      <c r="AA62" s="148">
        <f>Activos!$H$34</f>
        <v>239852199.99999997</v>
      </c>
      <c r="AB62" s="148">
        <f>Activos!$H$91</f>
        <v>56763000</v>
      </c>
      <c r="AC62" s="148">
        <f>Activos!$H$53</f>
        <v>215607000</v>
      </c>
      <c r="AD62" s="148">
        <f>Activos!$H$72</f>
        <v>110678377.59999999</v>
      </c>
      <c r="AE62" s="148">
        <f>SUM(Y62:AD62)</f>
        <v>1885738377.5999999</v>
      </c>
      <c r="AF62" s="148">
        <f>Activos!$H$129</f>
        <v>269047800</v>
      </c>
      <c r="AG62" s="148">
        <f>Activos!$H$110</f>
        <v>993789999.99999988</v>
      </c>
      <c r="AH62" s="148">
        <f>Activos!$H$34</f>
        <v>239852199.99999997</v>
      </c>
      <c r="AI62" s="148">
        <f>Activos!$H$91</f>
        <v>56763000</v>
      </c>
      <c r="AJ62" s="148">
        <f>Activos!$H$53</f>
        <v>215607000</v>
      </c>
      <c r="AK62" s="148">
        <f>Activos!$H$72</f>
        <v>110678377.59999999</v>
      </c>
      <c r="AL62" s="148">
        <f>SUM(AF62:AK62)</f>
        <v>1885738377.5999999</v>
      </c>
      <c r="AM62" s="148">
        <f>Activos!$H$129</f>
        <v>269047800</v>
      </c>
      <c r="AN62" s="148">
        <f>Activos!$H$110</f>
        <v>993789999.99999988</v>
      </c>
      <c r="AO62" s="148">
        <f>Activos!$H$34</f>
        <v>239852199.99999997</v>
      </c>
      <c r="AP62" s="148">
        <f>Activos!$H$91</f>
        <v>56763000</v>
      </c>
      <c r="AQ62" s="148">
        <f>Activos!$H$53</f>
        <v>215607000</v>
      </c>
      <c r="AR62" s="148">
        <f>Activos!$H$72</f>
        <v>110678377.59999999</v>
      </c>
      <c r="AS62" s="148">
        <f>SUM(AM62:AR62)</f>
        <v>1885738377.5999999</v>
      </c>
      <c r="AT62" s="148">
        <f>Activos!$H$129</f>
        <v>269047800</v>
      </c>
      <c r="AU62" s="148">
        <f>Activos!$H$110</f>
        <v>993789999.99999988</v>
      </c>
      <c r="AV62" s="148">
        <f>Activos!$H$34</f>
        <v>239852199.99999997</v>
      </c>
      <c r="AW62" s="148">
        <f>Activos!$H$91</f>
        <v>56763000</v>
      </c>
      <c r="AX62" s="148">
        <f>Activos!$H$53</f>
        <v>215607000</v>
      </c>
      <c r="AY62" s="148">
        <f>Activos!$H$72</f>
        <v>110678377.59999999</v>
      </c>
      <c r="AZ62" s="148">
        <f>SUM(AT62:AY62)</f>
        <v>1885738377.5999999</v>
      </c>
      <c r="BA62" s="148">
        <f>Activos!$H$129</f>
        <v>269047800</v>
      </c>
      <c r="BB62" s="148">
        <f>Activos!$H$110</f>
        <v>993789999.99999988</v>
      </c>
      <c r="BC62" s="148">
        <f>Activos!$H$34</f>
        <v>239852199.99999997</v>
      </c>
      <c r="BD62" s="148">
        <f>Activos!$H$91</f>
        <v>56763000</v>
      </c>
      <c r="BE62" s="148">
        <f>Activos!$H$53</f>
        <v>215607000</v>
      </c>
      <c r="BF62" s="148">
        <f>Activos!$H$72</f>
        <v>110678377.59999999</v>
      </c>
      <c r="BG62" s="148">
        <f>SUM(BA62:BF62)</f>
        <v>1885738377.5999999</v>
      </c>
      <c r="BH62" s="148">
        <f>Activos!$H$129</f>
        <v>269047800</v>
      </c>
      <c r="BI62" s="148">
        <f>Activos!$H$110</f>
        <v>993789999.99999988</v>
      </c>
      <c r="BJ62" s="148">
        <f>Activos!$H$34</f>
        <v>239852199.99999997</v>
      </c>
      <c r="BK62" s="148">
        <f>Activos!$H$91</f>
        <v>56763000</v>
      </c>
      <c r="BL62" s="148">
        <f>Activos!$H$53</f>
        <v>215607000</v>
      </c>
      <c r="BM62" s="148">
        <f>Activos!$H$72</f>
        <v>110678377.59999999</v>
      </c>
      <c r="BN62" s="148">
        <f>SUM(BH62:BM62)</f>
        <v>1885738377.5999999</v>
      </c>
      <c r="BO62" s="148">
        <f>Activos!$H$129</f>
        <v>269047800</v>
      </c>
      <c r="BP62" s="148">
        <f>Activos!$H$110</f>
        <v>993789999.99999988</v>
      </c>
      <c r="BQ62" s="148">
        <f>Activos!$H$34</f>
        <v>239852199.99999997</v>
      </c>
      <c r="BR62" s="148">
        <f>Activos!$H$91</f>
        <v>56763000</v>
      </c>
      <c r="BS62" s="148">
        <f>Activos!$H$53</f>
        <v>215607000</v>
      </c>
      <c r="BT62" s="148">
        <f>Activos!$H$72</f>
        <v>110678377.59999999</v>
      </c>
      <c r="BU62" s="148">
        <f>SUM(BO62:BT62)</f>
        <v>1885738377.5999999</v>
      </c>
      <c r="BV62" s="148">
        <f>Activos!$H$129</f>
        <v>269047800</v>
      </c>
      <c r="BW62" s="148">
        <f>Activos!$H$110</f>
        <v>993789999.99999988</v>
      </c>
      <c r="BX62" s="148">
        <f>Activos!$H$34</f>
        <v>239852199.99999997</v>
      </c>
      <c r="BY62" s="148">
        <f>Activos!$H$91</f>
        <v>56763000</v>
      </c>
      <c r="BZ62" s="148">
        <f>Activos!$H$53</f>
        <v>215607000</v>
      </c>
      <c r="CA62" s="148">
        <f>Activos!$H$72</f>
        <v>110678377.59999999</v>
      </c>
      <c r="CB62" s="148">
        <f>SUM(BV62:CA62)</f>
        <v>1885738377.5999999</v>
      </c>
      <c r="CC62" s="148">
        <f>Activos!$H$129</f>
        <v>269047800</v>
      </c>
      <c r="CD62" s="148">
        <f>Activos!$H$110</f>
        <v>993789999.99999988</v>
      </c>
      <c r="CE62" s="148">
        <f>Activos!$H$34</f>
        <v>239852199.99999997</v>
      </c>
      <c r="CF62" s="148">
        <f>Activos!$H$91</f>
        <v>56763000</v>
      </c>
      <c r="CG62" s="148">
        <f>Activos!$H$53</f>
        <v>215607000</v>
      </c>
      <c r="CH62" s="148">
        <f>Activos!$H$72</f>
        <v>110678377.59999999</v>
      </c>
      <c r="CI62" s="148">
        <f>SUM(CC62:CH62)</f>
        <v>1885738377.5999999</v>
      </c>
      <c r="CJ62" s="148">
        <f>Activos!$H$129</f>
        <v>269047800</v>
      </c>
      <c r="CK62" s="148">
        <f>Activos!$H$110</f>
        <v>993789999.99999988</v>
      </c>
      <c r="CL62" s="148">
        <f>Activos!$H$34</f>
        <v>239852199.99999997</v>
      </c>
      <c r="CM62" s="148">
        <f>Activos!$H$91</f>
        <v>56763000</v>
      </c>
      <c r="CN62" s="148">
        <f>Activos!$H$53</f>
        <v>215607000</v>
      </c>
      <c r="CO62" s="148">
        <f>Activos!$H$72</f>
        <v>110678377.59999999</v>
      </c>
      <c r="CP62" s="148">
        <f>CI62</f>
        <v>1885738377.5999999</v>
      </c>
      <c r="CR62" s="149">
        <f t="shared" si="33"/>
        <v>0.97378359090167133</v>
      </c>
      <c r="CS62" s="149">
        <f t="shared" si="34"/>
        <v>0.97893319479648888</v>
      </c>
      <c r="CT62" s="149">
        <f t="shared" si="35"/>
        <v>0.97787955557381945</v>
      </c>
      <c r="CU62" s="149">
        <f t="shared" si="36"/>
        <v>0.9767199278146852</v>
      </c>
      <c r="CV62" s="149">
        <f t="shared" si="37"/>
        <v>0.97400313570809538</v>
      </c>
      <c r="CW62" s="149">
        <f t="shared" si="38"/>
        <v>0.97390759255615689</v>
      </c>
      <c r="CX62" s="149">
        <f t="shared" si="39"/>
        <v>0.9658884654620904</v>
      </c>
      <c r="CY62" s="149">
        <f t="shared" si="40"/>
        <v>0.96155088396423216</v>
      </c>
      <c r="CZ62" s="149">
        <f t="shared" si="41"/>
        <v>0.96498747137584073</v>
      </c>
      <c r="DA62" s="149">
        <f t="shared" si="30"/>
        <v>0.96373501996246003</v>
      </c>
      <c r="DB62" s="149">
        <f t="shared" si="31"/>
        <v>0.96110455271065176</v>
      </c>
      <c r="DC62" s="149">
        <f t="shared" si="32"/>
        <v>0.95896632532677084</v>
      </c>
    </row>
    <row r="63" spans="2:107" ht="16" x14ac:dyDescent="0.2">
      <c r="B63" s="141" t="s">
        <v>410</v>
      </c>
      <c r="C63" s="207"/>
      <c r="D63" s="142"/>
      <c r="E63" s="142"/>
      <c r="F63" s="142"/>
      <c r="G63" s="142"/>
      <c r="H63" s="142"/>
      <c r="I63" s="142"/>
      <c r="J63" s="142">
        <f>J62</f>
        <v>1885738377.5999999</v>
      </c>
      <c r="K63" s="142"/>
      <c r="L63" s="142"/>
      <c r="M63" s="142"/>
      <c r="N63" s="142"/>
      <c r="O63" s="142"/>
      <c r="P63" s="142"/>
      <c r="Q63" s="142">
        <f>Q62</f>
        <v>1885738377.5999999</v>
      </c>
      <c r="R63" s="142"/>
      <c r="S63" s="142"/>
      <c r="T63" s="142"/>
      <c r="U63" s="142"/>
      <c r="V63" s="142"/>
      <c r="W63" s="142"/>
      <c r="X63" s="142">
        <f>X62</f>
        <v>1885738377.5999999</v>
      </c>
      <c r="Y63" s="142"/>
      <c r="Z63" s="142"/>
      <c r="AA63" s="142"/>
      <c r="AB63" s="142"/>
      <c r="AC63" s="142"/>
      <c r="AD63" s="142"/>
      <c r="AE63" s="142">
        <f>AE62</f>
        <v>1885738377.5999999</v>
      </c>
      <c r="AF63" s="143"/>
      <c r="AG63" s="143"/>
      <c r="AH63" s="143"/>
      <c r="AI63" s="143"/>
      <c r="AJ63" s="143"/>
      <c r="AK63" s="143"/>
      <c r="AL63" s="142">
        <f>AL62</f>
        <v>1885738377.5999999</v>
      </c>
      <c r="AM63" s="142"/>
      <c r="AN63" s="142"/>
      <c r="AO63" s="142"/>
      <c r="AP63" s="142"/>
      <c r="AQ63" s="142"/>
      <c r="AR63" s="142"/>
      <c r="AS63" s="142">
        <f>AS62</f>
        <v>1885738377.5999999</v>
      </c>
      <c r="AT63" s="143"/>
      <c r="AU63" s="143"/>
      <c r="AV63" s="143"/>
      <c r="AW63" s="143"/>
      <c r="AX63" s="143"/>
      <c r="AY63" s="143"/>
      <c r="AZ63" s="142">
        <f>AZ62</f>
        <v>1885738377.5999999</v>
      </c>
      <c r="BA63" s="143"/>
      <c r="BB63" s="143"/>
      <c r="BC63" s="143"/>
      <c r="BD63" s="143"/>
      <c r="BE63" s="143"/>
      <c r="BF63" s="143"/>
      <c r="BG63" s="142">
        <f>BG62</f>
        <v>1885738377.5999999</v>
      </c>
      <c r="BH63" s="143"/>
      <c r="BI63" s="143"/>
      <c r="BJ63" s="143"/>
      <c r="BK63" s="143"/>
      <c r="BL63" s="143"/>
      <c r="BM63" s="143"/>
      <c r="BN63" s="142">
        <f>BN62</f>
        <v>1885738377.5999999</v>
      </c>
      <c r="BO63" s="143"/>
      <c r="BP63" s="143"/>
      <c r="BQ63" s="143"/>
      <c r="BR63" s="143"/>
      <c r="BS63" s="143"/>
      <c r="BT63" s="143"/>
      <c r="BU63" s="142">
        <f>BU62</f>
        <v>1885738377.5999999</v>
      </c>
      <c r="BV63" s="143"/>
      <c r="BW63" s="143"/>
      <c r="BX63" s="143"/>
      <c r="BY63" s="143"/>
      <c r="BZ63" s="143"/>
      <c r="CA63" s="143"/>
      <c r="CB63" s="142">
        <f>CB62</f>
        <v>1885738377.5999999</v>
      </c>
      <c r="CC63" s="142"/>
      <c r="CD63" s="142"/>
      <c r="CE63" s="142"/>
      <c r="CF63" s="142"/>
      <c r="CG63" s="142"/>
      <c r="CH63" s="143"/>
      <c r="CI63" s="142">
        <f>CI62</f>
        <v>1885738377.5999999</v>
      </c>
      <c r="CJ63" s="142"/>
      <c r="CK63" s="142"/>
      <c r="CL63" s="142"/>
      <c r="CM63" s="142"/>
      <c r="CN63" s="142"/>
      <c r="CO63" s="142"/>
      <c r="CP63" s="142">
        <f>CP62</f>
        <v>1885738377.5999999</v>
      </c>
      <c r="CR63" s="145">
        <f t="shared" si="33"/>
        <v>0.97378359090167133</v>
      </c>
      <c r="CS63" s="145">
        <f t="shared" si="34"/>
        <v>0.97893319479648888</v>
      </c>
      <c r="CT63" s="145">
        <f t="shared" si="35"/>
        <v>0.97787955557381945</v>
      </c>
      <c r="CU63" s="145">
        <f t="shared" si="36"/>
        <v>0.9767199278146852</v>
      </c>
      <c r="CV63" s="145">
        <f t="shared" si="37"/>
        <v>0.97400313570809538</v>
      </c>
      <c r="CW63" s="145">
        <f t="shared" si="38"/>
        <v>0.97390759255615689</v>
      </c>
      <c r="CX63" s="145">
        <f t="shared" si="39"/>
        <v>0.9658884654620904</v>
      </c>
      <c r="CY63" s="145">
        <f t="shared" si="40"/>
        <v>0.96155088396423216</v>
      </c>
      <c r="CZ63" s="145">
        <f t="shared" si="41"/>
        <v>0.96498747137584073</v>
      </c>
      <c r="DA63" s="145">
        <f t="shared" si="30"/>
        <v>0.96373501996246003</v>
      </c>
      <c r="DB63" s="145">
        <f t="shared" si="31"/>
        <v>0.96110455271065176</v>
      </c>
      <c r="DC63" s="145">
        <f t="shared" si="32"/>
        <v>0.95896632532677084</v>
      </c>
    </row>
    <row r="64" spans="2:107" ht="16" x14ac:dyDescent="0.2">
      <c r="B64" s="150" t="s">
        <v>411</v>
      </c>
      <c r="C64" s="209"/>
      <c r="D64" s="151"/>
      <c r="E64" s="151"/>
      <c r="F64" s="151"/>
      <c r="G64" s="151"/>
      <c r="H64" s="151"/>
      <c r="I64" s="151"/>
      <c r="J64" s="151">
        <f>J61+J63</f>
        <v>1936506627.5699999</v>
      </c>
      <c r="K64" s="151"/>
      <c r="L64" s="151"/>
      <c r="M64" s="151"/>
      <c r="N64" s="151"/>
      <c r="O64" s="151"/>
      <c r="P64" s="151"/>
      <c r="Q64" s="151">
        <f>Q61+Q63</f>
        <v>1926319781.1899998</v>
      </c>
      <c r="R64" s="151"/>
      <c r="S64" s="151"/>
      <c r="T64" s="151"/>
      <c r="U64" s="151"/>
      <c r="V64" s="151"/>
      <c r="W64" s="151"/>
      <c r="X64" s="151">
        <f>X61+X63</f>
        <v>1928395339.54</v>
      </c>
      <c r="Y64" s="151"/>
      <c r="Z64" s="151"/>
      <c r="AA64" s="151"/>
      <c r="AB64" s="151"/>
      <c r="AC64" s="151"/>
      <c r="AD64" s="151"/>
      <c r="AE64" s="151">
        <f>AE61+AE63</f>
        <v>1930684860.52</v>
      </c>
      <c r="AF64" s="152"/>
      <c r="AG64" s="152"/>
      <c r="AH64" s="152"/>
      <c r="AI64" s="152"/>
      <c r="AJ64" s="152"/>
      <c r="AK64" s="152"/>
      <c r="AL64" s="151">
        <f>AL61+AL63</f>
        <v>1936070130.03</v>
      </c>
      <c r="AM64" s="151"/>
      <c r="AN64" s="151"/>
      <c r="AO64" s="151"/>
      <c r="AP64" s="151"/>
      <c r="AQ64" s="151"/>
      <c r="AR64" s="151"/>
      <c r="AS64" s="151">
        <f>AS61+AS63</f>
        <v>1936260064.1099999</v>
      </c>
      <c r="AT64" s="152"/>
      <c r="AU64" s="152"/>
      <c r="AV64" s="152"/>
      <c r="AW64" s="152"/>
      <c r="AX64" s="152"/>
      <c r="AY64" s="152"/>
      <c r="AZ64" s="151">
        <f>AZ61+AZ63</f>
        <v>1952335538.76</v>
      </c>
      <c r="BA64" s="152"/>
      <c r="BB64" s="152"/>
      <c r="BC64" s="152"/>
      <c r="BD64" s="152"/>
      <c r="BE64" s="152"/>
      <c r="BF64" s="152"/>
      <c r="BG64" s="151">
        <f>BG61+BG63</f>
        <v>1961142576.0699999</v>
      </c>
      <c r="BH64" s="152"/>
      <c r="BI64" s="152"/>
      <c r="BJ64" s="152"/>
      <c r="BK64" s="152"/>
      <c r="BL64" s="152"/>
      <c r="BM64" s="152"/>
      <c r="BN64" s="151">
        <f>BN61+BN63</f>
        <v>1954158404.6799998</v>
      </c>
      <c r="BO64" s="152"/>
      <c r="BP64" s="152"/>
      <c r="BQ64" s="152"/>
      <c r="BR64" s="152"/>
      <c r="BS64" s="152"/>
      <c r="BT64" s="152"/>
      <c r="BU64" s="151">
        <f>BU61+BU63</f>
        <v>1956697991.1899998</v>
      </c>
      <c r="BV64" s="152"/>
      <c r="BW64" s="152"/>
      <c r="BX64" s="152"/>
      <c r="BY64" s="152"/>
      <c r="BZ64" s="152"/>
      <c r="CA64" s="152"/>
      <c r="CB64" s="151">
        <f>CB61+CB63</f>
        <v>1962053319.05</v>
      </c>
      <c r="CC64" s="151"/>
      <c r="CD64" s="151"/>
      <c r="CE64" s="151"/>
      <c r="CF64" s="151"/>
      <c r="CG64" s="151"/>
      <c r="CH64" s="152"/>
      <c r="CI64" s="151">
        <f>CI61+CI63</f>
        <v>1966428150.5999999</v>
      </c>
      <c r="CJ64" s="151"/>
      <c r="CK64" s="151"/>
      <c r="CL64" s="151"/>
      <c r="CM64" s="151"/>
      <c r="CN64" s="151"/>
      <c r="CO64" s="151"/>
      <c r="CP64" s="151">
        <f>CP61+CP63</f>
        <v>1966428150.5999999</v>
      </c>
      <c r="CR64" s="153">
        <f t="shared" si="33"/>
        <v>1</v>
      </c>
      <c r="CS64" s="153">
        <f t="shared" si="34"/>
        <v>1</v>
      </c>
      <c r="CT64" s="153">
        <f t="shared" si="35"/>
        <v>1</v>
      </c>
      <c r="CU64" s="153">
        <f t="shared" si="36"/>
        <v>1</v>
      </c>
      <c r="CV64" s="153">
        <f t="shared" si="37"/>
        <v>1</v>
      </c>
      <c r="CW64" s="153">
        <f t="shared" si="38"/>
        <v>1</v>
      </c>
      <c r="CX64" s="153">
        <f t="shared" si="39"/>
        <v>1</v>
      </c>
      <c r="CY64" s="153">
        <f t="shared" si="40"/>
        <v>1</v>
      </c>
      <c r="CZ64" s="153">
        <f t="shared" si="41"/>
        <v>1</v>
      </c>
      <c r="DA64" s="153">
        <f t="shared" si="30"/>
        <v>1</v>
      </c>
      <c r="DB64" s="153">
        <f t="shared" si="31"/>
        <v>1</v>
      </c>
      <c r="DC64" s="153">
        <f t="shared" si="32"/>
        <v>1</v>
      </c>
    </row>
    <row r="65" spans="2:107" x14ac:dyDescent="0.2">
      <c r="B65" s="105" t="s">
        <v>412</v>
      </c>
      <c r="D65" s="134"/>
      <c r="E65" s="134"/>
      <c r="F65" s="132"/>
      <c r="G65" s="133"/>
      <c r="H65" s="133"/>
      <c r="I65" s="133"/>
      <c r="K65" s="134"/>
      <c r="L65" s="134"/>
      <c r="M65" s="134"/>
      <c r="N65" s="133"/>
      <c r="O65" s="133"/>
      <c r="P65" s="133"/>
      <c r="R65" s="133"/>
      <c r="S65" s="133"/>
      <c r="T65" s="133"/>
      <c r="U65" s="133"/>
      <c r="V65" s="133"/>
      <c r="Y65" s="133"/>
      <c r="Z65" s="133"/>
      <c r="AA65" s="133"/>
      <c r="AB65" s="133"/>
      <c r="AC65" s="133"/>
      <c r="AF65" s="133"/>
      <c r="AG65" s="133"/>
      <c r="AH65" s="133"/>
      <c r="AI65" s="133"/>
      <c r="AJ65" s="133"/>
      <c r="AM65" s="133"/>
      <c r="AN65" s="133"/>
      <c r="AO65" s="133"/>
      <c r="AP65" s="133"/>
      <c r="AQ65" s="133"/>
      <c r="AT65" s="133"/>
      <c r="AU65" s="133"/>
      <c r="AV65" s="133"/>
      <c r="AW65" s="133"/>
      <c r="AX65" s="133"/>
      <c r="BA65" s="133"/>
      <c r="BB65" s="133"/>
      <c r="BC65" s="133"/>
      <c r="BD65" s="133"/>
      <c r="BE65" s="133"/>
      <c r="BH65" s="133"/>
      <c r="BI65" s="133"/>
      <c r="BJ65" s="133"/>
      <c r="BK65" s="133"/>
      <c r="BL65" s="133"/>
      <c r="BO65" s="133"/>
      <c r="BP65" s="133"/>
      <c r="BQ65" s="133"/>
      <c r="BR65" s="133"/>
      <c r="BS65" s="133"/>
      <c r="BV65" s="133"/>
      <c r="BW65" s="133"/>
      <c r="BX65" s="133"/>
      <c r="BY65" s="133"/>
      <c r="BZ65" s="133"/>
      <c r="CC65" s="133"/>
      <c r="CD65" s="133"/>
      <c r="CE65" s="133"/>
      <c r="CF65" s="133"/>
      <c r="CG65" s="133"/>
      <c r="CJ65" s="133"/>
      <c r="CK65" s="133"/>
      <c r="CL65" s="133"/>
      <c r="CM65" s="133"/>
      <c r="CN65" s="133"/>
      <c r="CR65" s="139">
        <f t="shared" si="33"/>
        <v>0</v>
      </c>
      <c r="CS65" s="139">
        <f t="shared" si="34"/>
        <v>0</v>
      </c>
      <c r="CT65" s="139">
        <f t="shared" si="35"/>
        <v>0</v>
      </c>
      <c r="CU65" s="139">
        <f t="shared" si="36"/>
        <v>0</v>
      </c>
      <c r="CV65" s="139">
        <f t="shared" si="37"/>
        <v>0</v>
      </c>
      <c r="CW65" s="139">
        <f t="shared" si="38"/>
        <v>0</v>
      </c>
      <c r="CX65" s="139">
        <f t="shared" si="39"/>
        <v>0</v>
      </c>
      <c r="CY65" s="139">
        <f t="shared" si="40"/>
        <v>0</v>
      </c>
      <c r="CZ65" s="139">
        <f t="shared" si="41"/>
        <v>0</v>
      </c>
      <c r="DA65" s="139">
        <f t="shared" si="30"/>
        <v>0</v>
      </c>
      <c r="DB65" s="139">
        <f t="shared" si="31"/>
        <v>0</v>
      </c>
      <c r="DC65" s="139">
        <f t="shared" si="32"/>
        <v>0</v>
      </c>
    </row>
    <row r="66" spans="2:107" x14ac:dyDescent="0.2">
      <c r="B66" s="105" t="s">
        <v>413</v>
      </c>
      <c r="D66" s="134"/>
      <c r="E66" s="134"/>
      <c r="F66" s="132"/>
      <c r="G66" s="133"/>
      <c r="H66" s="133"/>
      <c r="I66" s="133"/>
      <c r="K66" s="134"/>
      <c r="L66" s="134"/>
      <c r="M66" s="134"/>
      <c r="N66" s="133"/>
      <c r="O66" s="133"/>
      <c r="P66" s="133"/>
      <c r="R66" s="133"/>
      <c r="S66" s="133"/>
      <c r="T66" s="133"/>
      <c r="U66" s="133"/>
      <c r="V66" s="133"/>
      <c r="Y66" s="133"/>
      <c r="Z66" s="133"/>
      <c r="AA66" s="133"/>
      <c r="AB66" s="133"/>
      <c r="AC66" s="133"/>
      <c r="AF66" s="133"/>
      <c r="AG66" s="133"/>
      <c r="AH66" s="133"/>
      <c r="AI66" s="133"/>
      <c r="AJ66" s="133"/>
      <c r="AM66" s="133"/>
      <c r="AN66" s="133"/>
      <c r="AO66" s="133"/>
      <c r="AP66" s="133"/>
      <c r="AQ66" s="133"/>
      <c r="AT66" s="133"/>
      <c r="AU66" s="133"/>
      <c r="AV66" s="133"/>
      <c r="AW66" s="133"/>
      <c r="AX66" s="133"/>
      <c r="BA66" s="133"/>
      <c r="BB66" s="133"/>
      <c r="BC66" s="133"/>
      <c r="BD66" s="133"/>
      <c r="BE66" s="133"/>
      <c r="BH66" s="133"/>
      <c r="BI66" s="133"/>
      <c r="BJ66" s="133"/>
      <c r="BK66" s="133"/>
      <c r="BL66" s="133"/>
      <c r="BO66" s="133"/>
      <c r="BP66" s="133"/>
      <c r="BQ66" s="133"/>
      <c r="BR66" s="133"/>
      <c r="BS66" s="133"/>
      <c r="BV66" s="133"/>
      <c r="BW66" s="133"/>
      <c r="BX66" s="133"/>
      <c r="BY66" s="133"/>
      <c r="BZ66" s="133"/>
      <c r="CC66" s="133"/>
      <c r="CD66" s="133"/>
      <c r="CE66" s="133"/>
      <c r="CF66" s="133"/>
      <c r="CG66" s="133"/>
      <c r="CJ66" s="133"/>
      <c r="CK66" s="133"/>
      <c r="CL66" s="133"/>
      <c r="CM66" s="133"/>
      <c r="CN66" s="133"/>
      <c r="CR66" s="139">
        <f t="shared" si="33"/>
        <v>0</v>
      </c>
      <c r="CS66" s="139">
        <f t="shared" si="34"/>
        <v>0</v>
      </c>
      <c r="CT66" s="139">
        <f t="shared" si="35"/>
        <v>0</v>
      </c>
      <c r="CU66" s="139">
        <f t="shared" si="36"/>
        <v>0</v>
      </c>
      <c r="CV66" s="139">
        <f t="shared" si="37"/>
        <v>0</v>
      </c>
      <c r="CW66" s="139">
        <f t="shared" si="38"/>
        <v>0</v>
      </c>
      <c r="CX66" s="139">
        <f t="shared" si="39"/>
        <v>0</v>
      </c>
      <c r="CY66" s="139">
        <f t="shared" si="40"/>
        <v>0</v>
      </c>
      <c r="CZ66" s="139">
        <f t="shared" si="41"/>
        <v>0</v>
      </c>
      <c r="DA66" s="139">
        <f t="shared" si="30"/>
        <v>0</v>
      </c>
      <c r="DB66" s="139">
        <f t="shared" si="31"/>
        <v>0</v>
      </c>
      <c r="DC66" s="139">
        <f t="shared" si="32"/>
        <v>0</v>
      </c>
    </row>
    <row r="67" spans="2:107" x14ac:dyDescent="0.2">
      <c r="B67" s="105" t="s">
        <v>414</v>
      </c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3"/>
      <c r="S67" s="133"/>
      <c r="T67" s="133"/>
      <c r="U67" s="133"/>
      <c r="V67" s="133"/>
      <c r="Y67" s="133"/>
      <c r="Z67" s="133"/>
      <c r="AA67" s="133"/>
      <c r="AB67" s="133"/>
      <c r="AC67" s="133"/>
      <c r="AF67" s="133"/>
      <c r="AG67" s="133"/>
      <c r="AH67" s="133"/>
      <c r="AI67" s="133"/>
      <c r="AJ67" s="133"/>
      <c r="AM67" s="133"/>
      <c r="AN67" s="133"/>
      <c r="AO67" s="133"/>
      <c r="AP67" s="133"/>
      <c r="AQ67" s="133"/>
      <c r="AT67" s="133"/>
      <c r="AU67" s="133"/>
      <c r="AV67" s="133"/>
      <c r="AW67" s="133"/>
      <c r="AX67" s="133"/>
      <c r="BA67" s="133"/>
      <c r="BB67" s="133"/>
      <c r="BC67" s="133"/>
      <c r="BD67" s="133"/>
      <c r="BE67" s="133"/>
      <c r="BH67" s="133"/>
      <c r="BI67" s="133"/>
      <c r="BJ67" s="133"/>
      <c r="BK67" s="133"/>
      <c r="BL67" s="133"/>
      <c r="BO67" s="133"/>
      <c r="BP67" s="133"/>
      <c r="BQ67" s="133"/>
      <c r="BR67" s="133"/>
      <c r="BS67" s="133"/>
      <c r="BV67" s="133"/>
      <c r="BW67" s="133"/>
      <c r="BX67" s="133"/>
      <c r="BY67" s="133"/>
      <c r="BZ67" s="133"/>
      <c r="CC67" s="133"/>
      <c r="CD67" s="133"/>
      <c r="CE67" s="133"/>
      <c r="CF67" s="133"/>
      <c r="CG67" s="133"/>
      <c r="CJ67" s="133"/>
      <c r="CK67" s="133"/>
      <c r="CL67" s="133"/>
      <c r="CM67" s="133"/>
      <c r="CN67" s="133"/>
      <c r="CQ67" s="154"/>
      <c r="CR67" s="139">
        <f t="shared" si="33"/>
        <v>0</v>
      </c>
      <c r="CS67" s="139">
        <f t="shared" si="34"/>
        <v>0</v>
      </c>
      <c r="CT67" s="139">
        <f t="shared" si="35"/>
        <v>0</v>
      </c>
      <c r="CU67" s="139">
        <f t="shared" si="36"/>
        <v>0</v>
      </c>
      <c r="CV67" s="139">
        <f t="shared" si="37"/>
        <v>0</v>
      </c>
      <c r="CW67" s="139">
        <f t="shared" si="38"/>
        <v>0</v>
      </c>
      <c r="CX67" s="139">
        <f t="shared" si="39"/>
        <v>0</v>
      </c>
      <c r="CY67" s="139">
        <f t="shared" si="40"/>
        <v>0</v>
      </c>
      <c r="CZ67" s="139">
        <f t="shared" si="41"/>
        <v>0</v>
      </c>
      <c r="DA67" s="139">
        <f t="shared" si="30"/>
        <v>0</v>
      </c>
      <c r="DB67" s="139">
        <f t="shared" si="31"/>
        <v>0</v>
      </c>
      <c r="DC67" s="139">
        <f t="shared" si="32"/>
        <v>0</v>
      </c>
    </row>
    <row r="68" spans="2:107" ht="16" x14ac:dyDescent="0.2">
      <c r="B68" s="105" t="s">
        <v>415</v>
      </c>
      <c r="D68" s="134"/>
      <c r="E68" s="134"/>
      <c r="F68" s="132"/>
      <c r="G68" s="155"/>
      <c r="H68" s="156"/>
      <c r="I68" s="156"/>
      <c r="K68" s="134"/>
      <c r="L68" s="134"/>
      <c r="M68" s="134"/>
      <c r="N68" s="155"/>
      <c r="O68" s="144"/>
      <c r="P68" s="144"/>
      <c r="R68" s="144"/>
      <c r="S68" s="144"/>
      <c r="T68" s="144"/>
      <c r="U68" s="144"/>
      <c r="V68" s="144"/>
      <c r="Y68" s="144"/>
      <c r="Z68" s="144"/>
      <c r="AA68" s="144"/>
      <c r="AB68" s="144"/>
      <c r="AC68" s="144"/>
      <c r="AF68" s="144"/>
      <c r="AG68" s="144"/>
      <c r="AH68" s="144"/>
      <c r="AI68" s="144"/>
      <c r="AJ68" s="144"/>
      <c r="AM68" s="144"/>
      <c r="AN68" s="144"/>
      <c r="AO68" s="144"/>
      <c r="AP68" s="144"/>
      <c r="AQ68" s="144"/>
      <c r="AT68" s="144"/>
      <c r="AU68" s="144"/>
      <c r="AV68" s="144"/>
      <c r="AW68" s="144"/>
      <c r="AX68" s="144"/>
      <c r="BA68" s="144"/>
      <c r="BB68" s="144"/>
      <c r="BC68" s="144"/>
      <c r="BD68" s="144"/>
      <c r="BE68" s="144"/>
      <c r="BH68" s="144"/>
      <c r="BI68" s="144"/>
      <c r="BJ68" s="144"/>
      <c r="BK68" s="144"/>
      <c r="BL68" s="144"/>
      <c r="BO68" s="144"/>
      <c r="BP68" s="144"/>
      <c r="BQ68" s="144"/>
      <c r="BR68" s="144"/>
      <c r="BS68" s="144"/>
      <c r="BV68" s="144"/>
      <c r="BW68" s="144"/>
      <c r="BX68" s="144"/>
      <c r="BY68" s="144"/>
      <c r="BZ68" s="144"/>
      <c r="CC68" s="144"/>
      <c r="CD68" s="144"/>
      <c r="CE68" s="144"/>
      <c r="CF68" s="144"/>
      <c r="CG68" s="144"/>
      <c r="CJ68" s="144"/>
      <c r="CK68" s="156"/>
      <c r="CL68" s="156"/>
      <c r="CM68" s="156"/>
      <c r="CN68" s="156"/>
      <c r="CQ68" s="154"/>
      <c r="CR68" s="139">
        <f t="shared" si="33"/>
        <v>0</v>
      </c>
      <c r="CS68" s="139">
        <f t="shared" si="34"/>
        <v>0</v>
      </c>
      <c r="CT68" s="139">
        <f t="shared" si="35"/>
        <v>0</v>
      </c>
      <c r="CU68" s="139">
        <f t="shared" si="36"/>
        <v>0</v>
      </c>
      <c r="CV68" s="139">
        <f t="shared" si="37"/>
        <v>0</v>
      </c>
      <c r="CW68" s="139">
        <f t="shared" si="38"/>
        <v>0</v>
      </c>
      <c r="CX68" s="139">
        <f t="shared" si="39"/>
        <v>0</v>
      </c>
      <c r="CY68" s="139">
        <f t="shared" si="40"/>
        <v>0</v>
      </c>
      <c r="CZ68" s="139">
        <f t="shared" si="41"/>
        <v>0</v>
      </c>
      <c r="DA68" s="139">
        <f t="shared" si="30"/>
        <v>0</v>
      </c>
      <c r="DB68" s="139">
        <f t="shared" si="31"/>
        <v>0</v>
      </c>
      <c r="DC68" s="139">
        <f t="shared" si="32"/>
        <v>0</v>
      </c>
    </row>
    <row r="69" spans="2:107" x14ac:dyDescent="0.2">
      <c r="B69" s="105" t="s">
        <v>416</v>
      </c>
      <c r="D69" s="134"/>
      <c r="E69" s="134"/>
      <c r="F69" s="132"/>
      <c r="G69" s="133"/>
      <c r="H69" s="133"/>
      <c r="I69" s="133"/>
      <c r="K69" s="134"/>
      <c r="L69" s="134"/>
      <c r="M69" s="134"/>
      <c r="N69" s="133"/>
      <c r="O69" s="133"/>
      <c r="P69" s="133"/>
      <c r="R69" s="133"/>
      <c r="S69" s="133"/>
      <c r="T69" s="133"/>
      <c r="U69" s="133"/>
      <c r="V69" s="133"/>
      <c r="Y69" s="133"/>
      <c r="Z69" s="133"/>
      <c r="AA69" s="133"/>
      <c r="AB69" s="133"/>
      <c r="AC69" s="133"/>
      <c r="AF69" s="133"/>
      <c r="AG69" s="133"/>
      <c r="AH69" s="133"/>
      <c r="AI69" s="133"/>
      <c r="AJ69" s="133"/>
      <c r="AM69" s="133"/>
      <c r="AN69" s="133"/>
      <c r="AO69" s="133"/>
      <c r="AP69" s="133"/>
      <c r="AQ69" s="133"/>
      <c r="AT69" s="133"/>
      <c r="AU69" s="133"/>
      <c r="AV69" s="133"/>
      <c r="AW69" s="133"/>
      <c r="AX69" s="133"/>
      <c r="BA69" s="133"/>
      <c r="BB69" s="133"/>
      <c r="BC69" s="133"/>
      <c r="BD69" s="133"/>
      <c r="BE69" s="133"/>
      <c r="BH69" s="133"/>
      <c r="BI69" s="133"/>
      <c r="BJ69" s="133"/>
      <c r="BK69" s="133"/>
      <c r="BL69" s="133"/>
      <c r="BO69" s="133"/>
      <c r="BP69" s="133"/>
      <c r="BQ69" s="133"/>
      <c r="BR69" s="133"/>
      <c r="BS69" s="133"/>
      <c r="BV69" s="133"/>
      <c r="BW69" s="133"/>
      <c r="BX69" s="133"/>
      <c r="BY69" s="133"/>
      <c r="BZ69" s="133"/>
      <c r="CC69" s="133"/>
      <c r="CD69" s="133"/>
      <c r="CE69" s="133"/>
      <c r="CF69" s="133"/>
      <c r="CG69" s="133"/>
      <c r="CJ69" s="133"/>
      <c r="CK69" s="133"/>
      <c r="CL69" s="133"/>
      <c r="CM69" s="133"/>
      <c r="CN69" s="133"/>
      <c r="CQ69" s="154"/>
      <c r="CR69" s="139">
        <f t="shared" si="33"/>
        <v>0</v>
      </c>
      <c r="CS69" s="139">
        <f t="shared" si="34"/>
        <v>0</v>
      </c>
      <c r="CT69" s="139">
        <f t="shared" si="35"/>
        <v>0</v>
      </c>
      <c r="CU69" s="139">
        <f t="shared" si="36"/>
        <v>0</v>
      </c>
      <c r="CV69" s="139">
        <f t="shared" si="37"/>
        <v>0</v>
      </c>
      <c r="CW69" s="139">
        <f t="shared" si="38"/>
        <v>0</v>
      </c>
      <c r="CX69" s="139">
        <f t="shared" si="39"/>
        <v>0</v>
      </c>
      <c r="CY69" s="139">
        <f t="shared" si="40"/>
        <v>0</v>
      </c>
      <c r="CZ69" s="139">
        <f t="shared" si="41"/>
        <v>0</v>
      </c>
      <c r="DA69" s="139">
        <f t="shared" si="30"/>
        <v>0</v>
      </c>
      <c r="DB69" s="139">
        <f t="shared" si="31"/>
        <v>0</v>
      </c>
      <c r="DC69" s="139">
        <f t="shared" si="32"/>
        <v>0</v>
      </c>
    </row>
    <row r="70" spans="2:107" ht="16" x14ac:dyDescent="0.2">
      <c r="B70" s="141" t="s">
        <v>417</v>
      </c>
      <c r="C70" s="207"/>
      <c r="D70" s="142"/>
      <c r="E70" s="142"/>
      <c r="F70" s="142"/>
      <c r="G70" s="142"/>
      <c r="H70" s="142"/>
      <c r="I70" s="142"/>
      <c r="J70" s="142">
        <f>SUM(J65:J69)</f>
        <v>0</v>
      </c>
      <c r="K70" s="143"/>
      <c r="L70" s="143"/>
      <c r="M70" s="143"/>
      <c r="N70" s="143"/>
      <c r="O70" s="143"/>
      <c r="P70" s="143"/>
      <c r="Q70" s="142">
        <f>SUM(Q65:Q69)</f>
        <v>0</v>
      </c>
      <c r="R70" s="143"/>
      <c r="S70" s="143"/>
      <c r="T70" s="143"/>
      <c r="U70" s="143"/>
      <c r="V70" s="143"/>
      <c r="W70" s="143"/>
      <c r="X70" s="142">
        <f>SUM(X65:X69)</f>
        <v>0</v>
      </c>
      <c r="Y70" s="143"/>
      <c r="Z70" s="143"/>
      <c r="AA70" s="143"/>
      <c r="AB70" s="143"/>
      <c r="AC70" s="143"/>
      <c r="AD70" s="143"/>
      <c r="AE70" s="142">
        <f>SUM(AE65:AE69)</f>
        <v>0</v>
      </c>
      <c r="AF70" s="143"/>
      <c r="AG70" s="143"/>
      <c r="AH70" s="143"/>
      <c r="AI70" s="143"/>
      <c r="AJ70" s="143"/>
      <c r="AK70" s="143"/>
      <c r="AL70" s="142">
        <f>SUM(AL65:AL69)</f>
        <v>0</v>
      </c>
      <c r="AM70" s="143"/>
      <c r="AN70" s="143"/>
      <c r="AO70" s="143"/>
      <c r="AP70" s="143"/>
      <c r="AQ70" s="143"/>
      <c r="AR70" s="143"/>
      <c r="AS70" s="142">
        <f>SUM(AS65:AS69)</f>
        <v>0</v>
      </c>
      <c r="AT70" s="143"/>
      <c r="AU70" s="143"/>
      <c r="AV70" s="143"/>
      <c r="AW70" s="143"/>
      <c r="AX70" s="143"/>
      <c r="AY70" s="143"/>
      <c r="AZ70" s="142">
        <f>SUM(AZ65:AZ69)</f>
        <v>0</v>
      </c>
      <c r="BA70" s="143"/>
      <c r="BB70" s="143"/>
      <c r="BC70" s="143"/>
      <c r="BD70" s="143"/>
      <c r="BE70" s="143"/>
      <c r="BF70" s="143"/>
      <c r="BG70" s="142">
        <f>SUM(BG65:BG69)</f>
        <v>0</v>
      </c>
      <c r="BH70" s="143"/>
      <c r="BI70" s="143"/>
      <c r="BJ70" s="143"/>
      <c r="BK70" s="143"/>
      <c r="BL70" s="143"/>
      <c r="BM70" s="143"/>
      <c r="BN70" s="142">
        <f>SUM(BN65:BN69)</f>
        <v>0</v>
      </c>
      <c r="BO70" s="143"/>
      <c r="BP70" s="143"/>
      <c r="BQ70" s="143"/>
      <c r="BR70" s="143"/>
      <c r="BS70" s="143"/>
      <c r="BT70" s="143"/>
      <c r="BU70" s="142">
        <f>SUM(BU65:BU69)</f>
        <v>0</v>
      </c>
      <c r="BV70" s="143"/>
      <c r="BW70" s="143"/>
      <c r="BX70" s="143"/>
      <c r="BY70" s="143"/>
      <c r="BZ70" s="143"/>
      <c r="CA70" s="143"/>
      <c r="CB70" s="142">
        <f>SUM(CB65:CB69)</f>
        <v>0</v>
      </c>
      <c r="CC70" s="143"/>
      <c r="CD70" s="143"/>
      <c r="CE70" s="143"/>
      <c r="CF70" s="143"/>
      <c r="CG70" s="143"/>
      <c r="CH70" s="143"/>
      <c r="CI70" s="142">
        <f>SUM(CI65:CI69)</f>
        <v>0</v>
      </c>
      <c r="CJ70" s="143"/>
      <c r="CK70" s="143"/>
      <c r="CL70" s="143"/>
      <c r="CM70" s="143"/>
      <c r="CN70" s="143"/>
      <c r="CO70" s="143"/>
      <c r="CP70" s="142"/>
      <c r="CQ70" s="154"/>
      <c r="CR70" s="145">
        <f t="shared" si="33"/>
        <v>0</v>
      </c>
      <c r="CS70" s="145">
        <f t="shared" si="34"/>
        <v>0</v>
      </c>
      <c r="CT70" s="145">
        <f t="shared" si="35"/>
        <v>0</v>
      </c>
      <c r="CU70" s="145">
        <f t="shared" si="36"/>
        <v>0</v>
      </c>
      <c r="CV70" s="145">
        <f t="shared" si="37"/>
        <v>0</v>
      </c>
      <c r="CW70" s="145">
        <f t="shared" si="38"/>
        <v>0</v>
      </c>
      <c r="CX70" s="145">
        <f t="shared" si="39"/>
        <v>0</v>
      </c>
      <c r="CY70" s="145">
        <f t="shared" si="40"/>
        <v>0</v>
      </c>
      <c r="CZ70" s="145">
        <f t="shared" si="41"/>
        <v>0</v>
      </c>
      <c r="DA70" s="145">
        <f t="shared" si="30"/>
        <v>0</v>
      </c>
      <c r="DB70" s="145">
        <f t="shared" si="31"/>
        <v>0</v>
      </c>
      <c r="DC70" s="145">
        <f t="shared" si="32"/>
        <v>0</v>
      </c>
    </row>
    <row r="71" spans="2:107" x14ac:dyDescent="0.2">
      <c r="B71" s="105" t="s">
        <v>418</v>
      </c>
      <c r="C71" s="210"/>
      <c r="D71" s="157"/>
      <c r="E71" s="157"/>
      <c r="F71" s="157"/>
      <c r="G71" s="133"/>
      <c r="H71" s="133"/>
      <c r="I71" s="133"/>
      <c r="J71" s="212">
        <f>'EEFF 2024'!CI71+J17</f>
        <v>104971798.32999998</v>
      </c>
      <c r="K71" s="116"/>
      <c r="L71" s="116"/>
      <c r="M71" s="116"/>
      <c r="N71" s="116"/>
      <c r="O71" s="116"/>
      <c r="P71" s="116"/>
      <c r="Q71" s="212">
        <f>J71+Q17</f>
        <v>104971798.32999998</v>
      </c>
      <c r="R71" s="116"/>
      <c r="S71" s="116"/>
      <c r="T71" s="116"/>
      <c r="U71" s="116"/>
      <c r="V71" s="116"/>
      <c r="W71" s="116"/>
      <c r="X71" s="212">
        <f>Q71+X17</f>
        <v>104971798.32999998</v>
      </c>
      <c r="Y71" s="116"/>
      <c r="Z71" s="116"/>
      <c r="AA71" s="116"/>
      <c r="AB71" s="116"/>
      <c r="AC71" s="116"/>
      <c r="AD71" s="116"/>
      <c r="AE71" s="212">
        <f>X71+AE17</f>
        <v>104971798.32999998</v>
      </c>
      <c r="AF71" s="116"/>
      <c r="AG71" s="116"/>
      <c r="AH71" s="116"/>
      <c r="AI71" s="116"/>
      <c r="AJ71" s="116"/>
      <c r="AK71" s="116"/>
      <c r="AL71" s="212">
        <f>AE71+AL17</f>
        <v>104971798.32999998</v>
      </c>
      <c r="AM71" s="116"/>
      <c r="AN71" s="116"/>
      <c r="AO71" s="116"/>
      <c r="AP71" s="116"/>
      <c r="AQ71" s="116"/>
      <c r="AR71" s="116"/>
      <c r="AS71" s="212">
        <f>AL71+AS17</f>
        <v>104971798.32999998</v>
      </c>
      <c r="AT71" s="116"/>
      <c r="AU71" s="116"/>
      <c r="AV71" s="116"/>
      <c r="AW71" s="116"/>
      <c r="AX71" s="116"/>
      <c r="AY71" s="116"/>
      <c r="AZ71" s="212">
        <f>AS71+AZ17</f>
        <v>104971798.32999998</v>
      </c>
      <c r="BA71" s="116"/>
      <c r="BB71" s="116"/>
      <c r="BC71" s="116"/>
      <c r="BD71" s="116"/>
      <c r="BE71" s="116"/>
      <c r="BF71" s="116"/>
      <c r="BG71" s="212">
        <f>AZ71+BG17</f>
        <v>104971798.32999998</v>
      </c>
      <c r="BH71" s="116"/>
      <c r="BI71" s="116"/>
      <c r="BJ71" s="116"/>
      <c r="BK71" s="116"/>
      <c r="BL71" s="116"/>
      <c r="BM71" s="116"/>
      <c r="BN71" s="212">
        <f>BG71+BN17</f>
        <v>104971798.32999998</v>
      </c>
      <c r="BO71" s="116"/>
      <c r="BP71" s="116"/>
      <c r="BQ71" s="116"/>
      <c r="BR71" s="116"/>
      <c r="BS71" s="116"/>
      <c r="BT71" s="116"/>
      <c r="BU71" s="212">
        <f>BN71+BU17</f>
        <v>104971798.32999998</v>
      </c>
      <c r="BV71" s="116"/>
      <c r="BW71" s="116"/>
      <c r="BX71" s="116"/>
      <c r="BY71" s="116"/>
      <c r="BZ71" s="116"/>
      <c r="CA71" s="116"/>
      <c r="CB71" s="212">
        <f>BU71+CB17</f>
        <v>104971798.32999998</v>
      </c>
      <c r="CC71" s="116"/>
      <c r="CD71" s="116"/>
      <c r="CE71" s="116"/>
      <c r="CF71" s="116"/>
      <c r="CG71" s="116"/>
      <c r="CH71" s="116"/>
      <c r="CI71" s="212">
        <f>CB71+CI17</f>
        <v>104971798.32999998</v>
      </c>
      <c r="CJ71" s="116"/>
      <c r="CK71" s="116"/>
      <c r="CL71" s="116"/>
      <c r="CM71" s="116"/>
      <c r="CN71" s="116"/>
      <c r="CO71" s="116"/>
      <c r="CP71" s="212">
        <f>CI71</f>
        <v>104971798.32999998</v>
      </c>
      <c r="CQ71" s="154"/>
      <c r="CR71" s="146">
        <f t="shared" si="33"/>
        <v>5.4206784957778573E-2</v>
      </c>
      <c r="CS71" s="146">
        <f t="shared" si="34"/>
        <v>5.4493443588661483E-2</v>
      </c>
      <c r="CT71" s="146">
        <f t="shared" si="35"/>
        <v>5.4434791548002799E-2</v>
      </c>
      <c r="CU71" s="146">
        <f t="shared" si="36"/>
        <v>5.4370239533409644E-2</v>
      </c>
      <c r="CV71" s="146">
        <f t="shared" si="37"/>
        <v>5.4219006172247189E-2</v>
      </c>
      <c r="CW71" s="146">
        <f t="shared" si="38"/>
        <v>5.4213687652670858E-2</v>
      </c>
      <c r="CX71" s="146">
        <f t="shared" si="39"/>
        <v>5.3767293708473607E-2</v>
      </c>
      <c r="CY71" s="146">
        <f t="shared" si="40"/>
        <v>5.3525837239409957E-2</v>
      </c>
      <c r="CZ71" s="146">
        <f t="shared" si="41"/>
        <v>5.3717138835113767E-2</v>
      </c>
      <c r="DA71" s="146">
        <f t="shared" si="30"/>
        <v>5.3647419684914974E-2</v>
      </c>
      <c r="DB71" s="146">
        <f t="shared" si="31"/>
        <v>5.3500991696202184E-2</v>
      </c>
      <c r="DC71" s="146">
        <f t="shared" si="32"/>
        <v>5.338196480658132E-2</v>
      </c>
    </row>
    <row r="72" spans="2:107" ht="16" x14ac:dyDescent="0.2">
      <c r="B72" s="141" t="s">
        <v>419</v>
      </c>
      <c r="C72" s="207"/>
      <c r="D72" s="142"/>
      <c r="E72" s="142"/>
      <c r="F72" s="142"/>
      <c r="G72" s="142"/>
      <c r="H72" s="142"/>
      <c r="I72" s="142"/>
      <c r="J72" s="142">
        <f>J71</f>
        <v>104971798.32999998</v>
      </c>
      <c r="K72" s="143"/>
      <c r="L72" s="143"/>
      <c r="M72" s="143"/>
      <c r="N72" s="143"/>
      <c r="O72" s="143"/>
      <c r="P72" s="143"/>
      <c r="Q72" s="142">
        <f>Q71</f>
        <v>104971798.32999998</v>
      </c>
      <c r="R72" s="143"/>
      <c r="S72" s="143"/>
      <c r="T72" s="143"/>
      <c r="U72" s="143"/>
      <c r="V72" s="143"/>
      <c r="W72" s="143"/>
      <c r="X72" s="142">
        <f>X71</f>
        <v>104971798.32999998</v>
      </c>
      <c r="Y72" s="143"/>
      <c r="Z72" s="143"/>
      <c r="AA72" s="143"/>
      <c r="AB72" s="143"/>
      <c r="AC72" s="143"/>
      <c r="AD72" s="143"/>
      <c r="AE72" s="142">
        <f>AE71</f>
        <v>104971798.32999998</v>
      </c>
      <c r="AF72" s="143"/>
      <c r="AG72" s="143"/>
      <c r="AH72" s="143"/>
      <c r="AI72" s="143"/>
      <c r="AJ72" s="143"/>
      <c r="AK72" s="143"/>
      <c r="AL72" s="142">
        <f>AL71</f>
        <v>104971798.32999998</v>
      </c>
      <c r="AM72" s="143"/>
      <c r="AN72" s="143"/>
      <c r="AO72" s="143"/>
      <c r="AP72" s="143"/>
      <c r="AQ72" s="143"/>
      <c r="AR72" s="143"/>
      <c r="AS72" s="142">
        <f>AS71</f>
        <v>104971798.32999998</v>
      </c>
      <c r="AT72" s="143"/>
      <c r="AU72" s="143"/>
      <c r="AV72" s="143"/>
      <c r="AW72" s="143"/>
      <c r="AX72" s="143"/>
      <c r="AY72" s="143"/>
      <c r="AZ72" s="142">
        <f>AZ71</f>
        <v>104971798.32999998</v>
      </c>
      <c r="BA72" s="143"/>
      <c r="BB72" s="143"/>
      <c r="BC72" s="143"/>
      <c r="BD72" s="143"/>
      <c r="BE72" s="143"/>
      <c r="BF72" s="143"/>
      <c r="BG72" s="142">
        <f>BG71</f>
        <v>104971798.32999998</v>
      </c>
      <c r="BH72" s="143"/>
      <c r="BI72" s="143"/>
      <c r="BJ72" s="143"/>
      <c r="BK72" s="143"/>
      <c r="BL72" s="143"/>
      <c r="BM72" s="143"/>
      <c r="BN72" s="142">
        <f>BN71</f>
        <v>104971798.32999998</v>
      </c>
      <c r="BO72" s="143"/>
      <c r="BP72" s="143"/>
      <c r="BQ72" s="143"/>
      <c r="BR72" s="143"/>
      <c r="BS72" s="143"/>
      <c r="BT72" s="143"/>
      <c r="BU72" s="142">
        <f>BU71</f>
        <v>104971798.32999998</v>
      </c>
      <c r="BV72" s="143"/>
      <c r="BW72" s="143"/>
      <c r="BX72" s="143"/>
      <c r="BY72" s="143"/>
      <c r="BZ72" s="143"/>
      <c r="CA72" s="143"/>
      <c r="CB72" s="142">
        <f>CB71</f>
        <v>104971798.32999998</v>
      </c>
      <c r="CC72" s="143"/>
      <c r="CD72" s="143"/>
      <c r="CE72" s="143"/>
      <c r="CF72" s="143"/>
      <c r="CG72" s="143"/>
      <c r="CH72" s="143"/>
      <c r="CI72" s="142">
        <f>CI71</f>
        <v>104971798.32999998</v>
      </c>
      <c r="CJ72" s="143"/>
      <c r="CK72" s="143"/>
      <c r="CL72" s="143"/>
      <c r="CM72" s="143"/>
      <c r="CN72" s="143"/>
      <c r="CO72" s="143"/>
      <c r="CP72" s="142">
        <f>CP71</f>
        <v>104971798.32999998</v>
      </c>
      <c r="CQ72" s="154"/>
      <c r="CR72" s="146">
        <f t="shared" si="33"/>
        <v>5.4206784957778573E-2</v>
      </c>
      <c r="CS72" s="146">
        <f t="shared" si="34"/>
        <v>5.4493443588661483E-2</v>
      </c>
      <c r="CT72" s="146">
        <f t="shared" si="35"/>
        <v>5.4434791548002799E-2</v>
      </c>
      <c r="CU72" s="146">
        <f t="shared" si="36"/>
        <v>5.4370239533409644E-2</v>
      </c>
      <c r="CV72" s="146">
        <f t="shared" si="37"/>
        <v>5.4219006172247189E-2</v>
      </c>
      <c r="CW72" s="146">
        <f t="shared" si="38"/>
        <v>5.4213687652670858E-2</v>
      </c>
      <c r="CX72" s="146">
        <f t="shared" si="39"/>
        <v>5.3767293708473607E-2</v>
      </c>
      <c r="CY72" s="146">
        <f t="shared" si="40"/>
        <v>5.3525837239409957E-2</v>
      </c>
      <c r="CZ72" s="146">
        <f t="shared" si="41"/>
        <v>5.3717138835113767E-2</v>
      </c>
      <c r="DA72" s="146">
        <f t="shared" si="30"/>
        <v>5.3647419684914974E-2</v>
      </c>
      <c r="DB72" s="146">
        <f t="shared" si="31"/>
        <v>5.3500991696202184E-2</v>
      </c>
      <c r="DC72" s="146">
        <f t="shared" si="32"/>
        <v>5.338196480658132E-2</v>
      </c>
    </row>
    <row r="73" spans="2:107" ht="16" x14ac:dyDescent="0.2">
      <c r="B73" s="141" t="s">
        <v>420</v>
      </c>
      <c r="C73" s="207"/>
      <c r="D73" s="142"/>
      <c r="E73" s="142"/>
      <c r="F73" s="142"/>
      <c r="G73" s="142"/>
      <c r="H73" s="142"/>
      <c r="I73" s="142"/>
      <c r="J73" s="142">
        <f>J70+J72</f>
        <v>104971798.32999998</v>
      </c>
      <c r="K73" s="143"/>
      <c r="L73" s="143"/>
      <c r="M73" s="143"/>
      <c r="N73" s="143"/>
      <c r="O73" s="143"/>
      <c r="P73" s="143"/>
      <c r="Q73" s="142">
        <f>Q70+Q72</f>
        <v>104971798.32999998</v>
      </c>
      <c r="R73" s="143"/>
      <c r="S73" s="143"/>
      <c r="T73" s="143"/>
      <c r="U73" s="143"/>
      <c r="V73" s="143"/>
      <c r="W73" s="143"/>
      <c r="X73" s="142">
        <f>X70+X72</f>
        <v>104971798.32999998</v>
      </c>
      <c r="Y73" s="143"/>
      <c r="Z73" s="143"/>
      <c r="AA73" s="143"/>
      <c r="AB73" s="143"/>
      <c r="AC73" s="143"/>
      <c r="AD73" s="143"/>
      <c r="AE73" s="142">
        <f>AE70+AE72</f>
        <v>104971798.32999998</v>
      </c>
      <c r="AF73" s="143"/>
      <c r="AG73" s="143"/>
      <c r="AH73" s="143"/>
      <c r="AI73" s="143"/>
      <c r="AJ73" s="143"/>
      <c r="AK73" s="143"/>
      <c r="AL73" s="142">
        <f>AL70+AL72</f>
        <v>104971798.32999998</v>
      </c>
      <c r="AM73" s="143"/>
      <c r="AN73" s="143"/>
      <c r="AO73" s="143"/>
      <c r="AP73" s="143"/>
      <c r="AQ73" s="143"/>
      <c r="AR73" s="143"/>
      <c r="AS73" s="142">
        <f>AS70+AS72</f>
        <v>104971798.32999998</v>
      </c>
      <c r="AT73" s="143"/>
      <c r="AU73" s="143"/>
      <c r="AV73" s="143"/>
      <c r="AW73" s="143"/>
      <c r="AX73" s="143"/>
      <c r="AY73" s="143"/>
      <c r="AZ73" s="142">
        <f>AZ70+AZ72</f>
        <v>104971798.32999998</v>
      </c>
      <c r="BA73" s="143"/>
      <c r="BB73" s="143"/>
      <c r="BC73" s="143"/>
      <c r="BD73" s="143"/>
      <c r="BE73" s="143"/>
      <c r="BF73" s="143"/>
      <c r="BG73" s="142">
        <f>BG70+BG72</f>
        <v>104971798.32999998</v>
      </c>
      <c r="BH73" s="143"/>
      <c r="BI73" s="143"/>
      <c r="BJ73" s="143"/>
      <c r="BK73" s="143"/>
      <c r="BL73" s="143"/>
      <c r="BM73" s="143"/>
      <c r="BN73" s="142">
        <f>BN70+BN72</f>
        <v>104971798.32999998</v>
      </c>
      <c r="BO73" s="143"/>
      <c r="BP73" s="143"/>
      <c r="BQ73" s="143"/>
      <c r="BR73" s="143"/>
      <c r="BS73" s="143"/>
      <c r="BT73" s="143"/>
      <c r="BU73" s="142">
        <f>BU70+BU72</f>
        <v>104971798.32999998</v>
      </c>
      <c r="BV73" s="143"/>
      <c r="BW73" s="143"/>
      <c r="BX73" s="143"/>
      <c r="BY73" s="143"/>
      <c r="BZ73" s="143"/>
      <c r="CA73" s="143"/>
      <c r="CB73" s="142">
        <f>CB70+CB72</f>
        <v>104971798.32999998</v>
      </c>
      <c r="CC73" s="143"/>
      <c r="CD73" s="143"/>
      <c r="CE73" s="143"/>
      <c r="CF73" s="143"/>
      <c r="CG73" s="143"/>
      <c r="CH73" s="143"/>
      <c r="CI73" s="142">
        <f>CI70+CI72</f>
        <v>104971798.32999998</v>
      </c>
      <c r="CJ73" s="143"/>
      <c r="CK73" s="143"/>
      <c r="CL73" s="143"/>
      <c r="CM73" s="143"/>
      <c r="CN73" s="143"/>
      <c r="CO73" s="143"/>
      <c r="CP73" s="142">
        <f>CP70+CP72</f>
        <v>104971798.32999998</v>
      </c>
      <c r="CQ73" s="154"/>
      <c r="CR73" s="145">
        <f t="shared" si="33"/>
        <v>5.4206784957778573E-2</v>
      </c>
      <c r="CS73" s="145">
        <f t="shared" si="34"/>
        <v>5.4493443588661483E-2</v>
      </c>
      <c r="CT73" s="145">
        <f t="shared" si="35"/>
        <v>5.4434791548002799E-2</v>
      </c>
      <c r="CU73" s="145">
        <f t="shared" si="36"/>
        <v>5.4370239533409644E-2</v>
      </c>
      <c r="CV73" s="145">
        <f t="shared" si="37"/>
        <v>5.4219006172247189E-2</v>
      </c>
      <c r="CW73" s="145">
        <f t="shared" si="38"/>
        <v>5.4213687652670858E-2</v>
      </c>
      <c r="CX73" s="145">
        <f t="shared" si="39"/>
        <v>5.3767293708473607E-2</v>
      </c>
      <c r="CY73" s="145">
        <f t="shared" si="40"/>
        <v>5.3525837239409957E-2</v>
      </c>
      <c r="CZ73" s="145">
        <f t="shared" si="41"/>
        <v>5.3717138835113767E-2</v>
      </c>
      <c r="DA73" s="145">
        <f t="shared" si="30"/>
        <v>5.3647419684914974E-2</v>
      </c>
      <c r="DB73" s="145">
        <f t="shared" si="31"/>
        <v>5.3500991696202184E-2</v>
      </c>
      <c r="DC73" s="145">
        <f t="shared" si="32"/>
        <v>5.338196480658132E-2</v>
      </c>
    </row>
    <row r="74" spans="2:107" ht="16" x14ac:dyDescent="0.2">
      <c r="B74" s="105" t="s">
        <v>421</v>
      </c>
      <c r="D74" s="134"/>
      <c r="E74" s="134"/>
      <c r="F74" s="134"/>
      <c r="G74" s="158"/>
      <c r="H74" s="158"/>
      <c r="I74" s="158"/>
      <c r="J74" s="158">
        <f>J62</f>
        <v>1885738377.5999999</v>
      </c>
      <c r="K74" s="134"/>
      <c r="L74" s="134"/>
      <c r="M74" s="134"/>
      <c r="N74" s="158"/>
      <c r="O74" s="158"/>
      <c r="P74" s="158"/>
      <c r="Q74" s="158">
        <f>Q62</f>
        <v>1885738377.5999999</v>
      </c>
      <c r="R74" s="158"/>
      <c r="S74" s="158"/>
      <c r="T74" s="158"/>
      <c r="U74" s="158"/>
      <c r="V74" s="158"/>
      <c r="W74" s="158"/>
      <c r="X74" s="158">
        <f>X62</f>
        <v>1885738377.5999999</v>
      </c>
      <c r="Y74" s="158"/>
      <c r="Z74" s="158"/>
      <c r="AA74" s="158"/>
      <c r="AB74" s="158"/>
      <c r="AC74" s="158"/>
      <c r="AD74" s="158"/>
      <c r="AE74" s="158">
        <f>AE62</f>
        <v>1885738377.5999999</v>
      </c>
      <c r="AF74" s="158"/>
      <c r="AG74" s="158"/>
      <c r="AH74" s="158"/>
      <c r="AI74" s="158"/>
      <c r="AJ74" s="158"/>
      <c r="AK74" s="158"/>
      <c r="AL74" s="158">
        <f>AL62</f>
        <v>1885738377.5999999</v>
      </c>
      <c r="AM74" s="158"/>
      <c r="AN74" s="158"/>
      <c r="AO74" s="158"/>
      <c r="AP74" s="158"/>
      <c r="AQ74" s="158"/>
      <c r="AR74" s="158"/>
      <c r="AS74" s="158">
        <f>AS62</f>
        <v>1885738377.5999999</v>
      </c>
      <c r="AT74" s="158"/>
      <c r="AU74" s="158"/>
      <c r="AV74" s="158"/>
      <c r="AW74" s="158"/>
      <c r="AX74" s="158"/>
      <c r="AY74" s="158"/>
      <c r="AZ74" s="158">
        <f>AZ62</f>
        <v>1885738377.5999999</v>
      </c>
      <c r="BA74" s="158"/>
      <c r="BB74" s="158"/>
      <c r="BC74" s="158"/>
      <c r="BD74" s="158"/>
      <c r="BE74" s="158"/>
      <c r="BF74" s="158"/>
      <c r="BG74" s="158">
        <f>BG62</f>
        <v>1885738377.5999999</v>
      </c>
      <c r="BH74" s="158"/>
      <c r="BI74" s="158"/>
      <c r="BJ74" s="158"/>
      <c r="BK74" s="158"/>
      <c r="BL74" s="158"/>
      <c r="BM74" s="158"/>
      <c r="BN74" s="158">
        <f>BN62</f>
        <v>1885738377.5999999</v>
      </c>
      <c r="BO74" s="158"/>
      <c r="BP74" s="158"/>
      <c r="BQ74" s="158"/>
      <c r="BR74" s="158"/>
      <c r="BS74" s="158"/>
      <c r="BT74" s="158"/>
      <c r="BU74" s="158">
        <f>BU62</f>
        <v>1885738377.5999999</v>
      </c>
      <c r="BV74" s="158"/>
      <c r="BW74" s="158"/>
      <c r="BX74" s="158"/>
      <c r="BY74" s="158"/>
      <c r="BZ74" s="158"/>
      <c r="CA74" s="158"/>
      <c r="CB74" s="158">
        <f>CB62</f>
        <v>1885738377.5999999</v>
      </c>
      <c r="CC74" s="158"/>
      <c r="CD74" s="158"/>
      <c r="CE74" s="158"/>
      <c r="CF74" s="158"/>
      <c r="CG74" s="158"/>
      <c r="CH74" s="158"/>
      <c r="CI74" s="158">
        <f>CI62</f>
        <v>1885738377.5999999</v>
      </c>
      <c r="CJ74" s="158"/>
      <c r="CK74" s="158"/>
      <c r="CL74" s="158"/>
      <c r="CM74" s="158"/>
      <c r="CN74" s="158"/>
      <c r="CO74" s="158"/>
      <c r="CP74" s="158">
        <f>CP62</f>
        <v>1885738377.5999999</v>
      </c>
      <c r="CQ74" s="154"/>
      <c r="CR74" s="139">
        <f t="shared" si="33"/>
        <v>0.97378359090167133</v>
      </c>
      <c r="CS74" s="139">
        <f t="shared" si="34"/>
        <v>0.97893319479648888</v>
      </c>
      <c r="CT74" s="139">
        <f t="shared" si="35"/>
        <v>0.97787955557381945</v>
      </c>
      <c r="CU74" s="139">
        <f t="shared" si="36"/>
        <v>0.9767199278146852</v>
      </c>
      <c r="CV74" s="139">
        <f t="shared" si="37"/>
        <v>0.97400313570809538</v>
      </c>
      <c r="CW74" s="139">
        <f t="shared" si="38"/>
        <v>0.97390759255615689</v>
      </c>
      <c r="CX74" s="139">
        <f t="shared" si="39"/>
        <v>0.9658884654620904</v>
      </c>
      <c r="CY74" s="139">
        <f t="shared" si="40"/>
        <v>0.96155088396423216</v>
      </c>
      <c r="CZ74" s="139">
        <f t="shared" si="41"/>
        <v>0.96498747137584073</v>
      </c>
      <c r="DA74" s="139">
        <f t="shared" si="30"/>
        <v>0.96373501996246003</v>
      </c>
      <c r="DB74" s="139">
        <f t="shared" si="31"/>
        <v>0.96110455271065176</v>
      </c>
      <c r="DC74" s="139">
        <f t="shared" si="32"/>
        <v>0.95896632532677084</v>
      </c>
    </row>
    <row r="75" spans="2:107" ht="16" x14ac:dyDescent="0.2">
      <c r="B75" s="105" t="s">
        <v>422</v>
      </c>
      <c r="D75" s="134"/>
      <c r="E75" s="134"/>
      <c r="F75" s="134"/>
      <c r="G75" s="158"/>
      <c r="H75" s="158"/>
      <c r="I75" s="158"/>
      <c r="K75" s="134"/>
      <c r="L75" s="134"/>
      <c r="M75" s="134"/>
      <c r="N75" s="158"/>
      <c r="O75" s="158"/>
      <c r="P75" s="158"/>
      <c r="R75" s="158"/>
      <c r="S75" s="158"/>
      <c r="T75" s="158"/>
      <c r="U75" s="158"/>
      <c r="V75" s="158"/>
      <c r="Y75" s="158"/>
      <c r="Z75" s="158"/>
      <c r="AA75" s="158"/>
      <c r="AB75" s="158"/>
      <c r="AC75" s="158"/>
      <c r="AF75" s="158"/>
      <c r="AG75" s="158"/>
      <c r="AH75" s="158"/>
      <c r="AI75" s="158"/>
      <c r="AJ75" s="158"/>
      <c r="AM75" s="158"/>
      <c r="AN75" s="158"/>
      <c r="AO75" s="158"/>
      <c r="AP75" s="158"/>
      <c r="AQ75" s="158"/>
      <c r="AT75" s="158"/>
      <c r="AU75" s="158"/>
      <c r="AV75" s="158"/>
      <c r="AW75" s="158"/>
      <c r="AX75" s="158"/>
      <c r="BA75" s="158"/>
      <c r="BB75" s="158"/>
      <c r="BC75" s="158"/>
      <c r="BD75" s="158"/>
      <c r="BE75" s="158"/>
      <c r="BH75" s="158"/>
      <c r="BI75" s="158"/>
      <c r="BJ75" s="158"/>
      <c r="BK75" s="158"/>
      <c r="BL75" s="158"/>
      <c r="BO75" s="158"/>
      <c r="BP75" s="158"/>
      <c r="BQ75" s="158"/>
      <c r="BR75" s="158"/>
      <c r="BS75" s="158"/>
      <c r="BV75" s="158"/>
      <c r="BW75" s="158"/>
      <c r="BX75" s="158"/>
      <c r="BY75" s="158"/>
      <c r="BZ75" s="158"/>
      <c r="CC75" s="158"/>
      <c r="CD75" s="158"/>
      <c r="CE75" s="158"/>
      <c r="CF75" s="158"/>
      <c r="CG75" s="158"/>
      <c r="CJ75" s="158"/>
      <c r="CK75" s="158"/>
      <c r="CL75" s="158"/>
      <c r="CM75" s="158"/>
      <c r="CN75" s="158"/>
      <c r="CQ75" s="154"/>
      <c r="CR75" s="139">
        <f t="shared" si="33"/>
        <v>0</v>
      </c>
      <c r="CS75" s="139">
        <f t="shared" si="34"/>
        <v>0</v>
      </c>
      <c r="CT75" s="139">
        <f t="shared" si="35"/>
        <v>0</v>
      </c>
      <c r="CU75" s="139">
        <f t="shared" si="36"/>
        <v>0</v>
      </c>
      <c r="CV75" s="139">
        <f t="shared" si="37"/>
        <v>0</v>
      </c>
      <c r="CW75" s="139">
        <f t="shared" si="38"/>
        <v>0</v>
      </c>
      <c r="CX75" s="139">
        <f t="shared" si="39"/>
        <v>0</v>
      </c>
      <c r="CY75" s="139">
        <f t="shared" si="40"/>
        <v>0</v>
      </c>
      <c r="CZ75" s="139">
        <f t="shared" si="41"/>
        <v>0</v>
      </c>
      <c r="DA75" s="139">
        <f t="shared" si="30"/>
        <v>0</v>
      </c>
      <c r="DB75" s="139">
        <f t="shared" si="31"/>
        <v>0</v>
      </c>
      <c r="DC75" s="139">
        <f t="shared" si="32"/>
        <v>0</v>
      </c>
    </row>
    <row r="76" spans="2:107" ht="16" x14ac:dyDescent="0.2">
      <c r="B76" s="105" t="s">
        <v>423</v>
      </c>
      <c r="D76" s="134"/>
      <c r="E76" s="134"/>
      <c r="F76" s="134"/>
      <c r="G76" s="158"/>
      <c r="H76" s="158"/>
      <c r="I76" s="158"/>
      <c r="K76" s="134"/>
      <c r="L76" s="134"/>
      <c r="M76" s="134"/>
      <c r="N76" s="158"/>
      <c r="O76" s="158"/>
      <c r="P76" s="158"/>
      <c r="R76" s="158"/>
      <c r="S76" s="158"/>
      <c r="T76" s="158"/>
      <c r="U76" s="158"/>
      <c r="V76" s="158"/>
      <c r="Y76" s="158"/>
      <c r="Z76" s="158"/>
      <c r="AA76" s="158"/>
      <c r="AB76" s="158"/>
      <c r="AC76" s="158"/>
      <c r="AF76" s="158"/>
      <c r="AG76" s="158"/>
      <c r="AH76" s="158"/>
      <c r="AI76" s="158"/>
      <c r="AJ76" s="158"/>
      <c r="AM76" s="158"/>
      <c r="AN76" s="158"/>
      <c r="AO76" s="158"/>
      <c r="AP76" s="158"/>
      <c r="AQ76" s="158"/>
      <c r="AT76" s="158"/>
      <c r="AU76" s="158"/>
      <c r="AV76" s="158"/>
      <c r="AW76" s="158"/>
      <c r="AX76" s="158"/>
      <c r="BA76" s="158"/>
      <c r="BB76" s="158"/>
      <c r="BC76" s="158"/>
      <c r="BD76" s="158"/>
      <c r="BE76" s="158"/>
      <c r="BH76" s="158"/>
      <c r="BI76" s="158"/>
      <c r="BJ76" s="158"/>
      <c r="BK76" s="158"/>
      <c r="BL76" s="158"/>
      <c r="BO76" s="158"/>
      <c r="BP76" s="158"/>
      <c r="BQ76" s="158"/>
      <c r="BR76" s="158"/>
      <c r="BS76" s="158"/>
      <c r="BV76" s="158"/>
      <c r="BW76" s="158"/>
      <c r="BX76" s="158"/>
      <c r="BY76" s="158"/>
      <c r="BZ76" s="158"/>
      <c r="CC76" s="158"/>
      <c r="CD76" s="158"/>
      <c r="CE76" s="158"/>
      <c r="CF76" s="158"/>
      <c r="CG76" s="158"/>
      <c r="CJ76" s="158"/>
      <c r="CK76" s="158"/>
      <c r="CL76" s="158"/>
      <c r="CM76" s="158"/>
      <c r="CN76" s="158"/>
      <c r="CQ76" s="154"/>
      <c r="CR76" s="139">
        <f t="shared" si="33"/>
        <v>0</v>
      </c>
      <c r="CS76" s="139">
        <f t="shared" si="34"/>
        <v>0</v>
      </c>
      <c r="CT76" s="139">
        <f t="shared" si="35"/>
        <v>0</v>
      </c>
      <c r="CU76" s="139">
        <f t="shared" si="36"/>
        <v>0</v>
      </c>
      <c r="CV76" s="139">
        <f t="shared" si="37"/>
        <v>0</v>
      </c>
      <c r="CW76" s="139">
        <f t="shared" si="38"/>
        <v>0</v>
      </c>
      <c r="CX76" s="139">
        <f t="shared" si="39"/>
        <v>0</v>
      </c>
      <c r="CY76" s="139">
        <f t="shared" si="40"/>
        <v>0</v>
      </c>
      <c r="CZ76" s="139">
        <f t="shared" si="41"/>
        <v>0</v>
      </c>
      <c r="DA76" s="139">
        <f t="shared" si="30"/>
        <v>0</v>
      </c>
      <c r="DB76" s="139">
        <f t="shared" si="31"/>
        <v>0</v>
      </c>
      <c r="DC76" s="139">
        <f t="shared" si="32"/>
        <v>0</v>
      </c>
    </row>
    <row r="77" spans="2:107" x14ac:dyDescent="0.2">
      <c r="B77" s="105" t="s">
        <v>424</v>
      </c>
      <c r="D77" s="134"/>
      <c r="E77" s="134"/>
      <c r="F77" s="134"/>
      <c r="G77" s="159"/>
      <c r="H77" s="159"/>
      <c r="I77" s="159"/>
      <c r="J77" s="137">
        <f>J47</f>
        <v>-17890708.099999998</v>
      </c>
      <c r="K77" s="137"/>
      <c r="L77" s="137"/>
      <c r="M77" s="137"/>
      <c r="N77" s="137"/>
      <c r="O77" s="137"/>
      <c r="P77" s="137"/>
      <c r="Q77" s="137">
        <f>Q47</f>
        <v>-10186846.380000001</v>
      </c>
      <c r="R77" s="137"/>
      <c r="S77" s="137"/>
      <c r="T77" s="137"/>
      <c r="U77" s="137"/>
      <c r="V77" s="137"/>
      <c r="W77" s="137"/>
      <c r="X77" s="137">
        <f>X47</f>
        <v>2075558.3500000006</v>
      </c>
      <c r="Y77" s="137"/>
      <c r="Z77" s="137"/>
      <c r="AA77" s="137"/>
      <c r="AB77" s="137"/>
      <c r="AC77" s="137"/>
      <c r="AD77" s="137"/>
      <c r="AE77" s="137">
        <f>AE47</f>
        <v>2289520.9800000018</v>
      </c>
      <c r="AF77" s="137"/>
      <c r="AG77" s="137"/>
      <c r="AH77" s="137"/>
      <c r="AI77" s="137"/>
      <c r="AJ77" s="137"/>
      <c r="AK77" s="137"/>
      <c r="AL77" s="137">
        <f>AL47</f>
        <v>5385269.5099999998</v>
      </c>
      <c r="AM77" s="137"/>
      <c r="AN77" s="137"/>
      <c r="AO77" s="137"/>
      <c r="AP77" s="137"/>
      <c r="AQ77" s="137"/>
      <c r="AR77" s="137"/>
      <c r="AS77" s="137">
        <f>AS47</f>
        <v>189934.07999999961</v>
      </c>
      <c r="AT77" s="137"/>
      <c r="AU77" s="137"/>
      <c r="AV77" s="137"/>
      <c r="AW77" s="137"/>
      <c r="AX77" s="137"/>
      <c r="AY77" s="137"/>
      <c r="AZ77" s="137">
        <f>AZ47</f>
        <v>16075474.65</v>
      </c>
      <c r="BA77" s="137"/>
      <c r="BB77" s="137"/>
      <c r="BC77" s="137"/>
      <c r="BD77" s="137"/>
      <c r="BE77" s="137"/>
      <c r="BF77" s="137"/>
      <c r="BG77" s="137">
        <f>BG47</f>
        <v>8807037.3100000005</v>
      </c>
      <c r="BH77" s="137"/>
      <c r="BI77" s="137"/>
      <c r="BJ77" s="137"/>
      <c r="BK77" s="137"/>
      <c r="BL77" s="137"/>
      <c r="BM77" s="137"/>
      <c r="BN77" s="137">
        <f>BN47</f>
        <v>-6984171.3900000006</v>
      </c>
      <c r="BO77" s="137"/>
      <c r="BP77" s="137"/>
      <c r="BQ77" s="137"/>
      <c r="BR77" s="137"/>
      <c r="BS77" s="137"/>
      <c r="BT77" s="137"/>
      <c r="BU77" s="137">
        <f>BU47</f>
        <v>2539586.5100000002</v>
      </c>
      <c r="BV77" s="137"/>
      <c r="BW77" s="137"/>
      <c r="BX77" s="137"/>
      <c r="BY77" s="137"/>
      <c r="BZ77" s="137"/>
      <c r="CA77" s="137"/>
      <c r="CB77" s="137">
        <f>CB47</f>
        <v>5355327.8599999994</v>
      </c>
      <c r="CC77" s="137"/>
      <c r="CD77" s="137"/>
      <c r="CE77" s="137"/>
      <c r="CF77" s="137"/>
      <c r="CG77" s="137"/>
      <c r="CH77" s="137"/>
      <c r="CI77" s="137">
        <f>CI47</f>
        <v>4374831.5500000007</v>
      </c>
      <c r="CJ77" s="137"/>
      <c r="CK77" s="137"/>
      <c r="CL77" s="137"/>
      <c r="CM77" s="137"/>
      <c r="CN77" s="137"/>
      <c r="CO77" s="137"/>
      <c r="CP77" s="137">
        <f>CP47</f>
        <v>12030814.930000003</v>
      </c>
      <c r="CQ77" s="154"/>
      <c r="CR77" s="139">
        <f t="shared" si="33"/>
        <v>-9.2386505913743863E-3</v>
      </c>
      <c r="CS77" s="139">
        <f t="shared" si="34"/>
        <v>-5.2882426269365273E-3</v>
      </c>
      <c r="CT77" s="139">
        <f t="shared" si="35"/>
        <v>1.0763137140204378E-3</v>
      </c>
      <c r="CU77" s="139">
        <f t="shared" si="36"/>
        <v>1.1858594982628885E-3</v>
      </c>
      <c r="CV77" s="139">
        <f t="shared" si="37"/>
        <v>2.7815467148995031E-3</v>
      </c>
      <c r="CW77" s="139">
        <f t="shared" si="38"/>
        <v>9.8093269349798132E-5</v>
      </c>
      <c r="CX77" s="139">
        <f t="shared" si="39"/>
        <v>8.2339712261807856E-3</v>
      </c>
      <c r="CY77" s="139">
        <f t="shared" si="40"/>
        <v>4.4907685027412549E-3</v>
      </c>
      <c r="CZ77" s="139">
        <f t="shared" si="41"/>
        <v>-3.5740047343519642E-3</v>
      </c>
      <c r="DA77" s="139">
        <f t="shared" si="30"/>
        <v>1.2978939629081474E-3</v>
      </c>
      <c r="DB77" s="139">
        <f t="shared" si="31"/>
        <v>2.7294507279715403E-3</v>
      </c>
      <c r="DC77" s="139">
        <f t="shared" si="32"/>
        <v>2.224760436156869E-3</v>
      </c>
    </row>
    <row r="78" spans="2:107" x14ac:dyDescent="0.2">
      <c r="B78" s="105" t="s">
        <v>425</v>
      </c>
      <c r="D78" s="134"/>
      <c r="E78" s="134"/>
      <c r="F78" s="134"/>
      <c r="G78" s="133"/>
      <c r="H78" s="133"/>
      <c r="I78" s="133"/>
      <c r="J78" s="137">
        <f>'EEFF 2024'!CI78+'EEFF 2024'!CI77</f>
        <v>-36312840.25999999</v>
      </c>
      <c r="K78" s="134"/>
      <c r="L78" s="134"/>
      <c r="M78" s="134"/>
      <c r="N78" s="133"/>
      <c r="O78" s="133"/>
      <c r="P78" s="133"/>
      <c r="Q78" s="137">
        <f>J78+J77</f>
        <v>-54203548.359999985</v>
      </c>
      <c r="R78" s="133"/>
      <c r="S78" s="133"/>
      <c r="T78" s="133"/>
      <c r="U78" s="133"/>
      <c r="V78" s="133"/>
      <c r="X78" s="137">
        <f>Q78+Q77</f>
        <v>-64390394.739999987</v>
      </c>
      <c r="Y78" s="133"/>
      <c r="Z78" s="133"/>
      <c r="AA78" s="133"/>
      <c r="AB78" s="133"/>
      <c r="AC78" s="133"/>
      <c r="AE78" s="137">
        <f>X78+X77</f>
        <v>-62314836.389999986</v>
      </c>
      <c r="AF78" s="133"/>
      <c r="AG78" s="133"/>
      <c r="AH78" s="133"/>
      <c r="AI78" s="133"/>
      <c r="AJ78" s="133"/>
      <c r="AL78" s="137">
        <f>AE78+AE77</f>
        <v>-60025315.409999982</v>
      </c>
      <c r="AM78" s="133"/>
      <c r="AN78" s="133"/>
      <c r="AO78" s="133"/>
      <c r="AP78" s="133"/>
      <c r="AQ78" s="133"/>
      <c r="AS78" s="137">
        <f>AL78+AL77</f>
        <v>-54640045.899999984</v>
      </c>
      <c r="AT78" s="133"/>
      <c r="AU78" s="133"/>
      <c r="AV78" s="133"/>
      <c r="AW78" s="133"/>
      <c r="AX78" s="133"/>
      <c r="AZ78" s="137">
        <f>AS78+AS77</f>
        <v>-54450111.819999985</v>
      </c>
      <c r="BA78" s="133"/>
      <c r="BB78" s="133"/>
      <c r="BC78" s="133"/>
      <c r="BD78" s="133"/>
      <c r="BE78" s="133"/>
      <c r="BG78" s="137">
        <f>AZ78+AZ77</f>
        <v>-38374637.169999987</v>
      </c>
      <c r="BH78" s="133"/>
      <c r="BI78" s="133"/>
      <c r="BJ78" s="133"/>
      <c r="BK78" s="133"/>
      <c r="BL78" s="133"/>
      <c r="BN78" s="137">
        <f>BG78+BG77</f>
        <v>-29567599.859999985</v>
      </c>
      <c r="BO78" s="133"/>
      <c r="BP78" s="133"/>
      <c r="BQ78" s="133"/>
      <c r="BR78" s="133"/>
      <c r="BS78" s="133"/>
      <c r="BU78" s="137">
        <f>BN78+BN77</f>
        <v>-36551771.249999985</v>
      </c>
      <c r="BV78" s="133"/>
      <c r="BW78" s="133"/>
      <c r="BX78" s="133"/>
      <c r="BY78" s="133"/>
      <c r="BZ78" s="133"/>
      <c r="CB78" s="137">
        <f>BU78+BU77</f>
        <v>-34012184.739999987</v>
      </c>
      <c r="CC78" s="133"/>
      <c r="CD78" s="133"/>
      <c r="CE78" s="133"/>
      <c r="CF78" s="133"/>
      <c r="CG78" s="133"/>
      <c r="CI78" s="137">
        <f>CB78+CB77</f>
        <v>-28656856.879999988</v>
      </c>
      <c r="CJ78" s="133"/>
      <c r="CK78" s="133"/>
      <c r="CL78" s="133"/>
      <c r="CM78" s="133"/>
      <c r="CN78" s="133"/>
      <c r="CP78" s="137">
        <f>J78</f>
        <v>-36312840.25999999</v>
      </c>
      <c r="CR78" s="139">
        <f t="shared" si="33"/>
        <v>-1.8751725268075475E-2</v>
      </c>
      <c r="CS78" s="139">
        <f t="shared" si="34"/>
        <v>-2.813839575821378E-2</v>
      </c>
      <c r="CT78" s="139">
        <f t="shared" si="35"/>
        <v>-3.3390660835842766E-2</v>
      </c>
      <c r="CU78" s="139">
        <f t="shared" si="36"/>
        <v>-3.2276026846357747E-2</v>
      </c>
      <c r="CV78" s="139">
        <f t="shared" si="37"/>
        <v>-3.100368859524209E-2</v>
      </c>
      <c r="CW78" s="139">
        <f t="shared" si="38"/>
        <v>-2.8219373478177493E-2</v>
      </c>
      <c r="CX78" s="139">
        <f t="shared" si="39"/>
        <v>-2.788973039674484E-2</v>
      </c>
      <c r="CY78" s="139">
        <f t="shared" si="40"/>
        <v>-1.9567489706383421E-2</v>
      </c>
      <c r="CZ78" s="139">
        <f t="shared" si="41"/>
        <v>-1.5130605476602487E-2</v>
      </c>
      <c r="DA78" s="139">
        <f t="shared" si="30"/>
        <v>-1.8680333610283102E-2</v>
      </c>
      <c r="DB78" s="139">
        <f t="shared" si="31"/>
        <v>-1.7334995134825507E-2</v>
      </c>
      <c r="DC78" s="139">
        <f t="shared" si="32"/>
        <v>-1.4573050569509065E-2</v>
      </c>
    </row>
    <row r="79" spans="2:107" ht="16" x14ac:dyDescent="0.2">
      <c r="B79" s="141" t="s">
        <v>426</v>
      </c>
      <c r="C79" s="207"/>
      <c r="D79" s="142"/>
      <c r="E79" s="142"/>
      <c r="F79" s="142"/>
      <c r="G79" s="142"/>
      <c r="H79" s="142"/>
      <c r="I79" s="142"/>
      <c r="J79" s="142">
        <f>SUM(J74:J78)</f>
        <v>1831534829.24</v>
      </c>
      <c r="K79" s="142"/>
      <c r="L79" s="142"/>
      <c r="M79" s="142"/>
      <c r="N79" s="142"/>
      <c r="O79" s="142"/>
      <c r="P79" s="142"/>
      <c r="Q79" s="142">
        <f>SUM(Q74:Q78)</f>
        <v>1821347982.8599999</v>
      </c>
      <c r="R79" s="142"/>
      <c r="S79" s="142"/>
      <c r="T79" s="142"/>
      <c r="U79" s="142"/>
      <c r="V79" s="142"/>
      <c r="W79" s="142"/>
      <c r="X79" s="142">
        <f>SUM(X74:X78)</f>
        <v>1823423541.2099998</v>
      </c>
      <c r="Y79" s="143"/>
      <c r="Z79" s="143"/>
      <c r="AA79" s="143"/>
      <c r="AB79" s="143"/>
      <c r="AC79" s="143"/>
      <c r="AD79" s="143"/>
      <c r="AE79" s="142">
        <f>SUM(AE74:AE78)</f>
        <v>1825713062.1900001</v>
      </c>
      <c r="AF79" s="143"/>
      <c r="AG79" s="143"/>
      <c r="AH79" s="143"/>
      <c r="AI79" s="143"/>
      <c r="AJ79" s="143"/>
      <c r="AK79" s="143"/>
      <c r="AL79" s="142">
        <f>SUM(AL74:AL78)</f>
        <v>1831098331.6999998</v>
      </c>
      <c r="AM79" s="143"/>
      <c r="AN79" s="143"/>
      <c r="AO79" s="143"/>
      <c r="AP79" s="143"/>
      <c r="AQ79" s="143"/>
      <c r="AR79" s="143"/>
      <c r="AS79" s="142">
        <f>SUM(AS74:AS78)</f>
        <v>1831288265.7799997</v>
      </c>
      <c r="AT79" s="143"/>
      <c r="AU79" s="143"/>
      <c r="AV79" s="143"/>
      <c r="AW79" s="143"/>
      <c r="AX79" s="143"/>
      <c r="AY79" s="143"/>
      <c r="AZ79" s="142">
        <f>SUM(AZ74:AZ78)</f>
        <v>1847363740.4300001</v>
      </c>
      <c r="BA79" s="143"/>
      <c r="BB79" s="143"/>
      <c r="BC79" s="143"/>
      <c r="BD79" s="143"/>
      <c r="BE79" s="143"/>
      <c r="BF79" s="143"/>
      <c r="BG79" s="142">
        <f>SUM(BG74:BG78)</f>
        <v>1856170777.7399998</v>
      </c>
      <c r="BH79" s="143"/>
      <c r="BI79" s="143"/>
      <c r="BJ79" s="143"/>
      <c r="BK79" s="143"/>
      <c r="BL79" s="143"/>
      <c r="BM79" s="143"/>
      <c r="BN79" s="142">
        <f>SUM(BN74:BN78)</f>
        <v>1849186606.3499999</v>
      </c>
      <c r="BO79" s="143"/>
      <c r="BP79" s="143"/>
      <c r="BQ79" s="143"/>
      <c r="BR79" s="143"/>
      <c r="BS79" s="143"/>
      <c r="BT79" s="143"/>
      <c r="BU79" s="142">
        <f>SUM(BU74:BU78)</f>
        <v>1851726192.8599999</v>
      </c>
      <c r="BV79" s="143"/>
      <c r="BW79" s="143"/>
      <c r="BX79" s="143"/>
      <c r="BY79" s="143"/>
      <c r="BZ79" s="143"/>
      <c r="CA79" s="143"/>
      <c r="CB79" s="142">
        <f>SUM(CB74:CB78)</f>
        <v>1857081520.7199998</v>
      </c>
      <c r="CC79" s="143"/>
      <c r="CD79" s="143"/>
      <c r="CE79" s="143"/>
      <c r="CF79" s="143"/>
      <c r="CG79" s="143"/>
      <c r="CH79" s="143"/>
      <c r="CI79" s="142">
        <f>SUM(CI74:CI78)</f>
        <v>1861456352.27</v>
      </c>
      <c r="CJ79" s="143"/>
      <c r="CK79" s="143"/>
      <c r="CL79" s="143"/>
      <c r="CM79" s="143"/>
      <c r="CN79" s="143"/>
      <c r="CO79" s="143"/>
      <c r="CP79" s="142">
        <f>SUM(CP74:CP78)</f>
        <v>1861456352.27</v>
      </c>
      <c r="CR79" s="145">
        <f t="shared" si="33"/>
        <v>0.94579321504222147</v>
      </c>
      <c r="CS79" s="145">
        <f t="shared" si="34"/>
        <v>0.94550655641133852</v>
      </c>
      <c r="CT79" s="145">
        <f t="shared" si="35"/>
        <v>0.9455652084519971</v>
      </c>
      <c r="CU79" s="145">
        <f t="shared" si="36"/>
        <v>0.94562976046659042</v>
      </c>
      <c r="CV79" s="145">
        <f t="shared" si="37"/>
        <v>0.94578099382775271</v>
      </c>
      <c r="CW79" s="145">
        <f t="shared" si="38"/>
        <v>0.94578631234732902</v>
      </c>
      <c r="CX79" s="145">
        <f t="shared" si="39"/>
        <v>0.94623270629152645</v>
      </c>
      <c r="CY79" s="145">
        <f t="shared" si="40"/>
        <v>0.94647416276058993</v>
      </c>
      <c r="CZ79" s="145">
        <f t="shared" si="41"/>
        <v>0.94628286116488625</v>
      </c>
      <c r="DA79" s="145">
        <f t="shared" si="30"/>
        <v>0.94635258031508507</v>
      </c>
      <c r="DB79" s="145">
        <f t="shared" si="31"/>
        <v>0.94649900830379774</v>
      </c>
      <c r="DC79" s="145">
        <f t="shared" si="32"/>
        <v>0.94661803519341869</v>
      </c>
    </row>
    <row r="80" spans="2:107" ht="16" x14ac:dyDescent="0.2">
      <c r="B80" s="141" t="s">
        <v>427</v>
      </c>
      <c r="C80" s="207"/>
      <c r="D80" s="142"/>
      <c r="E80" s="142"/>
      <c r="F80" s="142"/>
      <c r="G80" s="142"/>
      <c r="H80" s="142"/>
      <c r="I80" s="142"/>
      <c r="J80" s="142">
        <f>J73+J79</f>
        <v>1936506627.5699999</v>
      </c>
      <c r="K80" s="142"/>
      <c r="L80" s="142"/>
      <c r="M80" s="142"/>
      <c r="N80" s="142"/>
      <c r="O80" s="142"/>
      <c r="P80" s="142"/>
      <c r="Q80" s="142">
        <f>Q73+Q79</f>
        <v>1926319781.1899998</v>
      </c>
      <c r="R80" s="142"/>
      <c r="S80" s="142"/>
      <c r="T80" s="142"/>
      <c r="U80" s="142"/>
      <c r="V80" s="142"/>
      <c r="W80" s="142"/>
      <c r="X80" s="142">
        <f>X73+X79</f>
        <v>1928395339.5399997</v>
      </c>
      <c r="Y80" s="143"/>
      <c r="Z80" s="143"/>
      <c r="AA80" s="143"/>
      <c r="AB80" s="143"/>
      <c r="AC80" s="143"/>
      <c r="AD80" s="143"/>
      <c r="AE80" s="142">
        <f>AE73+AE79</f>
        <v>1930684860.52</v>
      </c>
      <c r="AF80" s="143"/>
      <c r="AG80" s="143"/>
      <c r="AH80" s="143"/>
      <c r="AI80" s="143"/>
      <c r="AJ80" s="143"/>
      <c r="AK80" s="143"/>
      <c r="AL80" s="142">
        <f>AL73+AL79</f>
        <v>1936070130.0299997</v>
      </c>
      <c r="AM80" s="143"/>
      <c r="AN80" s="143"/>
      <c r="AO80" s="143"/>
      <c r="AP80" s="143"/>
      <c r="AQ80" s="143"/>
      <c r="AR80" s="143"/>
      <c r="AS80" s="142">
        <f>AS73+AS79</f>
        <v>1936260064.1099997</v>
      </c>
      <c r="AT80" s="143"/>
      <c r="AU80" s="143"/>
      <c r="AV80" s="143"/>
      <c r="AW80" s="143"/>
      <c r="AX80" s="143"/>
      <c r="AY80" s="143"/>
      <c r="AZ80" s="142">
        <f>AZ73+AZ79</f>
        <v>1952335538.76</v>
      </c>
      <c r="BA80" s="143"/>
      <c r="BB80" s="143"/>
      <c r="BC80" s="143"/>
      <c r="BD80" s="143"/>
      <c r="BE80" s="143"/>
      <c r="BF80" s="143"/>
      <c r="BG80" s="142">
        <f>BG73+BG79</f>
        <v>1961142576.0699997</v>
      </c>
      <c r="BH80" s="143"/>
      <c r="BI80" s="143"/>
      <c r="BJ80" s="143"/>
      <c r="BK80" s="143"/>
      <c r="BL80" s="143"/>
      <c r="BM80" s="143"/>
      <c r="BN80" s="142">
        <f>BN73+BN79</f>
        <v>1954158404.6799998</v>
      </c>
      <c r="BO80" s="143"/>
      <c r="BP80" s="143"/>
      <c r="BQ80" s="143"/>
      <c r="BR80" s="143"/>
      <c r="BS80" s="143"/>
      <c r="BT80" s="143"/>
      <c r="BU80" s="142">
        <f>BU73+BU79</f>
        <v>1956697991.1899998</v>
      </c>
      <c r="BV80" s="143"/>
      <c r="BW80" s="143"/>
      <c r="BX80" s="143"/>
      <c r="BY80" s="143"/>
      <c r="BZ80" s="143"/>
      <c r="CA80" s="143"/>
      <c r="CB80" s="142">
        <f>CB73+CB79</f>
        <v>1962053319.0499997</v>
      </c>
      <c r="CC80" s="143"/>
      <c r="CD80" s="143"/>
      <c r="CE80" s="143"/>
      <c r="CF80" s="143"/>
      <c r="CG80" s="143"/>
      <c r="CH80" s="143"/>
      <c r="CI80" s="142">
        <f>CI73+CI79</f>
        <v>1966428150.5999999</v>
      </c>
      <c r="CJ80" s="143"/>
      <c r="CK80" s="143"/>
      <c r="CL80" s="143"/>
      <c r="CM80" s="143"/>
      <c r="CN80" s="143"/>
      <c r="CO80" s="143"/>
      <c r="CP80" s="142">
        <f>CP73+CP79</f>
        <v>1966428150.5999999</v>
      </c>
      <c r="CR80" s="145">
        <f t="shared" si="33"/>
        <v>1</v>
      </c>
      <c r="CS80" s="145">
        <f t="shared" si="34"/>
        <v>1</v>
      </c>
      <c r="CT80" s="145">
        <f t="shared" si="35"/>
        <v>0.99999999999999989</v>
      </c>
      <c r="CU80" s="145">
        <f t="shared" si="36"/>
        <v>1</v>
      </c>
      <c r="CV80" s="145">
        <f t="shared" si="37"/>
        <v>0.99999999999999989</v>
      </c>
      <c r="CW80" s="145">
        <f t="shared" si="38"/>
        <v>0.99999999999999989</v>
      </c>
      <c r="CX80" s="145">
        <f t="shared" si="39"/>
        <v>1</v>
      </c>
      <c r="CY80" s="145">
        <f t="shared" si="40"/>
        <v>0.99999999999999989</v>
      </c>
      <c r="CZ80" s="145">
        <f t="shared" si="41"/>
        <v>1</v>
      </c>
      <c r="DA80" s="145">
        <f t="shared" si="30"/>
        <v>1</v>
      </c>
      <c r="DB80" s="145">
        <f t="shared" si="31"/>
        <v>0.99999999999999989</v>
      </c>
      <c r="DC80" s="145">
        <f t="shared" si="32"/>
        <v>1</v>
      </c>
    </row>
    <row r="81" spans="2:95" ht="16" x14ac:dyDescent="0.2">
      <c r="B81" s="160" t="s">
        <v>428</v>
      </c>
      <c r="D81" s="161"/>
      <c r="E81" s="161"/>
      <c r="F81" s="161"/>
      <c r="G81" s="161"/>
      <c r="H81" s="161"/>
      <c r="I81" s="161"/>
      <c r="J81" s="234">
        <f>J64-J80</f>
        <v>0</v>
      </c>
      <c r="K81" s="234"/>
      <c r="L81" s="234"/>
      <c r="M81" s="234"/>
      <c r="N81" s="234"/>
      <c r="O81" s="234"/>
      <c r="P81" s="234"/>
      <c r="Q81" s="234">
        <f>Q64-Q80</f>
        <v>0</v>
      </c>
      <c r="R81" s="234"/>
      <c r="S81" s="234"/>
      <c r="T81" s="234"/>
      <c r="U81" s="234"/>
      <c r="V81" s="234"/>
      <c r="W81" s="234"/>
      <c r="X81" s="234">
        <f>X64-X80</f>
        <v>0</v>
      </c>
      <c r="Y81" s="234"/>
      <c r="Z81" s="234"/>
      <c r="AA81" s="234"/>
      <c r="AB81" s="234"/>
      <c r="AC81" s="234"/>
      <c r="AD81" s="234"/>
      <c r="AE81" s="234">
        <f>AE64-AE80</f>
        <v>0</v>
      </c>
      <c r="AF81" s="234"/>
      <c r="AG81" s="234"/>
      <c r="AH81" s="234"/>
      <c r="AI81" s="234"/>
      <c r="AJ81" s="234"/>
      <c r="AK81" s="234"/>
      <c r="AL81" s="234">
        <f>AL64-AL80</f>
        <v>0</v>
      </c>
      <c r="AM81" s="234"/>
      <c r="AN81" s="234"/>
      <c r="AO81" s="234"/>
      <c r="AP81" s="234"/>
      <c r="AQ81" s="234"/>
      <c r="AR81" s="234"/>
      <c r="AS81" s="234">
        <f>AS64-AS80</f>
        <v>0</v>
      </c>
      <c r="AT81" s="234"/>
      <c r="AU81" s="234"/>
      <c r="AV81" s="234"/>
      <c r="AW81" s="234"/>
      <c r="AX81" s="234"/>
      <c r="AY81" s="234"/>
      <c r="AZ81" s="234">
        <f>AZ64-AZ80</f>
        <v>0</v>
      </c>
      <c r="BA81" s="234"/>
      <c r="BB81" s="234"/>
      <c r="BC81" s="234"/>
      <c r="BD81" s="234"/>
      <c r="BE81" s="234"/>
      <c r="BF81" s="234"/>
      <c r="BG81" s="234">
        <f>BG64-BG80</f>
        <v>0</v>
      </c>
      <c r="BH81" s="234"/>
      <c r="BI81" s="234"/>
      <c r="BJ81" s="234"/>
      <c r="BK81" s="234"/>
      <c r="BL81" s="234"/>
      <c r="BM81" s="234"/>
      <c r="BN81" s="234">
        <f>BN64-BN80</f>
        <v>0</v>
      </c>
      <c r="BO81" s="234"/>
      <c r="BP81" s="234"/>
      <c r="BQ81" s="234"/>
      <c r="BR81" s="234"/>
      <c r="BS81" s="234"/>
      <c r="BT81" s="234"/>
      <c r="BU81" s="234">
        <f>BU64-BU80</f>
        <v>0</v>
      </c>
      <c r="BV81" s="234"/>
      <c r="BW81" s="234"/>
      <c r="BX81" s="234"/>
      <c r="BY81" s="234"/>
      <c r="BZ81" s="234"/>
      <c r="CA81" s="234"/>
      <c r="CB81" s="234">
        <f>CB64-CB80</f>
        <v>0</v>
      </c>
      <c r="CC81" s="234"/>
      <c r="CD81" s="234"/>
      <c r="CE81" s="234"/>
      <c r="CF81" s="234"/>
      <c r="CG81" s="234"/>
      <c r="CH81" s="234"/>
      <c r="CI81" s="234">
        <f>CI64-CI80</f>
        <v>0</v>
      </c>
      <c r="CJ81" s="213"/>
      <c r="CK81" s="213"/>
      <c r="CL81" s="213"/>
      <c r="CM81" s="213"/>
      <c r="CN81" s="213"/>
      <c r="CO81" s="213"/>
      <c r="CP81" s="234">
        <f>CP64-CP80</f>
        <v>0</v>
      </c>
    </row>
    <row r="82" spans="2:95" x14ac:dyDescent="0.2">
      <c r="D82" s="106"/>
      <c r="E82" s="106"/>
      <c r="F82" s="106"/>
      <c r="G82" s="133"/>
      <c r="H82" s="133"/>
      <c r="K82" s="106"/>
      <c r="L82" s="106"/>
      <c r="M82" s="106"/>
      <c r="N82" s="133"/>
      <c r="O82" s="133"/>
    </row>
    <row r="83" spans="2:95" x14ac:dyDescent="0.2">
      <c r="D83" s="106"/>
      <c r="E83" s="106"/>
      <c r="K83" s="106"/>
      <c r="L83" s="106"/>
      <c r="CQ83" s="137">
        <f>CB78+CI77</f>
        <v>-29637353.189999986</v>
      </c>
    </row>
    <row r="84" spans="2:95" s="181" customFormat="1" ht="16" x14ac:dyDescent="0.2">
      <c r="B84" s="183" t="s">
        <v>353</v>
      </c>
      <c r="C84" s="211"/>
      <c r="E84" s="186"/>
      <c r="L84" s="186"/>
      <c r="CQ84" s="261">
        <v>12030815</v>
      </c>
    </row>
    <row r="85" spans="2:95" x14ac:dyDescent="0.2">
      <c r="B85" s="105" t="s">
        <v>352</v>
      </c>
      <c r="D85" s="137"/>
      <c r="E85" s="137"/>
      <c r="F85" s="137"/>
      <c r="G85" s="137"/>
      <c r="H85" s="137"/>
      <c r="I85" s="137"/>
      <c r="J85" s="137">
        <f>J47</f>
        <v>-17890708.099999998</v>
      </c>
      <c r="K85" s="137"/>
      <c r="L85" s="137"/>
      <c r="M85" s="137"/>
      <c r="N85" s="137"/>
      <c r="O85" s="137"/>
      <c r="P85" s="137"/>
      <c r="Q85" s="137">
        <f>Q47</f>
        <v>-10186846.380000001</v>
      </c>
      <c r="R85" s="137"/>
      <c r="S85" s="137"/>
      <c r="T85" s="137"/>
      <c r="U85" s="137"/>
      <c r="V85" s="137"/>
      <c r="W85" s="137"/>
      <c r="X85" s="137">
        <f>X47</f>
        <v>2075558.3500000006</v>
      </c>
      <c r="Y85" s="137"/>
      <c r="Z85" s="137"/>
      <c r="AA85" s="137"/>
      <c r="AB85" s="137"/>
      <c r="AC85" s="137"/>
      <c r="AD85" s="137"/>
      <c r="AE85" s="137">
        <f>AE47</f>
        <v>2289520.9800000018</v>
      </c>
      <c r="AF85" s="137"/>
      <c r="AG85" s="137"/>
      <c r="AH85" s="137"/>
      <c r="AI85" s="137"/>
      <c r="AJ85" s="137"/>
      <c r="AK85" s="137"/>
      <c r="AL85" s="137">
        <f>AL47</f>
        <v>5385269.5099999998</v>
      </c>
      <c r="AM85" s="137"/>
      <c r="AN85" s="137"/>
      <c r="AO85" s="137"/>
      <c r="AP85" s="137"/>
      <c r="AQ85" s="137"/>
      <c r="AR85" s="137"/>
      <c r="AS85" s="137">
        <f>AS47</f>
        <v>189934.07999999961</v>
      </c>
      <c r="AT85" s="137"/>
      <c r="AU85" s="137"/>
      <c r="AV85" s="137"/>
      <c r="AW85" s="137"/>
      <c r="AX85" s="137"/>
      <c r="AY85" s="137"/>
      <c r="AZ85" s="137">
        <f>AZ47</f>
        <v>16075474.65</v>
      </c>
      <c r="BA85" s="137"/>
      <c r="BB85" s="137"/>
      <c r="BC85" s="137"/>
      <c r="BD85" s="137"/>
      <c r="BE85" s="137"/>
      <c r="BF85" s="137"/>
      <c r="BG85" s="137">
        <f>BG47</f>
        <v>8807037.3100000005</v>
      </c>
      <c r="BH85" s="137"/>
      <c r="BI85" s="137"/>
      <c r="BJ85" s="137"/>
      <c r="BK85" s="137"/>
      <c r="BL85" s="137"/>
      <c r="BM85" s="137"/>
      <c r="BN85" s="137">
        <f>BN47</f>
        <v>-6984171.3900000006</v>
      </c>
      <c r="BO85" s="137"/>
      <c r="BP85" s="137"/>
      <c r="BQ85" s="137"/>
      <c r="BR85" s="137"/>
      <c r="BS85" s="137"/>
      <c r="BT85" s="137"/>
      <c r="BU85" s="137">
        <f>BU47</f>
        <v>2539586.5100000002</v>
      </c>
      <c r="BV85" s="137"/>
      <c r="BW85" s="137"/>
      <c r="BX85" s="137"/>
      <c r="BY85" s="137"/>
      <c r="BZ85" s="137"/>
      <c r="CA85" s="137"/>
      <c r="CB85" s="137">
        <f>CB47</f>
        <v>5355327.8599999994</v>
      </c>
      <c r="CC85" s="137"/>
      <c r="CD85" s="137"/>
      <c r="CE85" s="137"/>
      <c r="CF85" s="137"/>
      <c r="CG85" s="137"/>
      <c r="CH85" s="137"/>
      <c r="CI85" s="137">
        <f>CI47</f>
        <v>4374831.5500000007</v>
      </c>
      <c r="CJ85" s="137"/>
      <c r="CK85" s="137"/>
      <c r="CL85" s="137"/>
      <c r="CM85" s="137"/>
      <c r="CN85" s="137"/>
    </row>
    <row r="86" spans="2:95" x14ac:dyDescent="0.2">
      <c r="B86" s="105" t="s">
        <v>429</v>
      </c>
      <c r="D86" s="137"/>
      <c r="E86" s="137"/>
      <c r="F86" s="137"/>
      <c r="G86" s="137"/>
      <c r="H86" s="137"/>
      <c r="I86" s="137"/>
      <c r="J86" s="137">
        <f>+J15</f>
        <v>0</v>
      </c>
      <c r="K86" s="137"/>
      <c r="L86" s="137"/>
      <c r="M86" s="137"/>
      <c r="N86" s="137"/>
      <c r="O86" s="137"/>
      <c r="P86" s="137"/>
      <c r="Q86" s="137">
        <f>+Q15</f>
        <v>0</v>
      </c>
      <c r="R86" s="137"/>
      <c r="S86" s="137"/>
      <c r="T86" s="137"/>
      <c r="U86" s="137"/>
      <c r="V86" s="137"/>
      <c r="W86" s="137"/>
      <c r="X86" s="137">
        <f>+X15</f>
        <v>0</v>
      </c>
      <c r="Y86" s="137"/>
      <c r="Z86" s="137"/>
      <c r="AA86" s="137"/>
      <c r="AB86" s="137"/>
      <c r="AC86" s="137"/>
      <c r="AD86" s="137"/>
      <c r="AE86" s="137">
        <f>+AE15</f>
        <v>0</v>
      </c>
      <c r="AF86" s="137"/>
      <c r="AG86" s="137"/>
      <c r="AH86" s="137"/>
      <c r="AI86" s="137"/>
      <c r="AJ86" s="137"/>
      <c r="AK86" s="137"/>
      <c r="AL86" s="137">
        <f>+AL15</f>
        <v>0</v>
      </c>
      <c r="AM86" s="137"/>
      <c r="AN86" s="137"/>
      <c r="AO86" s="137"/>
      <c r="AP86" s="137"/>
      <c r="AQ86" s="137"/>
      <c r="AR86" s="137"/>
      <c r="AS86" s="137">
        <f>+AS15</f>
        <v>0</v>
      </c>
      <c r="AT86" s="137"/>
      <c r="AU86" s="137"/>
      <c r="AV86" s="137"/>
      <c r="AW86" s="137"/>
      <c r="AX86" s="137"/>
      <c r="AY86" s="137"/>
      <c r="AZ86" s="137">
        <f>+AZ15</f>
        <v>0</v>
      </c>
      <c r="BA86" s="137"/>
      <c r="BB86" s="137"/>
      <c r="BC86" s="137"/>
      <c r="BD86" s="137"/>
      <c r="BE86" s="137"/>
      <c r="BF86" s="137"/>
      <c r="BG86" s="137">
        <f>+BG15</f>
        <v>0</v>
      </c>
      <c r="BH86" s="137"/>
      <c r="BI86" s="137"/>
      <c r="BJ86" s="137"/>
      <c r="BK86" s="137"/>
      <c r="BL86" s="137"/>
      <c r="BM86" s="137"/>
      <c r="BN86" s="137">
        <f>+BN15</f>
        <v>0</v>
      </c>
      <c r="BO86" s="137"/>
      <c r="BP86" s="137"/>
      <c r="BQ86" s="137"/>
      <c r="BR86" s="137"/>
      <c r="BS86" s="137"/>
      <c r="BT86" s="137"/>
      <c r="BU86" s="137">
        <f>+BU15</f>
        <v>0</v>
      </c>
      <c r="BV86" s="137"/>
      <c r="BW86" s="137"/>
      <c r="BX86" s="137"/>
      <c r="BY86" s="137"/>
      <c r="BZ86" s="137"/>
      <c r="CA86" s="137"/>
      <c r="CB86" s="137">
        <f>+CB15</f>
        <v>0</v>
      </c>
      <c r="CC86" s="137"/>
      <c r="CD86" s="137"/>
      <c r="CE86" s="137"/>
      <c r="CF86" s="137"/>
      <c r="CG86" s="137"/>
      <c r="CH86" s="137"/>
      <c r="CI86" s="137">
        <f>+CI15</f>
        <v>0</v>
      </c>
      <c r="CJ86" s="137"/>
      <c r="CK86" s="137"/>
      <c r="CL86" s="137"/>
      <c r="CM86" s="137"/>
      <c r="CN86" s="137"/>
    </row>
    <row r="87" spans="2:95" x14ac:dyDescent="0.2">
      <c r="B87" s="105" t="s">
        <v>430</v>
      </c>
      <c r="D87" s="137"/>
      <c r="E87" s="137"/>
      <c r="F87" s="137"/>
      <c r="G87" s="137"/>
      <c r="H87" s="137"/>
      <c r="I87" s="137"/>
      <c r="J87" s="137">
        <f>-(J58-C58)</f>
        <v>0</v>
      </c>
      <c r="K87" s="137"/>
      <c r="L87" s="137"/>
      <c r="M87" s="137"/>
      <c r="N87" s="137"/>
      <c r="O87" s="137"/>
      <c r="P87" s="137"/>
      <c r="Q87" s="137">
        <f>-(Q58-J58)</f>
        <v>0</v>
      </c>
      <c r="R87" s="137"/>
      <c r="S87" s="137"/>
      <c r="T87" s="137"/>
      <c r="U87" s="137"/>
      <c r="V87" s="137"/>
      <c r="W87" s="137"/>
      <c r="X87" s="137">
        <f>-(X58-Q58)</f>
        <v>0</v>
      </c>
      <c r="Y87" s="137"/>
      <c r="Z87" s="137"/>
      <c r="AA87" s="137"/>
      <c r="AB87" s="137"/>
      <c r="AC87" s="137"/>
      <c r="AD87" s="137"/>
      <c r="AE87" s="137">
        <f>-(AE58-X58)</f>
        <v>0</v>
      </c>
      <c r="AF87" s="137"/>
      <c r="AG87" s="137"/>
      <c r="AH87" s="137"/>
      <c r="AI87" s="137"/>
      <c r="AJ87" s="137"/>
      <c r="AK87" s="137"/>
      <c r="AL87" s="137">
        <f>-(AL58-AE58)</f>
        <v>0</v>
      </c>
      <c r="AM87" s="137"/>
      <c r="AN87" s="137"/>
      <c r="AO87" s="137"/>
      <c r="AP87" s="137"/>
      <c r="AQ87" s="137"/>
      <c r="AR87" s="137"/>
      <c r="AS87" s="137">
        <f>-(AS58-AL58)</f>
        <v>0</v>
      </c>
      <c r="AT87" s="137"/>
      <c r="AU87" s="137"/>
      <c r="AV87" s="137"/>
      <c r="AW87" s="137"/>
      <c r="AX87" s="137"/>
      <c r="AY87" s="137"/>
      <c r="AZ87" s="137">
        <f>-(AZ58-AS58)</f>
        <v>0</v>
      </c>
      <c r="BA87" s="137"/>
      <c r="BB87" s="137"/>
      <c r="BC87" s="137"/>
      <c r="BD87" s="137"/>
      <c r="BE87" s="137"/>
      <c r="BF87" s="137"/>
      <c r="BG87" s="137">
        <f>-(BG58-AZ58)</f>
        <v>0</v>
      </c>
      <c r="BH87" s="137"/>
      <c r="BI87" s="137"/>
      <c r="BJ87" s="137"/>
      <c r="BK87" s="137"/>
      <c r="BL87" s="137"/>
      <c r="BM87" s="137"/>
      <c r="BN87" s="137">
        <f>-(BN58-BG58)</f>
        <v>0</v>
      </c>
      <c r="BO87" s="137"/>
      <c r="BP87" s="137"/>
      <c r="BQ87" s="137"/>
      <c r="BR87" s="137"/>
      <c r="BS87" s="137"/>
      <c r="BT87" s="137"/>
      <c r="BU87" s="137">
        <f>-(BU58-BN58)</f>
        <v>0</v>
      </c>
      <c r="BV87" s="137"/>
      <c r="BW87" s="137"/>
      <c r="BX87" s="137"/>
      <c r="BY87" s="137"/>
      <c r="BZ87" s="137"/>
      <c r="CA87" s="137"/>
      <c r="CB87" s="137">
        <f>-(CB58-BU58)</f>
        <v>0</v>
      </c>
      <c r="CC87" s="137"/>
      <c r="CD87" s="137"/>
      <c r="CE87" s="137"/>
      <c r="CF87" s="137"/>
      <c r="CG87" s="137"/>
      <c r="CH87" s="137"/>
      <c r="CI87" s="137">
        <f>-(CI58-CB58)</f>
        <v>0</v>
      </c>
      <c r="CJ87" s="137"/>
      <c r="CK87" s="137"/>
      <c r="CL87" s="137"/>
      <c r="CM87" s="137"/>
      <c r="CN87" s="137"/>
    </row>
    <row r="88" spans="2:95" x14ac:dyDescent="0.2">
      <c r="B88" s="105" t="s">
        <v>431</v>
      </c>
      <c r="D88" s="137"/>
      <c r="E88" s="137"/>
      <c r="F88" s="137"/>
      <c r="G88" s="137"/>
      <c r="H88" s="137"/>
      <c r="I88" s="137"/>
      <c r="J88" s="137">
        <f>-(J59-C59)</f>
        <v>0</v>
      </c>
      <c r="K88" s="137"/>
      <c r="L88" s="137"/>
      <c r="M88" s="137"/>
      <c r="N88" s="137"/>
      <c r="O88" s="137"/>
      <c r="P88" s="137"/>
      <c r="Q88" s="137">
        <f>-(Q59-J59)</f>
        <v>0</v>
      </c>
      <c r="R88" s="137"/>
      <c r="S88" s="137"/>
      <c r="T88" s="137"/>
      <c r="U88" s="137"/>
      <c r="V88" s="137"/>
      <c r="W88" s="137"/>
      <c r="X88" s="137">
        <f>-(X59-Q59)</f>
        <v>0</v>
      </c>
      <c r="Y88" s="137"/>
      <c r="Z88" s="137"/>
      <c r="AA88" s="137"/>
      <c r="AB88" s="137"/>
      <c r="AC88" s="137"/>
      <c r="AD88" s="137"/>
      <c r="AE88" s="137">
        <f>-(AE59-X59)</f>
        <v>0</v>
      </c>
      <c r="AF88" s="137"/>
      <c r="AG88" s="137"/>
      <c r="AH88" s="137"/>
      <c r="AI88" s="137"/>
      <c r="AJ88" s="137"/>
      <c r="AK88" s="137"/>
      <c r="AL88" s="137">
        <f>-(AL59-AE59)</f>
        <v>0</v>
      </c>
      <c r="AM88" s="137"/>
      <c r="AN88" s="137"/>
      <c r="AO88" s="137"/>
      <c r="AP88" s="137"/>
      <c r="AQ88" s="137"/>
      <c r="AR88" s="137"/>
      <c r="AS88" s="137">
        <f>-(AS59-AL59)</f>
        <v>0</v>
      </c>
      <c r="AT88" s="137"/>
      <c r="AU88" s="137"/>
      <c r="AV88" s="137"/>
      <c r="AW88" s="137"/>
      <c r="AX88" s="137"/>
      <c r="AY88" s="137"/>
      <c r="AZ88" s="137">
        <f>-(AZ59-AS59)</f>
        <v>0</v>
      </c>
      <c r="BA88" s="137"/>
      <c r="BB88" s="137"/>
      <c r="BC88" s="137"/>
      <c r="BD88" s="137"/>
      <c r="BE88" s="137"/>
      <c r="BF88" s="137"/>
      <c r="BG88" s="137">
        <f>-(BG59-AZ59)</f>
        <v>0</v>
      </c>
      <c r="BH88" s="137"/>
      <c r="BI88" s="137"/>
      <c r="BJ88" s="137"/>
      <c r="BK88" s="137"/>
      <c r="BL88" s="137"/>
      <c r="BM88" s="137"/>
      <c r="BN88" s="137">
        <f>-(BN59-BG59)</f>
        <v>0</v>
      </c>
      <c r="BO88" s="137"/>
      <c r="BP88" s="137"/>
      <c r="BQ88" s="137"/>
      <c r="BR88" s="137"/>
      <c r="BS88" s="137"/>
      <c r="BT88" s="137"/>
      <c r="BU88" s="137">
        <f>-(BU59-BN59)</f>
        <v>0</v>
      </c>
      <c r="BV88" s="137"/>
      <c r="BW88" s="137"/>
      <c r="BX88" s="137"/>
      <c r="BY88" s="137"/>
      <c r="BZ88" s="137"/>
      <c r="CA88" s="137"/>
      <c r="CB88" s="137">
        <f>-(CB59-BU59)</f>
        <v>0</v>
      </c>
      <c r="CC88" s="137"/>
      <c r="CD88" s="137"/>
      <c r="CE88" s="137"/>
      <c r="CF88" s="137"/>
      <c r="CG88" s="137"/>
      <c r="CH88" s="137"/>
      <c r="CI88" s="137">
        <f>-(CI59-CB59)</f>
        <v>0</v>
      </c>
      <c r="CJ88" s="137"/>
      <c r="CK88" s="137"/>
      <c r="CL88" s="137"/>
      <c r="CM88" s="137"/>
      <c r="CN88" s="137"/>
    </row>
    <row r="89" spans="2:95" x14ac:dyDescent="0.2">
      <c r="B89" s="105" t="s">
        <v>432</v>
      </c>
      <c r="D89" s="137"/>
      <c r="E89" s="137"/>
      <c r="F89" s="137"/>
      <c r="G89" s="137"/>
      <c r="H89" s="137"/>
      <c r="I89" s="137"/>
      <c r="J89" s="137">
        <f>-(J60-C60)</f>
        <v>0</v>
      </c>
      <c r="K89" s="137"/>
      <c r="L89" s="137"/>
      <c r="M89" s="137"/>
      <c r="N89" s="137"/>
      <c r="O89" s="137"/>
      <c r="P89" s="137"/>
      <c r="Q89" s="137">
        <f>-(Q60-J60)</f>
        <v>0</v>
      </c>
      <c r="R89" s="137"/>
      <c r="S89" s="137"/>
      <c r="T89" s="137"/>
      <c r="U89" s="137"/>
      <c r="V89" s="137"/>
      <c r="W89" s="137"/>
      <c r="X89" s="137">
        <f>-(X60-Q60)</f>
        <v>0</v>
      </c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  <c r="AT89" s="137"/>
      <c r="AU89" s="137"/>
      <c r="AV89" s="137"/>
      <c r="AW89" s="137"/>
      <c r="AX89" s="137"/>
      <c r="AY89" s="137"/>
      <c r="AZ89" s="137">
        <f>-(AZ60-AS60)</f>
        <v>0</v>
      </c>
      <c r="BA89" s="137"/>
      <c r="BB89" s="137"/>
      <c r="BC89" s="137"/>
      <c r="BD89" s="137"/>
      <c r="BE89" s="137"/>
      <c r="BF89" s="137"/>
      <c r="BG89" s="137">
        <f>-(BG60-AZ60)</f>
        <v>0</v>
      </c>
      <c r="BH89" s="137"/>
      <c r="BI89" s="137"/>
      <c r="BJ89" s="137"/>
      <c r="BK89" s="137"/>
      <c r="BL89" s="137"/>
      <c r="BM89" s="137"/>
      <c r="BN89" s="137">
        <f>-(BN60-BG60)</f>
        <v>0</v>
      </c>
      <c r="BO89" s="137"/>
      <c r="BP89" s="137"/>
      <c r="BQ89" s="137"/>
      <c r="BR89" s="137"/>
      <c r="BS89" s="137"/>
      <c r="BT89" s="137"/>
      <c r="BU89" s="137">
        <f>-(BU60-BN60)</f>
        <v>0</v>
      </c>
      <c r="BV89" s="137"/>
      <c r="BW89" s="137"/>
      <c r="BX89" s="137"/>
      <c r="BY89" s="137"/>
      <c r="BZ89" s="137"/>
      <c r="CA89" s="137"/>
      <c r="CB89" s="137">
        <f>-(CB60-BU60)</f>
        <v>0</v>
      </c>
      <c r="CC89" s="137"/>
      <c r="CD89" s="137"/>
      <c r="CE89" s="137"/>
      <c r="CF89" s="137"/>
      <c r="CG89" s="137"/>
      <c r="CH89" s="137"/>
      <c r="CI89" s="137">
        <f>-(CI60-CB60)</f>
        <v>0</v>
      </c>
      <c r="CJ89" s="137"/>
      <c r="CK89" s="137"/>
      <c r="CL89" s="137"/>
      <c r="CM89" s="137"/>
      <c r="CN89" s="137"/>
    </row>
    <row r="90" spans="2:95" x14ac:dyDescent="0.2">
      <c r="B90" s="105" t="s">
        <v>433</v>
      </c>
      <c r="D90" s="137"/>
      <c r="E90" s="137"/>
      <c r="F90" s="137"/>
      <c r="G90" s="137"/>
      <c r="H90" s="137"/>
      <c r="I90" s="137"/>
      <c r="J90" s="137">
        <f>(J66-C66)</f>
        <v>0</v>
      </c>
      <c r="K90" s="137"/>
      <c r="L90" s="137"/>
      <c r="M90" s="137"/>
      <c r="N90" s="137"/>
      <c r="O90" s="137"/>
      <c r="P90" s="137"/>
      <c r="Q90" s="137">
        <f>(Q66-J66)</f>
        <v>0</v>
      </c>
      <c r="R90" s="137"/>
      <c r="S90" s="137"/>
      <c r="T90" s="137"/>
      <c r="U90" s="137"/>
      <c r="V90" s="137"/>
      <c r="W90" s="137"/>
      <c r="X90" s="137">
        <f>(X66-Q66)</f>
        <v>0</v>
      </c>
      <c r="Y90" s="137"/>
      <c r="Z90" s="137"/>
      <c r="AA90" s="137"/>
      <c r="AB90" s="137"/>
      <c r="AC90" s="137"/>
      <c r="AD90" s="137"/>
      <c r="AE90" s="137">
        <f>(AE66-X66)</f>
        <v>0</v>
      </c>
      <c r="AF90" s="137"/>
      <c r="AG90" s="137"/>
      <c r="AH90" s="137"/>
      <c r="AI90" s="137"/>
      <c r="AJ90" s="137"/>
      <c r="AK90" s="137"/>
      <c r="AL90" s="137">
        <f>(AL66-AE66)</f>
        <v>0</v>
      </c>
      <c r="AM90" s="137"/>
      <c r="AN90" s="137"/>
      <c r="AO90" s="137"/>
      <c r="AP90" s="137"/>
      <c r="AQ90" s="137"/>
      <c r="AR90" s="137"/>
      <c r="AS90" s="137">
        <f>(AS66-AL66)</f>
        <v>0</v>
      </c>
      <c r="AT90" s="137"/>
      <c r="AU90" s="137"/>
      <c r="AV90" s="137"/>
      <c r="AW90" s="137"/>
      <c r="AX90" s="137"/>
      <c r="AY90" s="137"/>
      <c r="AZ90" s="137">
        <f>(AZ66-AS66)</f>
        <v>0</v>
      </c>
      <c r="BA90" s="137"/>
      <c r="BB90" s="137"/>
      <c r="BC90" s="137"/>
      <c r="BD90" s="137"/>
      <c r="BE90" s="137"/>
      <c r="BF90" s="137"/>
      <c r="BG90" s="137">
        <f>(BG66-AZ66)</f>
        <v>0</v>
      </c>
      <c r="BH90" s="137"/>
      <c r="BI90" s="137"/>
      <c r="BJ90" s="137"/>
      <c r="BK90" s="137"/>
      <c r="BL90" s="137"/>
      <c r="BM90" s="137"/>
      <c r="BN90" s="137">
        <f>(BN66-BG66)</f>
        <v>0</v>
      </c>
      <c r="BO90" s="137"/>
      <c r="BP90" s="137"/>
      <c r="BQ90" s="137"/>
      <c r="BR90" s="137"/>
      <c r="BS90" s="137"/>
      <c r="BT90" s="137"/>
      <c r="BU90" s="137">
        <f>(BU66-BN66)</f>
        <v>0</v>
      </c>
      <c r="BV90" s="137"/>
      <c r="BW90" s="137"/>
      <c r="BX90" s="137"/>
      <c r="BY90" s="137"/>
      <c r="BZ90" s="137"/>
      <c r="CA90" s="137"/>
      <c r="CB90" s="137">
        <f>(CB66-BU66)</f>
        <v>0</v>
      </c>
      <c r="CC90" s="137"/>
      <c r="CD90" s="137"/>
      <c r="CE90" s="137"/>
      <c r="CF90" s="137"/>
      <c r="CG90" s="137"/>
      <c r="CH90" s="137"/>
      <c r="CI90" s="137">
        <f>(CI66-CB66)</f>
        <v>0</v>
      </c>
      <c r="CJ90" s="137"/>
      <c r="CK90" s="137"/>
      <c r="CL90" s="137"/>
      <c r="CM90" s="137"/>
      <c r="CN90" s="137"/>
    </row>
    <row r="91" spans="2:95" x14ac:dyDescent="0.2">
      <c r="B91" s="105" t="s">
        <v>434</v>
      </c>
      <c r="D91" s="137"/>
      <c r="E91" s="137"/>
      <c r="F91" s="137"/>
      <c r="G91" s="137"/>
      <c r="H91" s="137"/>
      <c r="I91" s="137"/>
      <c r="J91" s="137">
        <f>(J65-C65)</f>
        <v>0</v>
      </c>
      <c r="K91" s="137"/>
      <c r="L91" s="137"/>
      <c r="M91" s="137"/>
      <c r="N91" s="137"/>
      <c r="O91" s="137"/>
      <c r="P91" s="137"/>
      <c r="Q91" s="137">
        <f>(Q65-J65)</f>
        <v>0</v>
      </c>
      <c r="R91" s="137"/>
      <c r="S91" s="137"/>
      <c r="T91" s="137"/>
      <c r="U91" s="137"/>
      <c r="V91" s="137"/>
      <c r="W91" s="137"/>
      <c r="X91" s="137">
        <f>(X65-Q65)</f>
        <v>0</v>
      </c>
      <c r="Y91" s="137"/>
      <c r="Z91" s="137"/>
      <c r="AA91" s="137"/>
      <c r="AB91" s="137"/>
      <c r="AC91" s="137"/>
      <c r="AD91" s="137"/>
      <c r="AE91" s="137">
        <f>(AE65-X65)</f>
        <v>0</v>
      </c>
      <c r="AF91" s="137"/>
      <c r="AG91" s="137"/>
      <c r="AH91" s="137"/>
      <c r="AI91" s="137"/>
      <c r="AJ91" s="137"/>
      <c r="AK91" s="137"/>
      <c r="AL91" s="137">
        <f>(AL65-AE65)</f>
        <v>0</v>
      </c>
      <c r="AM91" s="137"/>
      <c r="AN91" s="137"/>
      <c r="AO91" s="137"/>
      <c r="AP91" s="137"/>
      <c r="AQ91" s="137"/>
      <c r="AR91" s="137"/>
      <c r="AS91" s="137">
        <f>(AS65-AL65)</f>
        <v>0</v>
      </c>
      <c r="AT91" s="137"/>
      <c r="AU91" s="137"/>
      <c r="AV91" s="137"/>
      <c r="AW91" s="137"/>
      <c r="AX91" s="137"/>
      <c r="AY91" s="137"/>
      <c r="AZ91" s="137">
        <f>(AZ65-AS65)</f>
        <v>0</v>
      </c>
      <c r="BA91" s="137"/>
      <c r="BB91" s="137"/>
      <c r="BC91" s="137"/>
      <c r="BD91" s="137"/>
      <c r="BE91" s="137"/>
      <c r="BF91" s="137"/>
      <c r="BG91" s="137">
        <f>(BG65-AZ65)</f>
        <v>0</v>
      </c>
      <c r="BH91" s="137"/>
      <c r="BI91" s="137"/>
      <c r="BJ91" s="137"/>
      <c r="BK91" s="137"/>
      <c r="BL91" s="137"/>
      <c r="BM91" s="137"/>
      <c r="BN91" s="137">
        <f>(BN65-BG65)</f>
        <v>0</v>
      </c>
      <c r="BO91" s="137"/>
      <c r="BP91" s="137"/>
      <c r="BQ91" s="137"/>
      <c r="BR91" s="137"/>
      <c r="BS91" s="137"/>
      <c r="BT91" s="137"/>
      <c r="BU91" s="137">
        <f>(BU65-BN65)</f>
        <v>0</v>
      </c>
      <c r="BV91" s="137"/>
      <c r="BW91" s="137"/>
      <c r="BX91" s="137"/>
      <c r="BY91" s="137"/>
      <c r="BZ91" s="137"/>
      <c r="CA91" s="137"/>
      <c r="CB91" s="137">
        <f>(CB65-BU65)</f>
        <v>0</v>
      </c>
      <c r="CC91" s="137"/>
      <c r="CD91" s="137"/>
      <c r="CE91" s="137"/>
      <c r="CF91" s="137"/>
      <c r="CG91" s="137"/>
      <c r="CH91" s="137"/>
      <c r="CI91" s="137">
        <f>(CI65-CB65)</f>
        <v>0</v>
      </c>
      <c r="CJ91" s="137"/>
      <c r="CK91" s="137"/>
      <c r="CL91" s="137"/>
      <c r="CM91" s="137"/>
      <c r="CN91" s="137"/>
    </row>
    <row r="92" spans="2:95" x14ac:dyDescent="0.2">
      <c r="B92" s="105" t="s">
        <v>435</v>
      </c>
      <c r="D92" s="137"/>
      <c r="E92" s="137"/>
      <c r="F92" s="137"/>
      <c r="G92" s="137"/>
      <c r="H92" s="137"/>
      <c r="I92" s="137"/>
      <c r="J92" s="137">
        <f>(J67-C67)</f>
        <v>0</v>
      </c>
      <c r="K92" s="137"/>
      <c r="L92" s="137"/>
      <c r="M92" s="137"/>
      <c r="N92" s="137"/>
      <c r="O92" s="137"/>
      <c r="P92" s="137"/>
      <c r="Q92" s="137">
        <f>(Q67-J67)</f>
        <v>0</v>
      </c>
      <c r="R92" s="137"/>
      <c r="S92" s="137"/>
      <c r="T92" s="137"/>
      <c r="U92" s="137"/>
      <c r="V92" s="137"/>
      <c r="W92" s="137"/>
      <c r="X92" s="137">
        <f>(X67-Q67)</f>
        <v>0</v>
      </c>
      <c r="Y92" s="137"/>
      <c r="Z92" s="137"/>
      <c r="AA92" s="137"/>
      <c r="AB92" s="137"/>
      <c r="AC92" s="137"/>
      <c r="AD92" s="137"/>
      <c r="AE92" s="137">
        <f>(AE67-X67)</f>
        <v>0</v>
      </c>
      <c r="AF92" s="137"/>
      <c r="AG92" s="137"/>
      <c r="AH92" s="137"/>
      <c r="AI92" s="137"/>
      <c r="AJ92" s="137"/>
      <c r="AK92" s="137"/>
      <c r="AL92" s="137">
        <f>(AL67-AE67)</f>
        <v>0</v>
      </c>
      <c r="AM92" s="137"/>
      <c r="AN92" s="137"/>
      <c r="AO92" s="137"/>
      <c r="AP92" s="137"/>
      <c r="AQ92" s="137"/>
      <c r="AR92" s="137"/>
      <c r="AS92" s="137">
        <f>(AS67-AL67)</f>
        <v>0</v>
      </c>
      <c r="AT92" s="137"/>
      <c r="AU92" s="137"/>
      <c r="AV92" s="137"/>
      <c r="AW92" s="137"/>
      <c r="AX92" s="137"/>
      <c r="AY92" s="137"/>
      <c r="AZ92" s="137">
        <f>(AZ67-AS67)</f>
        <v>0</v>
      </c>
      <c r="BA92" s="137"/>
      <c r="BB92" s="137"/>
      <c r="BC92" s="137"/>
      <c r="BD92" s="137"/>
      <c r="BE92" s="137"/>
      <c r="BF92" s="137"/>
      <c r="BG92" s="137">
        <f>(BG67-AZ67)</f>
        <v>0</v>
      </c>
      <c r="BH92" s="137"/>
      <c r="BI92" s="137"/>
      <c r="BJ92" s="137"/>
      <c r="BK92" s="137"/>
      <c r="BL92" s="137"/>
      <c r="BM92" s="137"/>
      <c r="BN92" s="137">
        <f>(BN67-BG67)</f>
        <v>0</v>
      </c>
      <c r="BO92" s="137"/>
      <c r="BP92" s="137"/>
      <c r="BQ92" s="137"/>
      <c r="BR92" s="137"/>
      <c r="BS92" s="137"/>
      <c r="BT92" s="137"/>
      <c r="BU92" s="137">
        <f>(BU67-BN67)</f>
        <v>0</v>
      </c>
      <c r="BV92" s="137"/>
      <c r="BW92" s="137"/>
      <c r="BX92" s="137"/>
      <c r="BY92" s="137"/>
      <c r="BZ92" s="137"/>
      <c r="CA92" s="137"/>
      <c r="CB92" s="137">
        <f>(CB67-BU67)</f>
        <v>0</v>
      </c>
      <c r="CC92" s="137"/>
      <c r="CD92" s="137"/>
      <c r="CE92" s="137"/>
      <c r="CF92" s="137"/>
      <c r="CG92" s="137"/>
      <c r="CH92" s="137"/>
      <c r="CI92" s="137">
        <f>(CI67-CB67)</f>
        <v>0</v>
      </c>
      <c r="CJ92" s="137"/>
      <c r="CK92" s="137"/>
      <c r="CL92" s="137"/>
      <c r="CM92" s="137"/>
      <c r="CN92" s="137"/>
    </row>
    <row r="93" spans="2:95" x14ac:dyDescent="0.2">
      <c r="B93" s="105" t="s">
        <v>436</v>
      </c>
      <c r="D93" s="137"/>
      <c r="E93" s="137"/>
      <c r="F93" s="137"/>
      <c r="G93" s="137"/>
      <c r="H93" s="137"/>
      <c r="I93" s="137"/>
      <c r="J93" s="137">
        <f>(J69-C69)</f>
        <v>0</v>
      </c>
      <c r="K93" s="137"/>
      <c r="L93" s="137"/>
      <c r="M93" s="137"/>
      <c r="N93" s="137"/>
      <c r="O93" s="137"/>
      <c r="P93" s="137"/>
      <c r="Q93" s="137">
        <f>(Q69-J69)</f>
        <v>0</v>
      </c>
      <c r="R93" s="137"/>
      <c r="S93" s="137"/>
      <c r="T93" s="137"/>
      <c r="U93" s="137"/>
      <c r="V93" s="137"/>
      <c r="W93" s="137"/>
      <c r="X93" s="137">
        <f>(X69-Q69)</f>
        <v>0</v>
      </c>
      <c r="Y93" s="137"/>
      <c r="Z93" s="137"/>
      <c r="AA93" s="137"/>
      <c r="AB93" s="137"/>
      <c r="AC93" s="137"/>
      <c r="AD93" s="137"/>
      <c r="AE93" s="137">
        <f>(AE69-X69)</f>
        <v>0</v>
      </c>
      <c r="AF93" s="137"/>
      <c r="AG93" s="137"/>
      <c r="AH93" s="137"/>
      <c r="AI93" s="137"/>
      <c r="AJ93" s="137"/>
      <c r="AK93" s="137"/>
      <c r="AL93" s="137">
        <f>(AL69-AE69)</f>
        <v>0</v>
      </c>
      <c r="AM93" s="137"/>
      <c r="AN93" s="137"/>
      <c r="AO93" s="137"/>
      <c r="AP93" s="137"/>
      <c r="AQ93" s="137"/>
      <c r="AR93" s="137"/>
      <c r="AS93" s="137">
        <f>(AS69-AL69)</f>
        <v>0</v>
      </c>
      <c r="AT93" s="137"/>
      <c r="AU93" s="137"/>
      <c r="AV93" s="137"/>
      <c r="AW93" s="137"/>
      <c r="AX93" s="137"/>
      <c r="AY93" s="137"/>
      <c r="AZ93" s="137">
        <f>(AZ69-AS69)</f>
        <v>0</v>
      </c>
      <c r="BA93" s="137"/>
      <c r="BB93" s="137"/>
      <c r="BC93" s="137"/>
      <c r="BD93" s="137"/>
      <c r="BE93" s="137"/>
      <c r="BF93" s="137"/>
      <c r="BG93" s="137">
        <f>(BG69-AZ69)</f>
        <v>0</v>
      </c>
      <c r="BH93" s="137"/>
      <c r="BI93" s="137"/>
      <c r="BJ93" s="137"/>
      <c r="BK93" s="137"/>
      <c r="BL93" s="137"/>
      <c r="BM93" s="137"/>
      <c r="BN93" s="137">
        <f>(BN69-BG69)</f>
        <v>0</v>
      </c>
      <c r="BO93" s="137"/>
      <c r="BP93" s="137"/>
      <c r="BQ93" s="137"/>
      <c r="BR93" s="137"/>
      <c r="BS93" s="137"/>
      <c r="BT93" s="137"/>
      <c r="BU93" s="137">
        <f>(BU69-BN69)</f>
        <v>0</v>
      </c>
      <c r="BV93" s="137"/>
      <c r="BW93" s="137"/>
      <c r="BX93" s="137"/>
      <c r="BY93" s="137"/>
      <c r="BZ93" s="137"/>
      <c r="CA93" s="137"/>
      <c r="CB93" s="137">
        <f>(CB69-BU69)</f>
        <v>0</v>
      </c>
      <c r="CC93" s="137"/>
      <c r="CD93" s="137"/>
      <c r="CE93" s="137"/>
      <c r="CF93" s="137"/>
      <c r="CG93" s="137"/>
      <c r="CH93" s="137"/>
      <c r="CI93" s="137">
        <f>(CI69-CB69)</f>
        <v>0</v>
      </c>
      <c r="CJ93" s="137"/>
      <c r="CK93" s="137"/>
      <c r="CL93" s="137"/>
      <c r="CM93" s="137"/>
      <c r="CN93" s="137"/>
    </row>
    <row r="94" spans="2:95" ht="16" x14ac:dyDescent="0.2">
      <c r="B94" s="141" t="s">
        <v>354</v>
      </c>
      <c r="C94" s="207"/>
      <c r="D94" s="162"/>
      <c r="E94" s="162"/>
      <c r="F94" s="162"/>
      <c r="G94" s="162"/>
      <c r="H94" s="162"/>
      <c r="I94" s="162"/>
      <c r="J94" s="162">
        <f>SUM(J85:J93)</f>
        <v>-17890708.099999998</v>
      </c>
      <c r="K94" s="162"/>
      <c r="L94" s="162"/>
      <c r="M94" s="162"/>
      <c r="N94" s="162"/>
      <c r="O94" s="162"/>
      <c r="P94" s="162"/>
      <c r="Q94" s="162">
        <f>SUM(Q85:Q93)</f>
        <v>-10186846.380000001</v>
      </c>
      <c r="R94" s="162"/>
      <c r="S94" s="162"/>
      <c r="T94" s="162"/>
      <c r="U94" s="162"/>
      <c r="V94" s="162"/>
      <c r="W94" s="162"/>
      <c r="X94" s="162">
        <f>SUM(X85:X93)</f>
        <v>2075558.3500000006</v>
      </c>
      <c r="Y94" s="162"/>
      <c r="Z94" s="162"/>
      <c r="AA94" s="162"/>
      <c r="AB94" s="162"/>
      <c r="AC94" s="162"/>
      <c r="AD94" s="162"/>
      <c r="AE94" s="162">
        <f>SUM(AE85:AE93)</f>
        <v>2289520.9800000018</v>
      </c>
      <c r="AF94" s="162"/>
      <c r="AG94" s="162"/>
      <c r="AH94" s="162"/>
      <c r="AI94" s="162"/>
      <c r="AJ94" s="162"/>
      <c r="AK94" s="162"/>
      <c r="AL94" s="162">
        <f>SUM(AL85:AL93)</f>
        <v>5385269.5099999998</v>
      </c>
      <c r="AM94" s="162"/>
      <c r="AN94" s="162"/>
      <c r="AO94" s="162"/>
      <c r="AP94" s="162"/>
      <c r="AQ94" s="162"/>
      <c r="AR94" s="162"/>
      <c r="AS94" s="162">
        <f>SUM(AS85:AS93)</f>
        <v>189934.07999999961</v>
      </c>
      <c r="AT94" s="162"/>
      <c r="AU94" s="162"/>
      <c r="AV94" s="162"/>
      <c r="AW94" s="162"/>
      <c r="AX94" s="162"/>
      <c r="AY94" s="162"/>
      <c r="AZ94" s="162">
        <f>SUM(AZ85:AZ93)</f>
        <v>16075474.65</v>
      </c>
      <c r="BA94" s="162"/>
      <c r="BB94" s="162"/>
      <c r="BC94" s="162"/>
      <c r="BD94" s="162"/>
      <c r="BE94" s="162"/>
      <c r="BF94" s="162"/>
      <c r="BG94" s="162">
        <f>SUM(BG85:BG93)</f>
        <v>8807037.3100000005</v>
      </c>
      <c r="BH94" s="162"/>
      <c r="BI94" s="162"/>
      <c r="BJ94" s="162"/>
      <c r="BK94" s="162"/>
      <c r="BL94" s="162"/>
      <c r="BM94" s="162"/>
      <c r="BN94" s="162">
        <f>SUM(BN85:BN93)</f>
        <v>-6984171.3900000006</v>
      </c>
      <c r="BO94" s="162"/>
      <c r="BP94" s="162"/>
      <c r="BQ94" s="162"/>
      <c r="BR94" s="162"/>
      <c r="BS94" s="162"/>
      <c r="BT94" s="162"/>
      <c r="BU94" s="162">
        <f>SUM(BU85:BU93)</f>
        <v>2539586.5100000002</v>
      </c>
      <c r="BV94" s="162"/>
      <c r="BW94" s="162"/>
      <c r="BX94" s="162"/>
      <c r="BY94" s="162"/>
      <c r="BZ94" s="162"/>
      <c r="CA94" s="162"/>
      <c r="CB94" s="162">
        <f>SUM(CB85:CB93)</f>
        <v>5355327.8599999994</v>
      </c>
      <c r="CC94" s="162"/>
      <c r="CD94" s="162"/>
      <c r="CE94" s="162"/>
      <c r="CF94" s="162"/>
      <c r="CG94" s="162"/>
      <c r="CH94" s="162"/>
      <c r="CI94" s="162">
        <f>SUM(CI85:CI93)</f>
        <v>4374831.5500000007</v>
      </c>
      <c r="CJ94" s="163"/>
      <c r="CK94" s="163"/>
      <c r="CL94" s="163"/>
      <c r="CM94" s="163"/>
      <c r="CN94" s="163"/>
    </row>
    <row r="95" spans="2:95" x14ac:dyDescent="0.2">
      <c r="B95" s="105" t="s">
        <v>437</v>
      </c>
      <c r="D95" s="137"/>
      <c r="E95" s="137"/>
      <c r="F95" s="137"/>
      <c r="G95" s="137"/>
      <c r="H95" s="137"/>
      <c r="I95" s="137"/>
      <c r="J95" s="137">
        <f>-(J62-'EEFF 2024'!CI62+J15)</f>
        <v>0</v>
      </c>
      <c r="K95" s="137"/>
      <c r="L95" s="137"/>
      <c r="M95" s="137"/>
      <c r="N95" s="137"/>
      <c r="O95" s="137"/>
      <c r="P95" s="137"/>
      <c r="Q95" s="137">
        <f>-(Q62-J62+Q15)</f>
        <v>0</v>
      </c>
      <c r="R95" s="137"/>
      <c r="S95" s="137"/>
      <c r="T95" s="137"/>
      <c r="U95" s="137"/>
      <c r="V95" s="137"/>
      <c r="W95" s="137"/>
      <c r="X95" s="137">
        <f>-(X62-Q62+X15)</f>
        <v>0</v>
      </c>
      <c r="Y95" s="137"/>
      <c r="Z95" s="137"/>
      <c r="AA95" s="137"/>
      <c r="AB95" s="137"/>
      <c r="AC95" s="137"/>
      <c r="AD95" s="137"/>
      <c r="AE95" s="137">
        <f>-(AE62-X62+AE15)</f>
        <v>0</v>
      </c>
      <c r="AF95" s="137"/>
      <c r="AG95" s="137"/>
      <c r="AH95" s="137"/>
      <c r="AI95" s="137"/>
      <c r="AJ95" s="137"/>
      <c r="AK95" s="137"/>
      <c r="AL95" s="137">
        <f>-(AL62-AE62+AL15)</f>
        <v>0</v>
      </c>
      <c r="AM95" s="137"/>
      <c r="AN95" s="137"/>
      <c r="AO95" s="137"/>
      <c r="AP95" s="137"/>
      <c r="AQ95" s="137"/>
      <c r="AR95" s="137"/>
      <c r="AS95" s="137">
        <f>-(AS62-AL62+AS15)</f>
        <v>0</v>
      </c>
      <c r="AT95" s="137"/>
      <c r="AU95" s="137"/>
      <c r="AV95" s="137"/>
      <c r="AW95" s="137"/>
      <c r="AX95" s="137"/>
      <c r="AY95" s="137"/>
      <c r="AZ95" s="137">
        <f>-(AZ62-AS62+AZ15)</f>
        <v>0</v>
      </c>
      <c r="BA95" s="137"/>
      <c r="BB95" s="137"/>
      <c r="BC95" s="137"/>
      <c r="BD95" s="137"/>
      <c r="BE95" s="137"/>
      <c r="BF95" s="137"/>
      <c r="BG95" s="137">
        <f>-(BG62-AZ62+BG15)</f>
        <v>0</v>
      </c>
      <c r="BH95" s="137"/>
      <c r="BI95" s="137"/>
      <c r="BJ95" s="137"/>
      <c r="BK95" s="137"/>
      <c r="BL95" s="137"/>
      <c r="BM95" s="137"/>
      <c r="BN95" s="137">
        <f>-(BN62-BG62+BN15)</f>
        <v>0</v>
      </c>
      <c r="BO95" s="137"/>
      <c r="BP95" s="137"/>
      <c r="BQ95" s="137"/>
      <c r="BR95" s="137"/>
      <c r="BS95" s="137"/>
      <c r="BT95" s="137"/>
      <c r="BU95" s="137">
        <f>-(BU62-BN62+BU15)</f>
        <v>0</v>
      </c>
      <c r="BV95" s="137"/>
      <c r="BW95" s="137"/>
      <c r="BX95" s="137"/>
      <c r="BY95" s="137"/>
      <c r="BZ95" s="137"/>
      <c r="CA95" s="137"/>
      <c r="CB95" s="137">
        <f>-(CB62-BU62+CB15)</f>
        <v>0</v>
      </c>
      <c r="CC95" s="137"/>
      <c r="CD95" s="137"/>
      <c r="CE95" s="137"/>
      <c r="CF95" s="137"/>
      <c r="CG95" s="137"/>
      <c r="CH95" s="137"/>
      <c r="CI95" s="137">
        <f>-(CI62-CB62+CI15)</f>
        <v>0</v>
      </c>
      <c r="CJ95" s="137"/>
      <c r="CK95" s="137"/>
      <c r="CL95" s="137"/>
      <c r="CM95" s="137"/>
      <c r="CN95" s="137"/>
    </row>
    <row r="96" spans="2:95" ht="16" x14ac:dyDescent="0.2">
      <c r="B96" s="141" t="s">
        <v>355</v>
      </c>
      <c r="C96" s="207"/>
      <c r="D96" s="162"/>
      <c r="E96" s="162"/>
      <c r="F96" s="162"/>
      <c r="G96" s="162"/>
      <c r="H96" s="162"/>
      <c r="I96" s="162"/>
      <c r="J96" s="162">
        <f>SUM(J95)</f>
        <v>0</v>
      </c>
      <c r="K96" s="162"/>
      <c r="L96" s="162"/>
      <c r="M96" s="162"/>
      <c r="N96" s="162"/>
      <c r="O96" s="162"/>
      <c r="P96" s="162"/>
      <c r="Q96" s="162">
        <f>SUM(Q95)</f>
        <v>0</v>
      </c>
      <c r="R96" s="162"/>
      <c r="S96" s="162"/>
      <c r="T96" s="162"/>
      <c r="U96" s="162"/>
      <c r="V96" s="162"/>
      <c r="W96" s="162"/>
      <c r="X96" s="162">
        <f>SUM(X95)</f>
        <v>0</v>
      </c>
      <c r="Y96" s="162"/>
      <c r="Z96" s="162"/>
      <c r="AA96" s="162"/>
      <c r="AB96" s="162"/>
      <c r="AC96" s="162"/>
      <c r="AD96" s="162"/>
      <c r="AE96" s="162">
        <f>SUM(AE95)</f>
        <v>0</v>
      </c>
      <c r="AF96" s="162"/>
      <c r="AG96" s="162"/>
      <c r="AH96" s="162"/>
      <c r="AI96" s="162"/>
      <c r="AJ96" s="162"/>
      <c r="AK96" s="162"/>
      <c r="AL96" s="162">
        <f>SUM(AL95)</f>
        <v>0</v>
      </c>
      <c r="AM96" s="162"/>
      <c r="AN96" s="162"/>
      <c r="AO96" s="162"/>
      <c r="AP96" s="162"/>
      <c r="AQ96" s="162"/>
      <c r="AR96" s="162"/>
      <c r="AS96" s="162">
        <f>SUM(AS95)</f>
        <v>0</v>
      </c>
      <c r="AT96" s="162"/>
      <c r="AU96" s="162"/>
      <c r="AV96" s="162"/>
      <c r="AW96" s="162"/>
      <c r="AX96" s="162"/>
      <c r="AY96" s="162"/>
      <c r="AZ96" s="162">
        <f>SUM(AZ95)</f>
        <v>0</v>
      </c>
      <c r="BA96" s="162"/>
      <c r="BB96" s="162"/>
      <c r="BC96" s="162"/>
      <c r="BD96" s="162"/>
      <c r="BE96" s="162"/>
      <c r="BF96" s="162"/>
      <c r="BG96" s="162">
        <f>SUM(BG95)</f>
        <v>0</v>
      </c>
      <c r="BH96" s="162"/>
      <c r="BI96" s="162"/>
      <c r="BJ96" s="162"/>
      <c r="BK96" s="162"/>
      <c r="BL96" s="162"/>
      <c r="BM96" s="162"/>
      <c r="BN96" s="162">
        <f>SUM(BN95)</f>
        <v>0</v>
      </c>
      <c r="BO96" s="162"/>
      <c r="BP96" s="162"/>
      <c r="BQ96" s="162"/>
      <c r="BR96" s="162"/>
      <c r="BS96" s="162"/>
      <c r="BT96" s="162"/>
      <c r="BU96" s="162">
        <f>SUM(BU95)</f>
        <v>0</v>
      </c>
      <c r="BV96" s="162"/>
      <c r="BW96" s="162"/>
      <c r="BX96" s="162"/>
      <c r="BY96" s="162"/>
      <c r="BZ96" s="162"/>
      <c r="CA96" s="162"/>
      <c r="CB96" s="162">
        <f>SUM(CB95)</f>
        <v>0</v>
      </c>
      <c r="CC96" s="162"/>
      <c r="CD96" s="162"/>
      <c r="CE96" s="162"/>
      <c r="CF96" s="162"/>
      <c r="CG96" s="162"/>
      <c r="CH96" s="162"/>
      <c r="CI96" s="162">
        <f>SUM(CI95)</f>
        <v>0</v>
      </c>
      <c r="CJ96" s="163"/>
      <c r="CK96" s="163"/>
      <c r="CL96" s="163"/>
      <c r="CM96" s="163"/>
      <c r="CN96" s="163"/>
    </row>
    <row r="97" spans="2:94" x14ac:dyDescent="0.2">
      <c r="B97" s="105" t="s">
        <v>438</v>
      </c>
      <c r="D97" s="137"/>
      <c r="E97" s="137"/>
      <c r="F97" s="137"/>
      <c r="G97" s="137"/>
      <c r="H97" s="137"/>
      <c r="I97" s="137"/>
      <c r="J97" s="137">
        <f>((J68+J71)-('EEFF 2024'!CI68+'EEFF 2024'!CI71))</f>
        <v>0</v>
      </c>
      <c r="K97" s="137"/>
      <c r="L97" s="137"/>
      <c r="M97" s="137"/>
      <c r="N97" s="137"/>
      <c r="O97" s="137"/>
      <c r="P97" s="137"/>
      <c r="Q97" s="137">
        <f>((Q68+Q71)-(J68+J71))</f>
        <v>0</v>
      </c>
      <c r="R97" s="137"/>
      <c r="S97" s="137"/>
      <c r="T97" s="137"/>
      <c r="U97" s="137"/>
      <c r="V97" s="137"/>
      <c r="W97" s="137"/>
      <c r="X97" s="137">
        <f>((X68+X71)-(Q68+Q71))</f>
        <v>0</v>
      </c>
      <c r="Y97" s="137"/>
      <c r="Z97" s="137"/>
      <c r="AA97" s="137"/>
      <c r="AB97" s="137"/>
      <c r="AC97" s="137"/>
      <c r="AD97" s="137"/>
      <c r="AE97" s="137">
        <f>((AE68+AE71)-(X68+X71))</f>
        <v>0</v>
      </c>
      <c r="AF97" s="137"/>
      <c r="AG97" s="137"/>
      <c r="AH97" s="137"/>
      <c r="AI97" s="137"/>
      <c r="AJ97" s="137"/>
      <c r="AK97" s="137"/>
      <c r="AL97" s="137">
        <f>((AL68+AL71)-(AE68+AE71))</f>
        <v>0</v>
      </c>
      <c r="AM97" s="137"/>
      <c r="AN97" s="137"/>
      <c r="AO97" s="137"/>
      <c r="AP97" s="137"/>
      <c r="AQ97" s="137"/>
      <c r="AR97" s="137"/>
      <c r="AS97" s="137">
        <f>((AS68+AS71)-(AL68+AL71))</f>
        <v>0</v>
      </c>
      <c r="AT97" s="137"/>
      <c r="AU97" s="137"/>
      <c r="AV97" s="137"/>
      <c r="AW97" s="137"/>
      <c r="AX97" s="137"/>
      <c r="AY97" s="137"/>
      <c r="AZ97" s="137">
        <f>((AZ68+AZ71)-(AS68+AS71))</f>
        <v>0</v>
      </c>
      <c r="BA97" s="137"/>
      <c r="BB97" s="137"/>
      <c r="BC97" s="137"/>
      <c r="BD97" s="137"/>
      <c r="BE97" s="137"/>
      <c r="BF97" s="137"/>
      <c r="BG97" s="137">
        <f>((BG68+BG71)-(AZ68+AZ71))</f>
        <v>0</v>
      </c>
      <c r="BH97" s="137"/>
      <c r="BI97" s="137"/>
      <c r="BJ97" s="137"/>
      <c r="BK97" s="137"/>
      <c r="BL97" s="137"/>
      <c r="BM97" s="137"/>
      <c r="BN97" s="137">
        <f>((BN68+BN71)-(BG68+BG71))</f>
        <v>0</v>
      </c>
      <c r="BO97" s="137"/>
      <c r="BP97" s="137"/>
      <c r="BQ97" s="137"/>
      <c r="BR97" s="137"/>
      <c r="BS97" s="137"/>
      <c r="BT97" s="137"/>
      <c r="BU97" s="137">
        <f>((BU68+BU71)-(BN68+BN71))</f>
        <v>0</v>
      </c>
      <c r="BV97" s="137"/>
      <c r="BW97" s="137"/>
      <c r="BX97" s="137"/>
      <c r="BY97" s="137"/>
      <c r="BZ97" s="137"/>
      <c r="CA97" s="137"/>
      <c r="CB97" s="137">
        <f>((CB68+CB71)-(BU68+BU71))</f>
        <v>0</v>
      </c>
      <c r="CC97" s="137"/>
      <c r="CD97" s="137"/>
      <c r="CE97" s="137"/>
      <c r="CF97" s="137"/>
      <c r="CG97" s="137"/>
      <c r="CH97" s="137"/>
      <c r="CI97" s="137">
        <f>((CI68+CI71)-(CB68+CB71))</f>
        <v>0</v>
      </c>
      <c r="CJ97" s="137"/>
      <c r="CK97" s="137"/>
      <c r="CL97" s="137"/>
      <c r="CM97" s="137"/>
      <c r="CN97" s="137"/>
    </row>
    <row r="98" spans="2:94" x14ac:dyDescent="0.2">
      <c r="B98" s="105" t="s">
        <v>356</v>
      </c>
      <c r="D98" s="137"/>
      <c r="E98" s="137"/>
      <c r="F98" s="137"/>
      <c r="G98" s="137"/>
      <c r="H98" s="137"/>
      <c r="I98" s="137"/>
      <c r="J98" s="137">
        <f>(J78-('EEFF 2024'!CI77+'EEFF 2024'!CI78))</f>
        <v>0</v>
      </c>
      <c r="K98" s="137"/>
      <c r="L98" s="137"/>
      <c r="M98" s="137"/>
      <c r="N98" s="137"/>
      <c r="O98" s="137"/>
      <c r="P98" s="137"/>
      <c r="Q98" s="137">
        <f>(Q78-(J77+J78))</f>
        <v>0</v>
      </c>
      <c r="R98" s="137"/>
      <c r="S98" s="137"/>
      <c r="T98" s="137"/>
      <c r="U98" s="137"/>
      <c r="V98" s="137"/>
      <c r="W98" s="137"/>
      <c r="X98" s="137">
        <f>(X78-(Q77+Q78))</f>
        <v>0</v>
      </c>
      <c r="Y98" s="137"/>
      <c r="Z98" s="137"/>
      <c r="AA98" s="137"/>
      <c r="AB98" s="137"/>
      <c r="AC98" s="137"/>
      <c r="AD98" s="137"/>
      <c r="AE98" s="137">
        <f>(AE78-(X77+X78))</f>
        <v>0</v>
      </c>
      <c r="AF98" s="137"/>
      <c r="AG98" s="137"/>
      <c r="AH98" s="137"/>
      <c r="AI98" s="137"/>
      <c r="AJ98" s="137"/>
      <c r="AK98" s="137"/>
      <c r="AL98" s="137">
        <f>(AL78-(AE77+AE78))</f>
        <v>0</v>
      </c>
      <c r="AM98" s="137"/>
      <c r="AN98" s="137"/>
      <c r="AO98" s="137"/>
      <c r="AP98" s="137"/>
      <c r="AQ98" s="137"/>
      <c r="AR98" s="137"/>
      <c r="AS98" s="137">
        <f>(AS78-(AL77+AL78))</f>
        <v>0</v>
      </c>
      <c r="AT98" s="137"/>
      <c r="AU98" s="137"/>
      <c r="AV98" s="137"/>
      <c r="AW98" s="137"/>
      <c r="AX98" s="137"/>
      <c r="AY98" s="137"/>
      <c r="AZ98" s="137">
        <f>(AZ78-(AS77+AS78))</f>
        <v>0</v>
      </c>
      <c r="BA98" s="137"/>
      <c r="BB98" s="137"/>
      <c r="BC98" s="137"/>
      <c r="BD98" s="137"/>
      <c r="BE98" s="137"/>
      <c r="BF98" s="137"/>
      <c r="BG98" s="137">
        <f>(BG78-(AZ77+AZ78))</f>
        <v>0</v>
      </c>
      <c r="BH98" s="137"/>
      <c r="BI98" s="137"/>
      <c r="BJ98" s="137"/>
      <c r="BK98" s="137"/>
      <c r="BL98" s="137"/>
      <c r="BM98" s="137"/>
      <c r="BN98" s="137">
        <f>(BN78-(BG77+BG78))</f>
        <v>0</v>
      </c>
      <c r="BO98" s="137"/>
      <c r="BP98" s="137"/>
      <c r="BQ98" s="137"/>
      <c r="BR98" s="137"/>
      <c r="BS98" s="137"/>
      <c r="BT98" s="137"/>
      <c r="BU98" s="137">
        <f>(BU78-(BN77+BN78))</f>
        <v>0</v>
      </c>
      <c r="BV98" s="137"/>
      <c r="BW98" s="137"/>
      <c r="BX98" s="137"/>
      <c r="BY98" s="137"/>
      <c r="BZ98" s="137"/>
      <c r="CA98" s="137"/>
      <c r="CB98" s="137">
        <f>(CB78-(BU77+BU78))</f>
        <v>0</v>
      </c>
      <c r="CC98" s="137"/>
      <c r="CD98" s="137"/>
      <c r="CE98" s="137"/>
      <c r="CF98" s="137"/>
      <c r="CG98" s="137"/>
      <c r="CH98" s="137"/>
      <c r="CI98" s="137">
        <f>(CI78-(CB77+CB78))</f>
        <v>0</v>
      </c>
      <c r="CJ98" s="137"/>
      <c r="CK98" s="137"/>
      <c r="CL98" s="137"/>
      <c r="CM98" s="137"/>
      <c r="CN98" s="137"/>
    </row>
    <row r="99" spans="2:94" ht="16" x14ac:dyDescent="0.2">
      <c r="B99" s="141" t="s">
        <v>357</v>
      </c>
      <c r="C99" s="207"/>
      <c r="D99" s="162"/>
      <c r="E99" s="162"/>
      <c r="F99" s="162"/>
      <c r="G99" s="162"/>
      <c r="H99" s="162"/>
      <c r="I99" s="162"/>
      <c r="J99" s="162">
        <f>SUM(J97:J98)</f>
        <v>0</v>
      </c>
      <c r="K99" s="162"/>
      <c r="L99" s="162"/>
      <c r="M99" s="162"/>
      <c r="N99" s="162"/>
      <c r="O99" s="162"/>
      <c r="P99" s="162"/>
      <c r="Q99" s="162">
        <f>SUM(Q97:Q98)</f>
        <v>0</v>
      </c>
      <c r="R99" s="162"/>
      <c r="S99" s="162"/>
      <c r="T99" s="162"/>
      <c r="U99" s="162"/>
      <c r="V99" s="162"/>
      <c r="W99" s="162"/>
      <c r="X99" s="162">
        <f>SUM(X97:X98)</f>
        <v>0</v>
      </c>
      <c r="Y99" s="162"/>
      <c r="Z99" s="162"/>
      <c r="AA99" s="162"/>
      <c r="AB99" s="162"/>
      <c r="AC99" s="162"/>
      <c r="AD99" s="162"/>
      <c r="AE99" s="162">
        <f>SUM(AE97:AE98)</f>
        <v>0</v>
      </c>
      <c r="AF99" s="162"/>
      <c r="AG99" s="162"/>
      <c r="AH99" s="162"/>
      <c r="AI99" s="162"/>
      <c r="AJ99" s="162"/>
      <c r="AK99" s="162"/>
      <c r="AL99" s="162">
        <f>SUM(AL97:AL98)</f>
        <v>0</v>
      </c>
      <c r="AM99" s="162"/>
      <c r="AN99" s="162"/>
      <c r="AO99" s="162"/>
      <c r="AP99" s="162"/>
      <c r="AQ99" s="162"/>
      <c r="AR99" s="162"/>
      <c r="AS99" s="162">
        <f>SUM(AS97:AS98)</f>
        <v>0</v>
      </c>
      <c r="AT99" s="162"/>
      <c r="AU99" s="162"/>
      <c r="AV99" s="162"/>
      <c r="AW99" s="162"/>
      <c r="AX99" s="162"/>
      <c r="AY99" s="162"/>
      <c r="AZ99" s="162">
        <f>SUM(AZ97:AZ98)</f>
        <v>0</v>
      </c>
      <c r="BA99" s="162"/>
      <c r="BB99" s="162"/>
      <c r="BC99" s="162"/>
      <c r="BD99" s="162"/>
      <c r="BE99" s="162"/>
      <c r="BF99" s="162"/>
      <c r="BG99" s="162">
        <f>SUM(BG97:BG98)</f>
        <v>0</v>
      </c>
      <c r="BH99" s="162"/>
      <c r="BI99" s="162"/>
      <c r="BJ99" s="162"/>
      <c r="BK99" s="162"/>
      <c r="BL99" s="162"/>
      <c r="BM99" s="162"/>
      <c r="BN99" s="162">
        <f>SUM(BN97:BN98)</f>
        <v>0</v>
      </c>
      <c r="BO99" s="162"/>
      <c r="BP99" s="162"/>
      <c r="BQ99" s="162"/>
      <c r="BR99" s="162"/>
      <c r="BS99" s="162"/>
      <c r="BT99" s="162"/>
      <c r="BU99" s="162">
        <f>SUM(BU97:BU98)</f>
        <v>0</v>
      </c>
      <c r="BV99" s="162"/>
      <c r="BW99" s="162"/>
      <c r="BX99" s="162"/>
      <c r="BY99" s="162"/>
      <c r="BZ99" s="162"/>
      <c r="CA99" s="162"/>
      <c r="CB99" s="162">
        <f>SUM(CB97:CB98)</f>
        <v>0</v>
      </c>
      <c r="CC99" s="162"/>
      <c r="CD99" s="162"/>
      <c r="CE99" s="162"/>
      <c r="CF99" s="162"/>
      <c r="CG99" s="162"/>
      <c r="CH99" s="162"/>
      <c r="CI99" s="162">
        <f>SUM(CI97:CI98)</f>
        <v>0</v>
      </c>
      <c r="CJ99" s="163"/>
      <c r="CK99" s="163"/>
      <c r="CL99" s="163"/>
      <c r="CM99" s="163"/>
      <c r="CN99" s="163"/>
    </row>
    <row r="100" spans="2:94" ht="16" x14ac:dyDescent="0.2">
      <c r="B100" s="141" t="s">
        <v>353</v>
      </c>
      <c r="C100" s="207"/>
      <c r="D100" s="162"/>
      <c r="E100" s="162"/>
      <c r="F100" s="162"/>
      <c r="G100" s="162"/>
      <c r="H100" s="162"/>
      <c r="I100" s="162"/>
      <c r="J100" s="162">
        <f>J94+J96+J99</f>
        <v>-17890708.099999998</v>
      </c>
      <c r="K100" s="162"/>
      <c r="L100" s="162"/>
      <c r="M100" s="162"/>
      <c r="N100" s="162"/>
      <c r="O100" s="162"/>
      <c r="P100" s="162"/>
      <c r="Q100" s="162">
        <f>Q94+Q96+Q99</f>
        <v>-10186846.380000001</v>
      </c>
      <c r="R100" s="162"/>
      <c r="S100" s="162"/>
      <c r="T100" s="162"/>
      <c r="U100" s="162"/>
      <c r="V100" s="162"/>
      <c r="W100" s="162"/>
      <c r="X100" s="162">
        <f>X94+X96+X99</f>
        <v>2075558.3500000006</v>
      </c>
      <c r="Y100" s="162"/>
      <c r="Z100" s="162"/>
      <c r="AA100" s="162"/>
      <c r="AB100" s="162"/>
      <c r="AC100" s="162"/>
      <c r="AD100" s="162"/>
      <c r="AE100" s="162">
        <f>AE94+AE96+AE99</f>
        <v>2289520.9800000018</v>
      </c>
      <c r="AF100" s="162"/>
      <c r="AG100" s="162"/>
      <c r="AH100" s="162"/>
      <c r="AI100" s="162"/>
      <c r="AJ100" s="162"/>
      <c r="AK100" s="162"/>
      <c r="AL100" s="162">
        <f>AL94+AL96+AL99</f>
        <v>5385269.5099999998</v>
      </c>
      <c r="AM100" s="162"/>
      <c r="AN100" s="162"/>
      <c r="AO100" s="162"/>
      <c r="AP100" s="162"/>
      <c r="AQ100" s="162"/>
      <c r="AR100" s="162"/>
      <c r="AS100" s="162">
        <f>AS94+AS96+AS99</f>
        <v>189934.07999999961</v>
      </c>
      <c r="AT100" s="162"/>
      <c r="AU100" s="162"/>
      <c r="AV100" s="162"/>
      <c r="AW100" s="162"/>
      <c r="AX100" s="162"/>
      <c r="AY100" s="162"/>
      <c r="AZ100" s="162">
        <f>AZ94+AZ96+AZ99</f>
        <v>16075474.65</v>
      </c>
      <c r="BA100" s="162"/>
      <c r="BB100" s="162"/>
      <c r="BC100" s="162"/>
      <c r="BD100" s="162"/>
      <c r="BE100" s="162"/>
      <c r="BF100" s="162"/>
      <c r="BG100" s="162">
        <f>BG94+BG96+BG99</f>
        <v>8807037.3100000005</v>
      </c>
      <c r="BH100" s="162"/>
      <c r="BI100" s="162"/>
      <c r="BJ100" s="162"/>
      <c r="BK100" s="162"/>
      <c r="BL100" s="162"/>
      <c r="BM100" s="162"/>
      <c r="BN100" s="162">
        <f>BN94+BN96+BN99</f>
        <v>-6984171.3900000006</v>
      </c>
      <c r="BO100" s="162"/>
      <c r="BP100" s="162"/>
      <c r="BQ100" s="162"/>
      <c r="BR100" s="162"/>
      <c r="BS100" s="162"/>
      <c r="BT100" s="162"/>
      <c r="BU100" s="162">
        <f>BU94+BU96+BU99</f>
        <v>2539586.5100000002</v>
      </c>
      <c r="BV100" s="162"/>
      <c r="BW100" s="162"/>
      <c r="BX100" s="162"/>
      <c r="BY100" s="162"/>
      <c r="BZ100" s="162"/>
      <c r="CA100" s="162"/>
      <c r="CB100" s="162">
        <f>CB94+CB96+CB99</f>
        <v>5355327.8599999994</v>
      </c>
      <c r="CC100" s="162"/>
      <c r="CD100" s="162"/>
      <c r="CE100" s="162"/>
      <c r="CF100" s="162"/>
      <c r="CG100" s="162"/>
      <c r="CH100" s="162"/>
      <c r="CI100" s="162">
        <f>CI94+CI96+CI99</f>
        <v>4374831.5500000007</v>
      </c>
      <c r="CJ100" s="163"/>
      <c r="CK100" s="163"/>
      <c r="CL100" s="163"/>
      <c r="CM100" s="163"/>
      <c r="CN100" s="163"/>
    </row>
    <row r="101" spans="2:94" x14ac:dyDescent="0.2">
      <c r="B101" s="105" t="s">
        <v>358</v>
      </c>
      <c r="D101" s="137"/>
      <c r="E101" s="137"/>
      <c r="F101" s="137"/>
      <c r="G101" s="137"/>
      <c r="H101" s="137"/>
      <c r="I101" s="137"/>
      <c r="J101" s="137">
        <f>'EEFF 2024'!CI51</f>
        <v>68658958.069999993</v>
      </c>
      <c r="K101" s="137"/>
      <c r="L101" s="137"/>
      <c r="M101" s="137"/>
      <c r="N101" s="137"/>
      <c r="O101" s="137"/>
      <c r="P101" s="137"/>
      <c r="Q101" s="137">
        <f>J51</f>
        <v>50768249.969999999</v>
      </c>
      <c r="R101" s="137"/>
      <c r="S101" s="137"/>
      <c r="T101" s="137"/>
      <c r="U101" s="137"/>
      <c r="V101" s="137"/>
      <c r="W101" s="137"/>
      <c r="X101" s="137">
        <f>Q51</f>
        <v>40581403.590000004</v>
      </c>
      <c r="Y101" s="137"/>
      <c r="Z101" s="137"/>
      <c r="AA101" s="137"/>
      <c r="AB101" s="137"/>
      <c r="AC101" s="137"/>
      <c r="AD101" s="137"/>
      <c r="AE101" s="137">
        <f>X51</f>
        <v>42656961.939999998</v>
      </c>
      <c r="AF101" s="137"/>
      <c r="AG101" s="137"/>
      <c r="AH101" s="137"/>
      <c r="AI101" s="137"/>
      <c r="AJ101" s="137"/>
      <c r="AK101" s="137"/>
      <c r="AL101" s="137">
        <f>AE51</f>
        <v>44946482.920000002</v>
      </c>
      <c r="AM101" s="137"/>
      <c r="AN101" s="137"/>
      <c r="AO101" s="137"/>
      <c r="AP101" s="137"/>
      <c r="AQ101" s="137"/>
      <c r="AR101" s="137"/>
      <c r="AS101" s="137">
        <f>AL51</f>
        <v>50331752.43</v>
      </c>
      <c r="AT101" s="137"/>
      <c r="AU101" s="137"/>
      <c r="AV101" s="137"/>
      <c r="AW101" s="137"/>
      <c r="AX101" s="137"/>
      <c r="AY101" s="137"/>
      <c r="AZ101" s="137">
        <f>AS51</f>
        <v>50521686.510000005</v>
      </c>
      <c r="BA101" s="137"/>
      <c r="BB101" s="137"/>
      <c r="BC101" s="137"/>
      <c r="BD101" s="137"/>
      <c r="BE101" s="137"/>
      <c r="BF101" s="137"/>
      <c r="BG101" s="137">
        <f>AZ51</f>
        <v>66597161.159999996</v>
      </c>
      <c r="BH101" s="137"/>
      <c r="BI101" s="137"/>
      <c r="BJ101" s="137"/>
      <c r="BK101" s="137"/>
      <c r="BL101" s="137"/>
      <c r="BM101" s="137"/>
      <c r="BN101" s="137">
        <f>BG51</f>
        <v>75404198.469999999</v>
      </c>
      <c r="BO101" s="137"/>
      <c r="BP101" s="137"/>
      <c r="BQ101" s="137"/>
      <c r="BR101" s="137"/>
      <c r="BS101" s="137"/>
      <c r="BT101" s="137"/>
      <c r="BU101" s="137">
        <f>BN51</f>
        <v>68420027.080000013</v>
      </c>
      <c r="BV101" s="137"/>
      <c r="BW101" s="137"/>
      <c r="BX101" s="137"/>
      <c r="BY101" s="137"/>
      <c r="BZ101" s="137"/>
      <c r="CA101" s="137"/>
      <c r="CB101" s="137">
        <f>BU51</f>
        <v>70959613.590000004</v>
      </c>
      <c r="CC101" s="137"/>
      <c r="CD101" s="137"/>
      <c r="CE101" s="137"/>
      <c r="CF101" s="137"/>
      <c r="CG101" s="137"/>
      <c r="CH101" s="137"/>
      <c r="CI101" s="137">
        <f>CB51</f>
        <v>76314941.450000003</v>
      </c>
      <c r="CJ101" s="137"/>
      <c r="CK101" s="137"/>
      <c r="CL101" s="137"/>
      <c r="CM101" s="137"/>
      <c r="CN101" s="137"/>
    </row>
    <row r="102" spans="2:94" ht="16" x14ac:dyDescent="0.2">
      <c r="B102" s="141" t="s">
        <v>359</v>
      </c>
      <c r="C102" s="207"/>
      <c r="D102" s="162"/>
      <c r="E102" s="162"/>
      <c r="F102" s="162"/>
      <c r="G102" s="162"/>
      <c r="H102" s="162"/>
      <c r="I102" s="162"/>
      <c r="J102" s="162">
        <f>+J100+J101</f>
        <v>50768249.969999999</v>
      </c>
      <c r="K102" s="162"/>
      <c r="L102" s="162"/>
      <c r="M102" s="162"/>
      <c r="N102" s="162"/>
      <c r="O102" s="162"/>
      <c r="P102" s="162"/>
      <c r="Q102" s="162">
        <f>+Q100+Q101</f>
        <v>40581403.589999996</v>
      </c>
      <c r="R102" s="162"/>
      <c r="S102" s="162"/>
      <c r="T102" s="162"/>
      <c r="U102" s="162"/>
      <c r="V102" s="162"/>
      <c r="W102" s="162"/>
      <c r="X102" s="162">
        <f>+X100+X101</f>
        <v>42656961.940000005</v>
      </c>
      <c r="Y102" s="162"/>
      <c r="Z102" s="162"/>
      <c r="AA102" s="162"/>
      <c r="AB102" s="162"/>
      <c r="AC102" s="162"/>
      <c r="AD102" s="162"/>
      <c r="AE102" s="162">
        <f>+AE100+AE101</f>
        <v>44946482.920000002</v>
      </c>
      <c r="AF102" s="162"/>
      <c r="AG102" s="162"/>
      <c r="AH102" s="162"/>
      <c r="AI102" s="162"/>
      <c r="AJ102" s="162"/>
      <c r="AK102" s="162"/>
      <c r="AL102" s="162">
        <f>+AL100+AL101</f>
        <v>50331752.43</v>
      </c>
      <c r="AM102" s="162"/>
      <c r="AN102" s="162"/>
      <c r="AO102" s="162"/>
      <c r="AP102" s="162"/>
      <c r="AQ102" s="162"/>
      <c r="AR102" s="162"/>
      <c r="AS102" s="162">
        <f>+AS100+AS101</f>
        <v>50521686.509999998</v>
      </c>
      <c r="AT102" s="162"/>
      <c r="AU102" s="162"/>
      <c r="AV102" s="162"/>
      <c r="AW102" s="162"/>
      <c r="AX102" s="162"/>
      <c r="AY102" s="162"/>
      <c r="AZ102" s="162">
        <f>+AZ100+AZ101</f>
        <v>66597161.160000004</v>
      </c>
      <c r="BA102" s="162"/>
      <c r="BB102" s="162"/>
      <c r="BC102" s="162"/>
      <c r="BD102" s="162"/>
      <c r="BE102" s="162"/>
      <c r="BF102" s="162"/>
      <c r="BG102" s="162">
        <f>+BG100+BG101</f>
        <v>75404198.469999999</v>
      </c>
      <c r="BH102" s="162"/>
      <c r="BI102" s="162"/>
      <c r="BJ102" s="162"/>
      <c r="BK102" s="162"/>
      <c r="BL102" s="162"/>
      <c r="BM102" s="162"/>
      <c r="BN102" s="162">
        <f>+BN100+BN101</f>
        <v>68420027.079999998</v>
      </c>
      <c r="BO102" s="162"/>
      <c r="BP102" s="162"/>
      <c r="BQ102" s="162"/>
      <c r="BR102" s="162"/>
      <c r="BS102" s="162"/>
      <c r="BT102" s="162"/>
      <c r="BU102" s="162">
        <f>+BU100+BU101</f>
        <v>70959613.590000018</v>
      </c>
      <c r="BV102" s="162"/>
      <c r="BW102" s="162"/>
      <c r="BX102" s="162"/>
      <c r="BY102" s="162"/>
      <c r="BZ102" s="162"/>
      <c r="CA102" s="162"/>
      <c r="CB102" s="162">
        <f>+CB100+CB101</f>
        <v>76314941.450000003</v>
      </c>
      <c r="CC102" s="162"/>
      <c r="CD102" s="162"/>
      <c r="CE102" s="162"/>
      <c r="CF102" s="162"/>
      <c r="CG102" s="162"/>
      <c r="CH102" s="162"/>
      <c r="CI102" s="162">
        <f>+CI100+CI101</f>
        <v>80689773</v>
      </c>
      <c r="CJ102" s="163"/>
      <c r="CK102" s="163"/>
      <c r="CL102" s="163"/>
      <c r="CM102" s="163"/>
      <c r="CN102" s="163"/>
    </row>
    <row r="103" spans="2:94" x14ac:dyDescent="0.2">
      <c r="B103" s="105" t="s">
        <v>350</v>
      </c>
      <c r="D103" s="137"/>
      <c r="E103" s="137"/>
      <c r="F103" s="137"/>
      <c r="G103" s="137"/>
      <c r="H103" s="137"/>
      <c r="I103" s="137"/>
      <c r="J103" s="233">
        <f>J102-J51</f>
        <v>0</v>
      </c>
      <c r="K103" s="233"/>
      <c r="L103" s="233"/>
      <c r="M103" s="233"/>
      <c r="N103" s="233"/>
      <c r="O103" s="233"/>
      <c r="P103" s="233"/>
      <c r="Q103" s="233">
        <f>Q102-Q51</f>
        <v>0</v>
      </c>
      <c r="R103" s="233"/>
      <c r="S103" s="233"/>
      <c r="T103" s="233"/>
      <c r="U103" s="233"/>
      <c r="V103" s="233"/>
      <c r="W103" s="233"/>
      <c r="X103" s="233">
        <f>X102-X51</f>
        <v>0</v>
      </c>
      <c r="Y103" s="233"/>
      <c r="Z103" s="233"/>
      <c r="AA103" s="233"/>
      <c r="AB103" s="233"/>
      <c r="AC103" s="233"/>
      <c r="AD103" s="233"/>
      <c r="AE103" s="233">
        <f>AE102-AE51</f>
        <v>0</v>
      </c>
      <c r="AF103" s="233"/>
      <c r="AG103" s="233"/>
      <c r="AH103" s="233"/>
      <c r="AI103" s="233"/>
      <c r="AJ103" s="233"/>
      <c r="AK103" s="233"/>
      <c r="AL103" s="233">
        <f>AL102-AL51</f>
        <v>0</v>
      </c>
      <c r="AM103" s="233"/>
      <c r="AN103" s="233"/>
      <c r="AO103" s="233"/>
      <c r="AP103" s="233"/>
      <c r="AQ103" s="233"/>
      <c r="AR103" s="233"/>
      <c r="AS103" s="233">
        <f>AS102-AS51</f>
        <v>0</v>
      </c>
      <c r="AT103" s="233"/>
      <c r="AU103" s="233"/>
      <c r="AV103" s="233"/>
      <c r="AW103" s="233"/>
      <c r="AX103" s="233"/>
      <c r="AY103" s="233"/>
      <c r="AZ103" s="233">
        <f>AZ102-AZ51</f>
        <v>0</v>
      </c>
      <c r="BA103" s="233"/>
      <c r="BB103" s="233"/>
      <c r="BC103" s="233"/>
      <c r="BD103" s="233"/>
      <c r="BE103" s="233"/>
      <c r="BF103" s="233"/>
      <c r="BG103" s="233">
        <f>BG102-BG51</f>
        <v>0</v>
      </c>
      <c r="BH103" s="233"/>
      <c r="BI103" s="233"/>
      <c r="BJ103" s="233"/>
      <c r="BK103" s="233"/>
      <c r="BL103" s="233"/>
      <c r="BM103" s="233"/>
      <c r="BN103" s="233">
        <f>BN102-BN51</f>
        <v>0</v>
      </c>
      <c r="BO103" s="233"/>
      <c r="BP103" s="233"/>
      <c r="BQ103" s="233"/>
      <c r="BR103" s="233"/>
      <c r="BS103" s="233"/>
      <c r="BT103" s="233"/>
      <c r="BU103" s="233">
        <f>BU102-BU51</f>
        <v>0</v>
      </c>
      <c r="BV103" s="233"/>
      <c r="BW103" s="233"/>
      <c r="BX103" s="233"/>
      <c r="BY103" s="233"/>
      <c r="BZ103" s="233"/>
      <c r="CA103" s="233"/>
      <c r="CB103" s="233">
        <f>CB102-CB51</f>
        <v>0</v>
      </c>
      <c r="CC103" s="233"/>
      <c r="CD103" s="233"/>
      <c r="CE103" s="233"/>
      <c r="CF103" s="233"/>
      <c r="CG103" s="233"/>
      <c r="CH103" s="233"/>
      <c r="CI103" s="233">
        <f>CI102-CI51</f>
        <v>0</v>
      </c>
      <c r="CJ103" s="137"/>
      <c r="CK103" s="137"/>
      <c r="CL103" s="137"/>
      <c r="CM103" s="137"/>
      <c r="CN103" s="137"/>
    </row>
    <row r="104" spans="2:94" x14ac:dyDescent="0.2"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  <c r="BV104" s="137"/>
      <c r="BW104" s="137"/>
      <c r="BX104" s="137"/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</row>
    <row r="106" spans="2:94" ht="16" x14ac:dyDescent="0.2">
      <c r="B106" s="183" t="s">
        <v>360</v>
      </c>
      <c r="C106" s="220"/>
      <c r="CJ106" s="164" t="e">
        <f t="shared" ref="CJ106:CO106" si="42">CJ61/CJ70</f>
        <v>#DIV/0!</v>
      </c>
      <c r="CK106" s="164" t="e">
        <f t="shared" si="42"/>
        <v>#DIV/0!</v>
      </c>
      <c r="CL106" s="164" t="e">
        <f t="shared" si="42"/>
        <v>#DIV/0!</v>
      </c>
      <c r="CM106" s="164" t="e">
        <f t="shared" si="42"/>
        <v>#DIV/0!</v>
      </c>
      <c r="CN106" s="164" t="e">
        <f t="shared" si="42"/>
        <v>#DIV/0!</v>
      </c>
      <c r="CO106" s="164" t="e">
        <f t="shared" si="42"/>
        <v>#DIV/0!</v>
      </c>
      <c r="CP106" s="164"/>
    </row>
    <row r="107" spans="2:94" x14ac:dyDescent="0.2">
      <c r="B107" s="105" t="s">
        <v>439</v>
      </c>
      <c r="D107" s="164"/>
      <c r="E107" s="164"/>
      <c r="F107" s="164"/>
      <c r="G107" s="164"/>
      <c r="H107" s="164"/>
      <c r="I107" s="164"/>
      <c r="J107" s="164" t="e">
        <f>J61/J70</f>
        <v>#DIV/0!</v>
      </c>
      <c r="K107" s="164"/>
      <c r="L107" s="164"/>
      <c r="M107" s="164"/>
      <c r="N107" s="164"/>
      <c r="O107" s="164"/>
      <c r="P107" s="164"/>
      <c r="Q107" s="164" t="e">
        <f>Q61/Q70</f>
        <v>#DIV/0!</v>
      </c>
      <c r="R107" s="164"/>
      <c r="S107" s="164"/>
      <c r="T107" s="164"/>
      <c r="U107" s="164"/>
      <c r="V107" s="164"/>
      <c r="W107" s="164"/>
      <c r="X107" s="164" t="e">
        <f>X61/X70</f>
        <v>#DIV/0!</v>
      </c>
      <c r="Y107" s="164"/>
      <c r="Z107" s="164"/>
      <c r="AA107" s="164"/>
      <c r="AB107" s="164"/>
      <c r="AC107" s="164"/>
      <c r="AD107" s="164"/>
      <c r="AE107" s="164" t="e">
        <f>AE61/AE70</f>
        <v>#DIV/0!</v>
      </c>
      <c r="AF107" s="164"/>
      <c r="AG107" s="164"/>
      <c r="AH107" s="164"/>
      <c r="AI107" s="164"/>
      <c r="AJ107" s="164"/>
      <c r="AK107" s="164"/>
      <c r="AL107" s="164" t="e">
        <f>AL61/AL70</f>
        <v>#DIV/0!</v>
      </c>
      <c r="AM107" s="164"/>
      <c r="AN107" s="164"/>
      <c r="AO107" s="164"/>
      <c r="AP107" s="164"/>
      <c r="AQ107" s="164"/>
      <c r="AR107" s="164"/>
      <c r="AS107" s="164" t="e">
        <f>AS61/AS70</f>
        <v>#DIV/0!</v>
      </c>
      <c r="AT107" s="164"/>
      <c r="AU107" s="164"/>
      <c r="AV107" s="164"/>
      <c r="AW107" s="164"/>
      <c r="AX107" s="164"/>
      <c r="AY107" s="164"/>
      <c r="AZ107" s="164" t="e">
        <f>AZ61/AZ70</f>
        <v>#DIV/0!</v>
      </c>
      <c r="BA107" s="164"/>
      <c r="BB107" s="164"/>
      <c r="BC107" s="164"/>
      <c r="BD107" s="164"/>
      <c r="BE107" s="164"/>
      <c r="BF107" s="164"/>
      <c r="BG107" s="164" t="e">
        <f>BG61/BG70</f>
        <v>#DIV/0!</v>
      </c>
      <c r="BH107" s="164"/>
      <c r="BI107" s="164"/>
      <c r="BJ107" s="164"/>
      <c r="BK107" s="164"/>
      <c r="BL107" s="164"/>
      <c r="BM107" s="164"/>
      <c r="BN107" s="164" t="e">
        <f>BN61/BN70</f>
        <v>#DIV/0!</v>
      </c>
      <c r="BO107" s="164"/>
      <c r="BP107" s="164"/>
      <c r="BQ107" s="164"/>
      <c r="BR107" s="164"/>
      <c r="BS107" s="164"/>
      <c r="BT107" s="164"/>
      <c r="BU107" s="164" t="e">
        <f>BU61/BU70</f>
        <v>#DIV/0!</v>
      </c>
      <c r="BV107" s="164"/>
      <c r="BW107" s="164"/>
      <c r="BX107" s="164"/>
      <c r="BY107" s="164"/>
      <c r="BZ107" s="164"/>
      <c r="CA107" s="164"/>
      <c r="CB107" s="164" t="e">
        <f>CB61/CB70</f>
        <v>#DIV/0!</v>
      </c>
      <c r="CC107" s="164"/>
      <c r="CD107" s="164"/>
      <c r="CE107" s="164"/>
      <c r="CF107" s="164"/>
      <c r="CG107" s="164"/>
      <c r="CH107" s="164"/>
      <c r="CI107" s="164" t="e">
        <f>CI61/CI70</f>
        <v>#DIV/0!</v>
      </c>
      <c r="CJ107" s="164" t="e">
        <f>(CJ61-#REF!)/CJ70</f>
        <v>#REF!</v>
      </c>
      <c r="CK107" s="164" t="e">
        <f>(CK61-#REF!)/CK70</f>
        <v>#REF!</v>
      </c>
      <c r="CL107" s="164" t="e">
        <f>(CL61-#REF!)/CL70</f>
        <v>#REF!</v>
      </c>
      <c r="CM107" s="164" t="e">
        <f>(CM61-#REF!)/CM70</f>
        <v>#REF!</v>
      </c>
      <c r="CN107" s="164" t="e">
        <f>(CN61-#REF!)/CN70</f>
        <v>#REF!</v>
      </c>
      <c r="CO107" s="164" t="e">
        <f>(CO61-#REF!)/CO70</f>
        <v>#REF!</v>
      </c>
      <c r="CP107" s="164"/>
    </row>
    <row r="108" spans="2:94" x14ac:dyDescent="0.2">
      <c r="B108" s="105" t="s">
        <v>361</v>
      </c>
      <c r="D108" s="164"/>
      <c r="E108" s="164"/>
      <c r="F108" s="164"/>
      <c r="G108" s="164"/>
      <c r="H108" s="164"/>
      <c r="I108" s="164"/>
      <c r="J108" s="164" t="e">
        <f>(J61-J59)/J70</f>
        <v>#DIV/0!</v>
      </c>
      <c r="K108" s="164"/>
      <c r="L108" s="164"/>
      <c r="M108" s="164"/>
      <c r="N108" s="164"/>
      <c r="O108" s="164"/>
      <c r="P108" s="164"/>
      <c r="Q108" s="164" t="e">
        <f>(Q61-Q59)/Q70</f>
        <v>#DIV/0!</v>
      </c>
      <c r="R108" s="164"/>
      <c r="S108" s="164"/>
      <c r="T108" s="164"/>
      <c r="U108" s="164"/>
      <c r="V108" s="164"/>
      <c r="W108" s="164"/>
      <c r="X108" s="164" t="e">
        <f>(X61-X59)/X70</f>
        <v>#DIV/0!</v>
      </c>
      <c r="Y108" s="164"/>
      <c r="Z108" s="164"/>
      <c r="AA108" s="164"/>
      <c r="AB108" s="164"/>
      <c r="AC108" s="164"/>
      <c r="AD108" s="164"/>
      <c r="AE108" s="164" t="e">
        <f>(AE61-AE59)/AE70</f>
        <v>#DIV/0!</v>
      </c>
      <c r="AF108" s="164"/>
      <c r="AG108" s="164"/>
      <c r="AH108" s="164"/>
      <c r="AI108" s="164"/>
      <c r="AJ108" s="164"/>
      <c r="AK108" s="164"/>
      <c r="AL108" s="164" t="e">
        <f>(AL61-AL59)/AL70</f>
        <v>#DIV/0!</v>
      </c>
      <c r="AM108" s="164"/>
      <c r="AN108" s="164"/>
      <c r="AO108" s="164"/>
      <c r="AP108" s="164"/>
      <c r="AQ108" s="164"/>
      <c r="AR108" s="164"/>
      <c r="AS108" s="164" t="e">
        <f>(AS61-AS59)/AS70</f>
        <v>#DIV/0!</v>
      </c>
      <c r="AT108" s="164"/>
      <c r="AU108" s="164"/>
      <c r="AV108" s="164"/>
      <c r="AW108" s="164"/>
      <c r="AX108" s="164"/>
      <c r="AY108" s="164"/>
      <c r="AZ108" s="164" t="e">
        <f>(AZ61-AZ59)/AZ70</f>
        <v>#DIV/0!</v>
      </c>
      <c r="BA108" s="164"/>
      <c r="BB108" s="164"/>
      <c r="BC108" s="164"/>
      <c r="BD108" s="164"/>
      <c r="BE108" s="164"/>
      <c r="BF108" s="164"/>
      <c r="BG108" s="164" t="e">
        <f>(BG61-BG59)/BG70</f>
        <v>#DIV/0!</v>
      </c>
      <c r="BH108" s="164"/>
      <c r="BI108" s="164"/>
      <c r="BJ108" s="164"/>
      <c r="BK108" s="164"/>
      <c r="BL108" s="164"/>
      <c r="BM108" s="164"/>
      <c r="BN108" s="164" t="e">
        <f>(BN61-BN59)/BN70</f>
        <v>#DIV/0!</v>
      </c>
      <c r="BO108" s="164"/>
      <c r="BP108" s="164"/>
      <c r="BQ108" s="164"/>
      <c r="BR108" s="164"/>
      <c r="BS108" s="164"/>
      <c r="BT108" s="164"/>
      <c r="BU108" s="164" t="e">
        <f>(BU61-BU59)/BU70</f>
        <v>#DIV/0!</v>
      </c>
      <c r="BV108" s="164"/>
      <c r="BW108" s="164"/>
      <c r="BX108" s="164"/>
      <c r="BY108" s="164"/>
      <c r="BZ108" s="164"/>
      <c r="CA108" s="164"/>
      <c r="CB108" s="164" t="e">
        <f>(CB61-CB59)/CB70</f>
        <v>#DIV/0!</v>
      </c>
      <c r="CC108" s="164"/>
      <c r="CD108" s="164"/>
      <c r="CE108" s="164"/>
      <c r="CF108" s="164"/>
      <c r="CG108" s="164"/>
      <c r="CH108" s="164"/>
      <c r="CI108" s="164" t="e">
        <f>(CI61-CI59)/CI70</f>
        <v>#DIV/0!</v>
      </c>
      <c r="CJ108" s="137">
        <f t="shared" ref="CJ108:CO108" si="43">CJ61-CJ70</f>
        <v>0</v>
      </c>
      <c r="CK108" s="137">
        <f t="shared" si="43"/>
        <v>0</v>
      </c>
      <c r="CL108" s="137">
        <f t="shared" si="43"/>
        <v>0</v>
      </c>
      <c r="CM108" s="137">
        <f t="shared" si="43"/>
        <v>0</v>
      </c>
      <c r="CN108" s="137">
        <f t="shared" si="43"/>
        <v>0</v>
      </c>
      <c r="CO108" s="137">
        <f t="shared" si="43"/>
        <v>0</v>
      </c>
      <c r="CP108" s="137"/>
    </row>
    <row r="109" spans="2:94" x14ac:dyDescent="0.2">
      <c r="B109" s="105" t="s">
        <v>362</v>
      </c>
      <c r="D109" s="137"/>
      <c r="E109" s="137"/>
      <c r="F109" s="137"/>
      <c r="G109" s="137"/>
      <c r="H109" s="137"/>
      <c r="I109" s="137"/>
      <c r="J109" s="137">
        <f>J61-J70</f>
        <v>50768249.969999999</v>
      </c>
      <c r="K109" s="137"/>
      <c r="L109" s="137"/>
      <c r="M109" s="137"/>
      <c r="N109" s="137"/>
      <c r="O109" s="137"/>
      <c r="P109" s="137"/>
      <c r="Q109" s="137">
        <f>Q61-Q70</f>
        <v>40581403.590000004</v>
      </c>
      <c r="R109" s="137"/>
      <c r="S109" s="137"/>
      <c r="T109" s="137"/>
      <c r="U109" s="137"/>
      <c r="V109" s="137"/>
      <c r="W109" s="137"/>
      <c r="X109" s="137">
        <f>X61-X70</f>
        <v>42656961.939999998</v>
      </c>
      <c r="Y109" s="137"/>
      <c r="Z109" s="137"/>
      <c r="AA109" s="137"/>
      <c r="AB109" s="137"/>
      <c r="AC109" s="137"/>
      <c r="AD109" s="137"/>
      <c r="AE109" s="137">
        <f>AE61-AE70</f>
        <v>44946482.920000002</v>
      </c>
      <c r="AF109" s="137"/>
      <c r="AG109" s="137"/>
      <c r="AH109" s="137"/>
      <c r="AI109" s="137"/>
      <c r="AJ109" s="137"/>
      <c r="AK109" s="137"/>
      <c r="AL109" s="137">
        <f>AL61-AL70</f>
        <v>50331752.43</v>
      </c>
      <c r="AM109" s="137"/>
      <c r="AN109" s="137"/>
      <c r="AO109" s="137"/>
      <c r="AP109" s="137"/>
      <c r="AQ109" s="137"/>
      <c r="AR109" s="137"/>
      <c r="AS109" s="137">
        <f>AS61-AS70</f>
        <v>50521686.510000005</v>
      </c>
      <c r="AT109" s="137"/>
      <c r="AU109" s="137"/>
      <c r="AV109" s="137"/>
      <c r="AW109" s="137"/>
      <c r="AX109" s="137"/>
      <c r="AY109" s="137"/>
      <c r="AZ109" s="137">
        <f>AZ61-AZ70</f>
        <v>66597161.159999996</v>
      </c>
      <c r="BA109" s="137"/>
      <c r="BB109" s="137"/>
      <c r="BC109" s="137"/>
      <c r="BD109" s="137"/>
      <c r="BE109" s="137"/>
      <c r="BF109" s="137"/>
      <c r="BG109" s="137">
        <f>BG61-BG70</f>
        <v>75404198.469999999</v>
      </c>
      <c r="BH109" s="137"/>
      <c r="BI109" s="137"/>
      <c r="BJ109" s="137"/>
      <c r="BK109" s="137"/>
      <c r="BL109" s="137"/>
      <c r="BM109" s="137"/>
      <c r="BN109" s="137">
        <f>BN61-BN70</f>
        <v>68420027.080000013</v>
      </c>
      <c r="BO109" s="137"/>
      <c r="BP109" s="137"/>
      <c r="BQ109" s="137"/>
      <c r="BR109" s="137"/>
      <c r="BS109" s="137"/>
      <c r="BT109" s="137"/>
      <c r="BU109" s="137">
        <f>BU61-BU70</f>
        <v>70959613.590000004</v>
      </c>
      <c r="BV109" s="137"/>
      <c r="BW109" s="137"/>
      <c r="BX109" s="137"/>
      <c r="BY109" s="137"/>
      <c r="BZ109" s="137"/>
      <c r="CA109" s="137"/>
      <c r="CB109" s="137">
        <f>CB61-CB70</f>
        <v>76314941.450000003</v>
      </c>
      <c r="CC109" s="137"/>
      <c r="CD109" s="137"/>
      <c r="CE109" s="137"/>
      <c r="CF109" s="137"/>
      <c r="CG109" s="137"/>
      <c r="CH109" s="137"/>
      <c r="CI109" s="137">
        <f>CI61-CI70</f>
        <v>80689773</v>
      </c>
      <c r="CJ109" s="137" t="e">
        <f>CJ58+#REF!-CJ66</f>
        <v>#REF!</v>
      </c>
      <c r="CK109" s="137" t="e">
        <f>CK58+#REF!-CK66</f>
        <v>#REF!</v>
      </c>
      <c r="CL109" s="137" t="e">
        <f>CL58+#REF!-CL66</f>
        <v>#REF!</v>
      </c>
      <c r="CM109" s="137" t="e">
        <f>CM58+#REF!-CM66</f>
        <v>#REF!</v>
      </c>
      <c r="CN109" s="137" t="e">
        <f>CN58+#REF!-CN66</f>
        <v>#REF!</v>
      </c>
      <c r="CO109" s="137" t="e">
        <f>CO58+#REF!-CO66</f>
        <v>#REF!</v>
      </c>
      <c r="CP109" s="137"/>
    </row>
    <row r="110" spans="2:94" x14ac:dyDescent="0.2">
      <c r="B110" s="105" t="s">
        <v>363</v>
      </c>
      <c r="D110" s="137"/>
      <c r="E110" s="137"/>
      <c r="F110" s="137"/>
      <c r="G110" s="137"/>
      <c r="H110" s="137"/>
      <c r="I110" s="137"/>
      <c r="J110" s="137">
        <f>J58+J59-J66</f>
        <v>0</v>
      </c>
      <c r="K110" s="137"/>
      <c r="L110" s="137"/>
      <c r="M110" s="137"/>
      <c r="N110" s="137"/>
      <c r="O110" s="137"/>
      <c r="P110" s="137"/>
      <c r="Q110" s="137">
        <f>Q58+Q59-Q66</f>
        <v>0</v>
      </c>
      <c r="R110" s="137"/>
      <c r="S110" s="137"/>
      <c r="T110" s="137"/>
      <c r="U110" s="137"/>
      <c r="V110" s="137"/>
      <c r="W110" s="137"/>
      <c r="X110" s="137">
        <f>X58+X59-X66</f>
        <v>0</v>
      </c>
      <c r="Y110" s="137"/>
      <c r="Z110" s="137"/>
      <c r="AA110" s="137"/>
      <c r="AB110" s="137"/>
      <c r="AC110" s="137"/>
      <c r="AD110" s="137"/>
      <c r="AE110" s="137">
        <f>AE58+AE59-AE66</f>
        <v>0</v>
      </c>
      <c r="AF110" s="137"/>
      <c r="AG110" s="137"/>
      <c r="AH110" s="137"/>
      <c r="AI110" s="137"/>
      <c r="AJ110" s="137"/>
      <c r="AK110" s="137"/>
      <c r="AL110" s="137">
        <f>AL58+AL59-AL66</f>
        <v>0</v>
      </c>
      <c r="AM110" s="137"/>
      <c r="AN110" s="137"/>
      <c r="AO110" s="137"/>
      <c r="AP110" s="137"/>
      <c r="AQ110" s="137"/>
      <c r="AR110" s="137"/>
      <c r="AS110" s="137">
        <f>AS58+AS59-AS66</f>
        <v>0</v>
      </c>
      <c r="AT110" s="137"/>
      <c r="AU110" s="137"/>
      <c r="AV110" s="137"/>
      <c r="AW110" s="137"/>
      <c r="AX110" s="137"/>
      <c r="AY110" s="137"/>
      <c r="AZ110" s="137">
        <f>AZ58+AZ59-AZ66</f>
        <v>0</v>
      </c>
      <c r="BA110" s="137"/>
      <c r="BB110" s="137"/>
      <c r="BC110" s="137"/>
      <c r="BD110" s="137"/>
      <c r="BE110" s="137"/>
      <c r="BF110" s="137"/>
      <c r="BG110" s="137">
        <f>BG58+BG59-BG66</f>
        <v>0</v>
      </c>
      <c r="BH110" s="137"/>
      <c r="BI110" s="137"/>
      <c r="BJ110" s="137"/>
      <c r="BK110" s="137"/>
      <c r="BL110" s="137"/>
      <c r="BM110" s="137"/>
      <c r="BN110" s="137">
        <f>BN58+BN59-BN66</f>
        <v>0</v>
      </c>
      <c r="BO110" s="137"/>
      <c r="BP110" s="137"/>
      <c r="BQ110" s="137"/>
      <c r="BR110" s="137"/>
      <c r="BS110" s="137"/>
      <c r="BT110" s="137"/>
      <c r="BU110" s="137">
        <f>BU58+BU59-BU66</f>
        <v>0</v>
      </c>
      <c r="BV110" s="137"/>
      <c r="BW110" s="137"/>
      <c r="BX110" s="137"/>
      <c r="BY110" s="137"/>
      <c r="BZ110" s="137"/>
      <c r="CA110" s="137"/>
      <c r="CB110" s="137">
        <f>CB58+CB59-CB66</f>
        <v>0</v>
      </c>
      <c r="CC110" s="137"/>
      <c r="CD110" s="137"/>
      <c r="CE110" s="137"/>
      <c r="CF110" s="137"/>
      <c r="CG110" s="137"/>
      <c r="CH110" s="137"/>
      <c r="CI110" s="137">
        <f>CI58+CI59-CI66</f>
        <v>0</v>
      </c>
    </row>
    <row r="112" spans="2:94" ht="16" x14ac:dyDescent="0.2">
      <c r="B112" s="183" t="s">
        <v>364</v>
      </c>
      <c r="C112" s="214"/>
      <c r="CJ112" s="165">
        <f t="shared" ref="CJ112:CO112" si="44">CJ58*365/CJ6</f>
        <v>0</v>
      </c>
      <c r="CK112" s="165">
        <f t="shared" si="44"/>
        <v>0</v>
      </c>
      <c r="CL112" s="165">
        <f t="shared" si="44"/>
        <v>0</v>
      </c>
      <c r="CM112" s="165">
        <f t="shared" si="44"/>
        <v>0</v>
      </c>
      <c r="CN112" s="165">
        <f t="shared" si="44"/>
        <v>0</v>
      </c>
      <c r="CO112" s="165">
        <f t="shared" si="44"/>
        <v>0</v>
      </c>
      <c r="CP112" s="165"/>
    </row>
    <row r="113" spans="2:94" x14ac:dyDescent="0.2">
      <c r="B113" s="105" t="s">
        <v>440</v>
      </c>
      <c r="D113" s="165"/>
      <c r="E113" s="165"/>
      <c r="F113" s="165"/>
      <c r="G113" s="165"/>
      <c r="H113" s="165"/>
      <c r="I113" s="165"/>
      <c r="J113" s="165">
        <f>J58*365/J6</f>
        <v>0</v>
      </c>
      <c r="K113" s="165"/>
      <c r="L113" s="165"/>
      <c r="M113" s="165"/>
      <c r="N113" s="165"/>
      <c r="O113" s="165"/>
      <c r="P113" s="165"/>
      <c r="Q113" s="165">
        <f>Q58*365/Q6</f>
        <v>0</v>
      </c>
      <c r="R113" s="165"/>
      <c r="S113" s="165"/>
      <c r="T113" s="165"/>
      <c r="U113" s="165"/>
      <c r="V113" s="165"/>
      <c r="W113" s="165"/>
      <c r="X113" s="165">
        <f>X58*365/X6</f>
        <v>0</v>
      </c>
      <c r="Y113" s="165"/>
      <c r="Z113" s="165"/>
      <c r="AA113" s="165"/>
      <c r="AB113" s="165"/>
      <c r="AC113" s="165"/>
      <c r="AD113" s="165"/>
      <c r="AE113" s="165">
        <f>AE58*365/AE6</f>
        <v>0</v>
      </c>
      <c r="AF113" s="165"/>
      <c r="AG113" s="165"/>
      <c r="AH113" s="165"/>
      <c r="AI113" s="165"/>
      <c r="AJ113" s="165"/>
      <c r="AK113" s="165"/>
      <c r="AL113" s="165">
        <f>AL58*365/AL6</f>
        <v>0</v>
      </c>
      <c r="AM113" s="165"/>
      <c r="AN113" s="165"/>
      <c r="AO113" s="165"/>
      <c r="AP113" s="165"/>
      <c r="AQ113" s="165"/>
      <c r="AR113" s="165"/>
      <c r="AS113" s="165">
        <f>AS58*365/AS6</f>
        <v>0</v>
      </c>
      <c r="AT113" s="165"/>
      <c r="AU113" s="165"/>
      <c r="AV113" s="165"/>
      <c r="AW113" s="165"/>
      <c r="AX113" s="165"/>
      <c r="AY113" s="165"/>
      <c r="AZ113" s="165">
        <f>AZ58*365/AZ6</f>
        <v>0</v>
      </c>
      <c r="BA113" s="165"/>
      <c r="BB113" s="165"/>
      <c r="BC113" s="165"/>
      <c r="BD113" s="165"/>
      <c r="BE113" s="165"/>
      <c r="BF113" s="165"/>
      <c r="BG113" s="165">
        <f>BG58*365/BG6</f>
        <v>0</v>
      </c>
      <c r="BH113" s="165"/>
      <c r="BI113" s="165"/>
      <c r="BJ113" s="165"/>
      <c r="BK113" s="165"/>
      <c r="BL113" s="165"/>
      <c r="BM113" s="165"/>
      <c r="BN113" s="165">
        <f>BN58*365/BN6</f>
        <v>0</v>
      </c>
      <c r="BO113" s="165"/>
      <c r="BP113" s="165"/>
      <c r="BQ113" s="165"/>
      <c r="BR113" s="165"/>
      <c r="BS113" s="165"/>
      <c r="BT113" s="165"/>
      <c r="BU113" s="165">
        <f>BU58*365/BU6</f>
        <v>0</v>
      </c>
      <c r="BV113" s="165"/>
      <c r="BW113" s="165"/>
      <c r="BX113" s="165"/>
      <c r="BY113" s="165"/>
      <c r="BZ113" s="165"/>
      <c r="CA113" s="165"/>
      <c r="CB113" s="165">
        <f>CB58*365/CB6</f>
        <v>0</v>
      </c>
      <c r="CC113" s="165"/>
      <c r="CD113" s="165"/>
      <c r="CE113" s="165"/>
      <c r="CF113" s="165"/>
      <c r="CG113" s="165"/>
      <c r="CH113" s="165"/>
      <c r="CI113" s="165">
        <f>CI58*365/CI6</f>
        <v>0</v>
      </c>
      <c r="CJ113" s="165" t="e">
        <f>#REF!*365/CJ7</f>
        <v>#REF!</v>
      </c>
      <c r="CK113" s="165" t="e">
        <f>#REF!*365/CK7</f>
        <v>#REF!</v>
      </c>
      <c r="CL113" s="165" t="e">
        <f>#REF!*365/CL7</f>
        <v>#REF!</v>
      </c>
      <c r="CM113" s="165" t="e">
        <f>#REF!*365/CM7</f>
        <v>#REF!</v>
      </c>
      <c r="CN113" s="165" t="e">
        <f>#REF!*365/CN7</f>
        <v>#REF!</v>
      </c>
      <c r="CO113" s="165" t="e">
        <f>#REF!*365/CO7</f>
        <v>#REF!</v>
      </c>
      <c r="CP113" s="165"/>
    </row>
    <row r="114" spans="2:94" x14ac:dyDescent="0.2">
      <c r="B114" s="105" t="s">
        <v>441</v>
      </c>
      <c r="D114" s="165"/>
      <c r="E114" s="165"/>
      <c r="F114" s="165"/>
      <c r="G114" s="165"/>
      <c r="H114" s="165"/>
      <c r="I114" s="165"/>
      <c r="J114" s="165" t="e">
        <f>J59*365/J7</f>
        <v>#DIV/0!</v>
      </c>
      <c r="K114" s="165"/>
      <c r="L114" s="165"/>
      <c r="M114" s="165"/>
      <c r="N114" s="165"/>
      <c r="O114" s="165"/>
      <c r="P114" s="165"/>
      <c r="Q114" s="165" t="e">
        <f>Q59*365/Q7</f>
        <v>#DIV/0!</v>
      </c>
      <c r="R114" s="165"/>
      <c r="S114" s="165"/>
      <c r="T114" s="165"/>
      <c r="U114" s="165"/>
      <c r="V114" s="165"/>
      <c r="W114" s="165"/>
      <c r="X114" s="165" t="e">
        <f>X59*365/X7</f>
        <v>#DIV/0!</v>
      </c>
      <c r="Y114" s="165"/>
      <c r="Z114" s="165"/>
      <c r="AA114" s="165"/>
      <c r="AB114" s="165"/>
      <c r="AC114" s="165"/>
      <c r="AD114" s="165"/>
      <c r="AE114" s="165" t="e">
        <f>AE59*365/AE7</f>
        <v>#DIV/0!</v>
      </c>
      <c r="AF114" s="165"/>
      <c r="AG114" s="165"/>
      <c r="AH114" s="165"/>
      <c r="AI114" s="165"/>
      <c r="AJ114" s="165"/>
      <c r="AK114" s="165"/>
      <c r="AL114" s="165" t="e">
        <f>AL59*365/AL7</f>
        <v>#DIV/0!</v>
      </c>
      <c r="AM114" s="165"/>
      <c r="AN114" s="165"/>
      <c r="AO114" s="165"/>
      <c r="AP114" s="165"/>
      <c r="AQ114" s="165"/>
      <c r="AR114" s="165"/>
      <c r="AS114" s="165" t="e">
        <f>AS59*365/AS7</f>
        <v>#DIV/0!</v>
      </c>
      <c r="AT114" s="165"/>
      <c r="AU114" s="165"/>
      <c r="AV114" s="165"/>
      <c r="AW114" s="165"/>
      <c r="AX114" s="165"/>
      <c r="AY114" s="165"/>
      <c r="AZ114" s="165" t="e">
        <f>AZ59*365/AZ7</f>
        <v>#DIV/0!</v>
      </c>
      <c r="BA114" s="165"/>
      <c r="BB114" s="165"/>
      <c r="BC114" s="165"/>
      <c r="BD114" s="165"/>
      <c r="BE114" s="165"/>
      <c r="BF114" s="165"/>
      <c r="BG114" s="165" t="e">
        <f>BG59*365/BG7</f>
        <v>#DIV/0!</v>
      </c>
      <c r="BH114" s="165"/>
      <c r="BI114" s="165"/>
      <c r="BJ114" s="165"/>
      <c r="BK114" s="165"/>
      <c r="BL114" s="165"/>
      <c r="BM114" s="165"/>
      <c r="BN114" s="165" t="e">
        <f>BN59*365/BN7</f>
        <v>#DIV/0!</v>
      </c>
      <c r="BO114" s="165"/>
      <c r="BP114" s="165"/>
      <c r="BQ114" s="165"/>
      <c r="BR114" s="165"/>
      <c r="BS114" s="165"/>
      <c r="BT114" s="165"/>
      <c r="BU114" s="165" t="e">
        <f>BU59*365/BU7</f>
        <v>#DIV/0!</v>
      </c>
      <c r="BV114" s="165"/>
      <c r="BW114" s="165"/>
      <c r="BX114" s="165"/>
      <c r="BY114" s="165"/>
      <c r="BZ114" s="165"/>
      <c r="CA114" s="165"/>
      <c r="CB114" s="165" t="e">
        <f>CB59*365/CB7</f>
        <v>#DIV/0!</v>
      </c>
      <c r="CC114" s="165"/>
      <c r="CD114" s="165"/>
      <c r="CE114" s="165"/>
      <c r="CF114" s="165"/>
      <c r="CG114" s="165"/>
      <c r="CH114" s="165"/>
      <c r="CI114" s="165" t="e">
        <f>CI59*365/CI7</f>
        <v>#DIV/0!</v>
      </c>
      <c r="CJ114" s="165" t="e">
        <f t="shared" ref="CJ114:CO114" si="45">CJ66*365/CJ7</f>
        <v>#DIV/0!</v>
      </c>
      <c r="CK114" s="165" t="e">
        <f t="shared" si="45"/>
        <v>#DIV/0!</v>
      </c>
      <c r="CL114" s="165" t="e">
        <f t="shared" si="45"/>
        <v>#DIV/0!</v>
      </c>
      <c r="CM114" s="165" t="e">
        <f t="shared" si="45"/>
        <v>#DIV/0!</v>
      </c>
      <c r="CN114" s="165" t="e">
        <f t="shared" si="45"/>
        <v>#DIV/0!</v>
      </c>
      <c r="CO114" s="165" t="e">
        <f t="shared" si="45"/>
        <v>#DIV/0!</v>
      </c>
      <c r="CP114" s="165"/>
    </row>
    <row r="115" spans="2:94" x14ac:dyDescent="0.2">
      <c r="B115" s="105" t="s">
        <v>442</v>
      </c>
      <c r="D115" s="165"/>
      <c r="E115" s="165"/>
      <c r="F115" s="165"/>
      <c r="G115" s="165"/>
      <c r="H115" s="165"/>
      <c r="I115" s="165"/>
      <c r="J115" s="165" t="e">
        <f>J66*365/J7</f>
        <v>#DIV/0!</v>
      </c>
      <c r="K115" s="165"/>
      <c r="L115" s="165"/>
      <c r="M115" s="165"/>
      <c r="N115" s="165"/>
      <c r="O115" s="165"/>
      <c r="P115" s="165"/>
      <c r="Q115" s="165" t="e">
        <f>Q66*365/Q7</f>
        <v>#DIV/0!</v>
      </c>
      <c r="R115" s="165"/>
      <c r="S115" s="165"/>
      <c r="T115" s="165"/>
      <c r="U115" s="165"/>
      <c r="V115" s="165"/>
      <c r="W115" s="165"/>
      <c r="X115" s="165" t="e">
        <f>X66*365/X7</f>
        <v>#DIV/0!</v>
      </c>
      <c r="Y115" s="165"/>
      <c r="Z115" s="165"/>
      <c r="AA115" s="165"/>
      <c r="AB115" s="165"/>
      <c r="AC115" s="165"/>
      <c r="AD115" s="165"/>
      <c r="AE115" s="165" t="e">
        <f>AE66*365/AE7</f>
        <v>#DIV/0!</v>
      </c>
      <c r="AF115" s="165"/>
      <c r="AG115" s="165"/>
      <c r="AH115" s="165"/>
      <c r="AI115" s="165"/>
      <c r="AJ115" s="165"/>
      <c r="AK115" s="165"/>
      <c r="AL115" s="165" t="e">
        <f>AL66*365/AL7</f>
        <v>#DIV/0!</v>
      </c>
      <c r="AM115" s="165"/>
      <c r="AN115" s="165"/>
      <c r="AO115" s="165"/>
      <c r="AP115" s="165"/>
      <c r="AQ115" s="165"/>
      <c r="AR115" s="165"/>
      <c r="AS115" s="165" t="e">
        <f>AS66*365/AS7</f>
        <v>#DIV/0!</v>
      </c>
      <c r="AT115" s="165"/>
      <c r="AU115" s="165"/>
      <c r="AV115" s="165"/>
      <c r="AW115" s="165"/>
      <c r="AX115" s="165"/>
      <c r="AY115" s="165"/>
      <c r="AZ115" s="165" t="e">
        <f>AZ66*365/AZ7</f>
        <v>#DIV/0!</v>
      </c>
      <c r="BA115" s="165"/>
      <c r="BB115" s="165"/>
      <c r="BC115" s="165"/>
      <c r="BD115" s="165"/>
      <c r="BE115" s="165"/>
      <c r="BF115" s="165"/>
      <c r="BG115" s="165" t="e">
        <f>BG66*365/BG7</f>
        <v>#DIV/0!</v>
      </c>
      <c r="BH115" s="165"/>
      <c r="BI115" s="165"/>
      <c r="BJ115" s="165"/>
      <c r="BK115" s="165"/>
      <c r="BL115" s="165"/>
      <c r="BM115" s="165"/>
      <c r="BN115" s="165" t="e">
        <f>BN66*365/BN7</f>
        <v>#DIV/0!</v>
      </c>
      <c r="BO115" s="165"/>
      <c r="BP115" s="165"/>
      <c r="BQ115" s="165"/>
      <c r="BR115" s="165"/>
      <c r="BS115" s="165"/>
      <c r="BT115" s="165"/>
      <c r="BU115" s="165" t="e">
        <f>BU66*365/BU7</f>
        <v>#DIV/0!</v>
      </c>
      <c r="BV115" s="165"/>
      <c r="BW115" s="165"/>
      <c r="BX115" s="165"/>
      <c r="BY115" s="165"/>
      <c r="BZ115" s="165"/>
      <c r="CA115" s="165"/>
      <c r="CB115" s="165" t="e">
        <f>CB66*365/CB7</f>
        <v>#DIV/0!</v>
      </c>
      <c r="CC115" s="165"/>
      <c r="CD115" s="165"/>
      <c r="CE115" s="165"/>
      <c r="CF115" s="165"/>
      <c r="CG115" s="165"/>
      <c r="CH115" s="165"/>
      <c r="CI115" s="165" t="e">
        <f>CI66*365/CI7</f>
        <v>#DIV/0!</v>
      </c>
      <c r="CJ115" s="165" t="e">
        <f t="shared" ref="CJ115:CO115" si="46">CJ112+CJ113-CJ114</f>
        <v>#REF!</v>
      </c>
      <c r="CK115" s="165" t="e">
        <f t="shared" si="46"/>
        <v>#REF!</v>
      </c>
      <c r="CL115" s="165" t="e">
        <f t="shared" si="46"/>
        <v>#REF!</v>
      </c>
      <c r="CM115" s="165" t="e">
        <f t="shared" si="46"/>
        <v>#REF!</v>
      </c>
      <c r="CN115" s="165" t="e">
        <f t="shared" si="46"/>
        <v>#REF!</v>
      </c>
      <c r="CO115" s="165" t="e">
        <f t="shared" si="46"/>
        <v>#REF!</v>
      </c>
      <c r="CP115" s="165"/>
    </row>
    <row r="116" spans="2:94" x14ac:dyDescent="0.2">
      <c r="B116" s="105" t="s">
        <v>365</v>
      </c>
      <c r="D116" s="165"/>
      <c r="E116" s="165"/>
      <c r="F116" s="165"/>
      <c r="G116" s="165"/>
      <c r="H116" s="165"/>
      <c r="I116" s="165"/>
      <c r="J116" s="165" t="e">
        <f>J113+J114-J115</f>
        <v>#DIV/0!</v>
      </c>
      <c r="K116" s="165"/>
      <c r="L116" s="165"/>
      <c r="M116" s="165"/>
      <c r="N116" s="165"/>
      <c r="O116" s="165"/>
      <c r="P116" s="165"/>
      <c r="Q116" s="165" t="e">
        <f>Q113+Q114-Q115</f>
        <v>#DIV/0!</v>
      </c>
      <c r="R116" s="165"/>
      <c r="S116" s="165"/>
      <c r="T116" s="165"/>
      <c r="U116" s="165"/>
      <c r="V116" s="165"/>
      <c r="W116" s="165"/>
      <c r="X116" s="165" t="e">
        <f>X113+X114-X115</f>
        <v>#DIV/0!</v>
      </c>
      <c r="Y116" s="165"/>
      <c r="Z116" s="165"/>
      <c r="AA116" s="165"/>
      <c r="AB116" s="165"/>
      <c r="AC116" s="165"/>
      <c r="AD116" s="165"/>
      <c r="AE116" s="165" t="e">
        <f>AE113+AE114-AE115</f>
        <v>#DIV/0!</v>
      </c>
      <c r="AF116" s="165"/>
      <c r="AG116" s="165"/>
      <c r="AH116" s="165"/>
      <c r="AI116" s="165"/>
      <c r="AJ116" s="165"/>
      <c r="AK116" s="165"/>
      <c r="AL116" s="165" t="e">
        <f>AL113+AL114-AL115</f>
        <v>#DIV/0!</v>
      </c>
      <c r="AM116" s="165"/>
      <c r="AN116" s="165"/>
      <c r="AO116" s="165"/>
      <c r="AP116" s="165"/>
      <c r="AQ116" s="165"/>
      <c r="AR116" s="165"/>
      <c r="AS116" s="165" t="e">
        <f>AS113+AS114-AS115</f>
        <v>#DIV/0!</v>
      </c>
      <c r="AT116" s="165"/>
      <c r="AU116" s="165"/>
      <c r="AV116" s="165"/>
      <c r="AW116" s="165"/>
      <c r="AX116" s="165"/>
      <c r="AY116" s="165"/>
      <c r="AZ116" s="165" t="e">
        <f>AZ113+AZ114-AZ115</f>
        <v>#DIV/0!</v>
      </c>
      <c r="BA116" s="165"/>
      <c r="BB116" s="165"/>
      <c r="BC116" s="165"/>
      <c r="BD116" s="165"/>
      <c r="BE116" s="165"/>
      <c r="BF116" s="165"/>
      <c r="BG116" s="165" t="e">
        <f>BG113+BG114-BG115</f>
        <v>#DIV/0!</v>
      </c>
      <c r="BH116" s="165"/>
      <c r="BI116" s="165"/>
      <c r="BJ116" s="165"/>
      <c r="BK116" s="165"/>
      <c r="BL116" s="165"/>
      <c r="BM116" s="165"/>
      <c r="BN116" s="165" t="e">
        <f>BN113+BN114-BN115</f>
        <v>#DIV/0!</v>
      </c>
      <c r="BO116" s="165"/>
      <c r="BP116" s="165"/>
      <c r="BQ116" s="165"/>
      <c r="BR116" s="165"/>
      <c r="BS116" s="165"/>
      <c r="BT116" s="165"/>
      <c r="BU116" s="165" t="e">
        <f>BU113+BU114-BU115</f>
        <v>#DIV/0!</v>
      </c>
      <c r="BV116" s="165"/>
      <c r="BW116" s="165"/>
      <c r="BX116" s="165"/>
      <c r="BY116" s="165"/>
      <c r="BZ116" s="165"/>
      <c r="CA116" s="165"/>
      <c r="CB116" s="165" t="e">
        <f>CB113+CB114-CB115</f>
        <v>#DIV/0!</v>
      </c>
      <c r="CC116" s="165"/>
      <c r="CD116" s="165"/>
      <c r="CE116" s="165"/>
      <c r="CF116" s="165"/>
      <c r="CG116" s="165"/>
      <c r="CH116" s="165"/>
      <c r="CI116" s="165" t="e">
        <f>CI113+CI114-CI115</f>
        <v>#DIV/0!</v>
      </c>
    </row>
    <row r="118" spans="2:94" ht="16" x14ac:dyDescent="0.2">
      <c r="B118" s="183" t="s">
        <v>366</v>
      </c>
      <c r="C118" s="214"/>
      <c r="CJ118" s="166">
        <f t="shared" ref="CJ118:CO118" si="47">CJ8/CJ6</f>
        <v>1</v>
      </c>
      <c r="CK118" s="166">
        <f t="shared" si="47"/>
        <v>1</v>
      </c>
      <c r="CL118" s="166">
        <f t="shared" si="47"/>
        <v>1</v>
      </c>
      <c r="CM118" s="166">
        <f t="shared" si="47"/>
        <v>1</v>
      </c>
      <c r="CN118" s="166">
        <f t="shared" si="47"/>
        <v>1</v>
      </c>
      <c r="CO118" s="166">
        <f t="shared" si="47"/>
        <v>1</v>
      </c>
      <c r="CP118" s="166"/>
    </row>
    <row r="119" spans="2:94" x14ac:dyDescent="0.2">
      <c r="B119" s="105" t="s">
        <v>367</v>
      </c>
      <c r="D119" s="166"/>
      <c r="E119" s="166"/>
      <c r="F119" s="166"/>
      <c r="G119" s="166"/>
      <c r="H119" s="166"/>
      <c r="I119" s="166"/>
      <c r="J119" s="166">
        <f>J8/J6</f>
        <v>1</v>
      </c>
      <c r="K119" s="166"/>
      <c r="L119" s="166"/>
      <c r="M119" s="166"/>
      <c r="N119" s="166"/>
      <c r="O119" s="166"/>
      <c r="P119" s="166"/>
      <c r="Q119" s="166">
        <f>Q8/Q6</f>
        <v>1</v>
      </c>
      <c r="R119" s="166"/>
      <c r="S119" s="166"/>
      <c r="T119" s="166"/>
      <c r="U119" s="166"/>
      <c r="V119" s="166"/>
      <c r="W119" s="166"/>
      <c r="X119" s="166">
        <f>X8/X6</f>
        <v>1</v>
      </c>
      <c r="Y119" s="166"/>
      <c r="Z119" s="166"/>
      <c r="AA119" s="166"/>
      <c r="AB119" s="166"/>
      <c r="AC119" s="166"/>
      <c r="AD119" s="166"/>
      <c r="AE119" s="166">
        <f>AE8/AE6</f>
        <v>1</v>
      </c>
      <c r="AF119" s="166"/>
      <c r="AG119" s="166"/>
      <c r="AH119" s="166"/>
      <c r="AI119" s="166"/>
      <c r="AJ119" s="166"/>
      <c r="AK119" s="166"/>
      <c r="AL119" s="166">
        <f>AL8/AL6</f>
        <v>1</v>
      </c>
      <c r="AM119" s="166"/>
      <c r="AN119" s="166"/>
      <c r="AO119" s="166"/>
      <c r="AP119" s="166"/>
      <c r="AQ119" s="166"/>
      <c r="AR119" s="166"/>
      <c r="AS119" s="166">
        <f>AS8/AS6</f>
        <v>1</v>
      </c>
      <c r="AT119" s="166"/>
      <c r="AU119" s="166"/>
      <c r="AV119" s="166"/>
      <c r="AW119" s="166"/>
      <c r="AX119" s="166"/>
      <c r="AY119" s="166"/>
      <c r="AZ119" s="166">
        <f>AZ8/AZ6</f>
        <v>1</v>
      </c>
      <c r="BA119" s="166"/>
      <c r="BB119" s="166"/>
      <c r="BC119" s="166"/>
      <c r="BD119" s="166"/>
      <c r="BE119" s="166"/>
      <c r="BF119" s="166"/>
      <c r="BG119" s="166">
        <f>BG8/BG6</f>
        <v>1</v>
      </c>
      <c r="BH119" s="166"/>
      <c r="BI119" s="166"/>
      <c r="BJ119" s="166"/>
      <c r="BK119" s="166"/>
      <c r="BL119" s="166"/>
      <c r="BM119" s="166"/>
      <c r="BN119" s="166">
        <f>BN8/BN6</f>
        <v>1</v>
      </c>
      <c r="BO119" s="166"/>
      <c r="BP119" s="166"/>
      <c r="BQ119" s="166"/>
      <c r="BR119" s="166"/>
      <c r="BS119" s="166"/>
      <c r="BT119" s="166"/>
      <c r="BU119" s="166">
        <f>BU8/BU6</f>
        <v>1</v>
      </c>
      <c r="BV119" s="166"/>
      <c r="BW119" s="166"/>
      <c r="BX119" s="166"/>
      <c r="BY119" s="166"/>
      <c r="BZ119" s="166"/>
      <c r="CA119" s="166"/>
      <c r="CB119" s="166">
        <f>CB8/CB6</f>
        <v>1</v>
      </c>
      <c r="CC119" s="166"/>
      <c r="CD119" s="166"/>
      <c r="CE119" s="166"/>
      <c r="CF119" s="166"/>
      <c r="CG119" s="166"/>
      <c r="CH119" s="166"/>
      <c r="CI119" s="166">
        <f>CI8/CI6</f>
        <v>1</v>
      </c>
      <c r="CJ119" s="166" t="e">
        <f>#REF!/CJ6</f>
        <v>#REF!</v>
      </c>
      <c r="CK119" s="166">
        <f>CJ16/CK6</f>
        <v>-6.1869030530872685E-2</v>
      </c>
      <c r="CL119" s="166">
        <f>CL16/CL6</f>
        <v>0.58187780883174955</v>
      </c>
      <c r="CM119" s="166" t="e">
        <f>#REF!/CM6</f>
        <v>#REF!</v>
      </c>
      <c r="CN119" s="166">
        <f>CM16/CN6</f>
        <v>0.25340784810126582</v>
      </c>
      <c r="CO119" s="166">
        <f>CO16/CO6</f>
        <v>0.68921952395573316</v>
      </c>
      <c r="CP119" s="166"/>
    </row>
    <row r="120" spans="2:94" x14ac:dyDescent="0.2">
      <c r="B120" s="105" t="s">
        <v>443</v>
      </c>
      <c r="D120" s="166"/>
      <c r="E120" s="166"/>
      <c r="F120" s="166"/>
      <c r="G120" s="166"/>
      <c r="H120" s="166"/>
      <c r="I120" s="166"/>
      <c r="J120" s="166">
        <f>J16/J6</f>
        <v>0.1401399989225299</v>
      </c>
      <c r="K120" s="166"/>
      <c r="L120" s="166"/>
      <c r="M120" s="166"/>
      <c r="N120" s="166"/>
      <c r="O120" s="166"/>
      <c r="P120" s="166"/>
      <c r="Q120" s="166">
        <f>Q16/Q6</f>
        <v>-0.16272251187579656</v>
      </c>
      <c r="R120" s="166"/>
      <c r="S120" s="166"/>
      <c r="T120" s="166"/>
      <c r="U120" s="166"/>
      <c r="V120" s="166"/>
      <c r="W120" s="166"/>
      <c r="X120" s="166">
        <f>X16/X6</f>
        <v>0.33053170331174164</v>
      </c>
      <c r="Y120" s="166"/>
      <c r="Z120" s="166"/>
      <c r="AA120" s="166"/>
      <c r="AB120" s="166"/>
      <c r="AC120" s="166"/>
      <c r="AD120" s="166"/>
      <c r="AE120" s="166">
        <f>AE16/AE6</f>
        <v>0.90192710515291163</v>
      </c>
      <c r="AF120" s="166"/>
      <c r="AG120" s="166"/>
      <c r="AH120" s="166"/>
      <c r="AI120" s="166"/>
      <c r="AJ120" s="166"/>
      <c r="AK120" s="166"/>
      <c r="AL120" s="166">
        <f>AL16/AL6</f>
        <v>0.6403588412055945</v>
      </c>
      <c r="AM120" s="166"/>
      <c r="AN120" s="166"/>
      <c r="AO120" s="166"/>
      <c r="AP120" s="166"/>
      <c r="AQ120" s="166"/>
      <c r="AR120" s="166"/>
      <c r="AS120" s="166">
        <f>AS16/AS6</f>
        <v>0.5850839513082412</v>
      </c>
      <c r="AT120" s="166"/>
      <c r="AU120" s="166"/>
      <c r="AV120" s="166"/>
      <c r="AW120" s="166"/>
      <c r="AX120" s="166"/>
      <c r="AY120" s="166"/>
      <c r="AZ120" s="166">
        <f>AZ16/AZ6</f>
        <v>0.83958618704464694</v>
      </c>
      <c r="BA120" s="166"/>
      <c r="BB120" s="166"/>
      <c r="BC120" s="166"/>
      <c r="BD120" s="166"/>
      <c r="BE120" s="166"/>
      <c r="BF120" s="166"/>
      <c r="BG120" s="166">
        <f>BG16/BG6</f>
        <v>0.89542894374084603</v>
      </c>
      <c r="BH120" s="166"/>
      <c r="BI120" s="166"/>
      <c r="BJ120" s="166"/>
      <c r="BK120" s="166"/>
      <c r="BL120" s="166"/>
      <c r="BM120" s="166"/>
      <c r="BN120" s="166">
        <f>BN16/BN6</f>
        <v>0.74648475332374609</v>
      </c>
      <c r="BO120" s="166"/>
      <c r="BP120" s="166"/>
      <c r="BQ120" s="166"/>
      <c r="BR120" s="166"/>
      <c r="BS120" s="166"/>
      <c r="BT120" s="166"/>
      <c r="BU120" s="166">
        <f>BU16/BU6</f>
        <v>0.4528436821766979</v>
      </c>
      <c r="BV120" s="166"/>
      <c r="BW120" s="166"/>
      <c r="BX120" s="166"/>
      <c r="BY120" s="166"/>
      <c r="BZ120" s="166"/>
      <c r="CA120" s="166"/>
      <c r="CB120" s="166">
        <f>CB16/CB6</f>
        <v>0.61935489775001218</v>
      </c>
      <c r="CC120" s="166"/>
      <c r="CD120" s="166"/>
      <c r="CE120" s="166"/>
      <c r="CF120" s="166"/>
      <c r="CG120" s="166"/>
      <c r="CH120" s="166"/>
      <c r="CI120" s="166">
        <f>CI16/CI6</f>
        <v>0.91285818292945997</v>
      </c>
      <c r="CJ120" s="168" t="e">
        <f>#REF!+CJ14</f>
        <v>#REF!</v>
      </c>
      <c r="CK120" s="169">
        <f>CJ16+CK14</f>
        <v>-2280962.6700000018</v>
      </c>
      <c r="CL120" s="169">
        <f>CL16+CL14</f>
        <v>10409794</v>
      </c>
      <c r="CM120" s="168" t="e">
        <f>#REF!+CM14</f>
        <v>#REF!</v>
      </c>
      <c r="CN120" s="169">
        <f>CM16+CN14</f>
        <v>5004805</v>
      </c>
      <c r="CO120" s="169">
        <f>CO16+CO14</f>
        <v>6437870</v>
      </c>
      <c r="CP120" s="168"/>
    </row>
    <row r="121" spans="2:94" x14ac:dyDescent="0.2">
      <c r="B121" s="105" t="s">
        <v>368</v>
      </c>
      <c r="D121" s="168"/>
      <c r="E121" s="169"/>
      <c r="F121" s="169"/>
      <c r="G121" s="168"/>
      <c r="H121" s="169"/>
      <c r="I121" s="169"/>
      <c r="J121" s="168">
        <f>J16+J15</f>
        <v>1300639.33</v>
      </c>
      <c r="K121" s="169"/>
      <c r="L121" s="169"/>
      <c r="M121" s="168"/>
      <c r="N121" s="169"/>
      <c r="O121" s="169"/>
      <c r="P121" s="168"/>
      <c r="Q121" s="168">
        <f>Q16+Q15</f>
        <v>-1404458</v>
      </c>
      <c r="R121" s="169"/>
      <c r="S121" s="168"/>
      <c r="T121" s="169"/>
      <c r="U121" s="169"/>
      <c r="V121" s="168"/>
      <c r="W121" s="169"/>
      <c r="X121" s="168">
        <f>X16+X15</f>
        <v>3622958</v>
      </c>
      <c r="Y121" s="168"/>
      <c r="Z121" s="169"/>
      <c r="AA121" s="169"/>
      <c r="AB121" s="168"/>
      <c r="AC121" s="169"/>
      <c r="AD121" s="169"/>
      <c r="AE121" s="168">
        <f>AE16+AE15</f>
        <v>6458700</v>
      </c>
      <c r="AF121" s="169"/>
      <c r="AG121" s="169"/>
      <c r="AH121" s="168"/>
      <c r="AI121" s="169"/>
      <c r="AJ121" s="169"/>
      <c r="AK121" s="168"/>
      <c r="AL121" s="168">
        <f>AL16+AL15</f>
        <v>6151807</v>
      </c>
      <c r="AM121" s="169"/>
      <c r="AN121" s="168"/>
      <c r="AO121" s="169"/>
      <c r="AP121" s="169"/>
      <c r="AQ121" s="168"/>
      <c r="AR121" s="169"/>
      <c r="AS121" s="168">
        <f>AS16+AS15</f>
        <v>4181595</v>
      </c>
      <c r="AT121" s="168"/>
      <c r="AU121" s="169"/>
      <c r="AV121" s="169"/>
      <c r="AW121" s="168"/>
      <c r="AX121" s="169"/>
      <c r="AY121" s="169"/>
      <c r="AZ121" s="168">
        <f>AZ16+AZ15</f>
        <v>8458495</v>
      </c>
      <c r="BA121" s="169"/>
      <c r="BB121" s="169"/>
      <c r="BC121" s="168"/>
      <c r="BD121" s="169"/>
      <c r="BE121" s="169"/>
      <c r="BF121" s="168"/>
      <c r="BG121" s="168">
        <f>BG16+BG15</f>
        <v>8314595</v>
      </c>
      <c r="BH121" s="169"/>
      <c r="BI121" s="168"/>
      <c r="BJ121" s="169"/>
      <c r="BK121" s="169"/>
      <c r="BL121" s="168"/>
      <c r="BM121" s="169"/>
      <c r="BN121" s="168">
        <f>BN16+BN15</f>
        <v>5086995</v>
      </c>
      <c r="BO121" s="168"/>
      <c r="BP121" s="169"/>
      <c r="BQ121" s="169"/>
      <c r="BR121" s="168"/>
      <c r="BS121" s="169"/>
      <c r="BT121" s="169"/>
      <c r="BU121" s="168">
        <f>BU16+BU15</f>
        <v>5132802</v>
      </c>
      <c r="BV121" s="169"/>
      <c r="BW121" s="169"/>
      <c r="BX121" s="168"/>
      <c r="BY121" s="169"/>
      <c r="BZ121" s="169"/>
      <c r="CA121" s="168"/>
      <c r="CB121" s="168">
        <f>CB16+CB15</f>
        <v>5075985</v>
      </c>
      <c r="CC121" s="169"/>
      <c r="CD121" s="168"/>
      <c r="CE121" s="169"/>
      <c r="CF121" s="169"/>
      <c r="CG121" s="168"/>
      <c r="CH121" s="169"/>
      <c r="CI121" s="168">
        <f>CI16+CI15</f>
        <v>10156095</v>
      </c>
      <c r="CJ121" s="166" t="e">
        <f t="shared" ref="CJ121:CO121" si="48">CJ120/CJ6</f>
        <v>#REF!</v>
      </c>
      <c r="CK121" s="166">
        <f t="shared" si="48"/>
        <v>-6.1869030530872685E-2</v>
      </c>
      <c r="CL121" s="166">
        <f t="shared" si="48"/>
        <v>0.58187780883174955</v>
      </c>
      <c r="CM121" s="166" t="e">
        <f t="shared" si="48"/>
        <v>#REF!</v>
      </c>
      <c r="CN121" s="166">
        <f t="shared" si="48"/>
        <v>0.25340784810126582</v>
      </c>
      <c r="CO121" s="166">
        <f t="shared" si="48"/>
        <v>0.68921952395573316</v>
      </c>
      <c r="CP121" s="166"/>
    </row>
    <row r="122" spans="2:94" x14ac:dyDescent="0.2">
      <c r="B122" s="105" t="s">
        <v>369</v>
      </c>
      <c r="D122" s="166"/>
      <c r="E122" s="166"/>
      <c r="F122" s="166"/>
      <c r="G122" s="166"/>
      <c r="H122" s="166"/>
      <c r="I122" s="166"/>
      <c r="J122" s="166">
        <f>J121/J6</f>
        <v>0.1401399989225299</v>
      </c>
      <c r="K122" s="166"/>
      <c r="L122" s="166"/>
      <c r="M122" s="166"/>
      <c r="N122" s="166"/>
      <c r="O122" s="166"/>
      <c r="P122" s="166"/>
      <c r="Q122" s="166">
        <f>Q121/Q6</f>
        <v>-0.16272251187579656</v>
      </c>
      <c r="R122" s="166"/>
      <c r="S122" s="166"/>
      <c r="T122" s="166"/>
      <c r="U122" s="166"/>
      <c r="V122" s="166"/>
      <c r="W122" s="166"/>
      <c r="X122" s="166">
        <f>X121/X6</f>
        <v>0.33053170331174164</v>
      </c>
      <c r="Y122" s="166"/>
      <c r="Z122" s="166"/>
      <c r="AA122" s="166"/>
      <c r="AB122" s="166"/>
      <c r="AC122" s="166"/>
      <c r="AD122" s="166"/>
      <c r="AE122" s="166">
        <f>AE121/AE6</f>
        <v>0.90192710515291163</v>
      </c>
      <c r="AF122" s="166"/>
      <c r="AG122" s="166"/>
      <c r="AH122" s="166"/>
      <c r="AI122" s="166"/>
      <c r="AJ122" s="166"/>
      <c r="AK122" s="166"/>
      <c r="AL122" s="166">
        <f>AL121/AL6</f>
        <v>0.6403588412055945</v>
      </c>
      <c r="AM122" s="166"/>
      <c r="AN122" s="166"/>
      <c r="AO122" s="166"/>
      <c r="AP122" s="166"/>
      <c r="AQ122" s="166"/>
      <c r="AR122" s="166"/>
      <c r="AS122" s="166">
        <f>AS121/AS6</f>
        <v>0.5850839513082412</v>
      </c>
      <c r="AT122" s="166"/>
      <c r="AU122" s="166"/>
      <c r="AV122" s="166"/>
      <c r="AW122" s="166"/>
      <c r="AX122" s="166"/>
      <c r="AY122" s="166"/>
      <c r="AZ122" s="166">
        <f>AZ121/AZ6</f>
        <v>0.83958618704464694</v>
      </c>
      <c r="BA122" s="166"/>
      <c r="BB122" s="166"/>
      <c r="BC122" s="166"/>
      <c r="BD122" s="166"/>
      <c r="BE122" s="166"/>
      <c r="BF122" s="166"/>
      <c r="BG122" s="166">
        <f>BG121/BG6</f>
        <v>0.89542894374084603</v>
      </c>
      <c r="BH122" s="166"/>
      <c r="BI122" s="166"/>
      <c r="BJ122" s="166"/>
      <c r="BK122" s="166"/>
      <c r="BL122" s="166"/>
      <c r="BM122" s="166"/>
      <c r="BN122" s="166">
        <f>BN121/BN6</f>
        <v>0.74648475332374609</v>
      </c>
      <c r="BO122" s="166"/>
      <c r="BP122" s="166"/>
      <c r="BQ122" s="166"/>
      <c r="BR122" s="166"/>
      <c r="BS122" s="166"/>
      <c r="BT122" s="166"/>
      <c r="BU122" s="166">
        <f>BU121/BU6</f>
        <v>0.4528436821766979</v>
      </c>
      <c r="BV122" s="166"/>
      <c r="BW122" s="166"/>
      <c r="BX122" s="166"/>
      <c r="BY122" s="166"/>
      <c r="BZ122" s="166"/>
      <c r="CA122" s="166"/>
      <c r="CB122" s="166">
        <f>CB121/CB6</f>
        <v>0.61935489775001218</v>
      </c>
      <c r="CC122" s="166"/>
      <c r="CD122" s="166"/>
      <c r="CE122" s="166"/>
      <c r="CF122" s="166"/>
      <c r="CG122" s="166"/>
      <c r="CH122" s="166"/>
      <c r="CI122" s="166">
        <f>CI121/CI6</f>
        <v>0.91285818292945997</v>
      </c>
      <c r="CJ122" s="166">
        <f t="shared" ref="CJ122:CO122" si="49">CJ47/CJ6</f>
        <v>0</v>
      </c>
      <c r="CK122" s="166">
        <f t="shared" si="49"/>
        <v>0</v>
      </c>
      <c r="CL122" s="166">
        <f t="shared" si="49"/>
        <v>0</v>
      </c>
      <c r="CM122" s="166">
        <f t="shared" si="49"/>
        <v>0</v>
      </c>
      <c r="CN122" s="166">
        <f t="shared" si="49"/>
        <v>0</v>
      </c>
      <c r="CO122" s="166">
        <f t="shared" si="49"/>
        <v>0</v>
      </c>
      <c r="CP122" s="166"/>
    </row>
    <row r="123" spans="2:94" x14ac:dyDescent="0.2">
      <c r="B123" s="170" t="s">
        <v>370</v>
      </c>
      <c r="D123" s="166"/>
      <c r="E123" s="166"/>
      <c r="F123" s="166"/>
      <c r="G123" s="166"/>
      <c r="H123" s="166"/>
      <c r="I123" s="166"/>
      <c r="J123" s="166">
        <f>J47/J6</f>
        <v>-1.927670304924038</v>
      </c>
      <c r="K123" s="166"/>
      <c r="L123" s="166"/>
      <c r="M123" s="166"/>
      <c r="N123" s="166"/>
      <c r="O123" s="166"/>
      <c r="P123" s="166"/>
      <c r="Q123" s="166">
        <f>Q47/Q6</f>
        <v>-1.1802625860271116</v>
      </c>
      <c r="R123" s="166"/>
      <c r="S123" s="166"/>
      <c r="T123" s="166"/>
      <c r="U123" s="166"/>
      <c r="V123" s="166"/>
      <c r="W123" s="166"/>
      <c r="X123" s="166">
        <f>X47/X6</f>
        <v>0.18935848462731508</v>
      </c>
      <c r="Y123" s="166"/>
      <c r="Z123" s="166"/>
      <c r="AA123" s="166"/>
      <c r="AB123" s="166"/>
      <c r="AC123" s="166"/>
      <c r="AD123" s="166"/>
      <c r="AE123" s="166">
        <f>AE47/AE6</f>
        <v>0.31972084625052394</v>
      </c>
      <c r="AF123" s="166"/>
      <c r="AG123" s="166"/>
      <c r="AH123" s="166"/>
      <c r="AI123" s="166"/>
      <c r="AJ123" s="166"/>
      <c r="AK123" s="166"/>
      <c r="AL123" s="166">
        <f>AL47/AL6</f>
        <v>0.56056780438713694</v>
      </c>
      <c r="AM123" s="166"/>
      <c r="AN123" s="166"/>
      <c r="AO123" s="166"/>
      <c r="AP123" s="166"/>
      <c r="AQ123" s="166"/>
      <c r="AR123" s="166"/>
      <c r="AS123" s="166">
        <f>AS47/AS6</f>
        <v>2.6575357492654206E-2</v>
      </c>
      <c r="AT123" s="166"/>
      <c r="AU123" s="166"/>
      <c r="AV123" s="166"/>
      <c r="AW123" s="166"/>
      <c r="AX123" s="166"/>
      <c r="AY123" s="166"/>
      <c r="AZ123" s="166">
        <f>AZ47/AZ6</f>
        <v>1.5956439610505628</v>
      </c>
      <c r="BA123" s="166"/>
      <c r="BB123" s="166"/>
      <c r="BC123" s="166"/>
      <c r="BD123" s="166"/>
      <c r="BE123" s="166"/>
      <c r="BF123" s="166"/>
      <c r="BG123" s="166">
        <f>BG47/BG6</f>
        <v>0.94846184522271049</v>
      </c>
      <c r="BH123" s="166"/>
      <c r="BI123" s="166"/>
      <c r="BJ123" s="166"/>
      <c r="BK123" s="166"/>
      <c r="BL123" s="166"/>
      <c r="BM123" s="166"/>
      <c r="BN123" s="166">
        <f>BN47/BN6</f>
        <v>-1.0248835426877587</v>
      </c>
      <c r="BO123" s="166"/>
      <c r="BP123" s="166"/>
      <c r="BQ123" s="166"/>
      <c r="BR123" s="166"/>
      <c r="BS123" s="166"/>
      <c r="BT123" s="166"/>
      <c r="BU123" s="166">
        <f>BU47/BU6</f>
        <v>0.22405612108058512</v>
      </c>
      <c r="BV123" s="166"/>
      <c r="BW123" s="166"/>
      <c r="BX123" s="166"/>
      <c r="BY123" s="166"/>
      <c r="BZ123" s="166"/>
      <c r="CA123" s="166"/>
      <c r="CB123" s="166">
        <f>CB47/CB6</f>
        <v>0.65343938942847379</v>
      </c>
      <c r="CC123" s="166"/>
      <c r="CD123" s="166"/>
      <c r="CE123" s="166"/>
      <c r="CF123" s="166"/>
      <c r="CG123" s="166"/>
      <c r="CH123" s="166"/>
      <c r="CI123" s="166">
        <f>CI47/CI6</f>
        <v>0.39322207791040492</v>
      </c>
      <c r="CJ123" s="171" t="e">
        <f t="shared" ref="CJ123:CO123" si="50">CJ47/CJ64</f>
        <v>#DIV/0!</v>
      </c>
      <c r="CK123" s="171" t="e">
        <f t="shared" si="50"/>
        <v>#DIV/0!</v>
      </c>
      <c r="CL123" s="171" t="e">
        <f t="shared" si="50"/>
        <v>#DIV/0!</v>
      </c>
      <c r="CM123" s="171" t="e">
        <f t="shared" si="50"/>
        <v>#DIV/0!</v>
      </c>
      <c r="CN123" s="171" t="e">
        <f t="shared" si="50"/>
        <v>#DIV/0!</v>
      </c>
      <c r="CO123" s="171" t="e">
        <f t="shared" si="50"/>
        <v>#DIV/0!</v>
      </c>
      <c r="CP123" s="171"/>
    </row>
    <row r="124" spans="2:94" x14ac:dyDescent="0.2">
      <c r="B124" s="105" t="s">
        <v>371</v>
      </c>
      <c r="D124" s="171"/>
      <c r="E124" s="171"/>
      <c r="F124" s="171"/>
      <c r="G124" s="171"/>
      <c r="H124" s="171"/>
      <c r="I124" s="171"/>
      <c r="J124" s="244">
        <f>J47/J64</f>
        <v>-9.2386505913743863E-3</v>
      </c>
      <c r="K124" s="244"/>
      <c r="L124" s="244"/>
      <c r="M124" s="244"/>
      <c r="N124" s="244"/>
      <c r="O124" s="244"/>
      <c r="P124" s="244"/>
      <c r="Q124" s="244">
        <f>Q47/Q64</f>
        <v>-5.2882426269365273E-3</v>
      </c>
      <c r="R124" s="244"/>
      <c r="S124" s="244"/>
      <c r="T124" s="244"/>
      <c r="U124" s="244"/>
      <c r="V124" s="244"/>
      <c r="W124" s="244"/>
      <c r="X124" s="244">
        <f>X47/X64</f>
        <v>1.0763137140204378E-3</v>
      </c>
      <c r="Y124" s="244"/>
      <c r="Z124" s="244"/>
      <c r="AA124" s="244"/>
      <c r="AB124" s="244"/>
      <c r="AC124" s="244"/>
      <c r="AD124" s="244"/>
      <c r="AE124" s="244">
        <f>AE47/AE64</f>
        <v>1.1858594982628885E-3</v>
      </c>
      <c r="AF124" s="244"/>
      <c r="AG124" s="244"/>
      <c r="AH124" s="244"/>
      <c r="AI124" s="244"/>
      <c r="AJ124" s="244"/>
      <c r="AK124" s="244"/>
      <c r="AL124" s="244">
        <f>AL47/AL64</f>
        <v>2.7815467148995031E-3</v>
      </c>
      <c r="AM124" s="244"/>
      <c r="AN124" s="244"/>
      <c r="AO124" s="244"/>
      <c r="AP124" s="244"/>
      <c r="AQ124" s="244"/>
      <c r="AR124" s="244"/>
      <c r="AS124" s="244">
        <f>AS47/AS64</f>
        <v>9.8093269349798132E-5</v>
      </c>
      <c r="AT124" s="244"/>
      <c r="AU124" s="244"/>
      <c r="AV124" s="244"/>
      <c r="AW124" s="244"/>
      <c r="AX124" s="244"/>
      <c r="AY124" s="244"/>
      <c r="AZ124" s="244">
        <f>AZ47/AZ64</f>
        <v>8.2339712261807856E-3</v>
      </c>
      <c r="BA124" s="244"/>
      <c r="BB124" s="244"/>
      <c r="BC124" s="244"/>
      <c r="BD124" s="244"/>
      <c r="BE124" s="244"/>
      <c r="BF124" s="244"/>
      <c r="BG124" s="244">
        <f>BG47/BG64</f>
        <v>4.4907685027412549E-3</v>
      </c>
      <c r="BH124" s="244"/>
      <c r="BI124" s="244"/>
      <c r="BJ124" s="244"/>
      <c r="BK124" s="244"/>
      <c r="BL124" s="244"/>
      <c r="BM124" s="244"/>
      <c r="BN124" s="244">
        <f>BN47/BN64</f>
        <v>-3.5740047343519642E-3</v>
      </c>
      <c r="BO124" s="244"/>
      <c r="BP124" s="244"/>
      <c r="BQ124" s="244"/>
      <c r="BR124" s="244"/>
      <c r="BS124" s="244"/>
      <c r="BT124" s="244"/>
      <c r="BU124" s="244">
        <f>BU47/BU64</f>
        <v>1.2978939629081474E-3</v>
      </c>
      <c r="BV124" s="244"/>
      <c r="BW124" s="244"/>
      <c r="BX124" s="244"/>
      <c r="BY124" s="244"/>
      <c r="BZ124" s="244"/>
      <c r="CA124" s="244"/>
      <c r="CB124" s="244">
        <f>CB47/CB64</f>
        <v>2.7294507279715403E-3</v>
      </c>
      <c r="CC124" s="244"/>
      <c r="CD124" s="244"/>
      <c r="CE124" s="244"/>
      <c r="CF124" s="244"/>
      <c r="CG124" s="244"/>
      <c r="CH124" s="244"/>
      <c r="CI124" s="244">
        <f>CI47/CI64</f>
        <v>2.224760436156869E-3</v>
      </c>
      <c r="CJ124" s="171" t="e">
        <f t="shared" ref="CJ124:CO124" si="51">CJ47/CJ79</f>
        <v>#DIV/0!</v>
      </c>
      <c r="CK124" s="171" t="e">
        <f t="shared" si="51"/>
        <v>#DIV/0!</v>
      </c>
      <c r="CL124" s="171" t="e">
        <f t="shared" si="51"/>
        <v>#DIV/0!</v>
      </c>
      <c r="CM124" s="171" t="e">
        <f t="shared" si="51"/>
        <v>#DIV/0!</v>
      </c>
      <c r="CN124" s="171" t="e">
        <f t="shared" si="51"/>
        <v>#DIV/0!</v>
      </c>
      <c r="CO124" s="171" t="e">
        <f t="shared" si="51"/>
        <v>#DIV/0!</v>
      </c>
      <c r="CP124" s="171"/>
    </row>
    <row r="125" spans="2:94" x14ac:dyDescent="0.2">
      <c r="B125" s="105" t="s">
        <v>372</v>
      </c>
      <c r="D125" s="171"/>
      <c r="E125" s="171"/>
      <c r="F125" s="171"/>
      <c r="G125" s="171"/>
      <c r="H125" s="171"/>
      <c r="I125" s="171"/>
      <c r="J125" s="244">
        <f>J47/J79</f>
        <v>-9.7681506321251835E-3</v>
      </c>
      <c r="K125" s="244"/>
      <c r="L125" s="244"/>
      <c r="M125" s="244"/>
      <c r="N125" s="244"/>
      <c r="O125" s="244"/>
      <c r="P125" s="244"/>
      <c r="Q125" s="244">
        <f>Q47/Q79</f>
        <v>-5.5930258664815651E-3</v>
      </c>
      <c r="R125" s="244"/>
      <c r="S125" s="244"/>
      <c r="T125" s="244"/>
      <c r="U125" s="244"/>
      <c r="V125" s="244"/>
      <c r="W125" s="244"/>
      <c r="X125" s="244">
        <f>X47/X79</f>
        <v>1.1382755037936427E-3</v>
      </c>
      <c r="Y125" s="244"/>
      <c r="Z125" s="244"/>
      <c r="AA125" s="244"/>
      <c r="AB125" s="244"/>
      <c r="AC125" s="244"/>
      <c r="AD125" s="244"/>
      <c r="AE125" s="244">
        <f>AE47/AE79</f>
        <v>1.2540420657634172E-3</v>
      </c>
      <c r="AF125" s="244"/>
      <c r="AG125" s="244"/>
      <c r="AH125" s="244"/>
      <c r="AI125" s="244"/>
      <c r="AJ125" s="244"/>
      <c r="AK125" s="244"/>
      <c r="AL125" s="244">
        <f>AL47/AL79</f>
        <v>2.9410050879137067E-3</v>
      </c>
      <c r="AM125" s="244"/>
      <c r="AN125" s="244"/>
      <c r="AO125" s="244"/>
      <c r="AP125" s="244"/>
      <c r="AQ125" s="244"/>
      <c r="AR125" s="244"/>
      <c r="AS125" s="244">
        <f>AS47/AS79</f>
        <v>1.0371610169145111E-4</v>
      </c>
      <c r="AT125" s="244"/>
      <c r="AU125" s="244"/>
      <c r="AV125" s="244"/>
      <c r="AW125" s="244"/>
      <c r="AX125" s="244"/>
      <c r="AY125" s="244"/>
      <c r="AZ125" s="244">
        <f>AZ47/AZ79</f>
        <v>8.7018459322245906E-3</v>
      </c>
      <c r="BA125" s="244"/>
      <c r="BB125" s="244"/>
      <c r="BC125" s="244"/>
      <c r="BD125" s="244"/>
      <c r="BE125" s="244"/>
      <c r="BF125" s="244"/>
      <c r="BG125" s="244">
        <f>BG47/BG79</f>
        <v>4.7447343830739012E-3</v>
      </c>
      <c r="BH125" s="244"/>
      <c r="BI125" s="244"/>
      <c r="BJ125" s="244"/>
      <c r="BK125" s="244"/>
      <c r="BL125" s="244"/>
      <c r="BM125" s="244"/>
      <c r="BN125" s="244">
        <f>BN47/BN79</f>
        <v>-3.7768883713610946E-3</v>
      </c>
      <c r="BO125" s="244"/>
      <c r="BP125" s="244"/>
      <c r="BQ125" s="244"/>
      <c r="BR125" s="244"/>
      <c r="BS125" s="244"/>
      <c r="BT125" s="244"/>
      <c r="BU125" s="244">
        <f>BU47/BU79</f>
        <v>1.3714697776551926E-3</v>
      </c>
      <c r="BV125" s="244"/>
      <c r="BW125" s="244"/>
      <c r="BX125" s="244"/>
      <c r="BY125" s="244"/>
      <c r="BZ125" s="244"/>
      <c r="CA125" s="244"/>
      <c r="CB125" s="244">
        <f>CB47/CB79</f>
        <v>2.8837333204003407E-3</v>
      </c>
      <c r="CC125" s="244"/>
      <c r="CD125" s="244"/>
      <c r="CE125" s="244"/>
      <c r="CF125" s="244"/>
      <c r="CG125" s="244"/>
      <c r="CH125" s="244"/>
      <c r="CI125" s="244">
        <f>CI47/CI79</f>
        <v>2.3502197860642833E-3</v>
      </c>
    </row>
    <row r="127" spans="2:94" ht="16" x14ac:dyDescent="0.2">
      <c r="B127" s="183" t="s">
        <v>373</v>
      </c>
      <c r="C127" s="214"/>
      <c r="CJ127" s="166" t="e">
        <f t="shared" ref="CJ127:CO127" si="52">CJ73/CJ64</f>
        <v>#DIV/0!</v>
      </c>
      <c r="CK127" s="166" t="e">
        <f t="shared" si="52"/>
        <v>#DIV/0!</v>
      </c>
      <c r="CL127" s="166" t="e">
        <f t="shared" si="52"/>
        <v>#DIV/0!</v>
      </c>
      <c r="CM127" s="166" t="e">
        <f t="shared" si="52"/>
        <v>#DIV/0!</v>
      </c>
      <c r="CN127" s="166" t="e">
        <f t="shared" si="52"/>
        <v>#DIV/0!</v>
      </c>
      <c r="CO127" s="166" t="e">
        <f t="shared" si="52"/>
        <v>#DIV/0!</v>
      </c>
      <c r="CP127" s="166"/>
    </row>
    <row r="128" spans="2:94" x14ac:dyDescent="0.2">
      <c r="B128" s="105" t="s">
        <v>374</v>
      </c>
      <c r="D128" s="166"/>
      <c r="E128" s="166"/>
      <c r="F128" s="166"/>
      <c r="G128" s="166"/>
      <c r="H128" s="166"/>
      <c r="I128" s="166"/>
      <c r="J128" s="166">
        <f>J73/J64</f>
        <v>5.4206784957778573E-2</v>
      </c>
      <c r="K128" s="166"/>
      <c r="L128" s="166"/>
      <c r="M128" s="166"/>
      <c r="N128" s="166"/>
      <c r="O128" s="166"/>
      <c r="P128" s="166"/>
      <c r="Q128" s="166">
        <f>Q73/Q64</f>
        <v>5.4493443588661483E-2</v>
      </c>
      <c r="R128" s="166"/>
      <c r="S128" s="166"/>
      <c r="T128" s="166"/>
      <c r="U128" s="166"/>
      <c r="V128" s="166"/>
      <c r="W128" s="166"/>
      <c r="X128" s="166">
        <f>X73/X64</f>
        <v>5.4434791548002799E-2</v>
      </c>
      <c r="Y128" s="166"/>
      <c r="Z128" s="166"/>
      <c r="AA128" s="166"/>
      <c r="AB128" s="166"/>
      <c r="AC128" s="166"/>
      <c r="AD128" s="166"/>
      <c r="AE128" s="166">
        <f>AE73/AE64</f>
        <v>5.4370239533409644E-2</v>
      </c>
      <c r="AF128" s="166"/>
      <c r="AG128" s="166"/>
      <c r="AH128" s="166"/>
      <c r="AI128" s="166"/>
      <c r="AJ128" s="166"/>
      <c r="AK128" s="166"/>
      <c r="AL128" s="166">
        <f>AL73/AL64</f>
        <v>5.4219006172247189E-2</v>
      </c>
      <c r="AM128" s="166"/>
      <c r="AN128" s="166"/>
      <c r="AO128" s="166"/>
      <c r="AP128" s="166"/>
      <c r="AQ128" s="166"/>
      <c r="AR128" s="166"/>
      <c r="AS128" s="166">
        <f>AS73/AS64</f>
        <v>5.4213687652670858E-2</v>
      </c>
      <c r="AT128" s="166"/>
      <c r="AU128" s="166"/>
      <c r="AV128" s="166"/>
      <c r="AW128" s="166"/>
      <c r="AX128" s="166"/>
      <c r="AY128" s="166"/>
      <c r="AZ128" s="166">
        <f>AZ73/AZ64</f>
        <v>5.3767293708473607E-2</v>
      </c>
      <c r="BA128" s="166"/>
      <c r="BB128" s="166"/>
      <c r="BC128" s="166"/>
      <c r="BD128" s="166"/>
      <c r="BE128" s="166"/>
      <c r="BF128" s="166"/>
      <c r="BG128" s="166">
        <f>BG73/BG64</f>
        <v>5.3525837239409957E-2</v>
      </c>
      <c r="BH128" s="166"/>
      <c r="BI128" s="166"/>
      <c r="BJ128" s="166"/>
      <c r="BK128" s="166"/>
      <c r="BL128" s="166"/>
      <c r="BM128" s="166"/>
      <c r="BN128" s="166">
        <f>BN73/BN64</f>
        <v>5.3717138835113767E-2</v>
      </c>
      <c r="BO128" s="166"/>
      <c r="BP128" s="166"/>
      <c r="BQ128" s="166"/>
      <c r="BR128" s="166"/>
      <c r="BS128" s="166"/>
      <c r="BT128" s="166"/>
      <c r="BU128" s="166">
        <f>BU73/BU64</f>
        <v>5.3647419684914974E-2</v>
      </c>
      <c r="BV128" s="166"/>
      <c r="BW128" s="166"/>
      <c r="BX128" s="166"/>
      <c r="BY128" s="166"/>
      <c r="BZ128" s="166"/>
      <c r="CA128" s="166"/>
      <c r="CB128" s="166">
        <f>CB73/CB64</f>
        <v>5.3500991696202184E-2</v>
      </c>
      <c r="CC128" s="166"/>
      <c r="CD128" s="166"/>
      <c r="CE128" s="166"/>
      <c r="CF128" s="166"/>
      <c r="CG128" s="166"/>
      <c r="CH128" s="166"/>
      <c r="CI128" s="166">
        <f>CI73/CI64</f>
        <v>5.338196480658132E-2</v>
      </c>
      <c r="CJ128" s="164" t="e">
        <f t="shared" ref="CJ128:CO128" si="53">CJ73/CJ79</f>
        <v>#DIV/0!</v>
      </c>
      <c r="CK128" s="164" t="e">
        <f t="shared" si="53"/>
        <v>#DIV/0!</v>
      </c>
      <c r="CL128" s="164" t="e">
        <f t="shared" si="53"/>
        <v>#DIV/0!</v>
      </c>
      <c r="CM128" s="164" t="e">
        <f t="shared" si="53"/>
        <v>#DIV/0!</v>
      </c>
      <c r="CN128" s="164" t="e">
        <f t="shared" si="53"/>
        <v>#DIV/0!</v>
      </c>
      <c r="CO128" s="164" t="e">
        <f t="shared" si="53"/>
        <v>#DIV/0!</v>
      </c>
      <c r="CP128" s="164"/>
    </row>
    <row r="129" spans="2:94" x14ac:dyDescent="0.2">
      <c r="B129" s="105" t="s">
        <v>375</v>
      </c>
      <c r="D129" s="164"/>
      <c r="E129" s="164"/>
      <c r="F129" s="164"/>
      <c r="G129" s="164"/>
      <c r="H129" s="164"/>
      <c r="I129" s="164"/>
      <c r="J129" s="164">
        <f>J73/J79</f>
        <v>5.7313569283068612E-2</v>
      </c>
      <c r="K129" s="164"/>
      <c r="L129" s="164"/>
      <c r="M129" s="164"/>
      <c r="N129" s="164"/>
      <c r="O129" s="164"/>
      <c r="P129" s="164"/>
      <c r="Q129" s="164">
        <f>Q73/Q79</f>
        <v>5.7634125558569206E-2</v>
      </c>
      <c r="R129" s="164"/>
      <c r="S129" s="164"/>
      <c r="T129" s="164"/>
      <c r="U129" s="164"/>
      <c r="V129" s="164"/>
      <c r="W129" s="164"/>
      <c r="X129" s="164">
        <f>X73/X79</f>
        <v>5.7568522045263318E-2</v>
      </c>
      <c r="Y129" s="164"/>
      <c r="Z129" s="164"/>
      <c r="AA129" s="164"/>
      <c r="AB129" s="164"/>
      <c r="AC129" s="164"/>
      <c r="AD129" s="164"/>
      <c r="AE129" s="164">
        <f>AE73/AE79</f>
        <v>5.7496328696954722E-2</v>
      </c>
      <c r="AF129" s="164"/>
      <c r="AG129" s="164"/>
      <c r="AH129" s="164"/>
      <c r="AI129" s="164"/>
      <c r="AJ129" s="164"/>
      <c r="AK129" s="164"/>
      <c r="AL129" s="164">
        <f>AL73/AL79</f>
        <v>5.7327231701720625E-2</v>
      </c>
      <c r="AM129" s="164"/>
      <c r="AN129" s="164"/>
      <c r="AO129" s="164"/>
      <c r="AP129" s="164"/>
      <c r="AQ129" s="164"/>
      <c r="AR129" s="164"/>
      <c r="AS129" s="164">
        <f>AS73/AS79</f>
        <v>5.7321285944727768E-2</v>
      </c>
      <c r="AT129" s="164"/>
      <c r="AU129" s="164"/>
      <c r="AV129" s="164"/>
      <c r="AW129" s="164"/>
      <c r="AX129" s="164"/>
      <c r="AY129" s="164"/>
      <c r="AZ129" s="164">
        <f>AZ73/AZ79</f>
        <v>5.6822484945799744E-2</v>
      </c>
      <c r="BA129" s="164"/>
      <c r="BB129" s="164"/>
      <c r="BC129" s="164"/>
      <c r="BD129" s="164"/>
      <c r="BE129" s="164"/>
      <c r="BF129" s="164"/>
      <c r="BG129" s="164">
        <f>BG73/BG79</f>
        <v>5.6552877347745716E-2</v>
      </c>
      <c r="BH129" s="164"/>
      <c r="BI129" s="164"/>
      <c r="BJ129" s="164"/>
      <c r="BK129" s="164"/>
      <c r="BL129" s="164"/>
      <c r="BM129" s="164"/>
      <c r="BN129" s="164">
        <f>BN73/BN79</f>
        <v>5.6766471252567424E-2</v>
      </c>
      <c r="BO129" s="164"/>
      <c r="BP129" s="164"/>
      <c r="BQ129" s="164"/>
      <c r="BR129" s="164"/>
      <c r="BS129" s="164"/>
      <c r="BT129" s="164"/>
      <c r="BU129" s="164">
        <f>BU73/BU79</f>
        <v>5.6688617752860396E-2</v>
      </c>
      <c r="BV129" s="164"/>
      <c r="BW129" s="164"/>
      <c r="BX129" s="164"/>
      <c r="BY129" s="164"/>
      <c r="BZ129" s="164"/>
      <c r="CA129" s="164"/>
      <c r="CB129" s="164">
        <f>CB73/CB79</f>
        <v>5.6525142896959035E-2</v>
      </c>
      <c r="CC129" s="164"/>
      <c r="CD129" s="164"/>
      <c r="CE129" s="164"/>
      <c r="CF129" s="164"/>
      <c r="CG129" s="164"/>
      <c r="CH129" s="164"/>
      <c r="CI129" s="164">
        <f>CI73/CI79</f>
        <v>5.6392296387712489E-2</v>
      </c>
      <c r="CJ129" s="139" t="e">
        <f t="shared" ref="CJ129:CO129" si="54">CJ44/CJ120</f>
        <v>#REF!</v>
      </c>
      <c r="CK129" s="139">
        <f t="shared" si="54"/>
        <v>0</v>
      </c>
      <c r="CL129" s="139">
        <f t="shared" si="54"/>
        <v>0</v>
      </c>
      <c r="CM129" s="139" t="e">
        <f t="shared" si="54"/>
        <v>#REF!</v>
      </c>
      <c r="CN129" s="139">
        <f t="shared" si="54"/>
        <v>0</v>
      </c>
      <c r="CO129" s="139">
        <f t="shared" si="54"/>
        <v>0</v>
      </c>
      <c r="CP129" s="139"/>
    </row>
    <row r="130" spans="2:94" x14ac:dyDescent="0.2">
      <c r="B130" s="105" t="s">
        <v>376</v>
      </c>
      <c r="D130" s="139"/>
      <c r="E130" s="139"/>
      <c r="F130" s="139"/>
      <c r="G130" s="139"/>
      <c r="H130" s="139"/>
      <c r="I130" s="139"/>
      <c r="J130" s="217">
        <f>J44/J121</f>
        <v>5.1588398453243757E-3</v>
      </c>
      <c r="K130" s="139"/>
      <c r="L130" s="139"/>
      <c r="M130" s="139"/>
      <c r="N130" s="139"/>
      <c r="O130" s="139"/>
      <c r="P130" s="139"/>
      <c r="Q130" s="217">
        <f>Q44/Q121</f>
        <v>0</v>
      </c>
      <c r="R130" s="139"/>
      <c r="S130" s="139"/>
      <c r="T130" s="139"/>
      <c r="U130" s="139"/>
      <c r="V130" s="139"/>
      <c r="W130" s="139"/>
      <c r="X130" s="217">
        <f>X44/X121</f>
        <v>8.6331389985751976E-4</v>
      </c>
      <c r="Y130" s="139"/>
      <c r="Z130" s="139"/>
      <c r="AA130" s="139"/>
      <c r="AB130" s="139"/>
      <c r="AC130" s="139"/>
      <c r="AD130" s="139"/>
      <c r="AE130" s="217">
        <f>AE44/AE121</f>
        <v>0</v>
      </c>
      <c r="AF130" s="139"/>
      <c r="AG130" s="139"/>
      <c r="AH130" s="139"/>
      <c r="AI130" s="139"/>
      <c r="AJ130" s="139"/>
      <c r="AK130" s="139"/>
      <c r="AL130" s="217">
        <f>AL44/AL121</f>
        <v>0</v>
      </c>
      <c r="AM130" s="139"/>
      <c r="AN130" s="139"/>
      <c r="AO130" s="139"/>
      <c r="AP130" s="139"/>
      <c r="AQ130" s="139"/>
      <c r="AR130" s="139"/>
      <c r="AS130" s="217">
        <f>AS44/AS121</f>
        <v>0</v>
      </c>
      <c r="AT130" s="139"/>
      <c r="AU130" s="139"/>
      <c r="AV130" s="139"/>
      <c r="AW130" s="139"/>
      <c r="AX130" s="139"/>
      <c r="AY130" s="139"/>
      <c r="AZ130" s="217">
        <f>AZ44/AZ121</f>
        <v>0</v>
      </c>
      <c r="BA130" s="139"/>
      <c r="BB130" s="139"/>
      <c r="BC130" s="139"/>
      <c r="BD130" s="139"/>
      <c r="BE130" s="139"/>
      <c r="BF130" s="139"/>
      <c r="BG130" s="217">
        <f>BG44/BG121</f>
        <v>0</v>
      </c>
      <c r="BH130" s="139"/>
      <c r="BI130" s="139"/>
      <c r="BJ130" s="139"/>
      <c r="BK130" s="139"/>
      <c r="BL130" s="139"/>
      <c r="BM130" s="139"/>
      <c r="BN130" s="217">
        <f>BN44/BN121</f>
        <v>0</v>
      </c>
      <c r="BO130" s="139"/>
      <c r="BP130" s="139"/>
      <c r="BQ130" s="139"/>
      <c r="BR130" s="139"/>
      <c r="BS130" s="139"/>
      <c r="BT130" s="139"/>
      <c r="BU130" s="217">
        <f>BU44/BU121</f>
        <v>0</v>
      </c>
      <c r="BV130" s="139"/>
      <c r="BW130" s="139"/>
      <c r="BX130" s="139"/>
      <c r="BY130" s="139"/>
      <c r="BZ130" s="139"/>
      <c r="CA130" s="139"/>
      <c r="CB130" s="217">
        <f>CB44/CB121</f>
        <v>0</v>
      </c>
      <c r="CC130" s="139"/>
      <c r="CD130" s="139"/>
      <c r="CE130" s="139"/>
      <c r="CF130" s="139"/>
      <c r="CG130" s="139"/>
      <c r="CH130" s="139"/>
      <c r="CI130" s="217">
        <f>CI44/CI121</f>
        <v>0</v>
      </c>
      <c r="CJ130" s="164" t="e">
        <f t="shared" ref="CJ130:CO130" si="55">CJ120/(CJ44+CJ68)</f>
        <v>#REF!</v>
      </c>
      <c r="CK130" s="164" t="e">
        <f t="shared" si="55"/>
        <v>#DIV/0!</v>
      </c>
      <c r="CL130" s="164" t="e">
        <f t="shared" si="55"/>
        <v>#DIV/0!</v>
      </c>
      <c r="CM130" s="164" t="e">
        <f t="shared" si="55"/>
        <v>#REF!</v>
      </c>
      <c r="CN130" s="164" t="e">
        <f t="shared" si="55"/>
        <v>#DIV/0!</v>
      </c>
      <c r="CO130" s="164" t="e">
        <f t="shared" si="55"/>
        <v>#DIV/0!</v>
      </c>
      <c r="CP130" s="164"/>
    </row>
    <row r="131" spans="2:94" x14ac:dyDescent="0.2">
      <c r="B131" s="105" t="s">
        <v>377</v>
      </c>
      <c r="D131" s="164"/>
      <c r="E131" s="164"/>
      <c r="F131" s="164"/>
      <c r="G131" s="164"/>
      <c r="H131" s="164"/>
      <c r="I131" s="164"/>
      <c r="J131" s="218">
        <f>J121/(J44+J68)</f>
        <v>193.84203231397706</v>
      </c>
      <c r="K131" s="164"/>
      <c r="L131" s="164"/>
      <c r="M131" s="164"/>
      <c r="N131" s="164"/>
      <c r="O131" s="164"/>
      <c r="P131" s="164"/>
      <c r="Q131" s="218" t="e">
        <f>Q121/(Q44+Q68)</f>
        <v>#DIV/0!</v>
      </c>
      <c r="R131" s="164"/>
      <c r="S131" s="164"/>
      <c r="T131" s="164"/>
      <c r="U131" s="164"/>
      <c r="V131" s="164"/>
      <c r="W131" s="164"/>
      <c r="X131" s="218">
        <f>X121/(X44+X68)</f>
        <v>1158.3272320358085</v>
      </c>
      <c r="Y131" s="164"/>
      <c r="Z131" s="164"/>
      <c r="AA131" s="164"/>
      <c r="AB131" s="164"/>
      <c r="AC131" s="164"/>
      <c r="AD131" s="164"/>
      <c r="AE131" s="218" t="e">
        <f>AE121/(AE44+AE68)</f>
        <v>#DIV/0!</v>
      </c>
      <c r="AF131" s="164"/>
      <c r="AG131" s="164"/>
      <c r="AH131" s="164"/>
      <c r="AI131" s="164"/>
      <c r="AJ131" s="164"/>
      <c r="AK131" s="164"/>
      <c r="AL131" s="218" t="e">
        <f>AL121/(AL44+AL68)</f>
        <v>#DIV/0!</v>
      </c>
      <c r="AM131" s="164"/>
      <c r="AN131" s="164"/>
      <c r="AO131" s="164"/>
      <c r="AP131" s="164"/>
      <c r="AQ131" s="164"/>
      <c r="AR131" s="164"/>
      <c r="AS131" s="218" t="e">
        <f>AS121/(AS44+AS68)</f>
        <v>#DIV/0!</v>
      </c>
      <c r="AT131" s="164"/>
      <c r="AU131" s="164"/>
      <c r="AV131" s="164"/>
      <c r="AW131" s="164"/>
      <c r="AX131" s="164"/>
      <c r="AY131" s="164"/>
      <c r="AZ131" s="218" t="e">
        <f>AZ121/(AZ44+AZ68)</f>
        <v>#DIV/0!</v>
      </c>
      <c r="BA131" s="164"/>
      <c r="BB131" s="164"/>
      <c r="BC131" s="164"/>
      <c r="BD131" s="164"/>
      <c r="BE131" s="164"/>
      <c r="BF131" s="164"/>
      <c r="BG131" s="218" t="e">
        <f>BG121/(BG44+BG68)</f>
        <v>#DIV/0!</v>
      </c>
      <c r="BH131" s="164"/>
      <c r="BI131" s="164"/>
      <c r="BJ131" s="164"/>
      <c r="BK131" s="164"/>
      <c r="BL131" s="164"/>
      <c r="BM131" s="164"/>
      <c r="BN131" s="218" t="e">
        <f>BN121/(BN44+BN68)</f>
        <v>#DIV/0!</v>
      </c>
      <c r="BO131" s="164"/>
      <c r="BP131" s="164"/>
      <c r="BQ131" s="164"/>
      <c r="BR131" s="164"/>
      <c r="BS131" s="164"/>
      <c r="BT131" s="164"/>
      <c r="BU131" s="218" t="e">
        <f>BU121/(BU44+BU68)</f>
        <v>#DIV/0!</v>
      </c>
      <c r="BV131" s="164"/>
      <c r="BW131" s="164"/>
      <c r="BX131" s="164"/>
      <c r="BY131" s="164"/>
      <c r="BZ131" s="164"/>
      <c r="CA131" s="164"/>
      <c r="CB131" s="218" t="e">
        <f>CB121/(CB44+CB68)</f>
        <v>#DIV/0!</v>
      </c>
      <c r="CC131" s="164"/>
      <c r="CD131" s="164"/>
      <c r="CE131" s="164"/>
      <c r="CF131" s="164"/>
      <c r="CG131" s="164"/>
      <c r="CH131" s="164"/>
      <c r="CI131" s="218" t="e">
        <f>CI121/(CI44+CI68)</f>
        <v>#DIV/0!</v>
      </c>
    </row>
    <row r="133" spans="2:94" ht="16" x14ac:dyDescent="0.2">
      <c r="B133" s="183" t="s">
        <v>378</v>
      </c>
      <c r="C133" s="220"/>
      <c r="CJ133" s="164" t="e">
        <f t="shared" ref="CJ133:CO133" si="56">CJ109/CJ6</f>
        <v>#REF!</v>
      </c>
      <c r="CK133" s="164" t="e">
        <f t="shared" si="56"/>
        <v>#REF!</v>
      </c>
      <c r="CL133" s="164" t="e">
        <f t="shared" si="56"/>
        <v>#REF!</v>
      </c>
      <c r="CM133" s="164" t="e">
        <f t="shared" si="56"/>
        <v>#REF!</v>
      </c>
      <c r="CN133" s="164" t="e">
        <f t="shared" si="56"/>
        <v>#REF!</v>
      </c>
      <c r="CO133" s="164" t="e">
        <f t="shared" si="56"/>
        <v>#REF!</v>
      </c>
      <c r="CP133" s="164"/>
    </row>
    <row r="134" spans="2:94" x14ac:dyDescent="0.2">
      <c r="B134" s="105" t="s">
        <v>379</v>
      </c>
      <c r="D134" s="164"/>
      <c r="E134" s="164"/>
      <c r="F134" s="164"/>
      <c r="G134" s="164"/>
      <c r="H134" s="164"/>
      <c r="I134" s="164"/>
      <c r="J134" s="164">
        <f>J110/J6</f>
        <v>0</v>
      </c>
      <c r="K134" s="164"/>
      <c r="L134" s="164"/>
      <c r="M134" s="164"/>
      <c r="N134" s="164"/>
      <c r="O134" s="164"/>
      <c r="P134" s="164"/>
      <c r="Q134" s="164">
        <f>Q110/Q6</f>
        <v>0</v>
      </c>
      <c r="R134" s="164"/>
      <c r="S134" s="164"/>
      <c r="T134" s="164"/>
      <c r="U134" s="164"/>
      <c r="V134" s="164"/>
      <c r="W134" s="164"/>
      <c r="X134" s="164">
        <f>X110/X6</f>
        <v>0</v>
      </c>
      <c r="Y134" s="164"/>
      <c r="Z134" s="164"/>
      <c r="AA134" s="164"/>
      <c r="AB134" s="164"/>
      <c r="AC134" s="164"/>
      <c r="AD134" s="164"/>
      <c r="AE134" s="164">
        <f>AE110/AE6</f>
        <v>0</v>
      </c>
      <c r="AF134" s="164"/>
      <c r="AG134" s="164"/>
      <c r="AH134" s="164"/>
      <c r="AI134" s="164"/>
      <c r="AJ134" s="164"/>
      <c r="AK134" s="164"/>
      <c r="AL134" s="164">
        <f>AL110/AL6</f>
        <v>0</v>
      </c>
      <c r="AM134" s="164"/>
      <c r="AN134" s="164"/>
      <c r="AO134" s="164"/>
      <c r="AP134" s="164"/>
      <c r="AQ134" s="164"/>
      <c r="AR134" s="164"/>
      <c r="AS134" s="164">
        <f>AS110/AS6</f>
        <v>0</v>
      </c>
      <c r="AT134" s="164"/>
      <c r="AU134" s="164"/>
      <c r="AV134" s="164"/>
      <c r="AW134" s="164"/>
      <c r="AX134" s="164"/>
      <c r="AY134" s="164"/>
      <c r="AZ134" s="164">
        <f>AZ110/AZ6</f>
        <v>0</v>
      </c>
      <c r="BA134" s="164"/>
      <c r="BB134" s="164"/>
      <c r="BC134" s="164"/>
      <c r="BD134" s="164"/>
      <c r="BE134" s="164"/>
      <c r="BF134" s="164"/>
      <c r="BG134" s="164">
        <f>BG110/BG6</f>
        <v>0</v>
      </c>
      <c r="BH134" s="164"/>
      <c r="BI134" s="164"/>
      <c r="BJ134" s="164"/>
      <c r="BK134" s="164"/>
      <c r="BL134" s="164"/>
      <c r="BM134" s="164"/>
      <c r="BN134" s="164">
        <f>BN110/BN6</f>
        <v>0</v>
      </c>
      <c r="BO134" s="164"/>
      <c r="BP134" s="164"/>
      <c r="BQ134" s="164"/>
      <c r="BR134" s="164"/>
      <c r="BS134" s="164"/>
      <c r="BT134" s="164"/>
      <c r="BU134" s="164">
        <f>BU110/BU6</f>
        <v>0</v>
      </c>
      <c r="BV134" s="164"/>
      <c r="BW134" s="164"/>
      <c r="BX134" s="164"/>
      <c r="BY134" s="164"/>
      <c r="BZ134" s="164"/>
      <c r="CA134" s="164"/>
      <c r="CB134" s="164">
        <f>CB110/CB6</f>
        <v>0</v>
      </c>
      <c r="CC134" s="164"/>
      <c r="CD134" s="164"/>
      <c r="CE134" s="164"/>
      <c r="CF134" s="164"/>
      <c r="CG134" s="164"/>
      <c r="CH134" s="164"/>
      <c r="CI134" s="164">
        <f>CI110/CI6</f>
        <v>0</v>
      </c>
      <c r="CJ134" s="174">
        <f t="shared" ref="CJ134:CO134" si="57">CJ6/CJ62</f>
        <v>7.4410569422979855E-2</v>
      </c>
      <c r="CK134" s="174">
        <f t="shared" si="57"/>
        <v>3.7097978446150599E-2</v>
      </c>
      <c r="CL134" s="174">
        <f t="shared" si="57"/>
        <v>7.4587600197121406E-2</v>
      </c>
      <c r="CM134" s="174">
        <f t="shared" si="57"/>
        <v>0.10129838098761518</v>
      </c>
      <c r="CN134" s="174">
        <f t="shared" si="57"/>
        <v>9.1601849661652912E-2</v>
      </c>
      <c r="CO134" s="174">
        <f t="shared" si="57"/>
        <v>8.4395996784108987E-2</v>
      </c>
      <c r="CP134" s="174"/>
    </row>
    <row r="135" spans="2:94" x14ac:dyDescent="0.2">
      <c r="B135" s="105" t="s">
        <v>444</v>
      </c>
      <c r="D135" s="174"/>
      <c r="E135" s="174"/>
      <c r="F135" s="174"/>
      <c r="G135" s="174"/>
      <c r="H135" s="174"/>
      <c r="I135" s="174"/>
      <c r="J135" s="219">
        <f>J6/J62</f>
        <v>4.9216795448645597E-3</v>
      </c>
      <c r="K135" s="174"/>
      <c r="L135" s="174"/>
      <c r="M135" s="174"/>
      <c r="N135" s="174"/>
      <c r="O135" s="174"/>
      <c r="P135" s="174"/>
      <c r="Q135" s="219">
        <f>Q6/Q62</f>
        <v>4.5769869789598116E-3</v>
      </c>
      <c r="R135" s="174"/>
      <c r="S135" s="174"/>
      <c r="T135" s="174"/>
      <c r="U135" s="174"/>
      <c r="V135" s="174"/>
      <c r="W135" s="174"/>
      <c r="X135" s="219">
        <f>X6/X62</f>
        <v>5.8125772536645227E-3</v>
      </c>
      <c r="Y135" s="174"/>
      <c r="Z135" s="174"/>
      <c r="AA135" s="174"/>
      <c r="AB135" s="174"/>
      <c r="AC135" s="174"/>
      <c r="AD135" s="174"/>
      <c r="AE135" s="219">
        <f>AE6/AE62</f>
        <v>3.7974514837598437E-3</v>
      </c>
      <c r="AF135" s="174"/>
      <c r="AG135" s="174"/>
      <c r="AH135" s="174"/>
      <c r="AI135" s="174"/>
      <c r="AJ135" s="174"/>
      <c r="AK135" s="174"/>
      <c r="AL135" s="219">
        <f>AL6/AL62</f>
        <v>5.0944564283761868E-3</v>
      </c>
      <c r="AM135" s="174"/>
      <c r="AN135" s="174"/>
      <c r="AO135" s="174"/>
      <c r="AP135" s="174"/>
      <c r="AQ135" s="174"/>
      <c r="AR135" s="174"/>
      <c r="AS135" s="219">
        <f>AS6/AS62</f>
        <v>3.7900273361865106E-3</v>
      </c>
      <c r="AT135" s="174"/>
      <c r="AU135" s="174"/>
      <c r="AV135" s="174"/>
      <c r="AW135" s="174"/>
      <c r="AX135" s="174"/>
      <c r="AY135" s="174"/>
      <c r="AZ135" s="219">
        <f>AZ6/AZ62</f>
        <v>5.3425226530214942E-3</v>
      </c>
      <c r="BA135" s="174"/>
      <c r="BB135" s="174"/>
      <c r="BC135" s="174"/>
      <c r="BD135" s="174"/>
      <c r="BE135" s="174"/>
      <c r="BF135" s="174"/>
      <c r="BG135" s="219">
        <f>BG6/BG62</f>
        <v>4.9241189076386542E-3</v>
      </c>
      <c r="BH135" s="174"/>
      <c r="BI135" s="174"/>
      <c r="BJ135" s="174"/>
      <c r="BK135" s="174"/>
      <c r="BL135" s="174"/>
      <c r="BM135" s="174"/>
      <c r="BN135" s="219">
        <f>BN6/BN62</f>
        <v>3.613756860945375E-3</v>
      </c>
      <c r="BO135" s="174"/>
      <c r="BP135" s="174"/>
      <c r="BQ135" s="174"/>
      <c r="BR135" s="174"/>
      <c r="BS135" s="174"/>
      <c r="BT135" s="174"/>
      <c r="BU135" s="219">
        <f>BU6/BU62</f>
        <v>6.010695934621467E-3</v>
      </c>
      <c r="BV135" s="174"/>
      <c r="BW135" s="174"/>
      <c r="BX135" s="174"/>
      <c r="BY135" s="174"/>
      <c r="BZ135" s="174"/>
      <c r="CA135" s="174"/>
      <c r="CB135" s="219">
        <f>CB6/CB62</f>
        <v>4.3460959894291544E-3</v>
      </c>
      <c r="CC135" s="174"/>
      <c r="CD135" s="174"/>
      <c r="CE135" s="174"/>
      <c r="CF135" s="174"/>
      <c r="CG135" s="174"/>
      <c r="CH135" s="174"/>
      <c r="CI135" s="219">
        <f>CI6/CI62</f>
        <v>5.8998640172767099E-3</v>
      </c>
    </row>
    <row r="137" spans="2:94" ht="16" x14ac:dyDescent="0.2">
      <c r="B137" s="183" t="s">
        <v>380</v>
      </c>
      <c r="C137" s="220"/>
      <c r="CJ137" s="171" t="e">
        <f t="shared" ref="CJ137:CO137" si="58">CJ46/CJ45</f>
        <v>#DIV/0!</v>
      </c>
      <c r="CK137" s="171" t="e">
        <f t="shared" si="58"/>
        <v>#DIV/0!</v>
      </c>
      <c r="CL137" s="171" t="e">
        <f t="shared" si="58"/>
        <v>#DIV/0!</v>
      </c>
      <c r="CM137" s="171" t="e">
        <f t="shared" si="58"/>
        <v>#DIV/0!</v>
      </c>
      <c r="CN137" s="171" t="e">
        <f t="shared" si="58"/>
        <v>#DIV/0!</v>
      </c>
      <c r="CO137" s="171" t="e">
        <f t="shared" si="58"/>
        <v>#DIV/0!</v>
      </c>
      <c r="CP137" s="171"/>
    </row>
    <row r="138" spans="2:94" x14ac:dyDescent="0.2">
      <c r="B138" s="105" t="s">
        <v>381</v>
      </c>
      <c r="D138" s="171"/>
      <c r="E138" s="171"/>
      <c r="F138" s="171"/>
      <c r="G138" s="171"/>
      <c r="H138" s="171"/>
      <c r="I138" s="171"/>
      <c r="J138" s="171">
        <f>J46/J45</f>
        <v>0</v>
      </c>
      <c r="K138" s="171"/>
      <c r="L138" s="171"/>
      <c r="M138" s="171"/>
      <c r="N138" s="171"/>
      <c r="O138" s="171"/>
      <c r="P138" s="171"/>
      <c r="Q138" s="171">
        <f>Q46/Q45</f>
        <v>0</v>
      </c>
      <c r="R138" s="171"/>
      <c r="S138" s="171"/>
      <c r="T138" s="171"/>
      <c r="U138" s="171"/>
      <c r="V138" s="171"/>
      <c r="W138" s="171"/>
      <c r="X138" s="171">
        <f>X46/X45</f>
        <v>0</v>
      </c>
      <c r="Y138" s="171"/>
      <c r="Z138" s="171"/>
      <c r="AA138" s="171"/>
      <c r="AB138" s="171"/>
      <c r="AC138" s="171"/>
      <c r="AD138" s="171"/>
      <c r="AE138" s="171">
        <f>AE46/AE45</f>
        <v>0</v>
      </c>
      <c r="AF138" s="171"/>
      <c r="AG138" s="171"/>
      <c r="AH138" s="171"/>
      <c r="AI138" s="171"/>
      <c r="AJ138" s="171"/>
      <c r="AK138" s="171"/>
      <c r="AL138" s="171">
        <f>AL46/AL45</f>
        <v>0</v>
      </c>
      <c r="AM138" s="171"/>
      <c r="AN138" s="171"/>
      <c r="AO138" s="171"/>
      <c r="AP138" s="171"/>
      <c r="AQ138" s="171"/>
      <c r="AR138" s="171"/>
      <c r="AS138" s="171">
        <f>AS46/AS45</f>
        <v>0</v>
      </c>
      <c r="AT138" s="171"/>
      <c r="AU138" s="171"/>
      <c r="AV138" s="171"/>
      <c r="AW138" s="171"/>
      <c r="AX138" s="171"/>
      <c r="AY138" s="171"/>
      <c r="AZ138" s="171">
        <f>AZ46/AZ45</f>
        <v>0</v>
      </c>
      <c r="BA138" s="171"/>
      <c r="BB138" s="171"/>
      <c r="BC138" s="171"/>
      <c r="BD138" s="171"/>
      <c r="BE138" s="171"/>
      <c r="BF138" s="171"/>
      <c r="BG138" s="171">
        <f>BG46/BG45</f>
        <v>9.83820976007308E-2</v>
      </c>
      <c r="BH138" s="171"/>
      <c r="BI138" s="171"/>
      <c r="BJ138" s="171"/>
      <c r="BK138" s="171"/>
      <c r="BL138" s="171"/>
      <c r="BM138" s="171"/>
      <c r="BN138" s="171">
        <f>BN46/BN45</f>
        <v>0</v>
      </c>
      <c r="BO138" s="171"/>
      <c r="BP138" s="171"/>
      <c r="BQ138" s="171"/>
      <c r="BR138" s="171"/>
      <c r="BS138" s="171"/>
      <c r="BT138" s="171"/>
      <c r="BU138" s="171">
        <f>BU46/BU45</f>
        <v>0</v>
      </c>
      <c r="BV138" s="171"/>
      <c r="BW138" s="171"/>
      <c r="BX138" s="171"/>
      <c r="BY138" s="171"/>
      <c r="BZ138" s="171"/>
      <c r="CA138" s="171"/>
      <c r="CB138" s="171">
        <f>CB46/CB45</f>
        <v>0</v>
      </c>
      <c r="CC138" s="171"/>
      <c r="CD138" s="171"/>
      <c r="CE138" s="171"/>
      <c r="CF138" s="171"/>
      <c r="CG138" s="171"/>
      <c r="CH138" s="171"/>
      <c r="CI138" s="171">
        <f>CI46/CI45</f>
        <v>0</v>
      </c>
      <c r="CJ138" s="137" t="e">
        <f>#REF!*(1-CJ137)</f>
        <v>#REF!</v>
      </c>
      <c r="CK138" s="137" t="e">
        <f>CJ16*(1-CK137)</f>
        <v>#DIV/0!</v>
      </c>
      <c r="CL138" s="137" t="e">
        <f>CL16*(1-CL137)</f>
        <v>#DIV/0!</v>
      </c>
      <c r="CM138" s="137" t="e">
        <f>#REF!*(1-CM137)</f>
        <v>#REF!</v>
      </c>
      <c r="CN138" s="137" t="e">
        <f>CM16*(1-CN137)</f>
        <v>#DIV/0!</v>
      </c>
      <c r="CO138" s="137" t="e">
        <f>CO16*(1-CO137)</f>
        <v>#DIV/0!</v>
      </c>
      <c r="CP138" s="137"/>
    </row>
    <row r="139" spans="2:94" x14ac:dyDescent="0.2">
      <c r="B139" s="105" t="s">
        <v>382</v>
      </c>
      <c r="D139" s="137"/>
      <c r="E139" s="137"/>
      <c r="F139" s="137"/>
      <c r="G139" s="137"/>
      <c r="H139" s="137"/>
      <c r="I139" s="137"/>
      <c r="J139" s="137">
        <f>J16*(1-J138)</f>
        <v>1300639.33</v>
      </c>
      <c r="K139" s="137"/>
      <c r="L139" s="137"/>
      <c r="M139" s="137"/>
      <c r="N139" s="137"/>
      <c r="O139" s="137"/>
      <c r="P139" s="137"/>
      <c r="Q139" s="137">
        <f>Q16*(1-Q138)</f>
        <v>-1404458</v>
      </c>
      <c r="R139" s="137"/>
      <c r="S139" s="137"/>
      <c r="T139" s="137"/>
      <c r="U139" s="137"/>
      <c r="V139" s="137"/>
      <c r="W139" s="137"/>
      <c r="X139" s="137">
        <f>X16*(1-X138)</f>
        <v>3622958</v>
      </c>
      <c r="Y139" s="137"/>
      <c r="Z139" s="137"/>
      <c r="AA139" s="137"/>
      <c r="AB139" s="137"/>
      <c r="AC139" s="137"/>
      <c r="AD139" s="137"/>
      <c r="AE139" s="137">
        <f>AE16*(1-AE138)</f>
        <v>6458700</v>
      </c>
      <c r="AF139" s="137"/>
      <c r="AG139" s="137"/>
      <c r="AH139" s="137"/>
      <c r="AI139" s="137"/>
      <c r="AJ139" s="137"/>
      <c r="AK139" s="137"/>
      <c r="AL139" s="137">
        <f>AL16*(1-AL138)</f>
        <v>6151807</v>
      </c>
      <c r="AM139" s="137"/>
      <c r="AN139" s="137"/>
      <c r="AO139" s="137"/>
      <c r="AP139" s="137"/>
      <c r="AQ139" s="137"/>
      <c r="AR139" s="137"/>
      <c r="AS139" s="137">
        <f>AS16*(1-AS138)</f>
        <v>4181595</v>
      </c>
      <c r="AT139" s="137"/>
      <c r="AU139" s="137"/>
      <c r="AV139" s="137"/>
      <c r="AW139" s="137"/>
      <c r="AX139" s="137"/>
      <c r="AY139" s="137"/>
      <c r="AZ139" s="137">
        <f>AZ16*(1-AZ138)</f>
        <v>8458495</v>
      </c>
      <c r="BA139" s="137"/>
      <c r="BB139" s="137"/>
      <c r="BC139" s="137"/>
      <c r="BD139" s="137"/>
      <c r="BE139" s="137"/>
      <c r="BF139" s="137"/>
      <c r="BG139" s="137">
        <f>BG16*(1-BG138)</f>
        <v>7496587.7031994518</v>
      </c>
      <c r="BH139" s="137"/>
      <c r="BI139" s="137"/>
      <c r="BJ139" s="137"/>
      <c r="BK139" s="137"/>
      <c r="BL139" s="137"/>
      <c r="BM139" s="137"/>
      <c r="BN139" s="137">
        <f>BN16*(1-BN138)</f>
        <v>5086995</v>
      </c>
      <c r="BO139" s="137"/>
      <c r="BP139" s="137"/>
      <c r="BQ139" s="137"/>
      <c r="BR139" s="137"/>
      <c r="BS139" s="137"/>
      <c r="BT139" s="137"/>
      <c r="BU139" s="137">
        <f>BU16*(1-BU138)</f>
        <v>5132802</v>
      </c>
      <c r="BV139" s="137"/>
      <c r="BW139" s="137"/>
      <c r="BX139" s="137"/>
      <c r="BY139" s="137"/>
      <c r="BZ139" s="137"/>
      <c r="CA139" s="137"/>
      <c r="CB139" s="137">
        <f>CB16*(1-CB138)</f>
        <v>5075985</v>
      </c>
      <c r="CC139" s="137"/>
      <c r="CD139" s="137"/>
      <c r="CE139" s="137"/>
      <c r="CF139" s="137"/>
      <c r="CG139" s="137"/>
      <c r="CH139" s="137"/>
      <c r="CI139" s="137">
        <f>CI16*(1-CI138)</f>
        <v>10156095</v>
      </c>
      <c r="CJ139" s="137" t="e">
        <f t="shared" ref="CJ139:CO139" si="59">CJ109+CJ62</f>
        <v>#REF!</v>
      </c>
      <c r="CK139" s="137" t="e">
        <f t="shared" si="59"/>
        <v>#REF!</v>
      </c>
      <c r="CL139" s="137" t="e">
        <f t="shared" si="59"/>
        <v>#REF!</v>
      </c>
      <c r="CM139" s="137" t="e">
        <f t="shared" si="59"/>
        <v>#REF!</v>
      </c>
      <c r="CN139" s="137" t="e">
        <f t="shared" si="59"/>
        <v>#REF!</v>
      </c>
      <c r="CO139" s="137" t="e">
        <f t="shared" si="59"/>
        <v>#REF!</v>
      </c>
      <c r="CP139" s="137"/>
    </row>
    <row r="140" spans="2:94" x14ac:dyDescent="0.2">
      <c r="B140" s="105" t="s">
        <v>383</v>
      </c>
      <c r="D140" s="137"/>
      <c r="E140" s="137"/>
      <c r="F140" s="137"/>
      <c r="G140" s="137"/>
      <c r="H140" s="137"/>
      <c r="I140" s="137"/>
      <c r="J140" s="137">
        <f>J110+J62</f>
        <v>1885738377.5999999</v>
      </c>
      <c r="K140" s="137"/>
      <c r="L140" s="137"/>
      <c r="M140" s="137"/>
      <c r="N140" s="137"/>
      <c r="O140" s="137"/>
      <c r="P140" s="137"/>
      <c r="Q140" s="137">
        <f>Q110+Q62</f>
        <v>1885738377.5999999</v>
      </c>
      <c r="R140" s="137"/>
      <c r="S140" s="137"/>
      <c r="T140" s="137"/>
      <c r="U140" s="137"/>
      <c r="V140" s="137"/>
      <c r="W140" s="137"/>
      <c r="X140" s="137">
        <f>X110+X62</f>
        <v>1885738377.5999999</v>
      </c>
      <c r="Y140" s="137"/>
      <c r="Z140" s="137"/>
      <c r="AA140" s="137"/>
      <c r="AB140" s="137"/>
      <c r="AC140" s="137"/>
      <c r="AD140" s="137"/>
      <c r="AE140" s="137">
        <f>AE110+AE62</f>
        <v>1885738377.5999999</v>
      </c>
      <c r="AF140" s="137"/>
      <c r="AG140" s="137"/>
      <c r="AH140" s="137"/>
      <c r="AI140" s="137"/>
      <c r="AJ140" s="137"/>
      <c r="AK140" s="137"/>
      <c r="AL140" s="137">
        <f>AL110+AL62</f>
        <v>1885738377.5999999</v>
      </c>
      <c r="AM140" s="137"/>
      <c r="AN140" s="137"/>
      <c r="AO140" s="137"/>
      <c r="AP140" s="137"/>
      <c r="AQ140" s="137"/>
      <c r="AR140" s="137"/>
      <c r="AS140" s="137">
        <f>AS110+AS62</f>
        <v>1885738377.5999999</v>
      </c>
      <c r="AT140" s="137"/>
      <c r="AU140" s="137"/>
      <c r="AV140" s="137"/>
      <c r="AW140" s="137"/>
      <c r="AX140" s="137"/>
      <c r="AY140" s="137"/>
      <c r="AZ140" s="137">
        <f>AZ110+AZ62</f>
        <v>1885738377.5999999</v>
      </c>
      <c r="BA140" s="137"/>
      <c r="BB140" s="137"/>
      <c r="BC140" s="137"/>
      <c r="BD140" s="137"/>
      <c r="BE140" s="137"/>
      <c r="BF140" s="137"/>
      <c r="BG140" s="137">
        <f>BG110+BG62</f>
        <v>1885738377.5999999</v>
      </c>
      <c r="BH140" s="137"/>
      <c r="BI140" s="137"/>
      <c r="BJ140" s="137"/>
      <c r="BK140" s="137"/>
      <c r="BL140" s="137"/>
      <c r="BM140" s="137"/>
      <c r="BN140" s="137">
        <f>BN110+BN62</f>
        <v>1885738377.5999999</v>
      </c>
      <c r="BO140" s="137"/>
      <c r="BP140" s="137"/>
      <c r="BQ140" s="137"/>
      <c r="BR140" s="137"/>
      <c r="BS140" s="137"/>
      <c r="BT140" s="137"/>
      <c r="BU140" s="137">
        <f>BU110+BU62</f>
        <v>1885738377.5999999</v>
      </c>
      <c r="BV140" s="137"/>
      <c r="BW140" s="137"/>
      <c r="BX140" s="137"/>
      <c r="BY140" s="137"/>
      <c r="BZ140" s="137"/>
      <c r="CA140" s="137"/>
      <c r="CB140" s="137">
        <f>CB110+CB62</f>
        <v>1885738377.5999999</v>
      </c>
      <c r="CC140" s="137"/>
      <c r="CD140" s="137"/>
      <c r="CE140" s="137"/>
      <c r="CF140" s="137"/>
      <c r="CG140" s="137"/>
      <c r="CH140" s="137"/>
      <c r="CI140" s="137">
        <f>CI110+CI62</f>
        <v>1885738377.5999999</v>
      </c>
      <c r="CJ140" s="166" t="e">
        <f t="shared" ref="CJ140:CO140" si="60">CJ138/CJ139</f>
        <v>#REF!</v>
      </c>
      <c r="CK140" s="166" t="e">
        <f t="shared" si="60"/>
        <v>#DIV/0!</v>
      </c>
      <c r="CL140" s="166" t="e">
        <f t="shared" si="60"/>
        <v>#DIV/0!</v>
      </c>
      <c r="CM140" s="166" t="e">
        <f t="shared" si="60"/>
        <v>#REF!</v>
      </c>
      <c r="CN140" s="166" t="e">
        <f t="shared" si="60"/>
        <v>#DIV/0!</v>
      </c>
      <c r="CO140" s="166" t="e">
        <f t="shared" si="60"/>
        <v>#DIV/0!</v>
      </c>
      <c r="CP140" s="166"/>
    </row>
    <row r="141" spans="2:94" x14ac:dyDescent="0.2">
      <c r="B141" s="105" t="s">
        <v>384</v>
      </c>
      <c r="D141" s="166"/>
      <c r="E141" s="166"/>
      <c r="F141" s="166"/>
      <c r="G141" s="166"/>
      <c r="H141" s="166"/>
      <c r="I141" s="166"/>
      <c r="J141" s="139">
        <f>J139/J140</f>
        <v>6.8972416611435682E-4</v>
      </c>
      <c r="K141" s="166"/>
      <c r="L141" s="166"/>
      <c r="M141" s="166"/>
      <c r="N141" s="166"/>
      <c r="O141" s="166"/>
      <c r="P141" s="166"/>
      <c r="Q141" s="139">
        <f>Q139/Q140</f>
        <v>-7.4477881803915408E-4</v>
      </c>
      <c r="R141" s="166"/>
      <c r="S141" s="166"/>
      <c r="T141" s="166"/>
      <c r="U141" s="166"/>
      <c r="V141" s="166"/>
      <c r="W141" s="166"/>
      <c r="X141" s="139">
        <f>X139/X140</f>
        <v>1.9212410602848199E-3</v>
      </c>
      <c r="Y141" s="166"/>
      <c r="Z141" s="166"/>
      <c r="AA141" s="166"/>
      <c r="AB141" s="166"/>
      <c r="AC141" s="166"/>
      <c r="AD141" s="166"/>
      <c r="AE141" s="139">
        <f>AE139/AE140</f>
        <v>3.4250244237061449E-3</v>
      </c>
      <c r="AF141" s="166"/>
      <c r="AG141" s="166"/>
      <c r="AH141" s="166"/>
      <c r="AI141" s="166"/>
      <c r="AJ141" s="166"/>
      <c r="AK141" s="166"/>
      <c r="AL141" s="139">
        <f>AL139/AL140</f>
        <v>3.2622802150473668E-3</v>
      </c>
      <c r="AM141" s="166"/>
      <c r="AN141" s="166"/>
      <c r="AO141" s="166"/>
      <c r="AP141" s="166"/>
      <c r="AQ141" s="166"/>
      <c r="AR141" s="166"/>
      <c r="AS141" s="139">
        <f>AS139/AS140</f>
        <v>2.2174841694222514E-3</v>
      </c>
      <c r="AT141" s="166"/>
      <c r="AU141" s="166"/>
      <c r="AV141" s="166"/>
      <c r="AW141" s="166"/>
      <c r="AX141" s="166"/>
      <c r="AY141" s="166"/>
      <c r="AZ141" s="139">
        <f>AZ139/AZ140</f>
        <v>4.4855082234499678E-3</v>
      </c>
      <c r="BA141" s="166"/>
      <c r="BB141" s="166"/>
      <c r="BC141" s="166"/>
      <c r="BD141" s="166"/>
      <c r="BE141" s="166"/>
      <c r="BF141" s="166"/>
      <c r="BG141" s="139">
        <f>BG139/BG140</f>
        <v>3.9754123860704588E-3</v>
      </c>
      <c r="BH141" s="166"/>
      <c r="BI141" s="166"/>
      <c r="BJ141" s="166"/>
      <c r="BK141" s="166"/>
      <c r="BL141" s="166"/>
      <c r="BM141" s="166"/>
      <c r="BN141" s="139">
        <f>BN139/BN140</f>
        <v>2.6976143989148032E-3</v>
      </c>
      <c r="BO141" s="166"/>
      <c r="BP141" s="166"/>
      <c r="BQ141" s="166"/>
      <c r="BR141" s="166"/>
      <c r="BS141" s="166"/>
      <c r="BT141" s="166"/>
      <c r="BU141" s="139">
        <f>BU139/BU140</f>
        <v>2.7219056794784936E-3</v>
      </c>
      <c r="BV141" s="166"/>
      <c r="BW141" s="166"/>
      <c r="BX141" s="166"/>
      <c r="BY141" s="166"/>
      <c r="BZ141" s="166"/>
      <c r="CA141" s="166"/>
      <c r="CB141" s="139">
        <f>CB139/CB140</f>
        <v>2.6917758371446322E-3</v>
      </c>
      <c r="CC141" s="166"/>
      <c r="CD141" s="166"/>
      <c r="CE141" s="166"/>
      <c r="CF141" s="166"/>
      <c r="CG141" s="166"/>
      <c r="CH141" s="166"/>
      <c r="CI141" s="139">
        <f>CI139/CI140</f>
        <v>5.3857391463421212E-3</v>
      </c>
      <c r="CJ141" s="137">
        <f t="shared" ref="CJ141:CO141" si="61">CJ71+CJ68</f>
        <v>0</v>
      </c>
      <c r="CK141" s="137">
        <f t="shared" si="61"/>
        <v>0</v>
      </c>
      <c r="CL141" s="137">
        <f t="shared" si="61"/>
        <v>0</v>
      </c>
      <c r="CM141" s="137">
        <f t="shared" si="61"/>
        <v>0</v>
      </c>
      <c r="CN141" s="137">
        <f t="shared" si="61"/>
        <v>0</v>
      </c>
      <c r="CO141" s="137">
        <f t="shared" si="61"/>
        <v>0</v>
      </c>
      <c r="CP141" s="137"/>
    </row>
    <row r="142" spans="2:94" x14ac:dyDescent="0.2">
      <c r="B142" s="105" t="s">
        <v>385</v>
      </c>
      <c r="D142" s="137"/>
      <c r="E142" s="137"/>
      <c r="F142" s="137"/>
      <c r="G142" s="137"/>
      <c r="H142" s="137"/>
      <c r="I142" s="137"/>
      <c r="J142" s="137">
        <f>J71+J68</f>
        <v>104971798.32999998</v>
      </c>
      <c r="K142" s="137"/>
      <c r="L142" s="137"/>
      <c r="M142" s="137"/>
      <c r="N142" s="137"/>
      <c r="O142" s="137"/>
      <c r="P142" s="137"/>
      <c r="Q142" s="137">
        <f>Q71+Q68</f>
        <v>104971798.32999998</v>
      </c>
      <c r="R142" s="137"/>
      <c r="S142" s="137"/>
      <c r="T142" s="137"/>
      <c r="U142" s="137"/>
      <c r="V142" s="137"/>
      <c r="W142" s="137"/>
      <c r="X142" s="137">
        <f>X71+X68</f>
        <v>104971798.32999998</v>
      </c>
      <c r="Y142" s="137"/>
      <c r="Z142" s="137"/>
      <c r="AA142" s="137"/>
      <c r="AB142" s="137"/>
      <c r="AC142" s="137"/>
      <c r="AD142" s="137"/>
      <c r="AE142" s="137">
        <f>AE71+AE68</f>
        <v>104971798.32999998</v>
      </c>
      <c r="AF142" s="137"/>
      <c r="AG142" s="137"/>
      <c r="AH142" s="137"/>
      <c r="AI142" s="137"/>
      <c r="AJ142" s="137"/>
      <c r="AK142" s="137"/>
      <c r="AL142" s="137">
        <f>AL71+AL68</f>
        <v>104971798.32999998</v>
      </c>
      <c r="AM142" s="137"/>
      <c r="AN142" s="137"/>
      <c r="AO142" s="137"/>
      <c r="AP142" s="137"/>
      <c r="AQ142" s="137"/>
      <c r="AR142" s="137"/>
      <c r="AS142" s="137">
        <f>AS71+AS68</f>
        <v>104971798.32999998</v>
      </c>
      <c r="AT142" s="137"/>
      <c r="AU142" s="137"/>
      <c r="AV142" s="137"/>
      <c r="AW142" s="137"/>
      <c r="AX142" s="137"/>
      <c r="AY142" s="137"/>
      <c r="AZ142" s="137">
        <f>AZ71+AZ68</f>
        <v>104971798.32999998</v>
      </c>
      <c r="BA142" s="137"/>
      <c r="BB142" s="137"/>
      <c r="BC142" s="137"/>
      <c r="BD142" s="137"/>
      <c r="BE142" s="137"/>
      <c r="BF142" s="137"/>
      <c r="BG142" s="137">
        <f>BG71+BG68</f>
        <v>104971798.32999998</v>
      </c>
      <c r="BH142" s="137"/>
      <c r="BI142" s="137"/>
      <c r="BJ142" s="137"/>
      <c r="BK142" s="137"/>
      <c r="BL142" s="137"/>
      <c r="BM142" s="137"/>
      <c r="BN142" s="137">
        <f>BN71+BN68</f>
        <v>104971798.32999998</v>
      </c>
      <c r="BO142" s="137"/>
      <c r="BP142" s="137"/>
      <c r="BQ142" s="137"/>
      <c r="BR142" s="137"/>
      <c r="BS142" s="137"/>
      <c r="BT142" s="137"/>
      <c r="BU142" s="137">
        <f>BU71+BU68</f>
        <v>104971798.32999998</v>
      </c>
      <c r="BV142" s="137"/>
      <c r="BW142" s="137"/>
      <c r="BX142" s="137"/>
      <c r="BY142" s="137"/>
      <c r="BZ142" s="137"/>
      <c r="CA142" s="137"/>
      <c r="CB142" s="137">
        <f>CB71+CB68</f>
        <v>104971798.32999998</v>
      </c>
      <c r="CC142" s="137"/>
      <c r="CD142" s="137"/>
      <c r="CE142" s="137"/>
      <c r="CF142" s="137"/>
      <c r="CG142" s="137"/>
      <c r="CH142" s="137"/>
      <c r="CI142" s="137">
        <f>CI71+CI68</f>
        <v>104971798.32999998</v>
      </c>
      <c r="CJ142" s="137">
        <f t="shared" ref="CJ142:CO142" si="62">CJ79</f>
        <v>0</v>
      </c>
      <c r="CK142" s="137">
        <f t="shared" si="62"/>
        <v>0</v>
      </c>
      <c r="CL142" s="137">
        <f t="shared" si="62"/>
        <v>0</v>
      </c>
      <c r="CM142" s="137">
        <f t="shared" si="62"/>
        <v>0</v>
      </c>
      <c r="CN142" s="137">
        <f t="shared" si="62"/>
        <v>0</v>
      </c>
      <c r="CO142" s="137">
        <f t="shared" si="62"/>
        <v>0</v>
      </c>
      <c r="CP142" s="137"/>
    </row>
    <row r="143" spans="2:94" x14ac:dyDescent="0.2">
      <c r="B143" s="105" t="s">
        <v>386</v>
      </c>
      <c r="D143" s="137"/>
      <c r="E143" s="137"/>
      <c r="F143" s="137"/>
      <c r="G143" s="137"/>
      <c r="H143" s="137"/>
      <c r="I143" s="137"/>
      <c r="J143" s="137">
        <f>J79</f>
        <v>1831534829.24</v>
      </c>
      <c r="K143" s="137"/>
      <c r="L143" s="137"/>
      <c r="M143" s="137"/>
      <c r="N143" s="137"/>
      <c r="O143" s="137"/>
      <c r="P143" s="137"/>
      <c r="Q143" s="137">
        <f>Q79</f>
        <v>1821347982.8599999</v>
      </c>
      <c r="R143" s="137"/>
      <c r="S143" s="137"/>
      <c r="T143" s="137"/>
      <c r="U143" s="137"/>
      <c r="V143" s="137"/>
      <c r="W143" s="137"/>
      <c r="X143" s="137">
        <f>X79</f>
        <v>1823423541.2099998</v>
      </c>
      <c r="Y143" s="137"/>
      <c r="Z143" s="137"/>
      <c r="AA143" s="137"/>
      <c r="AB143" s="137"/>
      <c r="AC143" s="137"/>
      <c r="AD143" s="137"/>
      <c r="AE143" s="137">
        <f>AE79</f>
        <v>1825713062.1900001</v>
      </c>
      <c r="AF143" s="137"/>
      <c r="AG143" s="137"/>
      <c r="AH143" s="137"/>
      <c r="AI143" s="137"/>
      <c r="AJ143" s="137"/>
      <c r="AK143" s="137"/>
      <c r="AL143" s="137">
        <f>AL79</f>
        <v>1831098331.6999998</v>
      </c>
      <c r="AM143" s="137"/>
      <c r="AN143" s="137"/>
      <c r="AO143" s="137"/>
      <c r="AP143" s="137"/>
      <c r="AQ143" s="137"/>
      <c r="AR143" s="137"/>
      <c r="AS143" s="137">
        <f>AS79</f>
        <v>1831288265.7799997</v>
      </c>
      <c r="AT143" s="137"/>
      <c r="AU143" s="137"/>
      <c r="AV143" s="137"/>
      <c r="AW143" s="137"/>
      <c r="AX143" s="137"/>
      <c r="AY143" s="137"/>
      <c r="AZ143" s="137">
        <f>AZ79</f>
        <v>1847363740.4300001</v>
      </c>
      <c r="BA143" s="137"/>
      <c r="BB143" s="137"/>
      <c r="BC143" s="137"/>
      <c r="BD143" s="137"/>
      <c r="BE143" s="137"/>
      <c r="BF143" s="137"/>
      <c r="BG143" s="137">
        <f>BG79</f>
        <v>1856170777.7399998</v>
      </c>
      <c r="BH143" s="137"/>
      <c r="BI143" s="137"/>
      <c r="BJ143" s="137"/>
      <c r="BK143" s="137"/>
      <c r="BL143" s="137"/>
      <c r="BM143" s="137"/>
      <c r="BN143" s="137">
        <f>BN79</f>
        <v>1849186606.3499999</v>
      </c>
      <c r="BO143" s="137"/>
      <c r="BP143" s="137"/>
      <c r="BQ143" s="137"/>
      <c r="BR143" s="137"/>
      <c r="BS143" s="137"/>
      <c r="BT143" s="137"/>
      <c r="BU143" s="137">
        <f>BU79</f>
        <v>1851726192.8599999</v>
      </c>
      <c r="BV143" s="137"/>
      <c r="BW143" s="137"/>
      <c r="BX143" s="137"/>
      <c r="BY143" s="137"/>
      <c r="BZ143" s="137"/>
      <c r="CA143" s="137"/>
      <c r="CB143" s="137">
        <f>CB79</f>
        <v>1857081520.7199998</v>
      </c>
      <c r="CC143" s="137"/>
      <c r="CD143" s="137"/>
      <c r="CE143" s="137"/>
      <c r="CF143" s="137"/>
      <c r="CG143" s="137"/>
      <c r="CH143" s="137"/>
      <c r="CI143" s="137">
        <f>CI79</f>
        <v>1861456352.27</v>
      </c>
      <c r="CJ143" s="139" t="e">
        <f t="shared" ref="CJ143:CO143" si="63">CJ141/(CJ141+CJ142)</f>
        <v>#DIV/0!</v>
      </c>
      <c r="CK143" s="139" t="e">
        <f t="shared" si="63"/>
        <v>#DIV/0!</v>
      </c>
      <c r="CL143" s="139" t="e">
        <f t="shared" si="63"/>
        <v>#DIV/0!</v>
      </c>
      <c r="CM143" s="139" t="e">
        <f t="shared" si="63"/>
        <v>#DIV/0!</v>
      </c>
      <c r="CN143" s="139" t="e">
        <f t="shared" si="63"/>
        <v>#DIV/0!</v>
      </c>
      <c r="CO143" s="139" t="e">
        <f t="shared" si="63"/>
        <v>#DIV/0!</v>
      </c>
      <c r="CP143" s="139"/>
    </row>
    <row r="144" spans="2:94" x14ac:dyDescent="0.2">
      <c r="B144" s="105" t="s">
        <v>387</v>
      </c>
      <c r="D144" s="139"/>
      <c r="E144" s="139"/>
      <c r="F144" s="139"/>
      <c r="G144" s="139"/>
      <c r="H144" s="139"/>
      <c r="I144" s="139"/>
      <c r="J144" s="139">
        <f>J142/(J142+J143)</f>
        <v>5.4206784957778573E-2</v>
      </c>
      <c r="K144" s="139"/>
      <c r="L144" s="139"/>
      <c r="M144" s="139"/>
      <c r="N144" s="139"/>
      <c r="O144" s="139"/>
      <c r="P144" s="139"/>
      <c r="Q144" s="139">
        <f>Q142/(Q142+Q143)</f>
        <v>5.4493443588661483E-2</v>
      </c>
      <c r="R144" s="139"/>
      <c r="S144" s="139"/>
      <c r="T144" s="139"/>
      <c r="U144" s="139"/>
      <c r="V144" s="139"/>
      <c r="W144" s="139"/>
      <c r="X144" s="139">
        <f>X142/(X142+X143)</f>
        <v>5.4434791548002806E-2</v>
      </c>
      <c r="Y144" s="139"/>
      <c r="Z144" s="139"/>
      <c r="AA144" s="139"/>
      <c r="AB144" s="139"/>
      <c r="AC144" s="139"/>
      <c r="AD144" s="139"/>
      <c r="AE144" s="139">
        <f>AE142/(AE142+AE143)</f>
        <v>5.4370239533409644E-2</v>
      </c>
      <c r="AF144" s="139"/>
      <c r="AG144" s="139"/>
      <c r="AH144" s="139"/>
      <c r="AI144" s="139"/>
      <c r="AJ144" s="139"/>
      <c r="AK144" s="139"/>
      <c r="AL144" s="139">
        <f>AL142/(AL142+AL143)</f>
        <v>5.4219006172247196E-2</v>
      </c>
      <c r="AM144" s="139"/>
      <c r="AN144" s="139"/>
      <c r="AO144" s="139"/>
      <c r="AP144" s="139"/>
      <c r="AQ144" s="139"/>
      <c r="AR144" s="139"/>
      <c r="AS144" s="139">
        <f>AS142/(AS142+AS143)</f>
        <v>5.4213687652670865E-2</v>
      </c>
      <c r="AT144" s="139"/>
      <c r="AU144" s="139"/>
      <c r="AV144" s="139"/>
      <c r="AW144" s="139"/>
      <c r="AX144" s="139"/>
      <c r="AY144" s="139"/>
      <c r="AZ144" s="139">
        <f>AZ142/(AZ142+AZ143)</f>
        <v>5.3767293708473607E-2</v>
      </c>
      <c r="BA144" s="139"/>
      <c r="BB144" s="139"/>
      <c r="BC144" s="139"/>
      <c r="BD144" s="139"/>
      <c r="BE144" s="139"/>
      <c r="BF144" s="139"/>
      <c r="BG144" s="139">
        <f>BG142/(BG142+BG143)</f>
        <v>5.3525837239409964E-2</v>
      </c>
      <c r="BH144" s="139"/>
      <c r="BI144" s="139"/>
      <c r="BJ144" s="139"/>
      <c r="BK144" s="139"/>
      <c r="BL144" s="139"/>
      <c r="BM144" s="139"/>
      <c r="BN144" s="139">
        <f>BN142/(BN142+BN143)</f>
        <v>5.3717138835113767E-2</v>
      </c>
      <c r="BO144" s="139"/>
      <c r="BP144" s="139"/>
      <c r="BQ144" s="139"/>
      <c r="BR144" s="139"/>
      <c r="BS144" s="139"/>
      <c r="BT144" s="139"/>
      <c r="BU144" s="139">
        <f>BU142/(BU142+BU143)</f>
        <v>5.3647419684914974E-2</v>
      </c>
      <c r="BV144" s="139"/>
      <c r="BW144" s="139"/>
      <c r="BX144" s="139"/>
      <c r="BY144" s="139"/>
      <c r="BZ144" s="139"/>
      <c r="CA144" s="139"/>
      <c r="CB144" s="139">
        <f>CB142/(CB142+CB143)</f>
        <v>5.3500991696202191E-2</v>
      </c>
      <c r="CC144" s="139"/>
      <c r="CD144" s="139"/>
      <c r="CE144" s="139"/>
      <c r="CF144" s="139"/>
      <c r="CG144" s="139"/>
      <c r="CH144" s="139"/>
      <c r="CI144" s="139">
        <f>CI142/(CI142+CI143)</f>
        <v>5.338196480658132E-2</v>
      </c>
      <c r="CJ144" s="139" t="e">
        <f t="shared" ref="CJ144:CO144" si="64">CJ142/(CJ141+CJ142)</f>
        <v>#DIV/0!</v>
      </c>
      <c r="CK144" s="139" t="e">
        <f t="shared" si="64"/>
        <v>#DIV/0!</v>
      </c>
      <c r="CL144" s="139" t="e">
        <f t="shared" si="64"/>
        <v>#DIV/0!</v>
      </c>
      <c r="CM144" s="139" t="e">
        <f t="shared" si="64"/>
        <v>#DIV/0!</v>
      </c>
      <c r="CN144" s="139" t="e">
        <f t="shared" si="64"/>
        <v>#DIV/0!</v>
      </c>
      <c r="CO144" s="139" t="e">
        <f t="shared" si="64"/>
        <v>#DIV/0!</v>
      </c>
      <c r="CP144" s="139"/>
    </row>
    <row r="145" spans="2:94" x14ac:dyDescent="0.2">
      <c r="B145" s="105" t="s">
        <v>388</v>
      </c>
      <c r="D145" s="139"/>
      <c r="E145" s="139"/>
      <c r="F145" s="139"/>
      <c r="G145" s="139"/>
      <c r="H145" s="139"/>
      <c r="I145" s="139"/>
      <c r="J145" s="139">
        <f>J143/(J142+J143)</f>
        <v>0.94579321504222147</v>
      </c>
      <c r="K145" s="139"/>
      <c r="L145" s="139"/>
      <c r="M145" s="139"/>
      <c r="N145" s="139"/>
      <c r="O145" s="139"/>
      <c r="P145" s="139"/>
      <c r="Q145" s="139">
        <f>Q143/(Q142+Q143)</f>
        <v>0.94550655641133852</v>
      </c>
      <c r="R145" s="139"/>
      <c r="S145" s="139"/>
      <c r="T145" s="139"/>
      <c r="U145" s="139"/>
      <c r="V145" s="139"/>
      <c r="W145" s="139"/>
      <c r="X145" s="139">
        <f>X143/(X142+X143)</f>
        <v>0.94556520845199721</v>
      </c>
      <c r="Y145" s="139"/>
      <c r="Z145" s="139"/>
      <c r="AA145" s="139"/>
      <c r="AB145" s="139"/>
      <c r="AC145" s="139"/>
      <c r="AD145" s="139"/>
      <c r="AE145" s="139">
        <f>AE143/(AE142+AE143)</f>
        <v>0.94562976046659042</v>
      </c>
      <c r="AF145" s="139"/>
      <c r="AG145" s="139"/>
      <c r="AH145" s="139"/>
      <c r="AI145" s="139"/>
      <c r="AJ145" s="139"/>
      <c r="AK145" s="139"/>
      <c r="AL145" s="139">
        <f>AL143/(AL142+AL143)</f>
        <v>0.94578099382775282</v>
      </c>
      <c r="AM145" s="139"/>
      <c r="AN145" s="139"/>
      <c r="AO145" s="139"/>
      <c r="AP145" s="139"/>
      <c r="AQ145" s="139"/>
      <c r="AR145" s="139"/>
      <c r="AS145" s="139">
        <f>AS143/(AS142+AS143)</f>
        <v>0.94578631234732913</v>
      </c>
      <c r="AT145" s="139"/>
      <c r="AU145" s="139"/>
      <c r="AV145" s="139"/>
      <c r="AW145" s="139"/>
      <c r="AX145" s="139"/>
      <c r="AY145" s="139"/>
      <c r="AZ145" s="139">
        <f>AZ143/(AZ142+AZ143)</f>
        <v>0.94623270629152645</v>
      </c>
      <c r="BA145" s="139"/>
      <c r="BB145" s="139"/>
      <c r="BC145" s="139"/>
      <c r="BD145" s="139"/>
      <c r="BE145" s="139"/>
      <c r="BF145" s="139"/>
      <c r="BG145" s="139">
        <f>BG143/(BG142+BG143)</f>
        <v>0.94647416276059004</v>
      </c>
      <c r="BH145" s="139"/>
      <c r="BI145" s="139"/>
      <c r="BJ145" s="139"/>
      <c r="BK145" s="139"/>
      <c r="BL145" s="139"/>
      <c r="BM145" s="139"/>
      <c r="BN145" s="139">
        <f>BN143/(BN142+BN143)</f>
        <v>0.94628286116488625</v>
      </c>
      <c r="BO145" s="139"/>
      <c r="BP145" s="139"/>
      <c r="BQ145" s="139"/>
      <c r="BR145" s="139"/>
      <c r="BS145" s="139"/>
      <c r="BT145" s="139"/>
      <c r="BU145" s="139">
        <f>BU143/(BU142+BU143)</f>
        <v>0.94635258031508507</v>
      </c>
      <c r="BV145" s="139"/>
      <c r="BW145" s="139"/>
      <c r="BX145" s="139"/>
      <c r="BY145" s="139"/>
      <c r="BZ145" s="139"/>
      <c r="CA145" s="139"/>
      <c r="CB145" s="139">
        <f>CB143/(CB142+CB143)</f>
        <v>0.94649900830379785</v>
      </c>
      <c r="CC145" s="139"/>
      <c r="CD145" s="139"/>
      <c r="CE145" s="139"/>
      <c r="CF145" s="139"/>
      <c r="CG145" s="139"/>
      <c r="CH145" s="139"/>
      <c r="CI145" s="139">
        <f>CI143/(CI142+CI143)</f>
        <v>0.94661803519341869</v>
      </c>
      <c r="CJ145" s="139" t="e">
        <f t="shared" ref="CJ145:CO145" si="65">CJ44/CJ141</f>
        <v>#DIV/0!</v>
      </c>
      <c r="CK145" s="139" t="e">
        <f t="shared" si="65"/>
        <v>#DIV/0!</v>
      </c>
      <c r="CL145" s="139" t="e">
        <f t="shared" si="65"/>
        <v>#DIV/0!</v>
      </c>
      <c r="CM145" s="139" t="e">
        <f t="shared" si="65"/>
        <v>#DIV/0!</v>
      </c>
      <c r="CN145" s="139" t="e">
        <f t="shared" si="65"/>
        <v>#DIV/0!</v>
      </c>
      <c r="CO145" s="139" t="e">
        <f t="shared" si="65"/>
        <v>#DIV/0!</v>
      </c>
      <c r="CP145" s="139"/>
    </row>
    <row r="146" spans="2:94" x14ac:dyDescent="0.2">
      <c r="B146" s="105" t="s">
        <v>389</v>
      </c>
      <c r="D146" s="139"/>
      <c r="E146" s="139"/>
      <c r="F146" s="139"/>
      <c r="G146" s="139"/>
      <c r="H146" s="139"/>
      <c r="I146" s="139"/>
      <c r="J146" s="139">
        <f>J44/J142</f>
        <v>6.3919929988304325E-5</v>
      </c>
      <c r="K146" s="139"/>
      <c r="L146" s="139"/>
      <c r="M146" s="139"/>
      <c r="N146" s="139"/>
      <c r="O146" s="139"/>
      <c r="P146" s="139"/>
      <c r="Q146" s="139">
        <f>Q44/Q142</f>
        <v>0</v>
      </c>
      <c r="R146" s="139"/>
      <c r="S146" s="139"/>
      <c r="T146" s="139"/>
      <c r="U146" s="139"/>
      <c r="V146" s="139"/>
      <c r="W146" s="139"/>
      <c r="X146" s="139">
        <f>X44/X142</f>
        <v>2.9796098092625681E-5</v>
      </c>
      <c r="Y146" s="139"/>
      <c r="Z146" s="139"/>
      <c r="AA146" s="139"/>
      <c r="AB146" s="139"/>
      <c r="AC146" s="139"/>
      <c r="AD146" s="139"/>
      <c r="AE146" s="139">
        <f>AE44/AE142</f>
        <v>0</v>
      </c>
      <c r="AF146" s="139"/>
      <c r="AG146" s="139"/>
      <c r="AH146" s="139"/>
      <c r="AI146" s="139"/>
      <c r="AJ146" s="139"/>
      <c r="AK146" s="139"/>
      <c r="AL146" s="139">
        <f>AL44/AL142</f>
        <v>0</v>
      </c>
      <c r="AM146" s="139"/>
      <c r="AN146" s="139"/>
      <c r="AO146" s="139"/>
      <c r="AP146" s="139"/>
      <c r="AQ146" s="139"/>
      <c r="AR146" s="139"/>
      <c r="AS146" s="139">
        <f>AS44/AS142</f>
        <v>0</v>
      </c>
      <c r="AT146" s="139"/>
      <c r="AU146" s="139"/>
      <c r="AV146" s="139"/>
      <c r="AW146" s="139"/>
      <c r="AX146" s="139"/>
      <c r="AY146" s="139"/>
      <c r="AZ146" s="139">
        <f>AZ44/AZ142</f>
        <v>0</v>
      </c>
      <c r="BA146" s="139"/>
      <c r="BB146" s="139"/>
      <c r="BC146" s="139"/>
      <c r="BD146" s="139"/>
      <c r="BE146" s="139"/>
      <c r="BF146" s="139"/>
      <c r="BG146" s="139">
        <f>BG44/BG142</f>
        <v>0</v>
      </c>
      <c r="BH146" s="139"/>
      <c r="BI146" s="139"/>
      <c r="BJ146" s="139"/>
      <c r="BK146" s="139"/>
      <c r="BL146" s="139"/>
      <c r="BM146" s="139"/>
      <c r="BN146" s="139">
        <f>BN44/BN142</f>
        <v>0</v>
      </c>
      <c r="BO146" s="139"/>
      <c r="BP146" s="139"/>
      <c r="BQ146" s="139"/>
      <c r="BR146" s="139"/>
      <c r="BS146" s="139"/>
      <c r="BT146" s="139"/>
      <c r="BU146" s="139">
        <f>BU44/BU142</f>
        <v>0</v>
      </c>
      <c r="BV146" s="139"/>
      <c r="BW146" s="139"/>
      <c r="BX146" s="139"/>
      <c r="BY146" s="139"/>
      <c r="BZ146" s="139"/>
      <c r="CA146" s="139"/>
      <c r="CB146" s="139">
        <f>CB44/CB142</f>
        <v>0</v>
      </c>
      <c r="CC146" s="139"/>
      <c r="CD146" s="139"/>
      <c r="CE146" s="139"/>
      <c r="CF146" s="139"/>
      <c r="CG146" s="139"/>
      <c r="CH146" s="139"/>
      <c r="CI146" s="139">
        <f>CI44/CI142</f>
        <v>0</v>
      </c>
      <c r="CJ146" s="135" t="e">
        <f t="shared" ref="CJ146:CO146" si="66">CJ145*(1-CJ137)</f>
        <v>#DIV/0!</v>
      </c>
      <c r="CK146" s="135" t="e">
        <f t="shared" si="66"/>
        <v>#DIV/0!</v>
      </c>
      <c r="CL146" s="135" t="e">
        <f t="shared" si="66"/>
        <v>#DIV/0!</v>
      </c>
      <c r="CM146" s="135" t="e">
        <f t="shared" si="66"/>
        <v>#DIV/0!</v>
      </c>
      <c r="CN146" s="135" t="e">
        <f t="shared" si="66"/>
        <v>#DIV/0!</v>
      </c>
      <c r="CO146" s="135" t="e">
        <f t="shared" si="66"/>
        <v>#DIV/0!</v>
      </c>
      <c r="CP146" s="135"/>
    </row>
    <row r="147" spans="2:94" ht="16" x14ac:dyDescent="0.2">
      <c r="B147" s="105" t="s">
        <v>390</v>
      </c>
      <c r="D147" s="135"/>
      <c r="E147" s="135"/>
      <c r="F147" s="135"/>
      <c r="G147" s="135"/>
      <c r="H147" s="135"/>
      <c r="I147" s="135"/>
      <c r="J147" s="135">
        <f>J146*(1-J138)</f>
        <v>6.3919929988304325E-5</v>
      </c>
      <c r="K147" s="135"/>
      <c r="L147" s="135"/>
      <c r="M147" s="135"/>
      <c r="N147" s="135"/>
      <c r="O147" s="135"/>
      <c r="P147" s="135"/>
      <c r="Q147" s="135">
        <f>Q146*(1-Q138)</f>
        <v>0</v>
      </c>
      <c r="R147" s="135"/>
      <c r="S147" s="135"/>
      <c r="T147" s="135"/>
      <c r="U147" s="135"/>
      <c r="V147" s="135"/>
      <c r="W147" s="135"/>
      <c r="X147" s="135">
        <f>X146*(1-X138)</f>
        <v>2.9796098092625681E-5</v>
      </c>
      <c r="Y147" s="135"/>
      <c r="Z147" s="135"/>
      <c r="AA147" s="135"/>
      <c r="AB147" s="135"/>
      <c r="AC147" s="135"/>
      <c r="AD147" s="135"/>
      <c r="AE147" s="135">
        <f>AE146*(1-AE138)</f>
        <v>0</v>
      </c>
      <c r="AF147" s="135"/>
      <c r="AG147" s="135"/>
      <c r="AH147" s="135"/>
      <c r="AI147" s="135"/>
      <c r="AJ147" s="135"/>
      <c r="AK147" s="135"/>
      <c r="AL147" s="135">
        <f>AL146*(1-AL138)</f>
        <v>0</v>
      </c>
      <c r="AM147" s="135"/>
      <c r="AN147" s="135"/>
      <c r="AO147" s="135"/>
      <c r="AP147" s="135"/>
      <c r="AQ147" s="135"/>
      <c r="AR147" s="135"/>
      <c r="AS147" s="135">
        <f>AS146*(1-AS138)</f>
        <v>0</v>
      </c>
      <c r="AT147" s="135"/>
      <c r="AU147" s="135"/>
      <c r="AV147" s="135"/>
      <c r="AW147" s="135"/>
      <c r="AX147" s="135"/>
      <c r="AY147" s="135"/>
      <c r="AZ147" s="135">
        <f>AZ146*(1-AZ138)</f>
        <v>0</v>
      </c>
      <c r="BA147" s="135"/>
      <c r="BB147" s="135"/>
      <c r="BC147" s="135"/>
      <c r="BD147" s="135"/>
      <c r="BE147" s="135"/>
      <c r="BF147" s="135"/>
      <c r="BG147" s="135">
        <f>BG146*(1-BG138)</f>
        <v>0</v>
      </c>
      <c r="BH147" s="135"/>
      <c r="BI147" s="135"/>
      <c r="BJ147" s="135"/>
      <c r="BK147" s="135"/>
      <c r="BL147" s="135"/>
      <c r="BM147" s="135"/>
      <c r="BN147" s="135">
        <f>BN146*(1-BN138)</f>
        <v>0</v>
      </c>
      <c r="BO147" s="135"/>
      <c r="BP147" s="135"/>
      <c r="BQ147" s="135"/>
      <c r="BR147" s="135"/>
      <c r="BS147" s="135"/>
      <c r="BT147" s="135"/>
      <c r="BU147" s="135">
        <f>BU146*(1-BU138)</f>
        <v>0</v>
      </c>
      <c r="BV147" s="135"/>
      <c r="BW147" s="135"/>
      <c r="BX147" s="135"/>
      <c r="BY147" s="135"/>
      <c r="BZ147" s="135"/>
      <c r="CA147" s="135"/>
      <c r="CB147" s="135">
        <f>CB146*(1-CB138)</f>
        <v>0</v>
      </c>
      <c r="CC147" s="135"/>
      <c r="CD147" s="135"/>
      <c r="CE147" s="135"/>
      <c r="CF147" s="135"/>
      <c r="CG147" s="135"/>
      <c r="CH147" s="135"/>
      <c r="CI147" s="135">
        <f>CI146*(1-CI138)</f>
        <v>0</v>
      </c>
      <c r="CJ147" s="175">
        <v>28.73</v>
      </c>
      <c r="CK147" s="175">
        <f>CJ147</f>
        <v>28.73</v>
      </c>
      <c r="CL147" s="175">
        <f>CK147</f>
        <v>28.73</v>
      </c>
      <c r="CM147" s="175">
        <v>29.73</v>
      </c>
      <c r="CN147" s="175">
        <f>CM147</f>
        <v>29.73</v>
      </c>
      <c r="CO147" s="175">
        <f>CN147</f>
        <v>29.73</v>
      </c>
      <c r="CP147" s="175"/>
    </row>
    <row r="148" spans="2:94" ht="16" x14ac:dyDescent="0.2">
      <c r="B148" s="237" t="s">
        <v>445</v>
      </c>
      <c r="C148" s="238"/>
      <c r="D148" s="241"/>
      <c r="E148" s="241"/>
      <c r="F148" s="241"/>
      <c r="G148" s="241"/>
      <c r="H148" s="241"/>
      <c r="I148" s="241"/>
      <c r="J148" s="241">
        <v>0.89</v>
      </c>
      <c r="K148" s="241"/>
      <c r="L148" s="241"/>
      <c r="M148" s="241"/>
      <c r="N148" s="241"/>
      <c r="O148" s="241"/>
      <c r="P148" s="241"/>
      <c r="Q148" s="241">
        <v>0.89</v>
      </c>
      <c r="R148" s="241"/>
      <c r="S148" s="241"/>
      <c r="T148" s="241"/>
      <c r="U148" s="241"/>
      <c r="V148" s="241"/>
      <c r="W148" s="241"/>
      <c r="X148" s="241">
        <v>0.89</v>
      </c>
      <c r="Y148" s="241"/>
      <c r="Z148" s="241"/>
      <c r="AA148" s="241"/>
      <c r="AB148" s="241"/>
      <c r="AC148" s="241"/>
      <c r="AD148" s="241"/>
      <c r="AE148" s="241">
        <v>0.89</v>
      </c>
      <c r="AF148" s="241"/>
      <c r="AG148" s="241"/>
      <c r="AH148" s="241"/>
      <c r="AI148" s="241"/>
      <c r="AJ148" s="241"/>
      <c r="AK148" s="241"/>
      <c r="AL148" s="241">
        <v>0.89</v>
      </c>
      <c r="AM148" s="241"/>
      <c r="AN148" s="241"/>
      <c r="AO148" s="241"/>
      <c r="AP148" s="241"/>
      <c r="AQ148" s="241"/>
      <c r="AR148" s="241"/>
      <c r="AS148" s="241">
        <v>0.89</v>
      </c>
      <c r="AT148" s="241"/>
      <c r="AU148" s="241"/>
      <c r="AV148" s="241"/>
      <c r="AW148" s="241"/>
      <c r="AX148" s="241"/>
      <c r="AY148" s="241"/>
      <c r="AZ148" s="241">
        <v>0.89</v>
      </c>
      <c r="BA148" s="241"/>
      <c r="BB148" s="241"/>
      <c r="BC148" s="241"/>
      <c r="BD148" s="241"/>
      <c r="BE148" s="241"/>
      <c r="BF148" s="241"/>
      <c r="BG148" s="241">
        <v>0.89</v>
      </c>
      <c r="BH148" s="241"/>
      <c r="BI148" s="241"/>
      <c r="BJ148" s="241"/>
      <c r="BK148" s="241"/>
      <c r="BL148" s="241"/>
      <c r="BM148" s="241"/>
      <c r="BN148" s="241">
        <v>0.89</v>
      </c>
      <c r="BO148" s="241"/>
      <c r="BP148" s="241"/>
      <c r="BQ148" s="241"/>
      <c r="BR148" s="241"/>
      <c r="BS148" s="241"/>
      <c r="BT148" s="241"/>
      <c r="BU148" s="241">
        <v>0.89</v>
      </c>
      <c r="BV148" s="241"/>
      <c r="BW148" s="241"/>
      <c r="BX148" s="241"/>
      <c r="BY148" s="241"/>
      <c r="BZ148" s="241"/>
      <c r="CA148" s="241"/>
      <c r="CB148" s="241">
        <v>0.89</v>
      </c>
      <c r="CC148" s="241"/>
      <c r="CD148" s="241"/>
      <c r="CE148" s="241"/>
      <c r="CF148" s="241"/>
      <c r="CG148" s="241"/>
      <c r="CH148" s="241"/>
      <c r="CI148" s="241">
        <v>0.89</v>
      </c>
      <c r="CJ148" s="164" t="e">
        <f t="shared" ref="CJ148:CO148" si="67">CJ147*(1+(1-CJ137)*(CJ141/CJ142))</f>
        <v>#DIV/0!</v>
      </c>
      <c r="CK148" s="164" t="e">
        <f t="shared" si="67"/>
        <v>#DIV/0!</v>
      </c>
      <c r="CL148" s="164" t="e">
        <f t="shared" si="67"/>
        <v>#DIV/0!</v>
      </c>
      <c r="CM148" s="164" t="e">
        <f t="shared" si="67"/>
        <v>#DIV/0!</v>
      </c>
      <c r="CN148" s="164" t="e">
        <f t="shared" si="67"/>
        <v>#DIV/0!</v>
      </c>
      <c r="CO148" s="164" t="e">
        <f t="shared" si="67"/>
        <v>#DIV/0!</v>
      </c>
      <c r="CP148" s="164"/>
    </row>
    <row r="149" spans="2:94" ht="16" x14ac:dyDescent="0.2">
      <c r="B149" s="105" t="s">
        <v>446</v>
      </c>
      <c r="D149" s="164"/>
      <c r="E149" s="164"/>
      <c r="F149" s="164"/>
      <c r="G149" s="164"/>
      <c r="H149" s="164"/>
      <c r="I149" s="164"/>
      <c r="J149" s="164">
        <f>J148*(1+(1-J138)*(J142/J143))</f>
        <v>0.94100907666193112</v>
      </c>
      <c r="K149" s="164"/>
      <c r="L149" s="164"/>
      <c r="M149" s="164"/>
      <c r="N149" s="164"/>
      <c r="O149" s="164"/>
      <c r="P149" s="164"/>
      <c r="Q149" s="164">
        <f>Q148*(1+(1-Q138)*(Q142/Q143))</f>
        <v>0.94129437174712671</v>
      </c>
      <c r="R149" s="164"/>
      <c r="S149" s="164"/>
      <c r="T149" s="164"/>
      <c r="U149" s="164"/>
      <c r="V149" s="164"/>
      <c r="W149" s="164"/>
      <c r="X149" s="164">
        <f>X148*(1+(1-X138)*(X142/X143))</f>
        <v>0.94123598462028435</v>
      </c>
      <c r="Y149" s="164"/>
      <c r="Z149" s="164"/>
      <c r="AA149" s="164"/>
      <c r="AB149" s="164"/>
      <c r="AC149" s="164"/>
      <c r="AD149" s="164"/>
      <c r="AE149" s="164">
        <f>AE148*(1+(1-AE138)*(AE142/AE143))</f>
        <v>0.94117173254028974</v>
      </c>
      <c r="AF149" s="164"/>
      <c r="AG149" s="164"/>
      <c r="AH149" s="164"/>
      <c r="AI149" s="164"/>
      <c r="AJ149" s="164"/>
      <c r="AK149" s="164"/>
      <c r="AL149" s="164">
        <f>AL148*(1+(1-AL138)*(AL142/AL143))</f>
        <v>0.94102123621453138</v>
      </c>
      <c r="AM149" s="164"/>
      <c r="AN149" s="164"/>
      <c r="AO149" s="164"/>
      <c r="AP149" s="164"/>
      <c r="AQ149" s="164"/>
      <c r="AR149" s="164"/>
      <c r="AS149" s="164">
        <f>AS148*(1+(1-AS138)*(AS142/AS143))</f>
        <v>0.94101594449080783</v>
      </c>
      <c r="AT149" s="164"/>
      <c r="AU149" s="164"/>
      <c r="AV149" s="164"/>
      <c r="AW149" s="164"/>
      <c r="AX149" s="164"/>
      <c r="AY149" s="164"/>
      <c r="AZ149" s="164">
        <f>AZ148*(1+(1-AZ138)*(AZ142/AZ143))</f>
        <v>0.94057201160176174</v>
      </c>
      <c r="BA149" s="164"/>
      <c r="BB149" s="164"/>
      <c r="BC149" s="164"/>
      <c r="BD149" s="164"/>
      <c r="BE149" s="164"/>
      <c r="BF149" s="164"/>
      <c r="BG149" s="164">
        <f>BG148*(1+(1-BG138)*(BG142/BG143))</f>
        <v>0.93538028711753662</v>
      </c>
      <c r="BH149" s="164"/>
      <c r="BI149" s="164"/>
      <c r="BJ149" s="164"/>
      <c r="BK149" s="164"/>
      <c r="BL149" s="164"/>
      <c r="BM149" s="164"/>
      <c r="BN149" s="164">
        <f>BN148*(1+(1-BN138)*(BN142/BN143))</f>
        <v>0.94052215941478512</v>
      </c>
      <c r="BO149" s="164"/>
      <c r="BP149" s="164"/>
      <c r="BQ149" s="164"/>
      <c r="BR149" s="164"/>
      <c r="BS149" s="164"/>
      <c r="BT149" s="164"/>
      <c r="BU149" s="164">
        <f>BU148*(1+(1-BU138)*(BU142/BU143))</f>
        <v>0.94045286980004583</v>
      </c>
      <c r="BV149" s="164"/>
      <c r="BW149" s="164"/>
      <c r="BX149" s="164"/>
      <c r="BY149" s="164"/>
      <c r="BZ149" s="164"/>
      <c r="CA149" s="164"/>
      <c r="CB149" s="164">
        <f>CB148*(1+(1-CB138)*(CB142/CB143))</f>
        <v>0.9403073771782936</v>
      </c>
      <c r="CC149" s="164"/>
      <c r="CD149" s="164"/>
      <c r="CE149" s="164"/>
      <c r="CF149" s="164"/>
      <c r="CG149" s="164"/>
      <c r="CH149" s="164"/>
      <c r="CI149" s="164">
        <f>CI148*(1+(1-CI138)*(CI142/CI143))</f>
        <v>0.94018914378506424</v>
      </c>
      <c r="CJ149" s="176">
        <v>4.7899999999999998E-2</v>
      </c>
      <c r="CK149" s="176">
        <f>CJ149</f>
        <v>4.7899999999999998E-2</v>
      </c>
      <c r="CL149" s="176">
        <v>4.7899999999999998E-2</v>
      </c>
      <c r="CM149" s="176">
        <v>4.7899999999999998E-2</v>
      </c>
      <c r="CN149" s="176">
        <f>CM149</f>
        <v>4.7899999999999998E-2</v>
      </c>
      <c r="CO149" s="176">
        <v>4.7899999999999998E-2</v>
      </c>
      <c r="CP149" s="176"/>
    </row>
    <row r="150" spans="2:94" ht="16" x14ac:dyDescent="0.2">
      <c r="B150" s="237" t="s">
        <v>447</v>
      </c>
      <c r="C150" s="238"/>
      <c r="D150" s="239"/>
      <c r="E150" s="239"/>
      <c r="F150" s="239"/>
      <c r="G150" s="239"/>
      <c r="H150" s="239"/>
      <c r="I150" s="239"/>
      <c r="J150" s="239">
        <v>4.7899999999999998E-2</v>
      </c>
      <c r="K150" s="239"/>
      <c r="L150" s="239"/>
      <c r="M150" s="239"/>
      <c r="N150" s="239"/>
      <c r="O150" s="239"/>
      <c r="P150" s="239"/>
      <c r="Q150" s="239">
        <v>4.7899999999999998E-2</v>
      </c>
      <c r="R150" s="239"/>
      <c r="S150" s="239"/>
      <c r="T150" s="239"/>
      <c r="U150" s="239"/>
      <c r="V150" s="239"/>
      <c r="W150" s="239"/>
      <c r="X150" s="239">
        <v>4.7899999999999998E-2</v>
      </c>
      <c r="Y150" s="239"/>
      <c r="Z150" s="239"/>
      <c r="AA150" s="239"/>
      <c r="AB150" s="239"/>
      <c r="AC150" s="239"/>
      <c r="AD150" s="239"/>
      <c r="AE150" s="239">
        <v>4.7899999999999998E-2</v>
      </c>
      <c r="AF150" s="239"/>
      <c r="AG150" s="239"/>
      <c r="AH150" s="239"/>
      <c r="AI150" s="239"/>
      <c r="AJ150" s="239"/>
      <c r="AK150" s="239"/>
      <c r="AL150" s="239">
        <v>4.7899999999999998E-2</v>
      </c>
      <c r="AM150" s="239"/>
      <c r="AN150" s="239"/>
      <c r="AO150" s="239"/>
      <c r="AP150" s="239"/>
      <c r="AQ150" s="239"/>
      <c r="AR150" s="239"/>
      <c r="AS150" s="239">
        <v>4.7899999999999998E-2</v>
      </c>
      <c r="AT150" s="239"/>
      <c r="AU150" s="239"/>
      <c r="AV150" s="239"/>
      <c r="AW150" s="239"/>
      <c r="AX150" s="239"/>
      <c r="AY150" s="239"/>
      <c r="AZ150" s="239">
        <v>4.7899999999999998E-2</v>
      </c>
      <c r="BA150" s="239"/>
      <c r="BB150" s="239"/>
      <c r="BC150" s="239"/>
      <c r="BD150" s="239"/>
      <c r="BE150" s="239"/>
      <c r="BF150" s="239"/>
      <c r="BG150" s="239">
        <v>4.7899999999999998E-2</v>
      </c>
      <c r="BH150" s="239"/>
      <c r="BI150" s="239"/>
      <c r="BJ150" s="239"/>
      <c r="BK150" s="239"/>
      <c r="BL150" s="239"/>
      <c r="BM150" s="239"/>
      <c r="BN150" s="239">
        <v>4.7899999999999998E-2</v>
      </c>
      <c r="BO150" s="239"/>
      <c r="BP150" s="239"/>
      <c r="BQ150" s="239"/>
      <c r="BR150" s="239"/>
      <c r="BS150" s="239"/>
      <c r="BT150" s="239"/>
      <c r="BU150" s="239">
        <v>4.7899999999999998E-2</v>
      </c>
      <c r="BV150" s="239"/>
      <c r="BW150" s="239"/>
      <c r="BX150" s="239"/>
      <c r="BY150" s="239"/>
      <c r="BZ150" s="239"/>
      <c r="CA150" s="239"/>
      <c r="CB150" s="239">
        <v>4.7899999999999998E-2</v>
      </c>
      <c r="CC150" s="239"/>
      <c r="CD150" s="239"/>
      <c r="CE150" s="239"/>
      <c r="CF150" s="239"/>
      <c r="CG150" s="239"/>
      <c r="CH150" s="239"/>
      <c r="CI150" s="239">
        <v>4.7899999999999998E-2</v>
      </c>
      <c r="CJ150" s="176">
        <v>0.1179</v>
      </c>
      <c r="CK150" s="176">
        <f>CJ150</f>
        <v>0.1179</v>
      </c>
      <c r="CL150" s="176">
        <v>0.1179</v>
      </c>
      <c r="CM150" s="176">
        <v>0.1179</v>
      </c>
      <c r="CN150" s="176">
        <f>CM150</f>
        <v>0.1179</v>
      </c>
      <c r="CO150" s="176">
        <v>0.1179</v>
      </c>
      <c r="CP150" s="176"/>
    </row>
    <row r="151" spans="2:94" ht="16" x14ac:dyDescent="0.2">
      <c r="B151" s="237" t="s">
        <v>448</v>
      </c>
      <c r="C151" s="238"/>
      <c r="D151" s="239"/>
      <c r="E151" s="239"/>
      <c r="F151" s="239"/>
      <c r="G151" s="239"/>
      <c r="H151" s="239"/>
      <c r="I151" s="239"/>
      <c r="J151" s="239">
        <v>0.1179</v>
      </c>
      <c r="K151" s="239"/>
      <c r="L151" s="239"/>
      <c r="M151" s="239"/>
      <c r="N151" s="239"/>
      <c r="O151" s="239"/>
      <c r="P151" s="239"/>
      <c r="Q151" s="239">
        <v>0.1179</v>
      </c>
      <c r="R151" s="239"/>
      <c r="S151" s="239"/>
      <c r="T151" s="239"/>
      <c r="U151" s="239"/>
      <c r="V151" s="239"/>
      <c r="W151" s="239"/>
      <c r="X151" s="239">
        <v>0.1179</v>
      </c>
      <c r="Y151" s="239"/>
      <c r="Z151" s="239"/>
      <c r="AA151" s="239"/>
      <c r="AB151" s="239"/>
      <c r="AC151" s="239"/>
      <c r="AD151" s="239"/>
      <c r="AE151" s="239">
        <v>0.1179</v>
      </c>
      <c r="AF151" s="239"/>
      <c r="AG151" s="239"/>
      <c r="AH151" s="239"/>
      <c r="AI151" s="239"/>
      <c r="AJ151" s="239"/>
      <c r="AK151" s="239"/>
      <c r="AL151" s="239">
        <v>0.1179</v>
      </c>
      <c r="AM151" s="239"/>
      <c r="AN151" s="239"/>
      <c r="AO151" s="239"/>
      <c r="AP151" s="239"/>
      <c r="AQ151" s="239"/>
      <c r="AR151" s="239"/>
      <c r="AS151" s="239">
        <v>0.1179</v>
      </c>
      <c r="AT151" s="239"/>
      <c r="AU151" s="239"/>
      <c r="AV151" s="239"/>
      <c r="AW151" s="239"/>
      <c r="AX151" s="239"/>
      <c r="AY151" s="239"/>
      <c r="AZ151" s="239">
        <v>0.1179</v>
      </c>
      <c r="BA151" s="239"/>
      <c r="BB151" s="239"/>
      <c r="BC151" s="239"/>
      <c r="BD151" s="239"/>
      <c r="BE151" s="239"/>
      <c r="BF151" s="239"/>
      <c r="BG151" s="239">
        <v>0.1179</v>
      </c>
      <c r="BH151" s="239"/>
      <c r="BI151" s="239"/>
      <c r="BJ151" s="239"/>
      <c r="BK151" s="239"/>
      <c r="BL151" s="239"/>
      <c r="BM151" s="239"/>
      <c r="BN151" s="239">
        <v>0.1179</v>
      </c>
      <c r="BO151" s="239"/>
      <c r="BP151" s="239"/>
      <c r="BQ151" s="239"/>
      <c r="BR151" s="239"/>
      <c r="BS151" s="239"/>
      <c r="BT151" s="239"/>
      <c r="BU151" s="239">
        <v>0.1179</v>
      </c>
      <c r="BV151" s="239"/>
      <c r="BW151" s="239"/>
      <c r="BX151" s="239"/>
      <c r="BY151" s="239"/>
      <c r="BZ151" s="239"/>
      <c r="CA151" s="239"/>
      <c r="CB151" s="239">
        <v>0.1179</v>
      </c>
      <c r="CC151" s="239"/>
      <c r="CD151" s="239"/>
      <c r="CE151" s="239"/>
      <c r="CF151" s="239"/>
      <c r="CG151" s="239"/>
      <c r="CH151" s="239"/>
      <c r="CI151" s="239">
        <v>0.1179</v>
      </c>
      <c r="CJ151" s="176">
        <v>7.2900000000000006E-2</v>
      </c>
      <c r="CK151" s="176">
        <f>CJ151</f>
        <v>7.2900000000000006E-2</v>
      </c>
      <c r="CL151" s="176">
        <v>7.2900000000000006E-2</v>
      </c>
      <c r="CM151" s="176">
        <v>7.2900000000000006E-2</v>
      </c>
      <c r="CN151" s="176">
        <f>CM151</f>
        <v>7.2900000000000006E-2</v>
      </c>
      <c r="CO151" s="176">
        <v>7.2900000000000006E-2</v>
      </c>
      <c r="CP151" s="176"/>
    </row>
    <row r="152" spans="2:94" ht="16" x14ac:dyDescent="0.2">
      <c r="B152" s="237" t="s">
        <v>449</v>
      </c>
      <c r="C152" s="240" t="s">
        <v>534</v>
      </c>
      <c r="D152" s="239"/>
      <c r="E152" s="239"/>
      <c r="F152" s="239"/>
      <c r="G152" s="239"/>
      <c r="H152" s="239"/>
      <c r="I152" s="239"/>
      <c r="J152" s="239">
        <v>6.9000000000000006E-2</v>
      </c>
      <c r="K152" s="239"/>
      <c r="L152" s="239"/>
      <c r="M152" s="239"/>
      <c r="N152" s="239"/>
      <c r="O152" s="239"/>
      <c r="P152" s="239"/>
      <c r="Q152" s="239">
        <v>6.6000000000000003E-2</v>
      </c>
      <c r="R152" s="239"/>
      <c r="S152" s="239"/>
      <c r="T152" s="239"/>
      <c r="U152" s="239"/>
      <c r="V152" s="239"/>
      <c r="W152" s="239"/>
      <c r="X152" s="239">
        <v>6.9400000000000003E-2</v>
      </c>
      <c r="Y152" s="239"/>
      <c r="Z152" s="239"/>
      <c r="AA152" s="239"/>
      <c r="AB152" s="239"/>
      <c r="AC152" s="239"/>
      <c r="AD152" s="239"/>
      <c r="AE152" s="239">
        <v>7.6600000000000001E-2</v>
      </c>
      <c r="AF152" s="239"/>
      <c r="AG152" s="239"/>
      <c r="AH152" s="239"/>
      <c r="AI152" s="239"/>
      <c r="AJ152" s="239"/>
      <c r="AK152" s="239"/>
      <c r="AL152" s="239">
        <v>7.4300000000000005E-2</v>
      </c>
      <c r="AM152" s="239"/>
      <c r="AN152" s="239"/>
      <c r="AO152" s="239"/>
      <c r="AP152" s="239"/>
      <c r="AQ152" s="239"/>
      <c r="AR152" s="239"/>
      <c r="AS152" s="239">
        <v>7.9500000000000001E-2</v>
      </c>
      <c r="AT152" s="239"/>
      <c r="AU152" s="239"/>
      <c r="AV152" s="239"/>
      <c r="AW152" s="239"/>
      <c r="AX152" s="239"/>
      <c r="AY152" s="239"/>
      <c r="AZ152" s="239">
        <v>7.9899999999999999E-2</v>
      </c>
      <c r="BA152" s="239"/>
      <c r="BB152" s="239"/>
      <c r="BC152" s="239"/>
      <c r="BD152" s="239"/>
      <c r="BE152" s="239"/>
      <c r="BF152" s="239"/>
      <c r="BG152" s="239">
        <v>7.8299999999999995E-2</v>
      </c>
      <c r="BH152" s="239"/>
      <c r="BI152" s="239"/>
      <c r="BJ152" s="239"/>
      <c r="BK152" s="239"/>
      <c r="BL152" s="239"/>
      <c r="BM152" s="239"/>
      <c r="BN152" s="239">
        <v>7.1199999999999999E-2</v>
      </c>
      <c r="BO152" s="239"/>
      <c r="BP152" s="239"/>
      <c r="BQ152" s="239"/>
      <c r="BR152" s="239"/>
      <c r="BS152" s="239"/>
      <c r="BT152" s="239"/>
      <c r="BU152" s="239">
        <v>7.22E-2</v>
      </c>
      <c r="BV152" s="239"/>
      <c r="BW152" s="239"/>
      <c r="BX152" s="239"/>
      <c r="BY152" s="239"/>
      <c r="BZ152" s="239"/>
      <c r="CA152" s="239"/>
      <c r="CB152" s="239">
        <v>7.5499999999999998E-2</v>
      </c>
      <c r="CC152" s="239"/>
      <c r="CD152" s="239"/>
      <c r="CE152" s="239"/>
      <c r="CF152" s="239"/>
      <c r="CG152" s="239"/>
      <c r="CH152" s="239"/>
      <c r="CI152" s="239">
        <v>8.4500000000000006E-2</v>
      </c>
      <c r="CJ152" s="176">
        <v>4.7E-2</v>
      </c>
      <c r="CK152" s="176">
        <f>CJ152</f>
        <v>4.7E-2</v>
      </c>
      <c r="CL152" s="176">
        <v>4.7E-2</v>
      </c>
      <c r="CM152" s="176">
        <v>4.7E-2</v>
      </c>
      <c r="CN152" s="176">
        <f>CM152</f>
        <v>4.7E-2</v>
      </c>
      <c r="CO152" s="176">
        <v>4.7E-2</v>
      </c>
      <c r="CP152" s="176"/>
    </row>
    <row r="153" spans="2:94" ht="16" x14ac:dyDescent="0.2">
      <c r="B153" s="237" t="s">
        <v>450</v>
      </c>
      <c r="C153" s="238"/>
      <c r="D153" s="239"/>
      <c r="E153" s="239"/>
      <c r="F153" s="239"/>
      <c r="G153" s="239"/>
      <c r="H153" s="239"/>
      <c r="I153" s="239"/>
      <c r="J153" s="239">
        <v>5.2200000000000003E-2</v>
      </c>
      <c r="K153" s="239"/>
      <c r="L153" s="239"/>
      <c r="M153" s="239"/>
      <c r="N153" s="239"/>
      <c r="O153" s="239"/>
      <c r="P153" s="239"/>
      <c r="Q153" s="239">
        <v>5.28E-2</v>
      </c>
      <c r="R153" s="239"/>
      <c r="S153" s="239"/>
      <c r="T153" s="239"/>
      <c r="U153" s="239"/>
      <c r="V153" s="239"/>
      <c r="W153" s="239"/>
      <c r="X153" s="239">
        <v>5.0900000000000001E-2</v>
      </c>
      <c r="Y153" s="239"/>
      <c r="Z153" s="239"/>
      <c r="AA153" s="239"/>
      <c r="AB153" s="239"/>
      <c r="AC153" s="239"/>
      <c r="AD153" s="239"/>
      <c r="AE153" s="239">
        <v>5.16E-2</v>
      </c>
      <c r="AF153" s="239"/>
      <c r="AG153" s="239"/>
      <c r="AH153" s="239"/>
      <c r="AI153" s="239"/>
      <c r="AJ153" s="239"/>
      <c r="AK153" s="239"/>
      <c r="AL153" s="239">
        <v>5.0500000000000003E-2</v>
      </c>
      <c r="AM153" s="239"/>
      <c r="AN153" s="239"/>
      <c r="AO153" s="239"/>
      <c r="AP153" s="239"/>
      <c r="AQ153" s="239"/>
      <c r="AR153" s="239"/>
      <c r="AS153" s="239">
        <v>4.82E-2</v>
      </c>
      <c r="AT153" s="239"/>
      <c r="AU153" s="239"/>
      <c r="AV153" s="239"/>
      <c r="AW153" s="239"/>
      <c r="AX153" s="239"/>
      <c r="AY153" s="239"/>
      <c r="AZ153" s="239">
        <v>4.9000000000000002E-2</v>
      </c>
      <c r="BA153" s="239"/>
      <c r="BB153" s="239"/>
      <c r="BC153" s="239"/>
      <c r="BD153" s="239"/>
      <c r="BE153" s="239"/>
      <c r="BF153" s="239"/>
      <c r="BG153" s="239">
        <v>5.0999999999999997E-2</v>
      </c>
      <c r="BH153" s="239"/>
      <c r="BI153" s="239"/>
      <c r="BJ153" s="239"/>
      <c r="BK153" s="239"/>
      <c r="BL153" s="239"/>
      <c r="BM153" s="239"/>
      <c r="BN153" s="239">
        <v>5.1799999999999999E-2</v>
      </c>
      <c r="BO153" s="239"/>
      <c r="BP153" s="239"/>
      <c r="BQ153" s="239"/>
      <c r="BR153" s="239"/>
      <c r="BS153" s="239"/>
      <c r="BT153" s="239"/>
      <c r="BU153" s="239">
        <v>5.5100000000000003E-2</v>
      </c>
      <c r="BV153" s="239"/>
      <c r="BW153" s="239"/>
      <c r="BX153" s="239"/>
      <c r="BY153" s="239"/>
      <c r="BZ153" s="239"/>
      <c r="CA153" s="239"/>
      <c r="CB153" s="239">
        <v>5.2999999999999999E-2</v>
      </c>
      <c r="CC153" s="176"/>
      <c r="CD153" s="176"/>
      <c r="CE153" s="176"/>
      <c r="CF153" s="176"/>
      <c r="CG153" s="176"/>
      <c r="CH153" s="176"/>
      <c r="CI153" s="176"/>
      <c r="CJ153" s="176">
        <v>0.03</v>
      </c>
      <c r="CK153" s="176">
        <f>CJ153</f>
        <v>0.03</v>
      </c>
      <c r="CL153" s="176">
        <v>0.03</v>
      </c>
      <c r="CM153" s="176">
        <v>0.03</v>
      </c>
      <c r="CN153" s="176">
        <f>CM153</f>
        <v>0.03</v>
      </c>
      <c r="CO153" s="176">
        <v>0.03</v>
      </c>
      <c r="CP153" s="176"/>
    </row>
    <row r="154" spans="2:94" ht="16" x14ac:dyDescent="0.2">
      <c r="B154" s="237" t="s">
        <v>451</v>
      </c>
      <c r="C154" s="238"/>
      <c r="D154" s="239"/>
      <c r="E154" s="239"/>
      <c r="F154" s="239"/>
      <c r="G154" s="239"/>
      <c r="H154" s="239"/>
      <c r="I154" s="239"/>
      <c r="J154" s="239">
        <v>0.03</v>
      </c>
      <c r="K154" s="239"/>
      <c r="L154" s="239"/>
      <c r="M154" s="239"/>
      <c r="N154" s="239"/>
      <c r="O154" s="239"/>
      <c r="P154" s="239"/>
      <c r="Q154" s="239">
        <v>2.8000000000000001E-2</v>
      </c>
      <c r="R154" s="239"/>
      <c r="S154" s="239"/>
      <c r="T154" s="239"/>
      <c r="U154" s="239"/>
      <c r="V154" s="239"/>
      <c r="W154" s="239"/>
      <c r="X154" s="239">
        <v>2.4E-2</v>
      </c>
      <c r="Y154" s="239"/>
      <c r="Z154" s="239"/>
      <c r="AA154" s="239"/>
      <c r="AB154" s="239"/>
      <c r="AC154" s="239"/>
      <c r="AD154" s="239"/>
      <c r="AE154" s="239">
        <v>2.3E-2</v>
      </c>
      <c r="AF154" s="239"/>
      <c r="AG154" s="239"/>
      <c r="AH154" s="239"/>
      <c r="AI154" s="239"/>
      <c r="AJ154" s="239"/>
      <c r="AK154" s="239"/>
      <c r="AL154" s="239">
        <v>2.4E-2</v>
      </c>
      <c r="AM154" s="239"/>
      <c r="AN154" s="239"/>
      <c r="AO154" s="239"/>
      <c r="AP154" s="239"/>
      <c r="AQ154" s="239"/>
      <c r="AR154" s="239"/>
      <c r="AS154" s="239">
        <v>2.7E-2</v>
      </c>
      <c r="AT154" s="239"/>
      <c r="AU154" s="239"/>
      <c r="AV154" s="239"/>
      <c r="AW154" s="239"/>
      <c r="AX154" s="239"/>
      <c r="AY154" s="239"/>
      <c r="AZ154" s="239">
        <v>2.7E-2</v>
      </c>
      <c r="BA154" s="239"/>
      <c r="BB154" s="239"/>
      <c r="BC154" s="239"/>
      <c r="BD154" s="239"/>
      <c r="BE154" s="239"/>
      <c r="BF154" s="239"/>
      <c r="BG154" s="239">
        <v>2.9000000000000001E-2</v>
      </c>
      <c r="BH154" s="239"/>
      <c r="BI154" s="239"/>
      <c r="BJ154" s="239"/>
      <c r="BK154" s="239"/>
      <c r="BL154" s="239"/>
      <c r="BM154" s="239"/>
      <c r="BN154" s="239">
        <v>0.03</v>
      </c>
      <c r="BO154" s="239"/>
      <c r="BP154" s="239"/>
      <c r="BQ154" s="239"/>
      <c r="BR154" s="239"/>
      <c r="BS154" s="239"/>
      <c r="BT154" s="239"/>
      <c r="BU154" s="239">
        <f>BN154</f>
        <v>0.03</v>
      </c>
      <c r="BV154" s="239"/>
      <c r="BW154" s="239"/>
      <c r="BX154" s="239"/>
      <c r="BY154" s="239"/>
      <c r="BZ154" s="239"/>
      <c r="CA154" s="239"/>
      <c r="CB154" s="239">
        <v>2.7E-2</v>
      </c>
      <c r="CC154" s="176"/>
      <c r="CD154" s="176"/>
      <c r="CE154" s="176"/>
      <c r="CF154" s="176"/>
      <c r="CG154" s="176"/>
      <c r="CH154" s="176"/>
      <c r="CI154" s="176"/>
      <c r="CJ154" s="135">
        <f t="shared" ref="CJ154:CO154" si="68">((1+CJ152)/(1+CJ153))-1</f>
        <v>1.6504854368931898E-2</v>
      </c>
      <c r="CK154" s="135">
        <f t="shared" si="68"/>
        <v>1.6504854368931898E-2</v>
      </c>
      <c r="CL154" s="135">
        <f t="shared" si="68"/>
        <v>1.6504854368931898E-2</v>
      </c>
      <c r="CM154" s="135">
        <f t="shared" si="68"/>
        <v>1.6504854368931898E-2</v>
      </c>
      <c r="CN154" s="135">
        <f t="shared" si="68"/>
        <v>1.6504854368931898E-2</v>
      </c>
      <c r="CO154" s="135">
        <f t="shared" si="68"/>
        <v>1.6504854368931898E-2</v>
      </c>
      <c r="CP154" s="135"/>
    </row>
    <row r="155" spans="2:94" x14ac:dyDescent="0.2">
      <c r="B155" s="105" t="s">
        <v>452</v>
      </c>
      <c r="D155" s="135"/>
      <c r="E155" s="135"/>
      <c r="F155" s="135"/>
      <c r="G155" s="135"/>
      <c r="H155" s="135"/>
      <c r="I155" s="135"/>
      <c r="J155" s="135">
        <f>((1+J153)/(1+J154))-1</f>
        <v>2.1553398058252515E-2</v>
      </c>
      <c r="K155" s="135"/>
      <c r="L155" s="135"/>
      <c r="M155" s="135"/>
      <c r="N155" s="135"/>
      <c r="O155" s="135"/>
      <c r="P155" s="135"/>
      <c r="Q155" s="135">
        <f>((1+Q153)/(1+Q154))-1</f>
        <v>2.4124513618676957E-2</v>
      </c>
      <c r="R155" s="135"/>
      <c r="S155" s="135"/>
      <c r="T155" s="135"/>
      <c r="U155" s="135"/>
      <c r="V155" s="135"/>
      <c r="W155" s="135"/>
      <c r="X155" s="135">
        <f>((1+X153)/(1+X154))-1</f>
        <v>2.6269531249999867E-2</v>
      </c>
      <c r="Y155" s="135"/>
      <c r="Z155" s="135"/>
      <c r="AA155" s="135"/>
      <c r="AB155" s="135"/>
      <c r="AC155" s="135"/>
      <c r="AD155" s="135"/>
      <c r="AE155" s="135">
        <f>((1+AE153)/(1+AE154))-1</f>
        <v>2.7956989247311936E-2</v>
      </c>
      <c r="AF155" s="135"/>
      <c r="AG155" s="135"/>
      <c r="AH155" s="135"/>
      <c r="AI155" s="135"/>
      <c r="AJ155" s="135"/>
      <c r="AK155" s="135"/>
      <c r="AL155" s="135">
        <f>((1+AL153)/(1+AL154))-1</f>
        <v>2.587890625E-2</v>
      </c>
      <c r="AM155" s="135"/>
      <c r="AN155" s="135"/>
      <c r="AO155" s="135"/>
      <c r="AP155" s="135"/>
      <c r="AQ155" s="135"/>
      <c r="AR155" s="135"/>
      <c r="AS155" s="135">
        <f>((1+AS153)/(1+AS154))-1</f>
        <v>2.0642648490749815E-2</v>
      </c>
      <c r="AT155" s="135"/>
      <c r="AU155" s="135"/>
      <c r="AV155" s="135"/>
      <c r="AW155" s="135"/>
      <c r="AX155" s="135"/>
      <c r="AY155" s="135"/>
      <c r="AZ155" s="135">
        <f>((1+AZ153)/(1+AZ154))-1</f>
        <v>2.142161635832518E-2</v>
      </c>
      <c r="BA155" s="135"/>
      <c r="BB155" s="135"/>
      <c r="BC155" s="135"/>
      <c r="BD155" s="135"/>
      <c r="BE155" s="135"/>
      <c r="BF155" s="135"/>
      <c r="BG155" s="135">
        <f>((1+BG153)/(1+BG154))-1</f>
        <v>2.1379980563654088E-2</v>
      </c>
      <c r="BH155" s="135"/>
      <c r="BI155" s="135"/>
      <c r="BJ155" s="135"/>
      <c r="BK155" s="135"/>
      <c r="BL155" s="135"/>
      <c r="BM155" s="135"/>
      <c r="BN155" s="135">
        <f>((1+BN153)/(1+BN154))-1</f>
        <v>2.1165048543689391E-2</v>
      </c>
      <c r="BO155" s="135"/>
      <c r="BP155" s="135"/>
      <c r="BQ155" s="135"/>
      <c r="BR155" s="135"/>
      <c r="BS155" s="135"/>
      <c r="BT155" s="135"/>
      <c r="BU155" s="135">
        <f>((1+BU153)/(1+BU154))-1</f>
        <v>2.4368932038834945E-2</v>
      </c>
      <c r="BV155" s="135"/>
      <c r="BW155" s="135"/>
      <c r="BX155" s="135"/>
      <c r="BY155" s="135"/>
      <c r="BZ155" s="135"/>
      <c r="CA155" s="135"/>
      <c r="CB155" s="135">
        <f>((1+CB153)/(1+CB154))-1</f>
        <v>2.5316455696202667E-2</v>
      </c>
      <c r="CC155" s="135"/>
      <c r="CD155" s="135"/>
      <c r="CE155" s="135"/>
      <c r="CF155" s="135"/>
      <c r="CG155" s="135"/>
      <c r="CH155" s="135"/>
      <c r="CI155" s="135">
        <f>((1+CI153)/(1+CI154))-1</f>
        <v>0</v>
      </c>
      <c r="CJ155" s="135" t="e">
        <f t="shared" ref="CJ155:CO155" si="69">CJ149+(CJ148*(CJ150-CJ149))+CJ151</f>
        <v>#DIV/0!</v>
      </c>
      <c r="CK155" s="135" t="e">
        <f t="shared" si="69"/>
        <v>#DIV/0!</v>
      </c>
      <c r="CL155" s="135" t="e">
        <f t="shared" si="69"/>
        <v>#DIV/0!</v>
      </c>
      <c r="CM155" s="135" t="e">
        <f t="shared" si="69"/>
        <v>#DIV/0!</v>
      </c>
      <c r="CN155" s="135" t="e">
        <f t="shared" si="69"/>
        <v>#DIV/0!</v>
      </c>
      <c r="CO155" s="135" t="e">
        <f t="shared" si="69"/>
        <v>#DIV/0!</v>
      </c>
      <c r="CP155" s="135"/>
    </row>
    <row r="156" spans="2:94" x14ac:dyDescent="0.2">
      <c r="B156" s="105" t="s">
        <v>453</v>
      </c>
      <c r="D156" s="135"/>
      <c r="E156" s="135"/>
      <c r="F156" s="135"/>
      <c r="G156" s="135"/>
      <c r="H156" s="135"/>
      <c r="I156" s="135"/>
      <c r="J156" s="135">
        <f>J150+(J149*(J151-J150))+J152</f>
        <v>0.1827706353663352</v>
      </c>
      <c r="K156" s="135"/>
      <c r="L156" s="135"/>
      <c r="M156" s="135"/>
      <c r="N156" s="135"/>
      <c r="O156" s="135"/>
      <c r="P156" s="135"/>
      <c r="Q156" s="135">
        <f>Q150+(Q149*(Q151-Q150))+Q152</f>
        <v>0.17979060602229888</v>
      </c>
      <c r="R156" s="135"/>
      <c r="S156" s="135"/>
      <c r="T156" s="135"/>
      <c r="U156" s="135"/>
      <c r="V156" s="135"/>
      <c r="W156" s="135"/>
      <c r="X156" s="135">
        <f>X150+(X149*(X151-X150))+X152</f>
        <v>0.18318651892341992</v>
      </c>
      <c r="Y156" s="135"/>
      <c r="Z156" s="135"/>
      <c r="AA156" s="135"/>
      <c r="AB156" s="135"/>
      <c r="AC156" s="135"/>
      <c r="AD156" s="135"/>
      <c r="AE156" s="135">
        <f>AE150+(AE149*(AE151-AE150))+AE152</f>
        <v>0.19038202127782028</v>
      </c>
      <c r="AF156" s="135"/>
      <c r="AG156" s="135"/>
      <c r="AH156" s="135"/>
      <c r="AI156" s="135"/>
      <c r="AJ156" s="135"/>
      <c r="AK156" s="135"/>
      <c r="AL156" s="135">
        <f>AL150+(AL149*(AL151-AL150))+AL152</f>
        <v>0.18807148653501721</v>
      </c>
      <c r="AM156" s="135"/>
      <c r="AN156" s="135"/>
      <c r="AO156" s="135"/>
      <c r="AP156" s="135"/>
      <c r="AQ156" s="135"/>
      <c r="AR156" s="135"/>
      <c r="AS156" s="135">
        <f>AS150+(AS149*(AS151-AS150))+AS152</f>
        <v>0.19327111611435654</v>
      </c>
      <c r="AT156" s="135"/>
      <c r="AU156" s="135"/>
      <c r="AV156" s="135"/>
      <c r="AW156" s="135"/>
      <c r="AX156" s="135"/>
      <c r="AY156" s="135"/>
      <c r="AZ156" s="135">
        <f>AZ150+(AZ149*(AZ151-AZ150))+AZ152</f>
        <v>0.19364004081212333</v>
      </c>
      <c r="BA156" s="135"/>
      <c r="BB156" s="135"/>
      <c r="BC156" s="135"/>
      <c r="BD156" s="135"/>
      <c r="BE156" s="135"/>
      <c r="BF156" s="135"/>
      <c r="BG156" s="135">
        <f>BG150+(BG149*(BG151-BG150))+BG152</f>
        <v>0.19167662009822756</v>
      </c>
      <c r="BH156" s="135"/>
      <c r="BI156" s="135"/>
      <c r="BJ156" s="135"/>
      <c r="BK156" s="135"/>
      <c r="BL156" s="135"/>
      <c r="BM156" s="135"/>
      <c r="BN156" s="135">
        <f>BN150+(BN149*(BN151-BN150))+BN152</f>
        <v>0.18493655115903496</v>
      </c>
      <c r="BO156" s="135"/>
      <c r="BP156" s="135"/>
      <c r="BQ156" s="135"/>
      <c r="BR156" s="135"/>
      <c r="BS156" s="135"/>
      <c r="BT156" s="135"/>
      <c r="BU156" s="135">
        <f>BU150+(BU149*(BU151-BU150))+BU152</f>
        <v>0.18593170088600319</v>
      </c>
      <c r="BV156" s="135"/>
      <c r="BW156" s="135"/>
      <c r="BX156" s="135"/>
      <c r="BY156" s="135"/>
      <c r="BZ156" s="135"/>
      <c r="CA156" s="135"/>
      <c r="CB156" s="135">
        <f>CB150+(CB149*(CB151-CB150))+CB152</f>
        <v>0.18922151640248056</v>
      </c>
      <c r="CC156" s="135"/>
      <c r="CD156" s="135"/>
      <c r="CE156" s="135"/>
      <c r="CF156" s="135"/>
      <c r="CG156" s="135"/>
      <c r="CH156" s="135"/>
      <c r="CI156" s="135">
        <f>CI150+(CI149*(CI151-CI150))+CI152</f>
        <v>0.1982132400649545</v>
      </c>
      <c r="CJ156" s="135" t="e">
        <f t="shared" ref="CJ156:CO156" si="70">(1+CJ155)*(1+CJ154)-1</f>
        <v>#DIV/0!</v>
      </c>
      <c r="CK156" s="135" t="e">
        <f t="shared" si="70"/>
        <v>#DIV/0!</v>
      </c>
      <c r="CL156" s="135" t="e">
        <f t="shared" si="70"/>
        <v>#DIV/0!</v>
      </c>
      <c r="CM156" s="135" t="e">
        <f t="shared" si="70"/>
        <v>#DIV/0!</v>
      </c>
      <c r="CN156" s="135" t="e">
        <f t="shared" si="70"/>
        <v>#DIV/0!</v>
      </c>
      <c r="CO156" s="135" t="e">
        <f t="shared" si="70"/>
        <v>#DIV/0!</v>
      </c>
      <c r="CP156" s="135"/>
    </row>
    <row r="157" spans="2:94" x14ac:dyDescent="0.2">
      <c r="B157" s="105" t="s">
        <v>454</v>
      </c>
      <c r="D157" s="135"/>
      <c r="E157" s="135"/>
      <c r="F157" s="135"/>
      <c r="G157" s="135"/>
      <c r="H157" s="135"/>
      <c r="I157" s="135"/>
      <c r="J157" s="135">
        <f>(1+J156)*(1+J155)-1</f>
        <v>0.20826336168199799</v>
      </c>
      <c r="K157" s="135"/>
      <c r="L157" s="135"/>
      <c r="M157" s="135"/>
      <c r="N157" s="135"/>
      <c r="O157" s="135"/>
      <c r="P157" s="135"/>
      <c r="Q157" s="135">
        <f>(1+Q156)*(1+Q155)-1</f>
        <v>0.20825248056447099</v>
      </c>
      <c r="R157" s="135"/>
      <c r="S157" s="135"/>
      <c r="T157" s="135"/>
      <c r="U157" s="135"/>
      <c r="V157" s="135"/>
      <c r="W157" s="135"/>
      <c r="X157" s="135">
        <f>(1+X156)*(1+X155)-1</f>
        <v>0.21426827415685712</v>
      </c>
      <c r="Y157" s="135"/>
      <c r="Z157" s="135"/>
      <c r="AA157" s="135"/>
      <c r="AB157" s="135"/>
      <c r="AC157" s="135"/>
      <c r="AD157" s="135"/>
      <c r="AE157" s="135">
        <f>(1+AE156)*(1+AE155)-1</f>
        <v>0.22366151864687778</v>
      </c>
      <c r="AF157" s="135"/>
      <c r="AG157" s="135"/>
      <c r="AH157" s="135"/>
      <c r="AI157" s="135"/>
      <c r="AJ157" s="135"/>
      <c r="AK157" s="135"/>
      <c r="AL157" s="135">
        <f>(1+AL156)*(1+AL155)-1</f>
        <v>0.21881747715335509</v>
      </c>
      <c r="AM157" s="135"/>
      <c r="AN157" s="135"/>
      <c r="AO157" s="135"/>
      <c r="AP157" s="135"/>
      <c r="AQ157" s="135"/>
      <c r="AR157" s="135"/>
      <c r="AS157" s="135">
        <f>(1+AS156)*(1+AS155)-1</f>
        <v>0.21790339231846989</v>
      </c>
      <c r="AT157" s="135"/>
      <c r="AU157" s="135"/>
      <c r="AV157" s="135"/>
      <c r="AW157" s="135"/>
      <c r="AX157" s="135"/>
      <c r="AY157" s="135"/>
      <c r="AZ157" s="135">
        <f>(1+AZ156)*(1+AZ155)-1</f>
        <v>0.21920973983633618</v>
      </c>
      <c r="BA157" s="135"/>
      <c r="BB157" s="135"/>
      <c r="BC157" s="135"/>
      <c r="BD157" s="135"/>
      <c r="BE157" s="135"/>
      <c r="BF157" s="135"/>
      <c r="BG157" s="135">
        <f>(1+BG156)*(1+BG155)-1</f>
        <v>0.21715464307408872</v>
      </c>
      <c r="BH157" s="135"/>
      <c r="BI157" s="135"/>
      <c r="BJ157" s="135"/>
      <c r="BK157" s="135"/>
      <c r="BL157" s="135"/>
      <c r="BM157" s="135"/>
      <c r="BN157" s="135">
        <f>(1+BN156)*(1+BN155)-1</f>
        <v>0.21001579078550781</v>
      </c>
      <c r="BO157" s="135"/>
      <c r="BP157" s="135"/>
      <c r="BQ157" s="135"/>
      <c r="BR157" s="135"/>
      <c r="BS157" s="135"/>
      <c r="BT157" s="135"/>
      <c r="BU157" s="135">
        <f>(1+BU156)*(1+BU155)-1</f>
        <v>0.2148315899075941</v>
      </c>
      <c r="BV157" s="135"/>
      <c r="BW157" s="135"/>
      <c r="BX157" s="135"/>
      <c r="BY157" s="135"/>
      <c r="BZ157" s="135"/>
      <c r="CA157" s="135"/>
      <c r="CB157" s="135">
        <f>(1+CB156)*(1+CB155)-1</f>
        <v>0.21932839023545503</v>
      </c>
      <c r="CC157" s="135"/>
      <c r="CD157" s="135"/>
      <c r="CE157" s="135"/>
      <c r="CF157" s="135"/>
      <c r="CG157" s="135"/>
      <c r="CH157" s="135"/>
      <c r="CI157" s="135">
        <f>(1+CI156)*(1+CI155)-1</f>
        <v>0.19821324006495455</v>
      </c>
      <c r="CJ157" s="135" t="e">
        <f t="shared" ref="CJ157:CO157" si="71">CJ146*CJ143+CJ156*CJ144</f>
        <v>#DIV/0!</v>
      </c>
      <c r="CK157" s="135" t="e">
        <f t="shared" si="71"/>
        <v>#DIV/0!</v>
      </c>
      <c r="CL157" s="135" t="e">
        <f t="shared" si="71"/>
        <v>#DIV/0!</v>
      </c>
      <c r="CM157" s="135" t="e">
        <f t="shared" si="71"/>
        <v>#DIV/0!</v>
      </c>
      <c r="CN157" s="135" t="e">
        <f t="shared" si="71"/>
        <v>#DIV/0!</v>
      </c>
      <c r="CO157" s="135" t="e">
        <f t="shared" si="71"/>
        <v>#DIV/0!</v>
      </c>
      <c r="CP157" s="135"/>
    </row>
    <row r="158" spans="2:94" x14ac:dyDescent="0.2">
      <c r="B158" s="105" t="s">
        <v>391</v>
      </c>
      <c r="D158" s="135"/>
      <c r="E158" s="135"/>
      <c r="F158" s="135"/>
      <c r="G158" s="135"/>
      <c r="H158" s="135"/>
      <c r="I158" s="135"/>
      <c r="J158" s="135">
        <f>J147*J144+J157*J145</f>
        <v>0.19697753931461726</v>
      </c>
      <c r="K158" s="135"/>
      <c r="L158" s="135"/>
      <c r="M158" s="135"/>
      <c r="N158" s="135"/>
      <c r="O158" s="135"/>
      <c r="P158" s="135"/>
      <c r="Q158" s="135">
        <f>Q147*Q144+Q157*Q145</f>
        <v>0.19690408576263216</v>
      </c>
      <c r="R158" s="135"/>
      <c r="S158" s="135"/>
      <c r="T158" s="135"/>
      <c r="U158" s="135"/>
      <c r="V158" s="135"/>
      <c r="W158" s="135"/>
      <c r="X158" s="135">
        <f>X147*X144+X157*X145</f>
        <v>0.20260624726216689</v>
      </c>
      <c r="Y158" s="135"/>
      <c r="Z158" s="135"/>
      <c r="AA158" s="135"/>
      <c r="AB158" s="135"/>
      <c r="AC158" s="135"/>
      <c r="AD158" s="135"/>
      <c r="AE158" s="135">
        <f>AE147*AE144+AE157*AE145</f>
        <v>0.21150098830364089</v>
      </c>
      <c r="AF158" s="135"/>
      <c r="AG158" s="135"/>
      <c r="AH158" s="135"/>
      <c r="AI158" s="135"/>
      <c r="AJ158" s="135"/>
      <c r="AK158" s="135"/>
      <c r="AL158" s="135">
        <f>AL147*AL144+AL157*AL145</f>
        <v>0.20695341100898176</v>
      </c>
      <c r="AM158" s="135"/>
      <c r="AN158" s="135"/>
      <c r="AO158" s="135"/>
      <c r="AP158" s="135"/>
      <c r="AQ158" s="135"/>
      <c r="AR158" s="135"/>
      <c r="AS158" s="135">
        <f>AS147*AS144+AS157*AS145</f>
        <v>0.20609004586885896</v>
      </c>
      <c r="AT158" s="135"/>
      <c r="AU158" s="135"/>
      <c r="AV158" s="135"/>
      <c r="AW158" s="135"/>
      <c r="AX158" s="135"/>
      <c r="AY158" s="135"/>
      <c r="AZ158" s="135">
        <f>AZ147*AZ144+AZ157*AZ145</f>
        <v>0.20742342537079783</v>
      </c>
      <c r="BA158" s="135"/>
      <c r="BB158" s="135"/>
      <c r="BC158" s="135"/>
      <c r="BD158" s="135"/>
      <c r="BE158" s="135"/>
      <c r="BF158" s="135"/>
      <c r="BG158" s="135">
        <f>BG147*BG144+BG157*BG145</f>
        <v>0.20553125899312288</v>
      </c>
      <c r="BH158" s="135"/>
      <c r="BI158" s="135"/>
      <c r="BJ158" s="135"/>
      <c r="BK158" s="135"/>
      <c r="BL158" s="135"/>
      <c r="BM158" s="135"/>
      <c r="BN158" s="135">
        <f>BN147*BN144+BN157*BN145</f>
        <v>0.19873434339431648</v>
      </c>
      <c r="BO158" s="135"/>
      <c r="BP158" s="135"/>
      <c r="BQ158" s="135"/>
      <c r="BR158" s="135"/>
      <c r="BS158" s="135"/>
      <c r="BT158" s="135"/>
      <c r="BU158" s="135">
        <f>BU147*BU144+BU157*BU145</f>
        <v>0.20330642944224386</v>
      </c>
      <c r="BV158" s="135"/>
      <c r="BW158" s="135"/>
      <c r="BX158" s="135"/>
      <c r="BY158" s="135"/>
      <c r="BZ158" s="135"/>
      <c r="CA158" s="135"/>
      <c r="CB158" s="135">
        <f>CB147*CB144+CB157*CB145</f>
        <v>0.20759410385072657</v>
      </c>
      <c r="CC158" s="135"/>
      <c r="CD158" s="135"/>
      <c r="CE158" s="135"/>
      <c r="CF158" s="135"/>
      <c r="CG158" s="135"/>
      <c r="CH158" s="135"/>
      <c r="CI158" s="135">
        <f>CI147*CI144+CI157*CI145</f>
        <v>0.1876322278596087</v>
      </c>
      <c r="CJ158" s="177" t="e">
        <f t="shared" ref="CJ158:CO158" si="72">CJ140-CJ157</f>
        <v>#REF!</v>
      </c>
      <c r="CK158" s="177" t="e">
        <f t="shared" si="72"/>
        <v>#DIV/0!</v>
      </c>
      <c r="CL158" s="177" t="e">
        <f t="shared" si="72"/>
        <v>#DIV/0!</v>
      </c>
      <c r="CM158" s="177" t="e">
        <f t="shared" si="72"/>
        <v>#REF!</v>
      </c>
      <c r="CN158" s="177" t="e">
        <f t="shared" si="72"/>
        <v>#DIV/0!</v>
      </c>
      <c r="CO158" s="177" t="e">
        <f t="shared" si="72"/>
        <v>#DIV/0!</v>
      </c>
      <c r="CP158" s="177"/>
    </row>
    <row r="159" spans="2:94" x14ac:dyDescent="0.2">
      <c r="B159" s="105" t="s">
        <v>392</v>
      </c>
      <c r="D159" s="177"/>
      <c r="E159" s="177"/>
      <c r="F159" s="177"/>
      <c r="G159" s="177"/>
      <c r="H159" s="177"/>
      <c r="I159" s="177"/>
      <c r="J159" s="177">
        <f>J141-J158</f>
        <v>-0.19628781514850291</v>
      </c>
      <c r="K159" s="177"/>
      <c r="L159" s="177"/>
      <c r="M159" s="177"/>
      <c r="N159" s="177"/>
      <c r="O159" s="177"/>
      <c r="P159" s="177"/>
      <c r="Q159" s="177">
        <f>Q141-Q158</f>
        <v>-0.19764886458067132</v>
      </c>
      <c r="R159" s="177"/>
      <c r="S159" s="177"/>
      <c r="T159" s="177"/>
      <c r="U159" s="177"/>
      <c r="V159" s="177"/>
      <c r="W159" s="177"/>
      <c r="X159" s="177">
        <f>X141-X158</f>
        <v>-0.20068500620188207</v>
      </c>
      <c r="Y159" s="177"/>
      <c r="Z159" s="177"/>
      <c r="AA159" s="177"/>
      <c r="AB159" s="177"/>
      <c r="AC159" s="177"/>
      <c r="AD159" s="177"/>
      <c r="AE159" s="177">
        <f>AE141-AE158</f>
        <v>-0.20807596387993474</v>
      </c>
      <c r="AF159" s="177"/>
      <c r="AG159" s="177"/>
      <c r="AH159" s="177"/>
      <c r="AI159" s="177"/>
      <c r="AJ159" s="177"/>
      <c r="AK159" s="177"/>
      <c r="AL159" s="177">
        <f>AL141-AL158</f>
        <v>-0.20369113079393439</v>
      </c>
      <c r="AM159" s="177"/>
      <c r="AN159" s="177"/>
      <c r="AO159" s="177"/>
      <c r="AP159" s="177"/>
      <c r="AQ159" s="177"/>
      <c r="AR159" s="177"/>
      <c r="AS159" s="177">
        <f>AS141-AS158</f>
        <v>-0.20387256169943671</v>
      </c>
      <c r="AT159" s="177"/>
      <c r="AU159" s="177"/>
      <c r="AV159" s="177"/>
      <c r="AW159" s="177"/>
      <c r="AX159" s="177"/>
      <c r="AY159" s="177"/>
      <c r="AZ159" s="177">
        <f>AZ141-AZ158</f>
        <v>-0.20293791714734785</v>
      </c>
      <c r="BA159" s="177"/>
      <c r="BB159" s="177"/>
      <c r="BC159" s="177"/>
      <c r="BD159" s="177"/>
      <c r="BE159" s="177"/>
      <c r="BF159" s="177"/>
      <c r="BG159" s="177">
        <f>BG141-BG158</f>
        <v>-0.20155584660705242</v>
      </c>
      <c r="BH159" s="177"/>
      <c r="BI159" s="177"/>
      <c r="BJ159" s="177"/>
      <c r="BK159" s="177"/>
      <c r="BL159" s="177"/>
      <c r="BM159" s="177"/>
      <c r="BN159" s="177">
        <f>BN141-BN158</f>
        <v>-0.19603672899540167</v>
      </c>
      <c r="BO159" s="177"/>
      <c r="BP159" s="177"/>
      <c r="BQ159" s="177"/>
      <c r="BR159" s="177"/>
      <c r="BS159" s="177"/>
      <c r="BT159" s="177"/>
      <c r="BU159" s="177">
        <f>BU141-BU158</f>
        <v>-0.20058452376276537</v>
      </c>
      <c r="BV159" s="177"/>
      <c r="BW159" s="177"/>
      <c r="BX159" s="177"/>
      <c r="BY159" s="177"/>
      <c r="BZ159" s="177"/>
      <c r="CA159" s="177"/>
      <c r="CB159" s="177">
        <f>CB141-CB158</f>
        <v>-0.20490232801358194</v>
      </c>
      <c r="CC159" s="177"/>
      <c r="CD159" s="177"/>
      <c r="CE159" s="177"/>
      <c r="CF159" s="177"/>
      <c r="CG159" s="177"/>
      <c r="CH159" s="177"/>
      <c r="CI159" s="177">
        <f>CI141-CI158</f>
        <v>-0.18224648871326657</v>
      </c>
      <c r="CJ159" s="178" t="e">
        <f t="shared" ref="CJ159:CO159" si="73">CJ158*CJ139</f>
        <v>#REF!</v>
      </c>
      <c r="CK159" s="178" t="e">
        <f t="shared" si="73"/>
        <v>#DIV/0!</v>
      </c>
      <c r="CL159" s="178" t="e">
        <f t="shared" si="73"/>
        <v>#DIV/0!</v>
      </c>
      <c r="CM159" s="178" t="e">
        <f t="shared" si="73"/>
        <v>#REF!</v>
      </c>
      <c r="CN159" s="178" t="e">
        <f t="shared" si="73"/>
        <v>#DIV/0!</v>
      </c>
      <c r="CO159" s="178" t="e">
        <f t="shared" si="73"/>
        <v>#DIV/0!</v>
      </c>
      <c r="CP159" s="178"/>
    </row>
    <row r="160" spans="2:94" x14ac:dyDescent="0.2">
      <c r="B160" s="105" t="s">
        <v>393</v>
      </c>
      <c r="D160" s="178"/>
      <c r="E160" s="178"/>
      <c r="F160" s="178"/>
      <c r="G160" s="178"/>
      <c r="H160" s="178"/>
      <c r="I160" s="178"/>
      <c r="J160" s="178">
        <f>J159*J140</f>
        <v>-370147466.08078659</v>
      </c>
      <c r="K160" s="178"/>
      <c r="L160" s="178"/>
      <c r="M160" s="178"/>
      <c r="N160" s="178"/>
      <c r="O160" s="178"/>
      <c r="P160" s="178"/>
      <c r="Q160" s="178">
        <f>Q159*Q140</f>
        <v>-372714049.22883725</v>
      </c>
      <c r="R160" s="178"/>
      <c r="S160" s="178"/>
      <c r="T160" s="178"/>
      <c r="U160" s="178"/>
      <c r="V160" s="178"/>
      <c r="W160" s="178"/>
      <c r="X160" s="178">
        <f>X159*X140</f>
        <v>-378439418.00378299</v>
      </c>
      <c r="Y160" s="178"/>
      <c r="Z160" s="178"/>
      <c r="AA160" s="178"/>
      <c r="AB160" s="178"/>
      <c r="AC160" s="178"/>
      <c r="AD160" s="178"/>
      <c r="AE160" s="178">
        <f>AE159*AE140</f>
        <v>-392376830.54450434</v>
      </c>
      <c r="AF160" s="178"/>
      <c r="AG160" s="178"/>
      <c r="AH160" s="178"/>
      <c r="AI160" s="178"/>
      <c r="AJ160" s="178"/>
      <c r="AK160" s="178"/>
      <c r="AL160" s="178">
        <f>AL159*AL140</f>
        <v>-384108182.51486319</v>
      </c>
      <c r="AM160" s="178"/>
      <c r="AN160" s="178"/>
      <c r="AO160" s="178"/>
      <c r="AP160" s="178"/>
      <c r="AQ160" s="178"/>
      <c r="AR160" s="178"/>
      <c r="AS160" s="178">
        <f>AS159*AS140</f>
        <v>-384450313.73625165</v>
      </c>
      <c r="AT160" s="178"/>
      <c r="AU160" s="178"/>
      <c r="AV160" s="178"/>
      <c r="AW160" s="178"/>
      <c r="AX160" s="178"/>
      <c r="AY160" s="178"/>
      <c r="AZ160" s="178">
        <f>AZ159*AZ140</f>
        <v>-382687818.63496292</v>
      </c>
      <c r="BA160" s="178"/>
      <c r="BB160" s="178"/>
      <c r="BC160" s="178"/>
      <c r="BD160" s="178"/>
      <c r="BE160" s="178"/>
      <c r="BF160" s="178"/>
      <c r="BG160" s="178">
        <f>BG159*BG140</f>
        <v>-380081595.17657745</v>
      </c>
      <c r="BH160" s="178"/>
      <c r="BI160" s="178"/>
      <c r="BJ160" s="178"/>
      <c r="BK160" s="178"/>
      <c r="BL160" s="178"/>
      <c r="BM160" s="178"/>
      <c r="BN160" s="178">
        <f>BN159*BN140</f>
        <v>-369673983.28579962</v>
      </c>
      <c r="BO160" s="178"/>
      <c r="BP160" s="178"/>
      <c r="BQ160" s="178"/>
      <c r="BR160" s="178"/>
      <c r="BS160" s="178"/>
      <c r="BT160" s="178"/>
      <c r="BU160" s="178">
        <f>BU159*BU140</f>
        <v>-378249934.4120658</v>
      </c>
      <c r="BV160" s="178"/>
      <c r="BW160" s="178"/>
      <c r="BX160" s="178"/>
      <c r="BY160" s="178"/>
      <c r="BZ160" s="178"/>
      <c r="CA160" s="178"/>
      <c r="CB160" s="178">
        <f>CB159*CB140</f>
        <v>-386392183.59479499</v>
      </c>
      <c r="CC160" s="178"/>
      <c r="CD160" s="178"/>
      <c r="CE160" s="178"/>
      <c r="CF160" s="178"/>
      <c r="CG160" s="178"/>
      <c r="CH160" s="178"/>
      <c r="CI160" s="178">
        <f>CI159*CI140</f>
        <v>-343669197.94945198</v>
      </c>
    </row>
    <row r="161" spans="2:94" x14ac:dyDescent="0.2">
      <c r="CJ161" s="166">
        <f t="shared" ref="CJ161:CO161" si="74">CJ14/CJ62</f>
        <v>0</v>
      </c>
      <c r="CK161" s="166">
        <f t="shared" si="74"/>
        <v>0</v>
      </c>
      <c r="CL161" s="166">
        <f t="shared" si="74"/>
        <v>0</v>
      </c>
      <c r="CM161" s="166">
        <f t="shared" si="74"/>
        <v>0</v>
      </c>
      <c r="CN161" s="166">
        <f t="shared" si="74"/>
        <v>0</v>
      </c>
      <c r="CO161" s="166">
        <f t="shared" si="74"/>
        <v>0</v>
      </c>
      <c r="CP161" s="166"/>
    </row>
    <row r="162" spans="2:94" x14ac:dyDescent="0.2">
      <c r="B162" s="105" t="s">
        <v>394</v>
      </c>
      <c r="D162" s="166"/>
      <c r="E162" s="166"/>
      <c r="F162" s="166"/>
      <c r="G162" s="166"/>
      <c r="H162" s="166"/>
      <c r="I162" s="166"/>
      <c r="J162" s="166">
        <f>J14/J62</f>
        <v>0</v>
      </c>
      <c r="K162" s="166"/>
      <c r="L162" s="166"/>
      <c r="M162" s="166"/>
      <c r="N162" s="166"/>
      <c r="O162" s="166"/>
      <c r="P162" s="166"/>
      <c r="Q162" s="166">
        <f>Q14/Q62</f>
        <v>0</v>
      </c>
      <c r="R162" s="166"/>
      <c r="S162" s="166"/>
      <c r="T162" s="166"/>
      <c r="U162" s="166"/>
      <c r="V162" s="166"/>
      <c r="W162" s="166"/>
      <c r="X162" s="166">
        <f>X14/X62</f>
        <v>0</v>
      </c>
      <c r="Y162" s="166"/>
      <c r="Z162" s="166"/>
      <c r="AA162" s="166"/>
      <c r="AB162" s="166"/>
      <c r="AC162" s="166"/>
      <c r="AD162" s="166"/>
      <c r="AE162" s="166">
        <f>AE14/AE62</f>
        <v>0</v>
      </c>
      <c r="AF162" s="166"/>
      <c r="AG162" s="166"/>
      <c r="AH162" s="166"/>
      <c r="AI162" s="166"/>
      <c r="AJ162" s="166"/>
      <c r="AK162" s="166"/>
      <c r="AL162" s="166">
        <f>AL14/AL62</f>
        <v>0</v>
      </c>
      <c r="AM162" s="166"/>
      <c r="AN162" s="166"/>
      <c r="AO162" s="166"/>
      <c r="AP162" s="166"/>
      <c r="AQ162" s="166"/>
      <c r="AR162" s="166"/>
      <c r="AS162" s="166">
        <f>AS14/AS62</f>
        <v>0</v>
      </c>
      <c r="AT162" s="166"/>
      <c r="AU162" s="166"/>
      <c r="AV162" s="166"/>
      <c r="AW162" s="166"/>
      <c r="AX162" s="166"/>
      <c r="AY162" s="166"/>
      <c r="AZ162" s="166">
        <f>AZ14/AZ62</f>
        <v>0</v>
      </c>
      <c r="BA162" s="166"/>
      <c r="BB162" s="166"/>
      <c r="BC162" s="166"/>
      <c r="BD162" s="166"/>
      <c r="BE162" s="166"/>
      <c r="BF162" s="166"/>
      <c r="BG162" s="166">
        <f>BG14/BG62</f>
        <v>0</v>
      </c>
      <c r="BH162" s="166"/>
      <c r="BI162" s="166"/>
      <c r="BJ162" s="166"/>
      <c r="BK162" s="166"/>
      <c r="BL162" s="166"/>
      <c r="BM162" s="166"/>
      <c r="BN162" s="166">
        <f>BN14/BN62</f>
        <v>0</v>
      </c>
      <c r="BO162" s="166"/>
      <c r="BP162" s="166"/>
      <c r="BQ162" s="166"/>
      <c r="BR162" s="166"/>
      <c r="BS162" s="166"/>
      <c r="BT162" s="166"/>
      <c r="BU162" s="166">
        <f>BU14/BU62</f>
        <v>0</v>
      </c>
      <c r="BV162" s="166"/>
      <c r="BW162" s="166"/>
      <c r="BX162" s="166"/>
      <c r="BY162" s="166"/>
      <c r="BZ162" s="166"/>
      <c r="CA162" s="166"/>
      <c r="CB162" s="166">
        <f>CB14/CB62</f>
        <v>0</v>
      </c>
      <c r="CC162" s="166"/>
      <c r="CD162" s="166"/>
      <c r="CE162" s="166"/>
      <c r="CF162" s="166"/>
      <c r="CG162" s="166"/>
      <c r="CH162" s="166"/>
      <c r="CI162" s="166">
        <f>CI14/CI62</f>
        <v>0</v>
      </c>
      <c r="CJ162" s="137">
        <f t="shared" ref="CJ162:CO162" si="75">-CJ98</f>
        <v>0</v>
      </c>
      <c r="CK162" s="137">
        <f t="shared" si="75"/>
        <v>0</v>
      </c>
      <c r="CL162" s="137">
        <f t="shared" si="75"/>
        <v>0</v>
      </c>
      <c r="CM162" s="137">
        <f t="shared" si="75"/>
        <v>0</v>
      </c>
      <c r="CN162" s="137">
        <f t="shared" si="75"/>
        <v>0</v>
      </c>
      <c r="CO162" s="137">
        <f t="shared" si="75"/>
        <v>0</v>
      </c>
      <c r="CP162" s="137"/>
    </row>
    <row r="163" spans="2:94" x14ac:dyDescent="0.2">
      <c r="B163" s="105" t="s">
        <v>395</v>
      </c>
      <c r="D163" s="137"/>
      <c r="E163" s="137"/>
      <c r="F163" s="137"/>
      <c r="G163" s="137"/>
      <c r="H163" s="137"/>
      <c r="I163" s="137"/>
      <c r="J163" s="137">
        <f>-J98</f>
        <v>0</v>
      </c>
      <c r="K163" s="137"/>
      <c r="L163" s="137"/>
      <c r="M163" s="137"/>
      <c r="N163" s="137"/>
      <c r="O163" s="137"/>
      <c r="P163" s="137"/>
      <c r="Q163" s="137">
        <f>-Q98</f>
        <v>0</v>
      </c>
      <c r="R163" s="137"/>
      <c r="S163" s="137"/>
      <c r="T163" s="137"/>
      <c r="U163" s="137"/>
      <c r="V163" s="137"/>
      <c r="W163" s="137"/>
      <c r="X163" s="137">
        <f>-X98</f>
        <v>0</v>
      </c>
      <c r="Y163" s="137"/>
      <c r="Z163" s="137"/>
      <c r="AA163" s="137"/>
      <c r="AB163" s="137"/>
      <c r="AC163" s="137"/>
      <c r="AD163" s="137"/>
      <c r="AE163" s="137">
        <f>-AE98</f>
        <v>0</v>
      </c>
      <c r="AF163" s="137"/>
      <c r="AG163" s="137"/>
      <c r="AH163" s="137"/>
      <c r="AI163" s="137"/>
      <c r="AJ163" s="137"/>
      <c r="AK163" s="137"/>
      <c r="AL163" s="137">
        <f>-AL98</f>
        <v>0</v>
      </c>
      <c r="AM163" s="137"/>
      <c r="AN163" s="137"/>
      <c r="AO163" s="137"/>
      <c r="AP163" s="137"/>
      <c r="AQ163" s="137"/>
      <c r="AR163" s="137"/>
      <c r="AS163" s="137">
        <f>-AS98</f>
        <v>0</v>
      </c>
      <c r="AT163" s="137"/>
      <c r="AU163" s="137"/>
      <c r="AV163" s="137"/>
      <c r="AW163" s="137"/>
      <c r="AX163" s="137"/>
      <c r="AY163" s="137"/>
      <c r="AZ163" s="137">
        <f>-AZ98</f>
        <v>0</v>
      </c>
      <c r="BA163" s="137"/>
      <c r="BB163" s="137"/>
      <c r="BC163" s="137"/>
      <c r="BD163" s="137"/>
      <c r="BE163" s="137"/>
      <c r="BF163" s="137"/>
      <c r="BG163" s="137">
        <f>-BG98</f>
        <v>0</v>
      </c>
      <c r="BH163" s="137"/>
      <c r="BI163" s="137"/>
      <c r="BJ163" s="137"/>
      <c r="BK163" s="137"/>
      <c r="BL163" s="137"/>
      <c r="BM163" s="137"/>
      <c r="BN163" s="137">
        <f>-BN98</f>
        <v>0</v>
      </c>
      <c r="BO163" s="137"/>
      <c r="BP163" s="137"/>
      <c r="BQ163" s="137"/>
      <c r="BR163" s="137"/>
      <c r="BS163" s="137"/>
      <c r="BT163" s="137"/>
      <c r="BU163" s="137">
        <f>-BU98</f>
        <v>0</v>
      </c>
      <c r="BV163" s="137"/>
      <c r="BW163" s="137"/>
      <c r="BX163" s="137"/>
      <c r="BY163" s="137"/>
      <c r="BZ163" s="137"/>
      <c r="CA163" s="137"/>
      <c r="CB163" s="137">
        <f>-CB98</f>
        <v>0</v>
      </c>
      <c r="CC163" s="137"/>
      <c r="CD163" s="137"/>
      <c r="CE163" s="137"/>
      <c r="CF163" s="137"/>
      <c r="CG163" s="137"/>
      <c r="CH163" s="137"/>
      <c r="CI163" s="137">
        <f>-CI98</f>
        <v>0</v>
      </c>
      <c r="CK163" s="171" t="e">
        <f>CK162/CK47</f>
        <v>#DIV/0!</v>
      </c>
      <c r="CL163" s="171" t="e">
        <f>CL162/CL47</f>
        <v>#DIV/0!</v>
      </c>
      <c r="CN163" s="171" t="e">
        <f>CN162/CN47</f>
        <v>#DIV/0!</v>
      </c>
      <c r="CO163" s="171" t="e">
        <f>CO162/CO47</f>
        <v>#DIV/0!</v>
      </c>
    </row>
    <row r="164" spans="2:94" x14ac:dyDescent="0.2">
      <c r="B164" s="105" t="s">
        <v>396</v>
      </c>
      <c r="E164" s="171"/>
      <c r="F164" s="171"/>
      <c r="H164" s="171"/>
      <c r="I164" s="171"/>
      <c r="J164" s="171">
        <f>J163/J47</f>
        <v>0</v>
      </c>
      <c r="K164" s="171"/>
      <c r="L164" s="171"/>
      <c r="N164" s="171"/>
      <c r="O164" s="171"/>
      <c r="Q164" s="171">
        <f>Q163/Q47</f>
        <v>0</v>
      </c>
      <c r="R164" s="171"/>
      <c r="T164" s="171"/>
      <c r="U164" s="171"/>
      <c r="W164" s="171"/>
      <c r="X164" s="171">
        <f>X163/X47</f>
        <v>0</v>
      </c>
      <c r="Z164" s="171"/>
      <c r="AA164" s="171"/>
      <c r="AC164" s="171"/>
      <c r="AD164" s="171"/>
      <c r="AE164" s="171">
        <f>AE163/AE47</f>
        <v>0</v>
      </c>
      <c r="AF164" s="171"/>
      <c r="AG164" s="171"/>
      <c r="AI164" s="171"/>
      <c r="AJ164" s="171"/>
      <c r="AL164" s="171">
        <f>AL163/AL47</f>
        <v>0</v>
      </c>
      <c r="AM164" s="171"/>
      <c r="AO164" s="171"/>
      <c r="AP164" s="171"/>
      <c r="AR164" s="171"/>
      <c r="AS164" s="171">
        <f>AS163/AS47</f>
        <v>0</v>
      </c>
      <c r="AU164" s="171"/>
      <c r="AV164" s="171"/>
      <c r="AX164" s="171"/>
      <c r="AY164" s="171"/>
      <c r="AZ164" s="171">
        <f>AZ163/AZ47</f>
        <v>0</v>
      </c>
      <c r="BA164" s="171"/>
      <c r="BB164" s="171"/>
      <c r="BD164" s="171"/>
      <c r="BE164" s="171"/>
      <c r="BG164" s="171">
        <f>BG163/BG47</f>
        <v>0</v>
      </c>
      <c r="BH164" s="171"/>
      <c r="BJ164" s="171"/>
      <c r="BK164" s="171"/>
      <c r="BM164" s="171"/>
      <c r="BN164" s="171">
        <f>BN163/BN47</f>
        <v>0</v>
      </c>
      <c r="BP164" s="171"/>
      <c r="BQ164" s="171"/>
      <c r="BS164" s="171"/>
      <c r="BT164" s="171"/>
      <c r="BU164" s="171">
        <f>BU163/BU47</f>
        <v>0</v>
      </c>
      <c r="BV164" s="171"/>
      <c r="BW164" s="171"/>
      <c r="BY164" s="171"/>
      <c r="BZ164" s="171"/>
      <c r="CB164" s="171">
        <f>CB163/CB47</f>
        <v>0</v>
      </c>
      <c r="CC164" s="171"/>
      <c r="CE164" s="171"/>
      <c r="CF164" s="171"/>
      <c r="CH164" s="171"/>
      <c r="CI164" s="171">
        <f>CI163/CI47</f>
        <v>0</v>
      </c>
    </row>
  </sheetData>
  <mergeCells count="2">
    <mergeCell ref="CR1:DC1"/>
    <mergeCell ref="DE1:DP1"/>
  </mergeCells>
  <conditionalFormatting sqref="A1:DB1 DC1:XFD2 CU2:DB2 A2:CT12 CU3:XFD12 A13:XFD16 A17:A18 D17:XFD18 A19:XFD25 CU26:XFD50 A48:AR50 AT48:CT50 A51:CA61 A26:CT47">
    <cfRule type="cellIs" dxfId="18" priority="13" operator="lessThan">
      <formula>0</formula>
    </cfRule>
  </conditionalFormatting>
  <conditionalFormatting sqref="Y62:CA103 A62:X164 Y104:XFD164 A165:XFD1048576">
    <cfRule type="cellIs" dxfId="17" priority="12" operator="lessThan">
      <formula>0</formula>
    </cfRule>
  </conditionalFormatting>
  <conditionalFormatting sqref="CB51:XFD103">
    <cfRule type="cellIs" dxfId="16" priority="1" operator="lessThan">
      <formula>0</formula>
    </cfRule>
  </conditionalFormatting>
  <hyperlinks>
    <hyperlink ref="C152" r:id="rId1" xr:uid="{DC9D5811-FCFB-DD4D-9D6D-998192052E25}"/>
  </hyperlinks>
  <pageMargins left="0.7" right="0.7" top="0.75" bottom="0.75" header="0.3" footer="0.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B158-815A-2B4E-8572-E0D63D880CBB}">
  <dimension ref="A1:DP166"/>
  <sheetViews>
    <sheetView tabSelected="1" zoomScale="80" zoomScaleNormal="80" workbookViewId="0">
      <pane xSplit="3" ySplit="4" topLeftCell="J5" activePane="bottomRight" state="frozen"/>
      <selection activeCell="AE32" sqref="AE32"/>
      <selection pane="topRight" activeCell="AE32" sqref="AE32"/>
      <selection pane="bottomLeft" activeCell="AE32" sqref="AE32"/>
      <selection pane="bottomRight" activeCell="A20" sqref="A20:XFD20"/>
    </sheetView>
  </sheetViews>
  <sheetFormatPr baseColWidth="10" defaultColWidth="10.83203125" defaultRowHeight="15" outlineLevelCol="1" x14ac:dyDescent="0.2"/>
  <cols>
    <col min="1" max="1" width="10.83203125" style="105"/>
    <col min="2" max="2" width="32" style="105" customWidth="1"/>
    <col min="3" max="3" width="29.83203125" style="204" bestFit="1" customWidth="1"/>
    <col min="4" max="4" width="12.5" style="105" hidden="1" customWidth="1" outlineLevel="1"/>
    <col min="5" max="5" width="13.1640625" style="105" hidden="1" customWidth="1" outlineLevel="1"/>
    <col min="6" max="7" width="12.5" style="105" hidden="1" customWidth="1" outlineLevel="1"/>
    <col min="8" max="8" width="15" style="105" hidden="1" customWidth="1" outlineLevel="1"/>
    <col min="9" max="9" width="12.5" style="105" hidden="1" customWidth="1" outlineLevel="1"/>
    <col min="10" max="10" width="16.6640625" style="105" bestFit="1" customWidth="1" collapsed="1"/>
    <col min="11" max="11" width="14.1640625" style="105" hidden="1" customWidth="1" outlineLevel="1"/>
    <col min="12" max="12" width="13.1640625" style="105" hidden="1" customWidth="1" outlineLevel="1"/>
    <col min="13" max="14" width="12.5" style="105" hidden="1" customWidth="1" outlineLevel="1"/>
    <col min="15" max="15" width="13.1640625" style="105" hidden="1" customWidth="1" outlineLevel="1"/>
    <col min="16" max="16" width="12.5" style="105" hidden="1" customWidth="1" outlineLevel="1"/>
    <col min="17" max="17" width="16.6640625" style="105" bestFit="1" customWidth="1" collapsed="1"/>
    <col min="18" max="18" width="14.1640625" style="105" hidden="1" customWidth="1" outlineLevel="1"/>
    <col min="19" max="19" width="13.1640625" style="105" hidden="1" customWidth="1" outlineLevel="1"/>
    <col min="20" max="21" width="12.5" style="105" hidden="1" customWidth="1" outlineLevel="1"/>
    <col min="22" max="22" width="13.1640625" style="105" hidden="1" customWidth="1" outlineLevel="1"/>
    <col min="23" max="23" width="12.5" style="105" hidden="1" customWidth="1" outlineLevel="1"/>
    <col min="24" max="24" width="16.6640625" style="105" bestFit="1" customWidth="1" collapsed="1"/>
    <col min="25" max="25" width="14.1640625" style="105" hidden="1" customWidth="1" outlineLevel="1"/>
    <col min="26" max="26" width="13.1640625" style="105" hidden="1" customWidth="1" outlineLevel="1"/>
    <col min="27" max="28" width="12.5" style="105" hidden="1" customWidth="1" outlineLevel="1"/>
    <col min="29" max="29" width="13.1640625" style="105" hidden="1" customWidth="1" outlineLevel="1"/>
    <col min="30" max="30" width="12.5" style="105" hidden="1" customWidth="1" outlineLevel="1"/>
    <col min="31" max="31" width="16.6640625" style="105" bestFit="1" customWidth="1" collapsed="1"/>
    <col min="32" max="32" width="14.1640625" style="105" hidden="1" customWidth="1" outlineLevel="1"/>
    <col min="33" max="33" width="13.1640625" style="105" hidden="1" customWidth="1" outlineLevel="1"/>
    <col min="34" max="35" width="12.5" style="105" hidden="1" customWidth="1" outlineLevel="1"/>
    <col min="36" max="36" width="13.1640625" style="105" hidden="1" customWidth="1" outlineLevel="1"/>
    <col min="37" max="37" width="12.5" style="105" hidden="1" customWidth="1" outlineLevel="1"/>
    <col min="38" max="38" width="16.6640625" style="105" bestFit="1" customWidth="1" collapsed="1"/>
    <col min="39" max="41" width="12.5" style="105" hidden="1" customWidth="1" outlineLevel="1"/>
    <col min="42" max="42" width="11.5" style="105" hidden="1" customWidth="1" outlineLevel="1"/>
    <col min="43" max="44" width="12.5" style="105" hidden="1" customWidth="1" outlineLevel="1"/>
    <col min="45" max="45" width="16.6640625" style="105" bestFit="1" customWidth="1" collapsed="1"/>
    <col min="46" max="48" width="12.5" style="105" hidden="1" customWidth="1" outlineLevel="1"/>
    <col min="49" max="49" width="11.5" style="105" hidden="1" customWidth="1" outlineLevel="1"/>
    <col min="50" max="51" width="12.5" style="105" hidden="1" customWidth="1" outlineLevel="1"/>
    <col min="52" max="52" width="16.6640625" style="105" bestFit="1" customWidth="1" collapsed="1"/>
    <col min="53" max="55" width="12.5" style="105" hidden="1" customWidth="1" outlineLevel="1"/>
    <col min="56" max="56" width="11.5" style="105" hidden="1" customWidth="1" outlineLevel="1"/>
    <col min="57" max="58" width="12.5" style="105" hidden="1" customWidth="1" outlineLevel="1"/>
    <col min="59" max="59" width="16.6640625" style="105" bestFit="1" customWidth="1" collapsed="1"/>
    <col min="60" max="62" width="12.5" style="105" hidden="1" customWidth="1" outlineLevel="1"/>
    <col min="63" max="63" width="11.5" style="105" hidden="1" customWidth="1" outlineLevel="1"/>
    <col min="64" max="65" width="12.5" style="105" hidden="1" customWidth="1" outlineLevel="1"/>
    <col min="66" max="66" width="16.6640625" style="105" bestFit="1" customWidth="1" collapsed="1"/>
    <col min="67" max="69" width="12.5" style="105" hidden="1" customWidth="1" outlineLevel="1"/>
    <col min="70" max="70" width="11.5" style="105" hidden="1" customWidth="1" outlineLevel="1"/>
    <col min="71" max="72" width="12.5" style="105" hidden="1" customWidth="1" outlineLevel="1"/>
    <col min="73" max="73" width="16.6640625" style="105" bestFit="1" customWidth="1" collapsed="1"/>
    <col min="74" max="76" width="12.5" style="105" hidden="1" customWidth="1" outlineLevel="1"/>
    <col min="77" max="77" width="11.5" style="105" hidden="1" customWidth="1" outlineLevel="1"/>
    <col min="78" max="79" width="12.5" style="105" hidden="1" customWidth="1" outlineLevel="1"/>
    <col min="80" max="80" width="16.6640625" style="105" bestFit="1" customWidth="1" collapsed="1"/>
    <col min="81" max="83" width="12.5" style="105" hidden="1" customWidth="1" outlineLevel="1"/>
    <col min="84" max="84" width="11.5" style="105" hidden="1" customWidth="1" outlineLevel="1"/>
    <col min="85" max="86" width="12.1640625" style="105" hidden="1" customWidth="1" outlineLevel="1"/>
    <col min="87" max="87" width="16.6640625" style="105" bestFit="1" customWidth="1" collapsed="1"/>
    <col min="88" max="90" width="12.5" style="105" hidden="1" customWidth="1" outlineLevel="1"/>
    <col min="91" max="91" width="11.5" style="105" hidden="1" customWidth="1" outlineLevel="1"/>
    <col min="92" max="93" width="12.5" style="105" hidden="1" customWidth="1" outlineLevel="1"/>
    <col min="94" max="94" width="16.33203125" style="105" bestFit="1" customWidth="1" collapsed="1"/>
    <col min="95" max="95" width="10.83203125" style="105"/>
    <col min="96" max="107" width="9.83203125" style="105" bestFit="1" customWidth="1"/>
    <col min="108" max="16384" width="10.83203125" style="105"/>
  </cols>
  <sheetData>
    <row r="1" spans="2:120" s="181" customFormat="1" ht="16" x14ac:dyDescent="0.2">
      <c r="B1" s="179">
        <v>2026</v>
      </c>
      <c r="C1" s="201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R1" s="288" t="s">
        <v>504</v>
      </c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E1" s="288" t="s">
        <v>491</v>
      </c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</row>
    <row r="2" spans="2:120" s="190" customFormat="1" ht="31" customHeight="1" x14ac:dyDescent="0.2">
      <c r="B2" s="182"/>
      <c r="C2" s="202"/>
      <c r="D2" s="189">
        <v>1</v>
      </c>
      <c r="E2" s="182">
        <v>1</v>
      </c>
      <c r="F2" s="182">
        <v>1</v>
      </c>
      <c r="G2" s="182">
        <v>1</v>
      </c>
      <c r="H2" s="182">
        <v>1</v>
      </c>
      <c r="I2" s="182">
        <v>1</v>
      </c>
      <c r="J2" s="182">
        <v>1</v>
      </c>
      <c r="K2" s="189">
        <v>2</v>
      </c>
      <c r="L2" s="182">
        <v>2</v>
      </c>
      <c r="M2" s="182">
        <v>2</v>
      </c>
      <c r="N2" s="182">
        <v>2</v>
      </c>
      <c r="O2" s="189">
        <v>2</v>
      </c>
      <c r="P2" s="182">
        <v>2</v>
      </c>
      <c r="Q2" s="182">
        <v>2</v>
      </c>
      <c r="R2" s="189">
        <v>3</v>
      </c>
      <c r="S2" s="182">
        <v>3</v>
      </c>
      <c r="T2" s="182">
        <v>3</v>
      </c>
      <c r="U2" s="182">
        <v>3</v>
      </c>
      <c r="V2" s="182">
        <v>3</v>
      </c>
      <c r="W2" s="182">
        <v>3</v>
      </c>
      <c r="X2" s="182">
        <v>3</v>
      </c>
      <c r="Y2" s="189">
        <v>4</v>
      </c>
      <c r="Z2" s="182">
        <v>4</v>
      </c>
      <c r="AA2" s="182">
        <v>4</v>
      </c>
      <c r="AB2" s="182">
        <v>4</v>
      </c>
      <c r="AC2" s="182">
        <v>4</v>
      </c>
      <c r="AD2" s="182">
        <v>4</v>
      </c>
      <c r="AE2" s="182">
        <v>4</v>
      </c>
      <c r="AF2" s="189">
        <v>5</v>
      </c>
      <c r="AG2" s="182">
        <v>5</v>
      </c>
      <c r="AH2" s="182">
        <v>5</v>
      </c>
      <c r="AI2" s="182">
        <v>5</v>
      </c>
      <c r="AJ2" s="182">
        <v>5</v>
      </c>
      <c r="AK2" s="182">
        <v>5</v>
      </c>
      <c r="AL2" s="182">
        <v>5</v>
      </c>
      <c r="AM2" s="189">
        <v>6</v>
      </c>
      <c r="AN2" s="182">
        <v>6</v>
      </c>
      <c r="AO2" s="182">
        <v>6</v>
      </c>
      <c r="AP2" s="182">
        <v>6</v>
      </c>
      <c r="AQ2" s="182">
        <v>6</v>
      </c>
      <c r="AR2" s="182">
        <v>6</v>
      </c>
      <c r="AS2" s="182">
        <v>6</v>
      </c>
      <c r="AT2" s="189">
        <v>7</v>
      </c>
      <c r="AU2" s="182">
        <v>7</v>
      </c>
      <c r="AV2" s="182">
        <v>7</v>
      </c>
      <c r="AW2" s="182">
        <v>7</v>
      </c>
      <c r="AX2" s="182">
        <v>7</v>
      </c>
      <c r="AY2" s="182">
        <v>7</v>
      </c>
      <c r="AZ2" s="182">
        <v>7</v>
      </c>
      <c r="BA2" s="189">
        <v>8</v>
      </c>
      <c r="BB2" s="182">
        <v>8</v>
      </c>
      <c r="BC2" s="182">
        <v>8</v>
      </c>
      <c r="BD2" s="182">
        <v>8</v>
      </c>
      <c r="BE2" s="182">
        <v>8</v>
      </c>
      <c r="BF2" s="182">
        <v>8</v>
      </c>
      <c r="BG2" s="182">
        <v>8</v>
      </c>
      <c r="BH2" s="189">
        <v>9</v>
      </c>
      <c r="BI2" s="182">
        <v>9</v>
      </c>
      <c r="BJ2" s="182">
        <v>9</v>
      </c>
      <c r="BK2" s="182">
        <v>9</v>
      </c>
      <c r="BL2" s="182">
        <v>9</v>
      </c>
      <c r="BM2" s="182">
        <v>9</v>
      </c>
      <c r="BN2" s="182">
        <v>9</v>
      </c>
      <c r="BO2" s="189">
        <v>10</v>
      </c>
      <c r="BP2" s="189">
        <v>10</v>
      </c>
      <c r="BQ2" s="189">
        <v>10</v>
      </c>
      <c r="BR2" s="189">
        <v>10</v>
      </c>
      <c r="BS2" s="189">
        <v>10</v>
      </c>
      <c r="BT2" s="189">
        <v>10</v>
      </c>
      <c r="BU2" s="182">
        <v>10</v>
      </c>
      <c r="BV2" s="189">
        <v>11</v>
      </c>
      <c r="BW2" s="189">
        <v>11</v>
      </c>
      <c r="BX2" s="189">
        <v>11</v>
      </c>
      <c r="BY2" s="189">
        <v>11</v>
      </c>
      <c r="BZ2" s="189">
        <v>11</v>
      </c>
      <c r="CA2" s="189">
        <v>11</v>
      </c>
      <c r="CB2" s="182">
        <v>11</v>
      </c>
      <c r="CC2" s="189">
        <v>12</v>
      </c>
      <c r="CD2" s="189">
        <v>12</v>
      </c>
      <c r="CE2" s="189">
        <v>12</v>
      </c>
      <c r="CF2" s="189">
        <v>12</v>
      </c>
      <c r="CG2" s="189">
        <v>12</v>
      </c>
      <c r="CH2" s="189">
        <v>12</v>
      </c>
      <c r="CI2" s="189">
        <v>12</v>
      </c>
      <c r="CJ2" s="195"/>
      <c r="CK2" s="195"/>
      <c r="CL2" s="195"/>
      <c r="CM2" s="195"/>
      <c r="CN2" s="195"/>
      <c r="CO2" s="195"/>
      <c r="CP2" s="196">
        <v>2026</v>
      </c>
      <c r="CR2" s="182" t="s">
        <v>492</v>
      </c>
      <c r="CS2" s="182" t="s">
        <v>493</v>
      </c>
      <c r="CT2" s="182" t="s">
        <v>494</v>
      </c>
      <c r="CU2" s="182" t="s">
        <v>495</v>
      </c>
      <c r="CV2" s="182" t="s">
        <v>496</v>
      </c>
      <c r="CW2" s="182" t="s">
        <v>497</v>
      </c>
      <c r="CX2" s="182" t="s">
        <v>498</v>
      </c>
      <c r="CY2" s="182" t="s">
        <v>499</v>
      </c>
      <c r="CZ2" s="182" t="s">
        <v>500</v>
      </c>
      <c r="DA2" s="182" t="s">
        <v>501</v>
      </c>
      <c r="DB2" s="182" t="s">
        <v>502</v>
      </c>
      <c r="DC2" s="182" t="s">
        <v>503</v>
      </c>
      <c r="DE2" s="182" t="s">
        <v>481</v>
      </c>
      <c r="DF2" s="182" t="s">
        <v>482</v>
      </c>
      <c r="DG2" s="182" t="s">
        <v>483</v>
      </c>
      <c r="DH2" s="182" t="s">
        <v>484</v>
      </c>
      <c r="DI2" s="182" t="s">
        <v>485</v>
      </c>
      <c r="DJ2" s="182" t="s">
        <v>486</v>
      </c>
      <c r="DK2" s="182" t="s">
        <v>487</v>
      </c>
      <c r="DL2" s="182" t="s">
        <v>488</v>
      </c>
      <c r="DM2" s="182" t="s">
        <v>489</v>
      </c>
      <c r="DN2" s="182" t="s">
        <v>490</v>
      </c>
      <c r="DO2" s="182" t="s">
        <v>480</v>
      </c>
      <c r="DP2" s="182" t="s">
        <v>479</v>
      </c>
    </row>
    <row r="3" spans="2:120" s="181" customFormat="1" ht="32" x14ac:dyDescent="0.2">
      <c r="B3" s="104"/>
      <c r="C3" s="203"/>
      <c r="D3" s="104" t="s">
        <v>455</v>
      </c>
      <c r="E3" s="104" t="s">
        <v>456</v>
      </c>
      <c r="F3" s="104" t="s">
        <v>457</v>
      </c>
      <c r="G3" s="104" t="s">
        <v>458</v>
      </c>
      <c r="H3" s="104" t="s">
        <v>459</v>
      </c>
      <c r="I3" s="104" t="s">
        <v>460</v>
      </c>
      <c r="J3" s="104" t="s">
        <v>461</v>
      </c>
      <c r="K3" s="104" t="s">
        <v>455</v>
      </c>
      <c r="L3" s="104" t="s">
        <v>456</v>
      </c>
      <c r="M3" s="104" t="s">
        <v>457</v>
      </c>
      <c r="N3" s="104" t="s">
        <v>458</v>
      </c>
      <c r="O3" s="104" t="s">
        <v>459</v>
      </c>
      <c r="P3" s="104" t="s">
        <v>460</v>
      </c>
      <c r="Q3" s="104" t="s">
        <v>462</v>
      </c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463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464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465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466</v>
      </c>
      <c r="AT3" s="104" t="s">
        <v>455</v>
      </c>
      <c r="AU3" s="104" t="s">
        <v>456</v>
      </c>
      <c r="AV3" s="104" t="s">
        <v>457</v>
      </c>
      <c r="AW3" s="104" t="s">
        <v>458</v>
      </c>
      <c r="AX3" s="104" t="s">
        <v>459</v>
      </c>
      <c r="AY3" s="104" t="s">
        <v>460</v>
      </c>
      <c r="AZ3" s="104" t="s">
        <v>467</v>
      </c>
      <c r="BA3" s="104" t="s">
        <v>455</v>
      </c>
      <c r="BB3" s="104" t="s">
        <v>456</v>
      </c>
      <c r="BC3" s="104" t="s">
        <v>457</v>
      </c>
      <c r="BD3" s="104" t="s">
        <v>458</v>
      </c>
      <c r="BE3" s="104" t="s">
        <v>459</v>
      </c>
      <c r="BF3" s="104" t="s">
        <v>460</v>
      </c>
      <c r="BG3" s="104" t="s">
        <v>468</v>
      </c>
      <c r="BH3" s="104" t="s">
        <v>455</v>
      </c>
      <c r="BI3" s="104" t="s">
        <v>456</v>
      </c>
      <c r="BJ3" s="104" t="s">
        <v>457</v>
      </c>
      <c r="BK3" s="104" t="s">
        <v>458</v>
      </c>
      <c r="BL3" s="104" t="s">
        <v>459</v>
      </c>
      <c r="BM3" s="104" t="s">
        <v>460</v>
      </c>
      <c r="BN3" s="104" t="s">
        <v>469</v>
      </c>
      <c r="BO3" s="104" t="s">
        <v>455</v>
      </c>
      <c r="BP3" s="104" t="s">
        <v>456</v>
      </c>
      <c r="BQ3" s="104" t="s">
        <v>457</v>
      </c>
      <c r="BR3" s="104" t="s">
        <v>458</v>
      </c>
      <c r="BS3" s="104" t="s">
        <v>459</v>
      </c>
      <c r="BT3" s="104" t="s">
        <v>460</v>
      </c>
      <c r="BU3" s="104" t="s">
        <v>470</v>
      </c>
      <c r="BV3" s="104" t="s">
        <v>455</v>
      </c>
      <c r="BW3" s="104" t="s">
        <v>456</v>
      </c>
      <c r="BX3" s="104" t="s">
        <v>457</v>
      </c>
      <c r="BY3" s="104" t="s">
        <v>458</v>
      </c>
      <c r="BZ3" s="104" t="s">
        <v>459</v>
      </c>
      <c r="CA3" s="104" t="s">
        <v>460</v>
      </c>
      <c r="CB3" s="104" t="s">
        <v>471</v>
      </c>
      <c r="CC3" s="104" t="s">
        <v>455</v>
      </c>
      <c r="CD3" s="104" t="s">
        <v>456</v>
      </c>
      <c r="CE3" s="104" t="s">
        <v>457</v>
      </c>
      <c r="CF3" s="104" t="s">
        <v>458</v>
      </c>
      <c r="CG3" s="104" t="s">
        <v>459</v>
      </c>
      <c r="CH3" s="104" t="s">
        <v>460</v>
      </c>
      <c r="CI3" s="104" t="s">
        <v>472</v>
      </c>
      <c r="CJ3" s="104" t="s">
        <v>455</v>
      </c>
      <c r="CK3" s="104" t="s">
        <v>456</v>
      </c>
      <c r="CL3" s="104" t="s">
        <v>457</v>
      </c>
      <c r="CM3" s="104" t="s">
        <v>458</v>
      </c>
      <c r="CN3" s="104" t="s">
        <v>459</v>
      </c>
      <c r="CO3" s="104" t="s">
        <v>460</v>
      </c>
      <c r="CP3" s="104" t="s">
        <v>473</v>
      </c>
    </row>
    <row r="4" spans="2:120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  <c r="AT4" s="106"/>
      <c r="AU4" s="106"/>
      <c r="BA4" s="106"/>
      <c r="BB4" s="106"/>
      <c r="BH4" s="106"/>
      <c r="BI4" s="106"/>
      <c r="BO4" s="106"/>
      <c r="BP4" s="106"/>
      <c r="BV4" s="106"/>
      <c r="BW4" s="106"/>
      <c r="CC4" s="106"/>
      <c r="CD4" s="106"/>
      <c r="CJ4" s="106"/>
      <c r="CK4" s="106"/>
    </row>
    <row r="5" spans="2:120" ht="16" x14ac:dyDescent="0.2">
      <c r="B5" s="183" t="s">
        <v>397</v>
      </c>
      <c r="C5" s="205"/>
      <c r="D5" s="108"/>
      <c r="E5" s="108"/>
      <c r="G5" s="107"/>
      <c r="H5" s="107"/>
      <c r="I5" s="107"/>
      <c r="J5" s="107"/>
      <c r="K5" s="107"/>
      <c r="L5" s="107"/>
      <c r="M5" s="107"/>
      <c r="N5" s="107"/>
      <c r="O5" s="107"/>
      <c r="R5" s="107"/>
      <c r="S5" s="107"/>
      <c r="T5" s="107"/>
      <c r="U5" s="107"/>
      <c r="V5" s="107"/>
      <c r="Y5" s="107"/>
      <c r="Z5" s="107"/>
      <c r="AA5" s="107"/>
      <c r="AB5" s="107"/>
      <c r="AC5" s="107"/>
      <c r="AF5" s="107"/>
      <c r="AG5" s="107"/>
      <c r="AH5" s="107"/>
      <c r="AI5" s="107"/>
      <c r="AJ5" s="107"/>
      <c r="AM5" s="107"/>
      <c r="AN5" s="107"/>
      <c r="AO5" s="107"/>
      <c r="AP5" s="107"/>
      <c r="AQ5" s="107"/>
      <c r="AT5" s="107"/>
      <c r="AU5" s="107"/>
      <c r="AV5" s="107"/>
      <c r="AW5" s="107"/>
      <c r="AX5" s="107"/>
      <c r="BA5" s="107"/>
      <c r="BB5" s="107"/>
      <c r="BC5" s="107"/>
      <c r="BD5" s="107"/>
      <c r="BE5" s="107"/>
      <c r="BH5" s="107"/>
      <c r="BI5" s="107"/>
      <c r="BJ5" s="107"/>
      <c r="BK5" s="107"/>
      <c r="BL5" s="107"/>
      <c r="BO5" s="107"/>
      <c r="BP5" s="107"/>
      <c r="BQ5" s="107"/>
      <c r="BR5" s="107"/>
      <c r="BS5" s="107"/>
      <c r="BV5" s="107"/>
      <c r="BW5" s="107"/>
      <c r="BX5" s="107"/>
      <c r="BY5" s="107"/>
      <c r="BZ5" s="107"/>
      <c r="CC5" s="107"/>
      <c r="CD5" s="107"/>
      <c r="CE5" s="107"/>
      <c r="CF5" s="107"/>
      <c r="CG5" s="107"/>
      <c r="CJ5" s="107"/>
      <c r="CK5" s="107"/>
      <c r="CL5" s="107"/>
      <c r="CM5" s="107"/>
      <c r="CN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</row>
    <row r="6" spans="2:120" ht="16" x14ac:dyDescent="0.2">
      <c r="B6" s="109" t="s">
        <v>398</v>
      </c>
      <c r="C6" s="193" t="s">
        <v>130</v>
      </c>
      <c r="D6" s="110">
        <f>SUMIFS(wallet_records!$D:$D,wallet_records!$B:$B,'EEFF 2026'!$C6,wallet_records!$L:$L,'EEFF 2026'!D$3,wallet_records!$O:$O,'EEFF 2026'!$B$1,wallet_records!$N:$N,'EEFF 2026'!D$2)</f>
        <v>1750000</v>
      </c>
      <c r="E6" s="110">
        <f>SUMIFS(wallet_records!$D:$D,wallet_records!$B:$B,'EEFF 2026'!$C6,wallet_records!$L:$L,'EEFF 2026'!E$3,wallet_records!$O:$O,'EEFF 2026'!$B$1,wallet_records!$N:$N,'EEFF 2026'!E$2)</f>
        <v>3146600</v>
      </c>
      <c r="F6" s="110">
        <f>SUMIFS(wallet_records!$D:$D,wallet_records!$B:$B,'EEFF 2026'!$C6,wallet_records!$L:$L,'EEFF 2026'!F$3,wallet_records!$O:$O,'EEFF 2026'!$B$1,wallet_records!$N:$N,'EEFF 2026'!F$2)</f>
        <v>1500000</v>
      </c>
      <c r="G6" s="110">
        <f>SUMIFS(wallet_records!$D:$D,wallet_records!$B:$B,'EEFF 2026'!$C6,wallet_records!$L:$L,'EEFF 2026'!G$3,wallet_records!$O:$O,'EEFF 2026'!$B$1,wallet_records!$N:$N,'EEFF 2026'!G$2)</f>
        <v>500000</v>
      </c>
      <c r="H6" s="110">
        <f>SUMIFS(wallet_records!$D:$D,wallet_records!$B:$B,'EEFF 2026'!$C6,wallet_records!$L:$L,'EEFF 2026'!H$3,wallet_records!$O:$O,'EEFF 2026'!$B$1,wallet_records!$N:$N,'EEFF 2026'!H$2)</f>
        <v>1715000</v>
      </c>
      <c r="I6" s="110">
        <f>SUMIFS(wallet_records!$D:$D,wallet_records!$B:$B,'EEFF 2026'!$C6,wallet_records!$L:$L,'EEFF 2026'!I$3,wallet_records!$O:$O,'EEFF 2026'!$B$1,wallet_records!$N:$N,'EEFF 2026'!I$2)</f>
        <v>881000</v>
      </c>
      <c r="J6" s="110">
        <f>SUM(D6:I6)</f>
        <v>9492600</v>
      </c>
      <c r="K6" s="110">
        <f>SUMIFS(wallet_records!$D:$D,wallet_records!$B:$B,'EEFF 2026'!$C6,wallet_records!$L:$L,'EEFF 2026'!K$3,wallet_records!$O:$O,'EEFF 2026'!$B$1,wallet_records!$N:$N,'EEFF 2026'!K$2)</f>
        <v>1750000</v>
      </c>
      <c r="L6" s="110">
        <f>SUMIFS(wallet_records!$D:$D,wallet_records!$B:$B,'EEFF 2026'!$C6,wallet_records!$L:$L,'EEFF 2026'!L$3,wallet_records!$O:$O,'EEFF 2026'!$B$1,wallet_records!$N:$N,'EEFF 2026'!L$2)</f>
        <v>3146600</v>
      </c>
      <c r="M6" s="110">
        <f>SUMIFS(wallet_records!$D:$D,wallet_records!$B:$B,'EEFF 2026'!$C6,wallet_records!$L:$L,'EEFF 2026'!M$3,wallet_records!$O:$O,'EEFF 2026'!$B$1,wallet_records!$N:$N,'EEFF 2026'!M$2)</f>
        <v>1540000</v>
      </c>
      <c r="N6" s="110">
        <f>SUMIFS(wallet_records!$D:$D,wallet_records!$B:$B,'EEFF 2026'!$C6,wallet_records!$L:$L,'EEFF 2026'!N$3,wallet_records!$O:$O,'EEFF 2026'!$B$1,wallet_records!$N:$N,'EEFF 2026'!N$2)</f>
        <v>0</v>
      </c>
      <c r="O6" s="110">
        <f>SUMIFS(wallet_records!$D:$D,wallet_records!$B:$B,'EEFF 2026'!$C6,wallet_records!$L:$L,'EEFF 2026'!O$3,wallet_records!$O:$O,'EEFF 2026'!$B$1,wallet_records!$N:$N,'EEFF 2026'!O$2)</f>
        <v>0</v>
      </c>
      <c r="P6" s="110">
        <f>SUMIFS(wallet_records!$D:$D,wallet_records!$B:$B,'EEFF 2026'!$C6,wallet_records!$L:$L,'EEFF 2026'!P$3,wallet_records!$O:$O,'EEFF 2026'!$B$1,wallet_records!$N:$N,'EEFF 2026'!P$2)</f>
        <v>0</v>
      </c>
      <c r="Q6" s="110">
        <f>SUM(K6:P6)</f>
        <v>6436600</v>
      </c>
      <c r="R6" s="110">
        <f>SUMIFS(wallet_records!$D:$D,wallet_records!$B:$B,'EEFF 2026'!$C6,wallet_records!$L:$L,'EEFF 2026'!R$3,wallet_records!$O:$O,'EEFF 2026'!$B$1,wallet_records!$N:$N,'EEFF 2026'!R$2)</f>
        <v>0</v>
      </c>
      <c r="S6" s="110">
        <f>SUMIFS(wallet_records!$D:$D,wallet_records!$B:$B,'EEFF 2026'!$C6,wallet_records!$L:$L,'EEFF 2026'!S$3,wallet_records!$O:$O,'EEFF 2026'!$B$1,wallet_records!$N:$N,'EEFF 2026'!S$2)</f>
        <v>0</v>
      </c>
      <c r="T6" s="110">
        <f>SUMIFS(wallet_records!$D:$D,wallet_records!$B:$B,'EEFF 2026'!$C6,wallet_records!$L:$L,'EEFF 2026'!T$3,wallet_records!$O:$O,'EEFF 2026'!$B$1,wallet_records!$N:$N,'EEFF 2026'!T$2)</f>
        <v>0</v>
      </c>
      <c r="U6" s="110">
        <f>SUMIFS(wallet_records!$D:$D,wallet_records!$B:$B,'EEFF 2026'!$C6,wallet_records!$L:$L,'EEFF 2026'!U$3,wallet_records!$O:$O,'EEFF 2026'!$B$1,wallet_records!$N:$N,'EEFF 2026'!U$2)</f>
        <v>0</v>
      </c>
      <c r="V6" s="110">
        <f>SUMIFS(wallet_records!$D:$D,wallet_records!$B:$B,'EEFF 2026'!$C6,wallet_records!$L:$L,'EEFF 2026'!V$3,wallet_records!$O:$O,'EEFF 2026'!$B$1,wallet_records!$N:$N,'EEFF 2026'!V$2)</f>
        <v>0</v>
      </c>
      <c r="W6" s="110">
        <f>SUMIFS(wallet_records!$D:$D,wallet_records!$B:$B,'EEFF 2026'!$C6,wallet_records!$L:$L,'EEFF 2026'!W$3,wallet_records!$O:$O,'EEFF 2026'!$B$1,wallet_records!$N:$N,'EEFF 2026'!W$2)</f>
        <v>0</v>
      </c>
      <c r="X6" s="110">
        <f>SUM(R6:W6)</f>
        <v>0</v>
      </c>
      <c r="Y6" s="110">
        <f>SUMIFS(wallet_records!$D:$D,wallet_records!$B:$B,'EEFF 2026'!$C6,wallet_records!$L:$L,'EEFF 2026'!Y$3,wallet_records!$O:$O,'EEFF 2026'!$B$1,wallet_records!$N:$N,'EEFF 2026'!Y$2)</f>
        <v>0</v>
      </c>
      <c r="Z6" s="110">
        <f>SUMIFS(wallet_records!$D:$D,wallet_records!$B:$B,'EEFF 2026'!$C6,wallet_records!$L:$L,'EEFF 2026'!Z$3,wallet_records!$O:$O,'EEFF 2026'!$B$1,wallet_records!$N:$N,'EEFF 2026'!Z$2)</f>
        <v>0</v>
      </c>
      <c r="AA6" s="110">
        <f>SUMIFS(wallet_records!$D:$D,wallet_records!$B:$B,'EEFF 2026'!$C6,wallet_records!$L:$L,'EEFF 2026'!AA$3,wallet_records!$O:$O,'EEFF 2026'!$B$1,wallet_records!$N:$N,'EEFF 2026'!AA$2)</f>
        <v>0</v>
      </c>
      <c r="AB6" s="110">
        <f>SUMIFS(wallet_records!$D:$D,wallet_records!$B:$B,'EEFF 2026'!$C6,wallet_records!$L:$L,'EEFF 2026'!AB$3,wallet_records!$O:$O,'EEFF 2026'!$B$1,wallet_records!$N:$N,'EEFF 2026'!AB$2)</f>
        <v>0</v>
      </c>
      <c r="AC6" s="110">
        <f>SUMIFS(wallet_records!$D:$D,wallet_records!$B:$B,'EEFF 2026'!$C6,wallet_records!$L:$L,'EEFF 2026'!AC$3,wallet_records!$O:$O,'EEFF 2026'!$B$1,wallet_records!$N:$N,'EEFF 2026'!AC$2)</f>
        <v>0</v>
      </c>
      <c r="AD6" s="110">
        <f>SUMIFS(wallet_records!$D:$D,wallet_records!$B:$B,'EEFF 2026'!$C6,wallet_records!$L:$L,'EEFF 2026'!AD$3,wallet_records!$O:$O,'EEFF 2026'!$B$1,wallet_records!$N:$N,'EEFF 2026'!AD$2)</f>
        <v>0</v>
      </c>
      <c r="AE6" s="110">
        <f>SUM(Y6:AD6)</f>
        <v>0</v>
      </c>
      <c r="AF6" s="110">
        <f>SUMIFS(wallet_records!$D:$D,wallet_records!$B:$B,'EEFF 2026'!$C6,wallet_records!$L:$L,'EEFF 2026'!AF$3,wallet_records!$O:$O,'EEFF 2026'!$B$1,wallet_records!$N:$N,'EEFF 2026'!AF$2)</f>
        <v>0</v>
      </c>
      <c r="AG6" s="110">
        <f>SUMIFS(wallet_records!$D:$D,wallet_records!$B:$B,'EEFF 2026'!$C6,wallet_records!$L:$L,'EEFF 2026'!AG$3,wallet_records!$O:$O,'EEFF 2026'!$B$1,wallet_records!$N:$N,'EEFF 2026'!AG$2)</f>
        <v>0</v>
      </c>
      <c r="AH6" s="110">
        <f>SUMIFS(wallet_records!$D:$D,wallet_records!$B:$B,'EEFF 2026'!$C6,wallet_records!$L:$L,'EEFF 2026'!AH$3,wallet_records!$O:$O,'EEFF 2026'!$B$1,wallet_records!$N:$N,'EEFF 2026'!AH$2)</f>
        <v>0</v>
      </c>
      <c r="AI6" s="110">
        <f>SUMIFS(wallet_records!$D:$D,wallet_records!$B:$B,'EEFF 2026'!$C6,wallet_records!$L:$L,'EEFF 2026'!AI$3,wallet_records!$O:$O,'EEFF 2026'!$B$1,wallet_records!$N:$N,'EEFF 2026'!AI$2)</f>
        <v>0</v>
      </c>
      <c r="AJ6" s="110">
        <f>SUMIFS(wallet_records!$D:$D,wallet_records!$B:$B,'EEFF 2026'!$C6,wallet_records!$L:$L,'EEFF 2026'!AJ$3,wallet_records!$O:$O,'EEFF 2026'!$B$1,wallet_records!$N:$N,'EEFF 2026'!AJ$2)</f>
        <v>0</v>
      </c>
      <c r="AK6" s="110">
        <f>SUMIFS(wallet_records!$D:$D,wallet_records!$B:$B,'EEFF 2026'!$C6,wallet_records!$L:$L,'EEFF 2026'!AK$3,wallet_records!$O:$O,'EEFF 2026'!$B$1,wallet_records!$N:$N,'EEFF 2026'!AK$2)</f>
        <v>0</v>
      </c>
      <c r="AL6" s="110">
        <f>SUM(AF6:AK6)</f>
        <v>0</v>
      </c>
      <c r="AM6" s="110">
        <f>SUMIFS(wallet_records!$D:$D,wallet_records!$B:$B,'EEFF 2026'!$C6,wallet_records!$L:$L,'EEFF 2026'!AM$3,wallet_records!$O:$O,'EEFF 2026'!$B$1,wallet_records!$N:$N,'EEFF 2026'!AM$2)</f>
        <v>0</v>
      </c>
      <c r="AN6" s="110">
        <f>SUMIFS(wallet_records!$D:$D,wallet_records!$B:$B,'EEFF 2026'!$C6,wallet_records!$L:$L,'EEFF 2026'!AN$3,wallet_records!$O:$O,'EEFF 2026'!$B$1,wallet_records!$N:$N,'EEFF 2026'!AN$2)</f>
        <v>0</v>
      </c>
      <c r="AO6" s="110">
        <f>SUMIFS(wallet_records!$D:$D,wallet_records!$B:$B,'EEFF 2026'!$C6,wallet_records!$L:$L,'EEFF 2026'!AO$3,wallet_records!$O:$O,'EEFF 2026'!$B$1,wallet_records!$N:$N,'EEFF 2026'!AO$2)</f>
        <v>0</v>
      </c>
      <c r="AP6" s="110">
        <f>SUMIFS(wallet_records!$D:$D,wallet_records!$B:$B,'EEFF 2026'!$C6,wallet_records!$L:$L,'EEFF 2026'!AP$3,wallet_records!$O:$O,'EEFF 2026'!$B$1,wallet_records!$N:$N,'EEFF 2026'!AP$2)</f>
        <v>0</v>
      </c>
      <c r="AQ6" s="110">
        <f>SUMIFS(wallet_records!$D:$D,wallet_records!$B:$B,'EEFF 2026'!$C6,wallet_records!$L:$L,'EEFF 2026'!AQ$3,wallet_records!$O:$O,'EEFF 2026'!$B$1,wallet_records!$N:$N,'EEFF 2026'!AQ$2)</f>
        <v>0</v>
      </c>
      <c r="AR6" s="110">
        <f>SUMIFS(wallet_records!$D:$D,wallet_records!$B:$B,'EEFF 2026'!$C6,wallet_records!$L:$L,'EEFF 2026'!AR$3,wallet_records!$O:$O,'EEFF 2026'!$B$1,wallet_records!$N:$N,'EEFF 2026'!AR$2)</f>
        <v>0</v>
      </c>
      <c r="AS6" s="110">
        <f>SUM(AM6:AR6)</f>
        <v>0</v>
      </c>
      <c r="AT6" s="110">
        <f>SUMIFS(wallet_records!$D:$D,wallet_records!$B:$B,'EEFF 2026'!$C6,wallet_records!$L:$L,'EEFF 2026'!AT$3,wallet_records!$O:$O,'EEFF 2026'!$B$1,wallet_records!$N:$N,'EEFF 2026'!AT$2)</f>
        <v>0</v>
      </c>
      <c r="AU6" s="110">
        <f>SUMIFS(wallet_records!$D:$D,wallet_records!$B:$B,'EEFF 2026'!$C6,wallet_records!$L:$L,'EEFF 2026'!AU$3,wallet_records!$O:$O,'EEFF 2026'!$B$1,wallet_records!$N:$N,'EEFF 2026'!AU$2)</f>
        <v>0</v>
      </c>
      <c r="AV6" s="110">
        <f>SUMIFS(wallet_records!$D:$D,wallet_records!$B:$B,'EEFF 2026'!$C6,wallet_records!$L:$L,'EEFF 2026'!AV$3,wallet_records!$O:$O,'EEFF 2026'!$B$1,wallet_records!$N:$N,'EEFF 2026'!AV$2)</f>
        <v>0</v>
      </c>
      <c r="AW6" s="110">
        <f>SUMIFS(wallet_records!$D:$D,wallet_records!$B:$B,'EEFF 2026'!$C6,wallet_records!$L:$L,'EEFF 2026'!AW$3,wallet_records!$O:$O,'EEFF 2026'!$B$1,wallet_records!$N:$N,'EEFF 2026'!AW$2)</f>
        <v>0</v>
      </c>
      <c r="AX6" s="110">
        <f>SUMIFS(wallet_records!$D:$D,wallet_records!$B:$B,'EEFF 2026'!$C6,wallet_records!$L:$L,'EEFF 2026'!AX$3,wallet_records!$O:$O,'EEFF 2026'!$B$1,wallet_records!$N:$N,'EEFF 2026'!AX$2)</f>
        <v>0</v>
      </c>
      <c r="AY6" s="110">
        <f>SUMIFS(wallet_records!$D:$D,wallet_records!$B:$B,'EEFF 2026'!$C6,wallet_records!$L:$L,'EEFF 2026'!AY$3,wallet_records!$O:$O,'EEFF 2026'!$B$1,wallet_records!$N:$N,'EEFF 2026'!AY$2)</f>
        <v>0</v>
      </c>
      <c r="AZ6" s="110">
        <f>SUM(AT6:AY6)</f>
        <v>0</v>
      </c>
      <c r="BA6" s="110">
        <f>SUMIFS(wallet_records!$D:$D,wallet_records!$B:$B,'EEFF 2026'!$C6,wallet_records!$L:$L,'EEFF 2026'!BA$3,wallet_records!$O:$O,'EEFF 2026'!$B$1,wallet_records!$N:$N,'EEFF 2026'!BA$2)</f>
        <v>0</v>
      </c>
      <c r="BB6" s="110">
        <f>SUMIFS(wallet_records!$D:$D,wallet_records!$B:$B,'EEFF 2026'!$C6,wallet_records!$L:$L,'EEFF 2026'!BB$3,wallet_records!$O:$O,'EEFF 2026'!$B$1,wallet_records!$N:$N,'EEFF 2026'!BB$2)</f>
        <v>0</v>
      </c>
      <c r="BC6" s="110">
        <f>SUMIFS(wallet_records!$D:$D,wallet_records!$B:$B,'EEFF 2026'!$C6,wallet_records!$L:$L,'EEFF 2026'!BC$3,wallet_records!$O:$O,'EEFF 2026'!$B$1,wallet_records!$N:$N,'EEFF 2026'!BC$2)</f>
        <v>0</v>
      </c>
      <c r="BD6" s="110">
        <f>SUMIFS(wallet_records!$D:$D,wallet_records!$B:$B,'EEFF 2026'!$C6,wallet_records!$L:$L,'EEFF 2026'!BD$3,wallet_records!$O:$O,'EEFF 2026'!$B$1,wallet_records!$N:$N,'EEFF 2026'!BD$2)</f>
        <v>0</v>
      </c>
      <c r="BE6" s="110">
        <f>SUMIFS(wallet_records!$D:$D,wallet_records!$B:$B,'EEFF 2026'!$C6,wallet_records!$L:$L,'EEFF 2026'!BE$3,wallet_records!$O:$O,'EEFF 2026'!$B$1,wallet_records!$N:$N,'EEFF 2026'!BE$2)</f>
        <v>0</v>
      </c>
      <c r="BF6" s="110">
        <f>SUMIFS(wallet_records!$D:$D,wallet_records!$B:$B,'EEFF 2026'!$C6,wallet_records!$L:$L,'EEFF 2026'!BF$3,wallet_records!$O:$O,'EEFF 2026'!$B$1,wallet_records!$N:$N,'EEFF 2026'!BF$2)</f>
        <v>0</v>
      </c>
      <c r="BG6" s="110">
        <f>SUM(BA6:BF6)</f>
        <v>0</v>
      </c>
      <c r="BH6" s="110">
        <f>SUMIFS(wallet_records!$D:$D,wallet_records!$B:$B,'EEFF 2026'!$C6,wallet_records!$L:$L,'EEFF 2026'!BH$3,wallet_records!$O:$O,'EEFF 2026'!$B$1,wallet_records!$N:$N,'EEFF 2026'!BH$2)</f>
        <v>0</v>
      </c>
      <c r="BI6" s="110">
        <f>SUMIFS(wallet_records!$D:$D,wallet_records!$B:$B,'EEFF 2026'!$C6,wallet_records!$L:$L,'EEFF 2026'!BI$3,wallet_records!$O:$O,'EEFF 2026'!$B$1,wallet_records!$N:$N,'EEFF 2026'!BI$2)</f>
        <v>0</v>
      </c>
      <c r="BJ6" s="110">
        <f>SUMIFS(wallet_records!$D:$D,wallet_records!$B:$B,'EEFF 2026'!$C6,wallet_records!$L:$L,'EEFF 2026'!BJ$3,wallet_records!$O:$O,'EEFF 2026'!$B$1,wallet_records!$N:$N,'EEFF 2026'!BJ$2)</f>
        <v>0</v>
      </c>
      <c r="BK6" s="110">
        <f>SUMIFS(wallet_records!$D:$D,wallet_records!$B:$B,'EEFF 2026'!$C6,wallet_records!$L:$L,'EEFF 2026'!BK$3,wallet_records!$O:$O,'EEFF 2026'!$B$1,wallet_records!$N:$N,'EEFF 2026'!BK$2)</f>
        <v>0</v>
      </c>
      <c r="BL6" s="110">
        <f>SUMIFS(wallet_records!$D:$D,wallet_records!$B:$B,'EEFF 2026'!$C6,wallet_records!$L:$L,'EEFF 2026'!BL$3,wallet_records!$O:$O,'EEFF 2026'!$B$1,wallet_records!$N:$N,'EEFF 2026'!BL$2)</f>
        <v>0</v>
      </c>
      <c r="BM6" s="110">
        <f>SUMIFS(wallet_records!$D:$D,wallet_records!$B:$B,'EEFF 2026'!$C6,wallet_records!$L:$L,'EEFF 2026'!BM$3,wallet_records!$O:$O,'EEFF 2026'!$B$1,wallet_records!$N:$N,'EEFF 2026'!BM$2)</f>
        <v>0</v>
      </c>
      <c r="BN6" s="110">
        <f>SUM(BH6:BM6)</f>
        <v>0</v>
      </c>
      <c r="BO6" s="110">
        <f>SUMIFS(wallet_records!$D:$D,wallet_records!$B:$B,'EEFF 2026'!$C6,wallet_records!$L:$L,'EEFF 2026'!BO$3,wallet_records!$O:$O,'EEFF 2026'!$B$1,wallet_records!$N:$N,'EEFF 2026'!BO$2)</f>
        <v>0</v>
      </c>
      <c r="BP6" s="110">
        <f>SUMIFS(wallet_records!$D:$D,wallet_records!$B:$B,'EEFF 2026'!$C6,wallet_records!$L:$L,'EEFF 2026'!BP$3,wallet_records!$O:$O,'EEFF 2026'!$B$1,wallet_records!$N:$N,'EEFF 2026'!BP$2)</f>
        <v>0</v>
      </c>
      <c r="BQ6" s="110">
        <f>SUMIFS(wallet_records!$D:$D,wallet_records!$B:$B,'EEFF 2026'!$C6,wallet_records!$L:$L,'EEFF 2026'!BQ$3,wallet_records!$O:$O,'EEFF 2026'!$B$1,wallet_records!$N:$N,'EEFF 2026'!BQ$2)</f>
        <v>0</v>
      </c>
      <c r="BR6" s="110">
        <f>SUMIFS(wallet_records!$D:$D,wallet_records!$B:$B,'EEFF 2026'!$C6,wallet_records!$L:$L,'EEFF 2026'!BR$3,wallet_records!$O:$O,'EEFF 2026'!$B$1,wallet_records!$N:$N,'EEFF 2026'!BR$2)</f>
        <v>0</v>
      </c>
      <c r="BS6" s="110">
        <f>SUMIFS(wallet_records!$D:$D,wallet_records!$B:$B,'EEFF 2026'!$C6,wallet_records!$L:$L,'EEFF 2026'!BS$3,wallet_records!$O:$O,'EEFF 2026'!$B$1,wallet_records!$N:$N,'EEFF 2026'!BS$2)</f>
        <v>0</v>
      </c>
      <c r="BT6" s="110">
        <f>SUMIFS(wallet_records!$D:$D,wallet_records!$B:$B,'EEFF 2026'!$C6,wallet_records!$L:$L,'EEFF 2026'!BT$3,wallet_records!$O:$O,'EEFF 2026'!$B$1,wallet_records!$N:$N,'EEFF 2026'!BT$2)</f>
        <v>0</v>
      </c>
      <c r="BU6" s="110">
        <f>SUM(BO6:BT6)</f>
        <v>0</v>
      </c>
      <c r="BV6" s="110">
        <f>SUMIFS(wallet_records!$D:$D,wallet_records!$B:$B,'EEFF 2026'!$C6,wallet_records!$L:$L,'EEFF 2026'!BV$3,wallet_records!$O:$O,'EEFF 2026'!$B$1,wallet_records!$N:$N,'EEFF 2026'!BV$2)</f>
        <v>0</v>
      </c>
      <c r="BW6" s="110">
        <f>SUMIFS(wallet_records!$D:$D,wallet_records!$B:$B,'EEFF 2026'!$C6,wallet_records!$L:$L,'EEFF 2026'!BW$3,wallet_records!$O:$O,'EEFF 2026'!$B$1,wallet_records!$N:$N,'EEFF 2026'!BW$2)</f>
        <v>0</v>
      </c>
      <c r="BX6" s="110">
        <f>SUMIFS(wallet_records!$D:$D,wallet_records!$B:$B,'EEFF 2026'!$C6,wallet_records!$L:$L,'EEFF 2026'!BX$3,wallet_records!$O:$O,'EEFF 2026'!$B$1,wallet_records!$N:$N,'EEFF 2026'!BX$2)</f>
        <v>0</v>
      </c>
      <c r="BY6" s="110">
        <f>SUMIFS(wallet_records!$D:$D,wallet_records!$B:$B,'EEFF 2026'!$C6,wallet_records!$L:$L,'EEFF 2026'!BY$3,wallet_records!$O:$O,'EEFF 2026'!$B$1,wallet_records!$N:$N,'EEFF 2026'!BY$2)</f>
        <v>0</v>
      </c>
      <c r="BZ6" s="110">
        <f>SUMIFS(wallet_records!$D:$D,wallet_records!$B:$B,'EEFF 2026'!$C6,wallet_records!$L:$L,'EEFF 2026'!BZ$3,wallet_records!$O:$O,'EEFF 2026'!$B$1,wallet_records!$N:$N,'EEFF 2026'!BZ$2)</f>
        <v>0</v>
      </c>
      <c r="CA6" s="110">
        <f>SUMIFS(wallet_records!$D:$D,wallet_records!$B:$B,'EEFF 2026'!$C6,wallet_records!$L:$L,'EEFF 2026'!CA$3,wallet_records!$O:$O,'EEFF 2026'!$B$1,wallet_records!$N:$N,'EEFF 2026'!CA$2)</f>
        <v>0</v>
      </c>
      <c r="CB6" s="110">
        <f>SUM(BV6:CA6)</f>
        <v>0</v>
      </c>
      <c r="CC6" s="110">
        <f>SUMIFS(wallet_records!$D:$D,wallet_records!$B:$B,'EEFF 2026'!$C6,wallet_records!$L:$L,'EEFF 2026'!CC$3,wallet_records!$O:$O,'EEFF 2026'!$B$1,wallet_records!$N:$N,'EEFF 2026'!CC$2)</f>
        <v>0</v>
      </c>
      <c r="CD6" s="110">
        <f>SUMIFS(wallet_records!$D:$D,wallet_records!$B:$B,'EEFF 2026'!$C6,wallet_records!$L:$L,'EEFF 2026'!CD$3,wallet_records!$O:$O,'EEFF 2026'!$B$1,wallet_records!$N:$N,'EEFF 2026'!CD$2)</f>
        <v>0</v>
      </c>
      <c r="CE6" s="110">
        <f>SUMIFS(wallet_records!$D:$D,wallet_records!$B:$B,'EEFF 2026'!$C6,wallet_records!$L:$L,'EEFF 2026'!CE$3,wallet_records!$O:$O,'EEFF 2026'!$B$1,wallet_records!$N:$N,'EEFF 2026'!CE$2)</f>
        <v>0</v>
      </c>
      <c r="CF6" s="110">
        <f>SUMIFS(wallet_records!$D:$D,wallet_records!$B:$B,'EEFF 2026'!$C6,wallet_records!$L:$L,'EEFF 2026'!CF$3,wallet_records!$O:$O,'EEFF 2026'!$B$1,wallet_records!$N:$N,'EEFF 2026'!CF$2)</f>
        <v>0</v>
      </c>
      <c r="CG6" s="110">
        <f>SUMIFS(wallet_records!$D:$D,wallet_records!$B:$B,'EEFF 2026'!$C6,wallet_records!$L:$L,'EEFF 2026'!CG$3,wallet_records!$O:$O,'EEFF 2026'!$B$1,wallet_records!$N:$N,'EEFF 2026'!CG$2)</f>
        <v>0</v>
      </c>
      <c r="CH6" s="110">
        <f>SUMIFS(wallet_records!$D:$D,wallet_records!$B:$B,'EEFF 2026'!$C6,wallet_records!$L:$L,'EEFF 2026'!CH$3,wallet_records!$O:$O,'EEFF 2026'!$B$1,wallet_records!$N:$N,'EEFF 2026'!CH$2)</f>
        <v>0</v>
      </c>
      <c r="CI6" s="110">
        <f>SUM(CC6:CH6)</f>
        <v>0</v>
      </c>
      <c r="CJ6" s="110">
        <f>SUMIFS(wallet_records!$D:$D,wallet_records!$B:$B,'EEFF 2026'!$C$6,wallet_records!$L:$L,'EEFF 2026'!CJ3,wallet_records!$O:$O,'EEFF 2026'!$B$1)</f>
        <v>3500000</v>
      </c>
      <c r="CK6" s="110">
        <f>SUMIFS(wallet_records!$D:$D,wallet_records!$B:$B,'EEFF 2026'!$C$6,wallet_records!$L:$L,'EEFF 2026'!CK3,wallet_records!$O:$O,'EEFF 2026'!$B$1)</f>
        <v>6293200</v>
      </c>
      <c r="CL6" s="110">
        <f>SUMIFS(wallet_records!$D:$D,wallet_records!$B:$B,'EEFF 2026'!$C$6,wallet_records!$L:$L,'EEFF 2026'!CL3,wallet_records!$O:$O,'EEFF 2026'!$B$1)</f>
        <v>3040000</v>
      </c>
      <c r="CM6" s="110">
        <f>SUMIFS(wallet_records!$D:$D,wallet_records!$B:$B,'EEFF 2026'!$C$6,wallet_records!$L:$L,'EEFF 2026'!CM3,wallet_records!$O:$O,'EEFF 2026'!$B$1)</f>
        <v>500000</v>
      </c>
      <c r="CN6" s="110">
        <f>SUMIFS(wallet_records!$D:$D,wallet_records!$B:$B,'EEFF 2026'!$C$6,wallet_records!$L:$L,'EEFF 2026'!CN3,wallet_records!$O:$O,'EEFF 2026'!$B$1)</f>
        <v>1715000</v>
      </c>
      <c r="CO6" s="110">
        <f>SUMIFS(wallet_records!$D:$D,wallet_records!$B:$B,'EEFF 2026'!$C$6,wallet_records!$L:$L,'EEFF 2026'!CO3,wallet_records!$O:$O,'EEFF 2026'!$B$1)</f>
        <v>881000</v>
      </c>
      <c r="CP6" s="110">
        <f>SUM(CJ6:CO6)</f>
        <v>15929200</v>
      </c>
      <c r="CQ6" s="107"/>
      <c r="CR6" s="111">
        <f t="shared" ref="CR6:CR48" si="0">J6/J$6</f>
        <v>1</v>
      </c>
      <c r="CS6" s="111">
        <f t="shared" ref="CS6:CS48" si="1">Q6/Q$6</f>
        <v>1</v>
      </c>
      <c r="CT6" s="111" t="e">
        <f t="shared" ref="CT6:CT47" si="2">X6/X$6</f>
        <v>#DIV/0!</v>
      </c>
      <c r="CU6" s="111" t="e">
        <f t="shared" ref="CU6:CU47" si="3">AE6/AE$6</f>
        <v>#DIV/0!</v>
      </c>
      <c r="CV6" s="111" t="e">
        <f t="shared" ref="CV6:CV47" si="4">AL6/AL$6</f>
        <v>#DIV/0!</v>
      </c>
      <c r="CW6" s="111" t="e">
        <f t="shared" ref="CW6:CW47" si="5">AS6/AS$6</f>
        <v>#DIV/0!</v>
      </c>
      <c r="CX6" s="111" t="e">
        <f t="shared" ref="CX6:CX47" si="6">AZ6/AZ$6</f>
        <v>#DIV/0!</v>
      </c>
      <c r="CY6" s="111" t="e">
        <f t="shared" ref="CY6:CY47" si="7">BG6/BG$6</f>
        <v>#DIV/0!</v>
      </c>
      <c r="CZ6" s="111" t="e">
        <f t="shared" ref="CZ6:CZ47" si="8">BN6/BN$6</f>
        <v>#DIV/0!</v>
      </c>
      <c r="DA6" s="111" t="e">
        <f t="shared" ref="DA6:DA47" si="9">BU6/BU$6</f>
        <v>#DIV/0!</v>
      </c>
      <c r="DB6" s="111" t="e">
        <f t="shared" ref="DB6:DB47" si="10">CB6/CB$6</f>
        <v>#DIV/0!</v>
      </c>
      <c r="DC6" s="111" t="e">
        <f t="shared" ref="DC6:DC47" si="11">CI6/CI$6</f>
        <v>#DIV/0!</v>
      </c>
    </row>
    <row r="7" spans="2:120" x14ac:dyDescent="0.2">
      <c r="B7" s="112" t="s">
        <v>399</v>
      </c>
      <c r="C7" s="192"/>
      <c r="D7" s="113">
        <v>0</v>
      </c>
      <c r="E7" s="113">
        <v>0</v>
      </c>
      <c r="F7" s="113">
        <v>0</v>
      </c>
      <c r="G7" s="114">
        <v>0</v>
      </c>
      <c r="H7" s="114">
        <v>0</v>
      </c>
      <c r="I7" s="114">
        <v>0</v>
      </c>
      <c r="J7" s="114">
        <f>SUM(D7:I7)</f>
        <v>0</v>
      </c>
      <c r="K7" s="113">
        <v>0</v>
      </c>
      <c r="L7" s="113">
        <v>0</v>
      </c>
      <c r="M7" s="113">
        <v>0</v>
      </c>
      <c r="N7" s="114">
        <v>0</v>
      </c>
      <c r="O7" s="114">
        <v>0</v>
      </c>
      <c r="P7" s="114">
        <v>0</v>
      </c>
      <c r="Q7" s="114">
        <f>SUM(K7:P7)</f>
        <v>0</v>
      </c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T7" s="113">
        <v>0</v>
      </c>
      <c r="AU7" s="113">
        <v>0</v>
      </c>
      <c r="AV7" s="113">
        <v>0</v>
      </c>
      <c r="AW7" s="114">
        <v>0</v>
      </c>
      <c r="AX7" s="114">
        <v>0</v>
      </c>
      <c r="AY7" s="114">
        <v>0</v>
      </c>
      <c r="AZ7" s="114">
        <f>SUM(AT7:AY7)</f>
        <v>0</v>
      </c>
      <c r="BA7" s="113">
        <v>0</v>
      </c>
      <c r="BB7" s="113">
        <v>0</v>
      </c>
      <c r="BC7" s="113">
        <v>0</v>
      </c>
      <c r="BD7" s="114">
        <v>0</v>
      </c>
      <c r="BE7" s="114">
        <v>0</v>
      </c>
      <c r="BF7" s="114">
        <v>0</v>
      </c>
      <c r="BG7" s="114">
        <f>SUM(BA7:BF7)</f>
        <v>0</v>
      </c>
      <c r="BH7" s="113">
        <v>0</v>
      </c>
      <c r="BI7" s="113">
        <v>0</v>
      </c>
      <c r="BJ7" s="113">
        <v>0</v>
      </c>
      <c r="BK7" s="114">
        <v>0</v>
      </c>
      <c r="BL7" s="114">
        <v>0</v>
      </c>
      <c r="BM7" s="114">
        <v>0</v>
      </c>
      <c r="BN7" s="114">
        <f>SUM(BH7:BM7)</f>
        <v>0</v>
      </c>
      <c r="BO7" s="113">
        <v>0</v>
      </c>
      <c r="BP7" s="113">
        <v>0</v>
      </c>
      <c r="BQ7" s="113">
        <v>0</v>
      </c>
      <c r="BR7" s="114">
        <v>0</v>
      </c>
      <c r="BS7" s="114">
        <v>0</v>
      </c>
      <c r="BT7" s="114">
        <v>0</v>
      </c>
      <c r="BU7" s="114">
        <f>SUM(BO7:BT7)</f>
        <v>0</v>
      </c>
      <c r="BV7" s="113">
        <v>0</v>
      </c>
      <c r="BW7" s="113">
        <v>0</v>
      </c>
      <c r="BX7" s="113">
        <v>0</v>
      </c>
      <c r="BY7" s="114">
        <v>0</v>
      </c>
      <c r="BZ7" s="114">
        <v>0</v>
      </c>
      <c r="CA7" s="114">
        <v>0</v>
      </c>
      <c r="CB7" s="114">
        <f>SUM(BV7:CA7)</f>
        <v>0</v>
      </c>
      <c r="CC7" s="113">
        <v>0</v>
      </c>
      <c r="CD7" s="113">
        <v>0</v>
      </c>
      <c r="CE7" s="113">
        <v>0</v>
      </c>
      <c r="CF7" s="114">
        <v>0</v>
      </c>
      <c r="CG7" s="114">
        <v>0</v>
      </c>
      <c r="CH7" s="114">
        <v>0</v>
      </c>
      <c r="CI7" s="114">
        <f>SUM(CC7:CH7)</f>
        <v>0</v>
      </c>
      <c r="CJ7" s="113">
        <v>0</v>
      </c>
      <c r="CK7" s="113">
        <v>0</v>
      </c>
      <c r="CL7" s="113">
        <v>0</v>
      </c>
      <c r="CM7" s="114">
        <v>0</v>
      </c>
      <c r="CN7" s="114">
        <v>0</v>
      </c>
      <c r="CO7" s="114">
        <v>0</v>
      </c>
      <c r="CP7" s="114">
        <f>SUM(CJ7:CO7)</f>
        <v>0</v>
      </c>
      <c r="CQ7" s="107"/>
      <c r="CR7" s="111">
        <f t="shared" si="0"/>
        <v>0</v>
      </c>
      <c r="CS7" s="111">
        <f t="shared" si="1"/>
        <v>0</v>
      </c>
      <c r="CT7" s="111" t="e">
        <f t="shared" si="2"/>
        <v>#DIV/0!</v>
      </c>
      <c r="CU7" s="111" t="e">
        <f t="shared" si="3"/>
        <v>#DIV/0!</v>
      </c>
      <c r="CV7" s="111" t="e">
        <f t="shared" si="4"/>
        <v>#DIV/0!</v>
      </c>
      <c r="CW7" s="111" t="e">
        <f t="shared" si="5"/>
        <v>#DIV/0!</v>
      </c>
      <c r="CX7" s="111" t="e">
        <f t="shared" si="6"/>
        <v>#DIV/0!</v>
      </c>
      <c r="CY7" s="111" t="e">
        <f t="shared" si="7"/>
        <v>#DIV/0!</v>
      </c>
      <c r="CZ7" s="111" t="e">
        <f t="shared" si="8"/>
        <v>#DIV/0!</v>
      </c>
      <c r="DA7" s="111" t="e">
        <f t="shared" si="9"/>
        <v>#DIV/0!</v>
      </c>
      <c r="DB7" s="111" t="e">
        <f t="shared" si="10"/>
        <v>#DIV/0!</v>
      </c>
      <c r="DC7" s="111" t="e">
        <f t="shared" si="11"/>
        <v>#DIV/0!</v>
      </c>
    </row>
    <row r="8" spans="2:120" ht="16" x14ac:dyDescent="0.2">
      <c r="B8" s="109" t="s">
        <v>351</v>
      </c>
      <c r="C8" s="193"/>
      <c r="D8" s="117">
        <f>D6-D7</f>
        <v>1750000</v>
      </c>
      <c r="E8" s="117">
        <f t="shared" ref="E8:BP8" si="12">E6-E7</f>
        <v>3146600</v>
      </c>
      <c r="F8" s="117">
        <f t="shared" si="12"/>
        <v>1500000</v>
      </c>
      <c r="G8" s="117">
        <f t="shared" si="12"/>
        <v>500000</v>
      </c>
      <c r="H8" s="117">
        <f t="shared" si="12"/>
        <v>1715000</v>
      </c>
      <c r="I8" s="117">
        <f t="shared" si="12"/>
        <v>881000</v>
      </c>
      <c r="J8" s="117">
        <f t="shared" si="12"/>
        <v>9492600</v>
      </c>
      <c r="K8" s="117">
        <f t="shared" si="12"/>
        <v>1750000</v>
      </c>
      <c r="L8" s="117">
        <f t="shared" si="12"/>
        <v>3146600</v>
      </c>
      <c r="M8" s="117">
        <f t="shared" si="12"/>
        <v>1540000</v>
      </c>
      <c r="N8" s="117">
        <f t="shared" si="12"/>
        <v>0</v>
      </c>
      <c r="O8" s="117">
        <f t="shared" si="12"/>
        <v>0</v>
      </c>
      <c r="P8" s="117">
        <f t="shared" si="12"/>
        <v>0</v>
      </c>
      <c r="Q8" s="117">
        <f t="shared" si="12"/>
        <v>6436600</v>
      </c>
      <c r="R8" s="117">
        <f t="shared" si="12"/>
        <v>0</v>
      </c>
      <c r="S8" s="117">
        <f t="shared" si="12"/>
        <v>0</v>
      </c>
      <c r="T8" s="117">
        <f t="shared" si="12"/>
        <v>0</v>
      </c>
      <c r="U8" s="117">
        <f t="shared" si="12"/>
        <v>0</v>
      </c>
      <c r="V8" s="117">
        <f t="shared" si="12"/>
        <v>0</v>
      </c>
      <c r="W8" s="117">
        <f t="shared" si="12"/>
        <v>0</v>
      </c>
      <c r="X8" s="117">
        <f t="shared" si="12"/>
        <v>0</v>
      </c>
      <c r="Y8" s="117">
        <f t="shared" si="12"/>
        <v>0</v>
      </c>
      <c r="Z8" s="117">
        <f t="shared" si="12"/>
        <v>0</v>
      </c>
      <c r="AA8" s="117">
        <f t="shared" si="12"/>
        <v>0</v>
      </c>
      <c r="AB8" s="117">
        <f t="shared" si="12"/>
        <v>0</v>
      </c>
      <c r="AC8" s="117">
        <f t="shared" si="12"/>
        <v>0</v>
      </c>
      <c r="AD8" s="117">
        <f t="shared" si="12"/>
        <v>0</v>
      </c>
      <c r="AE8" s="117">
        <f t="shared" si="12"/>
        <v>0</v>
      </c>
      <c r="AF8" s="117">
        <f t="shared" si="12"/>
        <v>0</v>
      </c>
      <c r="AG8" s="117">
        <f t="shared" si="12"/>
        <v>0</v>
      </c>
      <c r="AH8" s="117">
        <f t="shared" si="12"/>
        <v>0</v>
      </c>
      <c r="AI8" s="117">
        <f t="shared" si="12"/>
        <v>0</v>
      </c>
      <c r="AJ8" s="117">
        <f t="shared" si="12"/>
        <v>0</v>
      </c>
      <c r="AK8" s="117">
        <f t="shared" si="12"/>
        <v>0</v>
      </c>
      <c r="AL8" s="117">
        <f t="shared" si="12"/>
        <v>0</v>
      </c>
      <c r="AM8" s="117">
        <f t="shared" si="12"/>
        <v>0</v>
      </c>
      <c r="AN8" s="117">
        <f t="shared" si="12"/>
        <v>0</v>
      </c>
      <c r="AO8" s="117">
        <f t="shared" si="12"/>
        <v>0</v>
      </c>
      <c r="AP8" s="117">
        <f t="shared" si="12"/>
        <v>0</v>
      </c>
      <c r="AQ8" s="117">
        <f t="shared" si="12"/>
        <v>0</v>
      </c>
      <c r="AR8" s="117">
        <f t="shared" si="12"/>
        <v>0</v>
      </c>
      <c r="AS8" s="117">
        <f t="shared" si="12"/>
        <v>0</v>
      </c>
      <c r="AT8" s="117">
        <f t="shared" si="12"/>
        <v>0</v>
      </c>
      <c r="AU8" s="117">
        <f t="shared" si="12"/>
        <v>0</v>
      </c>
      <c r="AV8" s="117">
        <f t="shared" si="12"/>
        <v>0</v>
      </c>
      <c r="AW8" s="117">
        <f t="shared" si="12"/>
        <v>0</v>
      </c>
      <c r="AX8" s="117">
        <f t="shared" si="12"/>
        <v>0</v>
      </c>
      <c r="AY8" s="117">
        <f t="shared" si="12"/>
        <v>0</v>
      </c>
      <c r="AZ8" s="117">
        <f t="shared" si="12"/>
        <v>0</v>
      </c>
      <c r="BA8" s="117">
        <f t="shared" si="12"/>
        <v>0</v>
      </c>
      <c r="BB8" s="117">
        <f t="shared" si="12"/>
        <v>0</v>
      </c>
      <c r="BC8" s="117">
        <f t="shared" si="12"/>
        <v>0</v>
      </c>
      <c r="BD8" s="117">
        <f t="shared" si="12"/>
        <v>0</v>
      </c>
      <c r="BE8" s="117">
        <f t="shared" si="12"/>
        <v>0</v>
      </c>
      <c r="BF8" s="117">
        <f t="shared" si="12"/>
        <v>0</v>
      </c>
      <c r="BG8" s="117">
        <f t="shared" si="12"/>
        <v>0</v>
      </c>
      <c r="BH8" s="117">
        <f t="shared" si="12"/>
        <v>0</v>
      </c>
      <c r="BI8" s="117">
        <f t="shared" si="12"/>
        <v>0</v>
      </c>
      <c r="BJ8" s="117">
        <f t="shared" si="12"/>
        <v>0</v>
      </c>
      <c r="BK8" s="117">
        <f t="shared" si="12"/>
        <v>0</v>
      </c>
      <c r="BL8" s="117">
        <f t="shared" si="12"/>
        <v>0</v>
      </c>
      <c r="BM8" s="117">
        <f t="shared" si="12"/>
        <v>0</v>
      </c>
      <c r="BN8" s="117">
        <f t="shared" si="12"/>
        <v>0</v>
      </c>
      <c r="BO8" s="117">
        <f t="shared" si="12"/>
        <v>0</v>
      </c>
      <c r="BP8" s="117">
        <f t="shared" si="12"/>
        <v>0</v>
      </c>
      <c r="BQ8" s="117">
        <f t="shared" ref="BQ8:CP8" si="13">BQ6-BQ7</f>
        <v>0</v>
      </c>
      <c r="BR8" s="117">
        <f t="shared" si="13"/>
        <v>0</v>
      </c>
      <c r="BS8" s="117">
        <f t="shared" si="13"/>
        <v>0</v>
      </c>
      <c r="BT8" s="117">
        <f t="shared" si="13"/>
        <v>0</v>
      </c>
      <c r="BU8" s="117">
        <f t="shared" si="13"/>
        <v>0</v>
      </c>
      <c r="BV8" s="117">
        <f t="shared" si="13"/>
        <v>0</v>
      </c>
      <c r="BW8" s="117">
        <f t="shared" si="13"/>
        <v>0</v>
      </c>
      <c r="BX8" s="117">
        <f t="shared" si="13"/>
        <v>0</v>
      </c>
      <c r="BY8" s="117">
        <f t="shared" si="13"/>
        <v>0</v>
      </c>
      <c r="BZ8" s="117">
        <f t="shared" si="13"/>
        <v>0</v>
      </c>
      <c r="CA8" s="117">
        <f t="shared" si="13"/>
        <v>0</v>
      </c>
      <c r="CB8" s="117">
        <f t="shared" si="13"/>
        <v>0</v>
      </c>
      <c r="CC8" s="117">
        <f t="shared" si="13"/>
        <v>0</v>
      </c>
      <c r="CD8" s="117">
        <f t="shared" si="13"/>
        <v>0</v>
      </c>
      <c r="CE8" s="117">
        <f t="shared" si="13"/>
        <v>0</v>
      </c>
      <c r="CF8" s="117">
        <f t="shared" si="13"/>
        <v>0</v>
      </c>
      <c r="CG8" s="117">
        <f t="shared" si="13"/>
        <v>0</v>
      </c>
      <c r="CH8" s="117">
        <f t="shared" si="13"/>
        <v>0</v>
      </c>
      <c r="CI8" s="117">
        <f t="shared" si="13"/>
        <v>0</v>
      </c>
      <c r="CJ8" s="117">
        <f t="shared" si="13"/>
        <v>3500000</v>
      </c>
      <c r="CK8" s="117">
        <f t="shared" si="13"/>
        <v>6293200</v>
      </c>
      <c r="CL8" s="117">
        <f t="shared" si="13"/>
        <v>3040000</v>
      </c>
      <c r="CM8" s="117">
        <f t="shared" si="13"/>
        <v>500000</v>
      </c>
      <c r="CN8" s="117">
        <f t="shared" si="13"/>
        <v>1715000</v>
      </c>
      <c r="CO8" s="117">
        <f t="shared" si="13"/>
        <v>881000</v>
      </c>
      <c r="CP8" s="117">
        <f t="shared" si="13"/>
        <v>15929200</v>
      </c>
      <c r="CQ8" s="107"/>
      <c r="CR8" s="111">
        <f t="shared" si="0"/>
        <v>1</v>
      </c>
      <c r="CS8" s="111">
        <f t="shared" si="1"/>
        <v>1</v>
      </c>
      <c r="CT8" s="111" t="e">
        <f t="shared" si="2"/>
        <v>#DIV/0!</v>
      </c>
      <c r="CU8" s="111" t="e">
        <f t="shared" si="3"/>
        <v>#DIV/0!</v>
      </c>
      <c r="CV8" s="111" t="e">
        <f t="shared" si="4"/>
        <v>#DIV/0!</v>
      </c>
      <c r="CW8" s="111" t="e">
        <f t="shared" si="5"/>
        <v>#DIV/0!</v>
      </c>
      <c r="CX8" s="111" t="e">
        <f t="shared" si="6"/>
        <v>#DIV/0!</v>
      </c>
      <c r="CY8" s="111" t="e">
        <f t="shared" si="7"/>
        <v>#DIV/0!</v>
      </c>
      <c r="CZ8" s="111" t="e">
        <f t="shared" si="8"/>
        <v>#DIV/0!</v>
      </c>
      <c r="DA8" s="111" t="e">
        <f t="shared" si="9"/>
        <v>#DIV/0!</v>
      </c>
      <c r="DB8" s="111" t="e">
        <f t="shared" si="10"/>
        <v>#DIV/0!</v>
      </c>
      <c r="DC8" s="111" t="e">
        <f t="shared" si="11"/>
        <v>#DIV/0!</v>
      </c>
    </row>
    <row r="9" spans="2:120" x14ac:dyDescent="0.2">
      <c r="B9" s="107" t="s">
        <v>478</v>
      </c>
      <c r="C9" s="191" t="s">
        <v>306</v>
      </c>
      <c r="D9" s="115">
        <f>SUMIFS(wallet_records!$D:$D,wallet_records!$B:$B,'EEFF 2026'!$C9,wallet_records!$L:$L,'EEFF 2026'!D$3,wallet_records!$O:$O,'EEFF 2026'!$B$1,wallet_records!$N:$N,'EEFF 2026'!D$2,wallet_records!$H:$H,'EEFF 2026'!$B9)</f>
        <v>0</v>
      </c>
      <c r="E9" s="115">
        <f>SUMIFS(wallet_records!$D:$D,wallet_records!$B:$B,'EEFF 2026'!$C9,wallet_records!$L:$L,'EEFF 2026'!E$3,wallet_records!$O:$O,'EEFF 2026'!$B$1,wallet_records!$N:$N,'EEFF 2026'!E$2,wallet_records!$H:$H,'EEFF 2026'!$B9)</f>
        <v>0</v>
      </c>
      <c r="F9" s="115">
        <f>SUMIFS(wallet_records!$D:$D,wallet_records!$B:$B,'EEFF 2026'!$C9,wallet_records!$L:$L,'EEFF 2026'!F$3,wallet_records!$O:$O,'EEFF 2026'!$B$1,wallet_records!$N:$N,'EEFF 2026'!F$2,wallet_records!$H:$H,'EEFF 2026'!$B9)</f>
        <v>0</v>
      </c>
      <c r="G9" s="115">
        <f>SUMIFS(wallet_records!$D:$D,wallet_records!$B:$B,'EEFF 2026'!$C9,wallet_records!$L:$L,'EEFF 2026'!G$3,wallet_records!$O:$O,'EEFF 2026'!$B$1,wallet_records!$N:$N,'EEFF 2026'!G$2,wallet_records!$H:$H,'EEFF 2026'!$B9)</f>
        <v>0</v>
      </c>
      <c r="H9" s="115">
        <f>SUMIFS(wallet_records!$D:$D,wallet_records!$B:$B,'EEFF 2026'!$C9,wallet_records!$L:$L,'EEFF 2026'!H$3,wallet_records!$O:$O,'EEFF 2026'!$B$1,wallet_records!$N:$N,'EEFF 2026'!H$2,wallet_records!$H:$H,'EEFF 2026'!$B9)</f>
        <v>0</v>
      </c>
      <c r="I9" s="115">
        <f>SUMIFS(wallet_records!$D:$D,wallet_records!$B:$B,'EEFF 2026'!$C9,wallet_records!$L:$L,'EEFF 2026'!I$3,wallet_records!$O:$O,'EEFF 2026'!$B$1,wallet_records!$N:$N,'EEFF 2026'!I$2,wallet_records!$H:$H,'EEFF 2026'!$B9)</f>
        <v>0</v>
      </c>
      <c r="J9" s="116">
        <f t="shared" ref="J9:J14" si="14">SUM(D9:I9)</f>
        <v>0</v>
      </c>
      <c r="K9" s="115">
        <f>SUMIFS(wallet_records!$D:$D,wallet_records!$B:$B,'EEFF 2026'!$C9,wallet_records!$L:$L,'EEFF 2026'!K$3,wallet_records!$O:$O,'EEFF 2026'!$B$1,wallet_records!$N:$N,'EEFF 2026'!K$2,wallet_records!$H:$H,'EEFF 2026'!$B9)</f>
        <v>0</v>
      </c>
      <c r="L9" s="115">
        <f>SUMIFS(wallet_records!$D:$D,wallet_records!$B:$B,'EEFF 2026'!$C9,wallet_records!$L:$L,'EEFF 2026'!L$3,wallet_records!$O:$O,'EEFF 2026'!$B$1,wallet_records!$N:$N,'EEFF 2026'!L$2,wallet_records!$H:$H,'EEFF 2026'!$B9)</f>
        <v>0</v>
      </c>
      <c r="M9" s="115">
        <f>SUMIFS(wallet_records!$D:$D,wallet_records!$B:$B,'EEFF 2026'!$C9,wallet_records!$L:$L,'EEFF 2026'!M$3,wallet_records!$O:$O,'EEFF 2026'!$B$1,wallet_records!$N:$N,'EEFF 2026'!M$2,wallet_records!$H:$H,'EEFF 2026'!$B9)</f>
        <v>0</v>
      </c>
      <c r="N9" s="115">
        <f>SUMIFS(wallet_records!$D:$D,wallet_records!$B:$B,'EEFF 2026'!$C9,wallet_records!$L:$L,'EEFF 2026'!N$3,wallet_records!$O:$O,'EEFF 2026'!$B$1,wallet_records!$N:$N,'EEFF 2026'!N$2,wallet_records!$H:$H,'EEFF 2026'!$B9)</f>
        <v>0</v>
      </c>
      <c r="O9" s="115">
        <f>SUMIFS(wallet_records!$D:$D,wallet_records!$B:$B,'EEFF 2026'!$C9,wallet_records!$L:$L,'EEFF 2026'!O$3,wallet_records!$O:$O,'EEFF 2026'!$B$1,wallet_records!$N:$N,'EEFF 2026'!O$2,wallet_records!$H:$H,'EEFF 2026'!$B9)</f>
        <v>0</v>
      </c>
      <c r="P9" s="115">
        <f>SUMIFS(wallet_records!$D:$D,wallet_records!$B:$B,'EEFF 2026'!$C9,wallet_records!$L:$L,'EEFF 2026'!P$3,wallet_records!$O:$O,'EEFF 2026'!$B$1,wallet_records!$N:$N,'EEFF 2026'!P$2,wallet_records!$H:$H,'EEFF 2026'!$B9)</f>
        <v>0</v>
      </c>
      <c r="Q9" s="116">
        <f t="shared" ref="Q9:Q14" si="15">SUM(K9:P9)</f>
        <v>0</v>
      </c>
      <c r="R9" s="115">
        <f>SUMIFS(wallet_records!$D:$D,wallet_records!$B:$B,'EEFF 2026'!$C9,wallet_records!$L:$L,'EEFF 2026'!R$3,wallet_records!$O:$O,'EEFF 2026'!$B$1,wallet_records!$N:$N,'EEFF 2026'!R$2,wallet_records!$H:$H,'EEFF 2026'!$B9)</f>
        <v>0</v>
      </c>
      <c r="S9" s="115">
        <f>SUMIFS(wallet_records!$D:$D,wallet_records!$B:$B,'EEFF 2026'!$C9,wallet_records!$L:$L,'EEFF 2026'!S$3,wallet_records!$O:$O,'EEFF 2026'!$B$1,wallet_records!$N:$N,'EEFF 2026'!S$2,wallet_records!$H:$H,'EEFF 2026'!$B9)</f>
        <v>0</v>
      </c>
      <c r="T9" s="115">
        <f>SUMIFS(wallet_records!$D:$D,wallet_records!$B:$B,'EEFF 2026'!$C9,wallet_records!$L:$L,'EEFF 2026'!T$3,wallet_records!$O:$O,'EEFF 2026'!$B$1,wallet_records!$N:$N,'EEFF 2026'!T$2,wallet_records!$H:$H,'EEFF 2026'!$B9)</f>
        <v>0</v>
      </c>
      <c r="U9" s="115">
        <f>SUMIFS(wallet_records!$D:$D,wallet_records!$B:$B,'EEFF 2026'!$C9,wallet_records!$L:$L,'EEFF 2026'!U$3,wallet_records!$O:$O,'EEFF 2026'!$B$1,wallet_records!$N:$N,'EEFF 2026'!U$2,wallet_records!$H:$H,'EEFF 2026'!$B9)</f>
        <v>0</v>
      </c>
      <c r="V9" s="115">
        <f>SUMIFS(wallet_records!$D:$D,wallet_records!$B:$B,'EEFF 2026'!$C9,wallet_records!$L:$L,'EEFF 2026'!V$3,wallet_records!$O:$O,'EEFF 2026'!$B$1,wallet_records!$N:$N,'EEFF 2026'!V$2,wallet_records!$H:$H,'EEFF 2026'!$B9)</f>
        <v>0</v>
      </c>
      <c r="W9" s="115">
        <f>SUMIFS(wallet_records!$D:$D,wallet_records!$B:$B,'EEFF 2026'!$C9,wallet_records!$L:$L,'EEFF 2026'!W$3,wallet_records!$O:$O,'EEFF 2026'!$B$1,wallet_records!$N:$N,'EEFF 2026'!W$2,wallet_records!$H:$H,'EEFF 2026'!$B9)</f>
        <v>0</v>
      </c>
      <c r="X9" s="116">
        <f t="shared" ref="X9:X14" si="16">SUM(R9:W9)</f>
        <v>0</v>
      </c>
      <c r="Y9" s="115">
        <f>SUMIFS(wallet_records!$D:$D,wallet_records!$B:$B,'EEFF 2026'!$C9,wallet_records!$L:$L,'EEFF 2026'!Y$3,wallet_records!$O:$O,'EEFF 2026'!$B$1,wallet_records!$N:$N,'EEFF 2026'!Y$2,wallet_records!$H:$H,'EEFF 2026'!$B9)</f>
        <v>0</v>
      </c>
      <c r="Z9" s="115">
        <f>SUMIFS(wallet_records!$D:$D,wallet_records!$B:$B,'EEFF 2026'!$C9,wallet_records!$L:$L,'EEFF 2026'!Z$3,wallet_records!$O:$O,'EEFF 2026'!$B$1,wallet_records!$N:$N,'EEFF 2026'!Z$2,wallet_records!$H:$H,'EEFF 2026'!$B9)</f>
        <v>0</v>
      </c>
      <c r="AA9" s="115">
        <f>SUMIFS(wallet_records!$D:$D,wallet_records!$B:$B,'EEFF 2026'!$C9,wallet_records!$L:$L,'EEFF 2026'!AA$3,wallet_records!$O:$O,'EEFF 2026'!$B$1,wallet_records!$N:$N,'EEFF 2026'!AA$2,wallet_records!$H:$H,'EEFF 2026'!$B9)</f>
        <v>0</v>
      </c>
      <c r="AB9" s="115">
        <f>SUMIFS(wallet_records!$D:$D,wallet_records!$B:$B,'EEFF 2026'!$C9,wallet_records!$L:$L,'EEFF 2026'!AB$3,wallet_records!$O:$O,'EEFF 2026'!$B$1,wallet_records!$N:$N,'EEFF 2026'!AB$2,wallet_records!$H:$H,'EEFF 2026'!$B9)</f>
        <v>0</v>
      </c>
      <c r="AC9" s="115">
        <f>SUMIFS(wallet_records!$D:$D,wallet_records!$B:$B,'EEFF 2026'!$C9,wallet_records!$L:$L,'EEFF 2026'!AC$3,wallet_records!$O:$O,'EEFF 2026'!$B$1,wallet_records!$N:$N,'EEFF 2026'!AC$2,wallet_records!$H:$H,'EEFF 2026'!$B9)</f>
        <v>0</v>
      </c>
      <c r="AD9" s="115">
        <f>SUMIFS(wallet_records!$D:$D,wallet_records!$B:$B,'EEFF 2026'!$C9,wallet_records!$L:$L,'EEFF 2026'!AD$3,wallet_records!$O:$O,'EEFF 2026'!$B$1,wallet_records!$N:$N,'EEFF 2026'!AD$2,wallet_records!$H:$H,'EEFF 2026'!$B9)</f>
        <v>0</v>
      </c>
      <c r="AE9" s="116">
        <f t="shared" ref="AE9:AE14" si="17">SUM(Y9:AD9)</f>
        <v>0</v>
      </c>
      <c r="AF9" s="115">
        <f>SUMIFS(wallet_records!$D:$D,wallet_records!$B:$B,'EEFF 2026'!$C9,wallet_records!$L:$L,'EEFF 2026'!AF$3,wallet_records!$O:$O,'EEFF 2026'!$B$1,wallet_records!$N:$N,'EEFF 2026'!AF$2,wallet_records!$H:$H,'EEFF 2026'!$B9)</f>
        <v>0</v>
      </c>
      <c r="AG9" s="115">
        <f>SUMIFS(wallet_records!$D:$D,wallet_records!$B:$B,'EEFF 2026'!$C9,wallet_records!$L:$L,'EEFF 2026'!AG$3,wallet_records!$O:$O,'EEFF 2026'!$B$1,wallet_records!$N:$N,'EEFF 2026'!AG$2,wallet_records!$H:$H,'EEFF 2026'!$B9)</f>
        <v>0</v>
      </c>
      <c r="AH9" s="115">
        <f>SUMIFS(wallet_records!$D:$D,wallet_records!$B:$B,'EEFF 2026'!$C9,wallet_records!$L:$L,'EEFF 2026'!AH$3,wallet_records!$O:$O,'EEFF 2026'!$B$1,wallet_records!$N:$N,'EEFF 2026'!AH$2,wallet_records!$H:$H,'EEFF 2026'!$B9)</f>
        <v>0</v>
      </c>
      <c r="AI9" s="115">
        <f>SUMIFS(wallet_records!$D:$D,wallet_records!$B:$B,'EEFF 2026'!$C9,wallet_records!$L:$L,'EEFF 2026'!AI$3,wallet_records!$O:$O,'EEFF 2026'!$B$1,wallet_records!$N:$N,'EEFF 2026'!AI$2,wallet_records!$H:$H,'EEFF 2026'!$B9)</f>
        <v>0</v>
      </c>
      <c r="AJ9" s="115">
        <f>SUMIFS(wallet_records!$D:$D,wallet_records!$B:$B,'EEFF 2026'!$C9,wallet_records!$L:$L,'EEFF 2026'!AJ$3,wallet_records!$O:$O,'EEFF 2026'!$B$1,wallet_records!$N:$N,'EEFF 2026'!AJ$2,wallet_records!$H:$H,'EEFF 2026'!$B9)</f>
        <v>0</v>
      </c>
      <c r="AK9" s="115">
        <f>SUMIFS(wallet_records!$D:$D,wallet_records!$B:$B,'EEFF 2026'!$C9,wallet_records!$L:$L,'EEFF 2026'!AK$3,wallet_records!$O:$O,'EEFF 2026'!$B$1,wallet_records!$N:$N,'EEFF 2026'!AK$2,wallet_records!$H:$H,'EEFF 2026'!$B9)</f>
        <v>0</v>
      </c>
      <c r="AL9" s="116">
        <f t="shared" ref="AL9:AL14" si="18">SUM(AF9:AK9)</f>
        <v>0</v>
      </c>
      <c r="AM9" s="115">
        <f>SUMIFS(wallet_records!$D:$D,wallet_records!$B:$B,'EEFF 2026'!$C9,wallet_records!$L:$L,'EEFF 2026'!AM$3,wallet_records!$O:$O,'EEFF 2026'!$B$1,wallet_records!$N:$N,'EEFF 2026'!AM$2,wallet_records!$H:$H,'EEFF 2026'!$B9)</f>
        <v>0</v>
      </c>
      <c r="AN9" s="115">
        <f>SUMIFS(wallet_records!$D:$D,wallet_records!$B:$B,'EEFF 2026'!$C9,wallet_records!$L:$L,'EEFF 2026'!AN$3,wallet_records!$O:$O,'EEFF 2026'!$B$1,wallet_records!$N:$N,'EEFF 2026'!AN$2,wallet_records!$H:$H,'EEFF 2026'!$B9)</f>
        <v>0</v>
      </c>
      <c r="AO9" s="115">
        <f>SUMIFS(wallet_records!$D:$D,wallet_records!$B:$B,'EEFF 2026'!$C9,wallet_records!$L:$L,'EEFF 2026'!AO$3,wallet_records!$O:$O,'EEFF 2026'!$B$1,wallet_records!$N:$N,'EEFF 2026'!AO$2,wallet_records!$H:$H,'EEFF 2026'!$B9)</f>
        <v>0</v>
      </c>
      <c r="AP9" s="115">
        <f>SUMIFS(wallet_records!$D:$D,wallet_records!$B:$B,'EEFF 2026'!$C9,wallet_records!$L:$L,'EEFF 2026'!AP$3,wallet_records!$O:$O,'EEFF 2026'!$B$1,wallet_records!$N:$N,'EEFF 2026'!AP$2,wallet_records!$H:$H,'EEFF 2026'!$B9)</f>
        <v>0</v>
      </c>
      <c r="AQ9" s="115">
        <f>SUMIFS(wallet_records!$D:$D,wallet_records!$B:$B,'EEFF 2026'!$C9,wallet_records!$L:$L,'EEFF 2026'!AQ$3,wallet_records!$O:$O,'EEFF 2026'!$B$1,wallet_records!$N:$N,'EEFF 2026'!AQ$2,wallet_records!$H:$H,'EEFF 2026'!$B9)</f>
        <v>0</v>
      </c>
      <c r="AR9" s="115">
        <f>SUMIFS(wallet_records!$D:$D,wallet_records!$B:$B,'EEFF 2026'!$C9,wallet_records!$L:$L,'EEFF 2026'!AR$3,wallet_records!$O:$O,'EEFF 2026'!$B$1,wallet_records!$N:$N,'EEFF 2026'!AR$2,wallet_records!$H:$H,'EEFF 2026'!$B9)</f>
        <v>0</v>
      </c>
      <c r="AS9" s="116">
        <f t="shared" ref="AS9:AS14" si="19">SUM(AM9:AR9)</f>
        <v>0</v>
      </c>
      <c r="AT9" s="115">
        <f>SUMIFS(wallet_records!$D:$D,wallet_records!$B:$B,'EEFF 2026'!$C9,wallet_records!$L:$L,'EEFF 2026'!AT$3,wallet_records!$O:$O,'EEFF 2026'!$B$1,wallet_records!$N:$N,'EEFF 2026'!AT$2,wallet_records!$H:$H,'EEFF 2026'!$B9)</f>
        <v>0</v>
      </c>
      <c r="AU9" s="115">
        <f>SUMIFS(wallet_records!$D:$D,wallet_records!$B:$B,'EEFF 2026'!$C9,wallet_records!$L:$L,'EEFF 2026'!AU$3,wallet_records!$O:$O,'EEFF 2026'!$B$1,wallet_records!$N:$N,'EEFF 2026'!AU$2,wallet_records!$H:$H,'EEFF 2026'!$B9)</f>
        <v>0</v>
      </c>
      <c r="AV9" s="115">
        <f>SUMIFS(wallet_records!$D:$D,wallet_records!$B:$B,'EEFF 2026'!$C9,wallet_records!$L:$L,'EEFF 2026'!AV$3,wallet_records!$O:$O,'EEFF 2026'!$B$1,wallet_records!$N:$N,'EEFF 2026'!AV$2,wallet_records!$H:$H,'EEFF 2026'!$B9)</f>
        <v>0</v>
      </c>
      <c r="AW9" s="115">
        <f>SUMIFS(wallet_records!$D:$D,wallet_records!$B:$B,'EEFF 2026'!$C9,wallet_records!$L:$L,'EEFF 2026'!AW$3,wallet_records!$O:$O,'EEFF 2026'!$B$1,wallet_records!$N:$N,'EEFF 2026'!AW$2,wallet_records!$H:$H,'EEFF 2026'!$B9)</f>
        <v>0</v>
      </c>
      <c r="AX9" s="115">
        <f>SUMIFS(wallet_records!$D:$D,wallet_records!$B:$B,'EEFF 2026'!$C9,wallet_records!$L:$L,'EEFF 2026'!AX$3,wallet_records!$O:$O,'EEFF 2026'!$B$1,wallet_records!$N:$N,'EEFF 2026'!AX$2,wallet_records!$H:$H,'EEFF 2026'!$B9)</f>
        <v>0</v>
      </c>
      <c r="AY9" s="115">
        <f>SUMIFS(wallet_records!$D:$D,wallet_records!$B:$B,'EEFF 2026'!$C9,wallet_records!$L:$L,'EEFF 2026'!AY$3,wallet_records!$O:$O,'EEFF 2026'!$B$1,wallet_records!$N:$N,'EEFF 2026'!AY$2,wallet_records!$H:$H,'EEFF 2026'!$B9)</f>
        <v>0</v>
      </c>
      <c r="AZ9" s="116">
        <f t="shared" ref="AZ9:AZ14" si="20">SUM(AT9:AY9)</f>
        <v>0</v>
      </c>
      <c r="BA9" s="115">
        <f>SUMIFS(wallet_records!$D:$D,wallet_records!$B:$B,'EEFF 2026'!$C9,wallet_records!$L:$L,'EEFF 2026'!BA$3,wallet_records!$O:$O,'EEFF 2026'!$B$1,wallet_records!$N:$N,'EEFF 2026'!BA$2,wallet_records!$H:$H,'EEFF 2026'!$B9)</f>
        <v>0</v>
      </c>
      <c r="BB9" s="115">
        <f>SUMIFS(wallet_records!$D:$D,wallet_records!$B:$B,'EEFF 2026'!$C9,wallet_records!$L:$L,'EEFF 2026'!BB$3,wallet_records!$O:$O,'EEFF 2026'!$B$1,wallet_records!$N:$N,'EEFF 2026'!BB$2,wallet_records!$H:$H,'EEFF 2026'!$B9)</f>
        <v>0</v>
      </c>
      <c r="BC9" s="115">
        <f>SUMIFS(wallet_records!$D:$D,wallet_records!$B:$B,'EEFF 2026'!$C9,wallet_records!$L:$L,'EEFF 2026'!BC$3,wallet_records!$O:$O,'EEFF 2026'!$B$1,wallet_records!$N:$N,'EEFF 2026'!BC$2,wallet_records!$H:$H,'EEFF 2026'!$B9)</f>
        <v>0</v>
      </c>
      <c r="BD9" s="115">
        <f>SUMIFS(wallet_records!$D:$D,wallet_records!$B:$B,'EEFF 2026'!$C9,wallet_records!$L:$L,'EEFF 2026'!BD$3,wallet_records!$O:$O,'EEFF 2026'!$B$1,wallet_records!$N:$N,'EEFF 2026'!BD$2,wallet_records!$H:$H,'EEFF 2026'!$B9)</f>
        <v>0</v>
      </c>
      <c r="BE9" s="115">
        <f>SUMIFS(wallet_records!$D:$D,wallet_records!$B:$B,'EEFF 2026'!$C9,wallet_records!$L:$L,'EEFF 2026'!BE$3,wallet_records!$O:$O,'EEFF 2026'!$B$1,wallet_records!$N:$N,'EEFF 2026'!BE$2,wallet_records!$H:$H,'EEFF 2026'!$B9)</f>
        <v>0</v>
      </c>
      <c r="BF9" s="115">
        <f>SUMIFS(wallet_records!$D:$D,wallet_records!$B:$B,'EEFF 2026'!$C9,wallet_records!$L:$L,'EEFF 2026'!BF$3,wallet_records!$O:$O,'EEFF 2026'!$B$1,wallet_records!$N:$N,'EEFF 2026'!BF$2,wallet_records!$H:$H,'EEFF 2026'!$B9)</f>
        <v>0</v>
      </c>
      <c r="BG9" s="116">
        <f t="shared" ref="BG9:BG14" si="21">SUM(BA9:BF9)</f>
        <v>0</v>
      </c>
      <c r="BH9" s="115">
        <f>SUMIFS(wallet_records!$D:$D,wallet_records!$B:$B,'EEFF 2026'!$C9,wallet_records!$L:$L,'EEFF 2026'!BH$3,wallet_records!$O:$O,'EEFF 2026'!$B$1,wallet_records!$N:$N,'EEFF 2026'!BH$2,wallet_records!$H:$H,'EEFF 2026'!$B9)</f>
        <v>0</v>
      </c>
      <c r="BI9" s="115">
        <f>SUMIFS(wallet_records!$D:$D,wallet_records!$B:$B,'EEFF 2026'!$C9,wallet_records!$L:$L,'EEFF 2026'!BI$3,wallet_records!$O:$O,'EEFF 2026'!$B$1,wallet_records!$N:$N,'EEFF 2026'!BI$2,wallet_records!$H:$H,'EEFF 2026'!$B9)</f>
        <v>0</v>
      </c>
      <c r="BJ9" s="115">
        <f>SUMIFS(wallet_records!$D:$D,wallet_records!$B:$B,'EEFF 2026'!$C9,wallet_records!$L:$L,'EEFF 2026'!BJ$3,wallet_records!$O:$O,'EEFF 2026'!$B$1,wallet_records!$N:$N,'EEFF 2026'!BJ$2,wallet_records!$H:$H,'EEFF 2026'!$B9)</f>
        <v>0</v>
      </c>
      <c r="BK9" s="115">
        <f>SUMIFS(wallet_records!$D:$D,wallet_records!$B:$B,'EEFF 2026'!$C9,wallet_records!$L:$L,'EEFF 2026'!BK$3,wallet_records!$O:$O,'EEFF 2026'!$B$1,wallet_records!$N:$N,'EEFF 2026'!BK$2,wallet_records!$H:$H,'EEFF 2026'!$B9)</f>
        <v>0</v>
      </c>
      <c r="BL9" s="115">
        <f>SUMIFS(wallet_records!$D:$D,wallet_records!$B:$B,'EEFF 2026'!$C9,wallet_records!$L:$L,'EEFF 2026'!BL$3,wallet_records!$O:$O,'EEFF 2026'!$B$1,wallet_records!$N:$N,'EEFF 2026'!BL$2,wallet_records!$H:$H,'EEFF 2026'!$B9)</f>
        <v>0</v>
      </c>
      <c r="BM9" s="115">
        <f>SUMIFS(wallet_records!$D:$D,wallet_records!$B:$B,'EEFF 2026'!$C9,wallet_records!$L:$L,'EEFF 2026'!BM$3,wallet_records!$O:$O,'EEFF 2026'!$B$1,wallet_records!$N:$N,'EEFF 2026'!BM$2,wallet_records!$H:$H,'EEFF 2026'!$B9)</f>
        <v>0</v>
      </c>
      <c r="BN9" s="116">
        <f t="shared" ref="BN9:BN14" si="22">SUM(BH9:BM9)</f>
        <v>0</v>
      </c>
      <c r="BO9" s="115">
        <f>SUMIFS(wallet_records!$D:$D,wallet_records!$B:$B,'EEFF 2026'!$C9,wallet_records!$L:$L,'EEFF 2026'!BO$3,wallet_records!$O:$O,'EEFF 2026'!$B$1,wallet_records!$N:$N,'EEFF 2026'!BO$2,wallet_records!$H:$H,'EEFF 2026'!$B9)</f>
        <v>0</v>
      </c>
      <c r="BP9" s="115">
        <f>SUMIFS(wallet_records!$D:$D,wallet_records!$B:$B,'EEFF 2026'!$C9,wallet_records!$L:$L,'EEFF 2026'!BP$3,wallet_records!$O:$O,'EEFF 2026'!$B$1,wallet_records!$N:$N,'EEFF 2026'!BP$2,wallet_records!$H:$H,'EEFF 2026'!$B9)</f>
        <v>0</v>
      </c>
      <c r="BQ9" s="115">
        <f>SUMIFS(wallet_records!$D:$D,wallet_records!$B:$B,'EEFF 2026'!$C9,wallet_records!$L:$L,'EEFF 2026'!BQ$3,wallet_records!$O:$O,'EEFF 2026'!$B$1,wallet_records!$N:$N,'EEFF 2026'!BQ$2,wallet_records!$H:$H,'EEFF 2026'!$B9)</f>
        <v>0</v>
      </c>
      <c r="BR9" s="115">
        <f>SUMIFS(wallet_records!$D:$D,wallet_records!$B:$B,'EEFF 2026'!$C9,wallet_records!$L:$L,'EEFF 2026'!BR$3,wallet_records!$O:$O,'EEFF 2026'!$B$1,wallet_records!$N:$N,'EEFF 2026'!BR$2,wallet_records!$H:$H,'EEFF 2026'!$B9)</f>
        <v>0</v>
      </c>
      <c r="BS9" s="115">
        <f>SUMIFS(wallet_records!$D:$D,wallet_records!$B:$B,'EEFF 2026'!$C9,wallet_records!$L:$L,'EEFF 2026'!BS$3,wallet_records!$O:$O,'EEFF 2026'!$B$1,wallet_records!$N:$N,'EEFF 2026'!BS$2,wallet_records!$H:$H,'EEFF 2026'!$B9)</f>
        <v>0</v>
      </c>
      <c r="BT9" s="115">
        <f>SUMIFS(wallet_records!$D:$D,wallet_records!$B:$B,'EEFF 2026'!$C9,wallet_records!$L:$L,'EEFF 2026'!BT$3,wallet_records!$O:$O,'EEFF 2026'!$B$1,wallet_records!$N:$N,'EEFF 2026'!BT$2,wallet_records!$H:$H,'EEFF 2026'!$B9)</f>
        <v>0</v>
      </c>
      <c r="BU9" s="116">
        <f t="shared" ref="BU9:BU14" si="23">SUM(BO9:BT9)</f>
        <v>0</v>
      </c>
      <c r="BV9" s="115">
        <f>SUMIFS(wallet_records!$D:$D,wallet_records!$B:$B,'EEFF 2026'!$C9,wallet_records!$L:$L,'EEFF 2026'!BV$3,wallet_records!$O:$O,'EEFF 2026'!$B$1,wallet_records!$N:$N,'EEFF 2026'!BV$2,wallet_records!$H:$H,'EEFF 2026'!$B9)</f>
        <v>0</v>
      </c>
      <c r="BW9" s="115">
        <f>SUMIFS(wallet_records!$D:$D,wallet_records!$B:$B,'EEFF 2026'!$C9,wallet_records!$L:$L,'EEFF 2026'!BW$3,wallet_records!$O:$O,'EEFF 2026'!$B$1,wallet_records!$N:$N,'EEFF 2026'!BW$2,wallet_records!$H:$H,'EEFF 2026'!$B9)</f>
        <v>0</v>
      </c>
      <c r="BX9" s="115">
        <f>SUMIFS(wallet_records!$D:$D,wallet_records!$B:$B,'EEFF 2026'!$C9,wallet_records!$L:$L,'EEFF 2026'!BX$3,wallet_records!$O:$O,'EEFF 2026'!$B$1,wallet_records!$N:$N,'EEFF 2026'!BX$2,wallet_records!$H:$H,'EEFF 2026'!$B9)</f>
        <v>0</v>
      </c>
      <c r="BY9" s="115">
        <f>SUMIFS(wallet_records!$D:$D,wallet_records!$B:$B,'EEFF 2026'!$C9,wallet_records!$L:$L,'EEFF 2026'!BY$3,wallet_records!$O:$O,'EEFF 2026'!$B$1,wallet_records!$N:$N,'EEFF 2026'!BY$2,wallet_records!$H:$H,'EEFF 2026'!$B9)</f>
        <v>0</v>
      </c>
      <c r="BZ9" s="115">
        <f>SUMIFS(wallet_records!$D:$D,wallet_records!$B:$B,'EEFF 2026'!$C9,wallet_records!$L:$L,'EEFF 2026'!BZ$3,wallet_records!$O:$O,'EEFF 2026'!$B$1,wallet_records!$N:$N,'EEFF 2026'!BZ$2,wallet_records!$H:$H,'EEFF 2026'!$B9)</f>
        <v>0</v>
      </c>
      <c r="CA9" s="115">
        <f>SUMIFS(wallet_records!$D:$D,wallet_records!$B:$B,'EEFF 2026'!$C9,wallet_records!$L:$L,'EEFF 2026'!CA$3,wallet_records!$O:$O,'EEFF 2026'!$B$1,wallet_records!$N:$N,'EEFF 2026'!CA$2,wallet_records!$H:$H,'EEFF 2026'!$B9)</f>
        <v>0</v>
      </c>
      <c r="CB9" s="116">
        <f t="shared" ref="CB9:CB14" si="24">SUM(BV9:CA9)</f>
        <v>0</v>
      </c>
      <c r="CC9" s="115">
        <f>SUMIFS(wallet_records!$D:$D,wallet_records!$B:$B,'EEFF 2026'!$C9,wallet_records!$L:$L,'EEFF 2026'!CC$3,wallet_records!$O:$O,'EEFF 2026'!$B$1,wallet_records!$N:$N,'EEFF 2026'!CC$2,wallet_records!$H:$H,'EEFF 2026'!$B9)</f>
        <v>0</v>
      </c>
      <c r="CD9" s="115">
        <f>SUMIFS(wallet_records!$D:$D,wallet_records!$B:$B,'EEFF 2026'!$C9,wallet_records!$L:$L,'EEFF 2026'!CD$3,wallet_records!$O:$O,'EEFF 2026'!$B$1,wallet_records!$N:$N,'EEFF 2026'!CD$2,wallet_records!$H:$H,'EEFF 2026'!$B9)</f>
        <v>0</v>
      </c>
      <c r="CE9" s="115">
        <f>SUMIFS(wallet_records!$D:$D,wallet_records!$B:$B,'EEFF 2026'!$C9,wallet_records!$L:$L,'EEFF 2026'!CE$3,wallet_records!$O:$O,'EEFF 2026'!$B$1,wallet_records!$N:$N,'EEFF 2026'!CE$2,wallet_records!$H:$H,'EEFF 2026'!$B9)</f>
        <v>0</v>
      </c>
      <c r="CF9" s="115">
        <f>SUMIFS(wallet_records!$D:$D,wallet_records!$B:$B,'EEFF 2026'!$C9,wallet_records!$L:$L,'EEFF 2026'!CF$3,wallet_records!$O:$O,'EEFF 2026'!$B$1,wallet_records!$N:$N,'EEFF 2026'!CF$2,wallet_records!$H:$H,'EEFF 2026'!$B9)</f>
        <v>0</v>
      </c>
      <c r="CG9" s="115">
        <f>SUMIFS(wallet_records!$D:$D,wallet_records!$B:$B,'EEFF 2026'!$C9,wallet_records!$L:$L,'EEFF 2026'!CG$3,wallet_records!$O:$O,'EEFF 2026'!$B$1,wallet_records!$N:$N,'EEFF 2026'!CG$2,wallet_records!$H:$H,'EEFF 2026'!$B9)</f>
        <v>0</v>
      </c>
      <c r="CH9" s="115">
        <f>SUMIFS(wallet_records!$D:$D,wallet_records!$B:$B,'EEFF 2026'!$C9,wallet_records!$L:$L,'EEFF 2026'!CH$3,wallet_records!$O:$O,'EEFF 2026'!$B$1,wallet_records!$N:$N,'EEFF 2026'!CH$2,wallet_records!$H:$H,'EEFF 2026'!$B9)</f>
        <v>0</v>
      </c>
      <c r="CI9" s="116">
        <f t="shared" ref="CI9:CI14" si="25">SUM(CC9:CH9)</f>
        <v>0</v>
      </c>
      <c r="CJ9" s="115">
        <f>SUMIFS(wallet_records!$D:$D,wallet_records!$B:$B,'EEFF 2026'!$C9,wallet_records!$L:$L,'EEFF 2026'!CJ$3,wallet_records!$O:$O,'EEFF 2026'!$B$1,wallet_records!$H:$H,'EEFF 2026'!$B9)</f>
        <v>0</v>
      </c>
      <c r="CK9" s="115">
        <f>SUMIFS(wallet_records!$D:$D,wallet_records!$B:$B,'EEFF 2026'!$C9,wallet_records!$L:$L,'EEFF 2026'!CK$3,wallet_records!$O:$O,'EEFF 2026'!$B$1,wallet_records!$H:$H,'EEFF 2026'!$B9)</f>
        <v>0</v>
      </c>
      <c r="CL9" s="115">
        <f>SUMIFS(wallet_records!$D:$D,wallet_records!$B:$B,'EEFF 2026'!$C9,wallet_records!$L:$L,'EEFF 2026'!CL$3,wallet_records!$O:$O,'EEFF 2026'!$B$1,wallet_records!$H:$H,'EEFF 2026'!$B9)</f>
        <v>0</v>
      </c>
      <c r="CM9" s="115">
        <f>SUMIFS(wallet_records!$D:$D,wallet_records!$B:$B,'EEFF 2026'!$C9,wallet_records!$L:$L,'EEFF 2026'!CM$3,wallet_records!$O:$O,'EEFF 2026'!$B$1,wallet_records!$H:$H,'EEFF 2026'!$B9)</f>
        <v>0</v>
      </c>
      <c r="CN9" s="115">
        <f>SUMIFS(wallet_records!$D:$D,wallet_records!$B:$B,'EEFF 2026'!$C9,wallet_records!$L:$L,'EEFF 2026'!CN$3,wallet_records!$O:$O,'EEFF 2026'!$B$1,wallet_records!$H:$H,'EEFF 2026'!$B9)</f>
        <v>0</v>
      </c>
      <c r="CO9" s="115">
        <f>SUMIFS(wallet_records!$D:$D,wallet_records!$B:$B,'EEFF 2026'!$C9,wallet_records!$L:$L,'EEFF 2026'!CO$3,wallet_records!$O:$O,'EEFF 2026'!$B$1,wallet_records!$H:$H,'EEFF 2026'!$B9)</f>
        <v>0</v>
      </c>
      <c r="CP9" s="116">
        <f t="shared" ref="CP9:CP14" si="26">SUM(CJ9:CO9)</f>
        <v>0</v>
      </c>
      <c r="CQ9" s="107"/>
      <c r="CR9" s="118">
        <f t="shared" si="0"/>
        <v>0</v>
      </c>
      <c r="CS9" s="118">
        <f t="shared" si="1"/>
        <v>0</v>
      </c>
      <c r="CT9" s="118" t="e">
        <f t="shared" si="2"/>
        <v>#DIV/0!</v>
      </c>
      <c r="CU9" s="118" t="e">
        <f t="shared" si="3"/>
        <v>#DIV/0!</v>
      </c>
      <c r="CV9" s="118" t="e">
        <f t="shared" si="4"/>
        <v>#DIV/0!</v>
      </c>
      <c r="CW9" s="118" t="e">
        <f t="shared" si="5"/>
        <v>#DIV/0!</v>
      </c>
      <c r="CX9" s="118" t="e">
        <f t="shared" si="6"/>
        <v>#DIV/0!</v>
      </c>
      <c r="CY9" s="118" t="e">
        <f t="shared" si="7"/>
        <v>#DIV/0!</v>
      </c>
      <c r="CZ9" s="118" t="e">
        <f t="shared" si="8"/>
        <v>#DIV/0!</v>
      </c>
      <c r="DA9" s="118" t="e">
        <f t="shared" si="9"/>
        <v>#DIV/0!</v>
      </c>
      <c r="DB9" s="118" t="e">
        <f t="shared" si="10"/>
        <v>#DIV/0!</v>
      </c>
      <c r="DC9" s="118" t="e">
        <f t="shared" si="11"/>
        <v>#DIV/0!</v>
      </c>
    </row>
    <row r="10" spans="2:120" x14ac:dyDescent="0.2">
      <c r="B10" s="107" t="s">
        <v>118</v>
      </c>
      <c r="C10" s="191" t="s">
        <v>114</v>
      </c>
      <c r="D10" s="115">
        <f>SUMIFS(wallet_records!$D:$D,wallet_records!$B:$B,'EEFF 2026'!$C10,wallet_records!$L:$L,'EEFF 2026'!D$3,wallet_records!$O:$O,'EEFF 2026'!$B$1,wallet_records!$N:$N,'EEFF 2026'!D$2,wallet_records!$H:$H,'EEFF 2026'!$B10)</f>
        <v>0</v>
      </c>
      <c r="E10" s="115">
        <f>SUMIFS(wallet_records!$D:$D,wallet_records!$B:$B,'EEFF 2026'!$C10,wallet_records!$L:$L,'EEFF 2026'!E$3,wallet_records!$O:$O,'EEFF 2026'!$B$1,wallet_records!$N:$N,'EEFF 2026'!E$2,wallet_records!$H:$H,'EEFF 2026'!$B10)</f>
        <v>0</v>
      </c>
      <c r="F10" s="115">
        <f>SUMIFS(wallet_records!$D:$D,wallet_records!$B:$B,'EEFF 2026'!$C10,wallet_records!$L:$L,'EEFF 2026'!F$3,wallet_records!$O:$O,'EEFF 2026'!$B$1,wallet_records!$N:$N,'EEFF 2026'!F$2,wallet_records!$H:$H,'EEFF 2026'!$B10)</f>
        <v>0</v>
      </c>
      <c r="G10" s="115">
        <f>SUMIFS(wallet_records!$D:$D,wallet_records!$B:$B,'EEFF 2026'!$C10,wallet_records!$L:$L,'EEFF 2026'!G$3,wallet_records!$O:$O,'EEFF 2026'!$B$1,wallet_records!$N:$N,'EEFF 2026'!G$2,wallet_records!$H:$H,'EEFF 2026'!$B10)</f>
        <v>5400</v>
      </c>
      <c r="H10" s="115">
        <f>SUMIFS(wallet_records!$D:$D,wallet_records!$B:$B,'EEFF 2026'!$C10,wallet_records!$L:$L,'EEFF 2026'!H$3,wallet_records!$O:$O,'EEFF 2026'!$B$1,wallet_records!$N:$N,'EEFF 2026'!H$2,wallet_records!$H:$H,'EEFF 2026'!$B10)</f>
        <v>0</v>
      </c>
      <c r="I10" s="115">
        <f>SUMIFS(wallet_records!$D:$D,wallet_records!$B:$B,'EEFF 2026'!$C10,wallet_records!$L:$L,'EEFF 2026'!I$3,wallet_records!$O:$O,'EEFF 2026'!$B$1,wallet_records!$N:$N,'EEFF 2026'!I$2,wallet_records!$H:$H,'EEFF 2026'!$B10)</f>
        <v>0</v>
      </c>
      <c r="J10" s="116">
        <f>SUM(D10:I10)</f>
        <v>5400</v>
      </c>
      <c r="K10" s="115">
        <f>SUMIFS(wallet_records!$D:$D,wallet_records!$B:$B,'EEFF 2026'!$C10,wallet_records!$L:$L,'EEFF 2026'!K$3,wallet_records!$O:$O,'EEFF 2026'!$B$1,wallet_records!$N:$N,'EEFF 2026'!K$2,wallet_records!$H:$H,'EEFF 2026'!$B10)</f>
        <v>666250</v>
      </c>
      <c r="L10" s="115">
        <f>SUMIFS(wallet_records!$D:$D,wallet_records!$B:$B,'EEFF 2026'!$C10,wallet_records!$L:$L,'EEFF 2026'!L$3,wallet_records!$O:$O,'EEFF 2026'!$B$1,wallet_records!$N:$N,'EEFF 2026'!L$2,wallet_records!$H:$H,'EEFF 2026'!$B10)</f>
        <v>0</v>
      </c>
      <c r="M10" s="115">
        <f>SUMIFS(wallet_records!$D:$D,wallet_records!$B:$B,'EEFF 2026'!$C10,wallet_records!$L:$L,'EEFF 2026'!M$3,wallet_records!$O:$O,'EEFF 2026'!$B$1,wallet_records!$N:$N,'EEFF 2026'!M$2,wallet_records!$H:$H,'EEFF 2026'!$B10)</f>
        <v>0</v>
      </c>
      <c r="N10" s="115">
        <f>SUMIFS(wallet_records!$D:$D,wallet_records!$B:$B,'EEFF 2026'!$C10,wallet_records!$L:$L,'EEFF 2026'!N$3,wallet_records!$O:$O,'EEFF 2026'!$B$1,wallet_records!$N:$N,'EEFF 2026'!N$2,wallet_records!$H:$H,'EEFF 2026'!$B10)</f>
        <v>0</v>
      </c>
      <c r="O10" s="115">
        <f>SUMIFS(wallet_records!$D:$D,wallet_records!$B:$B,'EEFF 2026'!$C10,wallet_records!$L:$L,'EEFF 2026'!O$3,wallet_records!$O:$O,'EEFF 2026'!$B$1,wallet_records!$N:$N,'EEFF 2026'!O$2,wallet_records!$H:$H,'EEFF 2026'!$B10)</f>
        <v>0</v>
      </c>
      <c r="P10" s="115">
        <f>SUMIFS(wallet_records!$D:$D,wallet_records!$B:$B,'EEFF 2026'!$C10,wallet_records!$L:$L,'EEFF 2026'!P$3,wallet_records!$O:$O,'EEFF 2026'!$B$1,wallet_records!$N:$N,'EEFF 2026'!P$2,wallet_records!$H:$H,'EEFF 2026'!$B10)</f>
        <v>0</v>
      </c>
      <c r="Q10" s="116">
        <f t="shared" si="15"/>
        <v>666250</v>
      </c>
      <c r="R10" s="115">
        <f>SUMIFS(wallet_records!$D:$D,wallet_records!$B:$B,'EEFF 2026'!$C10,wallet_records!$L:$L,'EEFF 2026'!R$3,wallet_records!$O:$O,'EEFF 2026'!$B$1,wallet_records!$N:$N,'EEFF 2026'!R$2,wallet_records!$H:$H,'EEFF 2026'!$B10)</f>
        <v>0</v>
      </c>
      <c r="S10" s="115">
        <f>SUMIFS(wallet_records!$D:$D,wallet_records!$B:$B,'EEFF 2026'!$C10,wallet_records!$L:$L,'EEFF 2026'!S$3,wallet_records!$O:$O,'EEFF 2026'!$B$1,wallet_records!$N:$N,'EEFF 2026'!S$2,wallet_records!$H:$H,'EEFF 2026'!$B10)</f>
        <v>0</v>
      </c>
      <c r="T10" s="115">
        <f>SUMIFS(wallet_records!$D:$D,wallet_records!$B:$B,'EEFF 2026'!$C10,wallet_records!$L:$L,'EEFF 2026'!T$3,wallet_records!$O:$O,'EEFF 2026'!$B$1,wallet_records!$N:$N,'EEFF 2026'!T$2,wallet_records!$H:$H,'EEFF 2026'!$B10)</f>
        <v>0</v>
      </c>
      <c r="U10" s="115">
        <f>SUMIFS(wallet_records!$D:$D,wallet_records!$B:$B,'EEFF 2026'!$C10,wallet_records!$L:$L,'EEFF 2026'!U$3,wallet_records!$O:$O,'EEFF 2026'!$B$1,wallet_records!$N:$N,'EEFF 2026'!U$2,wallet_records!$H:$H,'EEFF 2026'!$B10)</f>
        <v>0</v>
      </c>
      <c r="V10" s="115">
        <f>SUMIFS(wallet_records!$D:$D,wallet_records!$B:$B,'EEFF 2026'!$C10,wallet_records!$L:$L,'EEFF 2026'!V$3,wallet_records!$O:$O,'EEFF 2026'!$B$1,wallet_records!$N:$N,'EEFF 2026'!V$2,wallet_records!$H:$H,'EEFF 2026'!$B10)</f>
        <v>0</v>
      </c>
      <c r="W10" s="115">
        <f>SUMIFS(wallet_records!$D:$D,wallet_records!$B:$B,'EEFF 2026'!$C10,wallet_records!$L:$L,'EEFF 2026'!W$3,wallet_records!$O:$O,'EEFF 2026'!$B$1,wallet_records!$N:$N,'EEFF 2026'!W$2,wallet_records!$H:$H,'EEFF 2026'!$B10)</f>
        <v>0</v>
      </c>
      <c r="X10" s="116">
        <f t="shared" si="16"/>
        <v>0</v>
      </c>
      <c r="Y10" s="115">
        <f>SUMIFS(wallet_records!$D:$D,wallet_records!$B:$B,'EEFF 2026'!$C10,wallet_records!$L:$L,'EEFF 2026'!Y$3,wallet_records!$O:$O,'EEFF 2026'!$B$1,wallet_records!$N:$N,'EEFF 2026'!Y$2,wallet_records!$H:$H,'EEFF 2026'!$B10)</f>
        <v>0</v>
      </c>
      <c r="Z10" s="115">
        <f>SUMIFS(wallet_records!$D:$D,wallet_records!$B:$B,'EEFF 2026'!$C10,wallet_records!$L:$L,'EEFF 2026'!Z$3,wallet_records!$O:$O,'EEFF 2026'!$B$1,wallet_records!$N:$N,'EEFF 2026'!Z$2,wallet_records!$H:$H,'EEFF 2026'!$B10)</f>
        <v>0</v>
      </c>
      <c r="AA10" s="115">
        <f>SUMIFS(wallet_records!$D:$D,wallet_records!$B:$B,'EEFF 2026'!$C10,wallet_records!$L:$L,'EEFF 2026'!AA$3,wallet_records!$O:$O,'EEFF 2026'!$B$1,wallet_records!$N:$N,'EEFF 2026'!AA$2,wallet_records!$H:$H,'EEFF 2026'!$B10)</f>
        <v>0</v>
      </c>
      <c r="AB10" s="115">
        <f>SUMIFS(wallet_records!$D:$D,wallet_records!$B:$B,'EEFF 2026'!$C10,wallet_records!$L:$L,'EEFF 2026'!AB$3,wallet_records!$O:$O,'EEFF 2026'!$B$1,wallet_records!$N:$N,'EEFF 2026'!AB$2,wallet_records!$H:$H,'EEFF 2026'!$B10)</f>
        <v>0</v>
      </c>
      <c r="AC10" s="115">
        <f>SUMIFS(wallet_records!$D:$D,wallet_records!$B:$B,'EEFF 2026'!$C10,wallet_records!$L:$L,'EEFF 2026'!AC$3,wallet_records!$O:$O,'EEFF 2026'!$B$1,wallet_records!$N:$N,'EEFF 2026'!AC$2,wallet_records!$H:$H,'EEFF 2026'!$B10)</f>
        <v>0</v>
      </c>
      <c r="AD10" s="115">
        <f>SUMIFS(wallet_records!$D:$D,wallet_records!$B:$B,'EEFF 2026'!$C10,wallet_records!$L:$L,'EEFF 2026'!AD$3,wallet_records!$O:$O,'EEFF 2026'!$B$1,wallet_records!$N:$N,'EEFF 2026'!AD$2,wallet_records!$H:$H,'EEFF 2026'!$B10)</f>
        <v>0</v>
      </c>
      <c r="AE10" s="116">
        <f t="shared" si="17"/>
        <v>0</v>
      </c>
      <c r="AF10" s="115">
        <f>SUMIFS(wallet_records!$D:$D,wallet_records!$B:$B,'EEFF 2026'!$C10,wallet_records!$L:$L,'EEFF 2026'!AF$3,wallet_records!$O:$O,'EEFF 2026'!$B$1,wallet_records!$N:$N,'EEFF 2026'!AF$2,wallet_records!$H:$H,'EEFF 2026'!$B10)</f>
        <v>0</v>
      </c>
      <c r="AG10" s="115">
        <f>SUMIFS(wallet_records!$D:$D,wallet_records!$B:$B,'EEFF 2026'!$C10,wallet_records!$L:$L,'EEFF 2026'!AG$3,wallet_records!$O:$O,'EEFF 2026'!$B$1,wallet_records!$N:$N,'EEFF 2026'!AG$2,wallet_records!$H:$H,'EEFF 2026'!$B10)</f>
        <v>0</v>
      </c>
      <c r="AH10" s="115">
        <f>SUMIFS(wallet_records!$D:$D,wallet_records!$B:$B,'EEFF 2026'!$C10,wallet_records!$L:$L,'EEFF 2026'!AH$3,wallet_records!$O:$O,'EEFF 2026'!$B$1,wallet_records!$N:$N,'EEFF 2026'!AH$2,wallet_records!$H:$H,'EEFF 2026'!$B10)</f>
        <v>0</v>
      </c>
      <c r="AI10" s="115">
        <f>SUMIFS(wallet_records!$D:$D,wallet_records!$B:$B,'EEFF 2026'!$C10,wallet_records!$L:$L,'EEFF 2026'!AI$3,wallet_records!$O:$O,'EEFF 2026'!$B$1,wallet_records!$N:$N,'EEFF 2026'!AI$2,wallet_records!$H:$H,'EEFF 2026'!$B10)</f>
        <v>0</v>
      </c>
      <c r="AJ10" s="115">
        <f>SUMIFS(wallet_records!$D:$D,wallet_records!$B:$B,'EEFF 2026'!$C10,wallet_records!$L:$L,'EEFF 2026'!AJ$3,wallet_records!$O:$O,'EEFF 2026'!$B$1,wallet_records!$N:$N,'EEFF 2026'!AJ$2,wallet_records!$H:$H,'EEFF 2026'!$B10)</f>
        <v>0</v>
      </c>
      <c r="AK10" s="115">
        <f>SUMIFS(wallet_records!$D:$D,wallet_records!$B:$B,'EEFF 2026'!$C10,wallet_records!$L:$L,'EEFF 2026'!AK$3,wallet_records!$O:$O,'EEFF 2026'!$B$1,wallet_records!$N:$N,'EEFF 2026'!AK$2,wallet_records!$H:$H,'EEFF 2026'!$B10)</f>
        <v>0</v>
      </c>
      <c r="AL10" s="116">
        <f t="shared" si="18"/>
        <v>0</v>
      </c>
      <c r="AM10" s="115">
        <f>SUMIFS(wallet_records!$D:$D,wallet_records!$B:$B,'EEFF 2026'!$C10,wallet_records!$L:$L,'EEFF 2026'!AM$3,wallet_records!$O:$O,'EEFF 2026'!$B$1,wallet_records!$N:$N,'EEFF 2026'!AM$2,wallet_records!$H:$H,'EEFF 2026'!$B10)</f>
        <v>0</v>
      </c>
      <c r="AN10" s="115">
        <f>SUMIFS(wallet_records!$D:$D,wallet_records!$B:$B,'EEFF 2026'!$C10,wallet_records!$L:$L,'EEFF 2026'!AN$3,wallet_records!$O:$O,'EEFF 2026'!$B$1,wallet_records!$N:$N,'EEFF 2026'!AN$2,wallet_records!$H:$H,'EEFF 2026'!$B10)</f>
        <v>0</v>
      </c>
      <c r="AO10" s="115">
        <f>SUMIFS(wallet_records!$D:$D,wallet_records!$B:$B,'EEFF 2026'!$C10,wallet_records!$L:$L,'EEFF 2026'!AO$3,wallet_records!$O:$O,'EEFF 2026'!$B$1,wallet_records!$N:$N,'EEFF 2026'!AO$2,wallet_records!$H:$H,'EEFF 2026'!$B10)</f>
        <v>0</v>
      </c>
      <c r="AP10" s="115">
        <f>SUMIFS(wallet_records!$D:$D,wallet_records!$B:$B,'EEFF 2026'!$C10,wallet_records!$L:$L,'EEFF 2026'!AP$3,wallet_records!$O:$O,'EEFF 2026'!$B$1,wallet_records!$N:$N,'EEFF 2026'!AP$2,wallet_records!$H:$H,'EEFF 2026'!$B10)</f>
        <v>0</v>
      </c>
      <c r="AQ10" s="115">
        <f>SUMIFS(wallet_records!$D:$D,wallet_records!$B:$B,'EEFF 2026'!$C10,wallet_records!$L:$L,'EEFF 2026'!AQ$3,wallet_records!$O:$O,'EEFF 2026'!$B$1,wallet_records!$N:$N,'EEFF 2026'!AQ$2,wallet_records!$H:$H,'EEFF 2026'!$B10)</f>
        <v>0</v>
      </c>
      <c r="AR10" s="115">
        <f>SUMIFS(wallet_records!$D:$D,wallet_records!$B:$B,'EEFF 2026'!$C10,wallet_records!$L:$L,'EEFF 2026'!AR$3,wallet_records!$O:$O,'EEFF 2026'!$B$1,wallet_records!$N:$N,'EEFF 2026'!AR$2,wallet_records!$H:$H,'EEFF 2026'!$B10)</f>
        <v>0</v>
      </c>
      <c r="AS10" s="116">
        <f t="shared" si="19"/>
        <v>0</v>
      </c>
      <c r="AT10" s="115">
        <f>SUMIFS(wallet_records!$D:$D,wallet_records!$B:$B,'EEFF 2026'!$C10,wallet_records!$L:$L,'EEFF 2026'!AT$3,wallet_records!$O:$O,'EEFF 2026'!$B$1,wallet_records!$N:$N,'EEFF 2026'!AT$2,wallet_records!$H:$H,'EEFF 2026'!$B10)</f>
        <v>0</v>
      </c>
      <c r="AU10" s="115">
        <f>SUMIFS(wallet_records!$D:$D,wallet_records!$B:$B,'EEFF 2026'!$C10,wallet_records!$L:$L,'EEFF 2026'!AU$3,wallet_records!$O:$O,'EEFF 2026'!$B$1,wallet_records!$N:$N,'EEFF 2026'!AU$2,wallet_records!$H:$H,'EEFF 2026'!$B10)</f>
        <v>0</v>
      </c>
      <c r="AV10" s="115">
        <f>SUMIFS(wallet_records!$D:$D,wallet_records!$B:$B,'EEFF 2026'!$C10,wallet_records!$L:$L,'EEFF 2026'!AV$3,wallet_records!$O:$O,'EEFF 2026'!$B$1,wallet_records!$N:$N,'EEFF 2026'!AV$2,wallet_records!$H:$H,'EEFF 2026'!$B10)</f>
        <v>0</v>
      </c>
      <c r="AW10" s="115">
        <f>SUMIFS(wallet_records!$D:$D,wallet_records!$B:$B,'EEFF 2026'!$C10,wallet_records!$L:$L,'EEFF 2026'!AW$3,wallet_records!$O:$O,'EEFF 2026'!$B$1,wallet_records!$N:$N,'EEFF 2026'!AW$2,wallet_records!$H:$H,'EEFF 2026'!$B10)</f>
        <v>0</v>
      </c>
      <c r="AX10" s="115">
        <f>SUMIFS(wallet_records!$D:$D,wallet_records!$B:$B,'EEFF 2026'!$C10,wallet_records!$L:$L,'EEFF 2026'!AX$3,wallet_records!$O:$O,'EEFF 2026'!$B$1,wallet_records!$N:$N,'EEFF 2026'!AX$2,wallet_records!$H:$H,'EEFF 2026'!$B10)</f>
        <v>0</v>
      </c>
      <c r="AY10" s="115">
        <f>SUMIFS(wallet_records!$D:$D,wallet_records!$B:$B,'EEFF 2026'!$C10,wallet_records!$L:$L,'EEFF 2026'!AY$3,wallet_records!$O:$O,'EEFF 2026'!$B$1,wallet_records!$N:$N,'EEFF 2026'!AY$2,wallet_records!$H:$H,'EEFF 2026'!$B10)</f>
        <v>0</v>
      </c>
      <c r="AZ10" s="116">
        <f t="shared" si="20"/>
        <v>0</v>
      </c>
      <c r="BA10" s="115">
        <f>SUMIFS(wallet_records!$D:$D,wallet_records!$B:$B,'EEFF 2026'!$C10,wallet_records!$L:$L,'EEFF 2026'!BA$3,wallet_records!$O:$O,'EEFF 2026'!$B$1,wallet_records!$N:$N,'EEFF 2026'!BA$2,wallet_records!$H:$H,'EEFF 2026'!$B10)</f>
        <v>0</v>
      </c>
      <c r="BB10" s="115">
        <f>SUMIFS(wallet_records!$D:$D,wallet_records!$B:$B,'EEFF 2026'!$C10,wallet_records!$L:$L,'EEFF 2026'!BB$3,wallet_records!$O:$O,'EEFF 2026'!$B$1,wallet_records!$N:$N,'EEFF 2026'!BB$2,wallet_records!$H:$H,'EEFF 2026'!$B10)</f>
        <v>0</v>
      </c>
      <c r="BC10" s="115">
        <f>SUMIFS(wallet_records!$D:$D,wallet_records!$B:$B,'EEFF 2026'!$C10,wallet_records!$L:$L,'EEFF 2026'!BC$3,wallet_records!$O:$O,'EEFF 2026'!$B$1,wallet_records!$N:$N,'EEFF 2026'!BC$2,wallet_records!$H:$H,'EEFF 2026'!$B10)</f>
        <v>0</v>
      </c>
      <c r="BD10" s="115">
        <f>SUMIFS(wallet_records!$D:$D,wallet_records!$B:$B,'EEFF 2026'!$C10,wallet_records!$L:$L,'EEFF 2026'!BD$3,wallet_records!$O:$O,'EEFF 2026'!$B$1,wallet_records!$N:$N,'EEFF 2026'!BD$2,wallet_records!$H:$H,'EEFF 2026'!$B10)</f>
        <v>0</v>
      </c>
      <c r="BE10" s="115">
        <f>SUMIFS(wallet_records!$D:$D,wallet_records!$B:$B,'EEFF 2026'!$C10,wallet_records!$L:$L,'EEFF 2026'!BE$3,wallet_records!$O:$O,'EEFF 2026'!$B$1,wallet_records!$N:$N,'EEFF 2026'!BE$2,wallet_records!$H:$H,'EEFF 2026'!$B10)</f>
        <v>0</v>
      </c>
      <c r="BF10" s="115">
        <f>SUMIFS(wallet_records!$D:$D,wallet_records!$B:$B,'EEFF 2026'!$C10,wallet_records!$L:$L,'EEFF 2026'!BF$3,wallet_records!$O:$O,'EEFF 2026'!$B$1,wallet_records!$N:$N,'EEFF 2026'!BF$2,wallet_records!$H:$H,'EEFF 2026'!$B10)</f>
        <v>0</v>
      </c>
      <c r="BG10" s="116">
        <f t="shared" si="21"/>
        <v>0</v>
      </c>
      <c r="BH10" s="115">
        <f>SUMIFS(wallet_records!$D:$D,wallet_records!$B:$B,'EEFF 2026'!$C10,wallet_records!$L:$L,'EEFF 2026'!BH$3,wallet_records!$O:$O,'EEFF 2026'!$B$1,wallet_records!$N:$N,'EEFF 2026'!BH$2,wallet_records!$H:$H,'EEFF 2026'!$B10)</f>
        <v>0</v>
      </c>
      <c r="BI10" s="115">
        <f>SUMIFS(wallet_records!$D:$D,wallet_records!$B:$B,'EEFF 2026'!$C10,wallet_records!$L:$L,'EEFF 2026'!BI$3,wallet_records!$O:$O,'EEFF 2026'!$B$1,wallet_records!$N:$N,'EEFF 2026'!BI$2,wallet_records!$H:$H,'EEFF 2026'!$B10)</f>
        <v>0</v>
      </c>
      <c r="BJ10" s="115">
        <f>SUMIFS(wallet_records!$D:$D,wallet_records!$B:$B,'EEFF 2026'!$C10,wallet_records!$L:$L,'EEFF 2026'!BJ$3,wallet_records!$O:$O,'EEFF 2026'!$B$1,wallet_records!$N:$N,'EEFF 2026'!BJ$2,wallet_records!$H:$H,'EEFF 2026'!$B10)</f>
        <v>0</v>
      </c>
      <c r="BK10" s="115">
        <f>SUMIFS(wallet_records!$D:$D,wallet_records!$B:$B,'EEFF 2026'!$C10,wallet_records!$L:$L,'EEFF 2026'!BK$3,wallet_records!$O:$O,'EEFF 2026'!$B$1,wallet_records!$N:$N,'EEFF 2026'!BK$2,wallet_records!$H:$H,'EEFF 2026'!$B10)</f>
        <v>0</v>
      </c>
      <c r="BL10" s="115">
        <f>SUMIFS(wallet_records!$D:$D,wallet_records!$B:$B,'EEFF 2026'!$C10,wallet_records!$L:$L,'EEFF 2026'!BL$3,wallet_records!$O:$O,'EEFF 2026'!$B$1,wallet_records!$N:$N,'EEFF 2026'!BL$2,wallet_records!$H:$H,'EEFF 2026'!$B10)</f>
        <v>0</v>
      </c>
      <c r="BM10" s="115">
        <f>SUMIFS(wallet_records!$D:$D,wallet_records!$B:$B,'EEFF 2026'!$C10,wallet_records!$L:$L,'EEFF 2026'!BM$3,wallet_records!$O:$O,'EEFF 2026'!$B$1,wallet_records!$N:$N,'EEFF 2026'!BM$2,wallet_records!$H:$H,'EEFF 2026'!$B10)</f>
        <v>0</v>
      </c>
      <c r="BN10" s="116">
        <f t="shared" si="22"/>
        <v>0</v>
      </c>
      <c r="BO10" s="115">
        <f>SUMIFS(wallet_records!$D:$D,wallet_records!$B:$B,'EEFF 2026'!$C10,wallet_records!$L:$L,'EEFF 2026'!BO$3,wallet_records!$O:$O,'EEFF 2026'!$B$1,wallet_records!$N:$N,'EEFF 2026'!BO$2,wallet_records!$H:$H,'EEFF 2026'!$B10)</f>
        <v>0</v>
      </c>
      <c r="BP10" s="115">
        <f>SUMIFS(wallet_records!$D:$D,wallet_records!$B:$B,'EEFF 2026'!$C10,wallet_records!$L:$L,'EEFF 2026'!BP$3,wallet_records!$O:$O,'EEFF 2026'!$B$1,wallet_records!$N:$N,'EEFF 2026'!BP$2,wallet_records!$H:$H,'EEFF 2026'!$B10)</f>
        <v>0</v>
      </c>
      <c r="BQ10" s="115">
        <f>SUMIFS(wallet_records!$D:$D,wallet_records!$B:$B,'EEFF 2026'!$C10,wallet_records!$L:$L,'EEFF 2026'!BQ$3,wallet_records!$O:$O,'EEFF 2026'!$B$1,wallet_records!$N:$N,'EEFF 2026'!BQ$2,wallet_records!$H:$H,'EEFF 2026'!$B10)</f>
        <v>0</v>
      </c>
      <c r="BR10" s="115">
        <f>SUMIFS(wallet_records!$D:$D,wallet_records!$B:$B,'EEFF 2026'!$C10,wallet_records!$L:$L,'EEFF 2026'!BR$3,wallet_records!$O:$O,'EEFF 2026'!$B$1,wallet_records!$N:$N,'EEFF 2026'!BR$2,wallet_records!$H:$H,'EEFF 2026'!$B10)</f>
        <v>0</v>
      </c>
      <c r="BS10" s="115">
        <f>SUMIFS(wallet_records!$D:$D,wallet_records!$B:$B,'EEFF 2026'!$C10,wallet_records!$L:$L,'EEFF 2026'!BS$3,wallet_records!$O:$O,'EEFF 2026'!$B$1,wallet_records!$N:$N,'EEFF 2026'!BS$2,wallet_records!$H:$H,'EEFF 2026'!$B10)</f>
        <v>0</v>
      </c>
      <c r="BT10" s="115">
        <f>SUMIFS(wallet_records!$D:$D,wallet_records!$B:$B,'EEFF 2026'!$C10,wallet_records!$L:$L,'EEFF 2026'!BT$3,wallet_records!$O:$O,'EEFF 2026'!$B$1,wallet_records!$N:$N,'EEFF 2026'!BT$2,wallet_records!$H:$H,'EEFF 2026'!$B10)</f>
        <v>0</v>
      </c>
      <c r="BU10" s="116">
        <f t="shared" si="23"/>
        <v>0</v>
      </c>
      <c r="BV10" s="115">
        <f>SUMIFS(wallet_records!$D:$D,wallet_records!$B:$B,'EEFF 2026'!$C10,wallet_records!$L:$L,'EEFF 2026'!BV$3,wallet_records!$O:$O,'EEFF 2026'!$B$1,wallet_records!$N:$N,'EEFF 2026'!BV$2,wallet_records!$H:$H,'EEFF 2026'!$B10)</f>
        <v>0</v>
      </c>
      <c r="BW10" s="115">
        <f>SUMIFS(wallet_records!$D:$D,wallet_records!$B:$B,'EEFF 2026'!$C10,wallet_records!$L:$L,'EEFF 2026'!BW$3,wallet_records!$O:$O,'EEFF 2026'!$B$1,wallet_records!$N:$N,'EEFF 2026'!BW$2,wallet_records!$H:$H,'EEFF 2026'!$B10)</f>
        <v>0</v>
      </c>
      <c r="BX10" s="115">
        <f>SUMIFS(wallet_records!$D:$D,wallet_records!$B:$B,'EEFF 2026'!$C10,wallet_records!$L:$L,'EEFF 2026'!BX$3,wallet_records!$O:$O,'EEFF 2026'!$B$1,wallet_records!$N:$N,'EEFF 2026'!BX$2,wallet_records!$H:$H,'EEFF 2026'!$B10)</f>
        <v>0</v>
      </c>
      <c r="BY10" s="115">
        <f>SUMIFS(wallet_records!$D:$D,wallet_records!$B:$B,'EEFF 2026'!$C10,wallet_records!$L:$L,'EEFF 2026'!BY$3,wallet_records!$O:$O,'EEFF 2026'!$B$1,wallet_records!$N:$N,'EEFF 2026'!BY$2,wallet_records!$H:$H,'EEFF 2026'!$B10)</f>
        <v>0</v>
      </c>
      <c r="BZ10" s="115">
        <f>SUMIFS(wallet_records!$D:$D,wallet_records!$B:$B,'EEFF 2026'!$C10,wallet_records!$L:$L,'EEFF 2026'!BZ$3,wallet_records!$O:$O,'EEFF 2026'!$B$1,wallet_records!$N:$N,'EEFF 2026'!BZ$2,wallet_records!$H:$H,'EEFF 2026'!$B10)</f>
        <v>0</v>
      </c>
      <c r="CA10" s="115">
        <f>SUMIFS(wallet_records!$D:$D,wallet_records!$B:$B,'EEFF 2026'!$C10,wallet_records!$L:$L,'EEFF 2026'!CA$3,wallet_records!$O:$O,'EEFF 2026'!$B$1,wallet_records!$N:$N,'EEFF 2026'!CA$2,wallet_records!$H:$H,'EEFF 2026'!$B10)</f>
        <v>0</v>
      </c>
      <c r="CB10" s="116">
        <f t="shared" si="24"/>
        <v>0</v>
      </c>
      <c r="CC10" s="115">
        <f>SUMIFS(wallet_records!$D:$D,wallet_records!$B:$B,'EEFF 2026'!$C10,wallet_records!$L:$L,'EEFF 2026'!CC$3,wallet_records!$O:$O,'EEFF 2026'!$B$1,wallet_records!$N:$N,'EEFF 2026'!CC$2,wallet_records!$H:$H,'EEFF 2026'!$B10)</f>
        <v>0</v>
      </c>
      <c r="CD10" s="115">
        <f>SUMIFS(wallet_records!$D:$D,wallet_records!$B:$B,'EEFF 2026'!$C10,wallet_records!$L:$L,'EEFF 2026'!CD$3,wallet_records!$O:$O,'EEFF 2026'!$B$1,wallet_records!$N:$N,'EEFF 2026'!CD$2,wallet_records!$H:$H,'EEFF 2026'!$B10)</f>
        <v>0</v>
      </c>
      <c r="CE10" s="115">
        <f>SUMIFS(wallet_records!$D:$D,wallet_records!$B:$B,'EEFF 2026'!$C10,wallet_records!$L:$L,'EEFF 2026'!CE$3,wallet_records!$O:$O,'EEFF 2026'!$B$1,wallet_records!$N:$N,'EEFF 2026'!CE$2,wallet_records!$H:$H,'EEFF 2026'!$B10)</f>
        <v>0</v>
      </c>
      <c r="CF10" s="115">
        <f>SUMIFS(wallet_records!$D:$D,wallet_records!$B:$B,'EEFF 2026'!$C10,wallet_records!$L:$L,'EEFF 2026'!CF$3,wallet_records!$O:$O,'EEFF 2026'!$B$1,wallet_records!$N:$N,'EEFF 2026'!CF$2,wallet_records!$H:$H,'EEFF 2026'!$B10)</f>
        <v>0</v>
      </c>
      <c r="CG10" s="115">
        <f>SUMIFS(wallet_records!$D:$D,wallet_records!$B:$B,'EEFF 2026'!$C10,wallet_records!$L:$L,'EEFF 2026'!CG$3,wallet_records!$O:$O,'EEFF 2026'!$B$1,wallet_records!$N:$N,'EEFF 2026'!CG$2,wallet_records!$H:$H,'EEFF 2026'!$B10)</f>
        <v>0</v>
      </c>
      <c r="CH10" s="115">
        <f>SUMIFS(wallet_records!$D:$D,wallet_records!$B:$B,'EEFF 2026'!$C10,wallet_records!$L:$L,'EEFF 2026'!CH$3,wallet_records!$O:$O,'EEFF 2026'!$B$1,wallet_records!$N:$N,'EEFF 2026'!CH$2,wallet_records!$H:$H,'EEFF 2026'!$B10)</f>
        <v>0</v>
      </c>
      <c r="CI10" s="116">
        <f t="shared" si="25"/>
        <v>0</v>
      </c>
      <c r="CJ10" s="115">
        <f>SUMIFS(wallet_records!$D:$D,wallet_records!$B:$B,'EEFF 2026'!$C10,wallet_records!$L:$L,'EEFF 2026'!CJ$3,wallet_records!$O:$O,'EEFF 2026'!$B$1,wallet_records!$H:$H,'EEFF 2026'!$B10)</f>
        <v>666250</v>
      </c>
      <c r="CK10" s="115">
        <f>SUMIFS(wallet_records!$D:$D,wallet_records!$B:$B,'EEFF 2026'!$C10,wallet_records!$L:$L,'EEFF 2026'!CK$3,wallet_records!$O:$O,'EEFF 2026'!$B$1,wallet_records!$H:$H,'EEFF 2026'!$B10)</f>
        <v>0</v>
      </c>
      <c r="CL10" s="115">
        <f>SUMIFS(wallet_records!$D:$D,wallet_records!$B:$B,'EEFF 2026'!$C10,wallet_records!$L:$L,'EEFF 2026'!CL$3,wallet_records!$O:$O,'EEFF 2026'!$B$1,wallet_records!$H:$H,'EEFF 2026'!$B10)</f>
        <v>0</v>
      </c>
      <c r="CM10" s="115">
        <f>SUMIFS(wallet_records!$D:$D,wallet_records!$B:$B,'EEFF 2026'!$C10,wallet_records!$L:$L,'EEFF 2026'!CM$3,wallet_records!$O:$O,'EEFF 2026'!$B$1,wallet_records!$H:$H,'EEFF 2026'!$B10)</f>
        <v>5400</v>
      </c>
      <c r="CN10" s="115">
        <f>SUMIFS(wallet_records!$D:$D,wallet_records!$B:$B,'EEFF 2026'!$C10,wallet_records!$L:$L,'EEFF 2026'!CN$3,wallet_records!$O:$O,'EEFF 2026'!$B$1,wallet_records!$H:$H,'EEFF 2026'!$B10)</f>
        <v>0</v>
      </c>
      <c r="CO10" s="115">
        <f>SUMIFS(wallet_records!$D:$D,wallet_records!$B:$B,'EEFF 2026'!$C10,wallet_records!$L:$L,'EEFF 2026'!CO$3,wallet_records!$O:$O,'EEFF 2026'!$B$1,wallet_records!$H:$H,'EEFF 2026'!$B10)</f>
        <v>0</v>
      </c>
      <c r="CP10" s="116">
        <f t="shared" si="26"/>
        <v>671650</v>
      </c>
      <c r="CQ10" s="107"/>
      <c r="CR10" s="118">
        <f t="shared" si="0"/>
        <v>5.6886416787813661E-4</v>
      </c>
      <c r="CS10" s="118">
        <f t="shared" si="1"/>
        <v>0.10350961687847622</v>
      </c>
      <c r="CT10" s="118" t="e">
        <f t="shared" si="2"/>
        <v>#DIV/0!</v>
      </c>
      <c r="CU10" s="118" t="e">
        <f t="shared" si="3"/>
        <v>#DIV/0!</v>
      </c>
      <c r="CV10" s="118" t="e">
        <f t="shared" si="4"/>
        <v>#DIV/0!</v>
      </c>
      <c r="CW10" s="118" t="e">
        <f t="shared" si="5"/>
        <v>#DIV/0!</v>
      </c>
      <c r="CX10" s="118" t="e">
        <f t="shared" si="6"/>
        <v>#DIV/0!</v>
      </c>
      <c r="CY10" s="118" t="e">
        <f t="shared" si="7"/>
        <v>#DIV/0!</v>
      </c>
      <c r="CZ10" s="118" t="e">
        <f t="shared" si="8"/>
        <v>#DIV/0!</v>
      </c>
      <c r="DA10" s="118" t="e">
        <f t="shared" si="9"/>
        <v>#DIV/0!</v>
      </c>
      <c r="DB10" s="118" t="e">
        <f t="shared" si="10"/>
        <v>#DIV/0!</v>
      </c>
      <c r="DC10" s="118" t="e">
        <f t="shared" si="11"/>
        <v>#DIV/0!</v>
      </c>
    </row>
    <row r="11" spans="2:120" x14ac:dyDescent="0.2">
      <c r="B11" s="107" t="s">
        <v>140</v>
      </c>
      <c r="C11" s="191" t="s">
        <v>136</v>
      </c>
      <c r="D11" s="115">
        <f>SUMIFS(wallet_records!$D:$D,wallet_records!$B:$B,'EEFF 2026'!$C11,wallet_records!$L:$L,'EEFF 2026'!D$3,wallet_records!$O:$O,'EEFF 2026'!$B$1,wallet_records!$N:$N,'EEFF 2026'!D$2,wallet_records!$H:$H,'EEFF 2026'!$B11)</f>
        <v>156000</v>
      </c>
      <c r="E11" s="115">
        <f>SUMIFS(wallet_records!$D:$D,wallet_records!$B:$B,'EEFF 2026'!$C11,wallet_records!$L:$L,'EEFF 2026'!E$3,wallet_records!$O:$O,'EEFF 2026'!$B$1,wallet_records!$N:$N,'EEFF 2026'!E$2,wallet_records!$H:$H,'EEFF 2026'!$B11)</f>
        <v>0</v>
      </c>
      <c r="F11" s="115">
        <f>SUMIFS(wallet_records!$D:$D,wallet_records!$B:$B,'EEFF 2026'!$C11,wallet_records!$L:$L,'EEFF 2026'!F$3,wallet_records!$O:$O,'EEFF 2026'!$B$1,wallet_records!$N:$N,'EEFF 2026'!F$2,wallet_records!$H:$H,'EEFF 2026'!$B11)</f>
        <v>501542</v>
      </c>
      <c r="G11" s="115">
        <f>SUMIFS(wallet_records!$D:$D,wallet_records!$B:$B,'EEFF 2026'!$C11,wallet_records!$L:$L,'EEFF 2026'!G$3,wallet_records!$O:$O,'EEFF 2026'!$B$1,wallet_records!$N:$N,'EEFF 2026'!G$2,wallet_records!$H:$H,'EEFF 2026'!$B11)</f>
        <v>0</v>
      </c>
      <c r="H11" s="115">
        <f>SUMIFS(wallet_records!$D:$D,wallet_records!$B:$B,'EEFF 2026'!$C11,wallet_records!$L:$L,'EEFF 2026'!H$3,wallet_records!$O:$O,'EEFF 2026'!$B$1,wallet_records!$N:$N,'EEFF 2026'!H$2,wallet_records!$H:$H,'EEFF 2026'!$B11)</f>
        <v>269400</v>
      </c>
      <c r="I11" s="115">
        <f>SUMIFS(wallet_records!$D:$D,wallet_records!$B:$B,'EEFF 2026'!$C11,wallet_records!$L:$L,'EEFF 2026'!I$3,wallet_records!$O:$O,'EEFF 2026'!$B$1,wallet_records!$N:$N,'EEFF 2026'!I$2,wallet_records!$H:$H,'EEFF 2026'!$B11)</f>
        <v>0</v>
      </c>
      <c r="J11" s="116">
        <f t="shared" si="14"/>
        <v>926942</v>
      </c>
      <c r="K11" s="115">
        <f>SUMIFS(wallet_records!$D:$D,wallet_records!$B:$B,'EEFF 2026'!$C11,wallet_records!$L:$L,'EEFF 2026'!K$3,wallet_records!$O:$O,'EEFF 2026'!$B$1,wallet_records!$N:$N,'EEFF 2026'!K$2,wallet_records!$H:$H,'EEFF 2026'!$B11)</f>
        <v>156000</v>
      </c>
      <c r="L11" s="115">
        <f>SUMIFS(wallet_records!$D:$D,wallet_records!$B:$B,'EEFF 2026'!$C11,wallet_records!$L:$L,'EEFF 2026'!L$3,wallet_records!$O:$O,'EEFF 2026'!$B$1,wallet_records!$N:$N,'EEFF 2026'!L$2,wallet_records!$H:$H,'EEFF 2026'!$B11)</f>
        <v>0</v>
      </c>
      <c r="M11" s="115">
        <f>SUMIFS(wallet_records!$D:$D,wallet_records!$B:$B,'EEFF 2026'!$C11,wallet_records!$L:$L,'EEFF 2026'!M$3,wallet_records!$O:$O,'EEFF 2026'!$B$1,wallet_records!$N:$N,'EEFF 2026'!M$2,wallet_records!$H:$H,'EEFF 2026'!$B11)</f>
        <v>501542</v>
      </c>
      <c r="N11" s="115">
        <f>SUMIFS(wallet_records!$D:$D,wallet_records!$B:$B,'EEFF 2026'!$C11,wallet_records!$L:$L,'EEFF 2026'!N$3,wallet_records!$O:$O,'EEFF 2026'!$B$1,wallet_records!$N:$N,'EEFF 2026'!N$2,wallet_records!$H:$H,'EEFF 2026'!$B11)</f>
        <v>0</v>
      </c>
      <c r="O11" s="115">
        <f>SUMIFS(wallet_records!$D:$D,wallet_records!$B:$B,'EEFF 2026'!$C11,wallet_records!$L:$L,'EEFF 2026'!O$3,wallet_records!$O:$O,'EEFF 2026'!$B$1,wallet_records!$N:$N,'EEFF 2026'!O$2,wallet_records!$H:$H,'EEFF 2026'!$B11)</f>
        <v>269400</v>
      </c>
      <c r="P11" s="115">
        <f>SUMIFS(wallet_records!$D:$D,wallet_records!$B:$B,'EEFF 2026'!$C11,wallet_records!$L:$L,'EEFF 2026'!P$3,wallet_records!$O:$O,'EEFF 2026'!$B$1,wallet_records!$N:$N,'EEFF 2026'!P$2,wallet_records!$H:$H,'EEFF 2026'!$B11)</f>
        <v>0</v>
      </c>
      <c r="Q11" s="116">
        <f t="shared" si="15"/>
        <v>926942</v>
      </c>
      <c r="R11" s="115">
        <f>SUMIFS(wallet_records!$D:$D,wallet_records!$B:$B,'EEFF 2026'!$C11,wallet_records!$L:$L,'EEFF 2026'!R$3,wallet_records!$O:$O,'EEFF 2026'!$B$1,wallet_records!$N:$N,'EEFF 2026'!R$2,wallet_records!$H:$H,'EEFF 2026'!$B11)</f>
        <v>0</v>
      </c>
      <c r="S11" s="115">
        <f>SUMIFS(wallet_records!$D:$D,wallet_records!$B:$B,'EEFF 2026'!$C11,wallet_records!$L:$L,'EEFF 2026'!S$3,wallet_records!$O:$O,'EEFF 2026'!$B$1,wallet_records!$N:$N,'EEFF 2026'!S$2,wallet_records!$H:$H,'EEFF 2026'!$B11)</f>
        <v>0</v>
      </c>
      <c r="T11" s="115">
        <f>SUMIFS(wallet_records!$D:$D,wallet_records!$B:$B,'EEFF 2026'!$C11,wallet_records!$L:$L,'EEFF 2026'!T$3,wallet_records!$O:$O,'EEFF 2026'!$B$1,wallet_records!$N:$N,'EEFF 2026'!T$2,wallet_records!$H:$H,'EEFF 2026'!$B11)</f>
        <v>0</v>
      </c>
      <c r="U11" s="115">
        <f>SUMIFS(wallet_records!$D:$D,wallet_records!$B:$B,'EEFF 2026'!$C11,wallet_records!$L:$L,'EEFF 2026'!U$3,wallet_records!$O:$O,'EEFF 2026'!$B$1,wallet_records!$N:$N,'EEFF 2026'!U$2,wallet_records!$H:$H,'EEFF 2026'!$B11)</f>
        <v>0</v>
      </c>
      <c r="V11" s="115">
        <f>SUMIFS(wallet_records!$D:$D,wallet_records!$B:$B,'EEFF 2026'!$C11,wallet_records!$L:$L,'EEFF 2026'!V$3,wallet_records!$O:$O,'EEFF 2026'!$B$1,wallet_records!$N:$N,'EEFF 2026'!V$2,wallet_records!$H:$H,'EEFF 2026'!$B11)</f>
        <v>0</v>
      </c>
      <c r="W11" s="115">
        <f>SUMIFS(wallet_records!$D:$D,wallet_records!$B:$B,'EEFF 2026'!$C11,wallet_records!$L:$L,'EEFF 2026'!W$3,wallet_records!$O:$O,'EEFF 2026'!$B$1,wallet_records!$N:$N,'EEFF 2026'!W$2,wallet_records!$H:$H,'EEFF 2026'!$B11)</f>
        <v>0</v>
      </c>
      <c r="X11" s="116">
        <f t="shared" si="16"/>
        <v>0</v>
      </c>
      <c r="Y11" s="115">
        <f>SUMIFS(wallet_records!$D:$D,wallet_records!$B:$B,'EEFF 2026'!$C11,wallet_records!$L:$L,'EEFF 2026'!Y$3,wallet_records!$O:$O,'EEFF 2026'!$B$1,wallet_records!$N:$N,'EEFF 2026'!Y$2,wallet_records!$H:$H,'EEFF 2026'!$B11)</f>
        <v>0</v>
      </c>
      <c r="Z11" s="115">
        <f>SUMIFS(wallet_records!$D:$D,wallet_records!$B:$B,'EEFF 2026'!$C11,wallet_records!$L:$L,'EEFF 2026'!Z$3,wallet_records!$O:$O,'EEFF 2026'!$B$1,wallet_records!$N:$N,'EEFF 2026'!Z$2,wallet_records!$H:$H,'EEFF 2026'!$B11)</f>
        <v>0</v>
      </c>
      <c r="AA11" s="115">
        <f>SUMIFS(wallet_records!$D:$D,wallet_records!$B:$B,'EEFF 2026'!$C11,wallet_records!$L:$L,'EEFF 2026'!AA$3,wallet_records!$O:$O,'EEFF 2026'!$B$1,wallet_records!$N:$N,'EEFF 2026'!AA$2,wallet_records!$H:$H,'EEFF 2026'!$B11)</f>
        <v>0</v>
      </c>
      <c r="AB11" s="115">
        <f>SUMIFS(wallet_records!$D:$D,wallet_records!$B:$B,'EEFF 2026'!$C11,wallet_records!$L:$L,'EEFF 2026'!AB$3,wallet_records!$O:$O,'EEFF 2026'!$B$1,wallet_records!$N:$N,'EEFF 2026'!AB$2,wallet_records!$H:$H,'EEFF 2026'!$B11)</f>
        <v>0</v>
      </c>
      <c r="AC11" s="115">
        <f>SUMIFS(wallet_records!$D:$D,wallet_records!$B:$B,'EEFF 2026'!$C11,wallet_records!$L:$L,'EEFF 2026'!AC$3,wallet_records!$O:$O,'EEFF 2026'!$B$1,wallet_records!$N:$N,'EEFF 2026'!AC$2,wallet_records!$H:$H,'EEFF 2026'!$B11)</f>
        <v>0</v>
      </c>
      <c r="AD11" s="115">
        <f>SUMIFS(wallet_records!$D:$D,wallet_records!$B:$B,'EEFF 2026'!$C11,wallet_records!$L:$L,'EEFF 2026'!AD$3,wallet_records!$O:$O,'EEFF 2026'!$B$1,wallet_records!$N:$N,'EEFF 2026'!AD$2,wallet_records!$H:$H,'EEFF 2026'!$B11)</f>
        <v>0</v>
      </c>
      <c r="AE11" s="116">
        <f t="shared" si="17"/>
        <v>0</v>
      </c>
      <c r="AF11" s="115">
        <f>SUMIFS(wallet_records!$D:$D,wallet_records!$B:$B,'EEFF 2026'!$C11,wallet_records!$L:$L,'EEFF 2026'!AF$3,wallet_records!$O:$O,'EEFF 2026'!$B$1,wallet_records!$N:$N,'EEFF 2026'!AF$2,wallet_records!$H:$H,'EEFF 2026'!$B11)</f>
        <v>0</v>
      </c>
      <c r="AG11" s="115">
        <f>SUMIFS(wallet_records!$D:$D,wallet_records!$B:$B,'EEFF 2026'!$C11,wallet_records!$L:$L,'EEFF 2026'!AG$3,wallet_records!$O:$O,'EEFF 2026'!$B$1,wallet_records!$N:$N,'EEFF 2026'!AG$2,wallet_records!$H:$H,'EEFF 2026'!$B11)</f>
        <v>0</v>
      </c>
      <c r="AH11" s="115">
        <f>SUMIFS(wallet_records!$D:$D,wallet_records!$B:$B,'EEFF 2026'!$C11,wallet_records!$L:$L,'EEFF 2026'!AH$3,wallet_records!$O:$O,'EEFF 2026'!$B$1,wallet_records!$N:$N,'EEFF 2026'!AH$2,wallet_records!$H:$H,'EEFF 2026'!$B11)</f>
        <v>0</v>
      </c>
      <c r="AI11" s="115">
        <f>SUMIFS(wallet_records!$D:$D,wallet_records!$B:$B,'EEFF 2026'!$C11,wallet_records!$L:$L,'EEFF 2026'!AI$3,wallet_records!$O:$O,'EEFF 2026'!$B$1,wallet_records!$N:$N,'EEFF 2026'!AI$2,wallet_records!$H:$H,'EEFF 2026'!$B11)</f>
        <v>0</v>
      </c>
      <c r="AJ11" s="115">
        <f>SUMIFS(wallet_records!$D:$D,wallet_records!$B:$B,'EEFF 2026'!$C11,wallet_records!$L:$L,'EEFF 2026'!AJ$3,wallet_records!$O:$O,'EEFF 2026'!$B$1,wallet_records!$N:$N,'EEFF 2026'!AJ$2,wallet_records!$H:$H,'EEFF 2026'!$B11)</f>
        <v>0</v>
      </c>
      <c r="AK11" s="115">
        <f>SUMIFS(wallet_records!$D:$D,wallet_records!$B:$B,'EEFF 2026'!$C11,wallet_records!$L:$L,'EEFF 2026'!AK$3,wallet_records!$O:$O,'EEFF 2026'!$B$1,wallet_records!$N:$N,'EEFF 2026'!AK$2,wallet_records!$H:$H,'EEFF 2026'!$B11)</f>
        <v>0</v>
      </c>
      <c r="AL11" s="116">
        <f t="shared" si="18"/>
        <v>0</v>
      </c>
      <c r="AM11" s="115">
        <f>SUMIFS(wallet_records!$D:$D,wallet_records!$B:$B,'EEFF 2026'!$C11,wallet_records!$L:$L,'EEFF 2026'!AM$3,wallet_records!$O:$O,'EEFF 2026'!$B$1,wallet_records!$N:$N,'EEFF 2026'!AM$2,wallet_records!$H:$H,'EEFF 2026'!$B11)</f>
        <v>0</v>
      </c>
      <c r="AN11" s="115">
        <f>SUMIFS(wallet_records!$D:$D,wallet_records!$B:$B,'EEFF 2026'!$C11,wallet_records!$L:$L,'EEFF 2026'!AN$3,wallet_records!$O:$O,'EEFF 2026'!$B$1,wallet_records!$N:$N,'EEFF 2026'!AN$2,wallet_records!$H:$H,'EEFF 2026'!$B11)</f>
        <v>0</v>
      </c>
      <c r="AO11" s="115">
        <f>SUMIFS(wallet_records!$D:$D,wallet_records!$B:$B,'EEFF 2026'!$C11,wallet_records!$L:$L,'EEFF 2026'!AO$3,wallet_records!$O:$O,'EEFF 2026'!$B$1,wallet_records!$N:$N,'EEFF 2026'!AO$2,wallet_records!$H:$H,'EEFF 2026'!$B11)</f>
        <v>0</v>
      </c>
      <c r="AP11" s="115">
        <f>SUMIFS(wallet_records!$D:$D,wallet_records!$B:$B,'EEFF 2026'!$C11,wallet_records!$L:$L,'EEFF 2026'!AP$3,wallet_records!$O:$O,'EEFF 2026'!$B$1,wallet_records!$N:$N,'EEFF 2026'!AP$2,wallet_records!$H:$H,'EEFF 2026'!$B11)</f>
        <v>0</v>
      </c>
      <c r="AQ11" s="115">
        <f>SUMIFS(wallet_records!$D:$D,wallet_records!$B:$B,'EEFF 2026'!$C11,wallet_records!$L:$L,'EEFF 2026'!AQ$3,wallet_records!$O:$O,'EEFF 2026'!$B$1,wallet_records!$N:$N,'EEFF 2026'!AQ$2,wallet_records!$H:$H,'EEFF 2026'!$B11)</f>
        <v>0</v>
      </c>
      <c r="AR11" s="115">
        <f>SUMIFS(wallet_records!$D:$D,wallet_records!$B:$B,'EEFF 2026'!$C11,wallet_records!$L:$L,'EEFF 2026'!AR$3,wallet_records!$O:$O,'EEFF 2026'!$B$1,wallet_records!$N:$N,'EEFF 2026'!AR$2,wallet_records!$H:$H,'EEFF 2026'!$B11)</f>
        <v>0</v>
      </c>
      <c r="AS11" s="116">
        <f t="shared" si="19"/>
        <v>0</v>
      </c>
      <c r="AT11" s="115">
        <f>SUMIFS(wallet_records!$D:$D,wallet_records!$B:$B,'EEFF 2026'!$C11,wallet_records!$L:$L,'EEFF 2026'!AT$3,wallet_records!$O:$O,'EEFF 2026'!$B$1,wallet_records!$N:$N,'EEFF 2026'!AT$2,wallet_records!$H:$H,'EEFF 2026'!$B11)</f>
        <v>0</v>
      </c>
      <c r="AU11" s="115">
        <f>SUMIFS(wallet_records!$D:$D,wallet_records!$B:$B,'EEFF 2026'!$C11,wallet_records!$L:$L,'EEFF 2026'!AU$3,wallet_records!$O:$O,'EEFF 2026'!$B$1,wallet_records!$N:$N,'EEFF 2026'!AU$2,wallet_records!$H:$H,'EEFF 2026'!$B11)</f>
        <v>0</v>
      </c>
      <c r="AV11" s="115">
        <f>SUMIFS(wallet_records!$D:$D,wallet_records!$B:$B,'EEFF 2026'!$C11,wallet_records!$L:$L,'EEFF 2026'!AV$3,wallet_records!$O:$O,'EEFF 2026'!$B$1,wallet_records!$N:$N,'EEFF 2026'!AV$2,wallet_records!$H:$H,'EEFF 2026'!$B11)</f>
        <v>0</v>
      </c>
      <c r="AW11" s="115">
        <f>SUMIFS(wallet_records!$D:$D,wallet_records!$B:$B,'EEFF 2026'!$C11,wallet_records!$L:$L,'EEFF 2026'!AW$3,wallet_records!$O:$O,'EEFF 2026'!$B$1,wallet_records!$N:$N,'EEFF 2026'!AW$2,wallet_records!$H:$H,'EEFF 2026'!$B11)</f>
        <v>0</v>
      </c>
      <c r="AX11" s="115">
        <f>SUMIFS(wallet_records!$D:$D,wallet_records!$B:$B,'EEFF 2026'!$C11,wallet_records!$L:$L,'EEFF 2026'!AX$3,wallet_records!$O:$O,'EEFF 2026'!$B$1,wallet_records!$N:$N,'EEFF 2026'!AX$2,wallet_records!$H:$H,'EEFF 2026'!$B11)</f>
        <v>0</v>
      </c>
      <c r="AY11" s="115">
        <f>SUMIFS(wallet_records!$D:$D,wallet_records!$B:$B,'EEFF 2026'!$C11,wallet_records!$L:$L,'EEFF 2026'!AY$3,wallet_records!$O:$O,'EEFF 2026'!$B$1,wallet_records!$N:$N,'EEFF 2026'!AY$2,wallet_records!$H:$H,'EEFF 2026'!$B11)</f>
        <v>0</v>
      </c>
      <c r="AZ11" s="116">
        <f t="shared" si="20"/>
        <v>0</v>
      </c>
      <c r="BA11" s="115">
        <f>SUMIFS(wallet_records!$D:$D,wallet_records!$B:$B,'EEFF 2026'!$C11,wallet_records!$L:$L,'EEFF 2026'!BA$3,wallet_records!$O:$O,'EEFF 2026'!$B$1,wallet_records!$N:$N,'EEFF 2026'!BA$2,wallet_records!$H:$H,'EEFF 2026'!$B11)</f>
        <v>0</v>
      </c>
      <c r="BB11" s="115">
        <f>SUMIFS(wallet_records!$D:$D,wallet_records!$B:$B,'EEFF 2026'!$C11,wallet_records!$L:$L,'EEFF 2026'!BB$3,wallet_records!$O:$O,'EEFF 2026'!$B$1,wallet_records!$N:$N,'EEFF 2026'!BB$2,wallet_records!$H:$H,'EEFF 2026'!$B11)</f>
        <v>0</v>
      </c>
      <c r="BC11" s="115">
        <f>SUMIFS(wallet_records!$D:$D,wallet_records!$B:$B,'EEFF 2026'!$C11,wallet_records!$L:$L,'EEFF 2026'!BC$3,wallet_records!$O:$O,'EEFF 2026'!$B$1,wallet_records!$N:$N,'EEFF 2026'!BC$2,wallet_records!$H:$H,'EEFF 2026'!$B11)</f>
        <v>0</v>
      </c>
      <c r="BD11" s="115">
        <f>SUMIFS(wallet_records!$D:$D,wallet_records!$B:$B,'EEFF 2026'!$C11,wallet_records!$L:$L,'EEFF 2026'!BD$3,wallet_records!$O:$O,'EEFF 2026'!$B$1,wallet_records!$N:$N,'EEFF 2026'!BD$2,wallet_records!$H:$H,'EEFF 2026'!$B11)</f>
        <v>0</v>
      </c>
      <c r="BE11" s="115">
        <f>SUMIFS(wallet_records!$D:$D,wallet_records!$B:$B,'EEFF 2026'!$C11,wallet_records!$L:$L,'EEFF 2026'!BE$3,wallet_records!$O:$O,'EEFF 2026'!$B$1,wallet_records!$N:$N,'EEFF 2026'!BE$2,wallet_records!$H:$H,'EEFF 2026'!$B11)</f>
        <v>0</v>
      </c>
      <c r="BF11" s="115">
        <f>SUMIFS(wallet_records!$D:$D,wallet_records!$B:$B,'EEFF 2026'!$C11,wallet_records!$L:$L,'EEFF 2026'!BF$3,wallet_records!$O:$O,'EEFF 2026'!$B$1,wallet_records!$N:$N,'EEFF 2026'!BF$2,wallet_records!$H:$H,'EEFF 2026'!$B11)</f>
        <v>0</v>
      </c>
      <c r="BG11" s="116">
        <f t="shared" si="21"/>
        <v>0</v>
      </c>
      <c r="BH11" s="115">
        <f>SUMIFS(wallet_records!$D:$D,wallet_records!$B:$B,'EEFF 2026'!$C11,wallet_records!$L:$L,'EEFF 2026'!BH$3,wallet_records!$O:$O,'EEFF 2026'!$B$1,wallet_records!$N:$N,'EEFF 2026'!BH$2,wallet_records!$H:$H,'EEFF 2026'!$B11)</f>
        <v>0</v>
      </c>
      <c r="BI11" s="115">
        <f>SUMIFS(wallet_records!$D:$D,wallet_records!$B:$B,'EEFF 2026'!$C11,wallet_records!$L:$L,'EEFF 2026'!BI$3,wallet_records!$O:$O,'EEFF 2026'!$B$1,wallet_records!$N:$N,'EEFF 2026'!BI$2,wallet_records!$H:$H,'EEFF 2026'!$B11)</f>
        <v>0</v>
      </c>
      <c r="BJ11" s="115">
        <f>SUMIFS(wallet_records!$D:$D,wallet_records!$B:$B,'EEFF 2026'!$C11,wallet_records!$L:$L,'EEFF 2026'!BJ$3,wallet_records!$O:$O,'EEFF 2026'!$B$1,wallet_records!$N:$N,'EEFF 2026'!BJ$2,wallet_records!$H:$H,'EEFF 2026'!$B11)</f>
        <v>0</v>
      </c>
      <c r="BK11" s="115">
        <f>SUMIFS(wallet_records!$D:$D,wallet_records!$B:$B,'EEFF 2026'!$C11,wallet_records!$L:$L,'EEFF 2026'!BK$3,wallet_records!$O:$O,'EEFF 2026'!$B$1,wallet_records!$N:$N,'EEFF 2026'!BK$2,wallet_records!$H:$H,'EEFF 2026'!$B11)</f>
        <v>0</v>
      </c>
      <c r="BL11" s="115">
        <f>SUMIFS(wallet_records!$D:$D,wallet_records!$B:$B,'EEFF 2026'!$C11,wallet_records!$L:$L,'EEFF 2026'!BL$3,wallet_records!$O:$O,'EEFF 2026'!$B$1,wallet_records!$N:$N,'EEFF 2026'!BL$2,wallet_records!$H:$H,'EEFF 2026'!$B11)</f>
        <v>0</v>
      </c>
      <c r="BM11" s="115">
        <f>SUMIFS(wallet_records!$D:$D,wallet_records!$B:$B,'EEFF 2026'!$C11,wallet_records!$L:$L,'EEFF 2026'!BM$3,wallet_records!$O:$O,'EEFF 2026'!$B$1,wallet_records!$N:$N,'EEFF 2026'!BM$2,wallet_records!$H:$H,'EEFF 2026'!$B11)</f>
        <v>0</v>
      </c>
      <c r="BN11" s="116">
        <f t="shared" si="22"/>
        <v>0</v>
      </c>
      <c r="BO11" s="115">
        <f>SUMIFS(wallet_records!$D:$D,wallet_records!$B:$B,'EEFF 2026'!$C11,wallet_records!$L:$L,'EEFF 2026'!BO$3,wallet_records!$O:$O,'EEFF 2026'!$B$1,wallet_records!$N:$N,'EEFF 2026'!BO$2,wallet_records!$H:$H,'EEFF 2026'!$B11)</f>
        <v>0</v>
      </c>
      <c r="BP11" s="115">
        <f>SUMIFS(wallet_records!$D:$D,wallet_records!$B:$B,'EEFF 2026'!$C11,wallet_records!$L:$L,'EEFF 2026'!BP$3,wallet_records!$O:$O,'EEFF 2026'!$B$1,wallet_records!$N:$N,'EEFF 2026'!BP$2,wallet_records!$H:$H,'EEFF 2026'!$B11)</f>
        <v>0</v>
      </c>
      <c r="BQ11" s="115">
        <f>SUMIFS(wallet_records!$D:$D,wallet_records!$B:$B,'EEFF 2026'!$C11,wallet_records!$L:$L,'EEFF 2026'!BQ$3,wallet_records!$O:$O,'EEFF 2026'!$B$1,wallet_records!$N:$N,'EEFF 2026'!BQ$2,wallet_records!$H:$H,'EEFF 2026'!$B11)</f>
        <v>0</v>
      </c>
      <c r="BR11" s="115">
        <f>SUMIFS(wallet_records!$D:$D,wallet_records!$B:$B,'EEFF 2026'!$C11,wallet_records!$L:$L,'EEFF 2026'!BR$3,wallet_records!$O:$O,'EEFF 2026'!$B$1,wallet_records!$N:$N,'EEFF 2026'!BR$2,wallet_records!$H:$H,'EEFF 2026'!$B11)</f>
        <v>0</v>
      </c>
      <c r="BS11" s="115">
        <f>SUMIFS(wallet_records!$D:$D,wallet_records!$B:$B,'EEFF 2026'!$C11,wallet_records!$L:$L,'EEFF 2026'!BS$3,wallet_records!$O:$O,'EEFF 2026'!$B$1,wallet_records!$N:$N,'EEFF 2026'!BS$2,wallet_records!$H:$H,'EEFF 2026'!$B11)</f>
        <v>0</v>
      </c>
      <c r="BT11" s="115">
        <f>SUMIFS(wallet_records!$D:$D,wallet_records!$B:$B,'EEFF 2026'!$C11,wallet_records!$L:$L,'EEFF 2026'!BT$3,wallet_records!$O:$O,'EEFF 2026'!$B$1,wallet_records!$N:$N,'EEFF 2026'!BT$2,wallet_records!$H:$H,'EEFF 2026'!$B11)</f>
        <v>0</v>
      </c>
      <c r="BU11" s="116">
        <f t="shared" si="23"/>
        <v>0</v>
      </c>
      <c r="BV11" s="115">
        <f>SUMIFS(wallet_records!$D:$D,wallet_records!$B:$B,'EEFF 2026'!$C11,wallet_records!$L:$L,'EEFF 2026'!BV$3,wallet_records!$O:$O,'EEFF 2026'!$B$1,wallet_records!$N:$N,'EEFF 2026'!BV$2,wallet_records!$H:$H,'EEFF 2026'!$B11)</f>
        <v>0</v>
      </c>
      <c r="BW11" s="115">
        <f>SUMIFS(wallet_records!$D:$D,wallet_records!$B:$B,'EEFF 2026'!$C11,wallet_records!$L:$L,'EEFF 2026'!BW$3,wallet_records!$O:$O,'EEFF 2026'!$B$1,wallet_records!$N:$N,'EEFF 2026'!BW$2,wallet_records!$H:$H,'EEFF 2026'!$B11)</f>
        <v>0</v>
      </c>
      <c r="BX11" s="115">
        <f>SUMIFS(wallet_records!$D:$D,wallet_records!$B:$B,'EEFF 2026'!$C11,wallet_records!$L:$L,'EEFF 2026'!BX$3,wallet_records!$O:$O,'EEFF 2026'!$B$1,wallet_records!$N:$N,'EEFF 2026'!BX$2,wallet_records!$H:$H,'EEFF 2026'!$B11)</f>
        <v>0</v>
      </c>
      <c r="BY11" s="115">
        <f>SUMIFS(wallet_records!$D:$D,wallet_records!$B:$B,'EEFF 2026'!$C11,wallet_records!$L:$L,'EEFF 2026'!BY$3,wallet_records!$O:$O,'EEFF 2026'!$B$1,wallet_records!$N:$N,'EEFF 2026'!BY$2,wallet_records!$H:$H,'EEFF 2026'!$B11)</f>
        <v>0</v>
      </c>
      <c r="BZ11" s="115">
        <f>SUMIFS(wallet_records!$D:$D,wallet_records!$B:$B,'EEFF 2026'!$C11,wallet_records!$L:$L,'EEFF 2026'!BZ$3,wallet_records!$O:$O,'EEFF 2026'!$B$1,wallet_records!$N:$N,'EEFF 2026'!BZ$2,wallet_records!$H:$H,'EEFF 2026'!$B11)</f>
        <v>0</v>
      </c>
      <c r="CA11" s="115">
        <f>SUMIFS(wallet_records!$D:$D,wallet_records!$B:$B,'EEFF 2026'!$C11,wallet_records!$L:$L,'EEFF 2026'!CA$3,wallet_records!$O:$O,'EEFF 2026'!$B$1,wallet_records!$N:$N,'EEFF 2026'!CA$2,wallet_records!$H:$H,'EEFF 2026'!$B11)</f>
        <v>0</v>
      </c>
      <c r="CB11" s="116">
        <f t="shared" si="24"/>
        <v>0</v>
      </c>
      <c r="CC11" s="115">
        <f>SUMIFS(wallet_records!$D:$D,wallet_records!$B:$B,'EEFF 2026'!$C11,wallet_records!$L:$L,'EEFF 2026'!CC$3,wallet_records!$O:$O,'EEFF 2026'!$B$1,wallet_records!$N:$N,'EEFF 2026'!CC$2,wallet_records!$H:$H,'EEFF 2026'!$B11)</f>
        <v>0</v>
      </c>
      <c r="CD11" s="115">
        <f>SUMIFS(wallet_records!$D:$D,wallet_records!$B:$B,'EEFF 2026'!$C11,wallet_records!$L:$L,'EEFF 2026'!CD$3,wallet_records!$O:$O,'EEFF 2026'!$B$1,wallet_records!$N:$N,'EEFF 2026'!CD$2,wallet_records!$H:$H,'EEFF 2026'!$B11)</f>
        <v>0</v>
      </c>
      <c r="CE11" s="115">
        <f>SUMIFS(wallet_records!$D:$D,wallet_records!$B:$B,'EEFF 2026'!$C11,wallet_records!$L:$L,'EEFF 2026'!CE$3,wallet_records!$O:$O,'EEFF 2026'!$B$1,wallet_records!$N:$N,'EEFF 2026'!CE$2,wallet_records!$H:$H,'EEFF 2026'!$B11)</f>
        <v>0</v>
      </c>
      <c r="CF11" s="115">
        <f>SUMIFS(wallet_records!$D:$D,wallet_records!$B:$B,'EEFF 2026'!$C11,wallet_records!$L:$L,'EEFF 2026'!CF$3,wallet_records!$O:$O,'EEFF 2026'!$B$1,wallet_records!$N:$N,'EEFF 2026'!CF$2,wallet_records!$H:$H,'EEFF 2026'!$B11)</f>
        <v>0</v>
      </c>
      <c r="CG11" s="115">
        <f>SUMIFS(wallet_records!$D:$D,wallet_records!$B:$B,'EEFF 2026'!$C11,wallet_records!$L:$L,'EEFF 2026'!CG$3,wallet_records!$O:$O,'EEFF 2026'!$B$1,wallet_records!$N:$N,'EEFF 2026'!CG$2,wallet_records!$H:$H,'EEFF 2026'!$B11)</f>
        <v>0</v>
      </c>
      <c r="CH11" s="115">
        <f>SUMIFS(wallet_records!$D:$D,wallet_records!$B:$B,'EEFF 2026'!$C11,wallet_records!$L:$L,'EEFF 2026'!CH$3,wallet_records!$O:$O,'EEFF 2026'!$B$1,wallet_records!$N:$N,'EEFF 2026'!CH$2,wallet_records!$H:$H,'EEFF 2026'!$B11)</f>
        <v>0</v>
      </c>
      <c r="CI11" s="116">
        <f t="shared" si="25"/>
        <v>0</v>
      </c>
      <c r="CJ11" s="115">
        <f>SUMIFS(wallet_records!$D:$D,wallet_records!$B:$B,'EEFF 2026'!$C11,wallet_records!$L:$L,'EEFF 2026'!CJ$3,wallet_records!$O:$O,'EEFF 2026'!$B$1,wallet_records!$H:$H,'EEFF 2026'!$B11)</f>
        <v>312000</v>
      </c>
      <c r="CK11" s="115">
        <f>SUMIFS(wallet_records!$D:$D,wallet_records!$B:$B,'EEFF 2026'!$C11,wallet_records!$L:$L,'EEFF 2026'!CK$3,wallet_records!$O:$O,'EEFF 2026'!$B$1,wallet_records!$H:$H,'EEFF 2026'!$B11)</f>
        <v>0</v>
      </c>
      <c r="CL11" s="115">
        <f>SUMIFS(wallet_records!$D:$D,wallet_records!$B:$B,'EEFF 2026'!$C11,wallet_records!$L:$L,'EEFF 2026'!CL$3,wallet_records!$O:$O,'EEFF 2026'!$B$1,wallet_records!$H:$H,'EEFF 2026'!$B11)</f>
        <v>1003084</v>
      </c>
      <c r="CM11" s="115">
        <f>SUMIFS(wallet_records!$D:$D,wallet_records!$B:$B,'EEFF 2026'!$C11,wallet_records!$L:$L,'EEFF 2026'!CM$3,wallet_records!$O:$O,'EEFF 2026'!$B$1,wallet_records!$H:$H,'EEFF 2026'!$B11)</f>
        <v>0</v>
      </c>
      <c r="CN11" s="115">
        <f>SUMIFS(wallet_records!$D:$D,wallet_records!$B:$B,'EEFF 2026'!$C11,wallet_records!$L:$L,'EEFF 2026'!CN$3,wallet_records!$O:$O,'EEFF 2026'!$B$1,wallet_records!$H:$H,'EEFF 2026'!$B11)</f>
        <v>538800</v>
      </c>
      <c r="CO11" s="115">
        <f>SUMIFS(wallet_records!$D:$D,wallet_records!$B:$B,'EEFF 2026'!$C11,wallet_records!$L:$L,'EEFF 2026'!CO$3,wallet_records!$O:$O,'EEFF 2026'!$B$1,wallet_records!$H:$H,'EEFF 2026'!$B11)</f>
        <v>0</v>
      </c>
      <c r="CP11" s="116">
        <f t="shared" si="26"/>
        <v>1853884</v>
      </c>
      <c r="CQ11" s="107"/>
      <c r="CR11" s="118">
        <f t="shared" si="0"/>
        <v>9.7648905463202915E-2</v>
      </c>
      <c r="CS11" s="118">
        <f t="shared" si="1"/>
        <v>0.14401112388528106</v>
      </c>
      <c r="CT11" s="118" t="e">
        <f t="shared" si="2"/>
        <v>#DIV/0!</v>
      </c>
      <c r="CU11" s="118" t="e">
        <f t="shared" si="3"/>
        <v>#DIV/0!</v>
      </c>
      <c r="CV11" s="118" t="e">
        <f t="shared" si="4"/>
        <v>#DIV/0!</v>
      </c>
      <c r="CW11" s="118" t="e">
        <f t="shared" si="5"/>
        <v>#DIV/0!</v>
      </c>
      <c r="CX11" s="118" t="e">
        <f t="shared" si="6"/>
        <v>#DIV/0!</v>
      </c>
      <c r="CY11" s="118" t="e">
        <f t="shared" si="7"/>
        <v>#DIV/0!</v>
      </c>
      <c r="CZ11" s="118" t="e">
        <f t="shared" si="8"/>
        <v>#DIV/0!</v>
      </c>
      <c r="DA11" s="118" t="e">
        <f t="shared" si="9"/>
        <v>#DIV/0!</v>
      </c>
      <c r="DB11" s="118" t="e">
        <f t="shared" si="10"/>
        <v>#DIV/0!</v>
      </c>
      <c r="DC11" s="118" t="e">
        <f t="shared" si="11"/>
        <v>#DIV/0!</v>
      </c>
    </row>
    <row r="12" spans="2:120" x14ac:dyDescent="0.2">
      <c r="B12" s="107" t="s">
        <v>508</v>
      </c>
      <c r="C12" s="191" t="s">
        <v>154</v>
      </c>
      <c r="D12" s="115">
        <f>SUMIFS(wallet_records!$D:$D,wallet_records!$B:$B,'EEFF 2026'!$C12,wallet_records!$L:$L,'EEFF 2026'!D$3,wallet_records!$O:$O,'EEFF 2026'!$B$1,wallet_records!$N:$N,'EEFF 2026'!D$2,wallet_records!$H:$H,'EEFF 2026'!$B12)</f>
        <v>0</v>
      </c>
      <c r="E12" s="115">
        <f>SUMIFS(wallet_records!$D:$D,wallet_records!$B:$B,'EEFF 2026'!$C12,wallet_records!$L:$L,'EEFF 2026'!E$3,wallet_records!$O:$O,'EEFF 2026'!$B$1,wallet_records!$N:$N,'EEFF 2026'!E$2,wallet_records!$H:$H,'EEFF 2026'!$B12)</f>
        <v>0</v>
      </c>
      <c r="F12" s="115">
        <f>SUMIFS(wallet_records!$D:$D,wallet_records!$B:$B,'EEFF 2026'!$C12,wallet_records!$L:$L,'EEFF 2026'!F$3,wallet_records!$O:$O,'EEFF 2026'!$B$1,wallet_records!$N:$N,'EEFF 2026'!F$2,wallet_records!$H:$H,'EEFF 2026'!$B12)</f>
        <v>0</v>
      </c>
      <c r="G12" s="115">
        <f>SUMIFS(wallet_records!$D:$D,wallet_records!$B:$B,'EEFF 2026'!$C12,wallet_records!$L:$L,'EEFF 2026'!G$3,wallet_records!$O:$O,'EEFF 2026'!$B$1,wallet_records!$N:$N,'EEFF 2026'!G$2,wallet_records!$H:$H,'EEFF 2026'!$B12)</f>
        <v>0</v>
      </c>
      <c r="H12" s="115">
        <f>SUMIFS(wallet_records!$D:$D,wallet_records!$B:$B,'EEFF 2026'!$C12,wallet_records!$L:$L,'EEFF 2026'!H$3,wallet_records!$O:$O,'EEFF 2026'!$B$1,wallet_records!$N:$N,'EEFF 2026'!H$2,wallet_records!$H:$H,'EEFF 2026'!$B12)</f>
        <v>0</v>
      </c>
      <c r="I12" s="115">
        <f>SUMIFS(wallet_records!$D:$D,wallet_records!$B:$B,'EEFF 2026'!$C12,wallet_records!$L:$L,'EEFF 2026'!I$3,wallet_records!$O:$O,'EEFF 2026'!$B$1,wallet_records!$N:$N,'EEFF 2026'!I$2,wallet_records!$H:$H,'EEFF 2026'!$B12)</f>
        <v>0</v>
      </c>
      <c r="J12" s="116">
        <f t="shared" si="14"/>
        <v>0</v>
      </c>
      <c r="K12" s="115">
        <f>SUMIFS(wallet_records!$D:$D,wallet_records!$B:$B,'EEFF 2026'!$C12,wallet_records!$L:$L,'EEFF 2026'!K$3,wallet_records!$O:$O,'EEFF 2026'!$B$1,wallet_records!$N:$N,'EEFF 2026'!K$2,wallet_records!$H:$H,'EEFF 2026'!$B12)</f>
        <v>2461875</v>
      </c>
      <c r="L12" s="115">
        <f>SUMIFS(wallet_records!$D:$D,wallet_records!$B:$B,'EEFF 2026'!$C12,wallet_records!$L:$L,'EEFF 2026'!L$3,wallet_records!$O:$O,'EEFF 2026'!$B$1,wallet_records!$N:$N,'EEFF 2026'!L$2,wallet_records!$H:$H,'EEFF 2026'!$B12)</f>
        <v>4431940</v>
      </c>
      <c r="M12" s="115">
        <f>SUMIFS(wallet_records!$D:$D,wallet_records!$B:$B,'EEFF 2026'!$C12,wallet_records!$L:$L,'EEFF 2026'!M$3,wallet_records!$O:$O,'EEFF 2026'!$B$1,wallet_records!$N:$N,'EEFF 2026'!M$2,wallet_records!$H:$H,'EEFF 2026'!$B12)</f>
        <v>1823377</v>
      </c>
      <c r="N12" s="115">
        <f>SUMIFS(wallet_records!$D:$D,wallet_records!$B:$B,'EEFF 2026'!$C12,wallet_records!$L:$L,'EEFF 2026'!N$3,wallet_records!$O:$O,'EEFF 2026'!$B$1,wallet_records!$N:$N,'EEFF 2026'!N$2,wallet_records!$H:$H,'EEFF 2026'!$B12)</f>
        <v>359256</v>
      </c>
      <c r="O12" s="115">
        <f>SUMIFS(wallet_records!$D:$D,wallet_records!$B:$B,'EEFF 2026'!$C12,wallet_records!$L:$L,'EEFF 2026'!O$3,wallet_records!$O:$O,'EEFF 2026'!$B$1,wallet_records!$N:$N,'EEFF 2026'!O$2,wallet_records!$H:$H,'EEFF 2026'!$B12)</f>
        <v>1320857</v>
      </c>
      <c r="P12" s="115">
        <f>SUMIFS(wallet_records!$D:$D,wallet_records!$B:$B,'EEFF 2026'!$C12,wallet_records!$L:$L,'EEFF 2026'!P$3,wallet_records!$O:$O,'EEFF 2026'!$B$1,wallet_records!$N:$N,'EEFF 2026'!P$2,wallet_records!$H:$H,'EEFF 2026'!$B12)</f>
        <v>0</v>
      </c>
      <c r="Q12" s="116">
        <f t="shared" si="15"/>
        <v>10397305</v>
      </c>
      <c r="R12" s="115">
        <f>SUMIFS(wallet_records!$D:$D,wallet_records!$B:$B,'EEFF 2026'!$C12,wallet_records!$L:$L,'EEFF 2026'!R$3,wallet_records!$O:$O,'EEFF 2026'!$B$1,wallet_records!$N:$N,'EEFF 2026'!R$2,wallet_records!$H:$H,'EEFF 2026'!$B12)</f>
        <v>0</v>
      </c>
      <c r="S12" s="115">
        <f>SUMIFS(wallet_records!$D:$D,wallet_records!$B:$B,'EEFF 2026'!$C12,wallet_records!$L:$L,'EEFF 2026'!S$3,wallet_records!$O:$O,'EEFF 2026'!$B$1,wallet_records!$N:$N,'EEFF 2026'!S$2,wallet_records!$H:$H,'EEFF 2026'!$B12)</f>
        <v>0</v>
      </c>
      <c r="T12" s="115">
        <f>SUMIFS(wallet_records!$D:$D,wallet_records!$B:$B,'EEFF 2026'!$C12,wallet_records!$L:$L,'EEFF 2026'!T$3,wallet_records!$O:$O,'EEFF 2026'!$B$1,wallet_records!$N:$N,'EEFF 2026'!T$2,wallet_records!$H:$H,'EEFF 2026'!$B12)</f>
        <v>0</v>
      </c>
      <c r="U12" s="115">
        <f>SUMIFS(wallet_records!$D:$D,wallet_records!$B:$B,'EEFF 2026'!$C12,wallet_records!$L:$L,'EEFF 2026'!U$3,wallet_records!$O:$O,'EEFF 2026'!$B$1,wallet_records!$N:$N,'EEFF 2026'!U$2,wallet_records!$H:$H,'EEFF 2026'!$B12)</f>
        <v>0</v>
      </c>
      <c r="V12" s="115">
        <f>SUMIFS(wallet_records!$D:$D,wallet_records!$B:$B,'EEFF 2026'!$C12,wallet_records!$L:$L,'EEFF 2026'!V$3,wallet_records!$O:$O,'EEFF 2026'!$B$1,wallet_records!$N:$N,'EEFF 2026'!V$2,wallet_records!$H:$H,'EEFF 2026'!$B12)</f>
        <v>0</v>
      </c>
      <c r="W12" s="115">
        <f>SUMIFS(wallet_records!$D:$D,wallet_records!$B:$B,'EEFF 2026'!$C12,wallet_records!$L:$L,'EEFF 2026'!W$3,wallet_records!$O:$O,'EEFF 2026'!$B$1,wallet_records!$N:$N,'EEFF 2026'!W$2,wallet_records!$H:$H,'EEFF 2026'!$B12)</f>
        <v>0</v>
      </c>
      <c r="X12" s="116">
        <f t="shared" si="16"/>
        <v>0</v>
      </c>
      <c r="Y12" s="115">
        <f>SUMIFS(wallet_records!$D:$D,wallet_records!$B:$B,'EEFF 2026'!$C12,wallet_records!$L:$L,'EEFF 2026'!Y$3,wallet_records!$O:$O,'EEFF 2026'!$B$1,wallet_records!$N:$N,'EEFF 2026'!Y$2,wallet_records!$H:$H,'EEFF 2026'!$B12)</f>
        <v>0</v>
      </c>
      <c r="Z12" s="115">
        <f>SUMIFS(wallet_records!$D:$D,wallet_records!$B:$B,'EEFF 2026'!$C12,wallet_records!$L:$L,'EEFF 2026'!Z$3,wallet_records!$O:$O,'EEFF 2026'!$B$1,wallet_records!$N:$N,'EEFF 2026'!Z$2,wallet_records!$H:$H,'EEFF 2026'!$B12)</f>
        <v>0</v>
      </c>
      <c r="AA12" s="115">
        <f>SUMIFS(wallet_records!$D:$D,wallet_records!$B:$B,'EEFF 2026'!$C12,wallet_records!$L:$L,'EEFF 2026'!AA$3,wallet_records!$O:$O,'EEFF 2026'!$B$1,wallet_records!$N:$N,'EEFF 2026'!AA$2,wallet_records!$H:$H,'EEFF 2026'!$B12)</f>
        <v>0</v>
      </c>
      <c r="AB12" s="115">
        <f>SUMIFS(wallet_records!$D:$D,wallet_records!$B:$B,'EEFF 2026'!$C12,wallet_records!$L:$L,'EEFF 2026'!AB$3,wallet_records!$O:$O,'EEFF 2026'!$B$1,wallet_records!$N:$N,'EEFF 2026'!AB$2,wallet_records!$H:$H,'EEFF 2026'!$B12)</f>
        <v>0</v>
      </c>
      <c r="AC12" s="115">
        <f>SUMIFS(wallet_records!$D:$D,wallet_records!$B:$B,'EEFF 2026'!$C12,wallet_records!$L:$L,'EEFF 2026'!AC$3,wallet_records!$O:$O,'EEFF 2026'!$B$1,wallet_records!$N:$N,'EEFF 2026'!AC$2,wallet_records!$H:$H,'EEFF 2026'!$B12)</f>
        <v>0</v>
      </c>
      <c r="AD12" s="115">
        <f>SUMIFS(wallet_records!$D:$D,wallet_records!$B:$B,'EEFF 2026'!$C12,wallet_records!$L:$L,'EEFF 2026'!AD$3,wallet_records!$O:$O,'EEFF 2026'!$B$1,wallet_records!$N:$N,'EEFF 2026'!AD$2,wallet_records!$H:$H,'EEFF 2026'!$B12)</f>
        <v>0</v>
      </c>
      <c r="AE12" s="116">
        <f t="shared" si="17"/>
        <v>0</v>
      </c>
      <c r="AF12" s="115">
        <f>SUMIFS(wallet_records!$D:$D,wallet_records!$B:$B,'EEFF 2026'!$C12,wallet_records!$L:$L,'EEFF 2026'!AF$3,wallet_records!$O:$O,'EEFF 2026'!$B$1,wallet_records!$N:$N,'EEFF 2026'!AF$2,wallet_records!$H:$H,'EEFF 2026'!$B12)</f>
        <v>0</v>
      </c>
      <c r="AG12" s="115">
        <f>SUMIFS(wallet_records!$D:$D,wallet_records!$B:$B,'EEFF 2026'!$C12,wallet_records!$L:$L,'EEFF 2026'!AG$3,wallet_records!$O:$O,'EEFF 2026'!$B$1,wallet_records!$N:$N,'EEFF 2026'!AG$2,wallet_records!$H:$H,'EEFF 2026'!$B12)</f>
        <v>0</v>
      </c>
      <c r="AH12" s="115">
        <f>SUMIFS(wallet_records!$D:$D,wallet_records!$B:$B,'EEFF 2026'!$C12,wallet_records!$L:$L,'EEFF 2026'!AH$3,wallet_records!$O:$O,'EEFF 2026'!$B$1,wallet_records!$N:$N,'EEFF 2026'!AH$2,wallet_records!$H:$H,'EEFF 2026'!$B12)</f>
        <v>0</v>
      </c>
      <c r="AI12" s="115">
        <f>SUMIFS(wallet_records!$D:$D,wallet_records!$B:$B,'EEFF 2026'!$C12,wallet_records!$L:$L,'EEFF 2026'!AI$3,wallet_records!$O:$O,'EEFF 2026'!$B$1,wallet_records!$N:$N,'EEFF 2026'!AI$2,wallet_records!$H:$H,'EEFF 2026'!$B12)</f>
        <v>0</v>
      </c>
      <c r="AJ12" s="115">
        <f>SUMIFS(wallet_records!$D:$D,wallet_records!$B:$B,'EEFF 2026'!$C12,wallet_records!$L:$L,'EEFF 2026'!AJ$3,wallet_records!$O:$O,'EEFF 2026'!$B$1,wallet_records!$N:$N,'EEFF 2026'!AJ$2,wallet_records!$H:$H,'EEFF 2026'!$B12)</f>
        <v>0</v>
      </c>
      <c r="AK12" s="115">
        <f>SUMIFS(wallet_records!$D:$D,wallet_records!$B:$B,'EEFF 2026'!$C12,wallet_records!$L:$L,'EEFF 2026'!AK$3,wallet_records!$O:$O,'EEFF 2026'!$B$1,wallet_records!$N:$N,'EEFF 2026'!AK$2,wallet_records!$H:$H,'EEFF 2026'!$B12)</f>
        <v>0</v>
      </c>
      <c r="AL12" s="116">
        <f t="shared" si="18"/>
        <v>0</v>
      </c>
      <c r="AM12" s="115">
        <f>SUMIFS(wallet_records!$D:$D,wallet_records!$B:$B,'EEFF 2026'!$C12,wallet_records!$L:$L,'EEFF 2026'!AM$3,wallet_records!$O:$O,'EEFF 2026'!$B$1,wallet_records!$N:$N,'EEFF 2026'!AM$2,wallet_records!$H:$H,'EEFF 2026'!$B12)</f>
        <v>0</v>
      </c>
      <c r="AN12" s="115">
        <f>SUMIFS(wallet_records!$D:$D,wallet_records!$B:$B,'EEFF 2026'!$C12,wallet_records!$L:$L,'EEFF 2026'!AN$3,wallet_records!$O:$O,'EEFF 2026'!$B$1,wallet_records!$N:$N,'EEFF 2026'!AN$2,wallet_records!$H:$H,'EEFF 2026'!$B12)</f>
        <v>0</v>
      </c>
      <c r="AO12" s="115">
        <f>SUMIFS(wallet_records!$D:$D,wallet_records!$B:$B,'EEFF 2026'!$C12,wallet_records!$L:$L,'EEFF 2026'!AO$3,wallet_records!$O:$O,'EEFF 2026'!$B$1,wallet_records!$N:$N,'EEFF 2026'!AO$2,wallet_records!$H:$H,'EEFF 2026'!$B12)</f>
        <v>0</v>
      </c>
      <c r="AP12" s="115">
        <f>SUMIFS(wallet_records!$D:$D,wallet_records!$B:$B,'EEFF 2026'!$C12,wallet_records!$L:$L,'EEFF 2026'!AP$3,wallet_records!$O:$O,'EEFF 2026'!$B$1,wallet_records!$N:$N,'EEFF 2026'!AP$2,wallet_records!$H:$H,'EEFF 2026'!$B12)</f>
        <v>0</v>
      </c>
      <c r="AQ12" s="115">
        <f>SUMIFS(wallet_records!$D:$D,wallet_records!$B:$B,'EEFF 2026'!$C12,wallet_records!$L:$L,'EEFF 2026'!AQ$3,wallet_records!$O:$O,'EEFF 2026'!$B$1,wallet_records!$N:$N,'EEFF 2026'!AQ$2,wallet_records!$H:$H,'EEFF 2026'!$B12)</f>
        <v>0</v>
      </c>
      <c r="AR12" s="115">
        <f>SUMIFS(wallet_records!$D:$D,wallet_records!$B:$B,'EEFF 2026'!$C12,wallet_records!$L:$L,'EEFF 2026'!AR$3,wallet_records!$O:$O,'EEFF 2026'!$B$1,wallet_records!$N:$N,'EEFF 2026'!AR$2,wallet_records!$H:$H,'EEFF 2026'!$B12)</f>
        <v>0</v>
      </c>
      <c r="AS12" s="116">
        <f t="shared" si="19"/>
        <v>0</v>
      </c>
      <c r="AT12" s="115">
        <f>SUMIFS(wallet_records!$D:$D,wallet_records!$B:$B,'EEFF 2026'!$C12,wallet_records!$L:$L,'EEFF 2026'!AT$3,wallet_records!$O:$O,'EEFF 2026'!$B$1,wallet_records!$N:$N,'EEFF 2026'!AT$2,wallet_records!$H:$H,'EEFF 2026'!$B12)</f>
        <v>0</v>
      </c>
      <c r="AU12" s="115">
        <f>SUMIFS(wallet_records!$D:$D,wallet_records!$B:$B,'EEFF 2026'!$C12,wallet_records!$L:$L,'EEFF 2026'!AU$3,wallet_records!$O:$O,'EEFF 2026'!$B$1,wallet_records!$N:$N,'EEFF 2026'!AU$2,wallet_records!$H:$H,'EEFF 2026'!$B12)</f>
        <v>0</v>
      </c>
      <c r="AV12" s="115">
        <f>SUMIFS(wallet_records!$D:$D,wallet_records!$B:$B,'EEFF 2026'!$C12,wallet_records!$L:$L,'EEFF 2026'!AV$3,wallet_records!$O:$O,'EEFF 2026'!$B$1,wallet_records!$N:$N,'EEFF 2026'!AV$2,wallet_records!$H:$H,'EEFF 2026'!$B12)</f>
        <v>0</v>
      </c>
      <c r="AW12" s="115">
        <f>SUMIFS(wallet_records!$D:$D,wallet_records!$B:$B,'EEFF 2026'!$C12,wallet_records!$L:$L,'EEFF 2026'!AW$3,wallet_records!$O:$O,'EEFF 2026'!$B$1,wallet_records!$N:$N,'EEFF 2026'!AW$2,wallet_records!$H:$H,'EEFF 2026'!$B12)</f>
        <v>0</v>
      </c>
      <c r="AX12" s="115">
        <f>SUMIFS(wallet_records!$D:$D,wallet_records!$B:$B,'EEFF 2026'!$C12,wallet_records!$L:$L,'EEFF 2026'!AX$3,wallet_records!$O:$O,'EEFF 2026'!$B$1,wallet_records!$N:$N,'EEFF 2026'!AX$2,wallet_records!$H:$H,'EEFF 2026'!$B12)</f>
        <v>0</v>
      </c>
      <c r="AY12" s="115">
        <f>SUMIFS(wallet_records!$D:$D,wallet_records!$B:$B,'EEFF 2026'!$C12,wallet_records!$L:$L,'EEFF 2026'!AY$3,wallet_records!$O:$O,'EEFF 2026'!$B$1,wallet_records!$N:$N,'EEFF 2026'!AY$2,wallet_records!$H:$H,'EEFF 2026'!$B12)</f>
        <v>0</v>
      </c>
      <c r="AZ12" s="116">
        <f t="shared" si="20"/>
        <v>0</v>
      </c>
      <c r="BA12" s="115">
        <f>SUMIFS(wallet_records!$D:$D,wallet_records!$B:$B,'EEFF 2026'!$C12,wallet_records!$L:$L,'EEFF 2026'!BA$3,wallet_records!$O:$O,'EEFF 2026'!$B$1,wallet_records!$N:$N,'EEFF 2026'!BA$2,wallet_records!$H:$H,'EEFF 2026'!$B12)</f>
        <v>0</v>
      </c>
      <c r="BB12" s="115">
        <f>SUMIFS(wallet_records!$D:$D,wallet_records!$B:$B,'EEFF 2026'!$C12,wallet_records!$L:$L,'EEFF 2026'!BB$3,wallet_records!$O:$O,'EEFF 2026'!$B$1,wallet_records!$N:$N,'EEFF 2026'!BB$2,wallet_records!$H:$H,'EEFF 2026'!$B12)</f>
        <v>0</v>
      </c>
      <c r="BC12" s="115">
        <f>SUMIFS(wallet_records!$D:$D,wallet_records!$B:$B,'EEFF 2026'!$C12,wallet_records!$L:$L,'EEFF 2026'!BC$3,wallet_records!$O:$O,'EEFF 2026'!$B$1,wallet_records!$N:$N,'EEFF 2026'!BC$2,wallet_records!$H:$H,'EEFF 2026'!$B12)</f>
        <v>0</v>
      </c>
      <c r="BD12" s="115">
        <f>SUMIFS(wallet_records!$D:$D,wallet_records!$B:$B,'EEFF 2026'!$C12,wallet_records!$L:$L,'EEFF 2026'!BD$3,wallet_records!$O:$O,'EEFF 2026'!$B$1,wallet_records!$N:$N,'EEFF 2026'!BD$2,wallet_records!$H:$H,'EEFF 2026'!$B12)</f>
        <v>0</v>
      </c>
      <c r="BE12" s="115">
        <f>SUMIFS(wallet_records!$D:$D,wallet_records!$B:$B,'EEFF 2026'!$C12,wallet_records!$L:$L,'EEFF 2026'!BE$3,wallet_records!$O:$O,'EEFF 2026'!$B$1,wallet_records!$N:$N,'EEFF 2026'!BE$2,wallet_records!$H:$H,'EEFF 2026'!$B12)</f>
        <v>0</v>
      </c>
      <c r="BF12" s="115">
        <f>SUMIFS(wallet_records!$D:$D,wallet_records!$B:$B,'EEFF 2026'!$C12,wallet_records!$L:$L,'EEFF 2026'!BF$3,wallet_records!$O:$O,'EEFF 2026'!$B$1,wallet_records!$N:$N,'EEFF 2026'!BF$2,wallet_records!$H:$H,'EEFF 2026'!$B12)</f>
        <v>0</v>
      </c>
      <c r="BG12" s="116">
        <f t="shared" si="21"/>
        <v>0</v>
      </c>
      <c r="BH12" s="115">
        <f>SUMIFS(wallet_records!$D:$D,wallet_records!$B:$B,'EEFF 2026'!$C12,wallet_records!$L:$L,'EEFF 2026'!BH$3,wallet_records!$O:$O,'EEFF 2026'!$B$1,wallet_records!$N:$N,'EEFF 2026'!BH$2,wallet_records!$H:$H,'EEFF 2026'!$B12)</f>
        <v>0</v>
      </c>
      <c r="BI12" s="115">
        <f>SUMIFS(wallet_records!$D:$D,wallet_records!$B:$B,'EEFF 2026'!$C12,wallet_records!$L:$L,'EEFF 2026'!BI$3,wallet_records!$O:$O,'EEFF 2026'!$B$1,wallet_records!$N:$N,'EEFF 2026'!BI$2,wallet_records!$H:$H,'EEFF 2026'!$B12)</f>
        <v>0</v>
      </c>
      <c r="BJ12" s="115">
        <f>SUMIFS(wallet_records!$D:$D,wallet_records!$B:$B,'EEFF 2026'!$C12,wallet_records!$L:$L,'EEFF 2026'!BJ$3,wallet_records!$O:$O,'EEFF 2026'!$B$1,wallet_records!$N:$N,'EEFF 2026'!BJ$2,wallet_records!$H:$H,'EEFF 2026'!$B12)</f>
        <v>0</v>
      </c>
      <c r="BK12" s="115">
        <f>SUMIFS(wallet_records!$D:$D,wallet_records!$B:$B,'EEFF 2026'!$C12,wallet_records!$L:$L,'EEFF 2026'!BK$3,wallet_records!$O:$O,'EEFF 2026'!$B$1,wallet_records!$N:$N,'EEFF 2026'!BK$2,wallet_records!$H:$H,'EEFF 2026'!$B12)</f>
        <v>0</v>
      </c>
      <c r="BL12" s="115">
        <f>SUMIFS(wallet_records!$D:$D,wallet_records!$B:$B,'EEFF 2026'!$C12,wallet_records!$L:$L,'EEFF 2026'!BL$3,wallet_records!$O:$O,'EEFF 2026'!$B$1,wallet_records!$N:$N,'EEFF 2026'!BL$2,wallet_records!$H:$H,'EEFF 2026'!$B12)</f>
        <v>0</v>
      </c>
      <c r="BM12" s="115">
        <f>SUMIFS(wallet_records!$D:$D,wallet_records!$B:$B,'EEFF 2026'!$C12,wallet_records!$L:$L,'EEFF 2026'!BM$3,wallet_records!$O:$O,'EEFF 2026'!$B$1,wallet_records!$N:$N,'EEFF 2026'!BM$2,wallet_records!$H:$H,'EEFF 2026'!$B12)</f>
        <v>0</v>
      </c>
      <c r="BN12" s="116">
        <f t="shared" si="22"/>
        <v>0</v>
      </c>
      <c r="BO12" s="115">
        <f>SUMIFS(wallet_records!$D:$D,wallet_records!$B:$B,'EEFF 2026'!$C12,wallet_records!$L:$L,'EEFF 2026'!BO$3,wallet_records!$O:$O,'EEFF 2026'!$B$1,wallet_records!$N:$N,'EEFF 2026'!BO$2,wallet_records!$H:$H,'EEFF 2026'!$B12)</f>
        <v>0</v>
      </c>
      <c r="BP12" s="115">
        <f>SUMIFS(wallet_records!$D:$D,wallet_records!$B:$B,'EEFF 2026'!$C12,wallet_records!$L:$L,'EEFF 2026'!BP$3,wallet_records!$O:$O,'EEFF 2026'!$B$1,wallet_records!$N:$N,'EEFF 2026'!BP$2,wallet_records!$H:$H,'EEFF 2026'!$B12)</f>
        <v>0</v>
      </c>
      <c r="BQ12" s="115">
        <f>SUMIFS(wallet_records!$D:$D,wallet_records!$B:$B,'EEFF 2026'!$C12,wallet_records!$L:$L,'EEFF 2026'!BQ$3,wallet_records!$O:$O,'EEFF 2026'!$B$1,wallet_records!$N:$N,'EEFF 2026'!BQ$2,wallet_records!$H:$H,'EEFF 2026'!$B12)</f>
        <v>0</v>
      </c>
      <c r="BR12" s="115">
        <f>SUMIFS(wallet_records!$D:$D,wallet_records!$B:$B,'EEFF 2026'!$C12,wallet_records!$L:$L,'EEFF 2026'!BR$3,wallet_records!$O:$O,'EEFF 2026'!$B$1,wallet_records!$N:$N,'EEFF 2026'!BR$2,wallet_records!$H:$H,'EEFF 2026'!$B12)</f>
        <v>0</v>
      </c>
      <c r="BS12" s="115">
        <f>SUMIFS(wallet_records!$D:$D,wallet_records!$B:$B,'EEFF 2026'!$C12,wallet_records!$L:$L,'EEFF 2026'!BS$3,wallet_records!$O:$O,'EEFF 2026'!$B$1,wallet_records!$N:$N,'EEFF 2026'!BS$2,wallet_records!$H:$H,'EEFF 2026'!$B12)</f>
        <v>0</v>
      </c>
      <c r="BT12" s="115">
        <f>SUMIFS(wallet_records!$D:$D,wallet_records!$B:$B,'EEFF 2026'!$C12,wallet_records!$L:$L,'EEFF 2026'!BT$3,wallet_records!$O:$O,'EEFF 2026'!$B$1,wallet_records!$N:$N,'EEFF 2026'!BT$2,wallet_records!$H:$H,'EEFF 2026'!$B12)</f>
        <v>0</v>
      </c>
      <c r="BU12" s="116">
        <f t="shared" si="23"/>
        <v>0</v>
      </c>
      <c r="BV12" s="115">
        <f>SUMIFS(wallet_records!$D:$D,wallet_records!$B:$B,'EEFF 2026'!$C12,wallet_records!$L:$L,'EEFF 2026'!BV$3,wallet_records!$O:$O,'EEFF 2026'!$B$1,wallet_records!$N:$N,'EEFF 2026'!BV$2,wallet_records!$H:$H,'EEFF 2026'!$B12)</f>
        <v>0</v>
      </c>
      <c r="BW12" s="115">
        <f>SUMIFS(wallet_records!$D:$D,wallet_records!$B:$B,'EEFF 2026'!$C12,wallet_records!$L:$L,'EEFF 2026'!BW$3,wallet_records!$O:$O,'EEFF 2026'!$B$1,wallet_records!$N:$N,'EEFF 2026'!BW$2,wallet_records!$H:$H,'EEFF 2026'!$B12)</f>
        <v>0</v>
      </c>
      <c r="BX12" s="115">
        <f>SUMIFS(wallet_records!$D:$D,wallet_records!$B:$B,'EEFF 2026'!$C12,wallet_records!$L:$L,'EEFF 2026'!BX$3,wallet_records!$O:$O,'EEFF 2026'!$B$1,wallet_records!$N:$N,'EEFF 2026'!BX$2,wallet_records!$H:$H,'EEFF 2026'!$B12)</f>
        <v>0</v>
      </c>
      <c r="BY12" s="115">
        <f>SUMIFS(wallet_records!$D:$D,wallet_records!$B:$B,'EEFF 2026'!$C12,wallet_records!$L:$L,'EEFF 2026'!BY$3,wallet_records!$O:$O,'EEFF 2026'!$B$1,wallet_records!$N:$N,'EEFF 2026'!BY$2,wallet_records!$H:$H,'EEFF 2026'!$B12)</f>
        <v>0</v>
      </c>
      <c r="BZ12" s="115">
        <f>SUMIFS(wallet_records!$D:$D,wallet_records!$B:$B,'EEFF 2026'!$C12,wallet_records!$L:$L,'EEFF 2026'!BZ$3,wallet_records!$O:$O,'EEFF 2026'!$B$1,wallet_records!$N:$N,'EEFF 2026'!BZ$2,wallet_records!$H:$H,'EEFF 2026'!$B12)</f>
        <v>0</v>
      </c>
      <c r="CA12" s="115">
        <f>SUMIFS(wallet_records!$D:$D,wallet_records!$B:$B,'EEFF 2026'!$C12,wallet_records!$L:$L,'EEFF 2026'!CA$3,wallet_records!$O:$O,'EEFF 2026'!$B$1,wallet_records!$N:$N,'EEFF 2026'!CA$2,wallet_records!$H:$H,'EEFF 2026'!$B12)</f>
        <v>0</v>
      </c>
      <c r="CB12" s="116">
        <f t="shared" si="24"/>
        <v>0</v>
      </c>
      <c r="CC12" s="115">
        <f>SUMIFS(wallet_records!$D:$D,wallet_records!$B:$B,'EEFF 2026'!$C12,wallet_records!$L:$L,'EEFF 2026'!CC$3,wallet_records!$O:$O,'EEFF 2026'!$B$1,wallet_records!$N:$N,'EEFF 2026'!CC$2,wallet_records!$H:$H,'EEFF 2026'!$B12)</f>
        <v>0</v>
      </c>
      <c r="CD12" s="115">
        <f>SUMIFS(wallet_records!$D:$D,wallet_records!$B:$B,'EEFF 2026'!$C12,wallet_records!$L:$L,'EEFF 2026'!CD$3,wallet_records!$O:$O,'EEFF 2026'!$B$1,wallet_records!$N:$N,'EEFF 2026'!CD$2,wallet_records!$H:$H,'EEFF 2026'!$B12)</f>
        <v>0</v>
      </c>
      <c r="CE12" s="115">
        <f>SUMIFS(wallet_records!$D:$D,wallet_records!$B:$B,'EEFF 2026'!$C12,wallet_records!$L:$L,'EEFF 2026'!CE$3,wallet_records!$O:$O,'EEFF 2026'!$B$1,wallet_records!$N:$N,'EEFF 2026'!CE$2,wallet_records!$H:$H,'EEFF 2026'!$B12)</f>
        <v>0</v>
      </c>
      <c r="CF12" s="115">
        <f>SUMIFS(wallet_records!$D:$D,wallet_records!$B:$B,'EEFF 2026'!$C12,wallet_records!$L:$L,'EEFF 2026'!CF$3,wallet_records!$O:$O,'EEFF 2026'!$B$1,wallet_records!$N:$N,'EEFF 2026'!CF$2,wallet_records!$H:$H,'EEFF 2026'!$B12)</f>
        <v>0</v>
      </c>
      <c r="CG12" s="115">
        <f>SUMIFS(wallet_records!$D:$D,wallet_records!$B:$B,'EEFF 2026'!$C12,wallet_records!$L:$L,'EEFF 2026'!CG$3,wallet_records!$O:$O,'EEFF 2026'!$B$1,wallet_records!$N:$N,'EEFF 2026'!CG$2,wallet_records!$H:$H,'EEFF 2026'!$B12)</f>
        <v>0</v>
      </c>
      <c r="CH12" s="115">
        <f>SUMIFS(wallet_records!$D:$D,wallet_records!$B:$B,'EEFF 2026'!$C12,wallet_records!$L:$L,'EEFF 2026'!CH$3,wallet_records!$O:$O,'EEFF 2026'!$B$1,wallet_records!$N:$N,'EEFF 2026'!CH$2,wallet_records!$H:$H,'EEFF 2026'!$B12)</f>
        <v>0</v>
      </c>
      <c r="CI12" s="116">
        <f t="shared" si="25"/>
        <v>0</v>
      </c>
      <c r="CJ12" s="115">
        <f>SUMIFS(wallet_records!$D:$D,wallet_records!$B:$B,'EEFF 2026'!$C12,wallet_records!$L:$L,'EEFF 2026'!CJ$3,wallet_records!$O:$O,'EEFF 2026'!$B$1,wallet_records!$H:$H,'EEFF 2026'!$B12)</f>
        <v>2461875</v>
      </c>
      <c r="CK12" s="115">
        <f>SUMIFS(wallet_records!$D:$D,wallet_records!$B:$B,'EEFF 2026'!$C12,wallet_records!$L:$L,'EEFF 2026'!CK$3,wallet_records!$O:$O,'EEFF 2026'!$B$1,wallet_records!$H:$H,'EEFF 2026'!$B12)</f>
        <v>4431940</v>
      </c>
      <c r="CL12" s="115">
        <f>SUMIFS(wallet_records!$D:$D,wallet_records!$B:$B,'EEFF 2026'!$C12,wallet_records!$L:$L,'EEFF 2026'!CL$3,wallet_records!$O:$O,'EEFF 2026'!$B$1,wallet_records!$H:$H,'EEFF 2026'!$B12)</f>
        <v>1823377</v>
      </c>
      <c r="CM12" s="115">
        <f>SUMIFS(wallet_records!$D:$D,wallet_records!$B:$B,'EEFF 2026'!$C12,wallet_records!$L:$L,'EEFF 2026'!CM$3,wallet_records!$O:$O,'EEFF 2026'!$B$1,wallet_records!$H:$H,'EEFF 2026'!$B12)</f>
        <v>359256</v>
      </c>
      <c r="CN12" s="115">
        <f>SUMIFS(wallet_records!$D:$D,wallet_records!$B:$B,'EEFF 2026'!$C12,wallet_records!$L:$L,'EEFF 2026'!CN$3,wallet_records!$O:$O,'EEFF 2026'!$B$1,wallet_records!$H:$H,'EEFF 2026'!$B12)</f>
        <v>1320857</v>
      </c>
      <c r="CO12" s="115">
        <f>SUMIFS(wallet_records!$D:$D,wallet_records!$B:$B,'EEFF 2026'!$C12,wallet_records!$L:$L,'EEFF 2026'!CO$3,wallet_records!$O:$O,'EEFF 2026'!$B$1,wallet_records!$H:$H,'EEFF 2026'!$B12)</f>
        <v>0</v>
      </c>
      <c r="CP12" s="116">
        <f t="shared" si="26"/>
        <v>10397305</v>
      </c>
      <c r="CQ12" s="107"/>
      <c r="CR12" s="118">
        <f t="shared" si="0"/>
        <v>0</v>
      </c>
      <c r="CS12" s="118">
        <f t="shared" si="1"/>
        <v>1.6153411739116925</v>
      </c>
      <c r="CT12" s="118" t="e">
        <f t="shared" si="2"/>
        <v>#DIV/0!</v>
      </c>
      <c r="CU12" s="118" t="e">
        <f t="shared" si="3"/>
        <v>#DIV/0!</v>
      </c>
      <c r="CV12" s="118" t="e">
        <f t="shared" si="4"/>
        <v>#DIV/0!</v>
      </c>
      <c r="CW12" s="118" t="e">
        <f t="shared" si="5"/>
        <v>#DIV/0!</v>
      </c>
      <c r="CX12" s="118" t="e">
        <f t="shared" si="6"/>
        <v>#DIV/0!</v>
      </c>
      <c r="CY12" s="118" t="e">
        <f t="shared" si="7"/>
        <v>#DIV/0!</v>
      </c>
      <c r="CZ12" s="118" t="e">
        <f t="shared" si="8"/>
        <v>#DIV/0!</v>
      </c>
      <c r="DA12" s="118" t="e">
        <f t="shared" si="9"/>
        <v>#DIV/0!</v>
      </c>
      <c r="DB12" s="118" t="e">
        <f t="shared" si="10"/>
        <v>#DIV/0!</v>
      </c>
      <c r="DC12" s="118" t="e">
        <f t="shared" si="11"/>
        <v>#DIV/0!</v>
      </c>
    </row>
    <row r="13" spans="2:120" x14ac:dyDescent="0.2">
      <c r="B13" s="10" t="s">
        <v>510</v>
      </c>
      <c r="C13" s="191" t="s">
        <v>154</v>
      </c>
      <c r="D13" s="115">
        <f>SUMIFS(wallet_records!$D:$D,wallet_records!$B:$B,'EEFF 2026'!$C13,wallet_records!$L:$L,'EEFF 2026'!D$3,wallet_records!$O:$O,'EEFF 2026'!$B$1,wallet_records!$N:$N,'EEFF 2026'!D$2,wallet_records!$H:$H,'EEFF 2026'!$B13)</f>
        <v>0</v>
      </c>
      <c r="E13" s="115">
        <f>SUMIFS(wallet_records!$D:$D,wallet_records!$B:$B,'EEFF 2026'!$C13,wallet_records!$L:$L,'EEFF 2026'!E$3,wallet_records!$O:$O,'EEFF 2026'!$B$1,wallet_records!$N:$N,'EEFF 2026'!E$2,wallet_records!$H:$H,'EEFF 2026'!$B13)</f>
        <v>0</v>
      </c>
      <c r="F13" s="115">
        <f>SUMIFS(wallet_records!$D:$D,wallet_records!$B:$B,'EEFF 2026'!$C13,wallet_records!$L:$L,'EEFF 2026'!F$3,wallet_records!$O:$O,'EEFF 2026'!$B$1,wallet_records!$N:$N,'EEFF 2026'!F$2,wallet_records!$H:$H,'EEFF 2026'!$B13)</f>
        <v>0</v>
      </c>
      <c r="G13" s="115">
        <f>SUMIFS(wallet_records!$D:$D,wallet_records!$B:$B,'EEFF 2026'!$C13,wallet_records!$L:$L,'EEFF 2026'!G$3,wallet_records!$O:$O,'EEFF 2026'!$B$1,wallet_records!$N:$N,'EEFF 2026'!G$2,wallet_records!$H:$H,'EEFF 2026'!$B13)</f>
        <v>0</v>
      </c>
      <c r="H13" s="115">
        <f>SUMIFS(wallet_records!$D:$D,wallet_records!$B:$B,'EEFF 2026'!$C13,wallet_records!$L:$L,'EEFF 2026'!H$3,wallet_records!$O:$O,'EEFF 2026'!$B$1,wallet_records!$N:$N,'EEFF 2026'!H$2,wallet_records!$H:$H,'EEFF 2026'!$B13)</f>
        <v>0</v>
      </c>
      <c r="I13" s="115">
        <f>SUMIFS(wallet_records!$D:$D,wallet_records!$B:$B,'EEFF 2026'!$C13,wallet_records!$L:$L,'EEFF 2026'!I$3,wallet_records!$O:$O,'EEFF 2026'!$B$1,wallet_records!$N:$N,'EEFF 2026'!I$2,wallet_records!$H:$H,'EEFF 2026'!$B13)</f>
        <v>0</v>
      </c>
      <c r="J13" s="116">
        <f t="shared" si="14"/>
        <v>0</v>
      </c>
      <c r="K13" s="115">
        <f>SUMIFS(wallet_records!$D:$D,wallet_records!$B:$B,'EEFF 2026'!$C13,wallet_records!$L:$L,'EEFF 2026'!K$3,wallet_records!$O:$O,'EEFF 2026'!$B$1,wallet_records!$N:$N,'EEFF 2026'!K$2,wallet_records!$H:$H,'EEFF 2026'!$B13)</f>
        <v>0</v>
      </c>
      <c r="L13" s="115">
        <f>SUMIFS(wallet_records!$D:$D,wallet_records!$B:$B,'EEFF 2026'!$C13,wallet_records!$L:$L,'EEFF 2026'!L$3,wallet_records!$O:$O,'EEFF 2026'!$B$1,wallet_records!$N:$N,'EEFF 2026'!L$2,wallet_records!$H:$H,'EEFF 2026'!$B13)</f>
        <v>0</v>
      </c>
      <c r="M13" s="115">
        <f>SUMIFS(wallet_records!$D:$D,wallet_records!$B:$B,'EEFF 2026'!$C13,wallet_records!$L:$L,'EEFF 2026'!M$3,wallet_records!$O:$O,'EEFF 2026'!$B$1,wallet_records!$N:$N,'EEFF 2026'!M$2,wallet_records!$H:$H,'EEFF 2026'!$B13)</f>
        <v>0</v>
      </c>
      <c r="N13" s="115">
        <f>SUMIFS(wallet_records!$D:$D,wallet_records!$B:$B,'EEFF 2026'!$C13,wallet_records!$L:$L,'EEFF 2026'!N$3,wallet_records!$O:$O,'EEFF 2026'!$B$1,wallet_records!$N:$N,'EEFF 2026'!N$2,wallet_records!$H:$H,'EEFF 2026'!$B13)</f>
        <v>0</v>
      </c>
      <c r="O13" s="115">
        <f>SUMIFS(wallet_records!$D:$D,wallet_records!$B:$B,'EEFF 2026'!$C13,wallet_records!$L:$L,'EEFF 2026'!O$3,wallet_records!$O:$O,'EEFF 2026'!$B$1,wallet_records!$N:$N,'EEFF 2026'!O$2,wallet_records!$H:$H,'EEFF 2026'!$B13)</f>
        <v>0</v>
      </c>
      <c r="P13" s="115">
        <f>SUMIFS(wallet_records!$D:$D,wallet_records!$B:$B,'EEFF 2026'!$C13,wallet_records!$L:$L,'EEFF 2026'!P$3,wallet_records!$O:$O,'EEFF 2026'!$B$1,wallet_records!$N:$N,'EEFF 2026'!P$2,wallet_records!$H:$H,'EEFF 2026'!$B13)</f>
        <v>0</v>
      </c>
      <c r="Q13" s="116">
        <f t="shared" si="15"/>
        <v>0</v>
      </c>
      <c r="R13" s="115">
        <f>SUMIFS(wallet_records!$D:$D,wallet_records!$B:$B,'EEFF 2026'!$C13,wallet_records!$L:$L,'EEFF 2026'!R$3,wallet_records!$O:$O,'EEFF 2026'!$B$1,wallet_records!$N:$N,'EEFF 2026'!R$2,wallet_records!$H:$H,'EEFF 2026'!$B13)</f>
        <v>0</v>
      </c>
      <c r="S13" s="115">
        <f>SUMIFS(wallet_records!$D:$D,wallet_records!$B:$B,'EEFF 2026'!$C13,wallet_records!$L:$L,'EEFF 2026'!S$3,wallet_records!$O:$O,'EEFF 2026'!$B$1,wallet_records!$N:$N,'EEFF 2026'!S$2,wallet_records!$H:$H,'EEFF 2026'!$B13)</f>
        <v>0</v>
      </c>
      <c r="T13" s="115">
        <f>SUMIFS(wallet_records!$D:$D,wallet_records!$B:$B,'EEFF 2026'!$C13,wallet_records!$L:$L,'EEFF 2026'!T$3,wallet_records!$O:$O,'EEFF 2026'!$B$1,wallet_records!$N:$N,'EEFF 2026'!T$2,wallet_records!$H:$H,'EEFF 2026'!$B13)</f>
        <v>0</v>
      </c>
      <c r="U13" s="115">
        <f>SUMIFS(wallet_records!$D:$D,wallet_records!$B:$B,'EEFF 2026'!$C13,wallet_records!$L:$L,'EEFF 2026'!U$3,wallet_records!$O:$O,'EEFF 2026'!$B$1,wallet_records!$N:$N,'EEFF 2026'!U$2,wallet_records!$H:$H,'EEFF 2026'!$B13)</f>
        <v>0</v>
      </c>
      <c r="V13" s="115">
        <f>SUMIFS(wallet_records!$D:$D,wallet_records!$B:$B,'EEFF 2026'!$C13,wallet_records!$L:$L,'EEFF 2026'!V$3,wallet_records!$O:$O,'EEFF 2026'!$B$1,wallet_records!$N:$N,'EEFF 2026'!V$2,wallet_records!$H:$H,'EEFF 2026'!$B13)</f>
        <v>0</v>
      </c>
      <c r="W13" s="115">
        <f>SUMIFS(wallet_records!$D:$D,wallet_records!$B:$B,'EEFF 2026'!$C13,wallet_records!$L:$L,'EEFF 2026'!W$3,wallet_records!$O:$O,'EEFF 2026'!$B$1,wallet_records!$N:$N,'EEFF 2026'!W$2,wallet_records!$H:$H,'EEFF 2026'!$B13)</f>
        <v>0</v>
      </c>
      <c r="X13" s="116">
        <f t="shared" si="16"/>
        <v>0</v>
      </c>
      <c r="Y13" s="115">
        <f>SUMIFS(wallet_records!$D:$D,wallet_records!$B:$B,'EEFF 2026'!$C13,wallet_records!$L:$L,'EEFF 2026'!Y$3,wallet_records!$O:$O,'EEFF 2026'!$B$1,wallet_records!$N:$N,'EEFF 2026'!Y$2,wallet_records!$H:$H,'EEFF 2026'!$B13)</f>
        <v>0</v>
      </c>
      <c r="Z13" s="115">
        <f>SUMIFS(wallet_records!$D:$D,wallet_records!$B:$B,'EEFF 2026'!$C13,wallet_records!$L:$L,'EEFF 2026'!Z$3,wallet_records!$O:$O,'EEFF 2026'!$B$1,wallet_records!$N:$N,'EEFF 2026'!Z$2,wallet_records!$H:$H,'EEFF 2026'!$B13)</f>
        <v>0</v>
      </c>
      <c r="AA13" s="115">
        <f>SUMIFS(wallet_records!$D:$D,wallet_records!$B:$B,'EEFF 2026'!$C13,wallet_records!$L:$L,'EEFF 2026'!AA$3,wallet_records!$O:$O,'EEFF 2026'!$B$1,wallet_records!$N:$N,'EEFF 2026'!AA$2,wallet_records!$H:$H,'EEFF 2026'!$B13)</f>
        <v>0</v>
      </c>
      <c r="AB13" s="115">
        <f>SUMIFS(wallet_records!$D:$D,wallet_records!$B:$B,'EEFF 2026'!$C13,wallet_records!$L:$L,'EEFF 2026'!AB$3,wallet_records!$O:$O,'EEFF 2026'!$B$1,wallet_records!$N:$N,'EEFF 2026'!AB$2,wallet_records!$H:$H,'EEFF 2026'!$B13)</f>
        <v>0</v>
      </c>
      <c r="AC13" s="115">
        <f>SUMIFS(wallet_records!$D:$D,wallet_records!$B:$B,'EEFF 2026'!$C13,wallet_records!$L:$L,'EEFF 2026'!AC$3,wallet_records!$O:$O,'EEFF 2026'!$B$1,wallet_records!$N:$N,'EEFF 2026'!AC$2,wallet_records!$H:$H,'EEFF 2026'!$B13)</f>
        <v>0</v>
      </c>
      <c r="AD13" s="115">
        <f>SUMIFS(wallet_records!$D:$D,wallet_records!$B:$B,'EEFF 2026'!$C13,wallet_records!$L:$L,'EEFF 2026'!AD$3,wallet_records!$O:$O,'EEFF 2026'!$B$1,wallet_records!$N:$N,'EEFF 2026'!AD$2,wallet_records!$H:$H,'EEFF 2026'!$B13)</f>
        <v>0</v>
      </c>
      <c r="AE13" s="116">
        <f t="shared" si="17"/>
        <v>0</v>
      </c>
      <c r="AF13" s="115">
        <f>SUMIFS(wallet_records!$D:$D,wallet_records!$B:$B,'EEFF 2026'!$C13,wallet_records!$L:$L,'EEFF 2026'!AF$3,wallet_records!$O:$O,'EEFF 2026'!$B$1,wallet_records!$N:$N,'EEFF 2026'!AF$2,wallet_records!$H:$H,'EEFF 2026'!$B13)</f>
        <v>0</v>
      </c>
      <c r="AG13" s="115">
        <f>SUMIFS(wallet_records!$D:$D,wallet_records!$B:$B,'EEFF 2026'!$C13,wallet_records!$L:$L,'EEFF 2026'!AG$3,wallet_records!$O:$O,'EEFF 2026'!$B$1,wallet_records!$N:$N,'EEFF 2026'!AG$2,wallet_records!$H:$H,'EEFF 2026'!$B13)</f>
        <v>0</v>
      </c>
      <c r="AH13" s="115">
        <f>SUMIFS(wallet_records!$D:$D,wallet_records!$B:$B,'EEFF 2026'!$C13,wallet_records!$L:$L,'EEFF 2026'!AH$3,wallet_records!$O:$O,'EEFF 2026'!$B$1,wallet_records!$N:$N,'EEFF 2026'!AH$2,wallet_records!$H:$H,'EEFF 2026'!$B13)</f>
        <v>0</v>
      </c>
      <c r="AI13" s="115">
        <f>SUMIFS(wallet_records!$D:$D,wallet_records!$B:$B,'EEFF 2026'!$C13,wallet_records!$L:$L,'EEFF 2026'!AI$3,wallet_records!$O:$O,'EEFF 2026'!$B$1,wallet_records!$N:$N,'EEFF 2026'!AI$2,wallet_records!$H:$H,'EEFF 2026'!$B13)</f>
        <v>0</v>
      </c>
      <c r="AJ13" s="115">
        <f>SUMIFS(wallet_records!$D:$D,wallet_records!$B:$B,'EEFF 2026'!$C13,wallet_records!$L:$L,'EEFF 2026'!AJ$3,wallet_records!$O:$O,'EEFF 2026'!$B$1,wallet_records!$N:$N,'EEFF 2026'!AJ$2,wallet_records!$H:$H,'EEFF 2026'!$B13)</f>
        <v>0</v>
      </c>
      <c r="AK13" s="115">
        <f>SUMIFS(wallet_records!$D:$D,wallet_records!$B:$B,'EEFF 2026'!$C13,wallet_records!$L:$L,'EEFF 2026'!AK$3,wallet_records!$O:$O,'EEFF 2026'!$B$1,wallet_records!$N:$N,'EEFF 2026'!AK$2,wallet_records!$H:$H,'EEFF 2026'!$B13)</f>
        <v>0</v>
      </c>
      <c r="AL13" s="116">
        <f t="shared" si="18"/>
        <v>0</v>
      </c>
      <c r="AM13" s="115">
        <f>SUMIFS(wallet_records!$D:$D,wallet_records!$B:$B,'EEFF 2026'!$C13,wallet_records!$L:$L,'EEFF 2026'!AM$3,wallet_records!$O:$O,'EEFF 2026'!$B$1,wallet_records!$N:$N,'EEFF 2026'!AM$2,wallet_records!$H:$H,'EEFF 2026'!$B13)</f>
        <v>0</v>
      </c>
      <c r="AN13" s="115">
        <f>SUMIFS(wallet_records!$D:$D,wallet_records!$B:$B,'EEFF 2026'!$C13,wallet_records!$L:$L,'EEFF 2026'!AN$3,wallet_records!$O:$O,'EEFF 2026'!$B$1,wallet_records!$N:$N,'EEFF 2026'!AN$2,wallet_records!$H:$H,'EEFF 2026'!$B13)</f>
        <v>0</v>
      </c>
      <c r="AO13" s="115">
        <f>SUMIFS(wallet_records!$D:$D,wallet_records!$B:$B,'EEFF 2026'!$C13,wallet_records!$L:$L,'EEFF 2026'!AO$3,wallet_records!$O:$O,'EEFF 2026'!$B$1,wallet_records!$N:$N,'EEFF 2026'!AO$2,wallet_records!$H:$H,'EEFF 2026'!$B13)</f>
        <v>0</v>
      </c>
      <c r="AP13" s="115">
        <f>SUMIFS(wallet_records!$D:$D,wallet_records!$B:$B,'EEFF 2026'!$C13,wallet_records!$L:$L,'EEFF 2026'!AP$3,wallet_records!$O:$O,'EEFF 2026'!$B$1,wallet_records!$N:$N,'EEFF 2026'!AP$2,wallet_records!$H:$H,'EEFF 2026'!$B13)</f>
        <v>0</v>
      </c>
      <c r="AQ13" s="115">
        <f>SUMIFS(wallet_records!$D:$D,wallet_records!$B:$B,'EEFF 2026'!$C13,wallet_records!$L:$L,'EEFF 2026'!AQ$3,wallet_records!$O:$O,'EEFF 2026'!$B$1,wallet_records!$N:$N,'EEFF 2026'!AQ$2,wallet_records!$H:$H,'EEFF 2026'!$B13)</f>
        <v>0</v>
      </c>
      <c r="AR13" s="115">
        <f>SUMIFS(wallet_records!$D:$D,wallet_records!$B:$B,'EEFF 2026'!$C13,wallet_records!$L:$L,'EEFF 2026'!AR$3,wallet_records!$O:$O,'EEFF 2026'!$B$1,wallet_records!$N:$N,'EEFF 2026'!AR$2,wallet_records!$H:$H,'EEFF 2026'!$B13)</f>
        <v>0</v>
      </c>
      <c r="AS13" s="116">
        <f t="shared" si="19"/>
        <v>0</v>
      </c>
      <c r="AT13" s="115">
        <f>SUMIFS(wallet_records!$D:$D,wallet_records!$B:$B,'EEFF 2026'!$C13,wallet_records!$L:$L,'EEFF 2026'!AT$3,wallet_records!$O:$O,'EEFF 2026'!$B$1,wallet_records!$N:$N,'EEFF 2026'!AT$2,wallet_records!$H:$H,'EEFF 2026'!$B13)</f>
        <v>0</v>
      </c>
      <c r="AU13" s="115">
        <f>SUMIFS(wallet_records!$D:$D,wallet_records!$B:$B,'EEFF 2026'!$C13,wallet_records!$L:$L,'EEFF 2026'!AU$3,wallet_records!$O:$O,'EEFF 2026'!$B$1,wallet_records!$N:$N,'EEFF 2026'!AU$2,wallet_records!$H:$H,'EEFF 2026'!$B13)</f>
        <v>0</v>
      </c>
      <c r="AV13" s="115">
        <f>SUMIFS(wallet_records!$D:$D,wallet_records!$B:$B,'EEFF 2026'!$C13,wallet_records!$L:$L,'EEFF 2026'!AV$3,wallet_records!$O:$O,'EEFF 2026'!$B$1,wallet_records!$N:$N,'EEFF 2026'!AV$2,wallet_records!$H:$H,'EEFF 2026'!$B13)</f>
        <v>0</v>
      </c>
      <c r="AW13" s="115">
        <f>SUMIFS(wallet_records!$D:$D,wallet_records!$B:$B,'EEFF 2026'!$C13,wallet_records!$L:$L,'EEFF 2026'!AW$3,wallet_records!$O:$O,'EEFF 2026'!$B$1,wallet_records!$N:$N,'EEFF 2026'!AW$2,wallet_records!$H:$H,'EEFF 2026'!$B13)</f>
        <v>0</v>
      </c>
      <c r="AX13" s="115">
        <f>SUMIFS(wallet_records!$D:$D,wallet_records!$B:$B,'EEFF 2026'!$C13,wallet_records!$L:$L,'EEFF 2026'!AX$3,wallet_records!$O:$O,'EEFF 2026'!$B$1,wallet_records!$N:$N,'EEFF 2026'!AX$2,wallet_records!$H:$H,'EEFF 2026'!$B13)</f>
        <v>0</v>
      </c>
      <c r="AY13" s="115">
        <f>SUMIFS(wallet_records!$D:$D,wallet_records!$B:$B,'EEFF 2026'!$C13,wallet_records!$L:$L,'EEFF 2026'!AY$3,wallet_records!$O:$O,'EEFF 2026'!$B$1,wallet_records!$N:$N,'EEFF 2026'!AY$2,wallet_records!$H:$H,'EEFF 2026'!$B13)</f>
        <v>0</v>
      </c>
      <c r="AZ13" s="116">
        <f t="shared" si="20"/>
        <v>0</v>
      </c>
      <c r="BA13" s="115">
        <f>SUMIFS(wallet_records!$D:$D,wallet_records!$B:$B,'EEFF 2026'!$C13,wallet_records!$L:$L,'EEFF 2026'!BA$3,wallet_records!$O:$O,'EEFF 2026'!$B$1,wallet_records!$N:$N,'EEFF 2026'!BA$2,wallet_records!$H:$H,'EEFF 2026'!$B13)</f>
        <v>0</v>
      </c>
      <c r="BB13" s="115">
        <f>SUMIFS(wallet_records!$D:$D,wallet_records!$B:$B,'EEFF 2026'!$C13,wallet_records!$L:$L,'EEFF 2026'!BB$3,wallet_records!$O:$O,'EEFF 2026'!$B$1,wallet_records!$N:$N,'EEFF 2026'!BB$2,wallet_records!$H:$H,'EEFF 2026'!$B13)</f>
        <v>0</v>
      </c>
      <c r="BC13" s="115">
        <f>SUMIFS(wallet_records!$D:$D,wallet_records!$B:$B,'EEFF 2026'!$C13,wallet_records!$L:$L,'EEFF 2026'!BC$3,wallet_records!$O:$O,'EEFF 2026'!$B$1,wallet_records!$N:$N,'EEFF 2026'!BC$2,wallet_records!$H:$H,'EEFF 2026'!$B13)</f>
        <v>0</v>
      </c>
      <c r="BD13" s="115">
        <f>SUMIFS(wallet_records!$D:$D,wallet_records!$B:$B,'EEFF 2026'!$C13,wallet_records!$L:$L,'EEFF 2026'!BD$3,wallet_records!$O:$O,'EEFF 2026'!$B$1,wallet_records!$N:$N,'EEFF 2026'!BD$2,wallet_records!$H:$H,'EEFF 2026'!$B13)</f>
        <v>0</v>
      </c>
      <c r="BE13" s="115">
        <f>SUMIFS(wallet_records!$D:$D,wallet_records!$B:$B,'EEFF 2026'!$C13,wallet_records!$L:$L,'EEFF 2026'!BE$3,wallet_records!$O:$O,'EEFF 2026'!$B$1,wallet_records!$N:$N,'EEFF 2026'!BE$2,wallet_records!$H:$H,'EEFF 2026'!$B13)</f>
        <v>0</v>
      </c>
      <c r="BF13" s="115">
        <f>SUMIFS(wallet_records!$D:$D,wallet_records!$B:$B,'EEFF 2026'!$C13,wallet_records!$L:$L,'EEFF 2026'!BF$3,wallet_records!$O:$O,'EEFF 2026'!$B$1,wallet_records!$N:$N,'EEFF 2026'!BF$2,wallet_records!$H:$H,'EEFF 2026'!$B13)</f>
        <v>0</v>
      </c>
      <c r="BG13" s="116">
        <f t="shared" si="21"/>
        <v>0</v>
      </c>
      <c r="BH13" s="115">
        <f>SUMIFS(wallet_records!$D:$D,wallet_records!$B:$B,'EEFF 2026'!$C13,wallet_records!$L:$L,'EEFF 2026'!BH$3,wallet_records!$O:$O,'EEFF 2026'!$B$1,wallet_records!$N:$N,'EEFF 2026'!BH$2,wallet_records!$H:$H,'EEFF 2026'!$B13)</f>
        <v>0</v>
      </c>
      <c r="BI13" s="115">
        <f>SUMIFS(wallet_records!$D:$D,wallet_records!$B:$B,'EEFF 2026'!$C13,wallet_records!$L:$L,'EEFF 2026'!BI$3,wallet_records!$O:$O,'EEFF 2026'!$B$1,wallet_records!$N:$N,'EEFF 2026'!BI$2,wallet_records!$H:$H,'EEFF 2026'!$B13)</f>
        <v>0</v>
      </c>
      <c r="BJ13" s="115">
        <f>SUMIFS(wallet_records!$D:$D,wallet_records!$B:$B,'EEFF 2026'!$C13,wallet_records!$L:$L,'EEFF 2026'!BJ$3,wallet_records!$O:$O,'EEFF 2026'!$B$1,wallet_records!$N:$N,'EEFF 2026'!BJ$2,wallet_records!$H:$H,'EEFF 2026'!$B13)</f>
        <v>0</v>
      </c>
      <c r="BK13" s="115">
        <f>SUMIFS(wallet_records!$D:$D,wallet_records!$B:$B,'EEFF 2026'!$C13,wallet_records!$L:$L,'EEFF 2026'!BK$3,wallet_records!$O:$O,'EEFF 2026'!$B$1,wallet_records!$N:$N,'EEFF 2026'!BK$2,wallet_records!$H:$H,'EEFF 2026'!$B13)</f>
        <v>0</v>
      </c>
      <c r="BL13" s="115">
        <f>SUMIFS(wallet_records!$D:$D,wallet_records!$B:$B,'EEFF 2026'!$C13,wallet_records!$L:$L,'EEFF 2026'!BL$3,wallet_records!$O:$O,'EEFF 2026'!$B$1,wallet_records!$N:$N,'EEFF 2026'!BL$2,wallet_records!$H:$H,'EEFF 2026'!$B13)</f>
        <v>0</v>
      </c>
      <c r="BM13" s="115">
        <f>SUMIFS(wallet_records!$D:$D,wallet_records!$B:$B,'EEFF 2026'!$C13,wallet_records!$L:$L,'EEFF 2026'!BM$3,wallet_records!$O:$O,'EEFF 2026'!$B$1,wallet_records!$N:$N,'EEFF 2026'!BM$2,wallet_records!$H:$H,'EEFF 2026'!$B13)</f>
        <v>0</v>
      </c>
      <c r="BN13" s="116">
        <f t="shared" si="22"/>
        <v>0</v>
      </c>
      <c r="BO13" s="115">
        <f>SUMIFS(wallet_records!$D:$D,wallet_records!$B:$B,'EEFF 2026'!$C13,wallet_records!$L:$L,'EEFF 2026'!BO$3,wallet_records!$O:$O,'EEFF 2026'!$B$1,wallet_records!$N:$N,'EEFF 2026'!BO$2,wallet_records!$H:$H,'EEFF 2026'!$B13)</f>
        <v>0</v>
      </c>
      <c r="BP13" s="115">
        <f>SUMIFS(wallet_records!$D:$D,wallet_records!$B:$B,'EEFF 2026'!$C13,wallet_records!$L:$L,'EEFF 2026'!BP$3,wallet_records!$O:$O,'EEFF 2026'!$B$1,wallet_records!$N:$N,'EEFF 2026'!BP$2,wallet_records!$H:$H,'EEFF 2026'!$B13)</f>
        <v>0</v>
      </c>
      <c r="BQ13" s="115">
        <f>SUMIFS(wallet_records!$D:$D,wallet_records!$B:$B,'EEFF 2026'!$C13,wallet_records!$L:$L,'EEFF 2026'!BQ$3,wallet_records!$O:$O,'EEFF 2026'!$B$1,wallet_records!$N:$N,'EEFF 2026'!BQ$2,wallet_records!$H:$H,'EEFF 2026'!$B13)</f>
        <v>0</v>
      </c>
      <c r="BR13" s="115">
        <f>SUMIFS(wallet_records!$D:$D,wallet_records!$B:$B,'EEFF 2026'!$C13,wallet_records!$L:$L,'EEFF 2026'!BR$3,wallet_records!$O:$O,'EEFF 2026'!$B$1,wallet_records!$N:$N,'EEFF 2026'!BR$2,wallet_records!$H:$H,'EEFF 2026'!$B13)</f>
        <v>0</v>
      </c>
      <c r="BS13" s="115">
        <f>SUMIFS(wallet_records!$D:$D,wallet_records!$B:$B,'EEFF 2026'!$C13,wallet_records!$L:$L,'EEFF 2026'!BS$3,wallet_records!$O:$O,'EEFF 2026'!$B$1,wallet_records!$N:$N,'EEFF 2026'!BS$2,wallet_records!$H:$H,'EEFF 2026'!$B13)</f>
        <v>0</v>
      </c>
      <c r="BT13" s="115">
        <f>SUMIFS(wallet_records!$D:$D,wallet_records!$B:$B,'EEFF 2026'!$C13,wallet_records!$L:$L,'EEFF 2026'!BT$3,wallet_records!$O:$O,'EEFF 2026'!$B$1,wallet_records!$N:$N,'EEFF 2026'!BT$2,wallet_records!$H:$H,'EEFF 2026'!$B13)</f>
        <v>0</v>
      </c>
      <c r="BU13" s="116">
        <f t="shared" si="23"/>
        <v>0</v>
      </c>
      <c r="BV13" s="115">
        <f>SUMIFS(wallet_records!$D:$D,wallet_records!$B:$B,'EEFF 2026'!$C13,wallet_records!$L:$L,'EEFF 2026'!BV$3,wallet_records!$O:$O,'EEFF 2026'!$B$1,wallet_records!$N:$N,'EEFF 2026'!BV$2,wallet_records!$H:$H,'EEFF 2026'!$B13)</f>
        <v>0</v>
      </c>
      <c r="BW13" s="115">
        <f>SUMIFS(wallet_records!$D:$D,wallet_records!$B:$B,'EEFF 2026'!$C13,wallet_records!$L:$L,'EEFF 2026'!BW$3,wallet_records!$O:$O,'EEFF 2026'!$B$1,wallet_records!$N:$N,'EEFF 2026'!BW$2,wallet_records!$H:$H,'EEFF 2026'!$B13)</f>
        <v>0</v>
      </c>
      <c r="BX13" s="115">
        <f>SUMIFS(wallet_records!$D:$D,wallet_records!$B:$B,'EEFF 2026'!$C13,wallet_records!$L:$L,'EEFF 2026'!BX$3,wallet_records!$O:$O,'EEFF 2026'!$B$1,wallet_records!$N:$N,'EEFF 2026'!BX$2,wallet_records!$H:$H,'EEFF 2026'!$B13)</f>
        <v>0</v>
      </c>
      <c r="BY13" s="115">
        <f>SUMIFS(wallet_records!$D:$D,wallet_records!$B:$B,'EEFF 2026'!$C13,wallet_records!$L:$L,'EEFF 2026'!BY$3,wallet_records!$O:$O,'EEFF 2026'!$B$1,wallet_records!$N:$N,'EEFF 2026'!BY$2,wallet_records!$H:$H,'EEFF 2026'!$B13)</f>
        <v>0</v>
      </c>
      <c r="BZ13" s="115">
        <f>SUMIFS(wallet_records!$D:$D,wallet_records!$B:$B,'EEFF 2026'!$C13,wallet_records!$L:$L,'EEFF 2026'!BZ$3,wallet_records!$O:$O,'EEFF 2026'!$B$1,wallet_records!$N:$N,'EEFF 2026'!BZ$2,wallet_records!$H:$H,'EEFF 2026'!$B13)</f>
        <v>0</v>
      </c>
      <c r="CA13" s="115">
        <f>SUMIFS(wallet_records!$D:$D,wallet_records!$B:$B,'EEFF 2026'!$C13,wallet_records!$L:$L,'EEFF 2026'!CA$3,wallet_records!$O:$O,'EEFF 2026'!$B$1,wallet_records!$N:$N,'EEFF 2026'!CA$2,wallet_records!$H:$H,'EEFF 2026'!$B13)</f>
        <v>0</v>
      </c>
      <c r="CB13" s="116">
        <f t="shared" si="24"/>
        <v>0</v>
      </c>
      <c r="CC13" s="115">
        <f>SUMIFS(wallet_records!$D:$D,wallet_records!$B:$B,'EEFF 2026'!$C13,wallet_records!$L:$L,'EEFF 2026'!CC$3,wallet_records!$O:$O,'EEFF 2026'!$B$1,wallet_records!$N:$N,'EEFF 2026'!CC$2,wallet_records!$H:$H,'EEFF 2026'!$B13)</f>
        <v>0</v>
      </c>
      <c r="CD13" s="115">
        <f>SUMIFS(wallet_records!$D:$D,wallet_records!$B:$B,'EEFF 2026'!$C13,wallet_records!$L:$L,'EEFF 2026'!CD$3,wallet_records!$O:$O,'EEFF 2026'!$B$1,wallet_records!$N:$N,'EEFF 2026'!CD$2,wallet_records!$H:$H,'EEFF 2026'!$B13)</f>
        <v>0</v>
      </c>
      <c r="CE13" s="115">
        <f>SUMIFS(wallet_records!$D:$D,wallet_records!$B:$B,'EEFF 2026'!$C13,wallet_records!$L:$L,'EEFF 2026'!CE$3,wallet_records!$O:$O,'EEFF 2026'!$B$1,wallet_records!$N:$N,'EEFF 2026'!CE$2,wallet_records!$H:$H,'EEFF 2026'!$B13)</f>
        <v>0</v>
      </c>
      <c r="CF13" s="115">
        <f>SUMIFS(wallet_records!$D:$D,wallet_records!$B:$B,'EEFF 2026'!$C13,wallet_records!$L:$L,'EEFF 2026'!CF$3,wallet_records!$O:$O,'EEFF 2026'!$B$1,wallet_records!$N:$N,'EEFF 2026'!CF$2,wallet_records!$H:$H,'EEFF 2026'!$B13)</f>
        <v>0</v>
      </c>
      <c r="CG13" s="115">
        <f>SUMIFS(wallet_records!$D:$D,wallet_records!$B:$B,'EEFF 2026'!$C13,wallet_records!$L:$L,'EEFF 2026'!CG$3,wallet_records!$O:$O,'EEFF 2026'!$B$1,wallet_records!$N:$N,'EEFF 2026'!CG$2,wallet_records!$H:$H,'EEFF 2026'!$B13)</f>
        <v>0</v>
      </c>
      <c r="CH13" s="115">
        <f>SUMIFS(wallet_records!$D:$D,wallet_records!$B:$B,'EEFF 2026'!$C13,wallet_records!$L:$L,'EEFF 2026'!CH$3,wallet_records!$O:$O,'EEFF 2026'!$B$1,wallet_records!$N:$N,'EEFF 2026'!CH$2,wallet_records!$H:$H,'EEFF 2026'!$B13)</f>
        <v>0</v>
      </c>
      <c r="CI13" s="116">
        <f t="shared" si="25"/>
        <v>0</v>
      </c>
      <c r="CJ13" s="115">
        <f>SUMIFS(wallet_records!$D:$D,wallet_records!$B:$B,'EEFF 2026'!$C13,wallet_records!$L:$L,'EEFF 2026'!CJ$3,wallet_records!$O:$O,'EEFF 2026'!$B$1,wallet_records!$H:$H,'EEFF 2026'!$B13)</f>
        <v>0</v>
      </c>
      <c r="CK13" s="115">
        <f>SUMIFS(wallet_records!$D:$D,wallet_records!$B:$B,'EEFF 2026'!$C13,wallet_records!$L:$L,'EEFF 2026'!CK$3,wallet_records!$O:$O,'EEFF 2026'!$B$1,wallet_records!$H:$H,'EEFF 2026'!$B13)</f>
        <v>0</v>
      </c>
      <c r="CL13" s="115">
        <f>SUMIFS(wallet_records!$D:$D,wallet_records!$B:$B,'EEFF 2026'!$C13,wallet_records!$L:$L,'EEFF 2026'!CL$3,wallet_records!$O:$O,'EEFF 2026'!$B$1,wallet_records!$H:$H,'EEFF 2026'!$B13)</f>
        <v>0</v>
      </c>
      <c r="CM13" s="115">
        <f>SUMIFS(wallet_records!$D:$D,wallet_records!$B:$B,'EEFF 2026'!$C13,wallet_records!$L:$L,'EEFF 2026'!CM$3,wallet_records!$O:$O,'EEFF 2026'!$B$1,wallet_records!$H:$H,'EEFF 2026'!$B13)</f>
        <v>0</v>
      </c>
      <c r="CN13" s="115">
        <f>SUMIFS(wallet_records!$D:$D,wallet_records!$B:$B,'EEFF 2026'!$C13,wallet_records!$L:$L,'EEFF 2026'!CN$3,wallet_records!$O:$O,'EEFF 2026'!$B$1,wallet_records!$H:$H,'EEFF 2026'!$B13)</f>
        <v>0</v>
      </c>
      <c r="CO13" s="115">
        <f>SUMIFS(wallet_records!$D:$D,wallet_records!$B:$B,'EEFF 2026'!$C13,wallet_records!$L:$L,'EEFF 2026'!CO$3,wallet_records!$O:$O,'EEFF 2026'!$B$1,wallet_records!$H:$H,'EEFF 2026'!$B13)</f>
        <v>0</v>
      </c>
      <c r="CP13" s="116">
        <f t="shared" si="26"/>
        <v>0</v>
      </c>
      <c r="CQ13" s="107"/>
      <c r="CR13" s="118">
        <f t="shared" si="0"/>
        <v>0</v>
      </c>
      <c r="CS13" s="118">
        <f t="shared" si="1"/>
        <v>0</v>
      </c>
      <c r="CT13" s="118" t="e">
        <f t="shared" si="2"/>
        <v>#DIV/0!</v>
      </c>
      <c r="CU13" s="118" t="e">
        <f t="shared" si="3"/>
        <v>#DIV/0!</v>
      </c>
      <c r="CV13" s="118" t="e">
        <f t="shared" si="4"/>
        <v>#DIV/0!</v>
      </c>
      <c r="CW13" s="118" t="e">
        <f t="shared" si="5"/>
        <v>#DIV/0!</v>
      </c>
      <c r="CX13" s="118" t="e">
        <f t="shared" si="6"/>
        <v>#DIV/0!</v>
      </c>
      <c r="CY13" s="118" t="e">
        <f t="shared" si="7"/>
        <v>#DIV/0!</v>
      </c>
      <c r="CZ13" s="118" t="e">
        <f t="shared" si="8"/>
        <v>#DIV/0!</v>
      </c>
      <c r="DA13" s="118" t="e">
        <f t="shared" si="9"/>
        <v>#DIV/0!</v>
      </c>
      <c r="DB13" s="118" t="e">
        <f t="shared" si="10"/>
        <v>#DIV/0!</v>
      </c>
      <c r="DC13" s="118" t="e">
        <f t="shared" si="11"/>
        <v>#DIV/0!</v>
      </c>
    </row>
    <row r="14" spans="2:120" ht="16" x14ac:dyDescent="0.2">
      <c r="B14" s="107" t="s">
        <v>400</v>
      </c>
      <c r="C14" s="191"/>
      <c r="D14" s="116">
        <v>0</v>
      </c>
      <c r="E14" s="116">
        <v>0</v>
      </c>
      <c r="F14" s="116">
        <v>0</v>
      </c>
      <c r="G14" s="119">
        <v>0</v>
      </c>
      <c r="H14" s="119">
        <v>0</v>
      </c>
      <c r="I14" s="119">
        <v>0</v>
      </c>
      <c r="J14" s="119">
        <f t="shared" si="14"/>
        <v>0</v>
      </c>
      <c r="K14" s="116">
        <v>0</v>
      </c>
      <c r="L14" s="116">
        <v>0</v>
      </c>
      <c r="M14" s="116">
        <v>0</v>
      </c>
      <c r="N14" s="119">
        <v>0</v>
      </c>
      <c r="O14" s="119">
        <v>0</v>
      </c>
      <c r="P14" s="119">
        <v>0</v>
      </c>
      <c r="Q14" s="119">
        <f t="shared" si="15"/>
        <v>0</v>
      </c>
      <c r="R14" s="116">
        <v>0</v>
      </c>
      <c r="S14" s="116">
        <v>0</v>
      </c>
      <c r="T14" s="116">
        <v>0</v>
      </c>
      <c r="U14" s="119">
        <v>0</v>
      </c>
      <c r="V14" s="119">
        <v>0</v>
      </c>
      <c r="W14" s="119">
        <v>0</v>
      </c>
      <c r="X14" s="119">
        <f t="shared" si="16"/>
        <v>0</v>
      </c>
      <c r="Y14" s="116">
        <v>0</v>
      </c>
      <c r="Z14" s="116">
        <v>0</v>
      </c>
      <c r="AA14" s="116">
        <v>0</v>
      </c>
      <c r="AB14" s="119">
        <v>0</v>
      </c>
      <c r="AC14" s="119">
        <v>0</v>
      </c>
      <c r="AD14" s="119">
        <v>0</v>
      </c>
      <c r="AE14" s="119">
        <f t="shared" si="17"/>
        <v>0</v>
      </c>
      <c r="AF14" s="116">
        <v>0</v>
      </c>
      <c r="AG14" s="116">
        <v>0</v>
      </c>
      <c r="AH14" s="116">
        <v>0</v>
      </c>
      <c r="AI14" s="119">
        <v>0</v>
      </c>
      <c r="AJ14" s="119">
        <v>0</v>
      </c>
      <c r="AK14" s="119">
        <v>0</v>
      </c>
      <c r="AL14" s="119">
        <f t="shared" si="18"/>
        <v>0</v>
      </c>
      <c r="AM14" s="116">
        <v>0</v>
      </c>
      <c r="AN14" s="116">
        <v>0</v>
      </c>
      <c r="AO14" s="116">
        <v>0</v>
      </c>
      <c r="AP14" s="119">
        <v>0</v>
      </c>
      <c r="AQ14" s="119">
        <v>0</v>
      </c>
      <c r="AR14" s="119">
        <v>0</v>
      </c>
      <c r="AS14" s="119">
        <f t="shared" si="19"/>
        <v>0</v>
      </c>
      <c r="AT14" s="116">
        <v>0</v>
      </c>
      <c r="AU14" s="116">
        <v>0</v>
      </c>
      <c r="AV14" s="116">
        <v>0</v>
      </c>
      <c r="AW14" s="119">
        <v>0</v>
      </c>
      <c r="AX14" s="119">
        <v>0</v>
      </c>
      <c r="AY14" s="119">
        <v>0</v>
      </c>
      <c r="AZ14" s="119">
        <f t="shared" si="20"/>
        <v>0</v>
      </c>
      <c r="BA14" s="116">
        <v>0</v>
      </c>
      <c r="BB14" s="116">
        <v>0</v>
      </c>
      <c r="BC14" s="116">
        <v>0</v>
      </c>
      <c r="BD14" s="119">
        <v>0</v>
      </c>
      <c r="BE14" s="119">
        <v>0</v>
      </c>
      <c r="BF14" s="119">
        <v>0</v>
      </c>
      <c r="BG14" s="119">
        <f t="shared" si="21"/>
        <v>0</v>
      </c>
      <c r="BH14" s="116">
        <v>0</v>
      </c>
      <c r="BI14" s="116">
        <v>0</v>
      </c>
      <c r="BJ14" s="116">
        <v>0</v>
      </c>
      <c r="BK14" s="119">
        <v>0</v>
      </c>
      <c r="BL14" s="119">
        <v>0</v>
      </c>
      <c r="BM14" s="119">
        <v>0</v>
      </c>
      <c r="BN14" s="119">
        <f t="shared" si="22"/>
        <v>0</v>
      </c>
      <c r="BO14" s="116">
        <v>0</v>
      </c>
      <c r="BP14" s="116">
        <v>0</v>
      </c>
      <c r="BQ14" s="116">
        <v>0</v>
      </c>
      <c r="BR14" s="119">
        <v>0</v>
      </c>
      <c r="BS14" s="119">
        <v>0</v>
      </c>
      <c r="BT14" s="119">
        <v>0</v>
      </c>
      <c r="BU14" s="119">
        <f t="shared" si="23"/>
        <v>0</v>
      </c>
      <c r="BV14" s="116">
        <v>0</v>
      </c>
      <c r="BW14" s="116">
        <v>0</v>
      </c>
      <c r="BX14" s="116">
        <v>0</v>
      </c>
      <c r="BY14" s="119">
        <v>0</v>
      </c>
      <c r="BZ14" s="119">
        <v>0</v>
      </c>
      <c r="CA14" s="119">
        <v>0</v>
      </c>
      <c r="CB14" s="119">
        <f t="shared" si="24"/>
        <v>0</v>
      </c>
      <c r="CC14" s="116">
        <v>0</v>
      </c>
      <c r="CD14" s="116">
        <v>0</v>
      </c>
      <c r="CE14" s="116">
        <v>0</v>
      </c>
      <c r="CF14" s="119">
        <v>0</v>
      </c>
      <c r="CG14" s="119">
        <v>0</v>
      </c>
      <c r="CH14" s="119">
        <v>0</v>
      </c>
      <c r="CI14" s="119">
        <f t="shared" si="25"/>
        <v>0</v>
      </c>
      <c r="CJ14" s="115">
        <f>SUMIFS(wallet_records!$D:$D,wallet_records!$B:$B,'EEFF 2026'!$C14,wallet_records!$L:$L,'EEFF 2026'!CJ$3,wallet_records!$O:$O,'EEFF 2026'!$B$1,wallet_records!$H:$H,'EEFF 2026'!$B14)</f>
        <v>0</v>
      </c>
      <c r="CK14" s="115">
        <f>SUMIFS(wallet_records!$D:$D,wallet_records!$B:$B,'EEFF 2026'!$C14,wallet_records!$L:$L,'EEFF 2026'!CK$3,wallet_records!$O:$O,'EEFF 2026'!$B$1,wallet_records!$H:$H,'EEFF 2026'!$B14)</f>
        <v>0</v>
      </c>
      <c r="CL14" s="115">
        <f>SUMIFS(wallet_records!$D:$D,wallet_records!$B:$B,'EEFF 2026'!$C14,wallet_records!$L:$L,'EEFF 2026'!CL$3,wallet_records!$O:$O,'EEFF 2026'!$B$1,wallet_records!$H:$H,'EEFF 2026'!$B14)</f>
        <v>0</v>
      </c>
      <c r="CM14" s="115">
        <f>SUMIFS(wallet_records!$D:$D,wallet_records!$B:$B,'EEFF 2026'!$C14,wallet_records!$L:$L,'EEFF 2026'!CM$3,wallet_records!$O:$O,'EEFF 2026'!$B$1,wallet_records!$H:$H,'EEFF 2026'!$B14)</f>
        <v>0</v>
      </c>
      <c r="CN14" s="115">
        <f>SUMIFS(wallet_records!$D:$D,wallet_records!$B:$B,'EEFF 2026'!$C14,wallet_records!$L:$L,'EEFF 2026'!CN$3,wallet_records!$O:$O,'EEFF 2026'!$B$1,wallet_records!$H:$H,'EEFF 2026'!$B14)</f>
        <v>0</v>
      </c>
      <c r="CO14" s="115">
        <f>SUMIFS(wallet_records!$D:$D,wallet_records!$B:$B,'EEFF 2026'!$C14,wallet_records!$L:$L,'EEFF 2026'!CO$3,wallet_records!$O:$O,'EEFF 2026'!$B$1,wallet_records!$H:$H,'EEFF 2026'!$B14)</f>
        <v>0</v>
      </c>
      <c r="CP14" s="119">
        <f t="shared" si="26"/>
        <v>0</v>
      </c>
      <c r="CQ14" s="107"/>
      <c r="CR14" s="118">
        <f t="shared" si="0"/>
        <v>0</v>
      </c>
      <c r="CS14" s="118">
        <f t="shared" si="1"/>
        <v>0</v>
      </c>
      <c r="CT14" s="118" t="e">
        <f t="shared" si="2"/>
        <v>#DIV/0!</v>
      </c>
      <c r="CU14" s="118" t="e">
        <f t="shared" si="3"/>
        <v>#DIV/0!</v>
      </c>
      <c r="CV14" s="118" t="e">
        <f t="shared" si="4"/>
        <v>#DIV/0!</v>
      </c>
      <c r="CW14" s="118" t="e">
        <f t="shared" si="5"/>
        <v>#DIV/0!</v>
      </c>
      <c r="CX14" s="118" t="e">
        <f t="shared" si="6"/>
        <v>#DIV/0!</v>
      </c>
      <c r="CY14" s="118" t="e">
        <f t="shared" si="7"/>
        <v>#DIV/0!</v>
      </c>
      <c r="CZ14" s="118" t="e">
        <f t="shared" si="8"/>
        <v>#DIV/0!</v>
      </c>
      <c r="DA14" s="118" t="e">
        <f t="shared" si="9"/>
        <v>#DIV/0!</v>
      </c>
      <c r="DB14" s="118" t="e">
        <f t="shared" si="10"/>
        <v>#DIV/0!</v>
      </c>
      <c r="DC14" s="118" t="e">
        <f t="shared" si="11"/>
        <v>#DIV/0!</v>
      </c>
    </row>
    <row r="15" spans="2:120" ht="16" x14ac:dyDescent="0.2">
      <c r="B15" s="107" t="s">
        <v>530</v>
      </c>
      <c r="C15" s="191"/>
      <c r="D15" s="116"/>
      <c r="E15" s="116"/>
      <c r="F15" s="116"/>
      <c r="G15" s="119"/>
      <c r="H15" s="119"/>
      <c r="I15" s="119"/>
      <c r="J15" s="119"/>
      <c r="K15" s="116"/>
      <c r="L15" s="116"/>
      <c r="M15" s="116"/>
      <c r="N15" s="119"/>
      <c r="O15" s="119"/>
      <c r="P15" s="119"/>
      <c r="Q15" s="119"/>
      <c r="R15" s="116"/>
      <c r="S15" s="116"/>
      <c r="T15" s="116"/>
      <c r="U15" s="119"/>
      <c r="V15" s="119"/>
      <c r="W15" s="119"/>
      <c r="X15" s="119"/>
      <c r="Y15" s="116"/>
      <c r="Z15" s="116"/>
      <c r="AA15" s="116"/>
      <c r="AB15" s="119"/>
      <c r="AC15" s="119"/>
      <c r="AD15" s="119"/>
      <c r="AE15" s="119"/>
      <c r="AF15" s="116"/>
      <c r="AG15" s="116"/>
      <c r="AH15" s="116"/>
      <c r="AI15" s="119"/>
      <c r="AJ15" s="119"/>
      <c r="AK15" s="119"/>
      <c r="AL15" s="119"/>
      <c r="AM15" s="116"/>
      <c r="AN15" s="116"/>
      <c r="AO15" s="116"/>
      <c r="AP15" s="119"/>
      <c r="AQ15" s="119"/>
      <c r="AR15" s="119"/>
      <c r="AS15" s="119"/>
      <c r="AT15" s="116"/>
      <c r="AU15" s="116"/>
      <c r="AV15" s="116"/>
      <c r="AW15" s="119"/>
      <c r="AX15" s="119"/>
      <c r="AY15" s="119"/>
      <c r="AZ15" s="119"/>
      <c r="BA15" s="116"/>
      <c r="BB15" s="116"/>
      <c r="BC15" s="116"/>
      <c r="BD15" s="119"/>
      <c r="BE15" s="119"/>
      <c r="BF15" s="119"/>
      <c r="BG15" s="119"/>
      <c r="BH15" s="116"/>
      <c r="BI15" s="116"/>
      <c r="BJ15" s="116"/>
      <c r="BK15" s="119"/>
      <c r="BL15" s="119"/>
      <c r="BM15" s="119"/>
      <c r="BN15" s="119"/>
      <c r="BO15" s="116"/>
      <c r="BP15" s="116"/>
      <c r="BQ15" s="116"/>
      <c r="BR15" s="119"/>
      <c r="BS15" s="119"/>
      <c r="BT15" s="119"/>
      <c r="BU15" s="119"/>
      <c r="BV15" s="116"/>
      <c r="BW15" s="116"/>
      <c r="BX15" s="116"/>
      <c r="BY15" s="119"/>
      <c r="BZ15" s="119"/>
      <c r="CA15" s="119"/>
      <c r="CB15" s="119"/>
      <c r="CC15" s="116"/>
      <c r="CD15" s="116"/>
      <c r="CE15" s="116"/>
      <c r="CF15" s="119"/>
      <c r="CG15" s="119"/>
      <c r="CH15" s="119"/>
      <c r="CI15" s="119"/>
      <c r="CJ15" s="115"/>
      <c r="CK15" s="115"/>
      <c r="CL15" s="115"/>
      <c r="CM15" s="115"/>
      <c r="CN15" s="115"/>
      <c r="CO15" s="115"/>
      <c r="CP15" s="119"/>
      <c r="CQ15" s="107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</row>
    <row r="16" spans="2:120" ht="16" x14ac:dyDescent="0.2">
      <c r="B16" s="109" t="s">
        <v>401</v>
      </c>
      <c r="C16" s="193"/>
      <c r="D16" s="110">
        <f>D8-D9-D10-D11-D12-D13-D14</f>
        <v>1594000</v>
      </c>
      <c r="E16" s="110">
        <f t="shared" ref="E16:BP16" si="27">E8-E9-E10-E11-E12-E13-E14</f>
        <v>3146600</v>
      </c>
      <c r="F16" s="110">
        <f t="shared" si="27"/>
        <v>998458</v>
      </c>
      <c r="G16" s="110">
        <f t="shared" si="27"/>
        <v>494600</v>
      </c>
      <c r="H16" s="110">
        <f t="shared" si="27"/>
        <v>1445600</v>
      </c>
      <c r="I16" s="110">
        <f t="shared" si="27"/>
        <v>881000</v>
      </c>
      <c r="J16" s="263">
        <f>J8-J9-J10-J11-J12-J13-J14</f>
        <v>8560258</v>
      </c>
      <c r="K16" s="110">
        <f t="shared" si="27"/>
        <v>-1534125</v>
      </c>
      <c r="L16" s="110">
        <f t="shared" si="27"/>
        <v>-1285340</v>
      </c>
      <c r="M16" s="110">
        <f t="shared" si="27"/>
        <v>-784919</v>
      </c>
      <c r="N16" s="110">
        <f t="shared" si="27"/>
        <v>-359256</v>
      </c>
      <c r="O16" s="110">
        <f t="shared" si="27"/>
        <v>-1590257</v>
      </c>
      <c r="P16" s="110">
        <f t="shared" si="27"/>
        <v>0</v>
      </c>
      <c r="Q16" s="110">
        <f t="shared" si="27"/>
        <v>-5553897</v>
      </c>
      <c r="R16" s="110">
        <f t="shared" si="27"/>
        <v>0</v>
      </c>
      <c r="S16" s="110">
        <f t="shared" si="27"/>
        <v>0</v>
      </c>
      <c r="T16" s="110">
        <f t="shared" si="27"/>
        <v>0</v>
      </c>
      <c r="U16" s="110">
        <f t="shared" si="27"/>
        <v>0</v>
      </c>
      <c r="V16" s="110">
        <f t="shared" si="27"/>
        <v>0</v>
      </c>
      <c r="W16" s="110">
        <f t="shared" si="27"/>
        <v>0</v>
      </c>
      <c r="X16" s="110">
        <f t="shared" si="27"/>
        <v>0</v>
      </c>
      <c r="Y16" s="110">
        <f t="shared" si="27"/>
        <v>0</v>
      </c>
      <c r="Z16" s="110">
        <f t="shared" si="27"/>
        <v>0</v>
      </c>
      <c r="AA16" s="110">
        <f t="shared" si="27"/>
        <v>0</v>
      </c>
      <c r="AB16" s="110">
        <f t="shared" si="27"/>
        <v>0</v>
      </c>
      <c r="AC16" s="110">
        <f t="shared" si="27"/>
        <v>0</v>
      </c>
      <c r="AD16" s="110">
        <f t="shared" si="27"/>
        <v>0</v>
      </c>
      <c r="AE16" s="110">
        <f t="shared" si="27"/>
        <v>0</v>
      </c>
      <c r="AF16" s="110">
        <f t="shared" si="27"/>
        <v>0</v>
      </c>
      <c r="AG16" s="110">
        <f t="shared" si="27"/>
        <v>0</v>
      </c>
      <c r="AH16" s="110">
        <f t="shared" si="27"/>
        <v>0</v>
      </c>
      <c r="AI16" s="110">
        <f t="shared" si="27"/>
        <v>0</v>
      </c>
      <c r="AJ16" s="110">
        <f t="shared" si="27"/>
        <v>0</v>
      </c>
      <c r="AK16" s="110">
        <f t="shared" si="27"/>
        <v>0</v>
      </c>
      <c r="AL16" s="110">
        <f t="shared" si="27"/>
        <v>0</v>
      </c>
      <c r="AM16" s="110">
        <f t="shared" si="27"/>
        <v>0</v>
      </c>
      <c r="AN16" s="110">
        <f t="shared" si="27"/>
        <v>0</v>
      </c>
      <c r="AO16" s="110">
        <f t="shared" si="27"/>
        <v>0</v>
      </c>
      <c r="AP16" s="110">
        <f t="shared" si="27"/>
        <v>0</v>
      </c>
      <c r="AQ16" s="110">
        <f t="shared" si="27"/>
        <v>0</v>
      </c>
      <c r="AR16" s="110">
        <f t="shared" si="27"/>
        <v>0</v>
      </c>
      <c r="AS16" s="110">
        <f t="shared" si="27"/>
        <v>0</v>
      </c>
      <c r="AT16" s="110">
        <f t="shared" si="27"/>
        <v>0</v>
      </c>
      <c r="AU16" s="110">
        <f t="shared" si="27"/>
        <v>0</v>
      </c>
      <c r="AV16" s="110">
        <f t="shared" si="27"/>
        <v>0</v>
      </c>
      <c r="AW16" s="110">
        <f t="shared" si="27"/>
        <v>0</v>
      </c>
      <c r="AX16" s="110">
        <f t="shared" si="27"/>
        <v>0</v>
      </c>
      <c r="AY16" s="110">
        <f t="shared" si="27"/>
        <v>0</v>
      </c>
      <c r="AZ16" s="110">
        <f t="shared" si="27"/>
        <v>0</v>
      </c>
      <c r="BA16" s="110">
        <f t="shared" si="27"/>
        <v>0</v>
      </c>
      <c r="BB16" s="110">
        <f t="shared" si="27"/>
        <v>0</v>
      </c>
      <c r="BC16" s="110">
        <f t="shared" si="27"/>
        <v>0</v>
      </c>
      <c r="BD16" s="110">
        <f t="shared" si="27"/>
        <v>0</v>
      </c>
      <c r="BE16" s="110">
        <f t="shared" si="27"/>
        <v>0</v>
      </c>
      <c r="BF16" s="110">
        <f t="shared" si="27"/>
        <v>0</v>
      </c>
      <c r="BG16" s="110">
        <f t="shared" si="27"/>
        <v>0</v>
      </c>
      <c r="BH16" s="110">
        <f t="shared" si="27"/>
        <v>0</v>
      </c>
      <c r="BI16" s="110">
        <f t="shared" si="27"/>
        <v>0</v>
      </c>
      <c r="BJ16" s="110">
        <f t="shared" si="27"/>
        <v>0</v>
      </c>
      <c r="BK16" s="110">
        <f t="shared" si="27"/>
        <v>0</v>
      </c>
      <c r="BL16" s="110">
        <f t="shared" si="27"/>
        <v>0</v>
      </c>
      <c r="BM16" s="110">
        <f t="shared" si="27"/>
        <v>0</v>
      </c>
      <c r="BN16" s="110">
        <f t="shared" si="27"/>
        <v>0</v>
      </c>
      <c r="BO16" s="110">
        <f t="shared" si="27"/>
        <v>0</v>
      </c>
      <c r="BP16" s="110">
        <f t="shared" si="27"/>
        <v>0</v>
      </c>
      <c r="BQ16" s="110">
        <f t="shared" ref="BQ16:CO16" si="28">BQ8-BQ9-BQ10-BQ11-BQ12-BQ13-BQ14</f>
        <v>0</v>
      </c>
      <c r="BR16" s="110">
        <f t="shared" si="28"/>
        <v>0</v>
      </c>
      <c r="BS16" s="110">
        <f t="shared" si="28"/>
        <v>0</v>
      </c>
      <c r="BT16" s="110">
        <f t="shared" si="28"/>
        <v>0</v>
      </c>
      <c r="BU16" s="110">
        <f t="shared" si="28"/>
        <v>0</v>
      </c>
      <c r="BV16" s="110">
        <f t="shared" si="28"/>
        <v>0</v>
      </c>
      <c r="BW16" s="110">
        <f t="shared" si="28"/>
        <v>0</v>
      </c>
      <c r="BX16" s="110">
        <f t="shared" si="28"/>
        <v>0</v>
      </c>
      <c r="BY16" s="110">
        <f t="shared" si="28"/>
        <v>0</v>
      </c>
      <c r="BZ16" s="110">
        <f t="shared" si="28"/>
        <v>0</v>
      </c>
      <c r="CA16" s="110">
        <f t="shared" si="28"/>
        <v>0</v>
      </c>
      <c r="CB16" s="110">
        <f t="shared" si="28"/>
        <v>0</v>
      </c>
      <c r="CC16" s="110">
        <f t="shared" si="28"/>
        <v>0</v>
      </c>
      <c r="CD16" s="110">
        <f t="shared" si="28"/>
        <v>0</v>
      </c>
      <c r="CE16" s="110">
        <f t="shared" si="28"/>
        <v>0</v>
      </c>
      <c r="CF16" s="110">
        <f t="shared" si="28"/>
        <v>0</v>
      </c>
      <c r="CG16" s="110">
        <f t="shared" si="28"/>
        <v>0</v>
      </c>
      <c r="CH16" s="110">
        <f t="shared" si="28"/>
        <v>0</v>
      </c>
      <c r="CI16" s="110">
        <f t="shared" si="28"/>
        <v>0</v>
      </c>
      <c r="CJ16" s="110">
        <f t="shared" si="28"/>
        <v>59875</v>
      </c>
      <c r="CK16" s="110">
        <f t="shared" si="28"/>
        <v>1861260</v>
      </c>
      <c r="CL16" s="110">
        <f t="shared" si="28"/>
        <v>213539</v>
      </c>
      <c r="CM16" s="110">
        <f t="shared" si="28"/>
        <v>135344</v>
      </c>
      <c r="CN16" s="110">
        <f t="shared" si="28"/>
        <v>-144657</v>
      </c>
      <c r="CO16" s="110">
        <f t="shared" si="28"/>
        <v>881000</v>
      </c>
      <c r="CP16" s="110">
        <f>CP8-CP9-CP10-CP11-CP12-CP13-CP14</f>
        <v>3006361</v>
      </c>
      <c r="CQ16" s="107"/>
      <c r="CR16" s="111">
        <f t="shared" si="0"/>
        <v>0.90178223036891891</v>
      </c>
      <c r="CS16" s="111">
        <f t="shared" si="1"/>
        <v>-0.86286191467544981</v>
      </c>
      <c r="CT16" s="111" t="e">
        <f t="shared" si="2"/>
        <v>#DIV/0!</v>
      </c>
      <c r="CU16" s="111" t="e">
        <f t="shared" si="3"/>
        <v>#DIV/0!</v>
      </c>
      <c r="CV16" s="111" t="e">
        <f t="shared" si="4"/>
        <v>#DIV/0!</v>
      </c>
      <c r="CW16" s="111" t="e">
        <f t="shared" si="5"/>
        <v>#DIV/0!</v>
      </c>
      <c r="CX16" s="111" t="e">
        <f t="shared" si="6"/>
        <v>#DIV/0!</v>
      </c>
      <c r="CY16" s="111" t="e">
        <f t="shared" si="7"/>
        <v>#DIV/0!</v>
      </c>
      <c r="CZ16" s="111" t="e">
        <f t="shared" si="8"/>
        <v>#DIV/0!</v>
      </c>
      <c r="DA16" s="111" t="e">
        <f t="shared" si="9"/>
        <v>#DIV/0!</v>
      </c>
      <c r="DB16" s="111" t="e">
        <f t="shared" si="10"/>
        <v>#DIV/0!</v>
      </c>
      <c r="DC16" s="111" t="e">
        <f t="shared" si="11"/>
        <v>#DIV/0!</v>
      </c>
    </row>
    <row r="17" spans="1:107" ht="16" x14ac:dyDescent="0.2">
      <c r="A17" s="264"/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6">
        <f>SUMIFS(wallet_records!$D:$D,wallet_records!$B:$B,'EEFF 2026'!$C17,wallet_records!$O:$O,'EEFF 2026'!$B$1,wallet_records!$N:$N,'EEFF 2026'!J$2,wallet_records!$H:$H,'EEFF 2026'!$B17,wallet_records!$F:$F,"Ingreso")</f>
        <v>0</v>
      </c>
      <c r="K17" s="120"/>
      <c r="L17" s="120"/>
      <c r="M17" s="120"/>
      <c r="N17" s="120"/>
      <c r="O17" s="120"/>
      <c r="P17" s="120"/>
      <c r="Q17" s="115">
        <f>SUMIFS(wallet_records!$D:$D,wallet_records!$B:$B,'EEFF 2026'!$C17,wallet_records!$O:$O,'EEFF 2026'!$B$1,wallet_records!$N:$N,'EEFF 2026'!Q$2,wallet_records!$H:$H,'EEFF 2026'!$B17,wallet_records!$F:$F,"Ingreso")</f>
        <v>0</v>
      </c>
      <c r="R17" s="120"/>
      <c r="S17" s="120"/>
      <c r="T17" s="120"/>
      <c r="U17" s="120"/>
      <c r="V17" s="120"/>
      <c r="W17" s="120"/>
      <c r="X17" s="115">
        <f>SUMIFS(wallet_records!$D:$D,wallet_records!$B:$B,'EEFF 2026'!$C17,wallet_records!$O:$O,'EEFF 2026'!$B$1,wallet_records!$N:$N,'EEFF 2026'!X$2,wallet_records!$H:$H,'EEFF 2026'!$B17,wallet_records!$F:$F,"Ingreso")</f>
        <v>0</v>
      </c>
      <c r="Y17" s="120"/>
      <c r="Z17" s="120"/>
      <c r="AA17" s="120"/>
      <c r="AB17" s="120"/>
      <c r="AC17" s="120"/>
      <c r="AD17" s="120"/>
      <c r="AE17" s="115">
        <f>SUMIFS(wallet_records!$D:$D,wallet_records!$B:$B,'EEFF 2026'!$C17,wallet_records!$O:$O,'EEFF 2026'!$B$1,wallet_records!$N:$N,'EEFF 2026'!AE$2,wallet_records!$H:$H,'EEFF 2026'!$B17,wallet_records!$F:$F,"Ingreso")</f>
        <v>0</v>
      </c>
      <c r="AF17" s="120"/>
      <c r="AG17" s="120"/>
      <c r="AH17" s="120"/>
      <c r="AI17" s="120"/>
      <c r="AJ17" s="120"/>
      <c r="AK17" s="120"/>
      <c r="AL17" s="115">
        <f>SUMIFS(wallet_records!$D:$D,wallet_records!$B:$B,'EEFF 2026'!$C17,wallet_records!$O:$O,'EEFF 2026'!$B$1,wallet_records!$N:$N,'EEFF 2026'!AL$2,wallet_records!$H:$H,'EEFF 2026'!$B17,wallet_records!$F:$F,"Ingreso")</f>
        <v>0</v>
      </c>
      <c r="AM17" s="120"/>
      <c r="AN17" s="120"/>
      <c r="AO17" s="120"/>
      <c r="AP17" s="120"/>
      <c r="AQ17" s="120"/>
      <c r="AR17" s="120"/>
      <c r="AS17" s="115">
        <f>SUMIFS(wallet_records!$D:$D,wallet_records!$B:$B,'EEFF 2026'!$C17,wallet_records!$O:$O,'EEFF 2026'!$B$1,wallet_records!$N:$N,'EEFF 2026'!AS$2,wallet_records!$H:$H,'EEFF 2026'!$B17,wallet_records!$F:$F,"Ingreso")</f>
        <v>0</v>
      </c>
      <c r="AT17" s="120"/>
      <c r="AU17" s="120"/>
      <c r="AV17" s="120"/>
      <c r="AW17" s="120"/>
      <c r="AX17" s="120"/>
      <c r="AY17" s="120"/>
      <c r="AZ17" s="115">
        <f>SUMIFS(wallet_records!$D:$D,wallet_records!$B:$B,'EEFF 2026'!$C17,wallet_records!$O:$O,'EEFF 2026'!$B$1,wallet_records!$N:$N,'EEFF 2026'!AZ$2,wallet_records!$H:$H,'EEFF 2026'!$B17,wallet_records!$F:$F,"Ingreso")</f>
        <v>0</v>
      </c>
      <c r="BA17" s="120"/>
      <c r="BB17" s="120"/>
      <c r="BC17" s="120"/>
      <c r="BD17" s="120"/>
      <c r="BE17" s="120"/>
      <c r="BF17" s="120"/>
      <c r="BG17" s="115">
        <f>SUMIFS(wallet_records!$D:$D,wallet_records!$B:$B,'EEFF 2026'!$C17,wallet_records!$O:$O,'EEFF 2026'!$B$1,wallet_records!$N:$N,'EEFF 2026'!BG$2,wallet_records!$H:$H,'EEFF 2026'!$B17,wallet_records!$F:$F,"Ingreso")</f>
        <v>0</v>
      </c>
      <c r="BH17" s="120"/>
      <c r="BI17" s="120"/>
      <c r="BJ17" s="120"/>
      <c r="BK17" s="120"/>
      <c r="BL17" s="120"/>
      <c r="BM17" s="120"/>
      <c r="BN17" s="115">
        <f>SUMIFS(wallet_records!$D:$D,wallet_records!$B:$B,'EEFF 2026'!$C17,wallet_records!$O:$O,'EEFF 2026'!$B$1,wallet_records!$N:$N,'EEFF 2026'!BN$2,wallet_records!$H:$H,'EEFF 2026'!$B17,wallet_records!$F:$F,"Ingreso")</f>
        <v>0</v>
      </c>
      <c r="BO17" s="120"/>
      <c r="BP17" s="120"/>
      <c r="BQ17" s="120"/>
      <c r="BR17" s="120"/>
      <c r="BS17" s="120"/>
      <c r="BT17" s="120"/>
      <c r="BU17" s="115">
        <f>SUMIFS(wallet_records!$D:$D,wallet_records!$B:$B,'EEFF 2026'!$C17,wallet_records!$O:$O,'EEFF 2026'!$B$1,wallet_records!$N:$N,'EEFF 2026'!BU$2,wallet_records!$H:$H,'EEFF 2026'!$B17,wallet_records!$F:$F,"Ingreso")</f>
        <v>0</v>
      </c>
      <c r="BV17" s="120"/>
      <c r="BW17" s="120"/>
      <c r="BX17" s="120"/>
      <c r="BY17" s="120"/>
      <c r="BZ17" s="120"/>
      <c r="CA17" s="120"/>
      <c r="CB17" s="115">
        <f>SUMIFS(wallet_records!$D:$D,wallet_records!$B:$B,'EEFF 2026'!$C17,wallet_records!$O:$O,'EEFF 2026'!$B$1,wallet_records!$N:$N,'EEFF 2026'!CB$2,wallet_records!$H:$H,'EEFF 2026'!$B17,wallet_records!$F:$F,"Ingreso")</f>
        <v>0</v>
      </c>
      <c r="CC17" s="120"/>
      <c r="CD17" s="120"/>
      <c r="CE17" s="120"/>
      <c r="CF17" s="120"/>
      <c r="CG17" s="120"/>
      <c r="CH17" s="120"/>
      <c r="CI17" s="115">
        <f>SUMIFS(wallet_records!$D:$D,wallet_records!$B:$B,'EEFF 2026'!$C17,wallet_records!$O:$O,'EEFF 2026'!$B$1,wallet_records!$N:$N,'EEFF 2026'!CI$2,wallet_records!$H:$H,'EEFF 2026'!$B17,wallet_records!$F:$F,"Ingreso")</f>
        <v>0</v>
      </c>
      <c r="CJ17" s="120"/>
      <c r="CK17" s="120"/>
      <c r="CL17" s="120"/>
      <c r="CM17" s="120"/>
      <c r="CN17" s="120"/>
      <c r="CO17" s="120"/>
      <c r="CP17" s="115">
        <f>SUMIFS(wallet_records!$D:$D,wallet_records!$B:$B,'EEFF 2026'!$C17,wallet_records!$O:$O,'EEFF 2026'!$B$1,wallet_records!$H:$H,'EEFF 2026'!$B17,wallet_records!$F:$F,"Ingreso")</f>
        <v>0</v>
      </c>
      <c r="CQ17" s="107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</row>
    <row r="18" spans="1:107" ht="16" x14ac:dyDescent="0.2">
      <c r="B18" s="293" t="s">
        <v>522</v>
      </c>
      <c r="C18" s="191" t="s">
        <v>136</v>
      </c>
      <c r="D18" s="115"/>
      <c r="E18" s="115"/>
      <c r="F18" s="115"/>
      <c r="G18" s="121"/>
      <c r="H18" s="121"/>
      <c r="I18" s="121"/>
      <c r="J18" s="116">
        <f>SUMIFS(wallet_records!$D:$D,wallet_records!$B:$B,'EEFF 2026'!$C18,wallet_records!$O:$O,'EEFF 2026'!$B$1,wallet_records!$N:$N,'EEFF 2026'!J$2,wallet_records!$H:$H,'EEFF 2026'!$B18,wallet_records!$F:$F,"Ingreso")</f>
        <v>0</v>
      </c>
      <c r="K18" s="115"/>
      <c r="L18" s="115"/>
      <c r="M18" s="115"/>
      <c r="N18" s="121"/>
      <c r="O18" s="121"/>
      <c r="P18" s="121"/>
      <c r="Q18" s="115">
        <f>SUMIFS(wallet_records!$D:$D,wallet_records!$B:$B,'EEFF 2026'!$C18,wallet_records!$O:$O,'EEFF 2026'!$B$1,wallet_records!$N:$N,'EEFF 2026'!Q$2,wallet_records!$H:$H,'EEFF 2026'!$B18,wallet_records!$F:$F,"Ingreso")</f>
        <v>0</v>
      </c>
      <c r="R18" s="121"/>
      <c r="S18" s="121"/>
      <c r="T18" s="121"/>
      <c r="U18" s="121"/>
      <c r="V18" s="121"/>
      <c r="X18" s="115">
        <f>SUMIFS(wallet_records!$D:$D,wallet_records!$B:$B,'EEFF 2026'!$C18,wallet_records!$O:$O,'EEFF 2026'!$B$1,wallet_records!$N:$N,'EEFF 2026'!X$2,wallet_records!$H:$H,'EEFF 2026'!$B18,wallet_records!$F:$F,"Ingreso")</f>
        <v>0</v>
      </c>
      <c r="Y18" s="121"/>
      <c r="Z18" s="121"/>
      <c r="AA18" s="121"/>
      <c r="AB18" s="121"/>
      <c r="AC18" s="121"/>
      <c r="AE18" s="115">
        <f>SUMIFS(wallet_records!$D:$D,wallet_records!$B:$B,'EEFF 2026'!$C18,wallet_records!$O:$O,'EEFF 2026'!$B$1,wallet_records!$N:$N,'EEFF 2026'!AE$2,wallet_records!$H:$H,'EEFF 2026'!$B18,wallet_records!$F:$F,"Ingreso")</f>
        <v>0</v>
      </c>
      <c r="AF18" s="121"/>
      <c r="AG18" s="121"/>
      <c r="AH18" s="121"/>
      <c r="AI18" s="121"/>
      <c r="AJ18" s="121"/>
      <c r="AL18" s="115">
        <f>SUMIFS(wallet_records!$D:$D,wallet_records!$B:$B,'EEFF 2026'!$C18,wallet_records!$O:$O,'EEFF 2026'!$B$1,wallet_records!$N:$N,'EEFF 2026'!AL$2,wallet_records!$H:$H,'EEFF 2026'!$B18,wallet_records!$F:$F,"Ingreso")</f>
        <v>0</v>
      </c>
      <c r="AM18" s="121"/>
      <c r="AN18" s="121"/>
      <c r="AO18" s="121"/>
      <c r="AP18" s="121"/>
      <c r="AQ18" s="121"/>
      <c r="AS18" s="115">
        <f>SUMIFS(wallet_records!$D:$D,wallet_records!$B:$B,'EEFF 2026'!$C18,wallet_records!$O:$O,'EEFF 2026'!$B$1,wallet_records!$N:$N,'EEFF 2026'!AS$2,wallet_records!$H:$H,'EEFF 2026'!$B18,wallet_records!$F:$F,"Ingreso")</f>
        <v>0</v>
      </c>
      <c r="AT18" s="121"/>
      <c r="AU18" s="121"/>
      <c r="AV18" s="121"/>
      <c r="AW18" s="121"/>
      <c r="AX18" s="121"/>
      <c r="AZ18" s="115">
        <f>SUMIFS(wallet_records!$D:$D,wallet_records!$B:$B,'EEFF 2026'!$C18,wallet_records!$O:$O,'EEFF 2026'!$B$1,wallet_records!$N:$N,'EEFF 2026'!AZ$2,wallet_records!$H:$H,'EEFF 2026'!$B18,wallet_records!$F:$F,"Ingreso")</f>
        <v>0</v>
      </c>
      <c r="BA18" s="121"/>
      <c r="BB18" s="121"/>
      <c r="BC18" s="121"/>
      <c r="BD18" s="121"/>
      <c r="BE18" s="121"/>
      <c r="BG18" s="115">
        <f>SUMIFS(wallet_records!$D:$D,wallet_records!$B:$B,'EEFF 2026'!$C18,wallet_records!$O:$O,'EEFF 2026'!$B$1,wallet_records!$N:$N,'EEFF 2026'!BG$2,wallet_records!$H:$H,'EEFF 2026'!$B18,wallet_records!$F:$F,"Ingreso")</f>
        <v>0</v>
      </c>
      <c r="BH18" s="121"/>
      <c r="BI18" s="121"/>
      <c r="BJ18" s="121"/>
      <c r="BK18" s="121"/>
      <c r="BL18" s="121"/>
      <c r="BN18" s="115">
        <f>SUMIFS(wallet_records!$D:$D,wallet_records!$B:$B,'EEFF 2026'!$C18,wallet_records!$O:$O,'EEFF 2026'!$B$1,wallet_records!$N:$N,'EEFF 2026'!BN$2,wallet_records!$H:$H,'EEFF 2026'!$B18,wallet_records!$F:$F,"Ingreso")</f>
        <v>0</v>
      </c>
      <c r="BO18" s="121"/>
      <c r="BP18" s="121"/>
      <c r="BQ18" s="121"/>
      <c r="BR18" s="121"/>
      <c r="BS18" s="121"/>
      <c r="BU18" s="115">
        <f>SUMIFS(wallet_records!$D:$D,wallet_records!$B:$B,'EEFF 2026'!$C18,wallet_records!$O:$O,'EEFF 2026'!$B$1,wallet_records!$N:$N,'EEFF 2026'!BU$2,wallet_records!$H:$H,'EEFF 2026'!$B18,wallet_records!$F:$F,"Ingreso")</f>
        <v>0</v>
      </c>
      <c r="BV18" s="121"/>
      <c r="BW18" s="121"/>
      <c r="BX18" s="121"/>
      <c r="BY18" s="121"/>
      <c r="BZ18" s="121"/>
      <c r="CB18" s="115">
        <f>SUMIFS(wallet_records!$D:$D,wallet_records!$B:$B,'EEFF 2026'!$C18,wallet_records!$O:$O,'EEFF 2026'!$B$1,wallet_records!$N:$N,'EEFF 2026'!CB$2,wallet_records!$H:$H,'EEFF 2026'!$B18,wallet_records!$F:$F,"Ingreso")</f>
        <v>0</v>
      </c>
      <c r="CC18" s="121"/>
      <c r="CD18" s="121"/>
      <c r="CE18" s="121"/>
      <c r="CF18" s="121"/>
      <c r="CG18" s="121"/>
      <c r="CI18" s="115">
        <f>SUMIFS(wallet_records!$D:$D,wallet_records!$B:$B,'EEFF 2026'!$C18,wallet_records!$O:$O,'EEFF 2026'!$B$1,wallet_records!$N:$N,'EEFF 2026'!CI$2,wallet_records!$H:$H,'EEFF 2026'!$B18,wallet_records!$F:$F,"Ingreso")</f>
        <v>0</v>
      </c>
      <c r="CJ18" s="121"/>
      <c r="CK18" s="121"/>
      <c r="CL18" s="121"/>
      <c r="CM18" s="121"/>
      <c r="CN18" s="121"/>
      <c r="CP18" s="115">
        <f>SUMIFS(wallet_records!$D:$D,wallet_records!$B:$B,'EEFF 2026'!$C18,wallet_records!$O:$O,'EEFF 2026'!$B$1,wallet_records!$H:$H,'EEFF 2026'!$B18,wallet_records!$F:$F,"Ingreso")</f>
        <v>0</v>
      </c>
      <c r="CQ18" s="107"/>
      <c r="CR18" s="118">
        <f t="shared" si="0"/>
        <v>0</v>
      </c>
      <c r="CS18" s="118">
        <f t="shared" si="1"/>
        <v>0</v>
      </c>
      <c r="CT18" s="118" t="e">
        <f t="shared" si="2"/>
        <v>#DIV/0!</v>
      </c>
      <c r="CU18" s="118" t="e">
        <f t="shared" si="3"/>
        <v>#DIV/0!</v>
      </c>
      <c r="CV18" s="118" t="e">
        <f t="shared" si="4"/>
        <v>#DIV/0!</v>
      </c>
      <c r="CW18" s="118" t="e">
        <f t="shared" si="5"/>
        <v>#DIV/0!</v>
      </c>
      <c r="CX18" s="118" t="e">
        <f t="shared" si="6"/>
        <v>#DIV/0!</v>
      </c>
      <c r="CY18" s="118" t="e">
        <f t="shared" si="7"/>
        <v>#DIV/0!</v>
      </c>
      <c r="CZ18" s="118" t="e">
        <f t="shared" si="8"/>
        <v>#DIV/0!</v>
      </c>
      <c r="DA18" s="118" t="e">
        <f t="shared" si="9"/>
        <v>#DIV/0!</v>
      </c>
      <c r="DB18" s="118" t="e">
        <f t="shared" si="10"/>
        <v>#DIV/0!</v>
      </c>
      <c r="DC18" s="118" t="e">
        <f t="shared" si="11"/>
        <v>#DIV/0!</v>
      </c>
    </row>
    <row r="19" spans="1:107" ht="16" x14ac:dyDescent="0.2">
      <c r="B19" s="294" t="s">
        <v>535</v>
      </c>
      <c r="C19" s="191" t="s">
        <v>144</v>
      </c>
      <c r="D19" s="115"/>
      <c r="E19" s="115"/>
      <c r="F19" s="115"/>
      <c r="G19" s="121"/>
      <c r="H19" s="121"/>
      <c r="I19" s="121"/>
      <c r="J19" s="116">
        <f>SUMIFS(wallet_records!$D:$D,wallet_records!$B:$B,'EEFF 2026'!$C19,wallet_records!$O:$O,'EEFF 2026'!$B$1,wallet_records!$N:$N,'EEFF 2026'!J$2,wallet_records!$H:$H,'EEFF 2026'!$B19)</f>
        <v>2104000</v>
      </c>
      <c r="K19" s="115"/>
      <c r="L19" s="115"/>
      <c r="M19" s="115"/>
      <c r="N19" s="121"/>
      <c r="O19" s="121"/>
      <c r="P19" s="121"/>
      <c r="Q19" s="116">
        <f>SUMIFS(wallet_records!$D:$D,wallet_records!$B:$B,'EEFF 2026'!$C19,wallet_records!$O:$O,'EEFF 2026'!$B$1,wallet_records!$N:$N,'EEFF 2026'!Q$2,wallet_records!$H:$H,'EEFF 2026'!$B19)</f>
        <v>2102000</v>
      </c>
      <c r="R19" s="121"/>
      <c r="S19" s="121"/>
      <c r="T19" s="121"/>
      <c r="U19" s="121"/>
      <c r="V19" s="121"/>
      <c r="X19" s="115">
        <f>SUMIFS(wallet_records!$D:$D,wallet_records!$B:$B,'EEFF 2026'!$C19,wallet_records!$O:$O,'EEFF 2026'!$B$1,wallet_records!$N:$N,'EEFF 2026'!X$2,wallet_records!$H:$H,'EEFF 2026'!$B19)</f>
        <v>0</v>
      </c>
      <c r="Y19" s="121"/>
      <c r="Z19" s="121"/>
      <c r="AA19" s="121"/>
      <c r="AB19" s="121"/>
      <c r="AC19" s="121"/>
      <c r="AE19" s="115">
        <f>SUMIFS(wallet_records!$D:$D,wallet_records!$B:$B,'EEFF 2026'!$C19,wallet_records!$O:$O,'EEFF 2026'!$B$1,wallet_records!$N:$N,'EEFF 2026'!AE$2,wallet_records!$H:$H,'EEFF 2026'!$B19)</f>
        <v>0</v>
      </c>
      <c r="AF19" s="121"/>
      <c r="AG19" s="121"/>
      <c r="AH19" s="121"/>
      <c r="AI19" s="121"/>
      <c r="AJ19" s="121"/>
      <c r="AL19" s="115">
        <f>SUMIFS(wallet_records!$D:$D,wallet_records!$B:$B,'EEFF 2026'!$C19,wallet_records!$O:$O,'EEFF 2026'!$B$1,wallet_records!$N:$N,'EEFF 2026'!AL$2,wallet_records!$H:$H,'EEFF 2026'!$B19)</f>
        <v>0</v>
      </c>
      <c r="AM19" s="121"/>
      <c r="AN19" s="121"/>
      <c r="AO19" s="121"/>
      <c r="AP19" s="121"/>
      <c r="AQ19" s="121"/>
      <c r="AS19" s="115">
        <f>SUMIFS(wallet_records!$D:$D,wallet_records!$B:$B,'EEFF 2026'!$C19,wallet_records!$O:$O,'EEFF 2026'!$B$1,wallet_records!$N:$N,'EEFF 2026'!AS$2,wallet_records!$H:$H,'EEFF 2026'!$B19)</f>
        <v>0</v>
      </c>
      <c r="AT19" s="121"/>
      <c r="AU19" s="121"/>
      <c r="AV19" s="121"/>
      <c r="AW19" s="121"/>
      <c r="AX19" s="121"/>
      <c r="AZ19" s="115">
        <f>SUMIFS(wallet_records!$D:$D,wallet_records!$B:$B,'EEFF 2026'!$C19,wallet_records!$O:$O,'EEFF 2026'!$B$1,wallet_records!$N:$N,'EEFF 2026'!AZ$2,wallet_records!$H:$H,'EEFF 2026'!$B19)</f>
        <v>0</v>
      </c>
      <c r="BA19" s="121"/>
      <c r="BB19" s="121"/>
      <c r="BC19" s="121"/>
      <c r="BD19" s="121"/>
      <c r="BE19" s="121"/>
      <c r="BG19" s="115">
        <f>SUMIFS(wallet_records!$D:$D,wallet_records!$B:$B,'EEFF 2026'!$C19,wallet_records!$O:$O,'EEFF 2026'!$B$1,wallet_records!$N:$N,'EEFF 2026'!BG$2,wallet_records!$H:$H,'EEFF 2026'!$B19)</f>
        <v>0</v>
      </c>
      <c r="BH19" s="121"/>
      <c r="BI19" s="121"/>
      <c r="BJ19" s="121"/>
      <c r="BK19" s="121"/>
      <c r="BL19" s="121"/>
      <c r="BN19" s="115">
        <f>SUMIFS(wallet_records!$D:$D,wallet_records!$B:$B,'EEFF 2026'!$C19,wallet_records!$O:$O,'EEFF 2026'!$B$1,wallet_records!$N:$N,'EEFF 2026'!BN$2,wallet_records!$H:$H,'EEFF 2026'!$B19)</f>
        <v>0</v>
      </c>
      <c r="BO19" s="121"/>
      <c r="BP19" s="121"/>
      <c r="BQ19" s="121"/>
      <c r="BR19" s="121"/>
      <c r="BS19" s="121"/>
      <c r="BU19" s="115">
        <f>SUMIFS(wallet_records!$D:$D,wallet_records!$B:$B,'EEFF 2026'!$C19,wallet_records!$O:$O,'EEFF 2026'!$B$1,wallet_records!$N:$N,'EEFF 2026'!BU$2,wallet_records!$H:$H,'EEFF 2026'!$B19)</f>
        <v>0</v>
      </c>
      <c r="BV19" s="121"/>
      <c r="BW19" s="121"/>
      <c r="BX19" s="121"/>
      <c r="BY19" s="121"/>
      <c r="BZ19" s="121"/>
      <c r="CB19" s="115">
        <f>SUMIFS(wallet_records!$D:$D,wallet_records!$B:$B,'EEFF 2026'!$C19,wallet_records!$O:$O,'EEFF 2026'!$B$1,wallet_records!$N:$N,'EEFF 2026'!CB$2,wallet_records!$H:$H,'EEFF 2026'!$B19)</f>
        <v>0</v>
      </c>
      <c r="CC19" s="121"/>
      <c r="CD19" s="121"/>
      <c r="CE19" s="121"/>
      <c r="CF19" s="121"/>
      <c r="CG19" s="121"/>
      <c r="CI19" s="115">
        <f>SUMIFS(wallet_records!$D:$D,wallet_records!$B:$B,'EEFF 2026'!$C19,wallet_records!$O:$O,'EEFF 2026'!$B$1,wallet_records!$N:$N,'EEFF 2026'!CI$2,wallet_records!$H:$H,'EEFF 2026'!$B19)</f>
        <v>0</v>
      </c>
      <c r="CJ19" s="121"/>
      <c r="CK19" s="121"/>
      <c r="CL19" s="121"/>
      <c r="CM19" s="121"/>
      <c r="CN19" s="121"/>
      <c r="CP19" s="115">
        <f>SUMIFS(wallet_records!$D:$D,wallet_records!$B:$B,'EEFF 2026'!$C19,wallet_records!$O:$O,'EEFF 2026'!$B$1,wallet_records!$H:$H,'EEFF 2026'!$B19)</f>
        <v>4206000</v>
      </c>
      <c r="CQ19" s="107"/>
      <c r="CR19" s="118">
        <f t="shared" si="0"/>
        <v>0.22164633503992584</v>
      </c>
      <c r="CS19" s="118">
        <f t="shared" si="1"/>
        <v>0.32656992822297487</v>
      </c>
      <c r="CT19" s="118" t="e">
        <f t="shared" si="2"/>
        <v>#DIV/0!</v>
      </c>
      <c r="CU19" s="118" t="e">
        <f t="shared" si="3"/>
        <v>#DIV/0!</v>
      </c>
      <c r="CV19" s="118" t="e">
        <f t="shared" si="4"/>
        <v>#DIV/0!</v>
      </c>
      <c r="CW19" s="118" t="e">
        <f t="shared" si="5"/>
        <v>#DIV/0!</v>
      </c>
      <c r="CX19" s="118" t="e">
        <f t="shared" si="6"/>
        <v>#DIV/0!</v>
      </c>
      <c r="CY19" s="118" t="e">
        <f t="shared" si="7"/>
        <v>#DIV/0!</v>
      </c>
      <c r="CZ19" s="118" t="e">
        <f t="shared" si="8"/>
        <v>#DIV/0!</v>
      </c>
      <c r="DA19" s="118" t="e">
        <f t="shared" si="9"/>
        <v>#DIV/0!</v>
      </c>
      <c r="DB19" s="118" t="e">
        <f t="shared" si="10"/>
        <v>#DIV/0!</v>
      </c>
      <c r="DC19" s="118" t="e">
        <f t="shared" si="11"/>
        <v>#DIV/0!</v>
      </c>
    </row>
    <row r="20" spans="1:107" x14ac:dyDescent="0.2">
      <c r="B20" s="295" t="s">
        <v>145</v>
      </c>
      <c r="C20" s="191" t="s">
        <v>144</v>
      </c>
      <c r="D20" s="187"/>
      <c r="E20" s="187"/>
      <c r="F20" s="187"/>
      <c r="G20" s="188"/>
      <c r="H20" s="188"/>
      <c r="I20" s="188"/>
      <c r="J20" s="116">
        <f>SUMIFS(wallet_records!$D:$D,wallet_records!$B:$B,'EEFF 2026'!$C20,wallet_records!$O:$O,'EEFF 2026'!$B$1,wallet_records!$N:$N,'EEFF 2026'!J$2,wallet_records!$H:$H,'EEFF 2026'!$B20)</f>
        <v>753300</v>
      </c>
      <c r="K20" s="187"/>
      <c r="L20" s="187"/>
      <c r="M20" s="187"/>
      <c r="N20" s="187"/>
      <c r="O20" s="187"/>
      <c r="P20" s="187"/>
      <c r="Q20" s="115">
        <f>SUMIFS(wallet_records!$D:$D,wallet_records!$B:$B,'EEFF 2026'!$C20,wallet_records!$O:$O,'EEFF 2026'!$B$1,wallet_records!$N:$N,'EEFF 2026'!Q$2,wallet_records!$H:$H,'EEFF 2026'!$B20)</f>
        <v>794200</v>
      </c>
      <c r="R20" s="187"/>
      <c r="S20" s="187"/>
      <c r="T20" s="187"/>
      <c r="U20" s="188"/>
      <c r="V20" s="188"/>
      <c r="W20" s="188"/>
      <c r="X20" s="115">
        <f>SUMIFS(wallet_records!$D:$D,wallet_records!$B:$B,'EEFF 2026'!$C20,wallet_records!$O:$O,'EEFF 2026'!$B$1,wallet_records!$N:$N,'EEFF 2026'!X$2,wallet_records!$H:$H,'EEFF 2026'!$B20)</f>
        <v>0</v>
      </c>
      <c r="Y20" s="187"/>
      <c r="Z20" s="187"/>
      <c r="AA20" s="187"/>
      <c r="AB20" s="188"/>
      <c r="AC20" s="188"/>
      <c r="AD20" s="188"/>
      <c r="AE20" s="115">
        <f>SUMIFS(wallet_records!$D:$D,wallet_records!$B:$B,'EEFF 2026'!$C20,wallet_records!$O:$O,'EEFF 2026'!$B$1,wallet_records!$N:$N,'EEFF 2026'!AE$2,wallet_records!$H:$H,'EEFF 2026'!$B20)</f>
        <v>0</v>
      </c>
      <c r="AF20" s="187"/>
      <c r="AG20" s="187"/>
      <c r="AH20" s="187"/>
      <c r="AI20" s="188"/>
      <c r="AJ20" s="188"/>
      <c r="AK20" s="188"/>
      <c r="AL20" s="115">
        <f>SUMIFS(wallet_records!$D:$D,wallet_records!$B:$B,'EEFF 2026'!$C20,wallet_records!$O:$O,'EEFF 2026'!$B$1,wallet_records!$N:$N,'EEFF 2026'!AL$2,wallet_records!$H:$H,'EEFF 2026'!$B20)</f>
        <v>0</v>
      </c>
      <c r="AM20" s="187"/>
      <c r="AN20" s="187"/>
      <c r="AO20" s="187"/>
      <c r="AP20" s="188"/>
      <c r="AQ20" s="188"/>
      <c r="AR20" s="188"/>
      <c r="AS20" s="115">
        <f>SUMIFS(wallet_records!$D:$D,wallet_records!$B:$B,'EEFF 2026'!$C20,wallet_records!$O:$O,'EEFF 2026'!$B$1,wallet_records!$N:$N,'EEFF 2026'!AS$2,wallet_records!$H:$H,'EEFF 2026'!$B20)</f>
        <v>0</v>
      </c>
      <c r="AT20" s="187"/>
      <c r="AU20" s="187"/>
      <c r="AV20" s="187"/>
      <c r="AW20" s="188"/>
      <c r="AX20" s="188"/>
      <c r="AY20" s="188"/>
      <c r="AZ20" s="115">
        <f>SUMIFS(wallet_records!$D:$D,wallet_records!$B:$B,'EEFF 2026'!$C20,wallet_records!$O:$O,'EEFF 2026'!$B$1,wallet_records!$N:$N,'EEFF 2026'!AZ$2,wallet_records!$H:$H,'EEFF 2026'!$B20)</f>
        <v>0</v>
      </c>
      <c r="BA20" s="187"/>
      <c r="BB20" s="187"/>
      <c r="BC20" s="187"/>
      <c r="BD20" s="188"/>
      <c r="BE20" s="188"/>
      <c r="BF20" s="188"/>
      <c r="BG20" s="115">
        <f>SUMIFS(wallet_records!$D:$D,wallet_records!$B:$B,'EEFF 2026'!$C20,wallet_records!$O:$O,'EEFF 2026'!$B$1,wallet_records!$N:$N,'EEFF 2026'!BG$2,wallet_records!$H:$H,'EEFF 2026'!$B20)</f>
        <v>0</v>
      </c>
      <c r="BH20" s="187"/>
      <c r="BI20" s="187"/>
      <c r="BJ20" s="187"/>
      <c r="BK20" s="188"/>
      <c r="BL20" s="188"/>
      <c r="BM20" s="188"/>
      <c r="BN20" s="115">
        <f>SUMIFS(wallet_records!$D:$D,wallet_records!$B:$B,'EEFF 2026'!$C20,wallet_records!$O:$O,'EEFF 2026'!$B$1,wallet_records!$N:$N,'EEFF 2026'!BN$2,wallet_records!$H:$H,'EEFF 2026'!$B20)</f>
        <v>0</v>
      </c>
      <c r="BO20" s="187"/>
      <c r="BP20" s="187"/>
      <c r="BQ20" s="187"/>
      <c r="BR20" s="188"/>
      <c r="BS20" s="188"/>
      <c r="BT20" s="188"/>
      <c r="BU20" s="115">
        <f>SUMIFS(wallet_records!$D:$D,wallet_records!$B:$B,'EEFF 2026'!$C20,wallet_records!$O:$O,'EEFF 2026'!$B$1,wallet_records!$N:$N,'EEFF 2026'!BU$2,wallet_records!$H:$H,'EEFF 2026'!$B20)</f>
        <v>0</v>
      </c>
      <c r="BV20" s="187"/>
      <c r="BW20" s="187"/>
      <c r="BX20" s="187"/>
      <c r="BY20" s="188"/>
      <c r="BZ20" s="188"/>
      <c r="CA20" s="188"/>
      <c r="CB20" s="115">
        <f>SUMIFS(wallet_records!$D:$D,wallet_records!$B:$B,'EEFF 2026'!$C20,wallet_records!$O:$O,'EEFF 2026'!$B$1,wallet_records!$N:$N,'EEFF 2026'!CB$2,wallet_records!$H:$H,'EEFF 2026'!$B20)</f>
        <v>0</v>
      </c>
      <c r="CC20" s="187"/>
      <c r="CD20" s="187"/>
      <c r="CE20" s="187"/>
      <c r="CF20" s="188"/>
      <c r="CG20" s="188"/>
      <c r="CH20" s="188"/>
      <c r="CI20" s="115">
        <f>SUMIFS(wallet_records!$D:$D,wallet_records!$B:$B,'EEFF 2026'!$C20,wallet_records!$O:$O,'EEFF 2026'!$B$1,wallet_records!$N:$N,'EEFF 2026'!CI$2,wallet_records!$H:$H,'EEFF 2026'!$B20)</f>
        <v>0</v>
      </c>
      <c r="CJ20" s="116"/>
      <c r="CK20" s="116"/>
      <c r="CL20" s="116"/>
      <c r="CM20" s="116"/>
      <c r="CN20" s="116"/>
      <c r="CP20" s="115">
        <f>SUMIFS(wallet_records!$D:$D,wallet_records!$B:$B,'EEFF 2026'!$C20,wallet_records!$O:$O,'EEFF 2026'!$B$1,wallet_records!$H:$H,'EEFF 2026'!$B20)</f>
        <v>1547500</v>
      </c>
      <c r="CQ20" s="107"/>
      <c r="CR20" s="118">
        <f t="shared" si="0"/>
        <v>7.9356551419000068E-2</v>
      </c>
      <c r="CS20" s="118">
        <f t="shared" si="1"/>
        <v>0.12338812416493179</v>
      </c>
      <c r="CT20" s="118" t="e">
        <f t="shared" si="2"/>
        <v>#DIV/0!</v>
      </c>
      <c r="CU20" s="118" t="e">
        <f t="shared" si="3"/>
        <v>#DIV/0!</v>
      </c>
      <c r="CV20" s="118" t="e">
        <f t="shared" si="4"/>
        <v>#DIV/0!</v>
      </c>
      <c r="CW20" s="118" t="e">
        <f t="shared" si="5"/>
        <v>#DIV/0!</v>
      </c>
      <c r="CX20" s="118" t="e">
        <f t="shared" si="6"/>
        <v>#DIV/0!</v>
      </c>
      <c r="CY20" s="118" t="e">
        <f t="shared" si="7"/>
        <v>#DIV/0!</v>
      </c>
      <c r="CZ20" s="118" t="e">
        <f t="shared" si="8"/>
        <v>#DIV/0!</v>
      </c>
      <c r="DA20" s="118" t="e">
        <f t="shared" si="9"/>
        <v>#DIV/0!</v>
      </c>
      <c r="DB20" s="118" t="e">
        <f t="shared" si="10"/>
        <v>#DIV/0!</v>
      </c>
      <c r="DC20" s="118" t="e">
        <f t="shared" si="11"/>
        <v>#DIV/0!</v>
      </c>
    </row>
    <row r="21" spans="1:107" x14ac:dyDescent="0.2">
      <c r="B21" s="296" t="s">
        <v>132</v>
      </c>
      <c r="C21" s="191" t="s">
        <v>131</v>
      </c>
      <c r="D21" s="115"/>
      <c r="E21" s="115"/>
      <c r="F21" s="115"/>
      <c r="G21" s="116"/>
      <c r="H21" s="116"/>
      <c r="I21" s="116"/>
      <c r="J21" s="116">
        <f>SUMIFS(wallet_records!$D:$D,wallet_records!$B:$B,'EEFF 2026'!$C21,wallet_records!$O:$O,'EEFF 2026'!$B$1,wallet_records!$N:$N,'EEFF 2026'!J$2,wallet_records!$H:$H,'EEFF 2026'!$B21)</f>
        <v>0</v>
      </c>
      <c r="K21" s="115"/>
      <c r="L21" s="115"/>
      <c r="M21" s="115"/>
      <c r="N21" s="116"/>
      <c r="O21" s="116"/>
      <c r="P21" s="116"/>
      <c r="Q21" s="115">
        <f>SUMIFS(wallet_records!$D:$D,wallet_records!$B:$B,'EEFF 2026'!$C21,wallet_records!$O:$O,'EEFF 2026'!$B$1,wallet_records!$N:$N,'EEFF 2026'!Q$2,wallet_records!$H:$H,'EEFF 2026'!$B21)</f>
        <v>0</v>
      </c>
      <c r="R21" s="116"/>
      <c r="S21" s="116"/>
      <c r="T21" s="116"/>
      <c r="U21" s="116"/>
      <c r="V21" s="116"/>
      <c r="X21" s="115">
        <f>SUMIFS(wallet_records!$D:$D,wallet_records!$B:$B,'EEFF 2026'!$C21,wallet_records!$O:$O,'EEFF 2026'!$B$1,wallet_records!$N:$N,'EEFF 2026'!X$2,wallet_records!$H:$H,'EEFF 2026'!$B21)</f>
        <v>0</v>
      </c>
      <c r="Y21" s="116"/>
      <c r="Z21" s="116"/>
      <c r="AA21" s="116"/>
      <c r="AB21" s="116"/>
      <c r="AC21" s="116"/>
      <c r="AE21" s="115">
        <f>SUMIFS(wallet_records!$D:$D,wallet_records!$B:$B,'EEFF 2026'!$C21,wallet_records!$O:$O,'EEFF 2026'!$B$1,wallet_records!$N:$N,'EEFF 2026'!AE$2,wallet_records!$H:$H,'EEFF 2026'!$B21)</f>
        <v>0</v>
      </c>
      <c r="AF21" s="116"/>
      <c r="AG21" s="116"/>
      <c r="AH21" s="116"/>
      <c r="AI21" s="116"/>
      <c r="AJ21" s="116"/>
      <c r="AL21" s="115">
        <f>SUMIFS(wallet_records!$D:$D,wallet_records!$B:$B,'EEFF 2026'!$C21,wallet_records!$O:$O,'EEFF 2026'!$B$1,wallet_records!$N:$N,'EEFF 2026'!AL$2,wallet_records!$H:$H,'EEFF 2026'!$B21)</f>
        <v>0</v>
      </c>
      <c r="AM21" s="116"/>
      <c r="AN21" s="116"/>
      <c r="AO21" s="116"/>
      <c r="AP21" s="116"/>
      <c r="AQ21" s="116"/>
      <c r="AS21" s="115">
        <f>SUMIFS(wallet_records!$D:$D,wallet_records!$B:$B,'EEFF 2026'!$C21,wallet_records!$O:$O,'EEFF 2026'!$B$1,wallet_records!$N:$N,'EEFF 2026'!AS$2,wallet_records!$H:$H,'EEFF 2026'!$B21)</f>
        <v>0</v>
      </c>
      <c r="AT21" s="116"/>
      <c r="AU21" s="116"/>
      <c r="AV21" s="116"/>
      <c r="AW21" s="116"/>
      <c r="AX21" s="116"/>
      <c r="AZ21" s="115">
        <f>SUMIFS(wallet_records!$D:$D,wallet_records!$B:$B,'EEFF 2026'!$C21,wallet_records!$O:$O,'EEFF 2026'!$B$1,wallet_records!$N:$N,'EEFF 2026'!AZ$2,wallet_records!$H:$H,'EEFF 2026'!$B21)</f>
        <v>0</v>
      </c>
      <c r="BA21" s="116"/>
      <c r="BB21" s="116"/>
      <c r="BC21" s="116"/>
      <c r="BD21" s="116"/>
      <c r="BE21" s="116"/>
      <c r="BG21" s="115">
        <f>SUMIFS(wallet_records!$D:$D,wallet_records!$B:$B,'EEFF 2026'!$C21,wallet_records!$O:$O,'EEFF 2026'!$B$1,wallet_records!$N:$N,'EEFF 2026'!BG$2,wallet_records!$H:$H,'EEFF 2026'!$B21)</f>
        <v>0</v>
      </c>
      <c r="BH21" s="116"/>
      <c r="BI21" s="116"/>
      <c r="BJ21" s="116"/>
      <c r="BK21" s="116"/>
      <c r="BL21" s="116"/>
      <c r="BN21" s="115">
        <f>SUMIFS(wallet_records!$D:$D,wallet_records!$B:$B,'EEFF 2026'!$C21,wallet_records!$O:$O,'EEFF 2026'!$B$1,wallet_records!$N:$N,'EEFF 2026'!BN$2,wallet_records!$H:$H,'EEFF 2026'!$B21)</f>
        <v>0</v>
      </c>
      <c r="BO21" s="116"/>
      <c r="BP21" s="116"/>
      <c r="BQ21" s="116"/>
      <c r="BR21" s="116"/>
      <c r="BS21" s="116"/>
      <c r="BU21" s="115">
        <f>SUMIFS(wallet_records!$D:$D,wallet_records!$B:$B,'EEFF 2026'!$C21,wallet_records!$O:$O,'EEFF 2026'!$B$1,wallet_records!$N:$N,'EEFF 2026'!BU$2,wallet_records!$H:$H,'EEFF 2026'!$B21)</f>
        <v>0</v>
      </c>
      <c r="BV21" s="116"/>
      <c r="BW21" s="116"/>
      <c r="BX21" s="116"/>
      <c r="BY21" s="116"/>
      <c r="BZ21" s="116"/>
      <c r="CB21" s="115">
        <f>SUMIFS(wallet_records!$D:$D,wallet_records!$B:$B,'EEFF 2026'!$C21,wallet_records!$O:$O,'EEFF 2026'!$B$1,wallet_records!$N:$N,'EEFF 2026'!CB$2,wallet_records!$H:$H,'EEFF 2026'!$B21)</f>
        <v>0</v>
      </c>
      <c r="CC21" s="116"/>
      <c r="CD21" s="116"/>
      <c r="CE21" s="116"/>
      <c r="CF21" s="116"/>
      <c r="CG21" s="116"/>
      <c r="CI21" s="115">
        <f>SUMIFS(wallet_records!$D:$D,wallet_records!$B:$B,'EEFF 2026'!$C21,wallet_records!$O:$O,'EEFF 2026'!$B$1,wallet_records!$N:$N,'EEFF 2026'!CI$2,wallet_records!$H:$H,'EEFF 2026'!$B21)</f>
        <v>0</v>
      </c>
      <c r="CJ21" s="116"/>
      <c r="CK21" s="116"/>
      <c r="CL21" s="116"/>
      <c r="CM21" s="116"/>
      <c r="CN21" s="116"/>
      <c r="CP21" s="115">
        <f>SUMIFS(wallet_records!$D:$D,wallet_records!$B:$B,'EEFF 2026'!$C21,wallet_records!$O:$O,'EEFF 2026'!$B$1,wallet_records!$H:$H,'EEFF 2026'!$B21)</f>
        <v>0</v>
      </c>
      <c r="CQ21" s="107"/>
      <c r="CR21" s="118">
        <f t="shared" si="0"/>
        <v>0</v>
      </c>
      <c r="CS21" s="118">
        <f t="shared" si="1"/>
        <v>0</v>
      </c>
      <c r="CT21" s="118" t="e">
        <f t="shared" si="2"/>
        <v>#DIV/0!</v>
      </c>
      <c r="CU21" s="118" t="e">
        <f t="shared" si="3"/>
        <v>#DIV/0!</v>
      </c>
      <c r="CV21" s="118" t="e">
        <f t="shared" si="4"/>
        <v>#DIV/0!</v>
      </c>
      <c r="CW21" s="118" t="e">
        <f t="shared" si="5"/>
        <v>#DIV/0!</v>
      </c>
      <c r="CX21" s="118" t="e">
        <f t="shared" si="6"/>
        <v>#DIV/0!</v>
      </c>
      <c r="CY21" s="118" t="e">
        <f t="shared" si="7"/>
        <v>#DIV/0!</v>
      </c>
      <c r="CZ21" s="118" t="e">
        <f t="shared" si="8"/>
        <v>#DIV/0!</v>
      </c>
      <c r="DA21" s="118" t="e">
        <f t="shared" si="9"/>
        <v>#DIV/0!</v>
      </c>
      <c r="DB21" s="118" t="e">
        <f t="shared" si="10"/>
        <v>#DIV/0!</v>
      </c>
      <c r="DC21" s="118" t="e">
        <f t="shared" si="11"/>
        <v>#DIV/0!</v>
      </c>
    </row>
    <row r="22" spans="1:107" x14ac:dyDescent="0.2">
      <c r="B22" s="297" t="s">
        <v>222</v>
      </c>
      <c r="C22" s="191" t="s">
        <v>131</v>
      </c>
      <c r="D22" s="115"/>
      <c r="E22" s="115"/>
      <c r="F22" s="115"/>
      <c r="G22" s="116"/>
      <c r="H22" s="116"/>
      <c r="I22" s="116"/>
      <c r="J22" s="116">
        <f>SUMIFS(wallet_records!$D:$D,wallet_records!$B:$B,'EEFF 2026'!$C22,wallet_records!$O:$O,'EEFF 2026'!$B$1,wallet_records!$N:$N,'EEFF 2026'!J$2,wallet_records!$H:$H,'EEFF 2026'!$B22)</f>
        <v>2194118</v>
      </c>
      <c r="K22" s="115"/>
      <c r="L22" s="115"/>
      <c r="M22" s="115"/>
      <c r="N22" s="116"/>
      <c r="O22" s="116"/>
      <c r="P22" s="116"/>
      <c r="Q22" s="115">
        <f>SUMIFS(wallet_records!$D:$D,wallet_records!$B:$B,'EEFF 2026'!$C22,wallet_records!$O:$O,'EEFF 2026'!$B$1,wallet_records!$N:$N,'EEFF 2026'!Q$2,wallet_records!$H:$H,'EEFF 2026'!$B22)</f>
        <v>0</v>
      </c>
      <c r="R22" s="116"/>
      <c r="S22" s="116"/>
      <c r="T22" s="116"/>
      <c r="U22" s="116"/>
      <c r="V22" s="116"/>
      <c r="X22" s="115">
        <f>SUMIFS(wallet_records!$D:$D,wallet_records!$B:$B,'EEFF 2026'!$C22,wallet_records!$O:$O,'EEFF 2026'!$B$1,wallet_records!$N:$N,'EEFF 2026'!X$2,wallet_records!$H:$H,'EEFF 2026'!$B22)</f>
        <v>0</v>
      </c>
      <c r="Y22" s="116"/>
      <c r="Z22" s="116"/>
      <c r="AA22" s="116"/>
      <c r="AB22" s="116"/>
      <c r="AC22" s="116"/>
      <c r="AE22" s="115">
        <f>SUMIFS(wallet_records!$D:$D,wallet_records!$B:$B,'EEFF 2026'!$C22,wallet_records!$O:$O,'EEFF 2026'!$B$1,wallet_records!$N:$N,'EEFF 2026'!AE$2,wallet_records!$H:$H,'EEFF 2026'!$B22)</f>
        <v>0</v>
      </c>
      <c r="AF22" s="116"/>
      <c r="AG22" s="116"/>
      <c r="AH22" s="116"/>
      <c r="AI22" s="116"/>
      <c r="AJ22" s="116"/>
      <c r="AL22" s="115">
        <f>SUMIFS(wallet_records!$D:$D,wallet_records!$B:$B,'EEFF 2026'!$C22,wallet_records!$O:$O,'EEFF 2026'!$B$1,wallet_records!$N:$N,'EEFF 2026'!AL$2,wallet_records!$H:$H,'EEFF 2026'!$B22)</f>
        <v>0</v>
      </c>
      <c r="AM22" s="116"/>
      <c r="AN22" s="116"/>
      <c r="AO22" s="116"/>
      <c r="AP22" s="116"/>
      <c r="AQ22" s="116"/>
      <c r="AS22" s="115">
        <f>SUMIFS(wallet_records!$D:$D,wallet_records!$B:$B,'EEFF 2026'!$C22,wallet_records!$O:$O,'EEFF 2026'!$B$1,wallet_records!$N:$N,'EEFF 2026'!AS$2,wallet_records!$H:$H,'EEFF 2026'!$B22)</f>
        <v>0</v>
      </c>
      <c r="AT22" s="116"/>
      <c r="AU22" s="116"/>
      <c r="AV22" s="116"/>
      <c r="AW22" s="116"/>
      <c r="AX22" s="116"/>
      <c r="AZ22" s="115">
        <f>SUMIFS(wallet_records!$D:$D,wallet_records!$B:$B,'EEFF 2026'!$C22,wallet_records!$O:$O,'EEFF 2026'!$B$1,wallet_records!$N:$N,'EEFF 2026'!AZ$2,wallet_records!$H:$H,'EEFF 2026'!$B22)</f>
        <v>0</v>
      </c>
      <c r="BA22" s="116"/>
      <c r="BB22" s="116"/>
      <c r="BC22" s="116"/>
      <c r="BD22" s="116"/>
      <c r="BE22" s="116"/>
      <c r="BG22" s="115">
        <f>SUMIFS(wallet_records!$D:$D,wallet_records!$B:$B,'EEFF 2026'!$C22,wallet_records!$O:$O,'EEFF 2026'!$B$1,wallet_records!$N:$N,'EEFF 2026'!BG$2,wallet_records!$H:$H,'EEFF 2026'!$B22)</f>
        <v>0</v>
      </c>
      <c r="BH22" s="116"/>
      <c r="BI22" s="116"/>
      <c r="BJ22" s="116"/>
      <c r="BK22" s="116"/>
      <c r="BL22" s="116"/>
      <c r="BN22" s="115">
        <f>SUMIFS(wallet_records!$D:$D,wallet_records!$B:$B,'EEFF 2026'!$C22,wallet_records!$O:$O,'EEFF 2026'!$B$1,wallet_records!$N:$N,'EEFF 2026'!BN$2,wallet_records!$H:$H,'EEFF 2026'!$B22)</f>
        <v>0</v>
      </c>
      <c r="BO22" s="116"/>
      <c r="BP22" s="116"/>
      <c r="BQ22" s="116"/>
      <c r="BR22" s="116"/>
      <c r="BS22" s="116"/>
      <c r="BU22" s="115">
        <f>SUMIFS(wallet_records!$D:$D,wallet_records!$B:$B,'EEFF 2026'!$C22,wallet_records!$O:$O,'EEFF 2026'!$B$1,wallet_records!$N:$N,'EEFF 2026'!BU$2,wallet_records!$H:$H,'EEFF 2026'!$B22)</f>
        <v>0</v>
      </c>
      <c r="BV22" s="116"/>
      <c r="BW22" s="116"/>
      <c r="BX22" s="116"/>
      <c r="BY22" s="116"/>
      <c r="BZ22" s="116"/>
      <c r="CB22" s="115">
        <f>SUMIFS(wallet_records!$D:$D,wallet_records!$B:$B,'EEFF 2026'!$C22,wallet_records!$O:$O,'EEFF 2026'!$B$1,wallet_records!$N:$N,'EEFF 2026'!CB$2,wallet_records!$H:$H,'EEFF 2026'!$B22)</f>
        <v>0</v>
      </c>
      <c r="CC22" s="116"/>
      <c r="CD22" s="116"/>
      <c r="CE22" s="116"/>
      <c r="CF22" s="116"/>
      <c r="CG22" s="116"/>
      <c r="CI22" s="115">
        <f>SUMIFS(wallet_records!$D:$D,wallet_records!$B:$B,'EEFF 2026'!$C22,wallet_records!$O:$O,'EEFF 2026'!$B$1,wallet_records!$N:$N,'EEFF 2026'!CI$2,wallet_records!$H:$H,'EEFF 2026'!$B22)</f>
        <v>0</v>
      </c>
      <c r="CJ22" s="116"/>
      <c r="CK22" s="116"/>
      <c r="CL22" s="116"/>
      <c r="CM22" s="116"/>
      <c r="CN22" s="116"/>
      <c r="CP22" s="115">
        <f>SUMIFS(wallet_records!$D:$D,wallet_records!$B:$B,'EEFF 2026'!$C22,wallet_records!$O:$O,'EEFF 2026'!$B$1,wallet_records!$H:$H,'EEFF 2026'!$B22)</f>
        <v>2194118</v>
      </c>
      <c r="CQ22" s="107"/>
      <c r="CR22" s="118">
        <f t="shared" si="0"/>
        <v>0.23113983524008175</v>
      </c>
      <c r="CS22" s="118">
        <f t="shared" si="1"/>
        <v>0</v>
      </c>
      <c r="CT22" s="118" t="e">
        <f t="shared" si="2"/>
        <v>#DIV/0!</v>
      </c>
      <c r="CU22" s="118" t="e">
        <f t="shared" si="3"/>
        <v>#DIV/0!</v>
      </c>
      <c r="CV22" s="118" t="e">
        <f t="shared" si="4"/>
        <v>#DIV/0!</v>
      </c>
      <c r="CW22" s="118" t="e">
        <f t="shared" si="5"/>
        <v>#DIV/0!</v>
      </c>
      <c r="CX22" s="118" t="e">
        <f t="shared" si="6"/>
        <v>#DIV/0!</v>
      </c>
      <c r="CY22" s="118" t="e">
        <f t="shared" si="7"/>
        <v>#DIV/0!</v>
      </c>
      <c r="CZ22" s="118" t="e">
        <f t="shared" si="8"/>
        <v>#DIV/0!</v>
      </c>
      <c r="DA22" s="118" t="e">
        <f t="shared" si="9"/>
        <v>#DIV/0!</v>
      </c>
      <c r="DB22" s="118" t="e">
        <f t="shared" si="10"/>
        <v>#DIV/0!</v>
      </c>
      <c r="DC22" s="118" t="e">
        <f t="shared" si="11"/>
        <v>#DIV/0!</v>
      </c>
    </row>
    <row r="23" spans="1:107" x14ac:dyDescent="0.2">
      <c r="B23" s="296" t="s">
        <v>87</v>
      </c>
      <c r="C23" s="191" t="s">
        <v>114</v>
      </c>
      <c r="D23" s="115"/>
      <c r="E23" s="115"/>
      <c r="F23" s="115"/>
      <c r="G23" s="116"/>
      <c r="H23" s="116"/>
      <c r="I23" s="116"/>
      <c r="J23" s="116">
        <f>SUMIFS(wallet_records!$D:$D,wallet_records!$B:$B,'EEFF 2026'!$C23,wallet_records!$O:$O,'EEFF 2026'!$B$1,wallet_records!$N:$N,'EEFF 2026'!J$2,wallet_records!$H:$H,'EEFF 2026'!$B23)</f>
        <v>0</v>
      </c>
      <c r="K23" s="115"/>
      <c r="L23" s="115"/>
      <c r="M23" s="115"/>
      <c r="N23" s="116"/>
      <c r="O23" s="116"/>
      <c r="P23" s="116"/>
      <c r="Q23" s="115">
        <f>SUMIFS(wallet_records!$D:$D,wallet_records!$B:$B,'EEFF 2026'!$C23,wallet_records!$O:$O,'EEFF 2026'!$B$1,wallet_records!$N:$N,'EEFF 2026'!Q$2,wallet_records!$H:$H,'EEFF 2026'!$B23)</f>
        <v>0</v>
      </c>
      <c r="R23" s="116"/>
      <c r="S23" s="116"/>
      <c r="T23" s="116"/>
      <c r="U23" s="116"/>
      <c r="V23" s="116"/>
      <c r="X23" s="115">
        <f>SUMIFS(wallet_records!$D:$D,wallet_records!$B:$B,'EEFF 2026'!$C23,wallet_records!$O:$O,'EEFF 2026'!$B$1,wallet_records!$N:$N,'EEFF 2026'!X$2,wallet_records!$H:$H,'EEFF 2026'!$B23)</f>
        <v>0</v>
      </c>
      <c r="Y23" s="116"/>
      <c r="Z23" s="116"/>
      <c r="AA23" s="116"/>
      <c r="AB23" s="116"/>
      <c r="AC23" s="116"/>
      <c r="AE23" s="115">
        <f>SUMIFS(wallet_records!$D:$D,wallet_records!$B:$B,'EEFF 2026'!$C23,wallet_records!$O:$O,'EEFF 2026'!$B$1,wallet_records!$N:$N,'EEFF 2026'!AE$2,wallet_records!$H:$H,'EEFF 2026'!$B23)</f>
        <v>0</v>
      </c>
      <c r="AF23" s="116"/>
      <c r="AG23" s="116"/>
      <c r="AH23" s="116"/>
      <c r="AI23" s="116"/>
      <c r="AJ23" s="116"/>
      <c r="AL23" s="115">
        <f>SUMIFS(wallet_records!$D:$D,wallet_records!$B:$B,'EEFF 2026'!$C23,wallet_records!$O:$O,'EEFF 2026'!$B$1,wallet_records!$N:$N,'EEFF 2026'!AL$2,wallet_records!$H:$H,'EEFF 2026'!$B23)</f>
        <v>0</v>
      </c>
      <c r="AM23" s="116"/>
      <c r="AN23" s="116"/>
      <c r="AO23" s="116"/>
      <c r="AP23" s="116"/>
      <c r="AQ23" s="116"/>
      <c r="AS23" s="115">
        <f>SUMIFS(wallet_records!$D:$D,wallet_records!$B:$B,'EEFF 2026'!$C23,wallet_records!$O:$O,'EEFF 2026'!$B$1,wallet_records!$N:$N,'EEFF 2026'!AS$2,wallet_records!$H:$H,'EEFF 2026'!$B23)</f>
        <v>0</v>
      </c>
      <c r="AT23" s="116"/>
      <c r="AU23" s="116"/>
      <c r="AV23" s="116"/>
      <c r="AW23" s="116"/>
      <c r="AX23" s="116"/>
      <c r="AZ23" s="115">
        <f>SUMIFS(wallet_records!$D:$D,wallet_records!$B:$B,'EEFF 2026'!$C23,wallet_records!$O:$O,'EEFF 2026'!$B$1,wallet_records!$N:$N,'EEFF 2026'!AZ$2,wallet_records!$H:$H,'EEFF 2026'!$B23)</f>
        <v>0</v>
      </c>
      <c r="BA23" s="116"/>
      <c r="BB23" s="116"/>
      <c r="BC23" s="116"/>
      <c r="BD23" s="116"/>
      <c r="BE23" s="116"/>
      <c r="BG23" s="115">
        <f>SUMIFS(wallet_records!$D:$D,wallet_records!$B:$B,'EEFF 2026'!$C23,wallet_records!$O:$O,'EEFF 2026'!$B$1,wallet_records!$N:$N,'EEFF 2026'!BG$2,wallet_records!$H:$H,'EEFF 2026'!$B23)</f>
        <v>0</v>
      </c>
      <c r="BH23" s="116"/>
      <c r="BI23" s="116"/>
      <c r="BJ23" s="116"/>
      <c r="BK23" s="116"/>
      <c r="BL23" s="116"/>
      <c r="BN23" s="115">
        <f>SUMIFS(wallet_records!$D:$D,wallet_records!$B:$B,'EEFF 2026'!$C23,wallet_records!$O:$O,'EEFF 2026'!$B$1,wallet_records!$N:$N,'EEFF 2026'!BN$2,wallet_records!$H:$H,'EEFF 2026'!$B23)</f>
        <v>0</v>
      </c>
      <c r="BO23" s="116"/>
      <c r="BP23" s="116"/>
      <c r="BQ23" s="116"/>
      <c r="BR23" s="116"/>
      <c r="BS23" s="116"/>
      <c r="BU23" s="115">
        <f>SUMIFS(wallet_records!$D:$D,wallet_records!$B:$B,'EEFF 2026'!$C23,wallet_records!$O:$O,'EEFF 2026'!$B$1,wallet_records!$N:$N,'EEFF 2026'!BU$2,wallet_records!$H:$H,'EEFF 2026'!$B23)</f>
        <v>0</v>
      </c>
      <c r="BV23" s="116"/>
      <c r="BW23" s="116"/>
      <c r="BX23" s="116"/>
      <c r="BY23" s="116"/>
      <c r="BZ23" s="116"/>
      <c r="CB23" s="115">
        <f>SUMIFS(wallet_records!$D:$D,wallet_records!$B:$B,'EEFF 2026'!$C23,wallet_records!$O:$O,'EEFF 2026'!$B$1,wallet_records!$N:$N,'EEFF 2026'!CB$2,wallet_records!$H:$H,'EEFF 2026'!$B23)</f>
        <v>0</v>
      </c>
      <c r="CC23" s="116"/>
      <c r="CD23" s="116"/>
      <c r="CE23" s="116"/>
      <c r="CF23" s="116"/>
      <c r="CG23" s="116"/>
      <c r="CI23" s="115">
        <f>SUMIFS(wallet_records!$D:$D,wallet_records!$B:$B,'EEFF 2026'!$C23,wallet_records!$O:$O,'EEFF 2026'!$B$1,wallet_records!$N:$N,'EEFF 2026'!CI$2,wallet_records!$H:$H,'EEFF 2026'!$B23)</f>
        <v>0</v>
      </c>
      <c r="CJ23" s="116"/>
      <c r="CK23" s="116"/>
      <c r="CL23" s="116"/>
      <c r="CM23" s="116"/>
      <c r="CN23" s="116"/>
      <c r="CP23" s="115">
        <f>SUMIFS(wallet_records!$D:$D,wallet_records!$B:$B,'EEFF 2026'!$C23,wallet_records!$O:$O,'EEFF 2026'!$B$1,wallet_records!$H:$H,'EEFF 2026'!$B23)</f>
        <v>0</v>
      </c>
      <c r="CQ23" s="107"/>
      <c r="CR23" s="118">
        <f t="shared" si="0"/>
        <v>0</v>
      </c>
      <c r="CS23" s="118">
        <f t="shared" si="1"/>
        <v>0</v>
      </c>
      <c r="CT23" s="118" t="e">
        <f t="shared" si="2"/>
        <v>#DIV/0!</v>
      </c>
      <c r="CU23" s="118" t="e">
        <f t="shared" si="3"/>
        <v>#DIV/0!</v>
      </c>
      <c r="CV23" s="118" t="e">
        <f t="shared" si="4"/>
        <v>#DIV/0!</v>
      </c>
      <c r="CW23" s="118" t="e">
        <f t="shared" si="5"/>
        <v>#DIV/0!</v>
      </c>
      <c r="CX23" s="118" t="e">
        <f t="shared" si="6"/>
        <v>#DIV/0!</v>
      </c>
      <c r="CY23" s="118" t="e">
        <f t="shared" si="7"/>
        <v>#DIV/0!</v>
      </c>
      <c r="CZ23" s="118" t="e">
        <f t="shared" si="8"/>
        <v>#DIV/0!</v>
      </c>
      <c r="DA23" s="118" t="e">
        <f t="shared" si="9"/>
        <v>#DIV/0!</v>
      </c>
      <c r="DB23" s="118" t="e">
        <f t="shared" si="10"/>
        <v>#DIV/0!</v>
      </c>
      <c r="DC23" s="118" t="e">
        <f t="shared" si="11"/>
        <v>#DIV/0!</v>
      </c>
    </row>
    <row r="24" spans="1:107" x14ac:dyDescent="0.2">
      <c r="B24" s="296" t="s">
        <v>88</v>
      </c>
      <c r="C24" s="191" t="s">
        <v>131</v>
      </c>
      <c r="D24" s="115"/>
      <c r="E24" s="115"/>
      <c r="F24" s="115"/>
      <c r="G24" s="116"/>
      <c r="H24" s="116"/>
      <c r="I24" s="116"/>
      <c r="J24" s="116">
        <f>SUMIFS(wallet_records!$D:$D,wallet_records!$B:$B,'EEFF 2026'!$C24,wallet_records!$O:$O,'EEFF 2026'!$B$1,wallet_records!$N:$N,'EEFF 2026'!J$2,wallet_records!$H:$H,'EEFF 2026'!$B24)</f>
        <v>0</v>
      </c>
      <c r="K24" s="115"/>
      <c r="L24" s="115"/>
      <c r="M24" s="115"/>
      <c r="N24" s="116"/>
      <c r="O24" s="116"/>
      <c r="P24" s="116"/>
      <c r="Q24" s="115">
        <f>SUMIFS(wallet_records!$D:$D,wallet_records!$B:$B,'EEFF 2026'!$C24,wallet_records!$O:$O,'EEFF 2026'!$B$1,wallet_records!$N:$N,'EEFF 2026'!Q$2,wallet_records!$H:$H,'EEFF 2026'!$B24)</f>
        <v>0</v>
      </c>
      <c r="R24" s="116"/>
      <c r="S24" s="116"/>
      <c r="T24" s="116"/>
      <c r="U24" s="116"/>
      <c r="V24" s="116"/>
      <c r="X24" s="115">
        <f>SUMIFS(wallet_records!$D:$D,wallet_records!$B:$B,'EEFF 2026'!$C24,wallet_records!$O:$O,'EEFF 2026'!$B$1,wallet_records!$N:$N,'EEFF 2026'!X$2,wallet_records!$H:$H,'EEFF 2026'!$B24)</f>
        <v>0</v>
      </c>
      <c r="Y24" s="116"/>
      <c r="Z24" s="116"/>
      <c r="AA24" s="116"/>
      <c r="AB24" s="116"/>
      <c r="AC24" s="116"/>
      <c r="AE24" s="115">
        <f>SUMIFS(wallet_records!$D:$D,wallet_records!$B:$B,'EEFF 2026'!$C24,wallet_records!$O:$O,'EEFF 2026'!$B$1,wallet_records!$N:$N,'EEFF 2026'!AE$2,wallet_records!$H:$H,'EEFF 2026'!$B24)</f>
        <v>0</v>
      </c>
      <c r="AF24" s="116"/>
      <c r="AG24" s="116"/>
      <c r="AH24" s="116"/>
      <c r="AI24" s="116"/>
      <c r="AJ24" s="116"/>
      <c r="AL24" s="115">
        <f>SUMIFS(wallet_records!$D:$D,wallet_records!$B:$B,'EEFF 2026'!$C24,wallet_records!$O:$O,'EEFF 2026'!$B$1,wallet_records!$N:$N,'EEFF 2026'!AL$2,wallet_records!$H:$H,'EEFF 2026'!$B24)</f>
        <v>0</v>
      </c>
      <c r="AM24" s="116"/>
      <c r="AN24" s="116"/>
      <c r="AO24" s="116"/>
      <c r="AP24" s="116"/>
      <c r="AQ24" s="116"/>
      <c r="AS24" s="115">
        <f>SUMIFS(wallet_records!$D:$D,wallet_records!$B:$B,'EEFF 2026'!$C24,wallet_records!$O:$O,'EEFF 2026'!$B$1,wallet_records!$N:$N,'EEFF 2026'!AS$2,wallet_records!$H:$H,'EEFF 2026'!$B24)</f>
        <v>0</v>
      </c>
      <c r="AT24" s="116"/>
      <c r="AU24" s="116"/>
      <c r="AV24" s="116"/>
      <c r="AW24" s="116"/>
      <c r="AX24" s="116"/>
      <c r="AZ24" s="115">
        <f>SUMIFS(wallet_records!$D:$D,wallet_records!$B:$B,'EEFF 2026'!$C24,wallet_records!$O:$O,'EEFF 2026'!$B$1,wallet_records!$N:$N,'EEFF 2026'!AZ$2,wallet_records!$H:$H,'EEFF 2026'!$B24)</f>
        <v>0</v>
      </c>
      <c r="BA24" s="116"/>
      <c r="BB24" s="116"/>
      <c r="BC24" s="116"/>
      <c r="BD24" s="116"/>
      <c r="BE24" s="116"/>
      <c r="BG24" s="115">
        <f>SUMIFS(wallet_records!$D:$D,wallet_records!$B:$B,'EEFF 2026'!$C24,wallet_records!$O:$O,'EEFF 2026'!$B$1,wallet_records!$N:$N,'EEFF 2026'!BG$2,wallet_records!$H:$H,'EEFF 2026'!$B24)</f>
        <v>0</v>
      </c>
      <c r="BH24" s="116"/>
      <c r="BI24" s="116"/>
      <c r="BJ24" s="116"/>
      <c r="BK24" s="116"/>
      <c r="BL24" s="116"/>
      <c r="BN24" s="115">
        <f>SUMIFS(wallet_records!$D:$D,wallet_records!$B:$B,'EEFF 2026'!$C24,wallet_records!$O:$O,'EEFF 2026'!$B$1,wallet_records!$N:$N,'EEFF 2026'!BN$2,wallet_records!$H:$H,'EEFF 2026'!$B24)</f>
        <v>0</v>
      </c>
      <c r="BO24" s="116"/>
      <c r="BP24" s="116"/>
      <c r="BQ24" s="116"/>
      <c r="BR24" s="116"/>
      <c r="BS24" s="116"/>
      <c r="BU24" s="115">
        <f>SUMIFS(wallet_records!$D:$D,wallet_records!$B:$B,'EEFF 2026'!$C24,wallet_records!$O:$O,'EEFF 2026'!$B$1,wallet_records!$N:$N,'EEFF 2026'!BU$2,wallet_records!$H:$H,'EEFF 2026'!$B24)</f>
        <v>0</v>
      </c>
      <c r="BV24" s="116"/>
      <c r="BW24" s="116"/>
      <c r="BX24" s="116"/>
      <c r="BY24" s="116"/>
      <c r="BZ24" s="116"/>
      <c r="CB24" s="115">
        <f>SUMIFS(wallet_records!$D:$D,wallet_records!$B:$B,'EEFF 2026'!$C24,wallet_records!$O:$O,'EEFF 2026'!$B$1,wallet_records!$N:$N,'EEFF 2026'!CB$2,wallet_records!$H:$H,'EEFF 2026'!$B24)</f>
        <v>0</v>
      </c>
      <c r="CC24" s="116"/>
      <c r="CD24" s="116"/>
      <c r="CE24" s="116"/>
      <c r="CF24" s="116"/>
      <c r="CG24" s="116"/>
      <c r="CI24" s="115">
        <f>SUMIFS(wallet_records!$D:$D,wallet_records!$B:$B,'EEFF 2026'!$C24,wallet_records!$O:$O,'EEFF 2026'!$B$1,wallet_records!$N:$N,'EEFF 2026'!CI$2,wallet_records!$H:$H,'EEFF 2026'!$B24)</f>
        <v>0</v>
      </c>
      <c r="CJ24" s="116"/>
      <c r="CK24" s="116"/>
      <c r="CL24" s="116"/>
      <c r="CM24" s="116"/>
      <c r="CN24" s="116"/>
      <c r="CP24" s="115">
        <f>SUMIFS(wallet_records!$D:$D,wallet_records!$B:$B,'EEFF 2026'!$C24,wallet_records!$O:$O,'EEFF 2026'!$B$1,wallet_records!$H:$H,'EEFF 2026'!$B24)</f>
        <v>0</v>
      </c>
      <c r="CQ24" s="107"/>
      <c r="CR24" s="118">
        <f t="shared" si="0"/>
        <v>0</v>
      </c>
      <c r="CS24" s="118">
        <f t="shared" si="1"/>
        <v>0</v>
      </c>
      <c r="CT24" s="118" t="e">
        <f t="shared" si="2"/>
        <v>#DIV/0!</v>
      </c>
      <c r="CU24" s="118" t="e">
        <f t="shared" si="3"/>
        <v>#DIV/0!</v>
      </c>
      <c r="CV24" s="118" t="e">
        <f t="shared" si="4"/>
        <v>#DIV/0!</v>
      </c>
      <c r="CW24" s="118" t="e">
        <f t="shared" si="5"/>
        <v>#DIV/0!</v>
      </c>
      <c r="CX24" s="118" t="e">
        <f t="shared" si="6"/>
        <v>#DIV/0!</v>
      </c>
      <c r="CY24" s="118" t="e">
        <f t="shared" si="7"/>
        <v>#DIV/0!</v>
      </c>
      <c r="CZ24" s="118" t="e">
        <f t="shared" si="8"/>
        <v>#DIV/0!</v>
      </c>
      <c r="DA24" s="118" t="e">
        <f t="shared" si="9"/>
        <v>#DIV/0!</v>
      </c>
      <c r="DB24" s="118" t="e">
        <f t="shared" si="10"/>
        <v>#DIV/0!</v>
      </c>
      <c r="DC24" s="118" t="e">
        <f t="shared" si="11"/>
        <v>#DIV/0!</v>
      </c>
    </row>
    <row r="25" spans="1:107" x14ac:dyDescent="0.2">
      <c r="B25" s="296" t="s">
        <v>99</v>
      </c>
      <c r="C25" s="191" t="s">
        <v>154</v>
      </c>
      <c r="D25" s="115"/>
      <c r="E25" s="115"/>
      <c r="F25" s="115"/>
      <c r="G25" s="116"/>
      <c r="H25" s="116"/>
      <c r="I25" s="116"/>
      <c r="J25" s="116">
        <f>SUMIFS(wallet_records!$D:$D,wallet_records!$B:$B,'EEFF 2026'!$C25,wallet_records!$O:$O,'EEFF 2026'!$B$1,wallet_records!$N:$N,'EEFF 2026'!J$2,wallet_records!$H:$H,'EEFF 2026'!$B25)</f>
        <v>0</v>
      </c>
      <c r="K25" s="115"/>
      <c r="L25" s="115"/>
      <c r="M25" s="115"/>
      <c r="N25" s="116"/>
      <c r="O25" s="116"/>
      <c r="P25" s="116"/>
      <c r="Q25" s="115">
        <f>SUMIFS(wallet_records!$D:$D,wallet_records!$B:$B,'EEFF 2026'!$C25,wallet_records!$O:$O,'EEFF 2026'!$B$1,wallet_records!$N:$N,'EEFF 2026'!Q$2,wallet_records!$H:$H,'EEFF 2026'!$B25)</f>
        <v>0</v>
      </c>
      <c r="R25" s="116"/>
      <c r="S25" s="116"/>
      <c r="T25" s="116"/>
      <c r="U25" s="116"/>
      <c r="V25" s="116"/>
      <c r="X25" s="115">
        <f>SUMIFS(wallet_records!$D:$D,wallet_records!$B:$B,'EEFF 2026'!$C25,wallet_records!$O:$O,'EEFF 2026'!$B$1,wallet_records!$N:$N,'EEFF 2026'!X$2,wallet_records!$H:$H,'EEFF 2026'!$B25)</f>
        <v>0</v>
      </c>
      <c r="Y25" s="116"/>
      <c r="Z25" s="116"/>
      <c r="AA25" s="116"/>
      <c r="AB25" s="116"/>
      <c r="AC25" s="116"/>
      <c r="AE25" s="115">
        <f>SUMIFS(wallet_records!$D:$D,wallet_records!$B:$B,'EEFF 2026'!$C25,wallet_records!$O:$O,'EEFF 2026'!$B$1,wallet_records!$N:$N,'EEFF 2026'!AE$2,wallet_records!$H:$H,'EEFF 2026'!$B25)</f>
        <v>0</v>
      </c>
      <c r="AF25" s="116"/>
      <c r="AG25" s="116"/>
      <c r="AH25" s="116"/>
      <c r="AI25" s="116"/>
      <c r="AJ25" s="116"/>
      <c r="AL25" s="115">
        <f>SUMIFS(wallet_records!$D:$D,wallet_records!$B:$B,'EEFF 2026'!$C25,wallet_records!$O:$O,'EEFF 2026'!$B$1,wallet_records!$N:$N,'EEFF 2026'!AL$2,wallet_records!$H:$H,'EEFF 2026'!$B25)</f>
        <v>0</v>
      </c>
      <c r="AM25" s="116"/>
      <c r="AN25" s="116"/>
      <c r="AO25" s="116"/>
      <c r="AP25" s="116"/>
      <c r="AQ25" s="116"/>
      <c r="AS25" s="115">
        <f>SUMIFS(wallet_records!$D:$D,wallet_records!$B:$B,'EEFF 2026'!$C25,wallet_records!$O:$O,'EEFF 2026'!$B$1,wallet_records!$N:$N,'EEFF 2026'!AS$2,wallet_records!$H:$H,'EEFF 2026'!$B25)</f>
        <v>0</v>
      </c>
      <c r="AT25" s="116"/>
      <c r="AU25" s="116"/>
      <c r="AV25" s="116"/>
      <c r="AW25" s="116"/>
      <c r="AX25" s="116"/>
      <c r="AZ25" s="115">
        <f>SUMIFS(wallet_records!$D:$D,wallet_records!$B:$B,'EEFF 2026'!$C25,wallet_records!$O:$O,'EEFF 2026'!$B$1,wallet_records!$N:$N,'EEFF 2026'!AZ$2,wallet_records!$H:$H,'EEFF 2026'!$B25)</f>
        <v>0</v>
      </c>
      <c r="BA25" s="116"/>
      <c r="BB25" s="116"/>
      <c r="BC25" s="116"/>
      <c r="BD25" s="116"/>
      <c r="BE25" s="116"/>
      <c r="BG25" s="115">
        <f>SUMIFS(wallet_records!$D:$D,wallet_records!$B:$B,'EEFF 2026'!$C25,wallet_records!$O:$O,'EEFF 2026'!$B$1,wallet_records!$N:$N,'EEFF 2026'!BG$2,wallet_records!$H:$H,'EEFF 2026'!$B25)</f>
        <v>0</v>
      </c>
      <c r="BH25" s="116"/>
      <c r="BI25" s="116"/>
      <c r="BJ25" s="116"/>
      <c r="BK25" s="116"/>
      <c r="BL25" s="116"/>
      <c r="BN25" s="115">
        <f>SUMIFS(wallet_records!$D:$D,wallet_records!$B:$B,'EEFF 2026'!$C25,wallet_records!$O:$O,'EEFF 2026'!$B$1,wallet_records!$N:$N,'EEFF 2026'!BN$2,wallet_records!$H:$H,'EEFF 2026'!$B25)</f>
        <v>0</v>
      </c>
      <c r="BO25" s="116"/>
      <c r="BP25" s="116"/>
      <c r="BQ25" s="116"/>
      <c r="BR25" s="116"/>
      <c r="BS25" s="116"/>
      <c r="BU25" s="115">
        <f>SUMIFS(wallet_records!$D:$D,wallet_records!$B:$B,'EEFF 2026'!$C25,wallet_records!$O:$O,'EEFF 2026'!$B$1,wallet_records!$N:$N,'EEFF 2026'!BU$2,wallet_records!$H:$H,'EEFF 2026'!$B25)</f>
        <v>0</v>
      </c>
      <c r="BV25" s="116"/>
      <c r="BW25" s="116"/>
      <c r="BX25" s="116"/>
      <c r="BY25" s="116"/>
      <c r="BZ25" s="116"/>
      <c r="CB25" s="115">
        <f>SUMIFS(wallet_records!$D:$D,wallet_records!$B:$B,'EEFF 2026'!$C25,wallet_records!$O:$O,'EEFF 2026'!$B$1,wallet_records!$N:$N,'EEFF 2026'!CB$2,wallet_records!$H:$H,'EEFF 2026'!$B25)</f>
        <v>0</v>
      </c>
      <c r="CC25" s="116"/>
      <c r="CD25" s="116"/>
      <c r="CE25" s="116"/>
      <c r="CF25" s="116"/>
      <c r="CG25" s="116"/>
      <c r="CI25" s="115">
        <f>SUMIFS(wallet_records!$D:$D,wallet_records!$B:$B,'EEFF 2026'!$C25,wallet_records!$O:$O,'EEFF 2026'!$B$1,wallet_records!$N:$N,'EEFF 2026'!CI$2,wallet_records!$H:$H,'EEFF 2026'!$B25)</f>
        <v>0</v>
      </c>
      <c r="CJ25" s="116"/>
      <c r="CK25" s="116"/>
      <c r="CL25" s="116"/>
      <c r="CM25" s="116"/>
      <c r="CN25" s="116"/>
      <c r="CP25" s="115">
        <f>SUMIFS(wallet_records!$D:$D,wallet_records!$B:$B,'EEFF 2026'!$C25,wallet_records!$O:$O,'EEFF 2026'!$B$1,wallet_records!$H:$H,'EEFF 2026'!$B25)</f>
        <v>0</v>
      </c>
      <c r="CQ25" s="107"/>
      <c r="CR25" s="118">
        <f t="shared" si="0"/>
        <v>0</v>
      </c>
      <c r="CS25" s="118">
        <f t="shared" si="1"/>
        <v>0</v>
      </c>
      <c r="CT25" s="118" t="e">
        <f t="shared" si="2"/>
        <v>#DIV/0!</v>
      </c>
      <c r="CU25" s="118" t="e">
        <f t="shared" si="3"/>
        <v>#DIV/0!</v>
      </c>
      <c r="CV25" s="118" t="e">
        <f t="shared" si="4"/>
        <v>#DIV/0!</v>
      </c>
      <c r="CW25" s="118" t="e">
        <f t="shared" si="5"/>
        <v>#DIV/0!</v>
      </c>
      <c r="CX25" s="118" t="e">
        <f t="shared" si="6"/>
        <v>#DIV/0!</v>
      </c>
      <c r="CY25" s="118" t="e">
        <f t="shared" si="7"/>
        <v>#DIV/0!</v>
      </c>
      <c r="CZ25" s="118" t="e">
        <f t="shared" si="8"/>
        <v>#DIV/0!</v>
      </c>
      <c r="DA25" s="118" t="e">
        <f t="shared" si="9"/>
        <v>#DIV/0!</v>
      </c>
      <c r="DB25" s="118" t="e">
        <f t="shared" si="10"/>
        <v>#DIV/0!</v>
      </c>
      <c r="DC25" s="118" t="e">
        <f t="shared" si="11"/>
        <v>#DIV/0!</v>
      </c>
    </row>
    <row r="26" spans="1:107" x14ac:dyDescent="0.2">
      <c r="B26" s="296" t="s">
        <v>509</v>
      </c>
      <c r="C26" s="191" t="s">
        <v>114</v>
      </c>
      <c r="D26" s="115"/>
      <c r="E26" s="115"/>
      <c r="F26" s="115"/>
      <c r="G26" s="116"/>
      <c r="H26" s="116"/>
      <c r="I26" s="116"/>
      <c r="J26" s="116">
        <f>SUMIFS(wallet_records!$D:$D,wallet_records!$B:$B,'EEFF 2026'!$C26,wallet_records!$O:$O,'EEFF 2026'!$B$1,wallet_records!$N:$N,'EEFF 2026'!J$2,wallet_records!$H:$H,'EEFF 2026'!$B26)</f>
        <v>423900</v>
      </c>
      <c r="K26" s="115"/>
      <c r="L26" s="115"/>
      <c r="M26" s="115"/>
      <c r="N26" s="116"/>
      <c r="O26" s="116"/>
      <c r="P26" s="116"/>
      <c r="Q26" s="115">
        <f>SUMIFS(wallet_records!$D:$D,wallet_records!$B:$B,'EEFF 2026'!$C26,wallet_records!$O:$O,'EEFF 2026'!$B$1,wallet_records!$N:$N,'EEFF 2026'!Q$2,wallet_records!$H:$H,'EEFF 2026'!$B26)</f>
        <v>0</v>
      </c>
      <c r="R26" s="116"/>
      <c r="S26" s="116"/>
      <c r="T26" s="116"/>
      <c r="U26" s="116"/>
      <c r="V26" s="116"/>
      <c r="X26" s="115">
        <f>SUMIFS(wallet_records!$D:$D,wallet_records!$B:$B,'EEFF 2026'!$C26,wallet_records!$O:$O,'EEFF 2026'!$B$1,wallet_records!$N:$N,'EEFF 2026'!X$2,wallet_records!$H:$H,'EEFF 2026'!$B26)</f>
        <v>0</v>
      </c>
      <c r="Y26" s="116"/>
      <c r="Z26" s="116"/>
      <c r="AA26" s="116"/>
      <c r="AB26" s="116"/>
      <c r="AC26" s="116"/>
      <c r="AE26" s="115">
        <f>SUMIFS(wallet_records!$D:$D,wallet_records!$B:$B,'EEFF 2026'!$C26,wallet_records!$O:$O,'EEFF 2026'!$B$1,wallet_records!$N:$N,'EEFF 2026'!AE$2,wallet_records!$H:$H,'EEFF 2026'!$B26)</f>
        <v>0</v>
      </c>
      <c r="AF26" s="116"/>
      <c r="AG26" s="116"/>
      <c r="AH26" s="116"/>
      <c r="AI26" s="116"/>
      <c r="AJ26" s="116"/>
      <c r="AL26" s="115">
        <f>SUMIFS(wallet_records!$D:$D,wallet_records!$B:$B,'EEFF 2026'!$C26,wallet_records!$O:$O,'EEFF 2026'!$B$1,wallet_records!$N:$N,'EEFF 2026'!AL$2,wallet_records!$H:$H,'EEFF 2026'!$B26)</f>
        <v>0</v>
      </c>
      <c r="AM26" s="116"/>
      <c r="AN26" s="116"/>
      <c r="AO26" s="116"/>
      <c r="AP26" s="116"/>
      <c r="AQ26" s="116"/>
      <c r="AS26" s="115">
        <f>SUMIFS(wallet_records!$D:$D,wallet_records!$B:$B,'EEFF 2026'!$C26,wallet_records!$O:$O,'EEFF 2026'!$B$1,wallet_records!$N:$N,'EEFF 2026'!AS$2,wallet_records!$H:$H,'EEFF 2026'!$B26)</f>
        <v>0</v>
      </c>
      <c r="AT26" s="116"/>
      <c r="AU26" s="116"/>
      <c r="AV26" s="116"/>
      <c r="AW26" s="116"/>
      <c r="AX26" s="116"/>
      <c r="AZ26" s="115">
        <f>SUMIFS(wallet_records!$D:$D,wallet_records!$B:$B,'EEFF 2026'!$C26,wallet_records!$O:$O,'EEFF 2026'!$B$1,wallet_records!$N:$N,'EEFF 2026'!AZ$2,wallet_records!$H:$H,'EEFF 2026'!$B26)</f>
        <v>0</v>
      </c>
      <c r="BA26" s="116"/>
      <c r="BB26" s="116"/>
      <c r="BC26" s="116"/>
      <c r="BD26" s="116"/>
      <c r="BE26" s="116"/>
      <c r="BG26" s="115">
        <f>SUMIFS(wallet_records!$D:$D,wallet_records!$B:$B,'EEFF 2026'!$C26,wallet_records!$O:$O,'EEFF 2026'!$B$1,wallet_records!$N:$N,'EEFF 2026'!BG$2,wallet_records!$H:$H,'EEFF 2026'!$B26)</f>
        <v>0</v>
      </c>
      <c r="BH26" s="116"/>
      <c r="BI26" s="116"/>
      <c r="BJ26" s="116"/>
      <c r="BK26" s="116"/>
      <c r="BL26" s="116"/>
      <c r="BN26" s="115">
        <f>SUMIFS(wallet_records!$D:$D,wallet_records!$B:$B,'EEFF 2026'!$C26,wallet_records!$O:$O,'EEFF 2026'!$B$1,wallet_records!$N:$N,'EEFF 2026'!BN$2,wallet_records!$H:$H,'EEFF 2026'!$B26)</f>
        <v>0</v>
      </c>
      <c r="BO26" s="116"/>
      <c r="BP26" s="116"/>
      <c r="BQ26" s="116"/>
      <c r="BR26" s="116"/>
      <c r="BS26" s="116"/>
      <c r="BU26" s="115">
        <f>SUMIFS(wallet_records!$D:$D,wallet_records!$B:$B,'EEFF 2026'!$C26,wallet_records!$O:$O,'EEFF 2026'!$B$1,wallet_records!$N:$N,'EEFF 2026'!BU$2,wallet_records!$H:$H,'EEFF 2026'!$B26)</f>
        <v>0</v>
      </c>
      <c r="BV26" s="116"/>
      <c r="BW26" s="116"/>
      <c r="BX26" s="116"/>
      <c r="BY26" s="116"/>
      <c r="BZ26" s="116"/>
      <c r="CB26" s="115">
        <f>SUMIFS(wallet_records!$D:$D,wallet_records!$B:$B,'EEFF 2026'!$C26,wallet_records!$O:$O,'EEFF 2026'!$B$1,wallet_records!$N:$N,'EEFF 2026'!CB$2,wallet_records!$H:$H,'EEFF 2026'!$B26)</f>
        <v>0</v>
      </c>
      <c r="CC26" s="116"/>
      <c r="CD26" s="116"/>
      <c r="CE26" s="116"/>
      <c r="CF26" s="116"/>
      <c r="CG26" s="116"/>
      <c r="CI26" s="115">
        <f>SUMIFS(wallet_records!$D:$D,wallet_records!$B:$B,'EEFF 2026'!$C26,wallet_records!$O:$O,'EEFF 2026'!$B$1,wallet_records!$N:$N,'EEFF 2026'!CI$2,wallet_records!$H:$H,'EEFF 2026'!$B26)</f>
        <v>0</v>
      </c>
      <c r="CJ26" s="116"/>
      <c r="CK26" s="116"/>
      <c r="CL26" s="116"/>
      <c r="CM26" s="116"/>
      <c r="CN26" s="116"/>
      <c r="CP26" s="115">
        <f>SUMIFS(wallet_records!$D:$D,wallet_records!$B:$B,'EEFF 2026'!$C26,wallet_records!$O:$O,'EEFF 2026'!$B$1,wallet_records!$H:$H,'EEFF 2026'!$B26)</f>
        <v>423900</v>
      </c>
      <c r="CQ26" s="107"/>
      <c r="CR26" s="118">
        <f t="shared" si="0"/>
        <v>4.465583717843373E-2</v>
      </c>
      <c r="CS26" s="118">
        <f t="shared" si="1"/>
        <v>0</v>
      </c>
      <c r="CT26" s="118" t="e">
        <f t="shared" si="2"/>
        <v>#DIV/0!</v>
      </c>
      <c r="CU26" s="118" t="e">
        <f t="shared" si="3"/>
        <v>#DIV/0!</v>
      </c>
      <c r="CV26" s="118" t="e">
        <f t="shared" si="4"/>
        <v>#DIV/0!</v>
      </c>
      <c r="CW26" s="118" t="e">
        <f t="shared" si="5"/>
        <v>#DIV/0!</v>
      </c>
      <c r="CX26" s="118" t="e">
        <f t="shared" si="6"/>
        <v>#DIV/0!</v>
      </c>
      <c r="CY26" s="118" t="e">
        <f t="shared" si="7"/>
        <v>#DIV/0!</v>
      </c>
      <c r="CZ26" s="118" t="e">
        <f t="shared" si="8"/>
        <v>#DIV/0!</v>
      </c>
      <c r="DA26" s="118" t="e">
        <f t="shared" si="9"/>
        <v>#DIV/0!</v>
      </c>
      <c r="DB26" s="118" t="e">
        <f t="shared" si="10"/>
        <v>#DIV/0!</v>
      </c>
      <c r="DC26" s="118" t="e">
        <f t="shared" si="11"/>
        <v>#DIV/0!</v>
      </c>
    </row>
    <row r="27" spans="1:107" x14ac:dyDescent="0.2">
      <c r="B27" s="296" t="s">
        <v>93</v>
      </c>
      <c r="C27" s="191" t="s">
        <v>131</v>
      </c>
      <c r="D27" s="115"/>
      <c r="E27" s="115"/>
      <c r="F27" s="115"/>
      <c r="G27" s="116"/>
      <c r="H27" s="116"/>
      <c r="I27" s="116"/>
      <c r="J27" s="116">
        <f>SUMIFS(wallet_records!$D:$D,wallet_records!$B:$B,'EEFF 2026'!$C27,wallet_records!$O:$O,'EEFF 2026'!$B$1,wallet_records!$N:$N,'EEFF 2026'!J$2,wallet_records!$H:$H,'EEFF 2026'!$B27)</f>
        <v>0</v>
      </c>
      <c r="K27" s="115"/>
      <c r="L27" s="115"/>
      <c r="M27" s="115"/>
      <c r="N27" s="116"/>
      <c r="O27" s="116"/>
      <c r="P27" s="116"/>
      <c r="Q27" s="115">
        <f>SUMIFS(wallet_records!$D:$D,wallet_records!$B:$B,'EEFF 2026'!$C27,wallet_records!$O:$O,'EEFF 2026'!$B$1,wallet_records!$N:$N,'EEFF 2026'!Q$2,wallet_records!$H:$H,'EEFF 2026'!$B27)</f>
        <v>0</v>
      </c>
      <c r="R27" s="116"/>
      <c r="S27" s="116"/>
      <c r="T27" s="116"/>
      <c r="U27" s="116"/>
      <c r="V27" s="116"/>
      <c r="X27" s="115">
        <f>SUMIFS(wallet_records!$D:$D,wallet_records!$B:$B,'EEFF 2026'!$C27,wallet_records!$O:$O,'EEFF 2026'!$B$1,wallet_records!$N:$N,'EEFF 2026'!X$2,wallet_records!$H:$H,'EEFF 2026'!$B27)</f>
        <v>0</v>
      </c>
      <c r="Y27" s="116"/>
      <c r="Z27" s="116"/>
      <c r="AA27" s="116"/>
      <c r="AB27" s="116"/>
      <c r="AC27" s="116"/>
      <c r="AE27" s="115">
        <f>SUMIFS(wallet_records!$D:$D,wallet_records!$B:$B,'EEFF 2026'!$C27,wallet_records!$O:$O,'EEFF 2026'!$B$1,wallet_records!$N:$N,'EEFF 2026'!AE$2,wallet_records!$H:$H,'EEFF 2026'!$B27)</f>
        <v>0</v>
      </c>
      <c r="AF27" s="116"/>
      <c r="AG27" s="116"/>
      <c r="AH27" s="116"/>
      <c r="AI27" s="116"/>
      <c r="AJ27" s="116"/>
      <c r="AL27" s="115">
        <f>SUMIFS(wallet_records!$D:$D,wallet_records!$B:$B,'EEFF 2026'!$C27,wallet_records!$O:$O,'EEFF 2026'!$B$1,wallet_records!$N:$N,'EEFF 2026'!AL$2,wallet_records!$H:$H,'EEFF 2026'!$B27)</f>
        <v>0</v>
      </c>
      <c r="AM27" s="116"/>
      <c r="AN27" s="116"/>
      <c r="AO27" s="116"/>
      <c r="AP27" s="116"/>
      <c r="AQ27" s="116"/>
      <c r="AS27" s="115">
        <f>SUMIFS(wallet_records!$D:$D,wallet_records!$B:$B,'EEFF 2026'!$C27,wallet_records!$O:$O,'EEFF 2026'!$B$1,wallet_records!$N:$N,'EEFF 2026'!AS$2,wallet_records!$H:$H,'EEFF 2026'!$B27)</f>
        <v>0</v>
      </c>
      <c r="AT27" s="116"/>
      <c r="AU27" s="116"/>
      <c r="AV27" s="116"/>
      <c r="AW27" s="116"/>
      <c r="AX27" s="116"/>
      <c r="AZ27" s="115">
        <f>SUMIFS(wallet_records!$D:$D,wallet_records!$B:$B,'EEFF 2026'!$C27,wallet_records!$O:$O,'EEFF 2026'!$B$1,wallet_records!$N:$N,'EEFF 2026'!AZ$2,wallet_records!$H:$H,'EEFF 2026'!$B27)</f>
        <v>0</v>
      </c>
      <c r="BA27" s="116"/>
      <c r="BB27" s="116"/>
      <c r="BC27" s="116"/>
      <c r="BD27" s="116"/>
      <c r="BE27" s="116"/>
      <c r="BG27" s="115">
        <f>SUMIFS(wallet_records!$D:$D,wallet_records!$B:$B,'EEFF 2026'!$C27,wallet_records!$O:$O,'EEFF 2026'!$B$1,wallet_records!$N:$N,'EEFF 2026'!BG$2,wallet_records!$H:$H,'EEFF 2026'!$B27)</f>
        <v>0</v>
      </c>
      <c r="BH27" s="116"/>
      <c r="BI27" s="116"/>
      <c r="BJ27" s="116"/>
      <c r="BK27" s="116"/>
      <c r="BL27" s="116"/>
      <c r="BN27" s="115">
        <f>SUMIFS(wallet_records!$D:$D,wallet_records!$B:$B,'EEFF 2026'!$C27,wallet_records!$O:$O,'EEFF 2026'!$B$1,wallet_records!$N:$N,'EEFF 2026'!BN$2,wallet_records!$H:$H,'EEFF 2026'!$B27)</f>
        <v>0</v>
      </c>
      <c r="BO27" s="116"/>
      <c r="BP27" s="116"/>
      <c r="BQ27" s="116"/>
      <c r="BR27" s="116"/>
      <c r="BS27" s="116"/>
      <c r="BU27" s="115">
        <f>SUMIFS(wallet_records!$D:$D,wallet_records!$B:$B,'EEFF 2026'!$C27,wallet_records!$O:$O,'EEFF 2026'!$B$1,wallet_records!$N:$N,'EEFF 2026'!BU$2,wallet_records!$H:$H,'EEFF 2026'!$B27)</f>
        <v>0</v>
      </c>
      <c r="BV27" s="116"/>
      <c r="BW27" s="116"/>
      <c r="BX27" s="116"/>
      <c r="BY27" s="116"/>
      <c r="BZ27" s="116"/>
      <c r="CB27" s="115">
        <f>SUMIFS(wallet_records!$D:$D,wallet_records!$B:$B,'EEFF 2026'!$C27,wallet_records!$O:$O,'EEFF 2026'!$B$1,wallet_records!$N:$N,'EEFF 2026'!CB$2,wallet_records!$H:$H,'EEFF 2026'!$B27)</f>
        <v>0</v>
      </c>
      <c r="CC27" s="116"/>
      <c r="CD27" s="116"/>
      <c r="CE27" s="116"/>
      <c r="CF27" s="116"/>
      <c r="CG27" s="116"/>
      <c r="CI27" s="115">
        <f>SUMIFS(wallet_records!$D:$D,wallet_records!$B:$B,'EEFF 2026'!$C27,wallet_records!$O:$O,'EEFF 2026'!$B$1,wallet_records!$N:$N,'EEFF 2026'!CI$2,wallet_records!$H:$H,'EEFF 2026'!$B27)</f>
        <v>0</v>
      </c>
      <c r="CJ27" s="116"/>
      <c r="CK27" s="116"/>
      <c r="CL27" s="116"/>
      <c r="CM27" s="116"/>
      <c r="CN27" s="116"/>
      <c r="CP27" s="115">
        <f>SUMIFS(wallet_records!$D:$D,wallet_records!$B:$B,'EEFF 2026'!$C27,wallet_records!$O:$O,'EEFF 2026'!$B$1,wallet_records!$H:$H,'EEFF 2026'!$B27)</f>
        <v>0</v>
      </c>
      <c r="CQ27" s="107"/>
      <c r="CR27" s="118">
        <f t="shared" si="0"/>
        <v>0</v>
      </c>
      <c r="CS27" s="118">
        <f t="shared" si="1"/>
        <v>0</v>
      </c>
      <c r="CT27" s="118" t="e">
        <f t="shared" si="2"/>
        <v>#DIV/0!</v>
      </c>
      <c r="CU27" s="118" t="e">
        <f t="shared" si="3"/>
        <v>#DIV/0!</v>
      </c>
      <c r="CV27" s="118" t="e">
        <f t="shared" si="4"/>
        <v>#DIV/0!</v>
      </c>
      <c r="CW27" s="118" t="e">
        <f t="shared" si="5"/>
        <v>#DIV/0!</v>
      </c>
      <c r="CX27" s="118" t="e">
        <f t="shared" si="6"/>
        <v>#DIV/0!</v>
      </c>
      <c r="CY27" s="118" t="e">
        <f t="shared" si="7"/>
        <v>#DIV/0!</v>
      </c>
      <c r="CZ27" s="118" t="e">
        <f t="shared" si="8"/>
        <v>#DIV/0!</v>
      </c>
      <c r="DA27" s="118" t="e">
        <f t="shared" si="9"/>
        <v>#DIV/0!</v>
      </c>
      <c r="DB27" s="118" t="e">
        <f t="shared" si="10"/>
        <v>#DIV/0!</v>
      </c>
      <c r="DC27" s="118" t="e">
        <f t="shared" si="11"/>
        <v>#DIV/0!</v>
      </c>
    </row>
    <row r="28" spans="1:107" x14ac:dyDescent="0.2">
      <c r="B28" s="297" t="s">
        <v>225</v>
      </c>
      <c r="C28" s="191" t="s">
        <v>131</v>
      </c>
      <c r="D28" s="115"/>
      <c r="E28" s="115"/>
      <c r="F28" s="115"/>
      <c r="G28" s="116"/>
      <c r="H28" s="116"/>
      <c r="I28" s="116"/>
      <c r="J28" s="116">
        <f>SUMIFS(wallet_records!$D:$D,wallet_records!$B:$B,'EEFF 2026'!$C28,wallet_records!$O:$O,'EEFF 2026'!$B$1,wallet_records!$N:$N,'EEFF 2026'!J$2,wallet_records!$H:$H,'EEFF 2026'!$B28)</f>
        <v>677400</v>
      </c>
      <c r="K28" s="115"/>
      <c r="L28" s="115"/>
      <c r="M28" s="115"/>
      <c r="N28" s="116"/>
      <c r="O28" s="116"/>
      <c r="P28" s="116"/>
      <c r="Q28" s="115">
        <f>SUMIFS(wallet_records!$D:$D,wallet_records!$B:$B,'EEFF 2026'!$C28,wallet_records!$O:$O,'EEFF 2026'!$B$1,wallet_records!$N:$N,'EEFF 2026'!Q$2,wallet_records!$H:$H,'EEFF 2026'!$B28)</f>
        <v>0</v>
      </c>
      <c r="R28" s="116"/>
      <c r="S28" s="116"/>
      <c r="T28" s="116"/>
      <c r="U28" s="116"/>
      <c r="V28" s="116"/>
      <c r="X28" s="115">
        <f>SUMIFS(wallet_records!$D:$D,wallet_records!$B:$B,'EEFF 2026'!$C28,wallet_records!$O:$O,'EEFF 2026'!$B$1,wallet_records!$N:$N,'EEFF 2026'!X$2,wallet_records!$H:$H,'EEFF 2026'!$B28)</f>
        <v>0</v>
      </c>
      <c r="Y28" s="116"/>
      <c r="Z28" s="116"/>
      <c r="AA28" s="116"/>
      <c r="AB28" s="116"/>
      <c r="AC28" s="116"/>
      <c r="AE28" s="115">
        <f>SUMIFS(wallet_records!$D:$D,wallet_records!$B:$B,'EEFF 2026'!$C28,wallet_records!$O:$O,'EEFF 2026'!$B$1,wallet_records!$N:$N,'EEFF 2026'!AE$2,wallet_records!$H:$H,'EEFF 2026'!$B28)</f>
        <v>0</v>
      </c>
      <c r="AF28" s="116"/>
      <c r="AG28" s="116"/>
      <c r="AH28" s="116"/>
      <c r="AI28" s="116"/>
      <c r="AJ28" s="116"/>
      <c r="AL28" s="115">
        <f>SUMIFS(wallet_records!$D:$D,wallet_records!$B:$B,'EEFF 2026'!$C28,wallet_records!$O:$O,'EEFF 2026'!$B$1,wallet_records!$N:$N,'EEFF 2026'!AL$2,wallet_records!$H:$H,'EEFF 2026'!$B28)</f>
        <v>0</v>
      </c>
      <c r="AM28" s="116"/>
      <c r="AN28" s="116"/>
      <c r="AO28" s="116"/>
      <c r="AP28" s="116"/>
      <c r="AQ28" s="116"/>
      <c r="AS28" s="115">
        <f>SUMIFS(wallet_records!$D:$D,wallet_records!$B:$B,'EEFF 2026'!$C28,wallet_records!$O:$O,'EEFF 2026'!$B$1,wallet_records!$N:$N,'EEFF 2026'!AS$2,wallet_records!$H:$H,'EEFF 2026'!$B28)</f>
        <v>0</v>
      </c>
      <c r="AT28" s="116"/>
      <c r="AU28" s="116"/>
      <c r="AV28" s="116"/>
      <c r="AW28" s="116"/>
      <c r="AX28" s="116"/>
      <c r="AZ28" s="115">
        <f>SUMIFS(wallet_records!$D:$D,wallet_records!$B:$B,'EEFF 2026'!$C28,wallet_records!$O:$O,'EEFF 2026'!$B$1,wallet_records!$N:$N,'EEFF 2026'!AZ$2,wallet_records!$H:$H,'EEFF 2026'!$B28)</f>
        <v>0</v>
      </c>
      <c r="BA28" s="116"/>
      <c r="BB28" s="116"/>
      <c r="BC28" s="116"/>
      <c r="BD28" s="116"/>
      <c r="BE28" s="116"/>
      <c r="BG28" s="115">
        <f>SUMIFS(wallet_records!$D:$D,wallet_records!$B:$B,'EEFF 2026'!$C28,wallet_records!$O:$O,'EEFF 2026'!$B$1,wallet_records!$N:$N,'EEFF 2026'!BG$2,wallet_records!$H:$H,'EEFF 2026'!$B28)</f>
        <v>0</v>
      </c>
      <c r="BH28" s="116"/>
      <c r="BI28" s="116"/>
      <c r="BJ28" s="116"/>
      <c r="BK28" s="116"/>
      <c r="BL28" s="116"/>
      <c r="BN28" s="115">
        <f>SUMIFS(wallet_records!$D:$D,wallet_records!$B:$B,'EEFF 2026'!$C28,wallet_records!$O:$O,'EEFF 2026'!$B$1,wallet_records!$N:$N,'EEFF 2026'!BN$2,wallet_records!$H:$H,'EEFF 2026'!$B28)</f>
        <v>0</v>
      </c>
      <c r="BO28" s="116"/>
      <c r="BP28" s="116"/>
      <c r="BQ28" s="116"/>
      <c r="BR28" s="116"/>
      <c r="BS28" s="116"/>
      <c r="BU28" s="115">
        <f>SUMIFS(wallet_records!$D:$D,wallet_records!$B:$B,'EEFF 2026'!$C28,wallet_records!$O:$O,'EEFF 2026'!$B$1,wallet_records!$N:$N,'EEFF 2026'!BU$2,wallet_records!$H:$H,'EEFF 2026'!$B28)</f>
        <v>0</v>
      </c>
      <c r="BV28" s="116"/>
      <c r="BW28" s="116"/>
      <c r="BX28" s="116"/>
      <c r="BY28" s="116"/>
      <c r="BZ28" s="116"/>
      <c r="CB28" s="115">
        <f>SUMIFS(wallet_records!$D:$D,wallet_records!$B:$B,'EEFF 2026'!$C28,wallet_records!$O:$O,'EEFF 2026'!$B$1,wallet_records!$N:$N,'EEFF 2026'!CB$2,wallet_records!$H:$H,'EEFF 2026'!$B28)</f>
        <v>0</v>
      </c>
      <c r="CC28" s="116"/>
      <c r="CD28" s="116"/>
      <c r="CE28" s="116"/>
      <c r="CF28" s="116"/>
      <c r="CG28" s="116"/>
      <c r="CI28" s="115">
        <f>SUMIFS(wallet_records!$D:$D,wallet_records!$B:$B,'EEFF 2026'!$C28,wallet_records!$O:$O,'EEFF 2026'!$B$1,wallet_records!$N:$N,'EEFF 2026'!CI$2,wallet_records!$H:$H,'EEFF 2026'!$B28)</f>
        <v>0</v>
      </c>
      <c r="CJ28" s="116"/>
      <c r="CK28" s="116"/>
      <c r="CL28" s="116"/>
      <c r="CM28" s="116"/>
      <c r="CN28" s="116"/>
      <c r="CP28" s="115">
        <f>SUMIFS(wallet_records!$D:$D,wallet_records!$B:$B,'EEFF 2026'!$C28,wallet_records!$O:$O,'EEFF 2026'!$B$1,wallet_records!$H:$H,'EEFF 2026'!$B28)</f>
        <v>677400</v>
      </c>
      <c r="CQ28" s="107"/>
      <c r="CR28" s="118">
        <f t="shared" si="0"/>
        <v>7.1360849503824028E-2</v>
      </c>
      <c r="CS28" s="118">
        <f t="shared" si="1"/>
        <v>0</v>
      </c>
      <c r="CT28" s="118" t="e">
        <f t="shared" si="2"/>
        <v>#DIV/0!</v>
      </c>
      <c r="CU28" s="118" t="e">
        <f t="shared" si="3"/>
        <v>#DIV/0!</v>
      </c>
      <c r="CV28" s="118" t="e">
        <f t="shared" si="4"/>
        <v>#DIV/0!</v>
      </c>
      <c r="CW28" s="118" t="e">
        <f t="shared" si="5"/>
        <v>#DIV/0!</v>
      </c>
      <c r="CX28" s="118" t="e">
        <f t="shared" si="6"/>
        <v>#DIV/0!</v>
      </c>
      <c r="CY28" s="118" t="e">
        <f t="shared" si="7"/>
        <v>#DIV/0!</v>
      </c>
      <c r="CZ28" s="118" t="e">
        <f t="shared" si="8"/>
        <v>#DIV/0!</v>
      </c>
      <c r="DA28" s="118" t="e">
        <f t="shared" si="9"/>
        <v>#DIV/0!</v>
      </c>
      <c r="DB28" s="118" t="e">
        <f t="shared" si="10"/>
        <v>#DIV/0!</v>
      </c>
      <c r="DC28" s="118" t="e">
        <f t="shared" si="11"/>
        <v>#DIV/0!</v>
      </c>
    </row>
    <row r="29" spans="1:107" x14ac:dyDescent="0.2">
      <c r="B29" s="297" t="s">
        <v>92</v>
      </c>
      <c r="C29" s="191" t="s">
        <v>114</v>
      </c>
      <c r="D29" s="115"/>
      <c r="E29" s="115"/>
      <c r="F29" s="115"/>
      <c r="G29" s="116"/>
      <c r="H29" s="116"/>
      <c r="I29" s="116"/>
      <c r="J29" s="116">
        <f>SUMIFS(wallet_records!$D:$D,wallet_records!$B:$B,'EEFF 2026'!$C29,wallet_records!$O:$O,'EEFF 2026'!$B$1,wallet_records!$N:$N,'EEFF 2026'!J$2,wallet_records!$H:$H,'EEFF 2026'!$B29)</f>
        <v>364600</v>
      </c>
      <c r="K29" s="115"/>
      <c r="L29" s="115"/>
      <c r="M29" s="115"/>
      <c r="N29" s="116"/>
      <c r="O29" s="116"/>
      <c r="P29" s="116"/>
      <c r="Q29" s="115">
        <f>SUMIFS(wallet_records!$D:$D,wallet_records!$B:$B,'EEFF 2026'!$C29,wallet_records!$O:$O,'EEFF 2026'!$B$1,wallet_records!$N:$N,'EEFF 2026'!Q$2,wallet_records!$H:$H,'EEFF 2026'!$B29)</f>
        <v>0</v>
      </c>
      <c r="R29" s="116"/>
      <c r="S29" s="116"/>
      <c r="T29" s="116"/>
      <c r="U29" s="116"/>
      <c r="V29" s="116"/>
      <c r="X29" s="115">
        <f>SUMIFS(wallet_records!$D:$D,wallet_records!$B:$B,'EEFF 2026'!$C29,wallet_records!$O:$O,'EEFF 2026'!$B$1,wallet_records!$N:$N,'EEFF 2026'!X$2,wallet_records!$H:$H,'EEFF 2026'!$B29)</f>
        <v>0</v>
      </c>
      <c r="Y29" s="116"/>
      <c r="Z29" s="116"/>
      <c r="AA29" s="116"/>
      <c r="AB29" s="116"/>
      <c r="AC29" s="116"/>
      <c r="AE29" s="115">
        <f>SUMIFS(wallet_records!$D:$D,wallet_records!$B:$B,'EEFF 2026'!$C29,wallet_records!$O:$O,'EEFF 2026'!$B$1,wallet_records!$N:$N,'EEFF 2026'!AE$2,wallet_records!$H:$H,'EEFF 2026'!$B29)</f>
        <v>0</v>
      </c>
      <c r="AF29" s="116"/>
      <c r="AG29" s="116"/>
      <c r="AH29" s="116"/>
      <c r="AI29" s="116"/>
      <c r="AJ29" s="116"/>
      <c r="AL29" s="115">
        <f>SUMIFS(wallet_records!$D:$D,wallet_records!$B:$B,'EEFF 2026'!$C29,wallet_records!$O:$O,'EEFF 2026'!$B$1,wallet_records!$N:$N,'EEFF 2026'!AL$2,wallet_records!$H:$H,'EEFF 2026'!$B29)</f>
        <v>0</v>
      </c>
      <c r="AM29" s="116"/>
      <c r="AN29" s="116"/>
      <c r="AO29" s="116"/>
      <c r="AP29" s="116"/>
      <c r="AQ29" s="116"/>
      <c r="AS29" s="115">
        <f>SUMIFS(wallet_records!$D:$D,wallet_records!$B:$B,'EEFF 2026'!$C29,wallet_records!$O:$O,'EEFF 2026'!$B$1,wallet_records!$N:$N,'EEFF 2026'!AS$2,wallet_records!$H:$H,'EEFF 2026'!$B29)</f>
        <v>0</v>
      </c>
      <c r="AT29" s="116"/>
      <c r="AU29" s="116"/>
      <c r="AV29" s="116"/>
      <c r="AW29" s="116"/>
      <c r="AX29" s="116"/>
      <c r="AZ29" s="115">
        <f>SUMIFS(wallet_records!$D:$D,wallet_records!$B:$B,'EEFF 2026'!$C29,wallet_records!$O:$O,'EEFF 2026'!$B$1,wallet_records!$N:$N,'EEFF 2026'!AZ$2,wallet_records!$H:$H,'EEFF 2026'!$B29)</f>
        <v>0</v>
      </c>
      <c r="BA29" s="116"/>
      <c r="BB29" s="116"/>
      <c r="BC29" s="116"/>
      <c r="BD29" s="116"/>
      <c r="BE29" s="116"/>
      <c r="BG29" s="115">
        <f>SUMIFS(wallet_records!$D:$D,wallet_records!$B:$B,'EEFF 2026'!$C29,wallet_records!$O:$O,'EEFF 2026'!$B$1,wallet_records!$N:$N,'EEFF 2026'!BG$2,wallet_records!$H:$H,'EEFF 2026'!$B29)</f>
        <v>0</v>
      </c>
      <c r="BH29" s="116"/>
      <c r="BI29" s="116"/>
      <c r="BJ29" s="116"/>
      <c r="BK29" s="116"/>
      <c r="BL29" s="116"/>
      <c r="BN29" s="115">
        <f>SUMIFS(wallet_records!$D:$D,wallet_records!$B:$B,'EEFF 2026'!$C29,wallet_records!$O:$O,'EEFF 2026'!$B$1,wallet_records!$N:$N,'EEFF 2026'!BN$2,wallet_records!$H:$H,'EEFF 2026'!$B29)</f>
        <v>0</v>
      </c>
      <c r="BO29" s="116"/>
      <c r="BP29" s="116"/>
      <c r="BQ29" s="116"/>
      <c r="BR29" s="116"/>
      <c r="BS29" s="116"/>
      <c r="BU29" s="115">
        <f>SUMIFS(wallet_records!$D:$D,wallet_records!$B:$B,'EEFF 2026'!$C29,wallet_records!$O:$O,'EEFF 2026'!$B$1,wallet_records!$N:$N,'EEFF 2026'!BU$2,wallet_records!$H:$H,'EEFF 2026'!$B29)</f>
        <v>0</v>
      </c>
      <c r="BV29" s="116"/>
      <c r="BW29" s="116"/>
      <c r="BX29" s="116"/>
      <c r="BY29" s="116"/>
      <c r="BZ29" s="116"/>
      <c r="CB29" s="115">
        <f>SUMIFS(wallet_records!$D:$D,wallet_records!$B:$B,'EEFF 2026'!$C29,wallet_records!$O:$O,'EEFF 2026'!$B$1,wallet_records!$N:$N,'EEFF 2026'!CB$2,wallet_records!$H:$H,'EEFF 2026'!$B29)</f>
        <v>0</v>
      </c>
      <c r="CC29" s="116"/>
      <c r="CD29" s="116"/>
      <c r="CE29" s="116"/>
      <c r="CF29" s="116"/>
      <c r="CG29" s="116"/>
      <c r="CI29" s="115">
        <f>SUMIFS(wallet_records!$D:$D,wallet_records!$B:$B,'EEFF 2026'!$C29,wallet_records!$O:$O,'EEFF 2026'!$B$1,wallet_records!$N:$N,'EEFF 2026'!CI$2,wallet_records!$H:$H,'EEFF 2026'!$B29)</f>
        <v>0</v>
      </c>
      <c r="CJ29" s="116"/>
      <c r="CK29" s="116"/>
      <c r="CL29" s="116"/>
      <c r="CM29" s="116"/>
      <c r="CN29" s="116"/>
      <c r="CP29" s="115">
        <f>SUMIFS(wallet_records!$D:$D,wallet_records!$B:$B,'EEFF 2026'!$C29,wallet_records!$O:$O,'EEFF 2026'!$B$1,wallet_records!$H:$H,'EEFF 2026'!$B29)</f>
        <v>364600</v>
      </c>
      <c r="CQ29" s="107"/>
      <c r="CR29" s="118">
        <f t="shared" si="0"/>
        <v>3.84088658534016E-2</v>
      </c>
      <c r="CS29" s="118">
        <f t="shared" si="1"/>
        <v>0</v>
      </c>
      <c r="CT29" s="118" t="e">
        <f t="shared" si="2"/>
        <v>#DIV/0!</v>
      </c>
      <c r="CU29" s="118" t="e">
        <f t="shared" si="3"/>
        <v>#DIV/0!</v>
      </c>
      <c r="CV29" s="118" t="e">
        <f t="shared" si="4"/>
        <v>#DIV/0!</v>
      </c>
      <c r="CW29" s="118" t="e">
        <f t="shared" si="5"/>
        <v>#DIV/0!</v>
      </c>
      <c r="CX29" s="118" t="e">
        <f t="shared" si="6"/>
        <v>#DIV/0!</v>
      </c>
      <c r="CY29" s="118" t="e">
        <f t="shared" si="7"/>
        <v>#DIV/0!</v>
      </c>
      <c r="CZ29" s="118" t="e">
        <f t="shared" si="8"/>
        <v>#DIV/0!</v>
      </c>
      <c r="DA29" s="118" t="e">
        <f t="shared" si="9"/>
        <v>#DIV/0!</v>
      </c>
      <c r="DB29" s="118" t="e">
        <f t="shared" si="10"/>
        <v>#DIV/0!</v>
      </c>
      <c r="DC29" s="118" t="e">
        <f t="shared" si="11"/>
        <v>#DIV/0!</v>
      </c>
    </row>
    <row r="30" spans="1:107" x14ac:dyDescent="0.2">
      <c r="B30" s="297" t="s">
        <v>97</v>
      </c>
      <c r="C30" s="191" t="s">
        <v>154</v>
      </c>
      <c r="D30" s="115"/>
      <c r="E30" s="115"/>
      <c r="F30" s="115"/>
      <c r="G30" s="116"/>
      <c r="H30" s="116"/>
      <c r="I30" s="116"/>
      <c r="J30" s="116">
        <f>SUMIFS(wallet_records!$D:$D,wallet_records!$B:$B,'EEFF 2026'!$C30,wallet_records!$O:$O,'EEFF 2026'!$B$1,wallet_records!$N:$N,'EEFF 2026'!J$2,wallet_records!$H:$H,'EEFF 2026'!$B30)</f>
        <v>42900</v>
      </c>
      <c r="K30" s="115"/>
      <c r="L30" s="115"/>
      <c r="M30" s="115"/>
      <c r="N30" s="116"/>
      <c r="O30" s="116"/>
      <c r="P30" s="116"/>
      <c r="Q30" s="115">
        <f>SUMIFS(wallet_records!$D:$D,wallet_records!$B:$B,'EEFF 2026'!$C30,wallet_records!$O:$O,'EEFF 2026'!$B$1,wallet_records!$N:$N,'EEFF 2026'!Q$2,wallet_records!$H:$H,'EEFF 2026'!$B30)</f>
        <v>0</v>
      </c>
      <c r="R30" s="116"/>
      <c r="S30" s="116"/>
      <c r="T30" s="116"/>
      <c r="U30" s="116"/>
      <c r="V30" s="116"/>
      <c r="X30" s="115">
        <f>SUMIFS(wallet_records!$D:$D,wallet_records!$B:$B,'EEFF 2026'!$C30,wallet_records!$O:$O,'EEFF 2026'!$B$1,wallet_records!$N:$N,'EEFF 2026'!X$2,wallet_records!$H:$H,'EEFF 2026'!$B30)</f>
        <v>0</v>
      </c>
      <c r="Y30" s="116"/>
      <c r="Z30" s="116"/>
      <c r="AA30" s="116"/>
      <c r="AB30" s="116"/>
      <c r="AC30" s="116"/>
      <c r="AE30" s="115">
        <f>SUMIFS(wallet_records!$D:$D,wallet_records!$B:$B,'EEFF 2026'!$C30,wallet_records!$O:$O,'EEFF 2026'!$B$1,wallet_records!$N:$N,'EEFF 2026'!AE$2,wallet_records!$H:$H,'EEFF 2026'!$B30)</f>
        <v>0</v>
      </c>
      <c r="AF30" s="116"/>
      <c r="AG30" s="116"/>
      <c r="AH30" s="116"/>
      <c r="AI30" s="116"/>
      <c r="AJ30" s="116"/>
      <c r="AL30" s="115">
        <f>SUMIFS(wallet_records!$D:$D,wallet_records!$B:$B,'EEFF 2026'!$C30,wallet_records!$O:$O,'EEFF 2026'!$B$1,wallet_records!$N:$N,'EEFF 2026'!AL$2,wallet_records!$H:$H,'EEFF 2026'!$B30)</f>
        <v>0</v>
      </c>
      <c r="AM30" s="116"/>
      <c r="AN30" s="116"/>
      <c r="AO30" s="116"/>
      <c r="AP30" s="116"/>
      <c r="AQ30" s="116"/>
      <c r="AS30" s="115">
        <f>SUMIFS(wallet_records!$D:$D,wallet_records!$B:$B,'EEFF 2026'!$C30,wallet_records!$O:$O,'EEFF 2026'!$B$1,wallet_records!$N:$N,'EEFF 2026'!AS$2,wallet_records!$H:$H,'EEFF 2026'!$B30)</f>
        <v>0</v>
      </c>
      <c r="AT30" s="116"/>
      <c r="AU30" s="116"/>
      <c r="AV30" s="116"/>
      <c r="AW30" s="116"/>
      <c r="AX30" s="116"/>
      <c r="AZ30" s="115">
        <f>SUMIFS(wallet_records!$D:$D,wallet_records!$B:$B,'EEFF 2026'!$C30,wallet_records!$O:$O,'EEFF 2026'!$B$1,wallet_records!$N:$N,'EEFF 2026'!AZ$2,wallet_records!$H:$H,'EEFF 2026'!$B30)</f>
        <v>0</v>
      </c>
      <c r="BA30" s="116"/>
      <c r="BB30" s="116"/>
      <c r="BC30" s="116"/>
      <c r="BD30" s="116"/>
      <c r="BE30" s="116"/>
      <c r="BG30" s="115">
        <f>SUMIFS(wallet_records!$D:$D,wallet_records!$B:$B,'EEFF 2026'!$C30,wallet_records!$O:$O,'EEFF 2026'!$B$1,wallet_records!$N:$N,'EEFF 2026'!BG$2,wallet_records!$H:$H,'EEFF 2026'!$B30)</f>
        <v>0</v>
      </c>
      <c r="BH30" s="116"/>
      <c r="BI30" s="116"/>
      <c r="BJ30" s="116"/>
      <c r="BK30" s="116"/>
      <c r="BL30" s="116"/>
      <c r="BN30" s="115">
        <f>SUMIFS(wallet_records!$D:$D,wallet_records!$B:$B,'EEFF 2026'!$C30,wallet_records!$O:$O,'EEFF 2026'!$B$1,wallet_records!$N:$N,'EEFF 2026'!BN$2,wallet_records!$H:$H,'EEFF 2026'!$B30)</f>
        <v>0</v>
      </c>
      <c r="BO30" s="116"/>
      <c r="BP30" s="116"/>
      <c r="BQ30" s="116"/>
      <c r="BR30" s="116"/>
      <c r="BS30" s="116"/>
      <c r="BU30" s="115">
        <f>SUMIFS(wallet_records!$D:$D,wallet_records!$B:$B,'EEFF 2026'!$C30,wallet_records!$O:$O,'EEFF 2026'!$B$1,wallet_records!$N:$N,'EEFF 2026'!BU$2,wallet_records!$H:$H,'EEFF 2026'!$B30)</f>
        <v>0</v>
      </c>
      <c r="BV30" s="116"/>
      <c r="BW30" s="116"/>
      <c r="BX30" s="116"/>
      <c r="BY30" s="116"/>
      <c r="BZ30" s="116"/>
      <c r="CB30" s="115">
        <f>SUMIFS(wallet_records!$D:$D,wallet_records!$B:$B,'EEFF 2026'!$C30,wallet_records!$O:$O,'EEFF 2026'!$B$1,wallet_records!$N:$N,'EEFF 2026'!CB$2,wallet_records!$H:$H,'EEFF 2026'!$B30)</f>
        <v>0</v>
      </c>
      <c r="CC30" s="116"/>
      <c r="CD30" s="116"/>
      <c r="CE30" s="116"/>
      <c r="CF30" s="116"/>
      <c r="CG30" s="116"/>
      <c r="CI30" s="115">
        <f>SUMIFS(wallet_records!$D:$D,wallet_records!$B:$B,'EEFF 2026'!$C30,wallet_records!$O:$O,'EEFF 2026'!$B$1,wallet_records!$N:$N,'EEFF 2026'!CI$2,wallet_records!$H:$H,'EEFF 2026'!$B30)</f>
        <v>0</v>
      </c>
      <c r="CJ30" s="116"/>
      <c r="CK30" s="116"/>
      <c r="CL30" s="116"/>
      <c r="CM30" s="116"/>
      <c r="CN30" s="116"/>
      <c r="CP30" s="115">
        <f>SUMIFS(wallet_records!$D:$D,wallet_records!$B:$B,'EEFF 2026'!$C30,wallet_records!$O:$O,'EEFF 2026'!$B$1,wallet_records!$H:$H,'EEFF 2026'!$B30)</f>
        <v>42900</v>
      </c>
      <c r="CQ30" s="107"/>
      <c r="CR30" s="118">
        <f t="shared" si="0"/>
        <v>4.5193097781429745E-3</v>
      </c>
      <c r="CS30" s="118">
        <f t="shared" si="1"/>
        <v>0</v>
      </c>
      <c r="CT30" s="118" t="e">
        <f t="shared" si="2"/>
        <v>#DIV/0!</v>
      </c>
      <c r="CU30" s="118" t="e">
        <f t="shared" si="3"/>
        <v>#DIV/0!</v>
      </c>
      <c r="CV30" s="118" t="e">
        <f t="shared" si="4"/>
        <v>#DIV/0!</v>
      </c>
      <c r="CW30" s="118" t="e">
        <f t="shared" si="5"/>
        <v>#DIV/0!</v>
      </c>
      <c r="CX30" s="118" t="e">
        <f t="shared" si="6"/>
        <v>#DIV/0!</v>
      </c>
      <c r="CY30" s="118" t="e">
        <f t="shared" si="7"/>
        <v>#DIV/0!</v>
      </c>
      <c r="CZ30" s="118" t="e">
        <f t="shared" si="8"/>
        <v>#DIV/0!</v>
      </c>
      <c r="DA30" s="118" t="e">
        <f t="shared" si="9"/>
        <v>#DIV/0!</v>
      </c>
      <c r="DB30" s="118" t="e">
        <f t="shared" si="10"/>
        <v>#DIV/0!</v>
      </c>
      <c r="DC30" s="118" t="e">
        <f t="shared" si="11"/>
        <v>#DIV/0!</v>
      </c>
    </row>
    <row r="31" spans="1:107" x14ac:dyDescent="0.2">
      <c r="B31" s="297" t="s">
        <v>98</v>
      </c>
      <c r="C31" s="191" t="s">
        <v>154</v>
      </c>
      <c r="D31" s="115"/>
      <c r="E31" s="115"/>
      <c r="F31" s="115"/>
      <c r="G31" s="116"/>
      <c r="H31" s="116"/>
      <c r="I31" s="116"/>
      <c r="J31" s="116">
        <f>SUMIFS(wallet_records!$D:$D,wallet_records!$B:$B,'EEFF 2026'!$C31,wallet_records!$O:$O,'EEFF 2026'!$B$1,wallet_records!$N:$N,'EEFF 2026'!J$2,wallet_records!$H:$H,'EEFF 2026'!$B31)</f>
        <v>0</v>
      </c>
      <c r="K31" s="115"/>
      <c r="L31" s="115"/>
      <c r="M31" s="115"/>
      <c r="N31" s="116"/>
      <c r="O31" s="116"/>
      <c r="P31" s="116"/>
      <c r="Q31" s="115">
        <f>SUMIFS(wallet_records!$D:$D,wallet_records!$B:$B,'EEFF 2026'!$C31,wallet_records!$O:$O,'EEFF 2026'!$B$1,wallet_records!$N:$N,'EEFF 2026'!Q$2,wallet_records!$H:$H,'EEFF 2026'!$B31)</f>
        <v>227100</v>
      </c>
      <c r="R31" s="116"/>
      <c r="S31" s="116"/>
      <c r="T31" s="116"/>
      <c r="U31" s="116"/>
      <c r="V31" s="116"/>
      <c r="X31" s="115">
        <f>SUMIFS(wallet_records!$D:$D,wallet_records!$B:$B,'EEFF 2026'!$C31,wallet_records!$O:$O,'EEFF 2026'!$B$1,wallet_records!$N:$N,'EEFF 2026'!X$2,wallet_records!$H:$H,'EEFF 2026'!$B31)</f>
        <v>0</v>
      </c>
      <c r="Y31" s="116"/>
      <c r="Z31" s="116"/>
      <c r="AA31" s="116"/>
      <c r="AB31" s="116"/>
      <c r="AC31" s="116"/>
      <c r="AE31" s="115">
        <f>SUMIFS(wallet_records!$D:$D,wallet_records!$B:$B,'EEFF 2026'!$C31,wallet_records!$O:$O,'EEFF 2026'!$B$1,wallet_records!$N:$N,'EEFF 2026'!AE$2,wallet_records!$H:$H,'EEFF 2026'!$B31)</f>
        <v>0</v>
      </c>
      <c r="AF31" s="116"/>
      <c r="AG31" s="116"/>
      <c r="AH31" s="116"/>
      <c r="AI31" s="116"/>
      <c r="AJ31" s="116"/>
      <c r="AL31" s="115">
        <f>SUMIFS(wallet_records!$D:$D,wallet_records!$B:$B,'EEFF 2026'!$C31,wallet_records!$O:$O,'EEFF 2026'!$B$1,wallet_records!$N:$N,'EEFF 2026'!AL$2,wallet_records!$H:$H,'EEFF 2026'!$B31)</f>
        <v>0</v>
      </c>
      <c r="AM31" s="116"/>
      <c r="AN31" s="116"/>
      <c r="AO31" s="116"/>
      <c r="AP31" s="116"/>
      <c r="AQ31" s="116"/>
      <c r="AS31" s="115">
        <f>SUMIFS(wallet_records!$D:$D,wallet_records!$B:$B,'EEFF 2026'!$C31,wallet_records!$O:$O,'EEFF 2026'!$B$1,wallet_records!$N:$N,'EEFF 2026'!AS$2,wallet_records!$H:$H,'EEFF 2026'!$B31)</f>
        <v>0</v>
      </c>
      <c r="AT31" s="116"/>
      <c r="AU31" s="116"/>
      <c r="AV31" s="116"/>
      <c r="AW31" s="116"/>
      <c r="AX31" s="116"/>
      <c r="AZ31" s="115">
        <f>SUMIFS(wallet_records!$D:$D,wallet_records!$B:$B,'EEFF 2026'!$C31,wallet_records!$O:$O,'EEFF 2026'!$B$1,wallet_records!$N:$N,'EEFF 2026'!AZ$2,wallet_records!$H:$H,'EEFF 2026'!$B31)</f>
        <v>0</v>
      </c>
      <c r="BA31" s="116"/>
      <c r="BB31" s="116"/>
      <c r="BC31" s="116"/>
      <c r="BD31" s="116"/>
      <c r="BE31" s="116"/>
      <c r="BG31" s="115">
        <f>SUMIFS(wallet_records!$D:$D,wallet_records!$B:$B,'EEFF 2026'!$C31,wallet_records!$O:$O,'EEFF 2026'!$B$1,wallet_records!$N:$N,'EEFF 2026'!BG$2,wallet_records!$H:$H,'EEFF 2026'!$B31)</f>
        <v>0</v>
      </c>
      <c r="BH31" s="116"/>
      <c r="BI31" s="116"/>
      <c r="BJ31" s="116"/>
      <c r="BK31" s="116"/>
      <c r="BL31" s="116"/>
      <c r="BN31" s="115">
        <f>SUMIFS(wallet_records!$D:$D,wallet_records!$B:$B,'EEFF 2026'!$C31,wallet_records!$O:$O,'EEFF 2026'!$B$1,wallet_records!$N:$N,'EEFF 2026'!BN$2,wallet_records!$H:$H,'EEFF 2026'!$B31)</f>
        <v>0</v>
      </c>
      <c r="BO31" s="116"/>
      <c r="BP31" s="116"/>
      <c r="BQ31" s="116"/>
      <c r="BR31" s="116"/>
      <c r="BS31" s="116"/>
      <c r="BU31" s="115">
        <f>SUMIFS(wallet_records!$D:$D,wallet_records!$B:$B,'EEFF 2026'!$C31,wallet_records!$O:$O,'EEFF 2026'!$B$1,wallet_records!$N:$N,'EEFF 2026'!BU$2,wallet_records!$H:$H,'EEFF 2026'!$B31)</f>
        <v>0</v>
      </c>
      <c r="BV31" s="116"/>
      <c r="BW31" s="116"/>
      <c r="BX31" s="116"/>
      <c r="BY31" s="116"/>
      <c r="BZ31" s="116"/>
      <c r="CB31" s="115">
        <f>SUMIFS(wallet_records!$D:$D,wallet_records!$B:$B,'EEFF 2026'!$C31,wallet_records!$O:$O,'EEFF 2026'!$B$1,wallet_records!$N:$N,'EEFF 2026'!CB$2,wallet_records!$H:$H,'EEFF 2026'!$B31)</f>
        <v>0</v>
      </c>
      <c r="CC31" s="116"/>
      <c r="CD31" s="116"/>
      <c r="CE31" s="116"/>
      <c r="CF31" s="116"/>
      <c r="CG31" s="116"/>
      <c r="CI31" s="115">
        <f>SUMIFS(wallet_records!$D:$D,wallet_records!$B:$B,'EEFF 2026'!$C31,wallet_records!$O:$O,'EEFF 2026'!$B$1,wallet_records!$N:$N,'EEFF 2026'!CI$2,wallet_records!$H:$H,'EEFF 2026'!$B31)</f>
        <v>0</v>
      </c>
      <c r="CJ31" s="116"/>
      <c r="CK31" s="116"/>
      <c r="CL31" s="116"/>
      <c r="CM31" s="116"/>
      <c r="CN31" s="116"/>
      <c r="CP31" s="115">
        <f>SUMIFS(wallet_records!$D:$D,wallet_records!$B:$B,'EEFF 2026'!$C31,wallet_records!$O:$O,'EEFF 2026'!$B$1,wallet_records!$H:$H,'EEFF 2026'!$B31)</f>
        <v>227100</v>
      </c>
      <c r="CQ31" s="107"/>
      <c r="CR31" s="118">
        <f t="shared" si="0"/>
        <v>0</v>
      </c>
      <c r="CS31" s="118">
        <f t="shared" si="1"/>
        <v>3.52826026162881E-2</v>
      </c>
      <c r="CT31" s="118" t="e">
        <f t="shared" si="2"/>
        <v>#DIV/0!</v>
      </c>
      <c r="CU31" s="118" t="e">
        <f t="shared" si="3"/>
        <v>#DIV/0!</v>
      </c>
      <c r="CV31" s="118" t="e">
        <f t="shared" si="4"/>
        <v>#DIV/0!</v>
      </c>
      <c r="CW31" s="118" t="e">
        <f t="shared" si="5"/>
        <v>#DIV/0!</v>
      </c>
      <c r="CX31" s="118" t="e">
        <f t="shared" si="6"/>
        <v>#DIV/0!</v>
      </c>
      <c r="CY31" s="118" t="e">
        <f t="shared" si="7"/>
        <v>#DIV/0!</v>
      </c>
      <c r="CZ31" s="118" t="e">
        <f t="shared" si="8"/>
        <v>#DIV/0!</v>
      </c>
      <c r="DA31" s="118" t="e">
        <f t="shared" si="9"/>
        <v>#DIV/0!</v>
      </c>
      <c r="DB31" s="118" t="e">
        <f t="shared" si="10"/>
        <v>#DIV/0!</v>
      </c>
      <c r="DC31" s="118" t="e">
        <f t="shared" si="11"/>
        <v>#DIV/0!</v>
      </c>
    </row>
    <row r="32" spans="1:107" x14ac:dyDescent="0.2">
      <c r="B32" s="296" t="s">
        <v>287</v>
      </c>
      <c r="C32" s="191" t="s">
        <v>114</v>
      </c>
      <c r="D32" s="115"/>
      <c r="E32" s="115"/>
      <c r="F32" s="115"/>
      <c r="G32" s="116"/>
      <c r="H32" s="116"/>
      <c r="I32" s="116"/>
      <c r="J32" s="116">
        <f>SUMIFS(wallet_records!$D:$D,wallet_records!$B:$B,'EEFF 2026'!$C32,wallet_records!$O:$O,'EEFF 2026'!$B$1,wallet_records!$N:$N,'EEFF 2026'!J$2,wallet_records!$H:$H,'EEFF 2026'!$B32)</f>
        <v>0</v>
      </c>
      <c r="K32" s="115"/>
      <c r="L32" s="115"/>
      <c r="M32" s="115"/>
      <c r="N32" s="116"/>
      <c r="O32" s="116"/>
      <c r="P32" s="116"/>
      <c r="Q32" s="115">
        <f>SUMIFS(wallet_records!$D:$D,wallet_records!$B:$B,'EEFF 2026'!$C32,wallet_records!$O:$O,'EEFF 2026'!$B$1,wallet_records!$N:$N,'EEFF 2026'!Q$2,wallet_records!$H:$H,'EEFF 2026'!$B32)</f>
        <v>0</v>
      </c>
      <c r="R32" s="116"/>
      <c r="S32" s="116"/>
      <c r="T32" s="116"/>
      <c r="U32" s="116"/>
      <c r="V32" s="116"/>
      <c r="X32" s="115">
        <f>SUMIFS(wallet_records!$D:$D,wallet_records!$B:$B,'EEFF 2026'!$C32,wallet_records!$O:$O,'EEFF 2026'!$B$1,wallet_records!$N:$N,'EEFF 2026'!X$2,wallet_records!$H:$H,'EEFF 2026'!$B32)</f>
        <v>0</v>
      </c>
      <c r="Y32" s="116"/>
      <c r="Z32" s="116"/>
      <c r="AA32" s="116"/>
      <c r="AB32" s="116"/>
      <c r="AC32" s="116"/>
      <c r="AE32" s="115">
        <f>SUMIFS(wallet_records!$D:$D,wallet_records!$B:$B,'EEFF 2026'!$C32,wallet_records!$O:$O,'EEFF 2026'!$B$1,wallet_records!$N:$N,'EEFF 2026'!AE$2,wallet_records!$H:$H,'EEFF 2026'!$B32)</f>
        <v>0</v>
      </c>
      <c r="AF32" s="116"/>
      <c r="AG32" s="116"/>
      <c r="AH32" s="116"/>
      <c r="AI32" s="116"/>
      <c r="AJ32" s="116"/>
      <c r="AL32" s="115">
        <f>SUMIFS(wallet_records!$D:$D,wallet_records!$B:$B,'EEFF 2026'!$C32,wallet_records!$O:$O,'EEFF 2026'!$B$1,wallet_records!$N:$N,'EEFF 2026'!AL$2,wallet_records!$H:$H,'EEFF 2026'!$B32)</f>
        <v>0</v>
      </c>
      <c r="AM32" s="116"/>
      <c r="AN32" s="116"/>
      <c r="AO32" s="116"/>
      <c r="AP32" s="116"/>
      <c r="AQ32" s="116"/>
      <c r="AS32" s="115">
        <f>SUMIFS(wallet_records!$D:$D,wallet_records!$B:$B,'EEFF 2026'!$C32,wallet_records!$O:$O,'EEFF 2026'!$B$1,wallet_records!$N:$N,'EEFF 2026'!AS$2,wallet_records!$H:$H,'EEFF 2026'!$B32)</f>
        <v>0</v>
      </c>
      <c r="AT32" s="116"/>
      <c r="AU32" s="116"/>
      <c r="AV32" s="116"/>
      <c r="AW32" s="116"/>
      <c r="AX32" s="116"/>
      <c r="AZ32" s="115">
        <f>SUMIFS(wallet_records!$D:$D,wallet_records!$B:$B,'EEFF 2026'!$C32,wallet_records!$O:$O,'EEFF 2026'!$B$1,wallet_records!$N:$N,'EEFF 2026'!AZ$2,wallet_records!$H:$H,'EEFF 2026'!$B32)</f>
        <v>0</v>
      </c>
      <c r="BA32" s="116"/>
      <c r="BB32" s="116"/>
      <c r="BC32" s="116"/>
      <c r="BD32" s="116"/>
      <c r="BE32" s="116"/>
      <c r="BG32" s="115">
        <f>SUMIFS(wallet_records!$D:$D,wallet_records!$B:$B,'EEFF 2026'!$C32,wallet_records!$O:$O,'EEFF 2026'!$B$1,wallet_records!$N:$N,'EEFF 2026'!BG$2,wallet_records!$H:$H,'EEFF 2026'!$B32)</f>
        <v>0</v>
      </c>
      <c r="BH32" s="116"/>
      <c r="BI32" s="116"/>
      <c r="BJ32" s="116"/>
      <c r="BK32" s="116"/>
      <c r="BL32" s="116"/>
      <c r="BN32" s="115">
        <f>SUMIFS(wallet_records!$D:$D,wallet_records!$B:$B,'EEFF 2026'!$C32,wallet_records!$O:$O,'EEFF 2026'!$B$1,wallet_records!$N:$N,'EEFF 2026'!BN$2,wallet_records!$H:$H,'EEFF 2026'!$B32)</f>
        <v>0</v>
      </c>
      <c r="BO32" s="116"/>
      <c r="BP32" s="116"/>
      <c r="BQ32" s="116"/>
      <c r="BR32" s="116"/>
      <c r="BS32" s="116"/>
      <c r="BU32" s="115">
        <f>SUMIFS(wallet_records!$D:$D,wallet_records!$B:$B,'EEFF 2026'!$C32,wallet_records!$O:$O,'EEFF 2026'!$B$1,wallet_records!$N:$N,'EEFF 2026'!BU$2,wallet_records!$H:$H,'EEFF 2026'!$B32)</f>
        <v>0</v>
      </c>
      <c r="BV32" s="116"/>
      <c r="BW32" s="116"/>
      <c r="BX32" s="116"/>
      <c r="BY32" s="116"/>
      <c r="BZ32" s="116"/>
      <c r="CB32" s="115">
        <f>SUMIFS(wallet_records!$D:$D,wallet_records!$B:$B,'EEFF 2026'!$C32,wallet_records!$O:$O,'EEFF 2026'!$B$1,wallet_records!$N:$N,'EEFF 2026'!CB$2,wallet_records!$H:$H,'EEFF 2026'!$B32)</f>
        <v>0</v>
      </c>
      <c r="CC32" s="116"/>
      <c r="CD32" s="116"/>
      <c r="CE32" s="116"/>
      <c r="CF32" s="116"/>
      <c r="CG32" s="116"/>
      <c r="CI32" s="115">
        <f>SUMIFS(wallet_records!$D:$D,wallet_records!$B:$B,'EEFF 2026'!$C32,wallet_records!$O:$O,'EEFF 2026'!$B$1,wallet_records!$N:$N,'EEFF 2026'!CI$2,wallet_records!$H:$H,'EEFF 2026'!$B32)</f>
        <v>0</v>
      </c>
      <c r="CJ32" s="116"/>
      <c r="CK32" s="116"/>
      <c r="CL32" s="116"/>
      <c r="CM32" s="116"/>
      <c r="CN32" s="116"/>
      <c r="CP32" s="115">
        <f>SUMIFS(wallet_records!$D:$D,wallet_records!$B:$B,'EEFF 2026'!$C32,wallet_records!$O:$O,'EEFF 2026'!$B$1,wallet_records!$H:$H,'EEFF 2026'!$B32)</f>
        <v>0</v>
      </c>
      <c r="CQ32" s="107"/>
      <c r="CR32" s="118">
        <f t="shared" si="0"/>
        <v>0</v>
      </c>
      <c r="CS32" s="118">
        <f t="shared" si="1"/>
        <v>0</v>
      </c>
      <c r="CT32" s="118" t="e">
        <f t="shared" si="2"/>
        <v>#DIV/0!</v>
      </c>
      <c r="CU32" s="118" t="e">
        <f t="shared" si="3"/>
        <v>#DIV/0!</v>
      </c>
      <c r="CV32" s="118" t="e">
        <f t="shared" si="4"/>
        <v>#DIV/0!</v>
      </c>
      <c r="CW32" s="118" t="e">
        <f t="shared" si="5"/>
        <v>#DIV/0!</v>
      </c>
      <c r="CX32" s="118" t="e">
        <f t="shared" si="6"/>
        <v>#DIV/0!</v>
      </c>
      <c r="CY32" s="118" t="e">
        <f t="shared" si="7"/>
        <v>#DIV/0!</v>
      </c>
      <c r="CZ32" s="118" t="e">
        <f t="shared" si="8"/>
        <v>#DIV/0!</v>
      </c>
      <c r="DA32" s="118" t="e">
        <f t="shared" si="9"/>
        <v>#DIV/0!</v>
      </c>
      <c r="DB32" s="118" t="e">
        <f t="shared" si="10"/>
        <v>#DIV/0!</v>
      </c>
      <c r="DC32" s="118" t="e">
        <f t="shared" si="11"/>
        <v>#DIV/0!</v>
      </c>
    </row>
    <row r="33" spans="2:107" x14ac:dyDescent="0.2">
      <c r="B33" s="296" t="s">
        <v>173</v>
      </c>
      <c r="C33" s="191" t="s">
        <v>172</v>
      </c>
      <c r="D33" s="115"/>
      <c r="E33" s="115"/>
      <c r="F33" s="115"/>
      <c r="G33" s="116"/>
      <c r="H33" s="116"/>
      <c r="I33" s="116"/>
      <c r="J33" s="116">
        <f>SUMIFS(wallet_records!$D:$D,wallet_records!$B:$B,'EEFF 2026'!$C33,wallet_records!$O:$O,'EEFF 2026'!$B$1,wallet_records!$N:$N,'EEFF 2026'!J$2,wallet_records!$H:$H,'EEFF 2026'!$B33)</f>
        <v>0</v>
      </c>
      <c r="K33" s="115"/>
      <c r="L33" s="115"/>
      <c r="M33" s="115"/>
      <c r="N33" s="116"/>
      <c r="O33" s="116"/>
      <c r="P33" s="116"/>
      <c r="Q33" s="115">
        <f>SUMIFS(wallet_records!$D:$D,wallet_records!$B:$B,'EEFF 2026'!$C33,wallet_records!$O:$O,'EEFF 2026'!$B$1,wallet_records!$N:$N,'EEFF 2026'!Q$2,wallet_records!$H:$H,'EEFF 2026'!$B33)</f>
        <v>0</v>
      </c>
      <c r="R33" s="116"/>
      <c r="S33" s="116"/>
      <c r="T33" s="116"/>
      <c r="U33" s="116"/>
      <c r="V33" s="116"/>
      <c r="X33" s="115">
        <f>SUMIFS(wallet_records!$D:$D,wallet_records!$B:$B,'EEFF 2026'!$C33,wallet_records!$O:$O,'EEFF 2026'!$B$1,wallet_records!$N:$N,'EEFF 2026'!X$2,wallet_records!$H:$H,'EEFF 2026'!$B33)</f>
        <v>0</v>
      </c>
      <c r="Y33" s="116"/>
      <c r="Z33" s="116"/>
      <c r="AA33" s="116"/>
      <c r="AB33" s="116"/>
      <c r="AC33" s="116"/>
      <c r="AE33" s="115">
        <f>SUMIFS(wallet_records!$D:$D,wallet_records!$B:$B,'EEFF 2026'!$C33,wallet_records!$O:$O,'EEFF 2026'!$B$1,wallet_records!$N:$N,'EEFF 2026'!AE$2,wallet_records!$H:$H,'EEFF 2026'!$B33)</f>
        <v>0</v>
      </c>
      <c r="AF33" s="116"/>
      <c r="AG33" s="116"/>
      <c r="AH33" s="116"/>
      <c r="AI33" s="116"/>
      <c r="AJ33" s="116"/>
      <c r="AL33" s="115">
        <f>SUMIFS(wallet_records!$D:$D,wallet_records!$B:$B,'EEFF 2026'!$C33,wallet_records!$O:$O,'EEFF 2026'!$B$1,wallet_records!$N:$N,'EEFF 2026'!AL$2,wallet_records!$H:$H,'EEFF 2026'!$B33)</f>
        <v>0</v>
      </c>
      <c r="AM33" s="116"/>
      <c r="AN33" s="116"/>
      <c r="AO33" s="116"/>
      <c r="AP33" s="116"/>
      <c r="AQ33" s="116"/>
      <c r="AS33" s="115">
        <f>SUMIFS(wallet_records!$D:$D,wallet_records!$B:$B,'EEFF 2026'!$C33,wallet_records!$O:$O,'EEFF 2026'!$B$1,wallet_records!$N:$N,'EEFF 2026'!AS$2,wallet_records!$H:$H,'EEFF 2026'!$B33)</f>
        <v>0</v>
      </c>
      <c r="AT33" s="116"/>
      <c r="AU33" s="116"/>
      <c r="AV33" s="116"/>
      <c r="AW33" s="116"/>
      <c r="AX33" s="116"/>
      <c r="AZ33" s="115">
        <f>SUMIFS(wallet_records!$D:$D,wallet_records!$B:$B,'EEFF 2026'!$C33,wallet_records!$O:$O,'EEFF 2026'!$B$1,wallet_records!$N:$N,'EEFF 2026'!AZ$2,wallet_records!$H:$H,'EEFF 2026'!$B33)</f>
        <v>0</v>
      </c>
      <c r="BA33" s="116"/>
      <c r="BB33" s="116"/>
      <c r="BC33" s="116"/>
      <c r="BD33" s="116"/>
      <c r="BE33" s="116"/>
      <c r="BG33" s="115">
        <f>SUMIFS(wallet_records!$D:$D,wallet_records!$B:$B,'EEFF 2026'!$C33,wallet_records!$O:$O,'EEFF 2026'!$B$1,wallet_records!$N:$N,'EEFF 2026'!BG$2,wallet_records!$H:$H,'EEFF 2026'!$B33)</f>
        <v>0</v>
      </c>
      <c r="BH33" s="116"/>
      <c r="BI33" s="116"/>
      <c r="BJ33" s="116"/>
      <c r="BK33" s="116"/>
      <c r="BL33" s="116"/>
      <c r="BN33" s="115">
        <f>SUMIFS(wallet_records!$D:$D,wallet_records!$B:$B,'EEFF 2026'!$C33,wallet_records!$O:$O,'EEFF 2026'!$B$1,wallet_records!$N:$N,'EEFF 2026'!BN$2,wallet_records!$H:$H,'EEFF 2026'!$B33)</f>
        <v>0</v>
      </c>
      <c r="BO33" s="116"/>
      <c r="BP33" s="116"/>
      <c r="BQ33" s="116"/>
      <c r="BR33" s="116"/>
      <c r="BS33" s="116"/>
      <c r="BU33" s="115">
        <f>SUMIFS(wallet_records!$D:$D,wallet_records!$B:$B,'EEFF 2026'!$C33,wallet_records!$O:$O,'EEFF 2026'!$B$1,wallet_records!$N:$N,'EEFF 2026'!BU$2,wallet_records!$H:$H,'EEFF 2026'!$B33)</f>
        <v>0</v>
      </c>
      <c r="BV33" s="116"/>
      <c r="BW33" s="116"/>
      <c r="BX33" s="116"/>
      <c r="BY33" s="116"/>
      <c r="BZ33" s="116"/>
      <c r="CB33" s="115">
        <f>SUMIFS(wallet_records!$D:$D,wallet_records!$B:$B,'EEFF 2026'!$C33,wallet_records!$O:$O,'EEFF 2026'!$B$1,wallet_records!$N:$N,'EEFF 2026'!CB$2,wallet_records!$H:$H,'EEFF 2026'!$B33)</f>
        <v>0</v>
      </c>
      <c r="CC33" s="116"/>
      <c r="CD33" s="116"/>
      <c r="CE33" s="116"/>
      <c r="CF33" s="116"/>
      <c r="CG33" s="116"/>
      <c r="CI33" s="115">
        <f>SUMIFS(wallet_records!$D:$D,wallet_records!$B:$B,'EEFF 2026'!$C33,wallet_records!$O:$O,'EEFF 2026'!$B$1,wallet_records!$N:$N,'EEFF 2026'!CI$2,wallet_records!$H:$H,'EEFF 2026'!$B33)</f>
        <v>0</v>
      </c>
      <c r="CJ33" s="116"/>
      <c r="CK33" s="116"/>
      <c r="CL33" s="116"/>
      <c r="CM33" s="116"/>
      <c r="CN33" s="116"/>
      <c r="CP33" s="115">
        <f>SUMIFS(wallet_records!$D:$D,wallet_records!$B:$B,'EEFF 2026'!$C33,wallet_records!$O:$O,'EEFF 2026'!$B$1,wallet_records!$H:$H,'EEFF 2026'!$B33)</f>
        <v>0</v>
      </c>
      <c r="CQ33" s="107"/>
      <c r="CR33" s="118">
        <f t="shared" si="0"/>
        <v>0</v>
      </c>
      <c r="CS33" s="118">
        <f t="shared" si="1"/>
        <v>0</v>
      </c>
      <c r="CT33" s="118" t="e">
        <f t="shared" si="2"/>
        <v>#DIV/0!</v>
      </c>
      <c r="CU33" s="118" t="e">
        <f t="shared" si="3"/>
        <v>#DIV/0!</v>
      </c>
      <c r="CV33" s="118" t="e">
        <f t="shared" si="4"/>
        <v>#DIV/0!</v>
      </c>
      <c r="CW33" s="118" t="e">
        <f t="shared" si="5"/>
        <v>#DIV/0!</v>
      </c>
      <c r="CX33" s="118" t="e">
        <f t="shared" si="6"/>
        <v>#DIV/0!</v>
      </c>
      <c r="CY33" s="118" t="e">
        <f t="shared" si="7"/>
        <v>#DIV/0!</v>
      </c>
      <c r="CZ33" s="118" t="e">
        <f t="shared" si="8"/>
        <v>#DIV/0!</v>
      </c>
      <c r="DA33" s="118" t="e">
        <f t="shared" si="9"/>
        <v>#DIV/0!</v>
      </c>
      <c r="DB33" s="118" t="e">
        <f t="shared" si="10"/>
        <v>#DIV/0!</v>
      </c>
      <c r="DC33" s="118" t="e">
        <f t="shared" si="11"/>
        <v>#DIV/0!</v>
      </c>
    </row>
    <row r="34" spans="2:107" x14ac:dyDescent="0.2">
      <c r="B34" s="296" t="s">
        <v>174</v>
      </c>
      <c r="C34" s="191" t="s">
        <v>172</v>
      </c>
      <c r="D34" s="115"/>
      <c r="E34" s="115"/>
      <c r="F34" s="115"/>
      <c r="G34" s="116"/>
      <c r="H34" s="116"/>
      <c r="I34" s="116"/>
      <c r="J34" s="116">
        <f>SUMIFS(wallet_records!$D:$D,wallet_records!$B:$B,'EEFF 2026'!$C34,wallet_records!$O:$O,'EEFF 2026'!$B$1,wallet_records!$N:$N,'EEFF 2026'!J$2,wallet_records!$H:$H,'EEFF 2026'!$B34)</f>
        <v>0</v>
      </c>
      <c r="K34" s="115"/>
      <c r="L34" s="115"/>
      <c r="M34" s="115"/>
      <c r="N34" s="116"/>
      <c r="O34" s="116"/>
      <c r="P34" s="116"/>
      <c r="Q34" s="115">
        <f>SUMIFS(wallet_records!$D:$D,wallet_records!$B:$B,'EEFF 2026'!$C34,wallet_records!$O:$O,'EEFF 2026'!$B$1,wallet_records!$N:$N,'EEFF 2026'!Q$2,wallet_records!$H:$H,'EEFF 2026'!$B34)</f>
        <v>0</v>
      </c>
      <c r="R34" s="116"/>
      <c r="S34" s="116"/>
      <c r="T34" s="116"/>
      <c r="U34" s="116"/>
      <c r="V34" s="116"/>
      <c r="X34" s="115">
        <f>SUMIFS(wallet_records!$D:$D,wallet_records!$B:$B,'EEFF 2026'!$C34,wallet_records!$O:$O,'EEFF 2026'!$B$1,wallet_records!$N:$N,'EEFF 2026'!X$2,wallet_records!$H:$H,'EEFF 2026'!$B34)</f>
        <v>0</v>
      </c>
      <c r="Y34" s="116"/>
      <c r="Z34" s="116"/>
      <c r="AA34" s="116"/>
      <c r="AB34" s="116"/>
      <c r="AC34" s="116"/>
      <c r="AE34" s="115">
        <f>SUMIFS(wallet_records!$D:$D,wallet_records!$B:$B,'EEFF 2026'!$C34,wallet_records!$O:$O,'EEFF 2026'!$B$1,wallet_records!$N:$N,'EEFF 2026'!AE$2,wallet_records!$H:$H,'EEFF 2026'!$B34)</f>
        <v>0</v>
      </c>
      <c r="AF34" s="116"/>
      <c r="AG34" s="116"/>
      <c r="AH34" s="116"/>
      <c r="AI34" s="116"/>
      <c r="AJ34" s="116"/>
      <c r="AL34" s="115">
        <f>SUMIFS(wallet_records!$D:$D,wallet_records!$B:$B,'EEFF 2026'!$C34,wallet_records!$O:$O,'EEFF 2026'!$B$1,wallet_records!$N:$N,'EEFF 2026'!AL$2,wallet_records!$H:$H,'EEFF 2026'!$B34)</f>
        <v>0</v>
      </c>
      <c r="AM34" s="116"/>
      <c r="AN34" s="116"/>
      <c r="AO34" s="116"/>
      <c r="AP34" s="116"/>
      <c r="AQ34" s="116"/>
      <c r="AS34" s="115">
        <f>SUMIFS(wallet_records!$D:$D,wallet_records!$B:$B,'EEFF 2026'!$C34,wallet_records!$O:$O,'EEFF 2026'!$B$1,wallet_records!$N:$N,'EEFF 2026'!AS$2,wallet_records!$H:$H,'EEFF 2026'!$B34)</f>
        <v>0</v>
      </c>
      <c r="AT34" s="116"/>
      <c r="AU34" s="116"/>
      <c r="AV34" s="116"/>
      <c r="AW34" s="116"/>
      <c r="AX34" s="116"/>
      <c r="AZ34" s="115">
        <f>SUMIFS(wallet_records!$D:$D,wallet_records!$B:$B,'EEFF 2026'!$C34,wallet_records!$O:$O,'EEFF 2026'!$B$1,wallet_records!$N:$N,'EEFF 2026'!AZ$2,wallet_records!$H:$H,'EEFF 2026'!$B34)</f>
        <v>0</v>
      </c>
      <c r="BA34" s="116"/>
      <c r="BB34" s="116"/>
      <c r="BC34" s="116"/>
      <c r="BD34" s="116"/>
      <c r="BE34" s="116"/>
      <c r="BG34" s="115">
        <f>SUMIFS(wallet_records!$D:$D,wallet_records!$B:$B,'EEFF 2026'!$C34,wallet_records!$O:$O,'EEFF 2026'!$B$1,wallet_records!$N:$N,'EEFF 2026'!BG$2,wallet_records!$H:$H,'EEFF 2026'!$B34)</f>
        <v>0</v>
      </c>
      <c r="BH34" s="116"/>
      <c r="BI34" s="116"/>
      <c r="BJ34" s="116"/>
      <c r="BK34" s="116"/>
      <c r="BL34" s="116"/>
      <c r="BN34" s="115">
        <f>SUMIFS(wallet_records!$D:$D,wallet_records!$B:$B,'EEFF 2026'!$C34,wallet_records!$O:$O,'EEFF 2026'!$B$1,wallet_records!$N:$N,'EEFF 2026'!BN$2,wallet_records!$H:$H,'EEFF 2026'!$B34)</f>
        <v>0</v>
      </c>
      <c r="BO34" s="116"/>
      <c r="BP34" s="116"/>
      <c r="BQ34" s="116"/>
      <c r="BR34" s="116"/>
      <c r="BS34" s="116"/>
      <c r="BU34" s="115">
        <f>SUMIFS(wallet_records!$D:$D,wallet_records!$B:$B,'EEFF 2026'!$C34,wallet_records!$O:$O,'EEFF 2026'!$B$1,wallet_records!$N:$N,'EEFF 2026'!BU$2,wallet_records!$H:$H,'EEFF 2026'!$B34)</f>
        <v>0</v>
      </c>
      <c r="BV34" s="116"/>
      <c r="BW34" s="116"/>
      <c r="BX34" s="116"/>
      <c r="BY34" s="116"/>
      <c r="BZ34" s="116"/>
      <c r="CB34" s="115">
        <f>SUMIFS(wallet_records!$D:$D,wallet_records!$B:$B,'EEFF 2026'!$C34,wallet_records!$O:$O,'EEFF 2026'!$B$1,wallet_records!$N:$N,'EEFF 2026'!CB$2,wallet_records!$H:$H,'EEFF 2026'!$B34)</f>
        <v>0</v>
      </c>
      <c r="CC34" s="116"/>
      <c r="CD34" s="116"/>
      <c r="CE34" s="116"/>
      <c r="CF34" s="116"/>
      <c r="CG34" s="116"/>
      <c r="CI34" s="115">
        <f>SUMIFS(wallet_records!$D:$D,wallet_records!$B:$B,'EEFF 2026'!$C34,wallet_records!$O:$O,'EEFF 2026'!$B$1,wallet_records!$N:$N,'EEFF 2026'!CI$2,wallet_records!$H:$H,'EEFF 2026'!$B34)</f>
        <v>0</v>
      </c>
      <c r="CJ34" s="116"/>
      <c r="CK34" s="116"/>
      <c r="CL34" s="116"/>
      <c r="CM34" s="116"/>
      <c r="CN34" s="116"/>
      <c r="CP34" s="115">
        <f>SUMIFS(wallet_records!$D:$D,wallet_records!$B:$B,'EEFF 2026'!$C34,wallet_records!$O:$O,'EEFF 2026'!$B$1,wallet_records!$H:$H,'EEFF 2026'!$B34)</f>
        <v>0</v>
      </c>
      <c r="CQ34" s="107"/>
      <c r="CR34" s="118">
        <f t="shared" si="0"/>
        <v>0</v>
      </c>
      <c r="CS34" s="118">
        <f t="shared" si="1"/>
        <v>0</v>
      </c>
      <c r="CT34" s="118" t="e">
        <f t="shared" si="2"/>
        <v>#DIV/0!</v>
      </c>
      <c r="CU34" s="118" t="e">
        <f t="shared" si="3"/>
        <v>#DIV/0!</v>
      </c>
      <c r="CV34" s="118" t="e">
        <f t="shared" si="4"/>
        <v>#DIV/0!</v>
      </c>
      <c r="CW34" s="118" t="e">
        <f t="shared" si="5"/>
        <v>#DIV/0!</v>
      </c>
      <c r="CX34" s="118" t="e">
        <f t="shared" si="6"/>
        <v>#DIV/0!</v>
      </c>
      <c r="CY34" s="118" t="e">
        <f t="shared" si="7"/>
        <v>#DIV/0!</v>
      </c>
      <c r="CZ34" s="118" t="e">
        <f t="shared" si="8"/>
        <v>#DIV/0!</v>
      </c>
      <c r="DA34" s="118" t="e">
        <f t="shared" si="9"/>
        <v>#DIV/0!</v>
      </c>
      <c r="DB34" s="118" t="e">
        <f t="shared" si="10"/>
        <v>#DIV/0!</v>
      </c>
      <c r="DC34" s="118" t="e">
        <f t="shared" si="11"/>
        <v>#DIV/0!</v>
      </c>
    </row>
    <row r="35" spans="2:107" x14ac:dyDescent="0.2">
      <c r="B35" s="297" t="s">
        <v>94</v>
      </c>
      <c r="C35" s="191" t="s">
        <v>136</v>
      </c>
      <c r="D35" s="115"/>
      <c r="E35" s="115"/>
      <c r="F35" s="115"/>
      <c r="G35" s="116"/>
      <c r="H35" s="116"/>
      <c r="I35" s="116"/>
      <c r="J35" s="116">
        <f>SUMIFS(wallet_records!$D:$D,wallet_records!$B:$B,'EEFF 2026'!$C35,wallet_records!$O:$O,'EEFF 2026'!$B$1,wallet_records!$N:$N,'EEFF 2026'!J$2,wallet_records!$H:$H,'EEFF 2026'!$B35)</f>
        <v>58000</v>
      </c>
      <c r="K35" s="115"/>
      <c r="L35" s="115"/>
      <c r="M35" s="115"/>
      <c r="N35" s="116"/>
      <c r="O35" s="116"/>
      <c r="P35" s="116"/>
      <c r="Q35" s="115">
        <f>SUMIFS(wallet_records!$D:$D,wallet_records!$B:$B,'EEFF 2026'!$C35,wallet_records!$O:$O,'EEFF 2026'!$B$1,wallet_records!$N:$N,'EEFF 2026'!Q$2,wallet_records!$H:$H,'EEFF 2026'!$B35)</f>
        <v>0</v>
      </c>
      <c r="R35" s="116"/>
      <c r="S35" s="116"/>
      <c r="T35" s="116"/>
      <c r="U35" s="116"/>
      <c r="V35" s="116"/>
      <c r="X35" s="115">
        <f>SUMIFS(wallet_records!$D:$D,wallet_records!$B:$B,'EEFF 2026'!$C35,wallet_records!$O:$O,'EEFF 2026'!$B$1,wallet_records!$N:$N,'EEFF 2026'!X$2,wallet_records!$H:$H,'EEFF 2026'!$B35)</f>
        <v>0</v>
      </c>
      <c r="Y35" s="116"/>
      <c r="Z35" s="116"/>
      <c r="AA35" s="116"/>
      <c r="AB35" s="116"/>
      <c r="AC35" s="116"/>
      <c r="AE35" s="115">
        <f>SUMIFS(wallet_records!$D:$D,wallet_records!$B:$B,'EEFF 2026'!$C35,wallet_records!$O:$O,'EEFF 2026'!$B$1,wallet_records!$N:$N,'EEFF 2026'!AE$2,wallet_records!$H:$H,'EEFF 2026'!$B35)</f>
        <v>0</v>
      </c>
      <c r="AF35" s="116"/>
      <c r="AG35" s="116"/>
      <c r="AH35" s="116"/>
      <c r="AI35" s="116"/>
      <c r="AJ35" s="116"/>
      <c r="AL35" s="115">
        <f>SUMIFS(wallet_records!$D:$D,wallet_records!$B:$B,'EEFF 2026'!$C35,wallet_records!$O:$O,'EEFF 2026'!$B$1,wallet_records!$N:$N,'EEFF 2026'!AL$2,wallet_records!$H:$H,'EEFF 2026'!$B35)</f>
        <v>0</v>
      </c>
      <c r="AM35" s="116"/>
      <c r="AN35" s="116"/>
      <c r="AO35" s="116"/>
      <c r="AP35" s="116"/>
      <c r="AQ35" s="116"/>
      <c r="AS35" s="115">
        <f>SUMIFS(wallet_records!$D:$D,wallet_records!$B:$B,'EEFF 2026'!$C35,wallet_records!$O:$O,'EEFF 2026'!$B$1,wallet_records!$N:$N,'EEFF 2026'!AS$2,wallet_records!$H:$H,'EEFF 2026'!$B35)</f>
        <v>0</v>
      </c>
      <c r="AT35" s="116"/>
      <c r="AU35" s="116"/>
      <c r="AV35" s="116"/>
      <c r="AW35" s="116"/>
      <c r="AX35" s="116"/>
      <c r="AZ35" s="115">
        <f>SUMIFS(wallet_records!$D:$D,wallet_records!$B:$B,'EEFF 2026'!$C35,wallet_records!$O:$O,'EEFF 2026'!$B$1,wallet_records!$N:$N,'EEFF 2026'!AZ$2,wallet_records!$H:$H,'EEFF 2026'!$B35)</f>
        <v>0</v>
      </c>
      <c r="BA35" s="116"/>
      <c r="BB35" s="116"/>
      <c r="BC35" s="116"/>
      <c r="BD35" s="116"/>
      <c r="BE35" s="116"/>
      <c r="BG35" s="115">
        <f>SUMIFS(wallet_records!$D:$D,wallet_records!$B:$B,'EEFF 2026'!$C35,wallet_records!$O:$O,'EEFF 2026'!$B$1,wallet_records!$N:$N,'EEFF 2026'!BG$2,wallet_records!$H:$H,'EEFF 2026'!$B35)</f>
        <v>0</v>
      </c>
      <c r="BH35" s="116"/>
      <c r="BI35" s="116"/>
      <c r="BJ35" s="116"/>
      <c r="BK35" s="116"/>
      <c r="BL35" s="116"/>
      <c r="BN35" s="115">
        <f>SUMIFS(wallet_records!$D:$D,wallet_records!$B:$B,'EEFF 2026'!$C35,wallet_records!$O:$O,'EEFF 2026'!$B$1,wallet_records!$N:$N,'EEFF 2026'!BN$2,wallet_records!$H:$H,'EEFF 2026'!$B35)</f>
        <v>0</v>
      </c>
      <c r="BO35" s="116"/>
      <c r="BP35" s="116"/>
      <c r="BQ35" s="116"/>
      <c r="BR35" s="116"/>
      <c r="BS35" s="116"/>
      <c r="BU35" s="115">
        <f>SUMIFS(wallet_records!$D:$D,wallet_records!$B:$B,'EEFF 2026'!$C35,wallet_records!$O:$O,'EEFF 2026'!$B$1,wallet_records!$N:$N,'EEFF 2026'!BU$2,wallet_records!$H:$H,'EEFF 2026'!$B35)</f>
        <v>0</v>
      </c>
      <c r="BV35" s="116"/>
      <c r="BW35" s="116"/>
      <c r="BX35" s="116"/>
      <c r="BY35" s="116"/>
      <c r="BZ35" s="116"/>
      <c r="CB35" s="115">
        <f>SUMIFS(wallet_records!$D:$D,wallet_records!$B:$B,'EEFF 2026'!$C35,wallet_records!$O:$O,'EEFF 2026'!$B$1,wallet_records!$N:$N,'EEFF 2026'!CB$2,wallet_records!$H:$H,'EEFF 2026'!$B35)</f>
        <v>0</v>
      </c>
      <c r="CC35" s="116"/>
      <c r="CD35" s="116"/>
      <c r="CE35" s="116"/>
      <c r="CF35" s="116"/>
      <c r="CG35" s="116"/>
      <c r="CI35" s="115">
        <f>SUMIFS(wallet_records!$D:$D,wallet_records!$B:$B,'EEFF 2026'!$C35,wallet_records!$O:$O,'EEFF 2026'!$B$1,wallet_records!$N:$N,'EEFF 2026'!CI$2,wallet_records!$H:$H,'EEFF 2026'!$B35)</f>
        <v>0</v>
      </c>
      <c r="CJ35" s="116"/>
      <c r="CK35" s="116"/>
      <c r="CL35" s="116"/>
      <c r="CM35" s="116"/>
      <c r="CN35" s="116"/>
      <c r="CP35" s="115">
        <f>SUMIFS(wallet_records!$D:$D,wallet_records!$B:$B,'EEFF 2026'!$C35,wallet_records!$O:$O,'EEFF 2026'!$B$1,wallet_records!$H:$H,'EEFF 2026'!$B35)</f>
        <v>58000</v>
      </c>
      <c r="CQ35" s="107"/>
      <c r="CR35" s="118">
        <f t="shared" si="0"/>
        <v>6.1100225438762822E-3</v>
      </c>
      <c r="CS35" s="118">
        <f t="shared" si="1"/>
        <v>0</v>
      </c>
      <c r="CT35" s="118" t="e">
        <f t="shared" si="2"/>
        <v>#DIV/0!</v>
      </c>
      <c r="CU35" s="118" t="e">
        <f t="shared" si="3"/>
        <v>#DIV/0!</v>
      </c>
      <c r="CV35" s="118" t="e">
        <f t="shared" si="4"/>
        <v>#DIV/0!</v>
      </c>
      <c r="CW35" s="118" t="e">
        <f t="shared" si="5"/>
        <v>#DIV/0!</v>
      </c>
      <c r="CX35" s="118" t="e">
        <f t="shared" si="6"/>
        <v>#DIV/0!</v>
      </c>
      <c r="CY35" s="118" t="e">
        <f t="shared" si="7"/>
        <v>#DIV/0!</v>
      </c>
      <c r="CZ35" s="118" t="e">
        <f t="shared" si="8"/>
        <v>#DIV/0!</v>
      </c>
      <c r="DA35" s="118" t="e">
        <f t="shared" si="9"/>
        <v>#DIV/0!</v>
      </c>
      <c r="DB35" s="118" t="e">
        <f t="shared" si="10"/>
        <v>#DIV/0!</v>
      </c>
      <c r="DC35" s="118" t="e">
        <f t="shared" si="11"/>
        <v>#DIV/0!</v>
      </c>
    </row>
    <row r="36" spans="2:107" x14ac:dyDescent="0.2">
      <c r="B36" s="297" t="s">
        <v>95</v>
      </c>
      <c r="C36" s="191" t="s">
        <v>136</v>
      </c>
      <c r="D36" s="115"/>
      <c r="E36" s="115"/>
      <c r="F36" s="115"/>
      <c r="G36" s="116"/>
      <c r="H36" s="116"/>
      <c r="I36" s="116"/>
      <c r="J36" s="116">
        <f>SUMIFS(wallet_records!$D:$D,wallet_records!$B:$B,'EEFF 2026'!$C36,wallet_records!$O:$O,'EEFF 2026'!$B$1,wallet_records!$N:$N,'EEFF 2026'!J$2,wallet_records!$H:$H,'EEFF 2026'!$B36)</f>
        <v>116800</v>
      </c>
      <c r="K36" s="115"/>
      <c r="L36" s="115"/>
      <c r="M36" s="115"/>
      <c r="N36" s="116"/>
      <c r="O36" s="116"/>
      <c r="P36" s="116"/>
      <c r="Q36" s="115">
        <f>SUMIFS(wallet_records!$D:$D,wallet_records!$B:$B,'EEFF 2026'!$C36,wallet_records!$O:$O,'EEFF 2026'!$B$1,wallet_records!$N:$N,'EEFF 2026'!Q$2,wallet_records!$H:$H,'EEFF 2026'!$B36)</f>
        <v>0</v>
      </c>
      <c r="R36" s="116"/>
      <c r="S36" s="116"/>
      <c r="T36" s="116"/>
      <c r="U36" s="116"/>
      <c r="V36" s="116"/>
      <c r="X36" s="115">
        <f>SUMIFS(wallet_records!$D:$D,wallet_records!$B:$B,'EEFF 2026'!$C36,wallet_records!$O:$O,'EEFF 2026'!$B$1,wallet_records!$N:$N,'EEFF 2026'!X$2,wallet_records!$H:$H,'EEFF 2026'!$B36)</f>
        <v>0</v>
      </c>
      <c r="Y36" s="116"/>
      <c r="Z36" s="116"/>
      <c r="AA36" s="116"/>
      <c r="AB36" s="116"/>
      <c r="AC36" s="116"/>
      <c r="AE36" s="115">
        <f>SUMIFS(wallet_records!$D:$D,wallet_records!$B:$B,'EEFF 2026'!$C36,wallet_records!$O:$O,'EEFF 2026'!$B$1,wallet_records!$N:$N,'EEFF 2026'!AE$2,wallet_records!$H:$H,'EEFF 2026'!$B36)</f>
        <v>0</v>
      </c>
      <c r="AF36" s="116"/>
      <c r="AG36" s="116"/>
      <c r="AH36" s="116"/>
      <c r="AI36" s="116"/>
      <c r="AJ36" s="116"/>
      <c r="AL36" s="115">
        <f>SUMIFS(wallet_records!$D:$D,wallet_records!$B:$B,'EEFF 2026'!$C36,wallet_records!$O:$O,'EEFF 2026'!$B$1,wallet_records!$N:$N,'EEFF 2026'!AL$2,wallet_records!$H:$H,'EEFF 2026'!$B36)</f>
        <v>0</v>
      </c>
      <c r="AM36" s="116"/>
      <c r="AN36" s="116"/>
      <c r="AO36" s="116"/>
      <c r="AP36" s="116"/>
      <c r="AQ36" s="116"/>
      <c r="AS36" s="115">
        <f>SUMIFS(wallet_records!$D:$D,wallet_records!$B:$B,'EEFF 2026'!$C36,wallet_records!$O:$O,'EEFF 2026'!$B$1,wallet_records!$N:$N,'EEFF 2026'!AS$2,wallet_records!$H:$H,'EEFF 2026'!$B36)</f>
        <v>0</v>
      </c>
      <c r="AT36" s="116"/>
      <c r="AU36" s="116"/>
      <c r="AV36" s="116"/>
      <c r="AW36" s="116"/>
      <c r="AX36" s="116"/>
      <c r="AZ36" s="115">
        <f>SUMIFS(wallet_records!$D:$D,wallet_records!$B:$B,'EEFF 2026'!$C36,wallet_records!$O:$O,'EEFF 2026'!$B$1,wallet_records!$N:$N,'EEFF 2026'!AZ$2,wallet_records!$H:$H,'EEFF 2026'!$B36)</f>
        <v>0</v>
      </c>
      <c r="BA36" s="116"/>
      <c r="BB36" s="116"/>
      <c r="BC36" s="116"/>
      <c r="BD36" s="116"/>
      <c r="BE36" s="116"/>
      <c r="BG36" s="115">
        <f>SUMIFS(wallet_records!$D:$D,wallet_records!$B:$B,'EEFF 2026'!$C36,wallet_records!$O:$O,'EEFF 2026'!$B$1,wallet_records!$N:$N,'EEFF 2026'!BG$2,wallet_records!$H:$H,'EEFF 2026'!$B36)</f>
        <v>0</v>
      </c>
      <c r="BH36" s="116"/>
      <c r="BI36" s="116"/>
      <c r="BJ36" s="116"/>
      <c r="BK36" s="116"/>
      <c r="BL36" s="116"/>
      <c r="BN36" s="115">
        <f>SUMIFS(wallet_records!$D:$D,wallet_records!$B:$B,'EEFF 2026'!$C36,wallet_records!$O:$O,'EEFF 2026'!$B$1,wallet_records!$N:$N,'EEFF 2026'!BN$2,wallet_records!$H:$H,'EEFF 2026'!$B36)</f>
        <v>0</v>
      </c>
      <c r="BO36" s="116"/>
      <c r="BP36" s="116"/>
      <c r="BQ36" s="116"/>
      <c r="BR36" s="116"/>
      <c r="BS36" s="116"/>
      <c r="BU36" s="115">
        <f>SUMIFS(wallet_records!$D:$D,wallet_records!$B:$B,'EEFF 2026'!$C36,wallet_records!$O:$O,'EEFF 2026'!$B$1,wallet_records!$N:$N,'EEFF 2026'!BU$2,wallet_records!$H:$H,'EEFF 2026'!$B36)</f>
        <v>0</v>
      </c>
      <c r="BV36" s="116"/>
      <c r="BW36" s="116"/>
      <c r="BX36" s="116"/>
      <c r="BY36" s="116"/>
      <c r="BZ36" s="116"/>
      <c r="CB36" s="115">
        <f>SUMIFS(wallet_records!$D:$D,wallet_records!$B:$B,'EEFF 2026'!$C36,wallet_records!$O:$O,'EEFF 2026'!$B$1,wallet_records!$N:$N,'EEFF 2026'!CB$2,wallet_records!$H:$H,'EEFF 2026'!$B36)</f>
        <v>0</v>
      </c>
      <c r="CC36" s="116"/>
      <c r="CD36" s="116"/>
      <c r="CE36" s="116"/>
      <c r="CF36" s="116"/>
      <c r="CG36" s="116"/>
      <c r="CI36" s="115">
        <f>SUMIFS(wallet_records!$D:$D,wallet_records!$B:$B,'EEFF 2026'!$C36,wallet_records!$O:$O,'EEFF 2026'!$B$1,wallet_records!$N:$N,'EEFF 2026'!CI$2,wallet_records!$H:$H,'EEFF 2026'!$B36)</f>
        <v>0</v>
      </c>
      <c r="CJ36" s="116"/>
      <c r="CK36" s="116"/>
      <c r="CL36" s="116"/>
      <c r="CM36" s="116"/>
      <c r="CN36" s="116"/>
      <c r="CP36" s="115">
        <f>SUMIFS(wallet_records!$D:$D,wallet_records!$B:$B,'EEFF 2026'!$C36,wallet_records!$O:$O,'EEFF 2026'!$B$1,wallet_records!$H:$H,'EEFF 2026'!$B36)</f>
        <v>116800</v>
      </c>
      <c r="CQ36" s="107"/>
      <c r="CR36" s="118">
        <f t="shared" si="0"/>
        <v>1.2304321260771548E-2</v>
      </c>
      <c r="CS36" s="118">
        <f t="shared" si="1"/>
        <v>0</v>
      </c>
      <c r="CT36" s="118" t="e">
        <f t="shared" si="2"/>
        <v>#DIV/0!</v>
      </c>
      <c r="CU36" s="118" t="e">
        <f t="shared" si="3"/>
        <v>#DIV/0!</v>
      </c>
      <c r="CV36" s="118" t="e">
        <f t="shared" si="4"/>
        <v>#DIV/0!</v>
      </c>
      <c r="CW36" s="118" t="e">
        <f t="shared" si="5"/>
        <v>#DIV/0!</v>
      </c>
      <c r="CX36" s="118" t="e">
        <f t="shared" si="6"/>
        <v>#DIV/0!</v>
      </c>
      <c r="CY36" s="118" t="e">
        <f t="shared" si="7"/>
        <v>#DIV/0!</v>
      </c>
      <c r="CZ36" s="118" t="e">
        <f t="shared" si="8"/>
        <v>#DIV/0!</v>
      </c>
      <c r="DA36" s="118" t="e">
        <f t="shared" si="9"/>
        <v>#DIV/0!</v>
      </c>
      <c r="DB36" s="118" t="e">
        <f t="shared" si="10"/>
        <v>#DIV/0!</v>
      </c>
      <c r="DC36" s="118" t="e">
        <f t="shared" si="11"/>
        <v>#DIV/0!</v>
      </c>
    </row>
    <row r="37" spans="2:107" x14ac:dyDescent="0.2">
      <c r="B37" s="296" t="s">
        <v>137</v>
      </c>
      <c r="C37" s="191" t="s">
        <v>136</v>
      </c>
      <c r="D37" s="115"/>
      <c r="E37" s="115"/>
      <c r="F37" s="115"/>
      <c r="G37" s="116"/>
      <c r="H37" s="116"/>
      <c r="I37" s="116"/>
      <c r="J37" s="116">
        <f>SUMIFS(wallet_records!$D:$D,wallet_records!$B:$B,'EEFF 2026'!$C37,wallet_records!$O:$O,'EEFF 2026'!$B$1,wallet_records!$N:$N,'EEFF 2026'!J$2,wallet_records!$H:$H,'EEFF 2026'!$B37)</f>
        <v>0</v>
      </c>
      <c r="K37" s="115"/>
      <c r="L37" s="115"/>
      <c r="M37" s="115"/>
      <c r="N37" s="116"/>
      <c r="O37" s="116"/>
      <c r="P37" s="116"/>
      <c r="Q37" s="115">
        <f>SUMIFS(wallet_records!$D:$D,wallet_records!$B:$B,'EEFF 2026'!$C37,wallet_records!$O:$O,'EEFF 2026'!$B$1,wallet_records!$N:$N,'EEFF 2026'!Q$2,wallet_records!$H:$H,'EEFF 2026'!$B37)</f>
        <v>0</v>
      </c>
      <c r="R37" s="116"/>
      <c r="S37" s="116"/>
      <c r="T37" s="116"/>
      <c r="U37" s="116"/>
      <c r="V37" s="116"/>
      <c r="X37" s="115">
        <f>SUMIFS(wallet_records!$D:$D,wallet_records!$B:$B,'EEFF 2026'!$C37,wallet_records!$O:$O,'EEFF 2026'!$B$1,wallet_records!$N:$N,'EEFF 2026'!X$2,wallet_records!$H:$H,'EEFF 2026'!$B37)</f>
        <v>0</v>
      </c>
      <c r="Y37" s="116"/>
      <c r="Z37" s="116"/>
      <c r="AA37" s="116"/>
      <c r="AB37" s="116"/>
      <c r="AC37" s="116"/>
      <c r="AE37" s="115">
        <f>SUMIFS(wallet_records!$D:$D,wallet_records!$B:$B,'EEFF 2026'!$C37,wallet_records!$O:$O,'EEFF 2026'!$B$1,wallet_records!$N:$N,'EEFF 2026'!AE$2,wallet_records!$H:$H,'EEFF 2026'!$B37)</f>
        <v>0</v>
      </c>
      <c r="AF37" s="116"/>
      <c r="AG37" s="116"/>
      <c r="AH37" s="116"/>
      <c r="AI37" s="116"/>
      <c r="AJ37" s="116"/>
      <c r="AL37" s="115">
        <f>SUMIFS(wallet_records!$D:$D,wallet_records!$B:$B,'EEFF 2026'!$C37,wallet_records!$O:$O,'EEFF 2026'!$B$1,wallet_records!$N:$N,'EEFF 2026'!AL$2,wallet_records!$H:$H,'EEFF 2026'!$B37)</f>
        <v>0</v>
      </c>
      <c r="AM37" s="116"/>
      <c r="AN37" s="116"/>
      <c r="AO37" s="116"/>
      <c r="AP37" s="116"/>
      <c r="AQ37" s="116"/>
      <c r="AS37" s="115">
        <f>SUMIFS(wallet_records!$D:$D,wallet_records!$B:$B,'EEFF 2026'!$C37,wallet_records!$O:$O,'EEFF 2026'!$B$1,wallet_records!$N:$N,'EEFF 2026'!AS$2,wallet_records!$H:$H,'EEFF 2026'!$B37)</f>
        <v>0</v>
      </c>
      <c r="AT37" s="116"/>
      <c r="AU37" s="116"/>
      <c r="AV37" s="116"/>
      <c r="AW37" s="116"/>
      <c r="AX37" s="116"/>
      <c r="AZ37" s="115">
        <f>SUMIFS(wallet_records!$D:$D,wallet_records!$B:$B,'EEFF 2026'!$C37,wallet_records!$O:$O,'EEFF 2026'!$B$1,wallet_records!$N:$N,'EEFF 2026'!AZ$2,wallet_records!$H:$H,'EEFF 2026'!$B37)</f>
        <v>0</v>
      </c>
      <c r="BA37" s="116"/>
      <c r="BB37" s="116"/>
      <c r="BC37" s="116"/>
      <c r="BD37" s="116"/>
      <c r="BE37" s="116"/>
      <c r="BG37" s="115">
        <f>SUMIFS(wallet_records!$D:$D,wallet_records!$B:$B,'EEFF 2026'!$C37,wallet_records!$O:$O,'EEFF 2026'!$B$1,wallet_records!$N:$N,'EEFF 2026'!BG$2,wallet_records!$H:$H,'EEFF 2026'!$B37)</f>
        <v>0</v>
      </c>
      <c r="BH37" s="116"/>
      <c r="BI37" s="116"/>
      <c r="BJ37" s="116"/>
      <c r="BK37" s="116"/>
      <c r="BL37" s="116"/>
      <c r="BN37" s="115">
        <f>SUMIFS(wallet_records!$D:$D,wallet_records!$B:$B,'EEFF 2026'!$C37,wallet_records!$O:$O,'EEFF 2026'!$B$1,wallet_records!$N:$N,'EEFF 2026'!BN$2,wallet_records!$H:$H,'EEFF 2026'!$B37)</f>
        <v>0</v>
      </c>
      <c r="BO37" s="116"/>
      <c r="BP37" s="116"/>
      <c r="BQ37" s="116"/>
      <c r="BR37" s="116"/>
      <c r="BS37" s="116"/>
      <c r="BU37" s="115">
        <f>SUMIFS(wallet_records!$D:$D,wallet_records!$B:$B,'EEFF 2026'!$C37,wallet_records!$O:$O,'EEFF 2026'!$B$1,wallet_records!$N:$N,'EEFF 2026'!BU$2,wallet_records!$H:$H,'EEFF 2026'!$B37)</f>
        <v>0</v>
      </c>
      <c r="BV37" s="116"/>
      <c r="BW37" s="116"/>
      <c r="BX37" s="116"/>
      <c r="BY37" s="116"/>
      <c r="BZ37" s="116"/>
      <c r="CB37" s="115">
        <f>SUMIFS(wallet_records!$D:$D,wallet_records!$B:$B,'EEFF 2026'!$C37,wallet_records!$O:$O,'EEFF 2026'!$B$1,wallet_records!$N:$N,'EEFF 2026'!CB$2,wallet_records!$H:$H,'EEFF 2026'!$B37)</f>
        <v>0</v>
      </c>
      <c r="CC37" s="116"/>
      <c r="CD37" s="116"/>
      <c r="CE37" s="116"/>
      <c r="CF37" s="116"/>
      <c r="CG37" s="116"/>
      <c r="CI37" s="115">
        <f>SUMIFS(wallet_records!$D:$D,wallet_records!$B:$B,'EEFF 2026'!$C37,wallet_records!$O:$O,'EEFF 2026'!$B$1,wallet_records!$N:$N,'EEFF 2026'!CI$2,wallet_records!$H:$H,'EEFF 2026'!$B37)</f>
        <v>0</v>
      </c>
      <c r="CJ37" s="116"/>
      <c r="CK37" s="116"/>
      <c r="CL37" s="116"/>
      <c r="CM37" s="116"/>
      <c r="CN37" s="116"/>
      <c r="CP37" s="115">
        <f>SUMIFS(wallet_records!$D:$D,wallet_records!$B:$B,'EEFF 2026'!$C37,wallet_records!$O:$O,'EEFF 2026'!$B$1,wallet_records!$H:$H,'EEFF 2026'!$B37)</f>
        <v>0</v>
      </c>
      <c r="CQ37" s="107"/>
      <c r="CR37" s="118">
        <f t="shared" si="0"/>
        <v>0</v>
      </c>
      <c r="CS37" s="118">
        <f t="shared" si="1"/>
        <v>0</v>
      </c>
      <c r="CT37" s="118" t="e">
        <f t="shared" si="2"/>
        <v>#DIV/0!</v>
      </c>
      <c r="CU37" s="118" t="e">
        <f t="shared" si="3"/>
        <v>#DIV/0!</v>
      </c>
      <c r="CV37" s="118" t="e">
        <f t="shared" si="4"/>
        <v>#DIV/0!</v>
      </c>
      <c r="CW37" s="118" t="e">
        <f t="shared" si="5"/>
        <v>#DIV/0!</v>
      </c>
      <c r="CX37" s="118" t="e">
        <f t="shared" si="6"/>
        <v>#DIV/0!</v>
      </c>
      <c r="CY37" s="118" t="e">
        <f t="shared" si="7"/>
        <v>#DIV/0!</v>
      </c>
      <c r="CZ37" s="118" t="e">
        <f t="shared" si="8"/>
        <v>#DIV/0!</v>
      </c>
      <c r="DA37" s="118" t="e">
        <f t="shared" si="9"/>
        <v>#DIV/0!</v>
      </c>
      <c r="DB37" s="118" t="e">
        <f t="shared" si="10"/>
        <v>#DIV/0!</v>
      </c>
      <c r="DC37" s="118" t="e">
        <f t="shared" si="11"/>
        <v>#DIV/0!</v>
      </c>
    </row>
    <row r="38" spans="2:107" x14ac:dyDescent="0.2">
      <c r="B38" s="296" t="s">
        <v>156</v>
      </c>
      <c r="C38" s="191" t="s">
        <v>136</v>
      </c>
      <c r="D38" s="115"/>
      <c r="E38" s="115"/>
      <c r="F38" s="115"/>
      <c r="G38" s="116"/>
      <c r="H38" s="116"/>
      <c r="I38" s="116"/>
      <c r="J38" s="116">
        <f>SUMIFS(wallet_records!$D:$D,wallet_records!$B:$B,'EEFF 2026'!$C38,wallet_records!$O:$O,'EEFF 2026'!$B$1,wallet_records!$N:$N,'EEFF 2026'!J$2,wallet_records!$H:$H,'EEFF 2026'!$B38)</f>
        <v>461460</v>
      </c>
      <c r="K38" s="115"/>
      <c r="L38" s="115"/>
      <c r="M38" s="115"/>
      <c r="N38" s="116"/>
      <c r="O38" s="116"/>
      <c r="P38" s="116"/>
      <c r="Q38" s="115">
        <f>SUMIFS(wallet_records!$D:$D,wallet_records!$B:$B,'EEFF 2026'!$C38,wallet_records!$O:$O,'EEFF 2026'!$B$1,wallet_records!$N:$N,'EEFF 2026'!Q$2,wallet_records!$H:$H,'EEFF 2026'!$B38)</f>
        <v>0</v>
      </c>
      <c r="R38" s="116"/>
      <c r="S38" s="116"/>
      <c r="T38" s="116"/>
      <c r="U38" s="116"/>
      <c r="V38" s="116"/>
      <c r="X38" s="115">
        <f>SUMIFS(wallet_records!$D:$D,wallet_records!$B:$B,'EEFF 2026'!$C38,wallet_records!$O:$O,'EEFF 2026'!$B$1,wallet_records!$N:$N,'EEFF 2026'!X$2,wallet_records!$H:$H,'EEFF 2026'!$B38)</f>
        <v>0</v>
      </c>
      <c r="Y38" s="116"/>
      <c r="Z38" s="116"/>
      <c r="AA38" s="116"/>
      <c r="AB38" s="116"/>
      <c r="AC38" s="116"/>
      <c r="AE38" s="115">
        <f>SUMIFS(wallet_records!$D:$D,wallet_records!$B:$B,'EEFF 2026'!$C38,wallet_records!$O:$O,'EEFF 2026'!$B$1,wallet_records!$N:$N,'EEFF 2026'!AE$2,wallet_records!$H:$H,'EEFF 2026'!$B38)</f>
        <v>0</v>
      </c>
      <c r="AF38" s="116"/>
      <c r="AG38" s="116"/>
      <c r="AH38" s="116"/>
      <c r="AI38" s="116"/>
      <c r="AJ38" s="116"/>
      <c r="AL38" s="115">
        <f>SUMIFS(wallet_records!$D:$D,wallet_records!$B:$B,'EEFF 2026'!$C38,wallet_records!$O:$O,'EEFF 2026'!$B$1,wallet_records!$N:$N,'EEFF 2026'!AL$2,wallet_records!$H:$H,'EEFF 2026'!$B38)</f>
        <v>0</v>
      </c>
      <c r="AM38" s="116"/>
      <c r="AN38" s="116"/>
      <c r="AO38" s="116"/>
      <c r="AP38" s="116"/>
      <c r="AQ38" s="116"/>
      <c r="AS38" s="115">
        <f>SUMIFS(wallet_records!$D:$D,wallet_records!$B:$B,'EEFF 2026'!$C38,wallet_records!$O:$O,'EEFF 2026'!$B$1,wallet_records!$N:$N,'EEFF 2026'!AS$2,wallet_records!$H:$H,'EEFF 2026'!$B38)</f>
        <v>0</v>
      </c>
      <c r="AT38" s="116"/>
      <c r="AU38" s="116"/>
      <c r="AV38" s="116"/>
      <c r="AW38" s="116"/>
      <c r="AX38" s="116"/>
      <c r="AZ38" s="115">
        <f>SUMIFS(wallet_records!$D:$D,wallet_records!$B:$B,'EEFF 2026'!$C38,wallet_records!$O:$O,'EEFF 2026'!$B$1,wallet_records!$N:$N,'EEFF 2026'!AZ$2,wallet_records!$H:$H,'EEFF 2026'!$B38)</f>
        <v>0</v>
      </c>
      <c r="BA38" s="116"/>
      <c r="BB38" s="116"/>
      <c r="BC38" s="116"/>
      <c r="BD38" s="116"/>
      <c r="BE38" s="116"/>
      <c r="BG38" s="115">
        <f>SUMIFS(wallet_records!$D:$D,wallet_records!$B:$B,'EEFF 2026'!$C38,wallet_records!$O:$O,'EEFF 2026'!$B$1,wallet_records!$N:$N,'EEFF 2026'!BG$2,wallet_records!$H:$H,'EEFF 2026'!$B38)</f>
        <v>0</v>
      </c>
      <c r="BH38" s="116"/>
      <c r="BI38" s="116"/>
      <c r="BJ38" s="116"/>
      <c r="BK38" s="116"/>
      <c r="BL38" s="116"/>
      <c r="BN38" s="115">
        <f>SUMIFS(wallet_records!$D:$D,wallet_records!$B:$B,'EEFF 2026'!$C38,wallet_records!$O:$O,'EEFF 2026'!$B$1,wallet_records!$N:$N,'EEFF 2026'!BN$2,wallet_records!$H:$H,'EEFF 2026'!$B38)</f>
        <v>0</v>
      </c>
      <c r="BO38" s="116"/>
      <c r="BP38" s="116"/>
      <c r="BQ38" s="116"/>
      <c r="BR38" s="116"/>
      <c r="BS38" s="116"/>
      <c r="BU38" s="115">
        <f>SUMIFS(wallet_records!$D:$D,wallet_records!$B:$B,'EEFF 2026'!$C38,wallet_records!$O:$O,'EEFF 2026'!$B$1,wallet_records!$N:$N,'EEFF 2026'!BU$2,wallet_records!$H:$H,'EEFF 2026'!$B38)</f>
        <v>0</v>
      </c>
      <c r="BV38" s="116"/>
      <c r="BW38" s="116"/>
      <c r="BX38" s="116"/>
      <c r="BY38" s="116"/>
      <c r="BZ38" s="116"/>
      <c r="CB38" s="115">
        <f>SUMIFS(wallet_records!$D:$D,wallet_records!$B:$B,'EEFF 2026'!$C38,wallet_records!$O:$O,'EEFF 2026'!$B$1,wallet_records!$N:$N,'EEFF 2026'!CB$2,wallet_records!$H:$H,'EEFF 2026'!$B38)</f>
        <v>0</v>
      </c>
      <c r="CC38" s="116"/>
      <c r="CD38" s="116"/>
      <c r="CE38" s="116"/>
      <c r="CF38" s="116"/>
      <c r="CG38" s="116"/>
      <c r="CI38" s="115">
        <f>SUMIFS(wallet_records!$D:$D,wallet_records!$B:$B,'EEFF 2026'!$C38,wallet_records!$O:$O,'EEFF 2026'!$B$1,wallet_records!$N:$N,'EEFF 2026'!CI$2,wallet_records!$H:$H,'EEFF 2026'!$B38)</f>
        <v>0</v>
      </c>
      <c r="CJ38" s="116"/>
      <c r="CK38" s="116"/>
      <c r="CL38" s="116"/>
      <c r="CM38" s="116"/>
      <c r="CN38" s="116"/>
      <c r="CP38" s="115">
        <f>SUMIFS(wallet_records!$D:$D,wallet_records!$B:$B,'EEFF 2026'!$C38,wallet_records!$O:$O,'EEFF 2026'!$B$1,wallet_records!$H:$H,'EEFF 2026'!$B38)</f>
        <v>461460</v>
      </c>
      <c r="CQ38" s="107"/>
      <c r="CR38" s="118">
        <f t="shared" si="0"/>
        <v>4.8612603501674991E-2</v>
      </c>
      <c r="CS38" s="118">
        <f t="shared" si="1"/>
        <v>0</v>
      </c>
      <c r="CT38" s="118" t="e">
        <f t="shared" si="2"/>
        <v>#DIV/0!</v>
      </c>
      <c r="CU38" s="118" t="e">
        <f t="shared" si="3"/>
        <v>#DIV/0!</v>
      </c>
      <c r="CV38" s="118" t="e">
        <f t="shared" si="4"/>
        <v>#DIV/0!</v>
      </c>
      <c r="CW38" s="118" t="e">
        <f t="shared" si="5"/>
        <v>#DIV/0!</v>
      </c>
      <c r="CX38" s="118" t="e">
        <f t="shared" si="6"/>
        <v>#DIV/0!</v>
      </c>
      <c r="CY38" s="118" t="e">
        <f t="shared" si="7"/>
        <v>#DIV/0!</v>
      </c>
      <c r="CZ38" s="118" t="e">
        <f t="shared" si="8"/>
        <v>#DIV/0!</v>
      </c>
      <c r="DA38" s="118" t="e">
        <f t="shared" si="9"/>
        <v>#DIV/0!</v>
      </c>
      <c r="DB38" s="118" t="e">
        <f t="shared" si="10"/>
        <v>#DIV/0!</v>
      </c>
      <c r="DC38" s="118" t="e">
        <f t="shared" si="11"/>
        <v>#DIV/0!</v>
      </c>
    </row>
    <row r="39" spans="2:107" x14ac:dyDescent="0.2">
      <c r="B39" s="296" t="s">
        <v>510</v>
      </c>
      <c r="C39" s="191" t="s">
        <v>131</v>
      </c>
      <c r="D39" s="115"/>
      <c r="E39" s="115"/>
      <c r="F39" s="115"/>
      <c r="G39" s="116"/>
      <c r="H39" s="116"/>
      <c r="I39" s="116"/>
      <c r="J39" s="116">
        <f>SUMIFS(wallet_records!$D:$D,wallet_records!$B:$B,'EEFF 2026'!$C39,wallet_records!$O:$O,'EEFF 2026'!$B$1,wallet_records!$N:$N,'EEFF 2026'!J$2,wallet_records!$H:$H,'EEFF 2026'!$B39)</f>
        <v>0</v>
      </c>
      <c r="K39" s="115"/>
      <c r="L39" s="115"/>
      <c r="M39" s="115"/>
      <c r="N39" s="116"/>
      <c r="O39" s="116"/>
      <c r="P39" s="116"/>
      <c r="Q39" s="115">
        <f>SUMIFS(wallet_records!$D:$D,wallet_records!$B:$B,'EEFF 2026'!$C39,wallet_records!$O:$O,'EEFF 2026'!$B$1,wallet_records!$N:$N,'EEFF 2026'!Q$2,wallet_records!$H:$H,'EEFF 2026'!$B39)</f>
        <v>0</v>
      </c>
      <c r="R39" s="116"/>
      <c r="S39" s="116"/>
      <c r="T39" s="116"/>
      <c r="U39" s="116"/>
      <c r="V39" s="116"/>
      <c r="X39" s="115">
        <f>SUMIFS(wallet_records!$D:$D,wallet_records!$B:$B,'EEFF 2026'!$C39,wallet_records!$O:$O,'EEFF 2026'!$B$1,wallet_records!$N:$N,'EEFF 2026'!X$2,wallet_records!$H:$H,'EEFF 2026'!$B39)</f>
        <v>0</v>
      </c>
      <c r="Y39" s="116"/>
      <c r="Z39" s="116"/>
      <c r="AA39" s="116"/>
      <c r="AB39" s="116"/>
      <c r="AC39" s="116"/>
      <c r="AE39" s="115">
        <f>SUMIFS(wallet_records!$D:$D,wallet_records!$B:$B,'EEFF 2026'!$C39,wallet_records!$O:$O,'EEFF 2026'!$B$1,wallet_records!$N:$N,'EEFF 2026'!AE$2,wallet_records!$H:$H,'EEFF 2026'!$B39)</f>
        <v>0</v>
      </c>
      <c r="AF39" s="116"/>
      <c r="AG39" s="116"/>
      <c r="AH39" s="116"/>
      <c r="AI39" s="116"/>
      <c r="AJ39" s="116"/>
      <c r="AL39" s="115">
        <f>SUMIFS(wallet_records!$D:$D,wallet_records!$B:$B,'EEFF 2026'!$C39,wallet_records!$O:$O,'EEFF 2026'!$B$1,wallet_records!$N:$N,'EEFF 2026'!AL$2,wallet_records!$H:$H,'EEFF 2026'!$B39)</f>
        <v>0</v>
      </c>
      <c r="AM39" s="116"/>
      <c r="AN39" s="116"/>
      <c r="AO39" s="116"/>
      <c r="AP39" s="116"/>
      <c r="AQ39" s="116"/>
      <c r="AS39" s="115">
        <f>SUMIFS(wallet_records!$D:$D,wallet_records!$B:$B,'EEFF 2026'!$C39,wallet_records!$O:$O,'EEFF 2026'!$B$1,wallet_records!$N:$N,'EEFF 2026'!AS$2,wallet_records!$H:$H,'EEFF 2026'!$B39)</f>
        <v>0</v>
      </c>
      <c r="AT39" s="116"/>
      <c r="AU39" s="116"/>
      <c r="AV39" s="116"/>
      <c r="AW39" s="116"/>
      <c r="AX39" s="116"/>
      <c r="AZ39" s="115">
        <f>SUMIFS(wallet_records!$D:$D,wallet_records!$B:$B,'EEFF 2026'!$C39,wallet_records!$O:$O,'EEFF 2026'!$B$1,wallet_records!$N:$N,'EEFF 2026'!AZ$2,wallet_records!$H:$H,'EEFF 2026'!$B39)</f>
        <v>0</v>
      </c>
      <c r="BA39" s="116"/>
      <c r="BB39" s="116"/>
      <c r="BC39" s="116"/>
      <c r="BD39" s="116"/>
      <c r="BE39" s="116"/>
      <c r="BG39" s="115">
        <f>SUMIFS(wallet_records!$D:$D,wallet_records!$B:$B,'EEFF 2026'!$C39,wallet_records!$O:$O,'EEFF 2026'!$B$1,wallet_records!$N:$N,'EEFF 2026'!BG$2,wallet_records!$H:$H,'EEFF 2026'!$B39)</f>
        <v>0</v>
      </c>
      <c r="BH39" s="116"/>
      <c r="BI39" s="116"/>
      <c r="BJ39" s="116"/>
      <c r="BK39" s="116"/>
      <c r="BL39" s="116"/>
      <c r="BN39" s="115">
        <f>SUMIFS(wallet_records!$D:$D,wallet_records!$B:$B,'EEFF 2026'!$C39,wallet_records!$O:$O,'EEFF 2026'!$B$1,wallet_records!$N:$N,'EEFF 2026'!BN$2,wallet_records!$H:$H,'EEFF 2026'!$B39)</f>
        <v>0</v>
      </c>
      <c r="BO39" s="116"/>
      <c r="BP39" s="116"/>
      <c r="BQ39" s="116"/>
      <c r="BR39" s="116"/>
      <c r="BS39" s="116"/>
      <c r="BU39" s="115">
        <f>SUMIFS(wallet_records!$D:$D,wallet_records!$B:$B,'EEFF 2026'!$C39,wallet_records!$O:$O,'EEFF 2026'!$B$1,wallet_records!$N:$N,'EEFF 2026'!BU$2,wallet_records!$H:$H,'EEFF 2026'!$B39)</f>
        <v>0</v>
      </c>
      <c r="BV39" s="116"/>
      <c r="BW39" s="116"/>
      <c r="BX39" s="116"/>
      <c r="BY39" s="116"/>
      <c r="BZ39" s="116"/>
      <c r="CB39" s="115">
        <f>SUMIFS(wallet_records!$D:$D,wallet_records!$B:$B,'EEFF 2026'!$C39,wallet_records!$O:$O,'EEFF 2026'!$B$1,wallet_records!$N:$N,'EEFF 2026'!CB$2,wallet_records!$H:$H,'EEFF 2026'!$B39)</f>
        <v>0</v>
      </c>
      <c r="CC39" s="116"/>
      <c r="CD39" s="116"/>
      <c r="CE39" s="116"/>
      <c r="CF39" s="116"/>
      <c r="CG39" s="116"/>
      <c r="CI39" s="115">
        <f>SUMIFS(wallet_records!$D:$D,wallet_records!$B:$B,'EEFF 2026'!$C39,wallet_records!$O:$O,'EEFF 2026'!$B$1,wallet_records!$N:$N,'EEFF 2026'!CI$2,wallet_records!$H:$H,'EEFF 2026'!$B39)</f>
        <v>0</v>
      </c>
      <c r="CJ39" s="116"/>
      <c r="CK39" s="116"/>
      <c r="CL39" s="116"/>
      <c r="CM39" s="116"/>
      <c r="CN39" s="116"/>
      <c r="CP39" s="115">
        <f>SUMIFS(wallet_records!$D:$D,wallet_records!$B:$B,'EEFF 2026'!$C39,wallet_records!$O:$O,'EEFF 2026'!$B$1,wallet_records!$H:$H,'EEFF 2026'!$B39)</f>
        <v>0</v>
      </c>
      <c r="CQ39" s="107"/>
      <c r="CR39" s="118">
        <f t="shared" si="0"/>
        <v>0</v>
      </c>
      <c r="CS39" s="118">
        <f t="shared" si="1"/>
        <v>0</v>
      </c>
      <c r="CT39" s="118" t="e">
        <f t="shared" si="2"/>
        <v>#DIV/0!</v>
      </c>
      <c r="CU39" s="118" t="e">
        <f t="shared" si="3"/>
        <v>#DIV/0!</v>
      </c>
      <c r="CV39" s="118" t="e">
        <f t="shared" si="4"/>
        <v>#DIV/0!</v>
      </c>
      <c r="CW39" s="118" t="e">
        <f t="shared" si="5"/>
        <v>#DIV/0!</v>
      </c>
      <c r="CX39" s="118" t="e">
        <f t="shared" si="6"/>
        <v>#DIV/0!</v>
      </c>
      <c r="CY39" s="118" t="e">
        <f t="shared" si="7"/>
        <v>#DIV/0!</v>
      </c>
      <c r="CZ39" s="118" t="e">
        <f t="shared" si="8"/>
        <v>#DIV/0!</v>
      </c>
      <c r="DA39" s="118" t="e">
        <f t="shared" si="9"/>
        <v>#DIV/0!</v>
      </c>
      <c r="DB39" s="118" t="e">
        <f t="shared" si="10"/>
        <v>#DIV/0!</v>
      </c>
      <c r="DC39" s="118" t="e">
        <f t="shared" si="11"/>
        <v>#DIV/0!</v>
      </c>
    </row>
    <row r="40" spans="2:107" x14ac:dyDescent="0.2">
      <c r="B40" s="297" t="s">
        <v>522</v>
      </c>
      <c r="C40" s="191" t="s">
        <v>136</v>
      </c>
      <c r="D40" s="115"/>
      <c r="E40" s="115"/>
      <c r="F40" s="115"/>
      <c r="G40" s="116"/>
      <c r="H40" s="116"/>
      <c r="I40" s="116"/>
      <c r="J40" s="116">
        <f>SUMIFS(wallet_records!$D:$D,wallet_records!$B:$B,'EEFF 2026'!$C40,wallet_records!$O:$O,'EEFF 2026'!$B$1,wallet_records!$N:$N,'EEFF 2026'!J$2,wallet_records!$H:$H,'EEFF 2026'!$B40,wallet_records!$F:$F,"Gasto")</f>
        <v>0</v>
      </c>
      <c r="K40" s="115"/>
      <c r="L40" s="115"/>
      <c r="M40" s="115"/>
      <c r="N40" s="116"/>
      <c r="O40" s="116"/>
      <c r="P40" s="116"/>
      <c r="Q40" s="115">
        <f>SUMIFS(wallet_records!$D:$D,wallet_records!$B:$B,'EEFF 2026'!$C40,wallet_records!$O:$O,'EEFF 2026'!$B$1,wallet_records!$N:$N,'EEFF 2026'!Q$2,wallet_records!$H:$H,'EEFF 2026'!$B40,wallet_records!$F:$F,"Gasto")</f>
        <v>0</v>
      </c>
      <c r="R40" s="116"/>
      <c r="S40" s="116"/>
      <c r="T40" s="116"/>
      <c r="U40" s="116"/>
      <c r="V40" s="116"/>
      <c r="X40" s="115">
        <f>SUMIFS(wallet_records!$D:$D,wallet_records!$B:$B,'EEFF 2026'!$C40,wallet_records!$O:$O,'EEFF 2026'!$B$1,wallet_records!$N:$N,'EEFF 2026'!X$2,wallet_records!$H:$H,'EEFF 2026'!$B40,wallet_records!$F:$F,"Gasto")</f>
        <v>0</v>
      </c>
      <c r="Y40" s="116"/>
      <c r="Z40" s="116"/>
      <c r="AA40" s="116"/>
      <c r="AB40" s="116"/>
      <c r="AC40" s="116"/>
      <c r="AE40" s="115">
        <f>SUMIFS(wallet_records!$D:$D,wallet_records!$B:$B,'EEFF 2026'!$C40,wallet_records!$O:$O,'EEFF 2026'!$B$1,wallet_records!$N:$N,'EEFF 2026'!AE$2,wallet_records!$H:$H,'EEFF 2026'!$B40,wallet_records!$F:$F,"Gasto")</f>
        <v>0</v>
      </c>
      <c r="AF40" s="116"/>
      <c r="AG40" s="116"/>
      <c r="AH40" s="116"/>
      <c r="AI40" s="116"/>
      <c r="AJ40" s="116"/>
      <c r="AL40" s="115">
        <f>SUMIFS(wallet_records!$D:$D,wallet_records!$B:$B,'EEFF 2026'!$C40,wallet_records!$O:$O,'EEFF 2026'!$B$1,wallet_records!$N:$N,'EEFF 2026'!AL$2,wallet_records!$H:$H,'EEFF 2026'!$B40,wallet_records!$F:$F,"Gasto")</f>
        <v>0</v>
      </c>
      <c r="AM40" s="116"/>
      <c r="AN40" s="116"/>
      <c r="AO40" s="116"/>
      <c r="AP40" s="116"/>
      <c r="AQ40" s="116"/>
      <c r="AS40" s="115">
        <f>SUMIFS(wallet_records!$D:$D,wallet_records!$B:$B,'EEFF 2026'!$C40,wallet_records!$O:$O,'EEFF 2026'!$B$1,wallet_records!$N:$N,'EEFF 2026'!AS$2,wallet_records!$H:$H,'EEFF 2026'!$B40,wallet_records!$F:$F,"Gasto")</f>
        <v>0</v>
      </c>
      <c r="AT40" s="116"/>
      <c r="AU40" s="116"/>
      <c r="AV40" s="116"/>
      <c r="AW40" s="116"/>
      <c r="AX40" s="116"/>
      <c r="AZ40" s="115">
        <f>SUMIFS(wallet_records!$D:$D,wallet_records!$B:$B,'EEFF 2026'!$C40,wallet_records!$O:$O,'EEFF 2026'!$B$1,wallet_records!$N:$N,'EEFF 2026'!AZ$2,wallet_records!$H:$H,'EEFF 2026'!$B40,wallet_records!$F:$F,"Gasto")</f>
        <v>0</v>
      </c>
      <c r="BA40" s="116"/>
      <c r="BB40" s="116"/>
      <c r="BC40" s="116"/>
      <c r="BD40" s="116"/>
      <c r="BE40" s="116"/>
      <c r="BG40" s="115">
        <f>SUMIFS(wallet_records!$D:$D,wallet_records!$B:$B,'EEFF 2026'!$C40,wallet_records!$O:$O,'EEFF 2026'!$B$1,wallet_records!$N:$N,'EEFF 2026'!BG$2,wallet_records!$H:$H,'EEFF 2026'!$B40,wallet_records!$F:$F,"Gasto")</f>
        <v>0</v>
      </c>
      <c r="BH40" s="116"/>
      <c r="BI40" s="116"/>
      <c r="BJ40" s="116"/>
      <c r="BK40" s="116"/>
      <c r="BL40" s="116"/>
      <c r="BN40" s="115">
        <f>SUMIFS(wallet_records!$D:$D,wallet_records!$B:$B,'EEFF 2026'!$C40,wallet_records!$O:$O,'EEFF 2026'!$B$1,wallet_records!$N:$N,'EEFF 2026'!BN$2,wallet_records!$H:$H,'EEFF 2026'!$B40,wallet_records!$F:$F,"Gasto")</f>
        <v>0</v>
      </c>
      <c r="BO40" s="116"/>
      <c r="BP40" s="116"/>
      <c r="BQ40" s="116"/>
      <c r="BR40" s="116"/>
      <c r="BS40" s="116"/>
      <c r="BU40" s="115">
        <f>SUMIFS(wallet_records!$D:$D,wallet_records!$B:$B,'EEFF 2026'!$C40,wallet_records!$O:$O,'EEFF 2026'!$B$1,wallet_records!$N:$N,'EEFF 2026'!BU$2,wallet_records!$H:$H,'EEFF 2026'!$B40,wallet_records!$F:$F,"Gasto")</f>
        <v>0</v>
      </c>
      <c r="BV40" s="116"/>
      <c r="BW40" s="116"/>
      <c r="BX40" s="116"/>
      <c r="BY40" s="116"/>
      <c r="BZ40" s="116"/>
      <c r="CB40" s="115">
        <f>SUMIFS(wallet_records!$D:$D,wallet_records!$B:$B,'EEFF 2026'!$C40,wallet_records!$O:$O,'EEFF 2026'!$B$1,wallet_records!$N:$N,'EEFF 2026'!CB$2,wallet_records!$H:$H,'EEFF 2026'!$B40,wallet_records!$F:$F,"Gasto")</f>
        <v>0</v>
      </c>
      <c r="CC40" s="116"/>
      <c r="CD40" s="116"/>
      <c r="CE40" s="116"/>
      <c r="CF40" s="116"/>
      <c r="CG40" s="116"/>
      <c r="CI40" s="115">
        <f>SUMIFS(wallet_records!$D:$D,wallet_records!$B:$B,'EEFF 2026'!$C40,wallet_records!$O:$O,'EEFF 2026'!$B$1,wallet_records!$N:$N,'EEFF 2026'!CI$2,wallet_records!$H:$H,'EEFF 2026'!$B40,wallet_records!$F:$F,"Gasto")</f>
        <v>0</v>
      </c>
      <c r="CJ40" s="116"/>
      <c r="CK40" s="116"/>
      <c r="CL40" s="116"/>
      <c r="CM40" s="116"/>
      <c r="CN40" s="116"/>
      <c r="CP40" s="115">
        <f>SUMIFS(wallet_records!$D:$D,wallet_records!$B:$B,'EEFF 2026'!$C40,wallet_records!$O:$O,'EEFF 2026'!$B$1,wallet_records!$H:$H,'EEFF 2026'!$B40,wallet_records!$F:$F,"Gasto")</f>
        <v>0</v>
      </c>
      <c r="CQ40" s="107"/>
      <c r="CR40" s="118">
        <f t="shared" si="0"/>
        <v>0</v>
      </c>
      <c r="CS40" s="118">
        <f t="shared" si="1"/>
        <v>0</v>
      </c>
      <c r="CT40" s="118" t="e">
        <f t="shared" ref="CT40:CT41" si="29">X40/X$6</f>
        <v>#DIV/0!</v>
      </c>
      <c r="CU40" s="118" t="e">
        <f t="shared" ref="CU40:CU41" si="30">AE40/AE$6</f>
        <v>#DIV/0!</v>
      </c>
      <c r="CV40" s="118" t="e">
        <f t="shared" ref="CV40:CV41" si="31">AL40/AL$6</f>
        <v>#DIV/0!</v>
      </c>
      <c r="CW40" s="118" t="e">
        <f t="shared" ref="CW40:CW41" si="32">AS40/AS$6</f>
        <v>#DIV/0!</v>
      </c>
      <c r="CX40" s="118" t="e">
        <f t="shared" ref="CX40:CX41" si="33">AZ40/AZ$6</f>
        <v>#DIV/0!</v>
      </c>
      <c r="CY40" s="118" t="e">
        <f t="shared" ref="CY40:CY41" si="34">BG40/BG$6</f>
        <v>#DIV/0!</v>
      </c>
      <c r="CZ40" s="118" t="e">
        <f t="shared" ref="CZ40:CZ41" si="35">BN40/BN$6</f>
        <v>#DIV/0!</v>
      </c>
      <c r="DA40" s="118" t="e">
        <f t="shared" ref="DA40:DA41" si="36">BU40/BU$6</f>
        <v>#DIV/0!</v>
      </c>
      <c r="DB40" s="118" t="e">
        <f t="shared" ref="DB40:DB41" si="37">CB40/CB$6</f>
        <v>#DIV/0!</v>
      </c>
      <c r="DC40" s="118" t="e">
        <f t="shared" ref="DC40:DC41" si="38">CI40/CI$6</f>
        <v>#DIV/0!</v>
      </c>
    </row>
    <row r="41" spans="2:107" x14ac:dyDescent="0.2">
      <c r="B41" s="298" t="s">
        <v>542</v>
      </c>
      <c r="C41" s="259" t="s">
        <v>136</v>
      </c>
      <c r="D41" s="115"/>
      <c r="E41" s="115"/>
      <c r="F41" s="115"/>
      <c r="G41" s="116"/>
      <c r="H41" s="116"/>
      <c r="I41" s="116"/>
      <c r="J41" s="116">
        <f>SUMIFS(wallet_records!$D:$D,wallet_records!$B:$B,'EEFF 2026'!$C41,wallet_records!$O:$O,'EEFF 2026'!$B$1,wallet_records!$N:$N,'EEFF 2026'!J$2,wallet_records!$H:$H,'EEFF 2026'!$B41,wallet_records!$F:$F,"Gasto")</f>
        <v>2700</v>
      </c>
      <c r="K41" s="115"/>
      <c r="L41" s="115"/>
      <c r="M41" s="115"/>
      <c r="N41" s="116"/>
      <c r="O41" s="116"/>
      <c r="P41" s="116"/>
      <c r="Q41" s="116">
        <f>SUMIFS(wallet_records!$D:$D,wallet_records!$B:$B,'EEFF 2026'!$C41,wallet_records!$O:$O,'EEFF 2026'!$B$1,wallet_records!$N:$N,'EEFF 2026'!Q$2,wallet_records!$H:$H,'EEFF 2026'!$B41,wallet_records!$F:$F,"Gasto")</f>
        <v>0</v>
      </c>
      <c r="R41" s="116"/>
      <c r="S41" s="116"/>
      <c r="T41" s="116"/>
      <c r="U41" s="116"/>
      <c r="V41" s="116"/>
      <c r="X41" s="115"/>
      <c r="Y41" s="116"/>
      <c r="Z41" s="116"/>
      <c r="AA41" s="116"/>
      <c r="AB41" s="116"/>
      <c r="AC41" s="116"/>
      <c r="AE41" s="115"/>
      <c r="AF41" s="116"/>
      <c r="AG41" s="116"/>
      <c r="AH41" s="116"/>
      <c r="AI41" s="116"/>
      <c r="AJ41" s="116"/>
      <c r="AL41" s="115"/>
      <c r="AM41" s="116"/>
      <c r="AN41" s="116"/>
      <c r="AO41" s="116"/>
      <c r="AP41" s="116"/>
      <c r="AQ41" s="116"/>
      <c r="AS41" s="115"/>
      <c r="AT41" s="116"/>
      <c r="AU41" s="116"/>
      <c r="AV41" s="116"/>
      <c r="AW41" s="116"/>
      <c r="AX41" s="116"/>
      <c r="AZ41" s="115"/>
      <c r="BA41" s="116"/>
      <c r="BB41" s="116"/>
      <c r="BC41" s="116"/>
      <c r="BD41" s="116"/>
      <c r="BE41" s="116"/>
      <c r="BG41" s="115"/>
      <c r="BH41" s="116"/>
      <c r="BI41" s="116"/>
      <c r="BJ41" s="116"/>
      <c r="BK41" s="116"/>
      <c r="BL41" s="116"/>
      <c r="BN41" s="115"/>
      <c r="BO41" s="116"/>
      <c r="BP41" s="116"/>
      <c r="BQ41" s="116"/>
      <c r="BR41" s="116"/>
      <c r="BS41" s="116"/>
      <c r="BU41" s="115"/>
      <c r="BV41" s="116"/>
      <c r="BW41" s="116"/>
      <c r="BX41" s="116"/>
      <c r="BY41" s="116"/>
      <c r="BZ41" s="116"/>
      <c r="CB41" s="115"/>
      <c r="CC41" s="116"/>
      <c r="CD41" s="116"/>
      <c r="CE41" s="116"/>
      <c r="CF41" s="116"/>
      <c r="CG41" s="116"/>
      <c r="CI41" s="115"/>
      <c r="CJ41" s="116"/>
      <c r="CK41" s="116"/>
      <c r="CL41" s="116"/>
      <c r="CM41" s="116"/>
      <c r="CN41" s="116"/>
      <c r="CP41" s="115"/>
      <c r="CQ41" s="107"/>
      <c r="CR41" s="118">
        <f t="shared" si="0"/>
        <v>2.8443208393906831E-4</v>
      </c>
      <c r="CS41" s="118">
        <f t="shared" si="1"/>
        <v>0</v>
      </c>
      <c r="CT41" s="118" t="e">
        <f t="shared" si="29"/>
        <v>#DIV/0!</v>
      </c>
      <c r="CU41" s="118" t="e">
        <f t="shared" si="30"/>
        <v>#DIV/0!</v>
      </c>
      <c r="CV41" s="118" t="e">
        <f t="shared" si="31"/>
        <v>#DIV/0!</v>
      </c>
      <c r="CW41" s="118" t="e">
        <f t="shared" si="32"/>
        <v>#DIV/0!</v>
      </c>
      <c r="CX41" s="118" t="e">
        <f t="shared" si="33"/>
        <v>#DIV/0!</v>
      </c>
      <c r="CY41" s="118" t="e">
        <f t="shared" si="34"/>
        <v>#DIV/0!</v>
      </c>
      <c r="CZ41" s="118" t="e">
        <f t="shared" si="35"/>
        <v>#DIV/0!</v>
      </c>
      <c r="DA41" s="118" t="e">
        <f t="shared" si="36"/>
        <v>#DIV/0!</v>
      </c>
      <c r="DB41" s="118" t="e">
        <f t="shared" si="37"/>
        <v>#DIV/0!</v>
      </c>
      <c r="DC41" s="118" t="e">
        <f t="shared" si="38"/>
        <v>#DIV/0!</v>
      </c>
    </row>
    <row r="42" spans="2:107" x14ac:dyDescent="0.2">
      <c r="B42" s="297" t="s">
        <v>216</v>
      </c>
      <c r="C42" s="191" t="s">
        <v>215</v>
      </c>
      <c r="D42" s="115"/>
      <c r="E42" s="115"/>
      <c r="F42" s="115"/>
      <c r="G42" s="116"/>
      <c r="H42" s="116"/>
      <c r="I42" s="116"/>
      <c r="J42" s="116">
        <f>SUMIFS(wallet_records!$D:$D,wallet_records!$B:$B,'EEFF 2026'!$C42,wallet_records!$O:$O,'EEFF 2026'!$B$1,wallet_records!$N:$N,'EEFF 2026'!J$2,wallet_records!$H:$H,'EEFF 2026'!$B42)</f>
        <v>0</v>
      </c>
      <c r="K42" s="115"/>
      <c r="L42" s="115"/>
      <c r="M42" s="115"/>
      <c r="N42" s="116"/>
      <c r="O42" s="116"/>
      <c r="P42" s="116"/>
      <c r="Q42" s="115">
        <f>SUMIFS(wallet_records!$D:$D,wallet_records!$B:$B,'EEFF 2026'!$C42,wallet_records!$O:$O,'EEFF 2026'!$B$1,wallet_records!$N:$N,'EEFF 2026'!Q$2,wallet_records!$H:$H,'EEFF 2026'!$B42)</f>
        <v>0</v>
      </c>
      <c r="R42" s="116"/>
      <c r="S42" s="116"/>
      <c r="T42" s="116"/>
      <c r="U42" s="116"/>
      <c r="V42" s="116"/>
      <c r="X42" s="115">
        <f>SUMIFS(wallet_records!$D:$D,wallet_records!$B:$B,'EEFF 2026'!$C42,wallet_records!$O:$O,'EEFF 2026'!$B$1,wallet_records!$N:$N,'EEFF 2026'!X$2,wallet_records!$H:$H,'EEFF 2026'!$B42)</f>
        <v>0</v>
      </c>
      <c r="Y42" s="116"/>
      <c r="Z42" s="116"/>
      <c r="AA42" s="116"/>
      <c r="AB42" s="116"/>
      <c r="AC42" s="116"/>
      <c r="AE42" s="115">
        <f>SUMIFS(wallet_records!$D:$D,wallet_records!$B:$B,'EEFF 2026'!$C42,wallet_records!$O:$O,'EEFF 2026'!$B$1,wallet_records!$N:$N,'EEFF 2026'!AE$2,wallet_records!$H:$H,'EEFF 2026'!$B42)</f>
        <v>0</v>
      </c>
      <c r="AF42" s="116"/>
      <c r="AG42" s="116"/>
      <c r="AH42" s="116"/>
      <c r="AI42" s="116"/>
      <c r="AJ42" s="116"/>
      <c r="AL42" s="115">
        <f>SUMIFS(wallet_records!$D:$D,wallet_records!$B:$B,'EEFF 2026'!$C42,wallet_records!$O:$O,'EEFF 2026'!$B$1,wallet_records!$N:$N,'EEFF 2026'!AL$2,wallet_records!$H:$H,'EEFF 2026'!$B42)</f>
        <v>0</v>
      </c>
      <c r="AM42" s="116"/>
      <c r="AN42" s="116"/>
      <c r="AO42" s="116"/>
      <c r="AP42" s="116"/>
      <c r="AQ42" s="116"/>
      <c r="AS42" s="115">
        <f>SUMIFS(wallet_records!$D:$D,wallet_records!$B:$B,'EEFF 2026'!$C42,wallet_records!$O:$O,'EEFF 2026'!$B$1,wallet_records!$N:$N,'EEFF 2026'!AS$2,wallet_records!$H:$H,'EEFF 2026'!$B42)</f>
        <v>0</v>
      </c>
      <c r="AT42" s="116"/>
      <c r="AU42" s="116"/>
      <c r="AV42" s="116"/>
      <c r="AW42" s="116"/>
      <c r="AX42" s="116"/>
      <c r="AZ42" s="115">
        <f>SUMIFS(wallet_records!$D:$D,wallet_records!$B:$B,'EEFF 2026'!$C42,wallet_records!$O:$O,'EEFF 2026'!$B$1,wallet_records!$N:$N,'EEFF 2026'!AZ$2,wallet_records!$H:$H,'EEFF 2026'!$B42)</f>
        <v>0</v>
      </c>
      <c r="BA42" s="116"/>
      <c r="BB42" s="116"/>
      <c r="BC42" s="116"/>
      <c r="BD42" s="116"/>
      <c r="BE42" s="116"/>
      <c r="BG42" s="115">
        <f>SUMIFS(wallet_records!$D:$D,wallet_records!$B:$B,'EEFF 2026'!$C42,wallet_records!$O:$O,'EEFF 2026'!$B$1,wallet_records!$N:$N,'EEFF 2026'!BG$2,wallet_records!$H:$H,'EEFF 2026'!$B42)</f>
        <v>0</v>
      </c>
      <c r="BH42" s="116"/>
      <c r="BI42" s="116"/>
      <c r="BJ42" s="116"/>
      <c r="BK42" s="116"/>
      <c r="BL42" s="116"/>
      <c r="BN42" s="115">
        <f>SUMIFS(wallet_records!$D:$D,wallet_records!$B:$B,'EEFF 2026'!$C42,wallet_records!$O:$O,'EEFF 2026'!$B$1,wallet_records!$N:$N,'EEFF 2026'!BN$2,wallet_records!$H:$H,'EEFF 2026'!$B42)</f>
        <v>0</v>
      </c>
      <c r="BO42" s="116"/>
      <c r="BP42" s="116"/>
      <c r="BQ42" s="116"/>
      <c r="BR42" s="116"/>
      <c r="BS42" s="116"/>
      <c r="BU42" s="115">
        <f>SUMIFS(wallet_records!$D:$D,wallet_records!$B:$B,'EEFF 2026'!$C42,wallet_records!$O:$O,'EEFF 2026'!$B$1,wallet_records!$N:$N,'EEFF 2026'!BU$2,wallet_records!$H:$H,'EEFF 2026'!$B42)</f>
        <v>0</v>
      </c>
      <c r="BV42" s="116"/>
      <c r="BW42" s="116"/>
      <c r="BX42" s="116"/>
      <c r="BY42" s="116"/>
      <c r="BZ42" s="116"/>
      <c r="CB42" s="115">
        <f>SUMIFS(wallet_records!$D:$D,wallet_records!$B:$B,'EEFF 2026'!$C42,wallet_records!$O:$O,'EEFF 2026'!$B$1,wallet_records!$N:$N,'EEFF 2026'!CB$2,wallet_records!$H:$H,'EEFF 2026'!$B42)</f>
        <v>0</v>
      </c>
      <c r="CC42" s="116"/>
      <c r="CD42" s="116"/>
      <c r="CE42" s="116"/>
      <c r="CF42" s="116"/>
      <c r="CG42" s="116"/>
      <c r="CI42" s="115">
        <f>SUMIFS(wallet_records!$D:$D,wallet_records!$B:$B,'EEFF 2026'!$C42,wallet_records!$O:$O,'EEFF 2026'!$B$1,wallet_records!$N:$N,'EEFF 2026'!CI$2,wallet_records!$H:$H,'EEFF 2026'!$B42)</f>
        <v>0</v>
      </c>
      <c r="CJ42" s="116"/>
      <c r="CK42" s="116"/>
      <c r="CL42" s="116"/>
      <c r="CM42" s="116"/>
      <c r="CN42" s="116"/>
      <c r="CP42" s="115">
        <f>SUMIFS(wallet_records!$D:$D,wallet_records!$B:$B,'EEFF 2026'!$C42,wallet_records!$O:$O,'EEFF 2026'!$B$1,wallet_records!$H:$H,'EEFF 2026'!$B42)</f>
        <v>0</v>
      </c>
      <c r="CQ42" s="107"/>
      <c r="CR42" s="118">
        <f t="shared" si="0"/>
        <v>0</v>
      </c>
      <c r="CS42" s="118">
        <f t="shared" si="1"/>
        <v>0</v>
      </c>
      <c r="CT42" s="118" t="e">
        <f t="shared" si="2"/>
        <v>#DIV/0!</v>
      </c>
      <c r="CU42" s="118" t="e">
        <f t="shared" si="3"/>
        <v>#DIV/0!</v>
      </c>
      <c r="CV42" s="118" t="e">
        <f t="shared" si="4"/>
        <v>#DIV/0!</v>
      </c>
      <c r="CW42" s="118" t="e">
        <f t="shared" si="5"/>
        <v>#DIV/0!</v>
      </c>
      <c r="CX42" s="118" t="e">
        <f t="shared" si="6"/>
        <v>#DIV/0!</v>
      </c>
      <c r="CY42" s="118" t="e">
        <f t="shared" si="7"/>
        <v>#DIV/0!</v>
      </c>
      <c r="CZ42" s="118" t="e">
        <f t="shared" si="8"/>
        <v>#DIV/0!</v>
      </c>
      <c r="DA42" s="118" t="e">
        <f t="shared" si="9"/>
        <v>#DIV/0!</v>
      </c>
      <c r="DB42" s="118" t="e">
        <f t="shared" si="10"/>
        <v>#DIV/0!</v>
      </c>
      <c r="DC42" s="118" t="e">
        <f t="shared" si="11"/>
        <v>#DIV/0!</v>
      </c>
    </row>
    <row r="43" spans="2:107" x14ac:dyDescent="0.2">
      <c r="B43" s="107" t="s">
        <v>125</v>
      </c>
      <c r="C43" s="191" t="s">
        <v>124</v>
      </c>
      <c r="D43" s="115"/>
      <c r="E43" s="115"/>
      <c r="F43" s="122"/>
      <c r="G43" s="116"/>
      <c r="H43" s="116"/>
      <c r="I43" s="116"/>
      <c r="J43" s="116">
        <f>SUMIFS(wallet_records!$D:$D,wallet_records!$B:$B,'EEFF 2026'!$C43,wallet_records!$O:$O,'EEFF 2026'!$B$1,wallet_records!$N:$N,'EEFF 2026'!J$2,wallet_records!$H:$H,'EEFF 2026'!$B43)</f>
        <v>457514.65000000008</v>
      </c>
      <c r="K43" s="115"/>
      <c r="L43" s="115"/>
      <c r="M43" s="115"/>
      <c r="N43" s="116"/>
      <c r="O43" s="116"/>
      <c r="P43" s="115"/>
      <c r="Q43" s="115">
        <f>SUMIFS(wallet_records!$D:$D,wallet_records!$B:$B,'EEFF 2026'!$C43,wallet_records!$O:$O,'EEFF 2026'!$B$1,wallet_records!$N:$N,'EEFF 2026'!Q$2,wallet_records!$H:$H,'EEFF 2026'!$B43)</f>
        <v>0</v>
      </c>
      <c r="R43" s="116"/>
      <c r="S43" s="116"/>
      <c r="T43" s="116"/>
      <c r="U43" s="116"/>
      <c r="V43" s="116"/>
      <c r="X43" s="115">
        <f>SUMIFS(wallet_records!$D:$D,wallet_records!$B:$B,'EEFF 2026'!$C43,wallet_records!$O:$O,'EEFF 2026'!$B$1,wallet_records!$N:$N,'EEFF 2026'!X$2,wallet_records!$H:$H,'EEFF 2026'!$B43)</f>
        <v>0</v>
      </c>
      <c r="Y43" s="116"/>
      <c r="Z43" s="116"/>
      <c r="AA43" s="116"/>
      <c r="AB43" s="116"/>
      <c r="AC43" s="116"/>
      <c r="AE43" s="115">
        <f>SUMIFS(wallet_records!$D:$D,wallet_records!$B:$B,'EEFF 2026'!$C43,wallet_records!$O:$O,'EEFF 2026'!$B$1,wallet_records!$N:$N,'EEFF 2026'!AE$2,wallet_records!$H:$H,'EEFF 2026'!$B43)</f>
        <v>0</v>
      </c>
      <c r="AF43" s="116"/>
      <c r="AG43" s="116"/>
      <c r="AH43" s="116"/>
      <c r="AI43" s="116"/>
      <c r="AJ43" s="116"/>
      <c r="AL43" s="115">
        <f>SUMIFS(wallet_records!$D:$D,wallet_records!$B:$B,'EEFF 2026'!$C43,wallet_records!$O:$O,'EEFF 2026'!$B$1,wallet_records!$N:$N,'EEFF 2026'!AL$2,wallet_records!$H:$H,'EEFF 2026'!$B43)</f>
        <v>0</v>
      </c>
      <c r="AM43" s="116"/>
      <c r="AN43" s="116"/>
      <c r="AO43" s="116"/>
      <c r="AP43" s="116"/>
      <c r="AQ43" s="116"/>
      <c r="AS43" s="115">
        <f>SUMIFS(wallet_records!$D:$D,wallet_records!$B:$B,'EEFF 2026'!$C43,wallet_records!$O:$O,'EEFF 2026'!$B$1,wallet_records!$N:$N,'EEFF 2026'!AS$2,wallet_records!$H:$H,'EEFF 2026'!$B43)</f>
        <v>0</v>
      </c>
      <c r="AT43" s="116"/>
      <c r="AU43" s="116"/>
      <c r="AV43" s="116"/>
      <c r="AW43" s="116"/>
      <c r="AX43" s="116"/>
      <c r="AZ43" s="115">
        <f>SUMIFS(wallet_records!$D:$D,wallet_records!$B:$B,'EEFF 2026'!$C43,wallet_records!$O:$O,'EEFF 2026'!$B$1,wallet_records!$N:$N,'EEFF 2026'!AZ$2,wallet_records!$H:$H,'EEFF 2026'!$B43)</f>
        <v>0</v>
      </c>
      <c r="BA43" s="116"/>
      <c r="BB43" s="116"/>
      <c r="BC43" s="116"/>
      <c r="BD43" s="116"/>
      <c r="BE43" s="116"/>
      <c r="BG43" s="115">
        <f>SUMIFS(wallet_records!$D:$D,wallet_records!$B:$B,'EEFF 2026'!$C43,wallet_records!$O:$O,'EEFF 2026'!$B$1,wallet_records!$N:$N,'EEFF 2026'!BG$2,wallet_records!$H:$H,'EEFF 2026'!$B43)</f>
        <v>0</v>
      </c>
      <c r="BH43" s="116"/>
      <c r="BI43" s="116"/>
      <c r="BJ43" s="116"/>
      <c r="BK43" s="116"/>
      <c r="BL43" s="116"/>
      <c r="BN43" s="115">
        <f>SUMIFS(wallet_records!$D:$D,wallet_records!$B:$B,'EEFF 2026'!$C43,wallet_records!$O:$O,'EEFF 2026'!$B$1,wallet_records!$N:$N,'EEFF 2026'!BN$2,wallet_records!$H:$H,'EEFF 2026'!$B43)</f>
        <v>0</v>
      </c>
      <c r="BO43" s="116"/>
      <c r="BP43" s="116"/>
      <c r="BQ43" s="116"/>
      <c r="BR43" s="116"/>
      <c r="BS43" s="116"/>
      <c r="BU43" s="115">
        <f>SUMIFS(wallet_records!$D:$D,wallet_records!$B:$B,'EEFF 2026'!$C43,wallet_records!$O:$O,'EEFF 2026'!$B$1,wallet_records!$N:$N,'EEFF 2026'!BU$2,wallet_records!$H:$H,'EEFF 2026'!$B43)</f>
        <v>0</v>
      </c>
      <c r="BV43" s="116"/>
      <c r="BW43" s="116"/>
      <c r="BX43" s="116"/>
      <c r="BY43" s="116"/>
      <c r="BZ43" s="116"/>
      <c r="CB43" s="115">
        <f>SUMIFS(wallet_records!$D:$D,wallet_records!$B:$B,'EEFF 2026'!$C43,wallet_records!$O:$O,'EEFF 2026'!$B$1,wallet_records!$N:$N,'EEFF 2026'!CB$2,wallet_records!$H:$H,'EEFF 2026'!$B43)</f>
        <v>0</v>
      </c>
      <c r="CC43" s="116"/>
      <c r="CD43" s="116"/>
      <c r="CE43" s="116"/>
      <c r="CF43" s="116"/>
      <c r="CG43" s="116"/>
      <c r="CI43" s="115">
        <f>SUMIFS(wallet_records!$D:$D,wallet_records!$B:$B,'EEFF 2026'!$C43,wallet_records!$O:$O,'EEFF 2026'!$B$1,wallet_records!$N:$N,'EEFF 2026'!CI$2,wallet_records!$H:$H,'EEFF 2026'!$B43)</f>
        <v>0</v>
      </c>
      <c r="CJ43" s="116"/>
      <c r="CK43" s="116"/>
      <c r="CL43" s="116"/>
      <c r="CM43" s="116"/>
      <c r="CN43" s="116"/>
      <c r="CP43" s="115">
        <f>SUMIFS(wallet_records!$D:$D,wallet_records!$B:$B,'EEFF 2026'!$C43,wallet_records!$O:$O,'EEFF 2026'!$B$1,wallet_records!$H:$H,'EEFF 2026'!$B43)</f>
        <v>457514.65000000008</v>
      </c>
      <c r="CQ43" s="107"/>
      <c r="CR43" s="118">
        <f t="shared" si="0"/>
        <v>4.8196979752649444E-2</v>
      </c>
      <c r="CS43" s="118">
        <f t="shared" si="1"/>
        <v>0</v>
      </c>
      <c r="CT43" s="118" t="e">
        <f t="shared" si="2"/>
        <v>#DIV/0!</v>
      </c>
      <c r="CU43" s="118" t="e">
        <f t="shared" si="3"/>
        <v>#DIV/0!</v>
      </c>
      <c r="CV43" s="118" t="e">
        <f t="shared" si="4"/>
        <v>#DIV/0!</v>
      </c>
      <c r="CW43" s="118" t="e">
        <f t="shared" si="5"/>
        <v>#DIV/0!</v>
      </c>
      <c r="CX43" s="118" t="e">
        <f t="shared" si="6"/>
        <v>#DIV/0!</v>
      </c>
      <c r="CY43" s="118" t="e">
        <f t="shared" si="7"/>
        <v>#DIV/0!</v>
      </c>
      <c r="CZ43" s="118" t="e">
        <f t="shared" si="8"/>
        <v>#DIV/0!</v>
      </c>
      <c r="DA43" s="118" t="e">
        <f t="shared" si="9"/>
        <v>#DIV/0!</v>
      </c>
      <c r="DB43" s="118" t="e">
        <f t="shared" si="10"/>
        <v>#DIV/0!</v>
      </c>
      <c r="DC43" s="118" t="e">
        <f t="shared" si="11"/>
        <v>#DIV/0!</v>
      </c>
    </row>
    <row r="44" spans="2:107" x14ac:dyDescent="0.2">
      <c r="B44" s="107" t="s">
        <v>155</v>
      </c>
      <c r="C44" s="191" t="s">
        <v>154</v>
      </c>
      <c r="D44" s="115"/>
      <c r="E44" s="115"/>
      <c r="F44" s="122"/>
      <c r="G44" s="116"/>
      <c r="H44" s="116"/>
      <c r="I44" s="116"/>
      <c r="J44" s="116">
        <f>SUMIFS(wallet_records!$D:$D,wallet_records!$B:$B,'EEFF 2026'!$C44,wallet_records!$O:$O,'EEFF 2026'!$B$1,wallet_records!$N:$N,'EEFF 2026'!J$2,wallet_records!$H:$H,'EEFF 2026'!$B44)</f>
        <v>0</v>
      </c>
      <c r="K44" s="115"/>
      <c r="L44" s="115"/>
      <c r="M44" s="115"/>
      <c r="N44" s="116"/>
      <c r="O44" s="116"/>
      <c r="P44" s="115"/>
      <c r="Q44" s="115">
        <f>SUMIFS(wallet_records!$D:$D,wallet_records!$B:$B,'EEFF 2026'!$C44,wallet_records!$O:$O,'EEFF 2026'!$B$1,wallet_records!$N:$N,'EEFF 2026'!Q$2,wallet_records!$H:$H,'EEFF 2026'!$B44)</f>
        <v>0</v>
      </c>
      <c r="R44" s="116"/>
      <c r="S44" s="116"/>
      <c r="T44" s="116"/>
      <c r="U44" s="116"/>
      <c r="V44" s="116"/>
      <c r="X44" s="115">
        <f>SUMIFS(wallet_records!$D:$D,wallet_records!$B:$B,'EEFF 2026'!$C44,wallet_records!$O:$O,'EEFF 2026'!$B$1,wallet_records!$N:$N,'EEFF 2026'!X$2,wallet_records!$H:$H,'EEFF 2026'!$B44)</f>
        <v>0</v>
      </c>
      <c r="Y44" s="116"/>
      <c r="Z44" s="116"/>
      <c r="AA44" s="116"/>
      <c r="AB44" s="116"/>
      <c r="AC44" s="116"/>
      <c r="AE44" s="115">
        <f>SUMIFS(wallet_records!$D:$D,wallet_records!$B:$B,'EEFF 2026'!$C44,wallet_records!$O:$O,'EEFF 2026'!$B$1,wallet_records!$N:$N,'EEFF 2026'!AE$2,wallet_records!$H:$H,'EEFF 2026'!$B44)</f>
        <v>0</v>
      </c>
      <c r="AF44" s="116"/>
      <c r="AG44" s="116"/>
      <c r="AH44" s="116"/>
      <c r="AI44" s="116"/>
      <c r="AJ44" s="116"/>
      <c r="AL44" s="115">
        <f>SUMIFS(wallet_records!$D:$D,wallet_records!$B:$B,'EEFF 2026'!$C44,wallet_records!$O:$O,'EEFF 2026'!$B$1,wallet_records!$N:$N,'EEFF 2026'!AL$2,wallet_records!$H:$H,'EEFF 2026'!$B44)</f>
        <v>0</v>
      </c>
      <c r="AM44" s="116"/>
      <c r="AN44" s="116"/>
      <c r="AO44" s="116"/>
      <c r="AP44" s="116"/>
      <c r="AQ44" s="116"/>
      <c r="AS44" s="115">
        <f>SUMIFS(wallet_records!$D:$D,wallet_records!$B:$B,'EEFF 2026'!$C44,wallet_records!$O:$O,'EEFF 2026'!$B$1,wallet_records!$N:$N,'EEFF 2026'!AS$2,wallet_records!$H:$H,'EEFF 2026'!$B44)</f>
        <v>0</v>
      </c>
      <c r="AT44" s="116"/>
      <c r="AU44" s="116"/>
      <c r="AV44" s="116"/>
      <c r="AW44" s="116"/>
      <c r="AX44" s="116"/>
      <c r="AZ44" s="115">
        <f>SUMIFS(wallet_records!$D:$D,wallet_records!$B:$B,'EEFF 2026'!$C44,wallet_records!$O:$O,'EEFF 2026'!$B$1,wallet_records!$N:$N,'EEFF 2026'!AZ$2,wallet_records!$H:$H,'EEFF 2026'!$B44)</f>
        <v>0</v>
      </c>
      <c r="BA44" s="116"/>
      <c r="BB44" s="116"/>
      <c r="BC44" s="116"/>
      <c r="BD44" s="116"/>
      <c r="BE44" s="116"/>
      <c r="BG44" s="115">
        <f>SUMIFS(wallet_records!$D:$D,wallet_records!$B:$B,'EEFF 2026'!$C44,wallet_records!$O:$O,'EEFF 2026'!$B$1,wallet_records!$N:$N,'EEFF 2026'!BG$2,wallet_records!$H:$H,'EEFF 2026'!$B44)</f>
        <v>0</v>
      </c>
      <c r="BH44" s="116"/>
      <c r="BI44" s="116"/>
      <c r="BJ44" s="116"/>
      <c r="BK44" s="116"/>
      <c r="BL44" s="116"/>
      <c r="BN44" s="115">
        <f>SUMIFS(wallet_records!$D:$D,wallet_records!$B:$B,'EEFF 2026'!$C44,wallet_records!$O:$O,'EEFF 2026'!$B$1,wallet_records!$N:$N,'EEFF 2026'!BN$2,wallet_records!$H:$H,'EEFF 2026'!$B44)</f>
        <v>0</v>
      </c>
      <c r="BO44" s="116"/>
      <c r="BP44" s="116"/>
      <c r="BQ44" s="116"/>
      <c r="BR44" s="116"/>
      <c r="BS44" s="116"/>
      <c r="BU44" s="115">
        <f>SUMIFS(wallet_records!$D:$D,wallet_records!$B:$B,'EEFF 2026'!$C44,wallet_records!$O:$O,'EEFF 2026'!$B$1,wallet_records!$N:$N,'EEFF 2026'!BU$2,wallet_records!$H:$H,'EEFF 2026'!$B44)</f>
        <v>0</v>
      </c>
      <c r="BV44" s="116"/>
      <c r="BW44" s="116"/>
      <c r="BX44" s="116"/>
      <c r="BY44" s="116"/>
      <c r="BZ44" s="116"/>
      <c r="CB44" s="115">
        <f>SUMIFS(wallet_records!$D:$D,wallet_records!$B:$B,'EEFF 2026'!$C44,wallet_records!$O:$O,'EEFF 2026'!$B$1,wallet_records!$N:$N,'EEFF 2026'!CB$2,wallet_records!$H:$H,'EEFF 2026'!$B44)</f>
        <v>0</v>
      </c>
      <c r="CC44" s="116"/>
      <c r="CD44" s="116"/>
      <c r="CE44" s="116"/>
      <c r="CF44" s="116"/>
      <c r="CG44" s="116"/>
      <c r="CI44" s="115">
        <f>SUMIFS(wallet_records!$D:$D,wallet_records!$B:$B,'EEFF 2026'!$C44,wallet_records!$O:$O,'EEFF 2026'!$B$1,wallet_records!$N:$N,'EEFF 2026'!CI$2,wallet_records!$H:$H,'EEFF 2026'!$B44)</f>
        <v>0</v>
      </c>
      <c r="CJ44" s="116"/>
      <c r="CK44" s="116"/>
      <c r="CL44" s="116"/>
      <c r="CM44" s="116"/>
      <c r="CN44" s="116"/>
      <c r="CP44" s="115">
        <f>SUMIFS(wallet_records!$D:$D,wallet_records!$B:$B,'EEFF 2026'!$C44,wallet_records!$O:$O,'EEFF 2026'!$B$1,wallet_records!$H:$H,'EEFF 2026'!$B44)</f>
        <v>0</v>
      </c>
      <c r="CQ44" s="107"/>
      <c r="CR44" s="118">
        <f t="shared" si="0"/>
        <v>0</v>
      </c>
      <c r="CS44" s="118">
        <f t="shared" si="1"/>
        <v>0</v>
      </c>
      <c r="CT44" s="118" t="e">
        <f t="shared" si="2"/>
        <v>#DIV/0!</v>
      </c>
      <c r="CU44" s="118" t="e">
        <f t="shared" si="3"/>
        <v>#DIV/0!</v>
      </c>
      <c r="CV44" s="118" t="e">
        <f t="shared" si="4"/>
        <v>#DIV/0!</v>
      </c>
      <c r="CW44" s="118" t="e">
        <f t="shared" si="5"/>
        <v>#DIV/0!</v>
      </c>
      <c r="CX44" s="118" t="e">
        <f t="shared" si="6"/>
        <v>#DIV/0!</v>
      </c>
      <c r="CY44" s="118" t="e">
        <f t="shared" si="7"/>
        <v>#DIV/0!</v>
      </c>
      <c r="CZ44" s="118" t="e">
        <f t="shared" si="8"/>
        <v>#DIV/0!</v>
      </c>
      <c r="DA44" s="118" t="e">
        <f t="shared" si="9"/>
        <v>#DIV/0!</v>
      </c>
      <c r="DB44" s="118" t="e">
        <f t="shared" si="10"/>
        <v>#DIV/0!</v>
      </c>
      <c r="DC44" s="118" t="e">
        <f t="shared" si="11"/>
        <v>#DIV/0!</v>
      </c>
    </row>
    <row r="45" spans="2:107" x14ac:dyDescent="0.2">
      <c r="B45" s="107" t="s">
        <v>205</v>
      </c>
      <c r="C45" s="191" t="s">
        <v>154</v>
      </c>
      <c r="D45" s="115"/>
      <c r="E45" s="115"/>
      <c r="F45" s="122"/>
      <c r="G45" s="123"/>
      <c r="H45" s="123"/>
      <c r="I45" s="123"/>
      <c r="J45" s="116">
        <f>SUMIFS(wallet_records!$D:$D,wallet_records!$B:$B,'EEFF 2026'!$C45,wallet_records!$O:$O,'EEFF 2026'!$B$1,wallet_records!$N:$N,'EEFF 2026'!J$2,wallet_records!$H:$H,'EEFF 2026'!$B45)</f>
        <v>8610.1200000000008</v>
      </c>
      <c r="K45" s="115"/>
      <c r="L45" s="115"/>
      <c r="M45" s="115"/>
      <c r="N45" s="116"/>
      <c r="O45" s="116"/>
      <c r="P45" s="115"/>
      <c r="Q45" s="115">
        <f>SUMIFS(wallet_records!$D:$D,wallet_records!$B:$B,'EEFF 2026'!$C45,wallet_records!$O:$O,'EEFF 2026'!$B$1,wallet_records!$N:$N,'EEFF 2026'!Q$2,wallet_records!$H:$H,'EEFF 2026'!$B45)</f>
        <v>0</v>
      </c>
      <c r="R45" s="116"/>
      <c r="S45" s="116"/>
      <c r="T45" s="116"/>
      <c r="U45" s="116"/>
      <c r="V45" s="116"/>
      <c r="X45" s="115">
        <f>SUMIFS(wallet_records!$D:$D,wallet_records!$B:$B,'EEFF 2026'!$C45,wallet_records!$O:$O,'EEFF 2026'!$B$1,wallet_records!$N:$N,'EEFF 2026'!X$2,wallet_records!$H:$H,'EEFF 2026'!$B45)</f>
        <v>0</v>
      </c>
      <c r="Y45" s="116"/>
      <c r="Z45" s="116"/>
      <c r="AA45" s="116"/>
      <c r="AB45" s="116"/>
      <c r="AC45" s="116"/>
      <c r="AE45" s="115">
        <f>SUMIFS(wallet_records!$D:$D,wallet_records!$B:$B,'EEFF 2026'!$C45,wallet_records!$O:$O,'EEFF 2026'!$B$1,wallet_records!$N:$N,'EEFF 2026'!AE$2,wallet_records!$H:$H,'EEFF 2026'!$B45)</f>
        <v>0</v>
      </c>
      <c r="AF45" s="116"/>
      <c r="AG45" s="116"/>
      <c r="AH45" s="116"/>
      <c r="AI45" s="116"/>
      <c r="AJ45" s="116"/>
      <c r="AL45" s="115">
        <f>SUMIFS(wallet_records!$D:$D,wallet_records!$B:$B,'EEFF 2026'!$C45,wallet_records!$O:$O,'EEFF 2026'!$B$1,wallet_records!$N:$N,'EEFF 2026'!AL$2,wallet_records!$H:$H,'EEFF 2026'!$B45)</f>
        <v>0</v>
      </c>
      <c r="AM45" s="116"/>
      <c r="AN45" s="116"/>
      <c r="AO45" s="116"/>
      <c r="AP45" s="116"/>
      <c r="AQ45" s="116"/>
      <c r="AS45" s="115">
        <f>SUMIFS(wallet_records!$D:$D,wallet_records!$B:$B,'EEFF 2026'!$C45,wallet_records!$O:$O,'EEFF 2026'!$B$1,wallet_records!$N:$N,'EEFF 2026'!AS$2,wallet_records!$H:$H,'EEFF 2026'!$B45)</f>
        <v>0</v>
      </c>
      <c r="AT45" s="116"/>
      <c r="AU45" s="116"/>
      <c r="AV45" s="116"/>
      <c r="AW45" s="116"/>
      <c r="AX45" s="116"/>
      <c r="AZ45" s="115">
        <f>SUMIFS(wallet_records!$D:$D,wallet_records!$B:$B,'EEFF 2026'!$C45,wallet_records!$O:$O,'EEFF 2026'!$B$1,wallet_records!$N:$N,'EEFF 2026'!AZ$2,wallet_records!$H:$H,'EEFF 2026'!$B45)</f>
        <v>0</v>
      </c>
      <c r="BA45" s="116"/>
      <c r="BB45" s="116"/>
      <c r="BC45" s="116"/>
      <c r="BD45" s="116"/>
      <c r="BE45" s="116"/>
      <c r="BG45" s="115">
        <f>SUMIFS(wallet_records!$D:$D,wallet_records!$B:$B,'EEFF 2026'!$C45,wallet_records!$O:$O,'EEFF 2026'!$B$1,wallet_records!$N:$N,'EEFF 2026'!BG$2,wallet_records!$H:$H,'EEFF 2026'!$B45)</f>
        <v>0</v>
      </c>
      <c r="BH45" s="116"/>
      <c r="BI45" s="116"/>
      <c r="BJ45" s="116"/>
      <c r="BK45" s="116"/>
      <c r="BL45" s="116"/>
      <c r="BN45" s="115">
        <f>SUMIFS(wallet_records!$D:$D,wallet_records!$B:$B,'EEFF 2026'!$C45,wallet_records!$O:$O,'EEFF 2026'!$B$1,wallet_records!$N:$N,'EEFF 2026'!BN$2,wallet_records!$H:$H,'EEFF 2026'!$B45)</f>
        <v>0</v>
      </c>
      <c r="BO45" s="116"/>
      <c r="BP45" s="116"/>
      <c r="BQ45" s="116"/>
      <c r="BR45" s="116"/>
      <c r="BS45" s="116"/>
      <c r="BU45" s="115">
        <f>SUMIFS(wallet_records!$D:$D,wallet_records!$B:$B,'EEFF 2026'!$C45,wallet_records!$O:$O,'EEFF 2026'!$B$1,wallet_records!$N:$N,'EEFF 2026'!BU$2,wallet_records!$H:$H,'EEFF 2026'!$B45)</f>
        <v>0</v>
      </c>
      <c r="BV45" s="116"/>
      <c r="BW45" s="116"/>
      <c r="BX45" s="116"/>
      <c r="BY45" s="116"/>
      <c r="BZ45" s="116"/>
      <c r="CB45" s="115">
        <f>SUMIFS(wallet_records!$D:$D,wallet_records!$B:$B,'EEFF 2026'!$C45,wallet_records!$O:$O,'EEFF 2026'!$B$1,wallet_records!$N:$N,'EEFF 2026'!CB$2,wallet_records!$H:$H,'EEFF 2026'!$B45)</f>
        <v>0</v>
      </c>
      <c r="CC45" s="116"/>
      <c r="CD45" s="116"/>
      <c r="CE45" s="116"/>
      <c r="CF45" s="116"/>
      <c r="CG45" s="116"/>
      <c r="CI45" s="115">
        <f>SUMIFS(wallet_records!$D:$D,wallet_records!$B:$B,'EEFF 2026'!$C45,wallet_records!$O:$O,'EEFF 2026'!$B$1,wallet_records!$N:$N,'EEFF 2026'!CI$2,wallet_records!$H:$H,'EEFF 2026'!$B45)</f>
        <v>0</v>
      </c>
      <c r="CJ45" s="116"/>
      <c r="CK45" s="123"/>
      <c r="CL45" s="123"/>
      <c r="CM45" s="123"/>
      <c r="CN45" s="123"/>
      <c r="CP45" s="115">
        <f>SUMIFS(wallet_records!$D:$D,wallet_records!$B:$B,'EEFF 2026'!$C45,wallet_records!$O:$O,'EEFF 2026'!$B$1,wallet_records!$H:$H,'EEFF 2026'!$B45)</f>
        <v>8610.1200000000008</v>
      </c>
      <c r="CQ45" s="107"/>
      <c r="CR45" s="118">
        <f t="shared" si="0"/>
        <v>9.0703495354275976E-4</v>
      </c>
      <c r="CS45" s="118">
        <f t="shared" si="1"/>
        <v>0</v>
      </c>
      <c r="CT45" s="118" t="e">
        <f t="shared" si="2"/>
        <v>#DIV/0!</v>
      </c>
      <c r="CU45" s="118" t="e">
        <f t="shared" si="3"/>
        <v>#DIV/0!</v>
      </c>
      <c r="CV45" s="118" t="e">
        <f t="shared" si="4"/>
        <v>#DIV/0!</v>
      </c>
      <c r="CW45" s="118" t="e">
        <f t="shared" si="5"/>
        <v>#DIV/0!</v>
      </c>
      <c r="CX45" s="118" t="e">
        <f t="shared" si="6"/>
        <v>#DIV/0!</v>
      </c>
      <c r="CY45" s="118" t="e">
        <f t="shared" si="7"/>
        <v>#DIV/0!</v>
      </c>
      <c r="CZ45" s="118" t="e">
        <f t="shared" si="8"/>
        <v>#DIV/0!</v>
      </c>
      <c r="DA45" s="118" t="e">
        <f t="shared" si="9"/>
        <v>#DIV/0!</v>
      </c>
      <c r="DB45" s="118" t="e">
        <f t="shared" si="10"/>
        <v>#DIV/0!</v>
      </c>
      <c r="DC45" s="118" t="e">
        <f t="shared" si="11"/>
        <v>#DIV/0!</v>
      </c>
    </row>
    <row r="46" spans="2:107" ht="16" x14ac:dyDescent="0.2">
      <c r="B46" s="199" t="s">
        <v>402</v>
      </c>
      <c r="C46" s="194"/>
      <c r="D46" s="124"/>
      <c r="E46" s="124"/>
      <c r="F46" s="124"/>
      <c r="G46" s="124"/>
      <c r="H46" s="124"/>
      <c r="I46" s="124"/>
      <c r="J46" s="263">
        <f>J16+J18-J19-J20-J21-J22-J23-J24-J25-J26-J27-J28-J29-J30-J31-J32-J33-J34-J35-J36-J37-J38-J39-J40-J41-J42+J43-J44-J45</f>
        <v>1809984.53</v>
      </c>
      <c r="K46" s="110"/>
      <c r="L46" s="110"/>
      <c r="M46" s="110"/>
      <c r="N46" s="110"/>
      <c r="O46" s="110"/>
      <c r="P46" s="110"/>
      <c r="Q46" s="263">
        <f>Q16+Q18-Q19-Q20-Q21-Q22-Q23-Q24-Q25-Q26-Q27-Q28-Q29-Q30-Q31-Q32-Q33-Q34-Q35-Q36-Q37-Q38-Q39-Q40-Q41-Q42+Q43-Q44-Q45</f>
        <v>-8677197</v>
      </c>
      <c r="R46" s="110"/>
      <c r="S46" s="110"/>
      <c r="T46" s="110"/>
      <c r="U46" s="110"/>
      <c r="V46" s="110"/>
      <c r="W46" s="110"/>
      <c r="X46" s="263">
        <f>X16+X18-X19-X20-X21-X22-X23-X24-X25-X26-X27-X28-X29-X30-X31-X32-X33-X34-X35-X36-X37-X38-X39-X40-X41-X42+X43-X44-X45</f>
        <v>0</v>
      </c>
      <c r="Y46" s="110"/>
      <c r="Z46" s="110"/>
      <c r="AA46" s="110"/>
      <c r="AB46" s="110"/>
      <c r="AC46" s="110"/>
      <c r="AD46" s="110"/>
      <c r="AE46" s="263">
        <f>AE16+AE18-AE19-AE20-AE21-AE22-AE23-AE24-AE25-AE26-AE27-AE28-AE29-AE30-AE31-AE32-AE33-AE34-AE35-AE36-AE37-AE38-AE39-AE40-AE41-AE42+AE43-AE44-AE45</f>
        <v>0</v>
      </c>
      <c r="AF46" s="110"/>
      <c r="AG46" s="110"/>
      <c r="AH46" s="110"/>
      <c r="AI46" s="110"/>
      <c r="AJ46" s="110"/>
      <c r="AK46" s="110"/>
      <c r="AL46" s="263">
        <f>AL16+AL18-AL19-AL20-AL21-AL22-AL23-AL24-AL25-AL26-AL27-AL28-AL29-AL30-AL31-AL32-AL33-AL34-AL35-AL36-AL37-AL38-AL39-AL40-AL41-AL42+AL43-AL44-AL45</f>
        <v>0</v>
      </c>
      <c r="AM46" s="110"/>
      <c r="AN46" s="110"/>
      <c r="AO46" s="110"/>
      <c r="AP46" s="110"/>
      <c r="AQ46" s="110"/>
      <c r="AR46" s="110"/>
      <c r="AS46" s="263">
        <f>AS16+AS18-AS19-AS20-AS21-AS22-AS23-AS24-AS25-AS26-AS27-AS28-AS29-AS30-AS31-AS32-AS33-AS34-AS35-AS36-AS37-AS38-AS39-AS40-AS41-AS42+AS43-AS44-AS45</f>
        <v>0</v>
      </c>
      <c r="AT46" s="110"/>
      <c r="AU46" s="110"/>
      <c r="AV46" s="110"/>
      <c r="AW46" s="110"/>
      <c r="AX46" s="110"/>
      <c r="AY46" s="110"/>
      <c r="AZ46" s="263">
        <f>AZ16+AZ18-AZ19-AZ20-AZ21-AZ22-AZ23-AZ24-AZ25-AZ26-AZ27-AZ28-AZ29-AZ30-AZ31-AZ32-AZ33-AZ34-AZ35-AZ36-AZ37-AZ38-AZ39-AZ40-AZ41-AZ42+AZ43-AZ44-AZ45</f>
        <v>0</v>
      </c>
      <c r="BA46" s="110"/>
      <c r="BB46" s="110"/>
      <c r="BC46" s="110"/>
      <c r="BD46" s="110"/>
      <c r="BE46" s="110"/>
      <c r="BF46" s="110"/>
      <c r="BG46" s="263">
        <f>BG16+BG18-BG19-BG20-BG21-BG22-BG23-BG24-BG25-BG26-BG27-BG28-BG29-BG30-BG31-BG32-BG33-BG34-BG35-BG36-BG37-BG38-BG39-BG40-BG41-BG42+BG43-BG44-BG45</f>
        <v>0</v>
      </c>
      <c r="BH46" s="110"/>
      <c r="BI46" s="110"/>
      <c r="BJ46" s="110"/>
      <c r="BK46" s="110"/>
      <c r="BL46" s="110"/>
      <c r="BM46" s="110"/>
      <c r="BN46" s="263">
        <f>BN16+BN18-BN19-BN20-BN21-BN22-BN23-BN24-BN25-BN26-BN27-BN28-BN29-BN30-BN31-BN32-BN33-BN34-BN35-BN36-BN37-BN38-BN39-BN40-BN41-BN42+BN43-BN44-BN45</f>
        <v>0</v>
      </c>
      <c r="BO46" s="110"/>
      <c r="BP46" s="110"/>
      <c r="BQ46" s="110"/>
      <c r="BR46" s="110"/>
      <c r="BS46" s="110"/>
      <c r="BT46" s="110"/>
      <c r="BU46" s="263">
        <f>BU16+BU18-BU19-BU20-BU21-BU22-BU23-BU24-BU25-BU26-BU27-BU28-BU29-BU30-BU31-BU32-BU33-BU34-BU35-BU36-BU37-BU38-BU39-BU40-BU41-BU42+BU43-BU44-BU45</f>
        <v>0</v>
      </c>
      <c r="BV46" s="110"/>
      <c r="BW46" s="110"/>
      <c r="BX46" s="110"/>
      <c r="BY46" s="110"/>
      <c r="BZ46" s="110"/>
      <c r="CA46" s="110"/>
      <c r="CB46" s="263">
        <f>CB16+CB18-CB19-CB20-CB21-CB22-CB23-CB24-CB25-CB26-CB27-CB28-CB29-CB30-CB31-CB32-CB33-CB34-CB35-CB36-CB37-CB38-CB39-CB40-CB41-CB42+CB43-CB44-CB45</f>
        <v>0</v>
      </c>
      <c r="CC46" s="110"/>
      <c r="CD46" s="110"/>
      <c r="CE46" s="110"/>
      <c r="CF46" s="110"/>
      <c r="CG46" s="110"/>
      <c r="CH46" s="110"/>
      <c r="CI46" s="263">
        <f>CI16+CI18-CI19-CI20-CI21-CI22-CI23-CI24-CI25-CI26-CI27-CI28-CI29-CI30-CI31-CI32-CI33-CI34-CI35-CI36-CI37-CI38-CI39-CI40-CI41-CI42+CI43-CI44-CI45</f>
        <v>0</v>
      </c>
      <c r="CJ46" s="110"/>
      <c r="CK46" s="110"/>
      <c r="CL46" s="110"/>
      <c r="CM46" s="110"/>
      <c r="CN46" s="110"/>
      <c r="CO46" s="110"/>
      <c r="CP46" s="263">
        <f>CP16+CP18-CP19-CP20-CP21-CP22-CP23-CP24-CP25-CP26-CP27-CP28-CP29-CP30-CP31-CP32-CP33-CP34-CP35-CP36-CP37-CP38-CP39-CP40-CP41-CP42+CP43-CP44-CP45</f>
        <v>-6864512.4699999997</v>
      </c>
      <c r="CQ46" s="107"/>
      <c r="CR46" s="125">
        <f t="shared" si="0"/>
        <v>0.19067321176495375</v>
      </c>
      <c r="CS46" s="125">
        <f t="shared" si="1"/>
        <v>-1.3481025696796445</v>
      </c>
      <c r="CT46" s="125" t="e">
        <f t="shared" si="2"/>
        <v>#DIV/0!</v>
      </c>
      <c r="CU46" s="125" t="e">
        <f t="shared" si="3"/>
        <v>#DIV/0!</v>
      </c>
      <c r="CV46" s="125" t="e">
        <f t="shared" si="4"/>
        <v>#DIV/0!</v>
      </c>
      <c r="CW46" s="125" t="e">
        <f t="shared" si="5"/>
        <v>#DIV/0!</v>
      </c>
      <c r="CX46" s="125" t="e">
        <f t="shared" si="6"/>
        <v>#DIV/0!</v>
      </c>
      <c r="CY46" s="125" t="e">
        <f t="shared" si="7"/>
        <v>#DIV/0!</v>
      </c>
      <c r="CZ46" s="125" t="e">
        <f t="shared" si="8"/>
        <v>#DIV/0!</v>
      </c>
      <c r="DA46" s="125" t="e">
        <f t="shared" si="9"/>
        <v>#DIV/0!</v>
      </c>
      <c r="DB46" s="125" t="e">
        <f t="shared" si="10"/>
        <v>#DIV/0!</v>
      </c>
      <c r="DC46" s="125" t="e">
        <f t="shared" si="11"/>
        <v>#DIV/0!</v>
      </c>
    </row>
    <row r="47" spans="2:107" ht="16" x14ac:dyDescent="0.2">
      <c r="B47" s="112" t="s">
        <v>90</v>
      </c>
      <c r="C47" s="192" t="s">
        <v>154</v>
      </c>
      <c r="D47" s="126"/>
      <c r="E47" s="126"/>
      <c r="F47" s="126"/>
      <c r="G47" s="127"/>
      <c r="H47" s="127"/>
      <c r="I47" s="127"/>
      <c r="J47" s="116">
        <f>SUMIFS(wallet_records!$D:$D,wallet_records!$B:$B,'EEFF 2026'!$C47,wallet_records!$O:$O,'EEFF 2026'!$B$1,wallet_records!$N:$N,'EEFF 2026'!J$2,wallet_records!$H:$H,'EEFF 2026'!$B47)</f>
        <v>0</v>
      </c>
      <c r="K47" s="115"/>
      <c r="L47" s="115"/>
      <c r="M47" s="115"/>
      <c r="N47" s="116"/>
      <c r="O47" s="116"/>
      <c r="P47" s="116"/>
      <c r="Q47" s="115">
        <f>SUMIFS(wallet_records!$D:$D,wallet_records!$B:$B,'EEFF 2026'!$C47,wallet_records!$O:$O,'EEFF 2026'!$B$1,wallet_records!$N:$N,'EEFF 2026'!Q$2,wallet_records!$H:$H,'EEFF 2026'!$B47)</f>
        <v>0</v>
      </c>
      <c r="R47" s="119"/>
      <c r="S47" s="119"/>
      <c r="T47" s="119"/>
      <c r="U47" s="128"/>
      <c r="V47" s="128"/>
      <c r="X47" s="115">
        <f>SUMIFS(wallet_records!$D:$D,wallet_records!$B:$B,'EEFF 2026'!$C47,wallet_records!$O:$O,'EEFF 2026'!$B$1,wallet_records!$N:$N,'EEFF 2026'!X$2,wallet_records!$H:$H,'EEFF 2026'!$B47)</f>
        <v>0</v>
      </c>
      <c r="Y47" s="128"/>
      <c r="Z47" s="128"/>
      <c r="AA47" s="128"/>
      <c r="AB47" s="128"/>
      <c r="AC47" s="128"/>
      <c r="AE47" s="115">
        <f>SUMIFS(wallet_records!$D:$D,wallet_records!$B:$B,'EEFF 2026'!$C47,wallet_records!$O:$O,'EEFF 2026'!$B$1,wallet_records!$N:$N,'EEFF 2026'!AE$2,wallet_records!$H:$H,'EEFF 2026'!$B47)</f>
        <v>0</v>
      </c>
      <c r="AF47" s="128"/>
      <c r="AG47" s="128"/>
      <c r="AH47" s="128"/>
      <c r="AI47" s="128"/>
      <c r="AJ47" s="128"/>
      <c r="AL47" s="115">
        <f>SUMIFS(wallet_records!$D:$D,wallet_records!$B:$B,'EEFF 2026'!$C47,wallet_records!$O:$O,'EEFF 2026'!$B$1,wallet_records!$N:$N,'EEFF 2026'!AL$2,wallet_records!$H:$H,'EEFF 2026'!$B47)</f>
        <v>0</v>
      </c>
      <c r="AM47" s="128"/>
      <c r="AN47" s="128"/>
      <c r="AO47" s="128"/>
      <c r="AP47" s="128"/>
      <c r="AQ47" s="128"/>
      <c r="AS47" s="115">
        <f>SUMIFS(wallet_records!$D:$D,wallet_records!$B:$B,'EEFF 2026'!$C47,wallet_records!$O:$O,'EEFF 2026'!$B$1,wallet_records!$N:$N,'EEFF 2026'!AS$2,wallet_records!$H:$H,'EEFF 2026'!$B47)</f>
        <v>0</v>
      </c>
      <c r="AT47" s="128"/>
      <c r="AU47" s="128"/>
      <c r="AV47" s="128"/>
      <c r="AW47" s="128"/>
      <c r="AX47" s="128"/>
      <c r="AZ47" s="115">
        <f>SUMIFS(wallet_records!$D:$D,wallet_records!$B:$B,'EEFF 2026'!$C47,wallet_records!$O:$O,'EEFF 2026'!$B$1,wallet_records!$N:$N,'EEFF 2026'!AZ$2,wallet_records!$H:$H,'EEFF 2026'!$B47)</f>
        <v>0</v>
      </c>
      <c r="BA47" s="128"/>
      <c r="BB47" s="128"/>
      <c r="BC47" s="128"/>
      <c r="BD47" s="128"/>
      <c r="BE47" s="128"/>
      <c r="BG47" s="115">
        <f>SUMIFS(wallet_records!$D:$D,wallet_records!$B:$B,'EEFF 2026'!$C47,wallet_records!$O:$O,'EEFF 2026'!$B$1,wallet_records!$N:$N,'EEFF 2026'!BG$2,wallet_records!$H:$H,'EEFF 2026'!$B47)</f>
        <v>0</v>
      </c>
      <c r="BH47" s="128"/>
      <c r="BI47" s="128"/>
      <c r="BJ47" s="128"/>
      <c r="BK47" s="128"/>
      <c r="BL47" s="128"/>
      <c r="BN47" s="115">
        <f>SUMIFS(wallet_records!$D:$D,wallet_records!$B:$B,'EEFF 2026'!$C47,wallet_records!$O:$O,'EEFF 2026'!$B$1,wallet_records!$N:$N,'EEFF 2026'!BN$2,wallet_records!$H:$H,'EEFF 2026'!$B47)</f>
        <v>0</v>
      </c>
      <c r="BO47" s="128"/>
      <c r="BP47" s="128"/>
      <c r="BQ47" s="128"/>
      <c r="BR47" s="128"/>
      <c r="BS47" s="128"/>
      <c r="BU47" s="115">
        <f>SUMIFS(wallet_records!$D:$D,wallet_records!$B:$B,'EEFF 2026'!$C47,wallet_records!$O:$O,'EEFF 2026'!$B$1,wallet_records!$N:$N,'EEFF 2026'!BU$2,wallet_records!$H:$H,'EEFF 2026'!$B47)</f>
        <v>0</v>
      </c>
      <c r="BV47" s="128"/>
      <c r="BW47" s="128"/>
      <c r="BX47" s="128"/>
      <c r="BY47" s="128"/>
      <c r="BZ47" s="128"/>
      <c r="CB47" s="115">
        <f>SUMIFS(wallet_records!$D:$D,wallet_records!$B:$B,'EEFF 2026'!$C47,wallet_records!$O:$O,'EEFF 2026'!$B$1,wallet_records!$N:$N,'EEFF 2026'!CB$2,wallet_records!$H:$H,'EEFF 2026'!$B47)</f>
        <v>0</v>
      </c>
      <c r="CC47" s="128"/>
      <c r="CD47" s="128"/>
      <c r="CE47" s="128"/>
      <c r="CF47" s="128"/>
      <c r="CG47" s="128"/>
      <c r="CI47" s="115">
        <f>SUMIFS(wallet_records!$D:$D,wallet_records!$B:$B,'EEFF 2026'!$C47,wallet_records!$O:$O,'EEFF 2026'!$B$1,wallet_records!$N:$N,'EEFF 2026'!CI$2,wallet_records!$H:$H,'EEFF 2026'!$B47)</f>
        <v>0</v>
      </c>
      <c r="CJ47" s="128"/>
      <c r="CK47" s="128"/>
      <c r="CL47" s="128"/>
      <c r="CM47" s="128"/>
      <c r="CN47" s="128"/>
      <c r="CP47" s="115">
        <f>SUMIFS(wallet_records!$D:$D,wallet_records!$B:$B,'EEFF 2026'!$C47,wallet_records!$O:$O,'EEFF 2026'!$B$1,wallet_records!$H:$H,'EEFF 2026'!$B47)</f>
        <v>0</v>
      </c>
      <c r="CQ47" s="107"/>
      <c r="CR47" s="111">
        <f t="shared" si="0"/>
        <v>0</v>
      </c>
      <c r="CS47" s="111">
        <f t="shared" si="1"/>
        <v>0</v>
      </c>
      <c r="CT47" s="111" t="e">
        <f t="shared" si="2"/>
        <v>#DIV/0!</v>
      </c>
      <c r="CU47" s="111" t="e">
        <f t="shared" si="3"/>
        <v>#DIV/0!</v>
      </c>
      <c r="CV47" s="111" t="e">
        <f t="shared" si="4"/>
        <v>#DIV/0!</v>
      </c>
      <c r="CW47" s="111" t="e">
        <f t="shared" si="5"/>
        <v>#DIV/0!</v>
      </c>
      <c r="CX47" s="111" t="e">
        <f t="shared" si="6"/>
        <v>#DIV/0!</v>
      </c>
      <c r="CY47" s="111" t="e">
        <f t="shared" si="7"/>
        <v>#DIV/0!</v>
      </c>
      <c r="CZ47" s="111" t="e">
        <f t="shared" si="8"/>
        <v>#DIV/0!</v>
      </c>
      <c r="DA47" s="111" t="e">
        <f t="shared" si="9"/>
        <v>#DIV/0!</v>
      </c>
      <c r="DB47" s="111" t="e">
        <f t="shared" si="10"/>
        <v>#DIV/0!</v>
      </c>
      <c r="DC47" s="111" t="e">
        <f t="shared" si="11"/>
        <v>#DIV/0!</v>
      </c>
    </row>
    <row r="48" spans="2:107" ht="16" x14ac:dyDescent="0.2">
      <c r="B48" s="129" t="s">
        <v>352</v>
      </c>
      <c r="C48" s="206"/>
      <c r="D48" s="130"/>
      <c r="E48" s="130"/>
      <c r="F48" s="130"/>
      <c r="G48" s="130"/>
      <c r="H48" s="130"/>
      <c r="I48" s="130"/>
      <c r="J48" s="110">
        <f>J46-J47</f>
        <v>1809984.53</v>
      </c>
      <c r="K48" s="110"/>
      <c r="L48" s="110"/>
      <c r="M48" s="110"/>
      <c r="N48" s="110"/>
      <c r="O48" s="110"/>
      <c r="P48" s="110"/>
      <c r="Q48" s="110">
        <f>Q46-Q47</f>
        <v>-8677197</v>
      </c>
      <c r="R48" s="110"/>
      <c r="S48" s="110"/>
      <c r="T48" s="110"/>
      <c r="U48" s="110"/>
      <c r="V48" s="110"/>
      <c r="W48" s="110"/>
      <c r="X48" s="110">
        <f>X46-X47</f>
        <v>0</v>
      </c>
      <c r="Y48" s="110"/>
      <c r="Z48" s="110"/>
      <c r="AA48" s="110"/>
      <c r="AB48" s="110"/>
      <c r="AC48" s="110"/>
      <c r="AD48" s="110"/>
      <c r="AE48" s="110">
        <f>AE46-AE47</f>
        <v>0</v>
      </c>
      <c r="AF48" s="110"/>
      <c r="AG48" s="110"/>
      <c r="AH48" s="110"/>
      <c r="AI48" s="110"/>
      <c r="AJ48" s="110"/>
      <c r="AK48" s="110"/>
      <c r="AL48" s="110">
        <f>AL46-AL47</f>
        <v>0</v>
      </c>
      <c r="AM48" s="110"/>
      <c r="AN48" s="110"/>
      <c r="AO48" s="110"/>
      <c r="AP48" s="110"/>
      <c r="AQ48" s="110"/>
      <c r="AR48" s="110"/>
      <c r="AS48" s="110">
        <f>AS46-AS47</f>
        <v>0</v>
      </c>
      <c r="AT48" s="110"/>
      <c r="AU48" s="110"/>
      <c r="AV48" s="110"/>
      <c r="AW48" s="110"/>
      <c r="AX48" s="110"/>
      <c r="AY48" s="110"/>
      <c r="AZ48" s="110">
        <f>AZ46-AZ47</f>
        <v>0</v>
      </c>
      <c r="BA48" s="110"/>
      <c r="BB48" s="110"/>
      <c r="BC48" s="110"/>
      <c r="BD48" s="110"/>
      <c r="BE48" s="110"/>
      <c r="BF48" s="110"/>
      <c r="BG48" s="110">
        <f>BG46-BG47</f>
        <v>0</v>
      </c>
      <c r="BH48" s="110"/>
      <c r="BI48" s="110"/>
      <c r="BJ48" s="110"/>
      <c r="BK48" s="110"/>
      <c r="BL48" s="110"/>
      <c r="BM48" s="110"/>
      <c r="BN48" s="110">
        <f>BN46-BN47</f>
        <v>0</v>
      </c>
      <c r="BO48" s="110"/>
      <c r="BP48" s="110"/>
      <c r="BQ48" s="110"/>
      <c r="BR48" s="110"/>
      <c r="BS48" s="110"/>
      <c r="BT48" s="110"/>
      <c r="BU48" s="110">
        <f>BU46-BU47</f>
        <v>0</v>
      </c>
      <c r="BV48" s="110"/>
      <c r="BW48" s="110"/>
      <c r="BX48" s="110"/>
      <c r="BY48" s="110"/>
      <c r="BZ48" s="110"/>
      <c r="CA48" s="110"/>
      <c r="CB48" s="110">
        <f>CB46-CB47</f>
        <v>0</v>
      </c>
      <c r="CC48" s="110"/>
      <c r="CD48" s="110"/>
      <c r="CE48" s="110"/>
      <c r="CF48" s="110"/>
      <c r="CG48" s="110"/>
      <c r="CH48" s="110"/>
      <c r="CI48" s="110">
        <f>CI46-CI47</f>
        <v>0</v>
      </c>
      <c r="CJ48" s="110"/>
      <c r="CK48" s="110"/>
      <c r="CL48" s="110"/>
      <c r="CM48" s="110"/>
      <c r="CN48" s="110"/>
      <c r="CO48" s="110"/>
      <c r="CP48" s="110">
        <f>CP46-CP47</f>
        <v>-6864512.4699999997</v>
      </c>
      <c r="CQ48" s="107"/>
      <c r="CR48" s="131">
        <f t="shared" si="0"/>
        <v>0.19067321176495375</v>
      </c>
      <c r="CS48" s="131">
        <f t="shared" si="1"/>
        <v>-1.3481025696796445</v>
      </c>
      <c r="CT48" s="131" t="e">
        <f>X48/X$6</f>
        <v>#DIV/0!</v>
      </c>
      <c r="CU48" s="131" t="e">
        <f>AE48/AE$6</f>
        <v>#DIV/0!</v>
      </c>
      <c r="CV48" s="131" t="e">
        <f>AL48/AL$6</f>
        <v>#DIV/0!</v>
      </c>
      <c r="CW48" s="131" t="e">
        <f>AS48/AS$6</f>
        <v>#DIV/0!</v>
      </c>
      <c r="CX48" s="131" t="e">
        <f>AZ48/AZ$6</f>
        <v>#DIV/0!</v>
      </c>
      <c r="CY48" s="131" t="e">
        <f>BG48/BG$6</f>
        <v>#DIV/0!</v>
      </c>
      <c r="CZ48" s="131" t="e">
        <f>BN48/BN$6</f>
        <v>#DIV/0!</v>
      </c>
      <c r="DA48" s="131" t="e">
        <f>BU48/BU$6</f>
        <v>#DIV/0!</v>
      </c>
      <c r="DB48" s="131" t="e">
        <f>CB48/CB$6</f>
        <v>#DIV/0!</v>
      </c>
      <c r="DC48" s="131" t="e">
        <f>CI48/CI$6</f>
        <v>#DIV/0!</v>
      </c>
    </row>
    <row r="49" spans="2:107" x14ac:dyDescent="0.2">
      <c r="D49" s="106"/>
      <c r="E49" s="106"/>
      <c r="F49" s="132"/>
      <c r="I49" s="133"/>
      <c r="J49" s="133"/>
      <c r="K49" s="106"/>
      <c r="L49" s="106"/>
      <c r="M49" s="134"/>
      <c r="P49" s="116"/>
      <c r="Q49" s="133"/>
      <c r="R49" s="133"/>
      <c r="S49" s="133"/>
      <c r="T49" s="133"/>
      <c r="U49" s="133"/>
      <c r="V49" s="133"/>
      <c r="Y49" s="133"/>
      <c r="Z49" s="133"/>
      <c r="AA49" s="133"/>
      <c r="AB49" s="133"/>
      <c r="AC49" s="133"/>
      <c r="AF49" s="133"/>
      <c r="AG49" s="133"/>
      <c r="AH49" s="133"/>
      <c r="AI49" s="133"/>
      <c r="AJ49" s="133"/>
      <c r="AM49" s="133"/>
      <c r="AN49" s="133"/>
      <c r="AO49" s="133"/>
      <c r="AP49" s="133"/>
      <c r="AQ49" s="133"/>
      <c r="AT49" s="133"/>
      <c r="AU49" s="133"/>
      <c r="AV49" s="133"/>
      <c r="AW49" s="133"/>
      <c r="AX49" s="133"/>
      <c r="BA49" s="133"/>
      <c r="BB49" s="133"/>
      <c r="BC49" s="133"/>
      <c r="BD49" s="133"/>
      <c r="BE49" s="133"/>
      <c r="BH49" s="133"/>
      <c r="BI49" s="133"/>
      <c r="BJ49" s="133"/>
      <c r="BK49" s="133"/>
      <c r="BL49" s="133"/>
      <c r="BO49" s="133"/>
      <c r="BP49" s="133"/>
      <c r="BQ49" s="133"/>
      <c r="BR49" s="133"/>
      <c r="BS49" s="133"/>
      <c r="BV49" s="133"/>
      <c r="BW49" s="133"/>
      <c r="BX49" s="133"/>
      <c r="BY49" s="133"/>
      <c r="BZ49" s="133"/>
      <c r="CC49" s="133"/>
      <c r="CD49" s="133"/>
      <c r="CE49" s="133"/>
      <c r="CF49" s="133"/>
      <c r="CG49" s="133"/>
      <c r="CJ49" s="133"/>
      <c r="CK49" s="133"/>
      <c r="CL49" s="133"/>
      <c r="CM49" s="133"/>
      <c r="CN49" s="133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</row>
    <row r="50" spans="2:107" ht="16" x14ac:dyDescent="0.2">
      <c r="D50" s="106"/>
      <c r="E50" s="106"/>
      <c r="F50" s="106"/>
      <c r="K50" s="106"/>
      <c r="L50" s="106"/>
      <c r="M50" s="106"/>
      <c r="P50" s="120"/>
    </row>
    <row r="51" spans="2:107" s="181" customFormat="1" ht="16" x14ac:dyDescent="0.2">
      <c r="B51" s="183" t="s">
        <v>403</v>
      </c>
      <c r="C51" s="214"/>
      <c r="D51" s="184"/>
      <c r="E51" s="185"/>
      <c r="F51" s="185"/>
      <c r="G51" s="185"/>
      <c r="I51" s="186"/>
      <c r="J51" s="186"/>
      <c r="K51" s="184"/>
      <c r="L51" s="185"/>
      <c r="M51" s="185"/>
      <c r="N51" s="185"/>
      <c r="P51" s="115"/>
      <c r="Q51" s="186"/>
      <c r="R51" s="186"/>
      <c r="S51" s="186"/>
      <c r="T51" s="186"/>
      <c r="U51" s="186"/>
      <c r="V51" s="186"/>
      <c r="Y51" s="186"/>
      <c r="Z51" s="186"/>
      <c r="AA51" s="186"/>
      <c r="AB51" s="186"/>
      <c r="AC51" s="186"/>
      <c r="AF51" s="186"/>
      <c r="AG51" s="186"/>
      <c r="AH51" s="186"/>
      <c r="AI51" s="186"/>
      <c r="AJ51" s="186"/>
      <c r="AM51" s="186"/>
      <c r="AN51" s="186"/>
      <c r="AO51" s="186"/>
      <c r="AP51" s="186"/>
      <c r="AQ51" s="186"/>
      <c r="AT51" s="186"/>
      <c r="AU51" s="186"/>
      <c r="AV51" s="186"/>
      <c r="AW51" s="186"/>
      <c r="AX51" s="186"/>
      <c r="BA51" s="186"/>
      <c r="BB51" s="186"/>
      <c r="BC51" s="186"/>
      <c r="BD51" s="186"/>
      <c r="BE51" s="186"/>
      <c r="BH51" s="186"/>
      <c r="BI51" s="186"/>
      <c r="BJ51" s="186"/>
      <c r="BK51" s="186"/>
      <c r="BL51" s="186"/>
      <c r="BO51" s="186"/>
      <c r="BP51" s="186"/>
      <c r="BQ51" s="186"/>
      <c r="BR51" s="186"/>
      <c r="BS51" s="186"/>
      <c r="BV51" s="186"/>
      <c r="BW51" s="186"/>
      <c r="BX51" s="186"/>
      <c r="BY51" s="186"/>
      <c r="BZ51" s="186"/>
      <c r="CC51" s="186"/>
      <c r="CD51" s="186"/>
      <c r="CE51" s="186"/>
      <c r="CF51" s="186"/>
      <c r="CG51" s="186"/>
      <c r="CJ51" s="186"/>
      <c r="CK51" s="186"/>
      <c r="CL51" s="186"/>
      <c r="CM51" s="186"/>
      <c r="CN51" s="186"/>
    </row>
    <row r="52" spans="2:107" x14ac:dyDescent="0.2">
      <c r="B52" s="105" t="s">
        <v>404</v>
      </c>
      <c r="D52" s="136"/>
      <c r="E52" s="136"/>
      <c r="F52" s="136"/>
      <c r="G52" s="137"/>
      <c r="H52" s="137"/>
      <c r="I52" s="137"/>
      <c r="J52" s="137">
        <f>SUM(J53:J59)</f>
        <v>70384786.280000001</v>
      </c>
      <c r="K52" s="138"/>
      <c r="L52" s="138"/>
      <c r="M52" s="138"/>
      <c r="N52" s="137"/>
      <c r="O52" s="137"/>
      <c r="P52" s="115"/>
      <c r="Q52" s="137">
        <f>SUM(Q53:W58)</f>
        <v>61371886.280000001</v>
      </c>
      <c r="R52" s="137"/>
      <c r="S52" s="137"/>
      <c r="T52" s="137"/>
      <c r="U52" s="137"/>
      <c r="V52" s="137"/>
      <c r="X52" s="137">
        <f>SUM(X53:AD58)</f>
        <v>0</v>
      </c>
      <c r="Y52" s="137"/>
      <c r="Z52" s="137"/>
      <c r="AA52" s="137"/>
      <c r="AB52" s="137"/>
      <c r="AC52" s="137"/>
      <c r="AE52" s="137">
        <f>SUM(AE53:AK58)</f>
        <v>0</v>
      </c>
      <c r="AF52" s="137"/>
      <c r="AG52" s="137"/>
      <c r="AH52" s="137"/>
      <c r="AI52" s="137"/>
      <c r="AJ52" s="137"/>
      <c r="AL52" s="137">
        <f>SUM(AL53:AR58)</f>
        <v>0</v>
      </c>
      <c r="AM52" s="137"/>
      <c r="AN52" s="137"/>
      <c r="AO52" s="137"/>
      <c r="AP52" s="137"/>
      <c r="AQ52" s="137"/>
      <c r="AS52" s="137">
        <f>SUM(AS53:AY58)</f>
        <v>0</v>
      </c>
      <c r="AT52" s="137"/>
      <c r="AU52" s="137"/>
      <c r="AV52" s="137"/>
      <c r="AW52" s="137"/>
      <c r="AX52" s="137"/>
      <c r="AZ52" s="137">
        <f>SUM(AZ53:BF58)</f>
        <v>0</v>
      </c>
      <c r="BA52" s="137"/>
      <c r="BB52" s="137"/>
      <c r="BC52" s="137"/>
      <c r="BD52" s="137"/>
      <c r="BE52" s="137"/>
      <c r="BG52" s="137">
        <f>SUM(BG53:BM58)</f>
        <v>0</v>
      </c>
      <c r="BH52" s="137"/>
      <c r="BI52" s="137"/>
      <c r="BJ52" s="137"/>
      <c r="BK52" s="137"/>
      <c r="BL52" s="137"/>
      <c r="BN52" s="137">
        <f>SUM(BN53:BT58)</f>
        <v>0</v>
      </c>
      <c r="BO52" s="137"/>
      <c r="BP52" s="137"/>
      <c r="BQ52" s="137"/>
      <c r="BR52" s="137"/>
      <c r="BS52" s="137"/>
      <c r="BU52" s="137">
        <f>SUM(BU53:CA58)</f>
        <v>0</v>
      </c>
      <c r="BV52" s="137"/>
      <c r="BW52" s="137"/>
      <c r="BX52" s="137"/>
      <c r="BY52" s="137"/>
      <c r="BZ52" s="137"/>
      <c r="CB52" s="137">
        <f>SUM(CB53:CH58)</f>
        <v>0</v>
      </c>
      <c r="CC52" s="137"/>
      <c r="CD52" s="137"/>
      <c r="CE52" s="137"/>
      <c r="CF52" s="137"/>
      <c r="CG52" s="137"/>
      <c r="CI52" s="137">
        <f>SUM(CI53:CO58)</f>
        <v>0</v>
      </c>
      <c r="CJ52" s="137"/>
      <c r="CK52" s="137"/>
      <c r="CL52" s="137"/>
      <c r="CM52" s="137"/>
      <c r="CN52" s="137"/>
      <c r="CP52" s="137"/>
      <c r="CR52" s="139">
        <f>J52/J$66</f>
        <v>3.5981776393052223E-2</v>
      </c>
      <c r="CS52" s="139">
        <f>Q52/Q$66</f>
        <v>3.1519471402561693E-2</v>
      </c>
      <c r="CT52" s="139">
        <f>X52/X$66</f>
        <v>0</v>
      </c>
      <c r="CU52" s="139">
        <f>AE52/AE$66</f>
        <v>0</v>
      </c>
      <c r="CV52" s="139">
        <f>AL52/AL$66</f>
        <v>0</v>
      </c>
      <c r="CW52" s="139">
        <f>AS52/AS$66</f>
        <v>0</v>
      </c>
      <c r="CX52" s="139">
        <f>AZ52/AZ$66</f>
        <v>0</v>
      </c>
      <c r="CY52" s="139">
        <f>BG52/BG$66</f>
        <v>0</v>
      </c>
      <c r="CZ52" s="139">
        <f>BN52/BN$66</f>
        <v>0</v>
      </c>
      <c r="DA52" s="139">
        <f>BU52/BU$66</f>
        <v>0</v>
      </c>
      <c r="DB52" s="139">
        <f>CB52/CB$66</f>
        <v>0</v>
      </c>
      <c r="DC52" s="139">
        <f>CI52/CI$66</f>
        <v>0</v>
      </c>
    </row>
    <row r="53" spans="2:107" x14ac:dyDescent="0.2">
      <c r="C53" s="204" t="s">
        <v>505</v>
      </c>
      <c r="D53" s="136"/>
      <c r="E53" s="136"/>
      <c r="F53" s="136"/>
      <c r="G53" s="137"/>
      <c r="H53" s="137"/>
      <c r="I53" s="137"/>
      <c r="J53" s="137">
        <v>12900</v>
      </c>
      <c r="K53" s="138"/>
      <c r="L53" s="138"/>
      <c r="M53" s="138"/>
      <c r="N53" s="137"/>
      <c r="O53" s="137"/>
      <c r="P53" s="115"/>
      <c r="Q53" s="137">
        <v>0</v>
      </c>
      <c r="R53" s="137"/>
      <c r="S53" s="137"/>
      <c r="T53" s="137"/>
      <c r="U53" s="137"/>
      <c r="V53" s="137"/>
      <c r="X53" s="137">
        <v>0</v>
      </c>
      <c r="Y53" s="137"/>
      <c r="Z53" s="137"/>
      <c r="AA53" s="137"/>
      <c r="AB53" s="137"/>
      <c r="AC53" s="137"/>
      <c r="AE53" s="137">
        <v>0</v>
      </c>
      <c r="AF53" s="137"/>
      <c r="AG53" s="137"/>
      <c r="AH53" s="137"/>
      <c r="AI53" s="137"/>
      <c r="AJ53" s="137"/>
      <c r="AL53" s="137">
        <v>0</v>
      </c>
      <c r="AM53" s="137"/>
      <c r="AN53" s="137"/>
      <c r="AO53" s="137"/>
      <c r="AP53" s="137"/>
      <c r="AQ53" s="137"/>
      <c r="AS53" s="137">
        <v>0</v>
      </c>
      <c r="AT53" s="137"/>
      <c r="AU53" s="137"/>
      <c r="AV53" s="137"/>
      <c r="AW53" s="137"/>
      <c r="AX53" s="137"/>
      <c r="AZ53" s="137">
        <v>0</v>
      </c>
      <c r="BA53" s="137"/>
      <c r="BB53" s="137"/>
      <c r="BC53" s="137"/>
      <c r="BD53" s="137"/>
      <c r="BE53" s="137"/>
      <c r="BG53" s="137">
        <v>0</v>
      </c>
      <c r="BH53" s="137"/>
      <c r="BI53" s="137"/>
      <c r="BJ53" s="137"/>
      <c r="BK53" s="137"/>
      <c r="BL53" s="137"/>
      <c r="BN53" s="137">
        <v>0</v>
      </c>
      <c r="BO53" s="137"/>
      <c r="BP53" s="137"/>
      <c r="BQ53" s="137"/>
      <c r="BR53" s="137"/>
      <c r="BS53" s="137"/>
      <c r="BU53" s="137">
        <v>0</v>
      </c>
      <c r="BV53" s="137"/>
      <c r="BW53" s="137"/>
      <c r="BX53" s="137"/>
      <c r="BY53" s="137"/>
      <c r="BZ53" s="137"/>
      <c r="CB53" s="137">
        <v>0</v>
      </c>
      <c r="CC53" s="137"/>
      <c r="CD53" s="137"/>
      <c r="CE53" s="137"/>
      <c r="CF53" s="137"/>
      <c r="CG53" s="137"/>
      <c r="CI53" s="137">
        <v>0</v>
      </c>
      <c r="CJ53" s="137"/>
      <c r="CK53" s="137"/>
      <c r="CL53" s="137"/>
      <c r="CM53" s="137"/>
      <c r="CN53" s="137"/>
      <c r="CP53" s="137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</row>
    <row r="54" spans="2:107" x14ac:dyDescent="0.2">
      <c r="C54" s="204" t="s">
        <v>127</v>
      </c>
      <c r="D54" s="136"/>
      <c r="E54" s="136"/>
      <c r="F54" s="136"/>
      <c r="G54" s="137"/>
      <c r="H54" s="137"/>
      <c r="I54" s="137"/>
      <c r="J54" s="116">
        <f>SUMIFS(Saldos!$D:$D,Saldos!$B:$B,'EEFF 2026'!J$2,Saldos!$C:$C,'EEFF 2026'!$B$1)</f>
        <v>21288891.809999999</v>
      </c>
      <c r="K54" s="138"/>
      <c r="L54" s="138"/>
      <c r="M54" s="138"/>
      <c r="N54" s="137"/>
      <c r="O54" s="137"/>
      <c r="P54" s="115"/>
      <c r="Q54" s="115">
        <f>SUMIFS(Saldos!$D:$D,Saldos!$B:$B,'EEFF 2026'!Q$2,Saldos!$C:$C,'EEFF 2026'!$B$1)</f>
        <v>11288891.810000001</v>
      </c>
      <c r="R54" s="137"/>
      <c r="S54" s="137"/>
      <c r="T54" s="137"/>
      <c r="U54" s="137"/>
      <c r="V54" s="137"/>
      <c r="X54" s="115">
        <f>SUMIFS(Saldos!$D:$D,Saldos!$B:$B,'EEFF 2026'!X$2,Saldos!$C:$C,'EEFF 2026'!$B$1)</f>
        <v>0</v>
      </c>
      <c r="Y54" s="137"/>
      <c r="Z54" s="137"/>
      <c r="AA54" s="137"/>
      <c r="AB54" s="137"/>
      <c r="AC54" s="137"/>
      <c r="AE54" s="115">
        <f>SUMIFS(Saldos!$D:$D,Saldos!$B:$B,'EEFF 2026'!AE$2,Saldos!$C:$C,'EEFF 2026'!$B$1)</f>
        <v>0</v>
      </c>
      <c r="AF54" s="137"/>
      <c r="AG54" s="137"/>
      <c r="AH54" s="137"/>
      <c r="AI54" s="137"/>
      <c r="AJ54" s="137"/>
      <c r="AL54" s="115">
        <f>SUMIFS(Saldos!$D:$D,Saldos!$B:$B,'EEFF 2026'!AL$2,Saldos!$C:$C,'EEFF 2026'!$B$1)</f>
        <v>0</v>
      </c>
      <c r="AM54" s="137"/>
      <c r="AN54" s="137"/>
      <c r="AO54" s="137"/>
      <c r="AP54" s="137"/>
      <c r="AQ54" s="137"/>
      <c r="AS54" s="115">
        <f>SUMIFS(Saldos!$D:$D,Saldos!$B:$B,'EEFF 2026'!AS$2,Saldos!$C:$C,'EEFF 2026'!$B$1)</f>
        <v>0</v>
      </c>
      <c r="AT54" s="137"/>
      <c r="AU54" s="137"/>
      <c r="AV54" s="137"/>
      <c r="AW54" s="137"/>
      <c r="AX54" s="137"/>
      <c r="AZ54" s="115">
        <f>SUMIFS(Saldos!$D:$D,Saldos!$B:$B,'EEFF 2026'!AZ$2,Saldos!$C:$C,'EEFF 2026'!$B$1)</f>
        <v>0</v>
      </c>
      <c r="BA54" s="137"/>
      <c r="BB54" s="137"/>
      <c r="BC54" s="137"/>
      <c r="BD54" s="137"/>
      <c r="BE54" s="137"/>
      <c r="BG54" s="115">
        <f>SUMIFS(Saldos!$D:$D,Saldos!$B:$B,'EEFF 2026'!BG$2,Saldos!$C:$C,'EEFF 2026'!$B$1)</f>
        <v>0</v>
      </c>
      <c r="BH54" s="137"/>
      <c r="BI54" s="137"/>
      <c r="BJ54" s="137"/>
      <c r="BK54" s="137"/>
      <c r="BL54" s="137"/>
      <c r="BN54" s="115">
        <f>SUMIFS(Saldos!$D:$D,Saldos!$B:$B,'EEFF 2026'!BN$2,Saldos!$C:$C,'EEFF 2026'!$B$1)</f>
        <v>0</v>
      </c>
      <c r="BO54" s="137"/>
      <c r="BP54" s="137"/>
      <c r="BQ54" s="137"/>
      <c r="BR54" s="137"/>
      <c r="BS54" s="137"/>
      <c r="BU54" s="115">
        <f>SUMIFS(Saldos!$D:$D,Saldos!$B:$B,'EEFF 2026'!BU$2,Saldos!$C:$C,'EEFF 2026'!$B$1)</f>
        <v>0</v>
      </c>
      <c r="BV54" s="137"/>
      <c r="BW54" s="137"/>
      <c r="BX54" s="137"/>
      <c r="BY54" s="137"/>
      <c r="BZ54" s="137"/>
      <c r="CB54" s="115">
        <f>SUMIFS(Saldos!$D:$D,Saldos!$B:$B,'EEFF 2026'!CB$2,Saldos!$C:$C,'EEFF 2026'!$B$1)</f>
        <v>0</v>
      </c>
      <c r="CC54" s="137"/>
      <c r="CD54" s="137"/>
      <c r="CE54" s="137"/>
      <c r="CF54" s="137"/>
      <c r="CG54" s="137"/>
      <c r="CI54" s="115">
        <f>SUMIFS(Saldos!$D:$D,Saldos!$B:$B,'EEFF 2026'!CI$2,Saldos!$C:$C,'EEFF 2026'!$B$1)</f>
        <v>0</v>
      </c>
      <c r="CJ54" s="137"/>
      <c r="CK54" s="137"/>
      <c r="CL54" s="137"/>
      <c r="CM54" s="137"/>
      <c r="CN54" s="137"/>
      <c r="CP54" s="137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</row>
    <row r="55" spans="2:107" x14ac:dyDescent="0.2">
      <c r="C55" s="204" t="s">
        <v>118</v>
      </c>
      <c r="D55" s="136"/>
      <c r="E55" s="136"/>
      <c r="F55" s="136"/>
      <c r="G55" s="137"/>
      <c r="H55" s="137"/>
      <c r="I55" s="137"/>
      <c r="J55" s="116">
        <f>SUMIFS(Saldos!$E:$E,Saldos!$B:$B,'EEFF 2026'!J$2,Saldos!$C:$C,'EEFF 2026'!$B$1)</f>
        <v>5322606.37</v>
      </c>
      <c r="K55" s="138"/>
      <c r="L55" s="138"/>
      <c r="M55" s="138"/>
      <c r="N55" s="137"/>
      <c r="O55" s="137"/>
      <c r="P55" s="115"/>
      <c r="Q55" s="115">
        <f>SUMIFS(Saldos!$E:$E,Saldos!$B:$B,'EEFF 2026'!Q$2,Saldos!$C:$C,'EEFF 2026'!$B$1)</f>
        <v>5322606.37</v>
      </c>
      <c r="R55" s="137"/>
      <c r="S55" s="137"/>
      <c r="T55" s="137"/>
      <c r="U55" s="137"/>
      <c r="V55" s="137"/>
      <c r="X55" s="115">
        <f>SUMIFS(Saldos!$E:$E,Saldos!$B:$B,'EEFF 2026'!X$2,Saldos!$C:$C,'EEFF 2026'!$B$1)</f>
        <v>0</v>
      </c>
      <c r="Y55" s="137"/>
      <c r="Z55" s="137"/>
      <c r="AA55" s="137"/>
      <c r="AB55" s="137"/>
      <c r="AC55" s="137"/>
      <c r="AE55" s="115">
        <f>SUMIFS(Saldos!$E:$E,Saldos!$B:$B,'EEFF 2026'!AE$2,Saldos!$C:$C,'EEFF 2026'!$B$1)</f>
        <v>0</v>
      </c>
      <c r="AF55" s="137"/>
      <c r="AG55" s="137"/>
      <c r="AH55" s="137"/>
      <c r="AI55" s="137"/>
      <c r="AJ55" s="137"/>
      <c r="AL55" s="115">
        <f>SUMIFS(Saldos!$E:$E,Saldos!$B:$B,'EEFF 2026'!AL$2,Saldos!$C:$C,'EEFF 2026'!$B$1)</f>
        <v>0</v>
      </c>
      <c r="AM55" s="137"/>
      <c r="AN55" s="137"/>
      <c r="AO55" s="137"/>
      <c r="AP55" s="137"/>
      <c r="AQ55" s="137"/>
      <c r="AS55" s="115">
        <f>SUMIFS(Saldos!$E:$E,Saldos!$B:$B,'EEFF 2026'!AS$2,Saldos!$C:$C,'EEFF 2026'!$B$1)</f>
        <v>0</v>
      </c>
      <c r="AT55" s="137"/>
      <c r="AU55" s="137"/>
      <c r="AV55" s="137"/>
      <c r="AW55" s="137"/>
      <c r="AX55" s="137"/>
      <c r="AZ55" s="115">
        <f>SUMIFS(Saldos!$E:$E,Saldos!$B:$B,'EEFF 2026'!AZ$2,Saldos!$C:$C,'EEFF 2026'!$B$1)</f>
        <v>0</v>
      </c>
      <c r="BA55" s="137"/>
      <c r="BB55" s="137"/>
      <c r="BC55" s="137"/>
      <c r="BD55" s="137"/>
      <c r="BE55" s="137"/>
      <c r="BG55" s="115">
        <f>SUMIFS(Saldos!$E:$E,Saldos!$B:$B,'EEFF 2026'!BG$2,Saldos!$C:$C,'EEFF 2026'!$B$1)</f>
        <v>0</v>
      </c>
      <c r="BH55" s="137"/>
      <c r="BI55" s="137"/>
      <c r="BJ55" s="137"/>
      <c r="BK55" s="137"/>
      <c r="BL55" s="137"/>
      <c r="BN55" s="115">
        <f>SUMIFS(Saldos!$E:$E,Saldos!$B:$B,'EEFF 2026'!BN$2,Saldos!$C:$C,'EEFF 2026'!$B$1)</f>
        <v>0</v>
      </c>
      <c r="BO55" s="137"/>
      <c r="BP55" s="137"/>
      <c r="BQ55" s="137"/>
      <c r="BR55" s="137"/>
      <c r="BS55" s="137"/>
      <c r="BU55" s="115">
        <f>SUMIFS(Saldos!$E:$E,Saldos!$B:$B,'EEFF 2026'!BU$2,Saldos!$C:$C,'EEFF 2026'!$B$1)</f>
        <v>0</v>
      </c>
      <c r="BV55" s="137"/>
      <c r="BW55" s="137"/>
      <c r="BX55" s="137"/>
      <c r="BY55" s="137"/>
      <c r="BZ55" s="137"/>
      <c r="CB55" s="115">
        <f>SUMIFS(Saldos!$E:$E,Saldos!$B:$B,'EEFF 2026'!CB$2,Saldos!$C:$C,'EEFF 2026'!$B$1)</f>
        <v>0</v>
      </c>
      <c r="CC55" s="137"/>
      <c r="CD55" s="137"/>
      <c r="CE55" s="137"/>
      <c r="CF55" s="137"/>
      <c r="CG55" s="137"/>
      <c r="CI55" s="115">
        <f>SUMIFS(Saldos!$E:$E,Saldos!$B:$B,'EEFF 2026'!CI$2,Saldos!$C:$C,'EEFF 2026'!$B$1)</f>
        <v>0</v>
      </c>
      <c r="CJ55" s="137"/>
      <c r="CK55" s="137"/>
      <c r="CL55" s="137"/>
      <c r="CM55" s="137"/>
      <c r="CN55" s="137"/>
      <c r="CP55" s="137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</row>
    <row r="56" spans="2:107" x14ac:dyDescent="0.2">
      <c r="C56" s="204" t="s">
        <v>515</v>
      </c>
      <c r="D56" s="136"/>
      <c r="E56" s="136"/>
      <c r="F56" s="136"/>
      <c r="G56" s="137"/>
      <c r="H56" s="137"/>
      <c r="I56" s="137"/>
      <c r="J56" s="116">
        <f>SUMIFS(Saldos!$F:$F,Saldos!$B:$B,'EEFF 2026'!J$2,Saldos!$C:$C,'EEFF 2026'!$B$1)</f>
        <v>14349590.199999999</v>
      </c>
      <c r="K56" s="138"/>
      <c r="L56" s="138"/>
      <c r="M56" s="138"/>
      <c r="N56" s="137"/>
      <c r="O56" s="137"/>
      <c r="P56" s="115"/>
      <c r="Q56" s="115">
        <f>SUMIFS(Saldos!$F:$F,Saldos!$B:$B,'EEFF 2026'!Q$2,Saldos!$C:$C,'EEFF 2026'!$B$1)</f>
        <v>14349590.199999999</v>
      </c>
      <c r="R56" s="137"/>
      <c r="S56" s="137"/>
      <c r="T56" s="137"/>
      <c r="U56" s="137"/>
      <c r="V56" s="137"/>
      <c r="X56" s="115">
        <f>SUMIFS(Saldos!$F:$F,Saldos!$B:$B,'EEFF 2026'!X$2,Saldos!$C:$C,'EEFF 2026'!$B$1)</f>
        <v>0</v>
      </c>
      <c r="Y56" s="137"/>
      <c r="Z56" s="137"/>
      <c r="AA56" s="137"/>
      <c r="AB56" s="137"/>
      <c r="AC56" s="137"/>
      <c r="AE56" s="115">
        <f>SUMIFS(Saldos!$F:$F,Saldos!$B:$B,'EEFF 2026'!AE$2,Saldos!$C:$C,'EEFF 2026'!$B$1)</f>
        <v>0</v>
      </c>
      <c r="AF56" s="137"/>
      <c r="AG56" s="137"/>
      <c r="AH56" s="137"/>
      <c r="AI56" s="137"/>
      <c r="AJ56" s="137"/>
      <c r="AL56" s="115">
        <f>SUMIFS(Saldos!$F:$F,Saldos!$B:$B,'EEFF 2026'!AL$2,Saldos!$C:$C,'EEFF 2026'!$B$1)</f>
        <v>0</v>
      </c>
      <c r="AM56" s="137"/>
      <c r="AN56" s="137"/>
      <c r="AO56" s="137"/>
      <c r="AP56" s="137"/>
      <c r="AQ56" s="137"/>
      <c r="AS56" s="115">
        <f>SUMIFS(Saldos!$F:$F,Saldos!$B:$B,'EEFF 2026'!AS$2,Saldos!$C:$C,'EEFF 2026'!$B$1)</f>
        <v>0</v>
      </c>
      <c r="AT56" s="137"/>
      <c r="AU56" s="137"/>
      <c r="AV56" s="137"/>
      <c r="AW56" s="137"/>
      <c r="AX56" s="137"/>
      <c r="AZ56" s="115">
        <f>SUMIFS(Saldos!$F:$F,Saldos!$B:$B,'EEFF 2026'!AZ$2,Saldos!$C:$C,'EEFF 2026'!$B$1)</f>
        <v>0</v>
      </c>
      <c r="BA56" s="137"/>
      <c r="BB56" s="137"/>
      <c r="BC56" s="137"/>
      <c r="BD56" s="137"/>
      <c r="BE56" s="137"/>
      <c r="BG56" s="115">
        <f>SUMIFS(Saldos!$F:$F,Saldos!$B:$B,'EEFF 2026'!BG$2,Saldos!$C:$C,'EEFF 2026'!$B$1)</f>
        <v>0</v>
      </c>
      <c r="BH56" s="137"/>
      <c r="BI56" s="137"/>
      <c r="BJ56" s="137"/>
      <c r="BK56" s="137"/>
      <c r="BL56" s="137"/>
      <c r="BN56" s="115">
        <f>SUMIFS(Saldos!$F:$F,Saldos!$B:$B,'EEFF 2026'!BN$2,Saldos!$C:$C,'EEFF 2026'!$B$1)</f>
        <v>0</v>
      </c>
      <c r="BO56" s="137"/>
      <c r="BP56" s="137"/>
      <c r="BQ56" s="137"/>
      <c r="BR56" s="137"/>
      <c r="BS56" s="137"/>
      <c r="BU56" s="115">
        <f>SUMIFS(Saldos!$F:$F,Saldos!$B:$B,'EEFF 2026'!BU$2,Saldos!$C:$C,'EEFF 2026'!$B$1)</f>
        <v>0</v>
      </c>
      <c r="BV56" s="137"/>
      <c r="BW56" s="137"/>
      <c r="BX56" s="137"/>
      <c r="BY56" s="137"/>
      <c r="BZ56" s="137"/>
      <c r="CB56" s="115">
        <f>SUMIFS(Saldos!$F:$F,Saldos!$B:$B,'EEFF 2026'!CB$2,Saldos!$C:$C,'EEFF 2026'!$B$1)</f>
        <v>0</v>
      </c>
      <c r="CC56" s="137"/>
      <c r="CD56" s="137"/>
      <c r="CE56" s="137"/>
      <c r="CF56" s="137"/>
      <c r="CG56" s="137"/>
      <c r="CI56" s="115">
        <f>SUMIFS(Saldos!$F:$F,Saldos!$B:$B,'EEFF 2026'!CI$2,Saldos!$C:$C,'EEFF 2026'!$B$1)</f>
        <v>0</v>
      </c>
      <c r="CJ56" s="137"/>
      <c r="CK56" s="137"/>
      <c r="CL56" s="137"/>
      <c r="CM56" s="137"/>
      <c r="CN56" s="137"/>
      <c r="CP56" s="137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</row>
    <row r="57" spans="2:107" x14ac:dyDescent="0.2">
      <c r="C57" s="256" t="s">
        <v>59</v>
      </c>
      <c r="D57" s="136"/>
      <c r="E57" s="136"/>
      <c r="F57" s="136"/>
      <c r="G57" s="137"/>
      <c r="H57" s="137"/>
      <c r="I57" s="137"/>
      <c r="J57" s="116">
        <f>SUMIFS(Saldos!$G:$G,Saldos!$B:$B,'EEFF 2026'!J$2,Saldos!$C:$C,'EEFF 2026'!$B$1)</f>
        <v>14088854.789999999</v>
      </c>
      <c r="K57" s="138"/>
      <c r="L57" s="138"/>
      <c r="M57" s="138"/>
      <c r="N57" s="137"/>
      <c r="O57" s="137"/>
      <c r="P57" s="115"/>
      <c r="Q57" s="116">
        <f>SUMIFS(Saldos!$G:$G,Saldos!$B:$B,'EEFF 2026'!Q$2,Saldos!$C:$C,'EEFF 2026'!$B$1)</f>
        <v>14088854.789999999</v>
      </c>
      <c r="R57" s="137"/>
      <c r="S57" s="137"/>
      <c r="T57" s="137"/>
      <c r="U57" s="137"/>
      <c r="V57" s="137"/>
      <c r="X57" s="116">
        <f>SUMIFS(Saldos!$G:$G,Saldos!$B:$B,'EEFF 2026'!X$2,Saldos!$C:$C,'EEFF 2026'!$B$1)</f>
        <v>0</v>
      </c>
      <c r="Y57" s="137"/>
      <c r="Z57" s="137"/>
      <c r="AA57" s="137"/>
      <c r="AB57" s="137"/>
      <c r="AC57" s="137"/>
      <c r="AE57" s="116">
        <f>SUMIFS(Saldos!$G:$G,Saldos!$B:$B,'EEFF 2026'!AE$2,Saldos!$C:$C,'EEFF 2026'!$B$1)</f>
        <v>0</v>
      </c>
      <c r="AF57" s="137"/>
      <c r="AG57" s="137"/>
      <c r="AH57" s="137"/>
      <c r="AI57" s="137"/>
      <c r="AJ57" s="137"/>
      <c r="AL57" s="116">
        <f>SUMIFS(Saldos!$G:$G,Saldos!$B:$B,'EEFF 2026'!AL$2,Saldos!$C:$C,'EEFF 2026'!$B$1)</f>
        <v>0</v>
      </c>
      <c r="AM57" s="137"/>
      <c r="AN57" s="137"/>
      <c r="AO57" s="137"/>
      <c r="AP57" s="137"/>
      <c r="AQ57" s="137"/>
      <c r="AS57" s="116">
        <f>SUMIFS(Saldos!$G:$G,Saldos!$B:$B,'EEFF 2026'!AS$2,Saldos!$C:$C,'EEFF 2026'!$B$1)</f>
        <v>0</v>
      </c>
      <c r="AT57" s="137"/>
      <c r="AU57" s="137"/>
      <c r="AV57" s="137"/>
      <c r="AW57" s="137"/>
      <c r="AX57" s="137"/>
      <c r="AZ57" s="116">
        <f>SUMIFS(Saldos!$G:$G,Saldos!$B:$B,'EEFF 2026'!AZ$2,Saldos!$C:$C,'EEFF 2026'!$B$1)</f>
        <v>0</v>
      </c>
      <c r="BA57" s="137"/>
      <c r="BB57" s="137"/>
      <c r="BC57" s="137"/>
      <c r="BD57" s="137"/>
      <c r="BE57" s="137"/>
      <c r="BG57" s="116">
        <f>SUMIFS(Saldos!$G:$G,Saldos!$B:$B,'EEFF 2026'!BG$2,Saldos!$C:$C,'EEFF 2026'!$B$1)</f>
        <v>0</v>
      </c>
      <c r="BH57" s="137"/>
      <c r="BI57" s="137"/>
      <c r="BJ57" s="137"/>
      <c r="BK57" s="137"/>
      <c r="BL57" s="137"/>
      <c r="BN57" s="116">
        <f>SUMIFS(Saldos!$G:$G,Saldos!$B:$B,'EEFF 2026'!BN$2,Saldos!$C:$C,'EEFF 2026'!$B$1)</f>
        <v>0</v>
      </c>
      <c r="BO57" s="137"/>
      <c r="BP57" s="137"/>
      <c r="BQ57" s="137"/>
      <c r="BR57" s="137"/>
      <c r="BS57" s="137"/>
      <c r="BU57" s="116">
        <f>SUMIFS(Saldos!$G:$G,Saldos!$B:$B,'EEFF 2026'!BU$2,Saldos!$C:$C,'EEFF 2026'!$B$1)</f>
        <v>0</v>
      </c>
      <c r="BV57" s="137"/>
      <c r="BW57" s="137"/>
      <c r="BX57" s="137"/>
      <c r="BY57" s="137"/>
      <c r="BZ57" s="137"/>
      <c r="CB57" s="116">
        <f>SUMIFS(Saldos!$G:$G,Saldos!$B:$B,'EEFF 2026'!CB$2,Saldos!$C:$C,'EEFF 2026'!$B$1)</f>
        <v>0</v>
      </c>
      <c r="CC57" s="137"/>
      <c r="CD57" s="137"/>
      <c r="CE57" s="137"/>
      <c r="CF57" s="137"/>
      <c r="CG57" s="137"/>
      <c r="CI57" s="116">
        <f>SUMIFS(Saldos!$G:$G,Saldos!$B:$B,'EEFF 2026'!CI$2,Saldos!$C:$C,'EEFF 2026'!$B$1)</f>
        <v>0</v>
      </c>
      <c r="CJ57" s="137"/>
      <c r="CK57" s="137"/>
      <c r="CL57" s="137"/>
      <c r="CM57" s="137"/>
      <c r="CN57" s="137"/>
      <c r="CP57" s="137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</row>
    <row r="58" spans="2:107" x14ac:dyDescent="0.2">
      <c r="C58" s="204" t="s">
        <v>516</v>
      </c>
      <c r="D58" s="136"/>
      <c r="E58" s="136"/>
      <c r="F58" s="136"/>
      <c r="G58" s="137"/>
      <c r="H58" s="137"/>
      <c r="I58" s="137"/>
      <c r="J58" s="116">
        <f>SUMIFS(Saldos!$H:$H,Saldos!$B:$B,'EEFF 2026'!J$2,Saldos!$C:$C,'EEFF 2026'!$B$1)</f>
        <v>15321943.109999999</v>
      </c>
      <c r="K58" s="138"/>
      <c r="L58" s="138"/>
      <c r="M58" s="138"/>
      <c r="N58" s="137"/>
      <c r="O58" s="137"/>
      <c r="P58" s="115"/>
      <c r="Q58" s="115">
        <f>SUMIFS(Saldos!$H:$H,Saldos!$B:$B,'EEFF 2026'!Q$2,Saldos!$C:$C,'EEFF 2026'!$B$1)</f>
        <v>16321943.109999999</v>
      </c>
      <c r="R58" s="137"/>
      <c r="S58" s="137"/>
      <c r="T58" s="137"/>
      <c r="U58" s="137"/>
      <c r="V58" s="137"/>
      <c r="X58" s="115">
        <f>SUMIFS(Saldos!$H:$H,Saldos!$B:$B,'EEFF 2026'!X$2,Saldos!$C:$C,'EEFF 2026'!$B$1)</f>
        <v>0</v>
      </c>
      <c r="Y58" s="137"/>
      <c r="Z58" s="137"/>
      <c r="AA58" s="137"/>
      <c r="AB58" s="137"/>
      <c r="AC58" s="137"/>
      <c r="AE58" s="115">
        <f>SUMIFS(Saldos!$H:$H,Saldos!$B:$B,'EEFF 2026'!AE$2,Saldos!$C:$C,'EEFF 2026'!$B$1)</f>
        <v>0</v>
      </c>
      <c r="AF58" s="137"/>
      <c r="AG58" s="137"/>
      <c r="AH58" s="137"/>
      <c r="AI58" s="137"/>
      <c r="AJ58" s="137"/>
      <c r="AL58" s="115">
        <f>SUMIFS(Saldos!$H:$H,Saldos!$B:$B,'EEFF 2026'!AL$2,Saldos!$C:$C,'EEFF 2026'!$B$1)</f>
        <v>0</v>
      </c>
      <c r="AM58" s="137"/>
      <c r="AN58" s="137"/>
      <c r="AO58" s="137"/>
      <c r="AP58" s="137"/>
      <c r="AQ58" s="137"/>
      <c r="AS58" s="115">
        <f>SUMIFS(Saldos!$H:$H,Saldos!$B:$B,'EEFF 2026'!AS$2,Saldos!$C:$C,'EEFF 2026'!$B$1)</f>
        <v>0</v>
      </c>
      <c r="AT58" s="137"/>
      <c r="AU58" s="137"/>
      <c r="AV58" s="137"/>
      <c r="AW58" s="137"/>
      <c r="AX58" s="137"/>
      <c r="AZ58" s="115">
        <f>SUMIFS(Saldos!$H:$H,Saldos!$B:$B,'EEFF 2026'!AZ$2,Saldos!$C:$C,'EEFF 2026'!$B$1)</f>
        <v>0</v>
      </c>
      <c r="BA58" s="137"/>
      <c r="BB58" s="137"/>
      <c r="BC58" s="137"/>
      <c r="BD58" s="137"/>
      <c r="BE58" s="137"/>
      <c r="BG58" s="115">
        <f>SUMIFS(Saldos!$H:$H,Saldos!$B:$B,'EEFF 2026'!BG$2,Saldos!$C:$C,'EEFF 2026'!$B$1)</f>
        <v>0</v>
      </c>
      <c r="BH58" s="137"/>
      <c r="BI58" s="137"/>
      <c r="BJ58" s="137"/>
      <c r="BK58" s="137"/>
      <c r="BL58" s="137"/>
      <c r="BN58" s="115">
        <f>SUMIFS(Saldos!$H:$H,Saldos!$B:$B,'EEFF 2026'!BN$2,Saldos!$C:$C,'EEFF 2026'!$B$1)</f>
        <v>0</v>
      </c>
      <c r="BO58" s="137"/>
      <c r="BP58" s="137"/>
      <c r="BQ58" s="137"/>
      <c r="BR58" s="137"/>
      <c r="BS58" s="137"/>
      <c r="BU58" s="115">
        <f>SUMIFS(Saldos!$H:$H,Saldos!$B:$B,'EEFF 2026'!BU$2,Saldos!$C:$C,'EEFF 2026'!$B$1)</f>
        <v>0</v>
      </c>
      <c r="BV58" s="137"/>
      <c r="BW58" s="137"/>
      <c r="BX58" s="137"/>
      <c r="BY58" s="137"/>
      <c r="BZ58" s="137"/>
      <c r="CB58" s="115">
        <f>SUMIFS(Saldos!$H:$H,Saldos!$B:$B,'EEFF 2026'!CB$2,Saldos!$C:$C,'EEFF 2026'!$B$1)</f>
        <v>0</v>
      </c>
      <c r="CC58" s="137"/>
      <c r="CD58" s="137"/>
      <c r="CE58" s="137"/>
      <c r="CF58" s="137"/>
      <c r="CG58" s="137"/>
      <c r="CI58" s="115">
        <f>SUMIFS(Saldos!$H:$H,Saldos!$B:$B,'EEFF 2026'!CI$2,Saldos!$C:$C,'EEFF 2026'!$B$1)</f>
        <v>0</v>
      </c>
      <c r="CJ58" s="137"/>
      <c r="CK58" s="137"/>
      <c r="CL58" s="137"/>
      <c r="CM58" s="137"/>
      <c r="CN58" s="137"/>
      <c r="CP58" s="137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</row>
    <row r="59" spans="2:107" x14ac:dyDescent="0.2">
      <c r="C59" s="204" t="s">
        <v>126</v>
      </c>
      <c r="D59" s="136"/>
      <c r="E59" s="136"/>
      <c r="F59" s="136"/>
      <c r="G59" s="137"/>
      <c r="H59" s="137"/>
      <c r="I59" s="137"/>
      <c r="J59" s="116">
        <f>SUMIFS(Saldos!$I:$I,Saldos!$B:$B,'EEFF 2026'!J$2,Saldos!$C:$C,'EEFF 2026'!$B$1)</f>
        <v>0</v>
      </c>
      <c r="K59" s="138"/>
      <c r="L59" s="138"/>
      <c r="M59" s="138"/>
      <c r="N59" s="137"/>
      <c r="O59" s="137"/>
      <c r="P59" s="115"/>
      <c r="Q59" s="115">
        <f>SUMIFS(Saldos!$I:$I,Saldos!$B:$B,'EEFF 2026'!Q$2,Saldos!$C:$C,'EEFF 2026'!$B$1)</f>
        <v>0</v>
      </c>
      <c r="R59" s="115">
        <f>SUMIFS(Saldos!$I:$I,Saldos!$B:$B,'EEFF 2026'!R$2,Saldos!$C:$C,'EEFF 2026'!$B$1)</f>
        <v>0</v>
      </c>
      <c r="S59" s="115">
        <f>SUMIFS(Saldos!$I:$I,Saldos!$B:$B,'EEFF 2026'!S$2,Saldos!$C:$C,'EEFF 2026'!$B$1)</f>
        <v>0</v>
      </c>
      <c r="T59" s="115">
        <f>SUMIFS(Saldos!$I:$I,Saldos!$B:$B,'EEFF 2026'!T$2,Saldos!$C:$C,'EEFF 2026'!$B$1)</f>
        <v>0</v>
      </c>
      <c r="U59" s="115">
        <f>SUMIFS(Saldos!$I:$I,Saldos!$B:$B,'EEFF 2026'!U$2,Saldos!$C:$C,'EEFF 2026'!$B$1)</f>
        <v>0</v>
      </c>
      <c r="V59" s="115">
        <f>SUMIFS(Saldos!$I:$I,Saldos!$B:$B,'EEFF 2026'!V$2,Saldos!$C:$C,'EEFF 2026'!$B$1)</f>
        <v>0</v>
      </c>
      <c r="W59" s="115">
        <f>SUMIFS(Saldos!$I:$I,Saldos!$B:$B,'EEFF 2026'!W$2,Saldos!$C:$C,'EEFF 2026'!$B$1)</f>
        <v>0</v>
      </c>
      <c r="X59" s="115">
        <f>SUMIFS(Saldos!$I:$I,Saldos!$B:$B,'EEFF 2026'!X$2,Saldos!$C:$C,'EEFF 2026'!$B$1)</f>
        <v>0</v>
      </c>
      <c r="Y59" s="137"/>
      <c r="Z59" s="137"/>
      <c r="AA59" s="137"/>
      <c r="AB59" s="137"/>
      <c r="AC59" s="137"/>
      <c r="AE59" s="115">
        <f>SUMIFS(Saldos!$I:$I,Saldos!$B:$B,'EEFF 2026'!AE$2,Saldos!$C:$C,'EEFF 2026'!$B$1)</f>
        <v>0</v>
      </c>
      <c r="AF59" s="137"/>
      <c r="AG59" s="137"/>
      <c r="AH59" s="137"/>
      <c r="AI59" s="137"/>
      <c r="AJ59" s="137"/>
      <c r="AL59" s="115">
        <f>SUMIFS(Saldos!$I:$I,Saldos!$B:$B,'EEFF 2026'!AL$2,Saldos!$C:$C,'EEFF 2026'!$B$1)</f>
        <v>0</v>
      </c>
      <c r="AM59" s="137"/>
      <c r="AN59" s="137"/>
      <c r="AO59" s="137"/>
      <c r="AP59" s="137"/>
      <c r="AQ59" s="137"/>
      <c r="AS59" s="115">
        <f>SUMIFS(Saldos!$I:$I,Saldos!$B:$B,'EEFF 2026'!AS$2,Saldos!$C:$C,'EEFF 2026'!$B$1)</f>
        <v>0</v>
      </c>
      <c r="AT59" s="137"/>
      <c r="AU59" s="137"/>
      <c r="AV59" s="137"/>
      <c r="AW59" s="137"/>
      <c r="AX59" s="137"/>
      <c r="AZ59" s="115">
        <f>SUMIFS(Saldos!$I:$I,Saldos!$B:$B,'EEFF 2026'!AZ$2,Saldos!$C:$C,'EEFF 2026'!$B$1)</f>
        <v>0</v>
      </c>
      <c r="BA59" s="137"/>
      <c r="BB59" s="137"/>
      <c r="BC59" s="137"/>
      <c r="BD59" s="137"/>
      <c r="BE59" s="137"/>
      <c r="BG59" s="115">
        <f>SUMIFS(Saldos!$I:$I,Saldos!$B:$B,'EEFF 2026'!BG$2,Saldos!$C:$C,'EEFF 2026'!$B$1)</f>
        <v>0</v>
      </c>
      <c r="BH59" s="137"/>
      <c r="BI59" s="137"/>
      <c r="BJ59" s="137"/>
      <c r="BK59" s="137"/>
      <c r="BL59" s="137"/>
      <c r="BN59" s="115">
        <f>SUMIFS(Saldos!$I:$I,Saldos!$B:$B,'EEFF 2026'!BN$2,Saldos!$C:$C,'EEFF 2026'!$B$1)</f>
        <v>0</v>
      </c>
      <c r="BO59" s="137"/>
      <c r="BP59" s="137"/>
      <c r="BQ59" s="137"/>
      <c r="BR59" s="137"/>
      <c r="BS59" s="137"/>
      <c r="BU59" s="115">
        <f>SUMIFS(Saldos!$I:$I,Saldos!$B:$B,'EEFF 2026'!BU$2,Saldos!$C:$C,'EEFF 2026'!$B$1)</f>
        <v>0</v>
      </c>
      <c r="BV59" s="137"/>
      <c r="BW59" s="137"/>
      <c r="BX59" s="137"/>
      <c r="BY59" s="137"/>
      <c r="BZ59" s="137"/>
      <c r="CB59" s="115">
        <f>SUMIFS(Saldos!$I:$I,Saldos!$B:$B,'EEFF 2026'!CB$2,Saldos!$C:$C,'EEFF 2026'!$B$1)</f>
        <v>0</v>
      </c>
      <c r="CC59" s="137"/>
      <c r="CD59" s="137"/>
      <c r="CE59" s="137"/>
      <c r="CF59" s="137"/>
      <c r="CG59" s="137"/>
      <c r="CI59" s="115">
        <f>SUMIFS(Saldos!$I:$I,Saldos!$B:$B,'EEFF 2026'!CI$2,Saldos!$C:$C,'EEFF 2026'!$B$1)</f>
        <v>0</v>
      </c>
      <c r="CJ59" s="137"/>
      <c r="CK59" s="137"/>
      <c r="CL59" s="137"/>
      <c r="CM59" s="137"/>
      <c r="CN59" s="137"/>
      <c r="CP59" s="137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</row>
    <row r="60" spans="2:107" x14ac:dyDescent="0.2">
      <c r="B60" s="105" t="s">
        <v>405</v>
      </c>
      <c r="D60" s="136"/>
      <c r="E60" s="136"/>
      <c r="F60" s="136"/>
      <c r="G60" s="133"/>
      <c r="H60" s="133"/>
      <c r="I60" s="133"/>
      <c r="K60" s="138"/>
      <c r="L60" s="138"/>
      <c r="M60" s="138"/>
      <c r="N60" s="133"/>
      <c r="O60" s="133"/>
      <c r="P60" s="115"/>
      <c r="R60" s="133"/>
      <c r="S60" s="133"/>
      <c r="T60" s="133"/>
      <c r="U60" s="133"/>
      <c r="V60" s="133"/>
      <c r="Y60" s="133"/>
      <c r="Z60" s="133"/>
      <c r="AA60" s="133"/>
      <c r="AB60" s="133"/>
      <c r="AC60" s="133"/>
      <c r="AF60" s="133"/>
      <c r="AG60" s="133"/>
      <c r="AH60" s="133"/>
      <c r="AI60" s="133"/>
      <c r="AJ60" s="133"/>
      <c r="AM60" s="133"/>
      <c r="AN60" s="133"/>
      <c r="AO60" s="133"/>
      <c r="AP60" s="133"/>
      <c r="AQ60" s="133"/>
      <c r="AT60" s="133"/>
      <c r="AU60" s="133"/>
      <c r="AV60" s="133"/>
      <c r="AW60" s="133"/>
      <c r="AX60" s="133"/>
      <c r="BA60" s="133"/>
      <c r="BB60" s="133"/>
      <c r="BC60" s="133"/>
      <c r="BD60" s="133"/>
      <c r="BE60" s="133"/>
      <c r="BH60" s="133"/>
      <c r="BI60" s="133"/>
      <c r="BJ60" s="133"/>
      <c r="BK60" s="133"/>
      <c r="BL60" s="133"/>
      <c r="BO60" s="133"/>
      <c r="BP60" s="133"/>
      <c r="BQ60" s="133"/>
      <c r="BR60" s="133"/>
      <c r="BS60" s="133"/>
      <c r="BV60" s="133"/>
      <c r="BW60" s="133"/>
      <c r="BX60" s="133"/>
      <c r="BY60" s="133"/>
      <c r="BZ60" s="133"/>
      <c r="CC60" s="133"/>
      <c r="CD60" s="133"/>
      <c r="CE60" s="133"/>
      <c r="CF60" s="133"/>
      <c r="CG60" s="133"/>
      <c r="CJ60" s="133"/>
      <c r="CK60" s="133"/>
      <c r="CL60" s="133"/>
      <c r="CM60" s="133"/>
      <c r="CN60" s="133"/>
      <c r="CR60" s="139">
        <f>J60/J$66</f>
        <v>0</v>
      </c>
      <c r="CS60" s="139">
        <f>Q60/Q$66</f>
        <v>0</v>
      </c>
      <c r="CT60" s="139">
        <f>X60/X$66</f>
        <v>0</v>
      </c>
      <c r="CU60" s="139">
        <f>AE60/AE$66</f>
        <v>0</v>
      </c>
      <c r="CV60" s="139">
        <f>AL60/AL$66</f>
        <v>0</v>
      </c>
      <c r="CW60" s="139">
        <f>AS60/AS$66</f>
        <v>0</v>
      </c>
      <c r="CX60" s="139">
        <f>AZ60/AZ$66</f>
        <v>0</v>
      </c>
      <c r="CY60" s="139">
        <f>BG60/BG$66</f>
        <v>0</v>
      </c>
      <c r="CZ60" s="139">
        <f>BN60/BN$66</f>
        <v>0</v>
      </c>
      <c r="DA60" s="139">
        <f>BU60/BU$66</f>
        <v>0</v>
      </c>
      <c r="DB60" s="139">
        <f>CB60/CB$66</f>
        <v>0</v>
      </c>
      <c r="DC60" s="139">
        <f>CI60/CI$66</f>
        <v>0</v>
      </c>
    </row>
    <row r="61" spans="2:107" x14ac:dyDescent="0.2">
      <c r="B61" s="105" t="s">
        <v>406</v>
      </c>
      <c r="D61" s="136"/>
      <c r="E61" s="136"/>
      <c r="F61" s="136"/>
      <c r="G61" s="133"/>
      <c r="H61" s="133"/>
      <c r="I61" s="133"/>
      <c r="K61" s="138"/>
      <c r="L61" s="138"/>
      <c r="M61" s="138"/>
      <c r="N61" s="133"/>
      <c r="O61" s="133"/>
      <c r="P61" s="115"/>
      <c r="R61" s="133"/>
      <c r="S61" s="133"/>
      <c r="T61" s="133"/>
      <c r="U61" s="133"/>
      <c r="V61" s="133"/>
      <c r="Y61" s="133"/>
      <c r="Z61" s="133"/>
      <c r="AA61" s="133"/>
      <c r="AB61" s="133"/>
      <c r="AC61" s="133"/>
      <c r="AF61" s="133"/>
      <c r="AG61" s="133"/>
      <c r="AH61" s="133"/>
      <c r="AI61" s="133"/>
      <c r="AJ61" s="133"/>
      <c r="AM61" s="133"/>
      <c r="AN61" s="133"/>
      <c r="AO61" s="133"/>
      <c r="AP61" s="133"/>
      <c r="AQ61" s="133"/>
      <c r="AT61" s="133"/>
      <c r="AU61" s="133"/>
      <c r="AV61" s="133"/>
      <c r="AW61" s="133"/>
      <c r="AX61" s="133"/>
      <c r="BA61" s="133"/>
      <c r="BB61" s="133"/>
      <c r="BC61" s="133"/>
      <c r="BD61" s="133"/>
      <c r="BE61" s="133"/>
      <c r="BH61" s="133"/>
      <c r="BI61" s="133"/>
      <c r="BJ61" s="133"/>
      <c r="BK61" s="133"/>
      <c r="BL61" s="133"/>
      <c r="BO61" s="133"/>
      <c r="BP61" s="133"/>
      <c r="BQ61" s="133"/>
      <c r="BR61" s="133"/>
      <c r="BS61" s="133"/>
      <c r="BV61" s="133"/>
      <c r="BW61" s="133"/>
      <c r="BX61" s="133"/>
      <c r="BY61" s="133"/>
      <c r="BZ61" s="133"/>
      <c r="CC61" s="133"/>
      <c r="CD61" s="133"/>
      <c r="CE61" s="133"/>
      <c r="CF61" s="133"/>
      <c r="CG61" s="133"/>
      <c r="CJ61" s="133"/>
      <c r="CK61" s="133"/>
      <c r="CL61" s="133"/>
      <c r="CM61" s="133"/>
      <c r="CN61" s="133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</row>
    <row r="62" spans="2:107" ht="16" x14ac:dyDescent="0.2">
      <c r="B62" s="105" t="s">
        <v>407</v>
      </c>
      <c r="D62" s="136"/>
      <c r="E62" s="136"/>
      <c r="F62" s="136"/>
      <c r="G62" s="140"/>
      <c r="H62" s="140"/>
      <c r="I62" s="140"/>
      <c r="K62" s="138"/>
      <c r="L62" s="138"/>
      <c r="M62" s="138"/>
      <c r="N62" s="140"/>
      <c r="O62" s="140"/>
      <c r="P62" s="120"/>
      <c r="R62" s="140"/>
      <c r="S62" s="140"/>
      <c r="T62" s="140"/>
      <c r="U62" s="140"/>
      <c r="V62" s="140"/>
      <c r="Y62" s="140"/>
      <c r="Z62" s="140"/>
      <c r="AA62" s="140"/>
      <c r="AB62" s="140"/>
      <c r="AC62" s="140"/>
      <c r="AF62" s="140"/>
      <c r="AG62" s="140"/>
      <c r="AH62" s="140"/>
      <c r="AI62" s="140"/>
      <c r="AJ62" s="140"/>
      <c r="AM62" s="140"/>
      <c r="AN62" s="140"/>
      <c r="AO62" s="140"/>
      <c r="AP62" s="140"/>
      <c r="AQ62" s="140"/>
      <c r="AT62" s="140"/>
      <c r="AU62" s="140"/>
      <c r="AV62" s="140"/>
      <c r="AW62" s="140"/>
      <c r="AX62" s="140"/>
      <c r="BA62" s="140"/>
      <c r="BB62" s="140"/>
      <c r="BC62" s="140"/>
      <c r="BD62" s="140"/>
      <c r="BE62" s="140"/>
      <c r="BH62" s="140"/>
      <c r="BI62" s="140"/>
      <c r="BJ62" s="140"/>
      <c r="BK62" s="140"/>
      <c r="BL62" s="140"/>
      <c r="BO62" s="140"/>
      <c r="BP62" s="140"/>
      <c r="BQ62" s="140"/>
      <c r="BR62" s="140"/>
      <c r="BS62" s="140"/>
      <c r="BV62" s="140"/>
      <c r="BW62" s="140"/>
      <c r="BX62" s="140"/>
      <c r="BY62" s="140"/>
      <c r="BZ62" s="140"/>
      <c r="CC62" s="140"/>
      <c r="CD62" s="140"/>
      <c r="CE62" s="140"/>
      <c r="CF62" s="140"/>
      <c r="CG62" s="140"/>
      <c r="CJ62" s="140"/>
      <c r="CK62" s="140"/>
      <c r="CL62" s="140"/>
      <c r="CM62" s="140"/>
      <c r="CN62" s="140"/>
      <c r="CR62" s="139">
        <f>J62/J$66</f>
        <v>0</v>
      </c>
      <c r="CS62" s="139">
        <f>Q62/Q$66</f>
        <v>0</v>
      </c>
      <c r="CT62" s="139">
        <f>X62/X$66</f>
        <v>0</v>
      </c>
      <c r="CU62" s="139">
        <f>AE62/AE$66</f>
        <v>0</v>
      </c>
      <c r="CV62" s="139">
        <f>AL62/AL$66</f>
        <v>0</v>
      </c>
      <c r="CW62" s="139">
        <f>AS62/AS$66</f>
        <v>0</v>
      </c>
      <c r="CX62" s="139">
        <f>AZ62/AZ$66</f>
        <v>0</v>
      </c>
      <c r="CY62" s="139">
        <f>BG62/BG$66</f>
        <v>0</v>
      </c>
      <c r="CZ62" s="139">
        <f>BN62/BN$66</f>
        <v>0</v>
      </c>
      <c r="DA62" s="139">
        <f t="shared" ref="DA62:DA82" si="39">BU62/BU$66</f>
        <v>0</v>
      </c>
      <c r="DB62" s="139">
        <f t="shared" ref="DB62:DB82" si="40">CB62/CB$66</f>
        <v>0</v>
      </c>
      <c r="DC62" s="139">
        <f t="shared" ref="DC62:DC82" si="41">CI62/CI$66</f>
        <v>0</v>
      </c>
    </row>
    <row r="63" spans="2:107" ht="16" x14ac:dyDescent="0.2">
      <c r="B63" s="141" t="s">
        <v>408</v>
      </c>
      <c r="C63" s="207"/>
      <c r="D63" s="142"/>
      <c r="E63" s="142"/>
      <c r="F63" s="142"/>
      <c r="G63" s="142"/>
      <c r="H63" s="142"/>
      <c r="I63" s="142"/>
      <c r="J63" s="143">
        <f>SUM(J60:J62)+J52</f>
        <v>70384786.280000001</v>
      </c>
      <c r="K63" s="142"/>
      <c r="L63" s="142"/>
      <c r="M63" s="142"/>
      <c r="N63" s="142"/>
      <c r="O63" s="142"/>
      <c r="P63" s="142"/>
      <c r="Q63" s="142">
        <f>SUM(Q60:Q62)+Q52</f>
        <v>61371886.280000001</v>
      </c>
      <c r="R63" s="142"/>
      <c r="S63" s="142"/>
      <c r="T63" s="142"/>
      <c r="U63" s="142"/>
      <c r="V63" s="142"/>
      <c r="W63" s="142"/>
      <c r="X63" s="142">
        <f>SUM(X60:X62)+X52</f>
        <v>0</v>
      </c>
      <c r="Y63" s="142"/>
      <c r="Z63" s="142"/>
      <c r="AA63" s="142"/>
      <c r="AB63" s="142"/>
      <c r="AC63" s="142"/>
      <c r="AD63" s="142"/>
      <c r="AE63" s="142">
        <f>SUM(AE60:AE62)+AE52</f>
        <v>0</v>
      </c>
      <c r="AF63" s="142"/>
      <c r="AG63" s="142"/>
      <c r="AH63" s="142"/>
      <c r="AI63" s="142"/>
      <c r="AJ63" s="142"/>
      <c r="AK63" s="142"/>
      <c r="AL63" s="142">
        <f>SUM(AL60:AL62)+AL52</f>
        <v>0</v>
      </c>
      <c r="AM63" s="142"/>
      <c r="AN63" s="142"/>
      <c r="AO63" s="142"/>
      <c r="AP63" s="142"/>
      <c r="AQ63" s="142"/>
      <c r="AR63" s="142"/>
      <c r="AS63" s="142">
        <f>SUM(AS60:AS62)+AS52</f>
        <v>0</v>
      </c>
      <c r="AT63" s="142"/>
      <c r="AU63" s="142"/>
      <c r="AV63" s="142"/>
      <c r="AW63" s="142"/>
      <c r="AX63" s="142"/>
      <c r="AY63" s="142"/>
      <c r="AZ63" s="142">
        <f>SUM(AZ60:AZ62)+AZ52</f>
        <v>0</v>
      </c>
      <c r="BA63" s="142"/>
      <c r="BB63" s="142"/>
      <c r="BC63" s="142"/>
      <c r="BD63" s="142"/>
      <c r="BE63" s="142"/>
      <c r="BF63" s="142"/>
      <c r="BG63" s="142">
        <f>SUM(BG60:BG62)+BG52</f>
        <v>0</v>
      </c>
      <c r="BH63" s="142"/>
      <c r="BI63" s="142"/>
      <c r="BJ63" s="142"/>
      <c r="BK63" s="142"/>
      <c r="BL63" s="142"/>
      <c r="BM63" s="142"/>
      <c r="BN63" s="142">
        <f>SUM(BN60:BN62)+BN52</f>
        <v>0</v>
      </c>
      <c r="BO63" s="142"/>
      <c r="BP63" s="142"/>
      <c r="BQ63" s="142"/>
      <c r="BR63" s="142"/>
      <c r="BS63" s="142"/>
      <c r="BT63" s="142"/>
      <c r="BU63" s="142">
        <f>SUM(BU60:BU62)+BU52</f>
        <v>0</v>
      </c>
      <c r="BV63" s="142"/>
      <c r="BW63" s="142"/>
      <c r="BX63" s="142"/>
      <c r="BY63" s="142"/>
      <c r="BZ63" s="142"/>
      <c r="CA63" s="142"/>
      <c r="CB63" s="142">
        <f>SUM(CB60:CB62)+CB52</f>
        <v>0</v>
      </c>
      <c r="CC63" s="142"/>
      <c r="CD63" s="142"/>
      <c r="CE63" s="142"/>
      <c r="CF63" s="142"/>
      <c r="CG63" s="142"/>
      <c r="CH63" s="142"/>
      <c r="CI63" s="142">
        <f>SUM(CI60:CI62)+CI52</f>
        <v>0</v>
      </c>
      <c r="CJ63" s="142"/>
      <c r="CK63" s="142"/>
      <c r="CL63" s="142"/>
      <c r="CM63" s="142"/>
      <c r="CN63" s="142"/>
      <c r="CO63" s="142"/>
      <c r="CP63" s="142"/>
      <c r="CR63" s="145">
        <f t="shared" ref="CR63:CR82" si="42">J63/J$66</f>
        <v>3.5981776393052223E-2</v>
      </c>
      <c r="CS63" s="145">
        <f t="shared" ref="CS63:CS82" si="43">Q63/Q$66</f>
        <v>3.1519471402561693E-2</v>
      </c>
      <c r="CT63" s="145">
        <f t="shared" ref="CT63:CT82" si="44">X63/X$66</f>
        <v>0</v>
      </c>
      <c r="CU63" s="145">
        <f t="shared" ref="CU63:CU82" si="45">AE63/AE$66</f>
        <v>0</v>
      </c>
      <c r="CV63" s="145">
        <f t="shared" ref="CV63:CV82" si="46">AL63/AL$66</f>
        <v>0</v>
      </c>
      <c r="CW63" s="145">
        <f t="shared" ref="CW63:CW82" si="47">AS63/AS$66</f>
        <v>0</v>
      </c>
      <c r="CX63" s="145">
        <f t="shared" ref="CX63:CX82" si="48">AZ63/AZ$66</f>
        <v>0</v>
      </c>
      <c r="CY63" s="145">
        <f t="shared" ref="CY63:CY82" si="49">BG63/BG$66</f>
        <v>0</v>
      </c>
      <c r="CZ63" s="145">
        <f t="shared" ref="CZ63:CZ82" si="50">BN63/BN$66</f>
        <v>0</v>
      </c>
      <c r="DA63" s="145">
        <f t="shared" si="39"/>
        <v>0</v>
      </c>
      <c r="DB63" s="145">
        <f t="shared" si="40"/>
        <v>0</v>
      </c>
      <c r="DC63" s="145">
        <f t="shared" si="41"/>
        <v>0</v>
      </c>
    </row>
    <row r="64" spans="2:107" x14ac:dyDescent="0.2">
      <c r="B64" s="147" t="s">
        <v>409</v>
      </c>
      <c r="C64" s="208"/>
      <c r="D64" s="148">
        <f>Activos!$H$129</f>
        <v>269047800</v>
      </c>
      <c r="E64" s="148">
        <f>Activos!$H$110</f>
        <v>993789999.99999988</v>
      </c>
      <c r="F64" s="148">
        <f>Activos!$H$34</f>
        <v>239852199.99999997</v>
      </c>
      <c r="G64" s="148">
        <f>Activos!$H$91</f>
        <v>56763000</v>
      </c>
      <c r="H64" s="148">
        <f>Activos!$H$53</f>
        <v>215607000</v>
      </c>
      <c r="I64" s="148">
        <f>Activos!$H$72</f>
        <v>110678377.59999999</v>
      </c>
      <c r="J64" s="148">
        <f>SUM(D64:I64)</f>
        <v>1885738377.5999999</v>
      </c>
      <c r="K64" s="148">
        <f>Activos!$H$129</f>
        <v>269047800</v>
      </c>
      <c r="L64" s="148">
        <f>Activos!$H$110</f>
        <v>993789999.99999988</v>
      </c>
      <c r="M64" s="148">
        <f>Activos!$H$34</f>
        <v>239852199.99999997</v>
      </c>
      <c r="N64" s="148">
        <f>Activos!$H$91</f>
        <v>56763000</v>
      </c>
      <c r="O64" s="148">
        <f>Activos!$H$53</f>
        <v>215607000</v>
      </c>
      <c r="P64" s="148">
        <f>Activos!$H$72</f>
        <v>110678377.59999999</v>
      </c>
      <c r="Q64" s="148">
        <f>SUM(K64:P64)</f>
        <v>1885738377.5999999</v>
      </c>
      <c r="R64" s="148">
        <f>Activos!$H$129</f>
        <v>269047800</v>
      </c>
      <c r="S64" s="148">
        <f>Activos!$H$110</f>
        <v>993789999.99999988</v>
      </c>
      <c r="T64" s="148">
        <f>Activos!$H$34</f>
        <v>239852199.99999997</v>
      </c>
      <c r="U64" s="148">
        <f>Activos!$H$91</f>
        <v>56763000</v>
      </c>
      <c r="V64" s="148">
        <f>Activos!$H$53</f>
        <v>215607000</v>
      </c>
      <c r="W64" s="148">
        <f>Activos!$H$72</f>
        <v>110678377.59999999</v>
      </c>
      <c r="X64" s="148">
        <f>SUM(R64:W64)</f>
        <v>1885738377.5999999</v>
      </c>
      <c r="Y64" s="148">
        <f>Activos!$H$129</f>
        <v>269047800</v>
      </c>
      <c r="Z64" s="148">
        <f>Activos!$H$110</f>
        <v>993789999.99999988</v>
      </c>
      <c r="AA64" s="148">
        <f>Activos!$H$34</f>
        <v>239852199.99999997</v>
      </c>
      <c r="AB64" s="148">
        <f>Activos!$H$91</f>
        <v>56763000</v>
      </c>
      <c r="AC64" s="148">
        <f>Activos!$H$53</f>
        <v>215607000</v>
      </c>
      <c r="AD64" s="148">
        <f>Activos!$H$72</f>
        <v>110678377.59999999</v>
      </c>
      <c r="AE64" s="148">
        <f>SUM(Y64:AD64)</f>
        <v>1885738377.5999999</v>
      </c>
      <c r="AF64" s="148">
        <f>Activos!$H$129</f>
        <v>269047800</v>
      </c>
      <c r="AG64" s="148">
        <f>Activos!$H$110</f>
        <v>993789999.99999988</v>
      </c>
      <c r="AH64" s="148">
        <f>Activos!$H$34</f>
        <v>239852199.99999997</v>
      </c>
      <c r="AI64" s="148">
        <f>Activos!$H$91</f>
        <v>56763000</v>
      </c>
      <c r="AJ64" s="148">
        <f>Activos!$H$53</f>
        <v>215607000</v>
      </c>
      <c r="AK64" s="148">
        <f>Activos!$H$72</f>
        <v>110678377.59999999</v>
      </c>
      <c r="AL64" s="148">
        <f>SUM(AF64:AK64)</f>
        <v>1885738377.5999999</v>
      </c>
      <c r="AM64" s="148">
        <f>Activos!$H$129</f>
        <v>269047800</v>
      </c>
      <c r="AN64" s="148">
        <f>Activos!$H$110</f>
        <v>993789999.99999988</v>
      </c>
      <c r="AO64" s="148">
        <f>Activos!$H$34</f>
        <v>239852199.99999997</v>
      </c>
      <c r="AP64" s="148">
        <f>Activos!$H$91</f>
        <v>56763000</v>
      </c>
      <c r="AQ64" s="148">
        <f>Activos!$H$53</f>
        <v>215607000</v>
      </c>
      <c r="AR64" s="148">
        <f>Activos!$H$72</f>
        <v>110678377.59999999</v>
      </c>
      <c r="AS64" s="148">
        <f>SUM(AM64:AR64)</f>
        <v>1885738377.5999999</v>
      </c>
      <c r="AT64" s="148">
        <f>Activos!$H$129</f>
        <v>269047800</v>
      </c>
      <c r="AU64" s="148">
        <f>Activos!$H$110</f>
        <v>993789999.99999988</v>
      </c>
      <c r="AV64" s="148">
        <f>Activos!$H$34</f>
        <v>239852199.99999997</v>
      </c>
      <c r="AW64" s="148">
        <f>Activos!$H$91</f>
        <v>56763000</v>
      </c>
      <c r="AX64" s="148">
        <f>Activos!$H$53</f>
        <v>215607000</v>
      </c>
      <c r="AY64" s="148">
        <f>Activos!$H$72</f>
        <v>110678377.59999999</v>
      </c>
      <c r="AZ64" s="148">
        <f>SUM(AT64:AY64)</f>
        <v>1885738377.5999999</v>
      </c>
      <c r="BA64" s="148">
        <f>Activos!$H$129</f>
        <v>269047800</v>
      </c>
      <c r="BB64" s="148">
        <f>Activos!$H$110</f>
        <v>993789999.99999988</v>
      </c>
      <c r="BC64" s="148">
        <f>Activos!$H$34</f>
        <v>239852199.99999997</v>
      </c>
      <c r="BD64" s="148">
        <f>Activos!$H$91</f>
        <v>56763000</v>
      </c>
      <c r="BE64" s="148">
        <f>Activos!$H$53</f>
        <v>215607000</v>
      </c>
      <c r="BF64" s="148">
        <f>Activos!$H$72</f>
        <v>110678377.59999999</v>
      </c>
      <c r="BG64" s="148">
        <f>SUM(BA64:BF64)</f>
        <v>1885738377.5999999</v>
      </c>
      <c r="BH64" s="148">
        <f>Activos!$H$129</f>
        <v>269047800</v>
      </c>
      <c r="BI64" s="148">
        <f>Activos!$H$110</f>
        <v>993789999.99999988</v>
      </c>
      <c r="BJ64" s="148">
        <f>Activos!$H$34</f>
        <v>239852199.99999997</v>
      </c>
      <c r="BK64" s="148">
        <f>Activos!$H$91</f>
        <v>56763000</v>
      </c>
      <c r="BL64" s="148">
        <f>Activos!$H$53</f>
        <v>215607000</v>
      </c>
      <c r="BM64" s="148">
        <f>Activos!$H$72</f>
        <v>110678377.59999999</v>
      </c>
      <c r="BN64" s="148">
        <f>SUM(BH64:BM64)</f>
        <v>1885738377.5999999</v>
      </c>
      <c r="BO64" s="148">
        <f>Activos!$H$129</f>
        <v>269047800</v>
      </c>
      <c r="BP64" s="148">
        <f>Activos!$H$110</f>
        <v>993789999.99999988</v>
      </c>
      <c r="BQ64" s="148">
        <f>Activos!$H$34</f>
        <v>239852199.99999997</v>
      </c>
      <c r="BR64" s="148">
        <f>Activos!$H$91</f>
        <v>56763000</v>
      </c>
      <c r="BS64" s="148">
        <f>Activos!$H$53</f>
        <v>215607000</v>
      </c>
      <c r="BT64" s="148">
        <f>Activos!$H$72</f>
        <v>110678377.59999999</v>
      </c>
      <c r="BU64" s="148">
        <f>SUM(BO64:BT64)</f>
        <v>1885738377.5999999</v>
      </c>
      <c r="BV64" s="148">
        <f>Activos!$H$129</f>
        <v>269047800</v>
      </c>
      <c r="BW64" s="148">
        <f>Activos!$H$110</f>
        <v>993789999.99999988</v>
      </c>
      <c r="BX64" s="148">
        <f>Activos!$H$34</f>
        <v>239852199.99999997</v>
      </c>
      <c r="BY64" s="148">
        <f>Activos!$H$91</f>
        <v>56763000</v>
      </c>
      <c r="BZ64" s="148">
        <f>Activos!$H$53</f>
        <v>215607000</v>
      </c>
      <c r="CA64" s="148">
        <f>Activos!$H$72</f>
        <v>110678377.59999999</v>
      </c>
      <c r="CB64" s="148">
        <f>SUM(BV64:CA64)</f>
        <v>1885738377.5999999</v>
      </c>
      <c r="CC64" s="148">
        <f>Activos!$H$129</f>
        <v>269047800</v>
      </c>
      <c r="CD64" s="148">
        <f>Activos!$H$110</f>
        <v>993789999.99999988</v>
      </c>
      <c r="CE64" s="148">
        <f>Activos!$H$34</f>
        <v>239852199.99999997</v>
      </c>
      <c r="CF64" s="148">
        <f>Activos!$H$91</f>
        <v>56763000</v>
      </c>
      <c r="CG64" s="148">
        <f>Activos!$H$53</f>
        <v>215607000</v>
      </c>
      <c r="CH64" s="148">
        <f>Activos!$H$72</f>
        <v>110678377.59999999</v>
      </c>
      <c r="CI64" s="148">
        <f>SUM(CC64:CH64)</f>
        <v>1885738377.5999999</v>
      </c>
      <c r="CJ64" s="148">
        <f>Activos!$H$129</f>
        <v>269047800</v>
      </c>
      <c r="CK64" s="148">
        <f>Activos!$H$110</f>
        <v>993789999.99999988</v>
      </c>
      <c r="CL64" s="148">
        <f>Activos!$H$34</f>
        <v>239852199.99999997</v>
      </c>
      <c r="CM64" s="148">
        <f>Activos!$H$91</f>
        <v>56763000</v>
      </c>
      <c r="CN64" s="148">
        <f>Activos!$H$53</f>
        <v>215607000</v>
      </c>
      <c r="CO64" s="148">
        <f>Activos!$H$72</f>
        <v>110678377.59999999</v>
      </c>
      <c r="CP64" s="148"/>
      <c r="CR64" s="149">
        <f t="shared" si="42"/>
        <v>0.96401822360694778</v>
      </c>
      <c r="CS64" s="149">
        <f t="shared" si="43"/>
        <v>0.96848052859743827</v>
      </c>
      <c r="CT64" s="149">
        <f t="shared" si="44"/>
        <v>1</v>
      </c>
      <c r="CU64" s="149">
        <f t="shared" si="45"/>
        <v>1</v>
      </c>
      <c r="CV64" s="149">
        <f t="shared" si="46"/>
        <v>1</v>
      </c>
      <c r="CW64" s="149">
        <f t="shared" si="47"/>
        <v>1</v>
      </c>
      <c r="CX64" s="149">
        <f t="shared" si="48"/>
        <v>1</v>
      </c>
      <c r="CY64" s="149">
        <f t="shared" si="49"/>
        <v>1</v>
      </c>
      <c r="CZ64" s="149">
        <f t="shared" si="50"/>
        <v>1</v>
      </c>
      <c r="DA64" s="149">
        <f t="shared" si="39"/>
        <v>1</v>
      </c>
      <c r="DB64" s="149">
        <f t="shared" si="40"/>
        <v>1</v>
      </c>
      <c r="DC64" s="149">
        <f t="shared" si="41"/>
        <v>1</v>
      </c>
    </row>
    <row r="65" spans="2:107" ht="16" x14ac:dyDescent="0.2">
      <c r="B65" s="141" t="s">
        <v>410</v>
      </c>
      <c r="C65" s="207"/>
      <c r="D65" s="142"/>
      <c r="E65" s="142"/>
      <c r="F65" s="142"/>
      <c r="G65" s="142"/>
      <c r="H65" s="142"/>
      <c r="I65" s="142"/>
      <c r="J65" s="142">
        <f>J64</f>
        <v>1885738377.5999999</v>
      </c>
      <c r="K65" s="142"/>
      <c r="L65" s="142"/>
      <c r="M65" s="142"/>
      <c r="N65" s="142"/>
      <c r="O65" s="142"/>
      <c r="P65" s="142"/>
      <c r="Q65" s="142">
        <f>Q64</f>
        <v>1885738377.5999999</v>
      </c>
      <c r="R65" s="142"/>
      <c r="S65" s="142"/>
      <c r="T65" s="142"/>
      <c r="U65" s="142"/>
      <c r="V65" s="142"/>
      <c r="W65" s="142"/>
      <c r="X65" s="142">
        <f>X64</f>
        <v>1885738377.5999999</v>
      </c>
      <c r="Y65" s="142"/>
      <c r="Z65" s="142"/>
      <c r="AA65" s="142"/>
      <c r="AB65" s="142"/>
      <c r="AC65" s="142"/>
      <c r="AD65" s="142"/>
      <c r="AE65" s="142">
        <f>AE64</f>
        <v>1885738377.5999999</v>
      </c>
      <c r="AF65" s="143"/>
      <c r="AG65" s="143"/>
      <c r="AH65" s="143"/>
      <c r="AI65" s="143"/>
      <c r="AJ65" s="143"/>
      <c r="AK65" s="143"/>
      <c r="AL65" s="142">
        <f>AL64</f>
        <v>1885738377.5999999</v>
      </c>
      <c r="AM65" s="142"/>
      <c r="AN65" s="142"/>
      <c r="AO65" s="142"/>
      <c r="AP65" s="142"/>
      <c r="AQ65" s="142"/>
      <c r="AR65" s="142"/>
      <c r="AS65" s="142">
        <f>AS64</f>
        <v>1885738377.5999999</v>
      </c>
      <c r="AT65" s="143"/>
      <c r="AU65" s="143"/>
      <c r="AV65" s="143"/>
      <c r="AW65" s="143"/>
      <c r="AX65" s="143"/>
      <c r="AY65" s="143"/>
      <c r="AZ65" s="142">
        <f>AZ64</f>
        <v>1885738377.5999999</v>
      </c>
      <c r="BA65" s="143"/>
      <c r="BB65" s="143"/>
      <c r="BC65" s="143"/>
      <c r="BD65" s="143"/>
      <c r="BE65" s="143"/>
      <c r="BF65" s="143"/>
      <c r="BG65" s="142">
        <f>BG64</f>
        <v>1885738377.5999999</v>
      </c>
      <c r="BH65" s="143"/>
      <c r="BI65" s="143"/>
      <c r="BJ65" s="143"/>
      <c r="BK65" s="143"/>
      <c r="BL65" s="143"/>
      <c r="BM65" s="143"/>
      <c r="BN65" s="142">
        <f>BN64</f>
        <v>1885738377.5999999</v>
      </c>
      <c r="BO65" s="143"/>
      <c r="BP65" s="143"/>
      <c r="BQ65" s="143"/>
      <c r="BR65" s="143"/>
      <c r="BS65" s="143"/>
      <c r="BT65" s="143"/>
      <c r="BU65" s="142">
        <f>BU64</f>
        <v>1885738377.5999999</v>
      </c>
      <c r="BV65" s="143"/>
      <c r="BW65" s="143"/>
      <c r="BX65" s="143"/>
      <c r="BY65" s="143"/>
      <c r="BZ65" s="143"/>
      <c r="CA65" s="143"/>
      <c r="CB65" s="142">
        <f>CB64</f>
        <v>1885738377.5999999</v>
      </c>
      <c r="CC65" s="142"/>
      <c r="CD65" s="142"/>
      <c r="CE65" s="142"/>
      <c r="CF65" s="142"/>
      <c r="CG65" s="142"/>
      <c r="CH65" s="143"/>
      <c r="CI65" s="142">
        <f>CI64</f>
        <v>1885738377.5999999</v>
      </c>
      <c r="CJ65" s="142"/>
      <c r="CK65" s="142"/>
      <c r="CL65" s="142"/>
      <c r="CM65" s="142"/>
      <c r="CN65" s="142"/>
      <c r="CO65" s="142"/>
      <c r="CP65" s="142"/>
      <c r="CR65" s="145">
        <f t="shared" si="42"/>
        <v>0.96401822360694778</v>
      </c>
      <c r="CS65" s="145">
        <f t="shared" si="43"/>
        <v>0.96848052859743827</v>
      </c>
      <c r="CT65" s="145">
        <f t="shared" si="44"/>
        <v>1</v>
      </c>
      <c r="CU65" s="145">
        <f t="shared" si="45"/>
        <v>1</v>
      </c>
      <c r="CV65" s="145">
        <f t="shared" si="46"/>
        <v>1</v>
      </c>
      <c r="CW65" s="145">
        <f t="shared" si="47"/>
        <v>1</v>
      </c>
      <c r="CX65" s="145">
        <f t="shared" si="48"/>
        <v>1</v>
      </c>
      <c r="CY65" s="145">
        <f t="shared" si="49"/>
        <v>1</v>
      </c>
      <c r="CZ65" s="145">
        <f t="shared" si="50"/>
        <v>1</v>
      </c>
      <c r="DA65" s="145">
        <f t="shared" si="39"/>
        <v>1</v>
      </c>
      <c r="DB65" s="145">
        <f t="shared" si="40"/>
        <v>1</v>
      </c>
      <c r="DC65" s="145">
        <f t="shared" si="41"/>
        <v>1</v>
      </c>
    </row>
    <row r="66" spans="2:107" ht="16" x14ac:dyDescent="0.2">
      <c r="B66" s="150" t="s">
        <v>411</v>
      </c>
      <c r="C66" s="209"/>
      <c r="D66" s="151"/>
      <c r="E66" s="151"/>
      <c r="F66" s="151"/>
      <c r="G66" s="151"/>
      <c r="H66" s="151"/>
      <c r="I66" s="151"/>
      <c r="J66" s="151">
        <f>J63+J65</f>
        <v>1956123163.8799999</v>
      </c>
      <c r="K66" s="151"/>
      <c r="L66" s="151"/>
      <c r="M66" s="151"/>
      <c r="N66" s="151"/>
      <c r="O66" s="151"/>
      <c r="P66" s="151"/>
      <c r="Q66" s="151">
        <f>Q63+Q65</f>
        <v>1947110263.8799999</v>
      </c>
      <c r="R66" s="151"/>
      <c r="S66" s="151"/>
      <c r="T66" s="151"/>
      <c r="U66" s="151"/>
      <c r="V66" s="151"/>
      <c r="W66" s="151"/>
      <c r="X66" s="151">
        <f>X63+X65</f>
        <v>1885738377.5999999</v>
      </c>
      <c r="Y66" s="151"/>
      <c r="Z66" s="151"/>
      <c r="AA66" s="151"/>
      <c r="AB66" s="151"/>
      <c r="AC66" s="151"/>
      <c r="AD66" s="151"/>
      <c r="AE66" s="151">
        <f>AE63+AE65</f>
        <v>1885738377.5999999</v>
      </c>
      <c r="AF66" s="152"/>
      <c r="AG66" s="152"/>
      <c r="AH66" s="152"/>
      <c r="AI66" s="152"/>
      <c r="AJ66" s="152"/>
      <c r="AK66" s="152"/>
      <c r="AL66" s="151">
        <f>AL63+AL65</f>
        <v>1885738377.5999999</v>
      </c>
      <c r="AM66" s="151"/>
      <c r="AN66" s="151"/>
      <c r="AO66" s="151"/>
      <c r="AP66" s="151"/>
      <c r="AQ66" s="151"/>
      <c r="AR66" s="151"/>
      <c r="AS66" s="151">
        <f>AS63+AS65</f>
        <v>1885738377.5999999</v>
      </c>
      <c r="AT66" s="152"/>
      <c r="AU66" s="152"/>
      <c r="AV66" s="152"/>
      <c r="AW66" s="152"/>
      <c r="AX66" s="152"/>
      <c r="AY66" s="152"/>
      <c r="AZ66" s="151">
        <f>AZ63+AZ65</f>
        <v>1885738377.5999999</v>
      </c>
      <c r="BA66" s="152"/>
      <c r="BB66" s="152"/>
      <c r="BC66" s="152"/>
      <c r="BD66" s="152"/>
      <c r="BE66" s="152"/>
      <c r="BF66" s="152"/>
      <c r="BG66" s="151">
        <f>BG63+BG65</f>
        <v>1885738377.5999999</v>
      </c>
      <c r="BH66" s="152"/>
      <c r="BI66" s="152"/>
      <c r="BJ66" s="152"/>
      <c r="BK66" s="152"/>
      <c r="BL66" s="152"/>
      <c r="BM66" s="152"/>
      <c r="BN66" s="151">
        <f>BN63+BN65</f>
        <v>1885738377.5999999</v>
      </c>
      <c r="BO66" s="152"/>
      <c r="BP66" s="152"/>
      <c r="BQ66" s="152"/>
      <c r="BR66" s="152"/>
      <c r="BS66" s="152"/>
      <c r="BT66" s="152"/>
      <c r="BU66" s="151">
        <f>BU63+BU65</f>
        <v>1885738377.5999999</v>
      </c>
      <c r="BV66" s="152"/>
      <c r="BW66" s="152"/>
      <c r="BX66" s="152"/>
      <c r="BY66" s="152"/>
      <c r="BZ66" s="152"/>
      <c r="CA66" s="152"/>
      <c r="CB66" s="151">
        <f>CB63+CB65</f>
        <v>1885738377.5999999</v>
      </c>
      <c r="CC66" s="151"/>
      <c r="CD66" s="151"/>
      <c r="CE66" s="151"/>
      <c r="CF66" s="151"/>
      <c r="CG66" s="151"/>
      <c r="CH66" s="152"/>
      <c r="CI66" s="151">
        <f>CI63+CI65</f>
        <v>1885738377.5999999</v>
      </c>
      <c r="CJ66" s="151"/>
      <c r="CK66" s="151"/>
      <c r="CL66" s="151"/>
      <c r="CM66" s="151"/>
      <c r="CN66" s="151"/>
      <c r="CO66" s="151"/>
      <c r="CP66" s="151"/>
      <c r="CR66" s="153">
        <f t="shared" si="42"/>
        <v>1</v>
      </c>
      <c r="CS66" s="153">
        <f t="shared" si="43"/>
        <v>1</v>
      </c>
      <c r="CT66" s="153">
        <f t="shared" si="44"/>
        <v>1</v>
      </c>
      <c r="CU66" s="153">
        <f t="shared" si="45"/>
        <v>1</v>
      </c>
      <c r="CV66" s="153">
        <f t="shared" si="46"/>
        <v>1</v>
      </c>
      <c r="CW66" s="153">
        <f t="shared" si="47"/>
        <v>1</v>
      </c>
      <c r="CX66" s="153">
        <f t="shared" si="48"/>
        <v>1</v>
      </c>
      <c r="CY66" s="153">
        <f t="shared" si="49"/>
        <v>1</v>
      </c>
      <c r="CZ66" s="153">
        <f t="shared" si="50"/>
        <v>1</v>
      </c>
      <c r="DA66" s="153">
        <f t="shared" si="39"/>
        <v>1</v>
      </c>
      <c r="DB66" s="153">
        <f t="shared" si="40"/>
        <v>1</v>
      </c>
      <c r="DC66" s="153">
        <f t="shared" si="41"/>
        <v>1</v>
      </c>
    </row>
    <row r="67" spans="2:107" x14ac:dyDescent="0.2">
      <c r="B67" s="105" t="s">
        <v>412</v>
      </c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3"/>
      <c r="S67" s="133"/>
      <c r="T67" s="133"/>
      <c r="U67" s="133"/>
      <c r="V67" s="133"/>
      <c r="Y67" s="133"/>
      <c r="Z67" s="133"/>
      <c r="AA67" s="133"/>
      <c r="AB67" s="133"/>
      <c r="AC67" s="133"/>
      <c r="AF67" s="133"/>
      <c r="AG67" s="133"/>
      <c r="AH67" s="133"/>
      <c r="AI67" s="133"/>
      <c r="AJ67" s="133"/>
      <c r="AM67" s="133"/>
      <c r="AN67" s="133"/>
      <c r="AO67" s="133"/>
      <c r="AP67" s="133"/>
      <c r="AQ67" s="133"/>
      <c r="AT67" s="133"/>
      <c r="AU67" s="133"/>
      <c r="AV67" s="133"/>
      <c r="AW67" s="133"/>
      <c r="AX67" s="133"/>
      <c r="BA67" s="133"/>
      <c r="BB67" s="133"/>
      <c r="BC67" s="133"/>
      <c r="BD67" s="133"/>
      <c r="BE67" s="133"/>
      <c r="BH67" s="133"/>
      <c r="BI67" s="133"/>
      <c r="BJ67" s="133"/>
      <c r="BK67" s="133"/>
      <c r="BL67" s="133"/>
      <c r="BO67" s="133"/>
      <c r="BP67" s="133"/>
      <c r="BQ67" s="133"/>
      <c r="BR67" s="133"/>
      <c r="BS67" s="133"/>
      <c r="BV67" s="133"/>
      <c r="BW67" s="133"/>
      <c r="BX67" s="133"/>
      <c r="BY67" s="133"/>
      <c r="BZ67" s="133"/>
      <c r="CC67" s="133"/>
      <c r="CD67" s="133"/>
      <c r="CE67" s="133"/>
      <c r="CF67" s="133"/>
      <c r="CG67" s="133"/>
      <c r="CJ67" s="133"/>
      <c r="CK67" s="133"/>
      <c r="CL67" s="133"/>
      <c r="CM67" s="133"/>
      <c r="CN67" s="133"/>
      <c r="CR67" s="139">
        <f t="shared" si="42"/>
        <v>0</v>
      </c>
      <c r="CS67" s="139">
        <f t="shared" si="43"/>
        <v>0</v>
      </c>
      <c r="CT67" s="139">
        <f t="shared" si="44"/>
        <v>0</v>
      </c>
      <c r="CU67" s="139">
        <f t="shared" si="45"/>
        <v>0</v>
      </c>
      <c r="CV67" s="139">
        <f t="shared" si="46"/>
        <v>0</v>
      </c>
      <c r="CW67" s="139">
        <f t="shared" si="47"/>
        <v>0</v>
      </c>
      <c r="CX67" s="139">
        <f t="shared" si="48"/>
        <v>0</v>
      </c>
      <c r="CY67" s="139">
        <f t="shared" si="49"/>
        <v>0</v>
      </c>
      <c r="CZ67" s="139">
        <f t="shared" si="50"/>
        <v>0</v>
      </c>
      <c r="DA67" s="139">
        <f t="shared" si="39"/>
        <v>0</v>
      </c>
      <c r="DB67" s="139">
        <f t="shared" si="40"/>
        <v>0</v>
      </c>
      <c r="DC67" s="139">
        <f t="shared" si="41"/>
        <v>0</v>
      </c>
    </row>
    <row r="68" spans="2:107" x14ac:dyDescent="0.2">
      <c r="B68" s="105" t="s">
        <v>413</v>
      </c>
      <c r="D68" s="134"/>
      <c r="E68" s="134"/>
      <c r="F68" s="132"/>
      <c r="G68" s="133"/>
      <c r="H68" s="133"/>
      <c r="I68" s="133"/>
      <c r="K68" s="134"/>
      <c r="L68" s="134"/>
      <c r="M68" s="134"/>
      <c r="N68" s="133"/>
      <c r="O68" s="133"/>
      <c r="P68" s="133"/>
      <c r="R68" s="133"/>
      <c r="S68" s="133"/>
      <c r="T68" s="133"/>
      <c r="U68" s="133"/>
      <c r="V68" s="133"/>
      <c r="Y68" s="133"/>
      <c r="Z68" s="133"/>
      <c r="AA68" s="133"/>
      <c r="AB68" s="133"/>
      <c r="AC68" s="133"/>
      <c r="AF68" s="133"/>
      <c r="AG68" s="133"/>
      <c r="AH68" s="133"/>
      <c r="AI68" s="133"/>
      <c r="AJ68" s="133"/>
      <c r="AM68" s="133"/>
      <c r="AN68" s="133"/>
      <c r="AO68" s="133"/>
      <c r="AP68" s="133"/>
      <c r="AQ68" s="133"/>
      <c r="AT68" s="133"/>
      <c r="AU68" s="133"/>
      <c r="AV68" s="133"/>
      <c r="AW68" s="133"/>
      <c r="AX68" s="133"/>
      <c r="BA68" s="133"/>
      <c r="BB68" s="133"/>
      <c r="BC68" s="133"/>
      <c r="BD68" s="133"/>
      <c r="BE68" s="133"/>
      <c r="BH68" s="133"/>
      <c r="BI68" s="133"/>
      <c r="BJ68" s="133"/>
      <c r="BK68" s="133"/>
      <c r="BL68" s="133"/>
      <c r="BO68" s="133"/>
      <c r="BP68" s="133"/>
      <c r="BQ68" s="133"/>
      <c r="BR68" s="133"/>
      <c r="BS68" s="133"/>
      <c r="BV68" s="133"/>
      <c r="BW68" s="133"/>
      <c r="BX68" s="133"/>
      <c r="BY68" s="133"/>
      <c r="BZ68" s="133"/>
      <c r="CC68" s="133"/>
      <c r="CD68" s="133"/>
      <c r="CE68" s="133"/>
      <c r="CF68" s="133"/>
      <c r="CG68" s="133"/>
      <c r="CJ68" s="133"/>
      <c r="CK68" s="133"/>
      <c r="CL68" s="133"/>
      <c r="CM68" s="133"/>
      <c r="CN68" s="133"/>
      <c r="CR68" s="139">
        <f t="shared" si="42"/>
        <v>0</v>
      </c>
      <c r="CS68" s="139">
        <f t="shared" si="43"/>
        <v>0</v>
      </c>
      <c r="CT68" s="139">
        <f t="shared" si="44"/>
        <v>0</v>
      </c>
      <c r="CU68" s="139">
        <f t="shared" si="45"/>
        <v>0</v>
      </c>
      <c r="CV68" s="139">
        <f t="shared" si="46"/>
        <v>0</v>
      </c>
      <c r="CW68" s="139">
        <f t="shared" si="47"/>
        <v>0</v>
      </c>
      <c r="CX68" s="139">
        <f t="shared" si="48"/>
        <v>0</v>
      </c>
      <c r="CY68" s="139">
        <f t="shared" si="49"/>
        <v>0</v>
      </c>
      <c r="CZ68" s="139">
        <f t="shared" si="50"/>
        <v>0</v>
      </c>
      <c r="DA68" s="139">
        <f t="shared" si="39"/>
        <v>0</v>
      </c>
      <c r="DB68" s="139">
        <f t="shared" si="40"/>
        <v>0</v>
      </c>
      <c r="DC68" s="139">
        <f t="shared" si="41"/>
        <v>0</v>
      </c>
    </row>
    <row r="69" spans="2:107" x14ac:dyDescent="0.2">
      <c r="B69" s="105" t="s">
        <v>414</v>
      </c>
      <c r="D69" s="134"/>
      <c r="E69" s="134"/>
      <c r="F69" s="132"/>
      <c r="G69" s="133"/>
      <c r="H69" s="133"/>
      <c r="I69" s="133"/>
      <c r="J69" s="137"/>
      <c r="K69" s="134"/>
      <c r="L69" s="134"/>
      <c r="M69" s="134"/>
      <c r="N69" s="133"/>
      <c r="O69" s="133"/>
      <c r="P69" s="133"/>
      <c r="R69" s="133"/>
      <c r="S69" s="133"/>
      <c r="T69" s="133"/>
      <c r="U69" s="133"/>
      <c r="V69" s="133"/>
      <c r="Y69" s="133"/>
      <c r="Z69" s="133"/>
      <c r="AA69" s="133"/>
      <c r="AB69" s="133"/>
      <c r="AC69" s="133"/>
      <c r="AF69" s="133"/>
      <c r="AG69" s="133"/>
      <c r="AH69" s="133"/>
      <c r="AI69" s="133"/>
      <c r="AJ69" s="133"/>
      <c r="AM69" s="133"/>
      <c r="AN69" s="133"/>
      <c r="AO69" s="133"/>
      <c r="AP69" s="133"/>
      <c r="AQ69" s="133"/>
      <c r="AT69" s="133"/>
      <c r="AU69" s="133"/>
      <c r="AV69" s="133"/>
      <c r="AW69" s="133"/>
      <c r="AX69" s="133"/>
      <c r="BA69" s="133"/>
      <c r="BB69" s="133"/>
      <c r="BC69" s="133"/>
      <c r="BD69" s="133"/>
      <c r="BE69" s="133"/>
      <c r="BH69" s="133"/>
      <c r="BI69" s="133"/>
      <c r="BJ69" s="133"/>
      <c r="BK69" s="133"/>
      <c r="BL69" s="133"/>
      <c r="BO69" s="133"/>
      <c r="BP69" s="133"/>
      <c r="BQ69" s="133"/>
      <c r="BR69" s="133"/>
      <c r="BS69" s="133"/>
      <c r="BV69" s="133"/>
      <c r="BW69" s="133"/>
      <c r="BX69" s="133"/>
      <c r="BY69" s="133"/>
      <c r="BZ69" s="133"/>
      <c r="CC69" s="133"/>
      <c r="CD69" s="133"/>
      <c r="CE69" s="133"/>
      <c r="CF69" s="133"/>
      <c r="CG69" s="133"/>
      <c r="CJ69" s="133"/>
      <c r="CK69" s="133"/>
      <c r="CL69" s="133"/>
      <c r="CM69" s="133"/>
      <c r="CN69" s="133"/>
      <c r="CQ69" s="154"/>
      <c r="CR69" s="139">
        <f t="shared" si="42"/>
        <v>0</v>
      </c>
      <c r="CS69" s="139">
        <f t="shared" si="43"/>
        <v>0</v>
      </c>
      <c r="CT69" s="139">
        <f t="shared" si="44"/>
        <v>0</v>
      </c>
      <c r="CU69" s="139">
        <f t="shared" si="45"/>
        <v>0</v>
      </c>
      <c r="CV69" s="139">
        <f t="shared" si="46"/>
        <v>0</v>
      </c>
      <c r="CW69" s="139">
        <f t="shared" si="47"/>
        <v>0</v>
      </c>
      <c r="CX69" s="139">
        <f t="shared" si="48"/>
        <v>0</v>
      </c>
      <c r="CY69" s="139">
        <f t="shared" si="49"/>
        <v>0</v>
      </c>
      <c r="CZ69" s="139">
        <f t="shared" si="50"/>
        <v>0</v>
      </c>
      <c r="DA69" s="139">
        <f t="shared" si="39"/>
        <v>0</v>
      </c>
      <c r="DB69" s="139">
        <f t="shared" si="40"/>
        <v>0</v>
      </c>
      <c r="DC69" s="139">
        <f t="shared" si="41"/>
        <v>0</v>
      </c>
    </row>
    <row r="70" spans="2:107" ht="16" x14ac:dyDescent="0.2">
      <c r="B70" s="105" t="s">
        <v>415</v>
      </c>
      <c r="D70" s="134"/>
      <c r="E70" s="134"/>
      <c r="F70" s="132"/>
      <c r="G70" s="155"/>
      <c r="H70" s="156"/>
      <c r="I70" s="156"/>
      <c r="J70" s="267">
        <v>20994359.665999997</v>
      </c>
      <c r="K70" s="134"/>
      <c r="L70" s="134"/>
      <c r="M70" s="134"/>
      <c r="N70" s="155"/>
      <c r="O70" s="144"/>
      <c r="P70" s="144"/>
      <c r="Q70" s="267">
        <f>J70</f>
        <v>20994359.665999997</v>
      </c>
      <c r="R70" s="144"/>
      <c r="S70" s="144"/>
      <c r="T70" s="144"/>
      <c r="U70" s="144"/>
      <c r="V70" s="144"/>
      <c r="X70" s="267">
        <f>Q70</f>
        <v>20994359.665999997</v>
      </c>
      <c r="Y70" s="144"/>
      <c r="Z70" s="144"/>
      <c r="AA70" s="144"/>
      <c r="AB70" s="144"/>
      <c r="AC70" s="144"/>
      <c r="AE70" s="267">
        <f>X70</f>
        <v>20994359.665999997</v>
      </c>
      <c r="AF70" s="144"/>
      <c r="AG70" s="144"/>
      <c r="AH70" s="144"/>
      <c r="AI70" s="144"/>
      <c r="AJ70" s="144"/>
      <c r="AL70" s="267">
        <f>AE70</f>
        <v>20994359.665999997</v>
      </c>
      <c r="AM70" s="144"/>
      <c r="AN70" s="144"/>
      <c r="AO70" s="144"/>
      <c r="AP70" s="144"/>
      <c r="AQ70" s="144"/>
      <c r="AS70" s="267">
        <f>AL70</f>
        <v>20994359.665999997</v>
      </c>
      <c r="AT70" s="144"/>
      <c r="AU70" s="144"/>
      <c r="AV70" s="144"/>
      <c r="AW70" s="144"/>
      <c r="AX70" s="144"/>
      <c r="AZ70" s="267">
        <f>AS70</f>
        <v>20994359.665999997</v>
      </c>
      <c r="BA70" s="144"/>
      <c r="BB70" s="144"/>
      <c r="BC70" s="144"/>
      <c r="BD70" s="144"/>
      <c r="BE70" s="144"/>
      <c r="BG70" s="267">
        <f>AZ70</f>
        <v>20994359.665999997</v>
      </c>
      <c r="BH70" s="144"/>
      <c r="BI70" s="144"/>
      <c r="BJ70" s="144"/>
      <c r="BK70" s="144"/>
      <c r="BL70" s="144"/>
      <c r="BN70" s="267">
        <f>BG70</f>
        <v>20994359.665999997</v>
      </c>
      <c r="BO70" s="144"/>
      <c r="BP70" s="144"/>
      <c r="BQ70" s="144"/>
      <c r="BR70" s="144"/>
      <c r="BS70" s="144"/>
      <c r="BU70" s="267">
        <f>BN70</f>
        <v>20994359.665999997</v>
      </c>
      <c r="BV70" s="144"/>
      <c r="BW70" s="144"/>
      <c r="BX70" s="144"/>
      <c r="BY70" s="144"/>
      <c r="BZ70" s="144"/>
      <c r="CB70" s="267">
        <f>BU70</f>
        <v>20994359.665999997</v>
      </c>
      <c r="CC70" s="144"/>
      <c r="CD70" s="144"/>
      <c r="CE70" s="144"/>
      <c r="CF70" s="144"/>
      <c r="CG70" s="144"/>
      <c r="CI70" s="267">
        <f>CB70</f>
        <v>20994359.665999997</v>
      </c>
      <c r="CJ70" s="144"/>
      <c r="CK70" s="156"/>
      <c r="CL70" s="156"/>
      <c r="CM70" s="156"/>
      <c r="CN70" s="156"/>
      <c r="CQ70" s="154"/>
      <c r="CR70" s="139">
        <f t="shared" si="42"/>
        <v>1.0732636908382276E-2</v>
      </c>
      <c r="CS70" s="139">
        <f t="shared" si="43"/>
        <v>1.0782316777563798E-2</v>
      </c>
      <c r="CT70" s="139">
        <f t="shared" si="44"/>
        <v>1.1133230312001047E-2</v>
      </c>
      <c r="CU70" s="139">
        <f t="shared" si="45"/>
        <v>1.1133230312001047E-2</v>
      </c>
      <c r="CV70" s="139">
        <f t="shared" si="46"/>
        <v>1.1133230312001047E-2</v>
      </c>
      <c r="CW70" s="139">
        <f t="shared" si="47"/>
        <v>1.1133230312001047E-2</v>
      </c>
      <c r="CX70" s="139">
        <f t="shared" si="48"/>
        <v>1.1133230312001047E-2</v>
      </c>
      <c r="CY70" s="139">
        <f t="shared" si="49"/>
        <v>1.1133230312001047E-2</v>
      </c>
      <c r="CZ70" s="139">
        <f t="shared" si="50"/>
        <v>1.1133230312001047E-2</v>
      </c>
      <c r="DA70" s="139">
        <f t="shared" si="39"/>
        <v>1.1133230312001047E-2</v>
      </c>
      <c r="DB70" s="139">
        <f t="shared" si="40"/>
        <v>1.1133230312001047E-2</v>
      </c>
      <c r="DC70" s="139">
        <f t="shared" si="41"/>
        <v>1.1133230312001047E-2</v>
      </c>
    </row>
    <row r="71" spans="2:107" x14ac:dyDescent="0.2">
      <c r="B71" s="105" t="s">
        <v>416</v>
      </c>
      <c r="D71" s="134"/>
      <c r="E71" s="134"/>
      <c r="F71" s="132"/>
      <c r="G71" s="133"/>
      <c r="H71" s="133"/>
      <c r="I71" s="133"/>
      <c r="K71" s="134"/>
      <c r="L71" s="134"/>
      <c r="M71" s="134"/>
      <c r="N71" s="133"/>
      <c r="O71" s="133"/>
      <c r="P71" s="133"/>
      <c r="R71" s="133"/>
      <c r="S71" s="133"/>
      <c r="T71" s="133"/>
      <c r="U71" s="133"/>
      <c r="V71" s="133"/>
      <c r="Y71" s="133"/>
      <c r="Z71" s="133"/>
      <c r="AA71" s="133"/>
      <c r="AB71" s="133"/>
      <c r="AC71" s="133"/>
      <c r="AF71" s="133"/>
      <c r="AG71" s="133"/>
      <c r="AH71" s="133"/>
      <c r="AI71" s="133"/>
      <c r="AJ71" s="133"/>
      <c r="AM71" s="133"/>
      <c r="AN71" s="133"/>
      <c r="AO71" s="133"/>
      <c r="AP71" s="133"/>
      <c r="AQ71" s="133"/>
      <c r="AT71" s="133"/>
      <c r="AU71" s="133"/>
      <c r="AV71" s="133"/>
      <c r="AW71" s="133"/>
      <c r="AX71" s="133"/>
      <c r="BA71" s="133"/>
      <c r="BB71" s="133"/>
      <c r="BC71" s="133"/>
      <c r="BD71" s="133"/>
      <c r="BE71" s="133"/>
      <c r="BH71" s="133"/>
      <c r="BI71" s="133"/>
      <c r="BJ71" s="133"/>
      <c r="BK71" s="133"/>
      <c r="BL71" s="133"/>
      <c r="BO71" s="133"/>
      <c r="BP71" s="133"/>
      <c r="BQ71" s="133"/>
      <c r="BR71" s="133"/>
      <c r="BS71" s="133"/>
      <c r="BV71" s="133"/>
      <c r="BW71" s="133"/>
      <c r="BX71" s="133"/>
      <c r="BY71" s="133"/>
      <c r="BZ71" s="133"/>
      <c r="CC71" s="133"/>
      <c r="CD71" s="133"/>
      <c r="CE71" s="133"/>
      <c r="CF71" s="133"/>
      <c r="CG71" s="133"/>
      <c r="CJ71" s="133"/>
      <c r="CK71" s="133"/>
      <c r="CL71" s="133"/>
      <c r="CM71" s="133"/>
      <c r="CN71" s="133"/>
      <c r="CQ71" s="154"/>
      <c r="CR71" s="139">
        <f t="shared" si="42"/>
        <v>0</v>
      </c>
      <c r="CS71" s="139">
        <f t="shared" si="43"/>
        <v>0</v>
      </c>
      <c r="CT71" s="139">
        <f t="shared" si="44"/>
        <v>0</v>
      </c>
      <c r="CU71" s="139">
        <f t="shared" si="45"/>
        <v>0</v>
      </c>
      <c r="CV71" s="139">
        <f t="shared" si="46"/>
        <v>0</v>
      </c>
      <c r="CW71" s="139">
        <f t="shared" si="47"/>
        <v>0</v>
      </c>
      <c r="CX71" s="139">
        <f t="shared" si="48"/>
        <v>0</v>
      </c>
      <c r="CY71" s="139">
        <f t="shared" si="49"/>
        <v>0</v>
      </c>
      <c r="CZ71" s="139">
        <f t="shared" si="50"/>
        <v>0</v>
      </c>
      <c r="DA71" s="139">
        <f t="shared" si="39"/>
        <v>0</v>
      </c>
      <c r="DB71" s="139">
        <f t="shared" si="40"/>
        <v>0</v>
      </c>
      <c r="DC71" s="139">
        <f t="shared" si="41"/>
        <v>0</v>
      </c>
    </row>
    <row r="72" spans="2:107" ht="16" x14ac:dyDescent="0.2">
      <c r="B72" s="141" t="s">
        <v>417</v>
      </c>
      <c r="C72" s="207"/>
      <c r="D72" s="142"/>
      <c r="E72" s="142"/>
      <c r="F72" s="142"/>
      <c r="G72" s="142"/>
      <c r="H72" s="142"/>
      <c r="I72" s="142"/>
      <c r="J72" s="142">
        <f>SUM(J67:J71)</f>
        <v>20994359.665999997</v>
      </c>
      <c r="K72" s="143"/>
      <c r="L72" s="143"/>
      <c r="M72" s="143"/>
      <c r="N72" s="143"/>
      <c r="O72" s="143"/>
      <c r="P72" s="143"/>
      <c r="Q72" s="142">
        <f>SUM(Q67:Q71)</f>
        <v>20994359.665999997</v>
      </c>
      <c r="R72" s="143"/>
      <c r="S72" s="143"/>
      <c r="T72" s="143"/>
      <c r="U72" s="143"/>
      <c r="V72" s="143"/>
      <c r="W72" s="143"/>
      <c r="X72" s="142">
        <f>SUM(X67:X71)</f>
        <v>20994359.665999997</v>
      </c>
      <c r="Y72" s="143"/>
      <c r="Z72" s="143"/>
      <c r="AA72" s="143"/>
      <c r="AB72" s="143"/>
      <c r="AC72" s="143"/>
      <c r="AD72" s="143"/>
      <c r="AE72" s="142">
        <f>SUM(AE67:AE71)</f>
        <v>20994359.665999997</v>
      </c>
      <c r="AF72" s="143"/>
      <c r="AG72" s="143"/>
      <c r="AH72" s="143"/>
      <c r="AI72" s="143"/>
      <c r="AJ72" s="143"/>
      <c r="AK72" s="143"/>
      <c r="AL72" s="142">
        <f>SUM(AL67:AL71)</f>
        <v>20994359.665999997</v>
      </c>
      <c r="AM72" s="143"/>
      <c r="AN72" s="143"/>
      <c r="AO72" s="143"/>
      <c r="AP72" s="143"/>
      <c r="AQ72" s="143"/>
      <c r="AR72" s="143"/>
      <c r="AS72" s="142">
        <f>SUM(AS67:AS71)</f>
        <v>20994359.665999997</v>
      </c>
      <c r="AT72" s="143"/>
      <c r="AU72" s="143"/>
      <c r="AV72" s="143"/>
      <c r="AW72" s="143"/>
      <c r="AX72" s="143"/>
      <c r="AY72" s="143"/>
      <c r="AZ72" s="142">
        <f>SUM(AZ67:AZ71)</f>
        <v>20994359.665999997</v>
      </c>
      <c r="BA72" s="143"/>
      <c r="BB72" s="143"/>
      <c r="BC72" s="143"/>
      <c r="BD72" s="143"/>
      <c r="BE72" s="143"/>
      <c r="BF72" s="143"/>
      <c r="BG72" s="142">
        <f>SUM(BG67:BG71)</f>
        <v>20994359.665999997</v>
      </c>
      <c r="BH72" s="143"/>
      <c r="BI72" s="143"/>
      <c r="BJ72" s="143"/>
      <c r="BK72" s="143"/>
      <c r="BL72" s="143"/>
      <c r="BM72" s="143"/>
      <c r="BN72" s="142">
        <f>SUM(BN67:BN71)</f>
        <v>20994359.665999997</v>
      </c>
      <c r="BO72" s="143"/>
      <c r="BP72" s="143"/>
      <c r="BQ72" s="143"/>
      <c r="BR72" s="143"/>
      <c r="BS72" s="143"/>
      <c r="BT72" s="143"/>
      <c r="BU72" s="142">
        <f>SUM(BU67:BU71)</f>
        <v>20994359.665999997</v>
      </c>
      <c r="BV72" s="143"/>
      <c r="BW72" s="143"/>
      <c r="BX72" s="143"/>
      <c r="BY72" s="143"/>
      <c r="BZ72" s="143"/>
      <c r="CA72" s="143"/>
      <c r="CB72" s="142">
        <f>SUM(CB67:CB71)</f>
        <v>20994359.665999997</v>
      </c>
      <c r="CC72" s="143"/>
      <c r="CD72" s="143"/>
      <c r="CE72" s="143"/>
      <c r="CF72" s="143"/>
      <c r="CG72" s="143"/>
      <c r="CH72" s="143"/>
      <c r="CI72" s="142">
        <f>SUM(CI67:CI71)</f>
        <v>20994359.665999997</v>
      </c>
      <c r="CJ72" s="143"/>
      <c r="CK72" s="143"/>
      <c r="CL72" s="143"/>
      <c r="CM72" s="143"/>
      <c r="CN72" s="143"/>
      <c r="CO72" s="143"/>
      <c r="CP72" s="142"/>
      <c r="CQ72" s="154"/>
      <c r="CR72" s="145">
        <f t="shared" si="42"/>
        <v>1.0732636908382276E-2</v>
      </c>
      <c r="CS72" s="145">
        <f t="shared" si="43"/>
        <v>1.0782316777563798E-2</v>
      </c>
      <c r="CT72" s="145">
        <f t="shared" si="44"/>
        <v>1.1133230312001047E-2</v>
      </c>
      <c r="CU72" s="145">
        <f t="shared" si="45"/>
        <v>1.1133230312001047E-2</v>
      </c>
      <c r="CV72" s="145">
        <f t="shared" si="46"/>
        <v>1.1133230312001047E-2</v>
      </c>
      <c r="CW72" s="145">
        <f t="shared" si="47"/>
        <v>1.1133230312001047E-2</v>
      </c>
      <c r="CX72" s="145">
        <f t="shared" si="48"/>
        <v>1.1133230312001047E-2</v>
      </c>
      <c r="CY72" s="145">
        <f t="shared" si="49"/>
        <v>1.1133230312001047E-2</v>
      </c>
      <c r="CZ72" s="145">
        <f t="shared" si="50"/>
        <v>1.1133230312001047E-2</v>
      </c>
      <c r="DA72" s="145">
        <f t="shared" si="39"/>
        <v>1.1133230312001047E-2</v>
      </c>
      <c r="DB72" s="145">
        <f t="shared" si="40"/>
        <v>1.1133230312001047E-2</v>
      </c>
      <c r="DC72" s="145">
        <f t="shared" si="41"/>
        <v>1.1133230312001047E-2</v>
      </c>
    </row>
    <row r="73" spans="2:107" x14ac:dyDescent="0.2">
      <c r="B73" s="105" t="s">
        <v>418</v>
      </c>
      <c r="C73" s="210"/>
      <c r="D73" s="157"/>
      <c r="E73" s="157"/>
      <c r="F73" s="157"/>
      <c r="G73" s="133"/>
      <c r="H73" s="133"/>
      <c r="I73" s="133"/>
      <c r="J73" s="212">
        <f>'EEFF 2025'!CI71+J17-J70</f>
        <v>83977438.66399999</v>
      </c>
      <c r="K73" s="116"/>
      <c r="L73" s="116"/>
      <c r="M73" s="116"/>
      <c r="N73" s="116"/>
      <c r="O73" s="116"/>
      <c r="P73" s="116"/>
      <c r="Q73" s="212">
        <f>J73+Q17</f>
        <v>83977438.66399999</v>
      </c>
      <c r="R73" s="116"/>
      <c r="S73" s="116"/>
      <c r="T73" s="116"/>
      <c r="U73" s="116"/>
      <c r="V73" s="116"/>
      <c r="W73" s="116"/>
      <c r="X73" s="212">
        <f>Q73+X17</f>
        <v>83977438.66399999</v>
      </c>
      <c r="Y73" s="116"/>
      <c r="Z73" s="116"/>
      <c r="AA73" s="116"/>
      <c r="AB73" s="116"/>
      <c r="AC73" s="116"/>
      <c r="AD73" s="116"/>
      <c r="AE73" s="212">
        <f>X73+AE17</f>
        <v>83977438.66399999</v>
      </c>
      <c r="AF73" s="116"/>
      <c r="AG73" s="116"/>
      <c r="AH73" s="116"/>
      <c r="AI73" s="116"/>
      <c r="AJ73" s="116"/>
      <c r="AK73" s="116"/>
      <c r="AL73" s="212">
        <f>AE73+AL17</f>
        <v>83977438.66399999</v>
      </c>
      <c r="AM73" s="116"/>
      <c r="AN73" s="116"/>
      <c r="AO73" s="116"/>
      <c r="AP73" s="116"/>
      <c r="AQ73" s="116"/>
      <c r="AR73" s="116"/>
      <c r="AS73" s="212">
        <f>AL73+AS17</f>
        <v>83977438.66399999</v>
      </c>
      <c r="AT73" s="116"/>
      <c r="AU73" s="116"/>
      <c r="AV73" s="116"/>
      <c r="AW73" s="116"/>
      <c r="AX73" s="116"/>
      <c r="AY73" s="116"/>
      <c r="AZ73" s="212">
        <f>AS73+AZ17</f>
        <v>83977438.66399999</v>
      </c>
      <c r="BA73" s="116"/>
      <c r="BB73" s="116"/>
      <c r="BC73" s="116"/>
      <c r="BD73" s="116"/>
      <c r="BE73" s="116"/>
      <c r="BF73" s="116"/>
      <c r="BG73" s="212">
        <f>AZ73+BG17</f>
        <v>83977438.66399999</v>
      </c>
      <c r="BH73" s="116"/>
      <c r="BI73" s="116"/>
      <c r="BJ73" s="116"/>
      <c r="BK73" s="116"/>
      <c r="BL73" s="116"/>
      <c r="BM73" s="116"/>
      <c r="BN73" s="212">
        <f>BG73+BN17</f>
        <v>83977438.66399999</v>
      </c>
      <c r="BO73" s="116"/>
      <c r="BP73" s="116"/>
      <c r="BQ73" s="116"/>
      <c r="BR73" s="116"/>
      <c r="BS73" s="116"/>
      <c r="BT73" s="116"/>
      <c r="BU73" s="212">
        <f>BN73+BU17</f>
        <v>83977438.66399999</v>
      </c>
      <c r="BV73" s="116"/>
      <c r="BW73" s="116"/>
      <c r="BX73" s="116"/>
      <c r="BY73" s="116"/>
      <c r="BZ73" s="116"/>
      <c r="CA73" s="116"/>
      <c r="CB73" s="212">
        <f>BU73+CB17</f>
        <v>83977438.66399999</v>
      </c>
      <c r="CC73" s="116"/>
      <c r="CD73" s="116"/>
      <c r="CE73" s="116"/>
      <c r="CF73" s="116"/>
      <c r="CG73" s="116"/>
      <c r="CH73" s="116"/>
      <c r="CI73" s="212">
        <f>CB73+CI17</f>
        <v>83977438.66399999</v>
      </c>
      <c r="CJ73" s="116"/>
      <c r="CK73" s="116"/>
      <c r="CL73" s="116"/>
      <c r="CM73" s="116"/>
      <c r="CN73" s="116"/>
      <c r="CO73" s="116"/>
      <c r="CP73" s="212"/>
      <c r="CQ73" s="154"/>
      <c r="CR73" s="146">
        <f t="shared" si="42"/>
        <v>4.2930547633529104E-2</v>
      </c>
      <c r="CS73" s="146">
        <f t="shared" si="43"/>
        <v>4.3129267110255193E-2</v>
      </c>
      <c r="CT73" s="146">
        <f t="shared" si="44"/>
        <v>4.453292124800419E-2</v>
      </c>
      <c r="CU73" s="146">
        <f t="shared" si="45"/>
        <v>4.453292124800419E-2</v>
      </c>
      <c r="CV73" s="146">
        <f t="shared" si="46"/>
        <v>4.453292124800419E-2</v>
      </c>
      <c r="CW73" s="146">
        <f t="shared" si="47"/>
        <v>4.453292124800419E-2</v>
      </c>
      <c r="CX73" s="146">
        <f t="shared" si="48"/>
        <v>4.453292124800419E-2</v>
      </c>
      <c r="CY73" s="146">
        <f t="shared" si="49"/>
        <v>4.453292124800419E-2</v>
      </c>
      <c r="CZ73" s="146">
        <f t="shared" si="50"/>
        <v>4.453292124800419E-2</v>
      </c>
      <c r="DA73" s="146">
        <f t="shared" si="39"/>
        <v>4.453292124800419E-2</v>
      </c>
      <c r="DB73" s="146">
        <f t="shared" si="40"/>
        <v>4.453292124800419E-2</v>
      </c>
      <c r="DC73" s="146">
        <f t="shared" si="41"/>
        <v>4.453292124800419E-2</v>
      </c>
    </row>
    <row r="74" spans="2:107" ht="16" x14ac:dyDescent="0.2">
      <c r="B74" s="141" t="s">
        <v>419</v>
      </c>
      <c r="C74" s="207"/>
      <c r="D74" s="142"/>
      <c r="E74" s="142"/>
      <c r="F74" s="142"/>
      <c r="G74" s="142"/>
      <c r="H74" s="142"/>
      <c r="I74" s="142"/>
      <c r="J74" s="142">
        <f>J73</f>
        <v>83977438.66399999</v>
      </c>
      <c r="K74" s="143"/>
      <c r="L74" s="143"/>
      <c r="M74" s="143"/>
      <c r="N74" s="143"/>
      <c r="O74" s="143"/>
      <c r="P74" s="143"/>
      <c r="Q74" s="142">
        <f>Q73</f>
        <v>83977438.66399999</v>
      </c>
      <c r="R74" s="143"/>
      <c r="S74" s="143"/>
      <c r="T74" s="143"/>
      <c r="U74" s="143"/>
      <c r="V74" s="143"/>
      <c r="W74" s="143"/>
      <c r="X74" s="142">
        <f>X73</f>
        <v>83977438.66399999</v>
      </c>
      <c r="Y74" s="143"/>
      <c r="Z74" s="143"/>
      <c r="AA74" s="143"/>
      <c r="AB74" s="143"/>
      <c r="AC74" s="143"/>
      <c r="AD74" s="143"/>
      <c r="AE74" s="142">
        <f>AE73</f>
        <v>83977438.66399999</v>
      </c>
      <c r="AF74" s="143"/>
      <c r="AG74" s="143"/>
      <c r="AH74" s="143"/>
      <c r="AI74" s="143"/>
      <c r="AJ74" s="143"/>
      <c r="AK74" s="143"/>
      <c r="AL74" s="142">
        <f>AL73</f>
        <v>83977438.66399999</v>
      </c>
      <c r="AM74" s="143"/>
      <c r="AN74" s="143"/>
      <c r="AO74" s="143"/>
      <c r="AP74" s="143"/>
      <c r="AQ74" s="143"/>
      <c r="AR74" s="143"/>
      <c r="AS74" s="142">
        <f>AS73</f>
        <v>83977438.66399999</v>
      </c>
      <c r="AT74" s="143"/>
      <c r="AU74" s="143"/>
      <c r="AV74" s="143"/>
      <c r="AW74" s="143"/>
      <c r="AX74" s="143"/>
      <c r="AY74" s="143"/>
      <c r="AZ74" s="142">
        <f>AZ73</f>
        <v>83977438.66399999</v>
      </c>
      <c r="BA74" s="143"/>
      <c r="BB74" s="143"/>
      <c r="BC74" s="143"/>
      <c r="BD74" s="143"/>
      <c r="BE74" s="143"/>
      <c r="BF74" s="143"/>
      <c r="BG74" s="142">
        <f>BG73</f>
        <v>83977438.66399999</v>
      </c>
      <c r="BH74" s="143"/>
      <c r="BI74" s="143"/>
      <c r="BJ74" s="143"/>
      <c r="BK74" s="143"/>
      <c r="BL74" s="143"/>
      <c r="BM74" s="143"/>
      <c r="BN74" s="142">
        <f>BN73</f>
        <v>83977438.66399999</v>
      </c>
      <c r="BO74" s="143"/>
      <c r="BP74" s="143"/>
      <c r="BQ74" s="143"/>
      <c r="BR74" s="143"/>
      <c r="BS74" s="143"/>
      <c r="BT74" s="143"/>
      <c r="BU74" s="142">
        <f>BU73</f>
        <v>83977438.66399999</v>
      </c>
      <c r="BV74" s="143"/>
      <c r="BW74" s="143"/>
      <c r="BX74" s="143"/>
      <c r="BY74" s="143"/>
      <c r="BZ74" s="143"/>
      <c r="CA74" s="143"/>
      <c r="CB74" s="142">
        <f>CB73</f>
        <v>83977438.66399999</v>
      </c>
      <c r="CC74" s="143"/>
      <c r="CD74" s="143"/>
      <c r="CE74" s="143"/>
      <c r="CF74" s="143"/>
      <c r="CG74" s="143"/>
      <c r="CH74" s="143"/>
      <c r="CI74" s="142">
        <f>CI73</f>
        <v>83977438.66399999</v>
      </c>
      <c r="CJ74" s="143"/>
      <c r="CK74" s="143"/>
      <c r="CL74" s="143"/>
      <c r="CM74" s="143"/>
      <c r="CN74" s="143"/>
      <c r="CO74" s="143"/>
      <c r="CP74" s="142"/>
      <c r="CQ74" s="154"/>
      <c r="CR74" s="146">
        <f t="shared" si="42"/>
        <v>4.2930547633529104E-2</v>
      </c>
      <c r="CS74" s="146">
        <f t="shared" si="43"/>
        <v>4.3129267110255193E-2</v>
      </c>
      <c r="CT74" s="146">
        <f t="shared" si="44"/>
        <v>4.453292124800419E-2</v>
      </c>
      <c r="CU74" s="146">
        <f t="shared" si="45"/>
        <v>4.453292124800419E-2</v>
      </c>
      <c r="CV74" s="146">
        <f t="shared" si="46"/>
        <v>4.453292124800419E-2</v>
      </c>
      <c r="CW74" s="146">
        <f t="shared" si="47"/>
        <v>4.453292124800419E-2</v>
      </c>
      <c r="CX74" s="146">
        <f t="shared" si="48"/>
        <v>4.453292124800419E-2</v>
      </c>
      <c r="CY74" s="146">
        <f t="shared" si="49"/>
        <v>4.453292124800419E-2</v>
      </c>
      <c r="CZ74" s="146">
        <f t="shared" si="50"/>
        <v>4.453292124800419E-2</v>
      </c>
      <c r="DA74" s="146">
        <f t="shared" si="39"/>
        <v>4.453292124800419E-2</v>
      </c>
      <c r="DB74" s="146">
        <f t="shared" si="40"/>
        <v>4.453292124800419E-2</v>
      </c>
      <c r="DC74" s="146">
        <f t="shared" si="41"/>
        <v>4.453292124800419E-2</v>
      </c>
    </row>
    <row r="75" spans="2:107" ht="16" x14ac:dyDescent="0.2">
      <c r="B75" s="141" t="s">
        <v>420</v>
      </c>
      <c r="C75" s="207"/>
      <c r="D75" s="142"/>
      <c r="E75" s="142"/>
      <c r="F75" s="142"/>
      <c r="G75" s="142"/>
      <c r="H75" s="142"/>
      <c r="I75" s="142"/>
      <c r="J75" s="142">
        <f>J72+J74</f>
        <v>104971798.32999998</v>
      </c>
      <c r="K75" s="143"/>
      <c r="L75" s="143"/>
      <c r="M75" s="143"/>
      <c r="N75" s="143"/>
      <c r="O75" s="143"/>
      <c r="P75" s="143"/>
      <c r="Q75" s="142">
        <f>Q72+Q74</f>
        <v>104971798.32999998</v>
      </c>
      <c r="R75" s="143"/>
      <c r="S75" s="143"/>
      <c r="T75" s="143"/>
      <c r="U75" s="143"/>
      <c r="V75" s="143"/>
      <c r="W75" s="143"/>
      <c r="X75" s="142">
        <f>X72+X74</f>
        <v>104971798.32999998</v>
      </c>
      <c r="Y75" s="143"/>
      <c r="Z75" s="143"/>
      <c r="AA75" s="143"/>
      <c r="AB75" s="143"/>
      <c r="AC75" s="143"/>
      <c r="AD75" s="143"/>
      <c r="AE75" s="142">
        <f>AE72+AE74</f>
        <v>104971798.32999998</v>
      </c>
      <c r="AF75" s="143"/>
      <c r="AG75" s="143"/>
      <c r="AH75" s="143"/>
      <c r="AI75" s="143"/>
      <c r="AJ75" s="143"/>
      <c r="AK75" s="143"/>
      <c r="AL75" s="142">
        <f>AL72+AL74</f>
        <v>104971798.32999998</v>
      </c>
      <c r="AM75" s="143"/>
      <c r="AN75" s="143"/>
      <c r="AO75" s="143"/>
      <c r="AP75" s="143"/>
      <c r="AQ75" s="143"/>
      <c r="AR75" s="143"/>
      <c r="AS75" s="142">
        <f>AS72+AS74</f>
        <v>104971798.32999998</v>
      </c>
      <c r="AT75" s="143"/>
      <c r="AU75" s="143"/>
      <c r="AV75" s="143"/>
      <c r="AW75" s="143"/>
      <c r="AX75" s="143"/>
      <c r="AY75" s="143"/>
      <c r="AZ75" s="142">
        <f>AZ72+AZ74</f>
        <v>104971798.32999998</v>
      </c>
      <c r="BA75" s="143"/>
      <c r="BB75" s="143"/>
      <c r="BC75" s="143"/>
      <c r="BD75" s="143"/>
      <c r="BE75" s="143"/>
      <c r="BF75" s="143"/>
      <c r="BG75" s="142">
        <f>BG72+BG74</f>
        <v>104971798.32999998</v>
      </c>
      <c r="BH75" s="143"/>
      <c r="BI75" s="143"/>
      <c r="BJ75" s="143"/>
      <c r="BK75" s="143"/>
      <c r="BL75" s="143"/>
      <c r="BM75" s="143"/>
      <c r="BN75" s="142">
        <f>BN72+BN74</f>
        <v>104971798.32999998</v>
      </c>
      <c r="BO75" s="143"/>
      <c r="BP75" s="143"/>
      <c r="BQ75" s="143"/>
      <c r="BR75" s="143"/>
      <c r="BS75" s="143"/>
      <c r="BT75" s="143"/>
      <c r="BU75" s="142">
        <f>BU72+BU74</f>
        <v>104971798.32999998</v>
      </c>
      <c r="BV75" s="143"/>
      <c r="BW75" s="143"/>
      <c r="BX75" s="143"/>
      <c r="BY75" s="143"/>
      <c r="BZ75" s="143"/>
      <c r="CA75" s="143"/>
      <c r="CB75" s="142">
        <f>CB72+CB74</f>
        <v>104971798.32999998</v>
      </c>
      <c r="CC75" s="143"/>
      <c r="CD75" s="143"/>
      <c r="CE75" s="143"/>
      <c r="CF75" s="143"/>
      <c r="CG75" s="143"/>
      <c r="CH75" s="143"/>
      <c r="CI75" s="142">
        <f>CI72+CI74</f>
        <v>104971798.32999998</v>
      </c>
      <c r="CJ75" s="143"/>
      <c r="CK75" s="143"/>
      <c r="CL75" s="143"/>
      <c r="CM75" s="143"/>
      <c r="CN75" s="143"/>
      <c r="CO75" s="143"/>
      <c r="CP75" s="142"/>
      <c r="CQ75" s="154"/>
      <c r="CR75" s="145">
        <f t="shared" si="42"/>
        <v>5.366318454191138E-2</v>
      </c>
      <c r="CS75" s="145">
        <f t="shared" si="43"/>
        <v>5.3911583887818991E-2</v>
      </c>
      <c r="CT75" s="145">
        <f t="shared" si="44"/>
        <v>5.5666151560005241E-2</v>
      </c>
      <c r="CU75" s="145">
        <f t="shared" si="45"/>
        <v>5.5666151560005241E-2</v>
      </c>
      <c r="CV75" s="145">
        <f t="shared" si="46"/>
        <v>5.5666151560005241E-2</v>
      </c>
      <c r="CW75" s="145">
        <f t="shared" si="47"/>
        <v>5.5666151560005241E-2</v>
      </c>
      <c r="CX75" s="145">
        <f t="shared" si="48"/>
        <v>5.5666151560005241E-2</v>
      </c>
      <c r="CY75" s="145">
        <f t="shared" si="49"/>
        <v>5.5666151560005241E-2</v>
      </c>
      <c r="CZ75" s="145">
        <f t="shared" si="50"/>
        <v>5.5666151560005241E-2</v>
      </c>
      <c r="DA75" s="145">
        <f t="shared" si="39"/>
        <v>5.5666151560005241E-2</v>
      </c>
      <c r="DB75" s="145">
        <f t="shared" si="40"/>
        <v>5.5666151560005241E-2</v>
      </c>
      <c r="DC75" s="145">
        <f t="shared" si="41"/>
        <v>5.5666151560005241E-2</v>
      </c>
    </row>
    <row r="76" spans="2:107" ht="16" x14ac:dyDescent="0.2">
      <c r="B76" s="105" t="s">
        <v>421</v>
      </c>
      <c r="D76" s="134"/>
      <c r="E76" s="134"/>
      <c r="F76" s="134"/>
      <c r="G76" s="158"/>
      <c r="H76" s="158"/>
      <c r="I76" s="158"/>
      <c r="J76" s="158">
        <f>J64</f>
        <v>1885738377.5999999</v>
      </c>
      <c r="K76" s="134"/>
      <c r="L76" s="134"/>
      <c r="M76" s="134"/>
      <c r="N76" s="158"/>
      <c r="O76" s="158"/>
      <c r="P76" s="158"/>
      <c r="Q76" s="158">
        <f>Q64</f>
        <v>1885738377.5999999</v>
      </c>
      <c r="R76" s="158"/>
      <c r="S76" s="158"/>
      <c r="T76" s="158"/>
      <c r="U76" s="158"/>
      <c r="V76" s="158"/>
      <c r="W76" s="158"/>
      <c r="X76" s="158">
        <f>X64</f>
        <v>1885738377.5999999</v>
      </c>
      <c r="Y76" s="158"/>
      <c r="Z76" s="158"/>
      <c r="AA76" s="158"/>
      <c r="AB76" s="158"/>
      <c r="AC76" s="158"/>
      <c r="AD76" s="158"/>
      <c r="AE76" s="158">
        <f>AE64</f>
        <v>1885738377.5999999</v>
      </c>
      <c r="AF76" s="158"/>
      <c r="AG76" s="158"/>
      <c r="AH76" s="158"/>
      <c r="AI76" s="158"/>
      <c r="AJ76" s="158"/>
      <c r="AK76" s="158"/>
      <c r="AL76" s="158">
        <f>AL64</f>
        <v>1885738377.5999999</v>
      </c>
      <c r="AM76" s="158"/>
      <c r="AN76" s="158"/>
      <c r="AO76" s="158"/>
      <c r="AP76" s="158"/>
      <c r="AQ76" s="158"/>
      <c r="AR76" s="158"/>
      <c r="AS76" s="158">
        <f>AS64</f>
        <v>1885738377.5999999</v>
      </c>
      <c r="AT76" s="158"/>
      <c r="AU76" s="158"/>
      <c r="AV76" s="158"/>
      <c r="AW76" s="158"/>
      <c r="AX76" s="158"/>
      <c r="AY76" s="158"/>
      <c r="AZ76" s="158">
        <f>AZ64</f>
        <v>1885738377.5999999</v>
      </c>
      <c r="BA76" s="158"/>
      <c r="BB76" s="158"/>
      <c r="BC76" s="158"/>
      <c r="BD76" s="158"/>
      <c r="BE76" s="158"/>
      <c r="BF76" s="158"/>
      <c r="BG76" s="158">
        <f>BG64</f>
        <v>1885738377.5999999</v>
      </c>
      <c r="BH76" s="158"/>
      <c r="BI76" s="158"/>
      <c r="BJ76" s="158"/>
      <c r="BK76" s="158"/>
      <c r="BL76" s="158"/>
      <c r="BM76" s="158"/>
      <c r="BN76" s="158">
        <f>BN64</f>
        <v>1885738377.5999999</v>
      </c>
      <c r="BO76" s="158"/>
      <c r="BP76" s="158"/>
      <c r="BQ76" s="158"/>
      <c r="BR76" s="158"/>
      <c r="BS76" s="158"/>
      <c r="BT76" s="158"/>
      <c r="BU76" s="158">
        <f>BU64</f>
        <v>1885738377.5999999</v>
      </c>
      <c r="BV76" s="158"/>
      <c r="BW76" s="158"/>
      <c r="BX76" s="158"/>
      <c r="BY76" s="158"/>
      <c r="BZ76" s="158"/>
      <c r="CA76" s="158"/>
      <c r="CB76" s="158">
        <f>CB64</f>
        <v>1885738377.5999999</v>
      </c>
      <c r="CC76" s="158"/>
      <c r="CD76" s="158"/>
      <c r="CE76" s="158"/>
      <c r="CF76" s="158"/>
      <c r="CG76" s="158"/>
      <c r="CH76" s="158"/>
      <c r="CI76" s="158">
        <f>CI64</f>
        <v>1885738377.5999999</v>
      </c>
      <c r="CJ76" s="158"/>
      <c r="CK76" s="158"/>
      <c r="CL76" s="158"/>
      <c r="CM76" s="158"/>
      <c r="CN76" s="158"/>
      <c r="CO76" s="158"/>
      <c r="CP76" s="158"/>
      <c r="CQ76" s="154"/>
      <c r="CR76" s="139">
        <f t="shared" si="42"/>
        <v>0.96401822360694778</v>
      </c>
      <c r="CS76" s="139">
        <f t="shared" si="43"/>
        <v>0.96848052859743827</v>
      </c>
      <c r="CT76" s="139">
        <f t="shared" si="44"/>
        <v>1</v>
      </c>
      <c r="CU76" s="139">
        <f t="shared" si="45"/>
        <v>1</v>
      </c>
      <c r="CV76" s="139">
        <f t="shared" si="46"/>
        <v>1</v>
      </c>
      <c r="CW76" s="139">
        <f t="shared" si="47"/>
        <v>1</v>
      </c>
      <c r="CX76" s="139">
        <f t="shared" si="48"/>
        <v>1</v>
      </c>
      <c r="CY76" s="139">
        <f t="shared" si="49"/>
        <v>1</v>
      </c>
      <c r="CZ76" s="139">
        <f t="shared" si="50"/>
        <v>1</v>
      </c>
      <c r="DA76" s="139">
        <f t="shared" si="39"/>
        <v>1</v>
      </c>
      <c r="DB76" s="139">
        <f t="shared" si="40"/>
        <v>1</v>
      </c>
      <c r="DC76" s="139">
        <f t="shared" si="41"/>
        <v>1</v>
      </c>
    </row>
    <row r="77" spans="2:107" ht="16" x14ac:dyDescent="0.2">
      <c r="B77" s="105" t="s">
        <v>422</v>
      </c>
      <c r="D77" s="134"/>
      <c r="E77" s="134"/>
      <c r="F77" s="134"/>
      <c r="G77" s="158"/>
      <c r="H77" s="158"/>
      <c r="I77" s="158"/>
      <c r="K77" s="134"/>
      <c r="L77" s="134"/>
      <c r="M77" s="134"/>
      <c r="N77" s="158"/>
      <c r="O77" s="158"/>
      <c r="P77" s="158"/>
      <c r="R77" s="158"/>
      <c r="S77" s="158"/>
      <c r="T77" s="158"/>
      <c r="U77" s="158"/>
      <c r="V77" s="158"/>
      <c r="Y77" s="158"/>
      <c r="Z77" s="158"/>
      <c r="AA77" s="158"/>
      <c r="AB77" s="158"/>
      <c r="AC77" s="158"/>
      <c r="AF77" s="158"/>
      <c r="AG77" s="158"/>
      <c r="AH77" s="158"/>
      <c r="AI77" s="158"/>
      <c r="AJ77" s="158"/>
      <c r="AM77" s="158"/>
      <c r="AN77" s="158"/>
      <c r="AO77" s="158"/>
      <c r="AP77" s="158"/>
      <c r="AQ77" s="158"/>
      <c r="AT77" s="158"/>
      <c r="AU77" s="158"/>
      <c r="AV77" s="158"/>
      <c r="AW77" s="158"/>
      <c r="AX77" s="158"/>
      <c r="BA77" s="158"/>
      <c r="BB77" s="158"/>
      <c r="BC77" s="158"/>
      <c r="BD77" s="158"/>
      <c r="BE77" s="158"/>
      <c r="BH77" s="158"/>
      <c r="BI77" s="158"/>
      <c r="BJ77" s="158"/>
      <c r="BK77" s="158"/>
      <c r="BL77" s="158"/>
      <c r="BO77" s="158"/>
      <c r="BP77" s="158"/>
      <c r="BQ77" s="158"/>
      <c r="BR77" s="158"/>
      <c r="BS77" s="158"/>
      <c r="BV77" s="158"/>
      <c r="BW77" s="158"/>
      <c r="BX77" s="158"/>
      <c r="BY77" s="158"/>
      <c r="BZ77" s="158"/>
      <c r="CC77" s="158"/>
      <c r="CD77" s="158"/>
      <c r="CE77" s="158"/>
      <c r="CF77" s="158"/>
      <c r="CG77" s="158"/>
      <c r="CJ77" s="158"/>
      <c r="CK77" s="158"/>
      <c r="CL77" s="158"/>
      <c r="CM77" s="158"/>
      <c r="CN77" s="158"/>
      <c r="CQ77" s="154"/>
      <c r="CR77" s="139">
        <f t="shared" si="42"/>
        <v>0</v>
      </c>
      <c r="CS77" s="139">
        <f t="shared" si="43"/>
        <v>0</v>
      </c>
      <c r="CT77" s="139">
        <f t="shared" si="44"/>
        <v>0</v>
      </c>
      <c r="CU77" s="139">
        <f t="shared" si="45"/>
        <v>0</v>
      </c>
      <c r="CV77" s="139">
        <f t="shared" si="46"/>
        <v>0</v>
      </c>
      <c r="CW77" s="139">
        <f t="shared" si="47"/>
        <v>0</v>
      </c>
      <c r="CX77" s="139">
        <f t="shared" si="48"/>
        <v>0</v>
      </c>
      <c r="CY77" s="139">
        <f t="shared" si="49"/>
        <v>0</v>
      </c>
      <c r="CZ77" s="139">
        <f t="shared" si="50"/>
        <v>0</v>
      </c>
      <c r="DA77" s="139">
        <f t="shared" si="39"/>
        <v>0</v>
      </c>
      <c r="DB77" s="139">
        <f t="shared" si="40"/>
        <v>0</v>
      </c>
      <c r="DC77" s="139">
        <f t="shared" si="41"/>
        <v>0</v>
      </c>
    </row>
    <row r="78" spans="2:107" ht="16" x14ac:dyDescent="0.2">
      <c r="B78" s="105" t="s">
        <v>423</v>
      </c>
      <c r="D78" s="134"/>
      <c r="E78" s="134"/>
      <c r="F78" s="134"/>
      <c r="G78" s="158"/>
      <c r="H78" s="158"/>
      <c r="I78" s="158"/>
      <c r="K78" s="134"/>
      <c r="L78" s="134"/>
      <c r="M78" s="134"/>
      <c r="N78" s="158"/>
      <c r="O78" s="158"/>
      <c r="P78" s="158"/>
      <c r="R78" s="158"/>
      <c r="S78" s="158"/>
      <c r="T78" s="158"/>
      <c r="U78" s="158"/>
      <c r="V78" s="158"/>
      <c r="Y78" s="158"/>
      <c r="Z78" s="158"/>
      <c r="AA78" s="158"/>
      <c r="AB78" s="158"/>
      <c r="AC78" s="158"/>
      <c r="AF78" s="158"/>
      <c r="AG78" s="158"/>
      <c r="AH78" s="158"/>
      <c r="AI78" s="158"/>
      <c r="AJ78" s="158"/>
      <c r="AM78" s="158"/>
      <c r="AN78" s="158"/>
      <c r="AO78" s="158"/>
      <c r="AP78" s="158"/>
      <c r="AQ78" s="158"/>
      <c r="AT78" s="158"/>
      <c r="AU78" s="158"/>
      <c r="AV78" s="158"/>
      <c r="AW78" s="158"/>
      <c r="AX78" s="158"/>
      <c r="BA78" s="158"/>
      <c r="BB78" s="158"/>
      <c r="BC78" s="158"/>
      <c r="BD78" s="158"/>
      <c r="BE78" s="158"/>
      <c r="BH78" s="158"/>
      <c r="BI78" s="158"/>
      <c r="BJ78" s="158"/>
      <c r="BK78" s="158"/>
      <c r="BL78" s="158"/>
      <c r="BO78" s="158"/>
      <c r="BP78" s="158"/>
      <c r="BQ78" s="158"/>
      <c r="BR78" s="158"/>
      <c r="BS78" s="158"/>
      <c r="BV78" s="158"/>
      <c r="BW78" s="158"/>
      <c r="BX78" s="158"/>
      <c r="BY78" s="158"/>
      <c r="BZ78" s="158"/>
      <c r="CC78" s="158"/>
      <c r="CD78" s="158"/>
      <c r="CE78" s="158"/>
      <c r="CF78" s="158"/>
      <c r="CG78" s="158"/>
      <c r="CJ78" s="158"/>
      <c r="CK78" s="158"/>
      <c r="CL78" s="158"/>
      <c r="CM78" s="158"/>
      <c r="CN78" s="158"/>
      <c r="CQ78" s="154"/>
      <c r="CR78" s="139">
        <f t="shared" si="42"/>
        <v>0</v>
      </c>
      <c r="CS78" s="139">
        <f t="shared" si="43"/>
        <v>0</v>
      </c>
      <c r="CT78" s="139">
        <f t="shared" si="44"/>
        <v>0</v>
      </c>
      <c r="CU78" s="139">
        <f t="shared" si="45"/>
        <v>0</v>
      </c>
      <c r="CV78" s="139">
        <f t="shared" si="46"/>
        <v>0</v>
      </c>
      <c r="CW78" s="139">
        <f t="shared" si="47"/>
        <v>0</v>
      </c>
      <c r="CX78" s="139">
        <f t="shared" si="48"/>
        <v>0</v>
      </c>
      <c r="CY78" s="139">
        <f t="shared" si="49"/>
        <v>0</v>
      </c>
      <c r="CZ78" s="139">
        <f t="shared" si="50"/>
        <v>0</v>
      </c>
      <c r="DA78" s="139">
        <f t="shared" si="39"/>
        <v>0</v>
      </c>
      <c r="DB78" s="139">
        <f t="shared" si="40"/>
        <v>0</v>
      </c>
      <c r="DC78" s="139">
        <f t="shared" si="41"/>
        <v>0</v>
      </c>
    </row>
    <row r="79" spans="2:107" x14ac:dyDescent="0.2">
      <c r="B79" s="105" t="s">
        <v>424</v>
      </c>
      <c r="D79" s="134"/>
      <c r="E79" s="134"/>
      <c r="F79" s="134"/>
      <c r="G79" s="159"/>
      <c r="H79" s="159"/>
      <c r="I79" s="159"/>
      <c r="J79" s="137">
        <f>J48</f>
        <v>1809984.53</v>
      </c>
      <c r="K79" s="137"/>
      <c r="L79" s="137"/>
      <c r="M79" s="137"/>
      <c r="N79" s="137"/>
      <c r="O79" s="137"/>
      <c r="P79" s="137"/>
      <c r="Q79" s="137">
        <f>Q48</f>
        <v>-8677197</v>
      </c>
      <c r="R79" s="137"/>
      <c r="S79" s="137"/>
      <c r="T79" s="137"/>
      <c r="U79" s="137"/>
      <c r="V79" s="137"/>
      <c r="W79" s="137"/>
      <c r="X79" s="137">
        <f>X48</f>
        <v>0</v>
      </c>
      <c r="Y79" s="137"/>
      <c r="Z79" s="137"/>
      <c r="AA79" s="137"/>
      <c r="AB79" s="137"/>
      <c r="AC79" s="137"/>
      <c r="AD79" s="137"/>
      <c r="AE79" s="137">
        <f>AE48</f>
        <v>0</v>
      </c>
      <c r="AF79" s="137"/>
      <c r="AG79" s="137"/>
      <c r="AH79" s="137"/>
      <c r="AI79" s="137"/>
      <c r="AJ79" s="137"/>
      <c r="AK79" s="137"/>
      <c r="AL79" s="137">
        <f>AL48</f>
        <v>0</v>
      </c>
      <c r="AM79" s="137"/>
      <c r="AN79" s="137"/>
      <c r="AO79" s="137"/>
      <c r="AP79" s="137"/>
      <c r="AQ79" s="137"/>
      <c r="AR79" s="137"/>
      <c r="AS79" s="137">
        <f>AS48</f>
        <v>0</v>
      </c>
      <c r="AT79" s="137"/>
      <c r="AU79" s="137"/>
      <c r="AV79" s="137"/>
      <c r="AW79" s="137"/>
      <c r="AX79" s="137"/>
      <c r="AY79" s="137"/>
      <c r="AZ79" s="137">
        <f>AZ48</f>
        <v>0</v>
      </c>
      <c r="BA79" s="137"/>
      <c r="BB79" s="137"/>
      <c r="BC79" s="137"/>
      <c r="BD79" s="137"/>
      <c r="BE79" s="137"/>
      <c r="BF79" s="137"/>
      <c r="BG79" s="137">
        <f>BG48</f>
        <v>0</v>
      </c>
      <c r="BH79" s="137"/>
      <c r="BI79" s="137"/>
      <c r="BJ79" s="137"/>
      <c r="BK79" s="137"/>
      <c r="BL79" s="137"/>
      <c r="BM79" s="137"/>
      <c r="BN79" s="137">
        <f>BN48</f>
        <v>0</v>
      </c>
      <c r="BO79" s="137"/>
      <c r="BP79" s="137"/>
      <c r="BQ79" s="137"/>
      <c r="BR79" s="137"/>
      <c r="BS79" s="137"/>
      <c r="BT79" s="137"/>
      <c r="BU79" s="137">
        <f>BU48</f>
        <v>0</v>
      </c>
      <c r="BV79" s="137"/>
      <c r="BW79" s="137"/>
      <c r="BX79" s="137"/>
      <c r="BY79" s="137"/>
      <c r="BZ79" s="137"/>
      <c r="CA79" s="137"/>
      <c r="CB79" s="137">
        <f>CB48</f>
        <v>0</v>
      </c>
      <c r="CC79" s="137"/>
      <c r="CD79" s="137"/>
      <c r="CE79" s="137"/>
      <c r="CF79" s="137"/>
      <c r="CG79" s="137"/>
      <c r="CH79" s="137"/>
      <c r="CI79" s="137">
        <f>CI48</f>
        <v>0</v>
      </c>
      <c r="CJ79" s="137"/>
      <c r="CK79" s="137"/>
      <c r="CL79" s="137"/>
      <c r="CM79" s="137"/>
      <c r="CN79" s="137"/>
      <c r="CO79" s="137"/>
      <c r="CP79" s="137"/>
      <c r="CQ79" s="154"/>
      <c r="CR79" s="139">
        <f t="shared" si="42"/>
        <v>9.2529170116766491E-4</v>
      </c>
      <c r="CS79" s="139">
        <f t="shared" si="43"/>
        <v>-4.4564486978302805E-3</v>
      </c>
      <c r="CT79" s="139">
        <f t="shared" si="44"/>
        <v>0</v>
      </c>
      <c r="CU79" s="139">
        <f t="shared" si="45"/>
        <v>0</v>
      </c>
      <c r="CV79" s="139">
        <f t="shared" si="46"/>
        <v>0</v>
      </c>
      <c r="CW79" s="139">
        <f t="shared" si="47"/>
        <v>0</v>
      </c>
      <c r="CX79" s="139">
        <f t="shared" si="48"/>
        <v>0</v>
      </c>
      <c r="CY79" s="139">
        <f t="shared" si="49"/>
        <v>0</v>
      </c>
      <c r="CZ79" s="139">
        <f t="shared" si="50"/>
        <v>0</v>
      </c>
      <c r="DA79" s="139">
        <f t="shared" si="39"/>
        <v>0</v>
      </c>
      <c r="DB79" s="139">
        <f t="shared" si="40"/>
        <v>0</v>
      </c>
      <c r="DC79" s="139">
        <f t="shared" si="41"/>
        <v>0</v>
      </c>
    </row>
    <row r="80" spans="2:107" x14ac:dyDescent="0.2">
      <c r="B80" s="105" t="s">
        <v>425</v>
      </c>
      <c r="D80" s="134"/>
      <c r="E80" s="134"/>
      <c r="F80" s="134"/>
      <c r="G80" s="133"/>
      <c r="H80" s="133"/>
      <c r="I80" s="133"/>
      <c r="J80" s="137">
        <f>'EEFF 2025'!CI78+'EEFF 2025'!CI77-12108994.05</f>
        <v>-36391019.379999988</v>
      </c>
      <c r="K80" s="137">
        <f t="shared" ref="K80:P80" si="51">D80+K79</f>
        <v>0</v>
      </c>
      <c r="L80" s="137">
        <f t="shared" si="51"/>
        <v>0</v>
      </c>
      <c r="M80" s="137">
        <f t="shared" si="51"/>
        <v>0</v>
      </c>
      <c r="N80" s="137">
        <f t="shared" si="51"/>
        <v>0</v>
      </c>
      <c r="O80" s="137">
        <f t="shared" si="51"/>
        <v>0</v>
      </c>
      <c r="P80" s="137">
        <f t="shared" si="51"/>
        <v>0</v>
      </c>
      <c r="Q80" s="137">
        <f>J80+J79</f>
        <v>-34581034.849999987</v>
      </c>
      <c r="R80" s="133"/>
      <c r="S80" s="133"/>
      <c r="T80" s="133"/>
      <c r="U80" s="133"/>
      <c r="V80" s="133"/>
      <c r="X80" s="137">
        <f>Q80+Q79</f>
        <v>-43258231.849999987</v>
      </c>
      <c r="Y80" s="133"/>
      <c r="Z80" s="133"/>
      <c r="AA80" s="133"/>
      <c r="AB80" s="133"/>
      <c r="AC80" s="133"/>
      <c r="AE80" s="137">
        <f>X80+X79</f>
        <v>-43258231.849999987</v>
      </c>
      <c r="AF80" s="133"/>
      <c r="AG80" s="133"/>
      <c r="AH80" s="133"/>
      <c r="AI80" s="133"/>
      <c r="AJ80" s="133"/>
      <c r="AL80" s="137">
        <f>AE80+AE79</f>
        <v>-43258231.849999987</v>
      </c>
      <c r="AM80" s="133"/>
      <c r="AN80" s="133"/>
      <c r="AO80" s="133"/>
      <c r="AP80" s="133"/>
      <c r="AQ80" s="133"/>
      <c r="AS80" s="137">
        <f>AL80+AL79</f>
        <v>-43258231.849999987</v>
      </c>
      <c r="AT80" s="133"/>
      <c r="AU80" s="133"/>
      <c r="AV80" s="133"/>
      <c r="AW80" s="133"/>
      <c r="AX80" s="133"/>
      <c r="AZ80" s="137">
        <f>AS80+AS79</f>
        <v>-43258231.849999987</v>
      </c>
      <c r="BA80" s="133"/>
      <c r="BB80" s="133"/>
      <c r="BC80" s="133"/>
      <c r="BD80" s="133"/>
      <c r="BE80" s="133"/>
      <c r="BG80" s="137">
        <f>AZ80+AZ79</f>
        <v>-43258231.849999987</v>
      </c>
      <c r="BH80" s="133"/>
      <c r="BI80" s="133"/>
      <c r="BJ80" s="133"/>
      <c r="BK80" s="133"/>
      <c r="BL80" s="133"/>
      <c r="BN80" s="137">
        <f>BG80+BG79</f>
        <v>-43258231.849999987</v>
      </c>
      <c r="BO80" s="133"/>
      <c r="BP80" s="133"/>
      <c r="BQ80" s="133"/>
      <c r="BR80" s="133"/>
      <c r="BS80" s="133"/>
      <c r="BU80" s="137">
        <f>BN80+BN79</f>
        <v>-43258231.849999987</v>
      </c>
      <c r="BV80" s="133"/>
      <c r="BW80" s="133"/>
      <c r="BX80" s="133"/>
      <c r="BY80" s="133"/>
      <c r="BZ80" s="133"/>
      <c r="CB80" s="137">
        <f>BU80+BU79</f>
        <v>-43258231.849999987</v>
      </c>
      <c r="CC80" s="133"/>
      <c r="CD80" s="133"/>
      <c r="CE80" s="133"/>
      <c r="CF80" s="133"/>
      <c r="CG80" s="133"/>
      <c r="CI80" s="137">
        <f>CB80+CB79</f>
        <v>-43258231.849999987</v>
      </c>
      <c r="CJ80" s="133"/>
      <c r="CK80" s="133"/>
      <c r="CL80" s="133"/>
      <c r="CM80" s="133"/>
      <c r="CN80" s="133"/>
      <c r="CP80" s="137"/>
      <c r="CR80" s="139">
        <f t="shared" si="42"/>
        <v>-1.8603644214210853E-2</v>
      </c>
      <c r="CS80" s="139">
        <f t="shared" si="43"/>
        <v>-1.7760183124447444E-2</v>
      </c>
      <c r="CT80" s="139">
        <f t="shared" si="44"/>
        <v>-2.2939678358275348E-2</v>
      </c>
      <c r="CU80" s="139">
        <f t="shared" si="45"/>
        <v>-2.2939678358275348E-2</v>
      </c>
      <c r="CV80" s="139">
        <f t="shared" si="46"/>
        <v>-2.2939678358275348E-2</v>
      </c>
      <c r="CW80" s="139">
        <f t="shared" si="47"/>
        <v>-2.2939678358275348E-2</v>
      </c>
      <c r="CX80" s="139">
        <f t="shared" si="48"/>
        <v>-2.2939678358275348E-2</v>
      </c>
      <c r="CY80" s="139">
        <f t="shared" si="49"/>
        <v>-2.2939678358275348E-2</v>
      </c>
      <c r="CZ80" s="139">
        <f t="shared" si="50"/>
        <v>-2.2939678358275348E-2</v>
      </c>
      <c r="DA80" s="139">
        <f t="shared" si="39"/>
        <v>-2.2939678358275348E-2</v>
      </c>
      <c r="DB80" s="139">
        <f t="shared" si="40"/>
        <v>-2.2939678358275348E-2</v>
      </c>
      <c r="DC80" s="139">
        <f t="shared" si="41"/>
        <v>-2.2939678358275348E-2</v>
      </c>
    </row>
    <row r="81" spans="2:107" ht="16" x14ac:dyDescent="0.2">
      <c r="B81" s="141" t="s">
        <v>426</v>
      </c>
      <c r="C81" s="207"/>
      <c r="D81" s="142"/>
      <c r="E81" s="142"/>
      <c r="F81" s="142"/>
      <c r="G81" s="142"/>
      <c r="H81" s="142"/>
      <c r="I81" s="142"/>
      <c r="J81" s="142">
        <f>SUM(J76:J80)</f>
        <v>1851157342.75</v>
      </c>
      <c r="K81" s="142"/>
      <c r="L81" s="142"/>
      <c r="M81" s="142"/>
      <c r="N81" s="142"/>
      <c r="O81" s="142"/>
      <c r="P81" s="142"/>
      <c r="Q81" s="142">
        <f>SUM(Q76:Q80)</f>
        <v>1842480145.75</v>
      </c>
      <c r="R81" s="142"/>
      <c r="S81" s="142"/>
      <c r="T81" s="142"/>
      <c r="U81" s="142"/>
      <c r="V81" s="142"/>
      <c r="W81" s="142"/>
      <c r="X81" s="142">
        <f>SUM(X76:X80)</f>
        <v>1842480145.75</v>
      </c>
      <c r="Y81" s="143"/>
      <c r="Z81" s="143"/>
      <c r="AA81" s="143"/>
      <c r="AB81" s="143"/>
      <c r="AC81" s="143"/>
      <c r="AD81" s="143"/>
      <c r="AE81" s="142">
        <f>SUM(AE76:AE80)</f>
        <v>1842480145.75</v>
      </c>
      <c r="AF81" s="143"/>
      <c r="AG81" s="143"/>
      <c r="AH81" s="143"/>
      <c r="AI81" s="143"/>
      <c r="AJ81" s="143"/>
      <c r="AK81" s="143"/>
      <c r="AL81" s="142">
        <f>SUM(AL76:AL80)</f>
        <v>1842480145.75</v>
      </c>
      <c r="AM81" s="143"/>
      <c r="AN81" s="143"/>
      <c r="AO81" s="143"/>
      <c r="AP81" s="143"/>
      <c r="AQ81" s="143"/>
      <c r="AR81" s="143"/>
      <c r="AS81" s="142">
        <f>SUM(AS76:AS80)</f>
        <v>1842480145.75</v>
      </c>
      <c r="AT81" s="143"/>
      <c r="AU81" s="143"/>
      <c r="AV81" s="143"/>
      <c r="AW81" s="143"/>
      <c r="AX81" s="143"/>
      <c r="AY81" s="143"/>
      <c r="AZ81" s="142">
        <f>SUM(AZ76:AZ80)</f>
        <v>1842480145.75</v>
      </c>
      <c r="BA81" s="143"/>
      <c r="BB81" s="143"/>
      <c r="BC81" s="143"/>
      <c r="BD81" s="143"/>
      <c r="BE81" s="143"/>
      <c r="BF81" s="143"/>
      <c r="BG81" s="142">
        <f>SUM(BG76:BG80)</f>
        <v>1842480145.75</v>
      </c>
      <c r="BH81" s="143"/>
      <c r="BI81" s="143"/>
      <c r="BJ81" s="143"/>
      <c r="BK81" s="143"/>
      <c r="BL81" s="143"/>
      <c r="BM81" s="143"/>
      <c r="BN81" s="142">
        <f>SUM(BN76:BN80)</f>
        <v>1842480145.75</v>
      </c>
      <c r="BO81" s="143"/>
      <c r="BP81" s="143"/>
      <c r="BQ81" s="143"/>
      <c r="BR81" s="143"/>
      <c r="BS81" s="143"/>
      <c r="BT81" s="143"/>
      <c r="BU81" s="142">
        <f>SUM(BU76:BU80)</f>
        <v>1842480145.75</v>
      </c>
      <c r="BV81" s="143"/>
      <c r="BW81" s="143"/>
      <c r="BX81" s="143"/>
      <c r="BY81" s="143"/>
      <c r="BZ81" s="143"/>
      <c r="CA81" s="143"/>
      <c r="CB81" s="142">
        <f>SUM(CB76:CB80)</f>
        <v>1842480145.75</v>
      </c>
      <c r="CC81" s="143"/>
      <c r="CD81" s="143"/>
      <c r="CE81" s="143"/>
      <c r="CF81" s="143"/>
      <c r="CG81" s="143"/>
      <c r="CH81" s="143"/>
      <c r="CI81" s="142">
        <f>SUM(CI76:CI80)</f>
        <v>1842480145.75</v>
      </c>
      <c r="CJ81" s="143"/>
      <c r="CK81" s="143"/>
      <c r="CL81" s="143"/>
      <c r="CM81" s="143"/>
      <c r="CN81" s="143"/>
      <c r="CO81" s="143"/>
      <c r="CP81" s="142"/>
      <c r="CR81" s="145">
        <f t="shared" si="42"/>
        <v>0.94633987109390461</v>
      </c>
      <c r="CS81" s="145">
        <f t="shared" si="43"/>
        <v>0.94626389677516065</v>
      </c>
      <c r="CT81" s="145">
        <f t="shared" si="44"/>
        <v>0.97706032164172474</v>
      </c>
      <c r="CU81" s="145">
        <f t="shared" si="45"/>
        <v>0.97706032164172474</v>
      </c>
      <c r="CV81" s="145">
        <f t="shared" si="46"/>
        <v>0.97706032164172474</v>
      </c>
      <c r="CW81" s="145">
        <f t="shared" si="47"/>
        <v>0.97706032164172474</v>
      </c>
      <c r="CX81" s="145">
        <f t="shared" si="48"/>
        <v>0.97706032164172474</v>
      </c>
      <c r="CY81" s="145">
        <f t="shared" si="49"/>
        <v>0.97706032164172474</v>
      </c>
      <c r="CZ81" s="145">
        <f t="shared" si="50"/>
        <v>0.97706032164172474</v>
      </c>
      <c r="DA81" s="145">
        <f t="shared" si="39"/>
        <v>0.97706032164172474</v>
      </c>
      <c r="DB81" s="145">
        <f t="shared" si="40"/>
        <v>0.97706032164172474</v>
      </c>
      <c r="DC81" s="145">
        <f t="shared" si="41"/>
        <v>0.97706032164172474</v>
      </c>
    </row>
    <row r="82" spans="2:107" ht="16" x14ac:dyDescent="0.2">
      <c r="B82" s="141" t="s">
        <v>427</v>
      </c>
      <c r="C82" s="207"/>
      <c r="D82" s="142"/>
      <c r="E82" s="142"/>
      <c r="F82" s="142"/>
      <c r="G82" s="142"/>
      <c r="H82" s="142"/>
      <c r="I82" s="142"/>
      <c r="J82" s="142">
        <f>J75+J81</f>
        <v>1956129141.0799999</v>
      </c>
      <c r="K82" s="142"/>
      <c r="L82" s="142"/>
      <c r="M82" s="142"/>
      <c r="N82" s="142"/>
      <c r="O82" s="142"/>
      <c r="P82" s="142"/>
      <c r="Q82" s="142">
        <f>Q75+Q81</f>
        <v>1947451944.0799999</v>
      </c>
      <c r="R82" s="142"/>
      <c r="S82" s="142"/>
      <c r="T82" s="142"/>
      <c r="U82" s="142"/>
      <c r="V82" s="142"/>
      <c r="W82" s="142"/>
      <c r="X82" s="142">
        <f>X75+X81</f>
        <v>1947451944.0799999</v>
      </c>
      <c r="Y82" s="143"/>
      <c r="Z82" s="143"/>
      <c r="AA82" s="143"/>
      <c r="AB82" s="143"/>
      <c r="AC82" s="143"/>
      <c r="AD82" s="143"/>
      <c r="AE82" s="142">
        <f>AE75+AE81</f>
        <v>1947451944.0799999</v>
      </c>
      <c r="AF82" s="143"/>
      <c r="AG82" s="143"/>
      <c r="AH82" s="143"/>
      <c r="AI82" s="143"/>
      <c r="AJ82" s="143"/>
      <c r="AK82" s="143"/>
      <c r="AL82" s="142">
        <f>AL75+AL81</f>
        <v>1947451944.0799999</v>
      </c>
      <c r="AM82" s="143"/>
      <c r="AN82" s="143"/>
      <c r="AO82" s="143"/>
      <c r="AP82" s="143"/>
      <c r="AQ82" s="143"/>
      <c r="AR82" s="143"/>
      <c r="AS82" s="142">
        <f>AS75+AS81</f>
        <v>1947451944.0799999</v>
      </c>
      <c r="AT82" s="143"/>
      <c r="AU82" s="143"/>
      <c r="AV82" s="143"/>
      <c r="AW82" s="143"/>
      <c r="AX82" s="143"/>
      <c r="AY82" s="143"/>
      <c r="AZ82" s="142">
        <f>AZ75+AZ81</f>
        <v>1947451944.0799999</v>
      </c>
      <c r="BA82" s="143"/>
      <c r="BB82" s="143"/>
      <c r="BC82" s="143"/>
      <c r="BD82" s="143"/>
      <c r="BE82" s="143"/>
      <c r="BF82" s="143"/>
      <c r="BG82" s="142">
        <f>BG75+BG81</f>
        <v>1947451944.0799999</v>
      </c>
      <c r="BH82" s="143"/>
      <c r="BI82" s="143"/>
      <c r="BJ82" s="143"/>
      <c r="BK82" s="143"/>
      <c r="BL82" s="143"/>
      <c r="BM82" s="143"/>
      <c r="BN82" s="142">
        <f>BN75+BN81</f>
        <v>1947451944.0799999</v>
      </c>
      <c r="BO82" s="143"/>
      <c r="BP82" s="143"/>
      <c r="BQ82" s="143"/>
      <c r="BR82" s="143"/>
      <c r="BS82" s="143"/>
      <c r="BT82" s="143"/>
      <c r="BU82" s="142">
        <f>BU75+BU81</f>
        <v>1947451944.0799999</v>
      </c>
      <c r="BV82" s="143"/>
      <c r="BW82" s="143"/>
      <c r="BX82" s="143"/>
      <c r="BY82" s="143"/>
      <c r="BZ82" s="143"/>
      <c r="CA82" s="143"/>
      <c r="CB82" s="142">
        <f>CB75+CB81</f>
        <v>1947451944.0799999</v>
      </c>
      <c r="CC82" s="143"/>
      <c r="CD82" s="143"/>
      <c r="CE82" s="143"/>
      <c r="CF82" s="143"/>
      <c r="CG82" s="143"/>
      <c r="CH82" s="143"/>
      <c r="CI82" s="142">
        <f>CI75+CI81</f>
        <v>1947451944.0799999</v>
      </c>
      <c r="CJ82" s="143"/>
      <c r="CK82" s="143"/>
      <c r="CL82" s="143"/>
      <c r="CM82" s="143"/>
      <c r="CN82" s="143"/>
      <c r="CO82" s="143"/>
      <c r="CP82" s="142"/>
      <c r="CR82" s="145">
        <f t="shared" si="42"/>
        <v>1.0000030556358159</v>
      </c>
      <c r="CS82" s="145">
        <f t="shared" si="43"/>
        <v>1.0001754806629797</v>
      </c>
      <c r="CT82" s="145">
        <f t="shared" si="44"/>
        <v>1.0327264732017298</v>
      </c>
      <c r="CU82" s="145">
        <f t="shared" si="45"/>
        <v>1.0327264732017298</v>
      </c>
      <c r="CV82" s="145">
        <f t="shared" si="46"/>
        <v>1.0327264732017298</v>
      </c>
      <c r="CW82" s="145">
        <f t="shared" si="47"/>
        <v>1.0327264732017298</v>
      </c>
      <c r="CX82" s="145">
        <f t="shared" si="48"/>
        <v>1.0327264732017298</v>
      </c>
      <c r="CY82" s="145">
        <f t="shared" si="49"/>
        <v>1.0327264732017298</v>
      </c>
      <c r="CZ82" s="145">
        <f t="shared" si="50"/>
        <v>1.0327264732017298</v>
      </c>
      <c r="DA82" s="145">
        <f t="shared" si="39"/>
        <v>1.0327264732017298</v>
      </c>
      <c r="DB82" s="145">
        <f t="shared" si="40"/>
        <v>1.0327264732017298</v>
      </c>
      <c r="DC82" s="145">
        <f t="shared" si="41"/>
        <v>1.0327264732017298</v>
      </c>
    </row>
    <row r="83" spans="2:107" ht="16" x14ac:dyDescent="0.2">
      <c r="B83" s="160" t="s">
        <v>428</v>
      </c>
      <c r="D83" s="161"/>
      <c r="E83" s="161"/>
      <c r="F83" s="161"/>
      <c r="G83" s="161"/>
      <c r="H83" s="161"/>
      <c r="I83" s="161"/>
      <c r="J83" s="234">
        <f>J66-J82</f>
        <v>-5977.2000000476837</v>
      </c>
      <c r="K83" s="234"/>
      <c r="L83" s="234"/>
      <c r="M83" s="234"/>
      <c r="N83" s="234"/>
      <c r="O83" s="234"/>
      <c r="P83" s="234"/>
      <c r="Q83" s="234">
        <f>Q66-Q82</f>
        <v>-341680.20000004768</v>
      </c>
      <c r="R83" s="234"/>
      <c r="S83" s="234"/>
      <c r="T83" s="234"/>
      <c r="U83" s="234"/>
      <c r="V83" s="234"/>
      <c r="W83" s="234"/>
      <c r="X83" s="234">
        <f>X66-X82</f>
        <v>-61713566.480000019</v>
      </c>
      <c r="Y83" s="234"/>
      <c r="Z83" s="234"/>
      <c r="AA83" s="234"/>
      <c r="AB83" s="234"/>
      <c r="AC83" s="234"/>
      <c r="AD83" s="234"/>
      <c r="AE83" s="234">
        <f>AE66-AE82</f>
        <v>-61713566.480000019</v>
      </c>
      <c r="AF83" s="234"/>
      <c r="AG83" s="234"/>
      <c r="AH83" s="234"/>
      <c r="AI83" s="234"/>
      <c r="AJ83" s="234"/>
      <c r="AK83" s="234"/>
      <c r="AL83" s="234">
        <f>AL66-AL82</f>
        <v>-61713566.480000019</v>
      </c>
      <c r="AM83" s="234"/>
      <c r="AN83" s="234"/>
      <c r="AO83" s="234"/>
      <c r="AP83" s="234"/>
      <c r="AQ83" s="234"/>
      <c r="AR83" s="234"/>
      <c r="AS83" s="234">
        <f>AS66-AS82</f>
        <v>-61713566.480000019</v>
      </c>
      <c r="AT83" s="234"/>
      <c r="AU83" s="234"/>
      <c r="AV83" s="234"/>
      <c r="AW83" s="234"/>
      <c r="AX83" s="234"/>
      <c r="AY83" s="234"/>
      <c r="AZ83" s="234">
        <f>AZ66-AZ82</f>
        <v>-61713566.480000019</v>
      </c>
      <c r="BA83" s="234"/>
      <c r="BB83" s="234"/>
      <c r="BC83" s="234"/>
      <c r="BD83" s="234"/>
      <c r="BE83" s="234"/>
      <c r="BF83" s="234"/>
      <c r="BG83" s="234">
        <f>BG66-BG82</f>
        <v>-61713566.480000019</v>
      </c>
      <c r="BH83" s="234"/>
      <c r="BI83" s="234"/>
      <c r="BJ83" s="234"/>
      <c r="BK83" s="234"/>
      <c r="BL83" s="234"/>
      <c r="BM83" s="234"/>
      <c r="BN83" s="234">
        <f>BN66-BN82</f>
        <v>-61713566.480000019</v>
      </c>
      <c r="BO83" s="234"/>
      <c r="BP83" s="234"/>
      <c r="BQ83" s="234"/>
      <c r="BR83" s="234"/>
      <c r="BS83" s="234"/>
      <c r="BT83" s="234"/>
      <c r="BU83" s="234">
        <f>BU66-BU82</f>
        <v>-61713566.480000019</v>
      </c>
      <c r="BV83" s="234"/>
      <c r="BW83" s="234"/>
      <c r="BX83" s="234"/>
      <c r="BY83" s="234"/>
      <c r="BZ83" s="234"/>
      <c r="CA83" s="234"/>
      <c r="CB83" s="234">
        <f>CB66-CB82</f>
        <v>-61713566.480000019</v>
      </c>
      <c r="CC83" s="234"/>
      <c r="CD83" s="234"/>
      <c r="CE83" s="234"/>
      <c r="CF83" s="234"/>
      <c r="CG83" s="234"/>
      <c r="CH83" s="234"/>
      <c r="CI83" s="234">
        <f>CI66-CI82</f>
        <v>-61713566.480000019</v>
      </c>
      <c r="CJ83" s="213"/>
      <c r="CK83" s="213"/>
      <c r="CL83" s="213"/>
      <c r="CM83" s="213"/>
      <c r="CN83" s="213"/>
      <c r="CO83" s="213"/>
      <c r="CP83" s="234"/>
    </row>
    <row r="84" spans="2:107" x14ac:dyDescent="0.2">
      <c r="D84" s="106"/>
      <c r="E84" s="106"/>
      <c r="F84" s="106"/>
      <c r="G84" s="133"/>
      <c r="H84" s="133"/>
      <c r="K84" s="106"/>
      <c r="L84" s="106"/>
      <c r="M84" s="106"/>
      <c r="N84" s="133"/>
      <c r="O84" s="133"/>
      <c r="Q84" s="137"/>
    </row>
    <row r="85" spans="2:107" x14ac:dyDescent="0.2">
      <c r="D85" s="106"/>
      <c r="E85" s="106"/>
      <c r="K85" s="106"/>
      <c r="L85" s="106"/>
    </row>
    <row r="86" spans="2:107" s="181" customFormat="1" ht="16" x14ac:dyDescent="0.2">
      <c r="B86" s="183" t="s">
        <v>353</v>
      </c>
      <c r="C86" s="211"/>
      <c r="E86" s="186"/>
      <c r="L86" s="186"/>
    </row>
    <row r="87" spans="2:107" x14ac:dyDescent="0.2">
      <c r="B87" s="105" t="s">
        <v>352</v>
      </c>
      <c r="D87" s="137"/>
      <c r="E87" s="137"/>
      <c r="F87" s="137"/>
      <c r="G87" s="137"/>
      <c r="H87" s="137"/>
      <c r="I87" s="137"/>
      <c r="J87" s="137">
        <f>J48</f>
        <v>1809984.53</v>
      </c>
      <c r="K87" s="137"/>
      <c r="L87" s="137"/>
      <c r="M87" s="137"/>
      <c r="N87" s="137"/>
      <c r="O87" s="137"/>
      <c r="P87" s="137"/>
      <c r="Q87" s="137">
        <f>Q48</f>
        <v>-8677197</v>
      </c>
      <c r="R87" s="137"/>
      <c r="S87" s="137"/>
      <c r="T87" s="137"/>
      <c r="U87" s="137"/>
      <c r="V87" s="137"/>
      <c r="W87" s="137"/>
      <c r="X87" s="137">
        <f>X48</f>
        <v>0</v>
      </c>
      <c r="Y87" s="137"/>
      <c r="Z87" s="137"/>
      <c r="AA87" s="137"/>
      <c r="AB87" s="137"/>
      <c r="AC87" s="137"/>
      <c r="AD87" s="137"/>
      <c r="AE87" s="137">
        <f>AE48</f>
        <v>0</v>
      </c>
      <c r="AF87" s="137"/>
      <c r="AG87" s="137"/>
      <c r="AH87" s="137"/>
      <c r="AI87" s="137"/>
      <c r="AJ87" s="137"/>
      <c r="AK87" s="137"/>
      <c r="AL87" s="137">
        <f>AL48</f>
        <v>0</v>
      </c>
      <c r="AM87" s="137"/>
      <c r="AN87" s="137"/>
      <c r="AO87" s="137"/>
      <c r="AP87" s="137"/>
      <c r="AQ87" s="137"/>
      <c r="AR87" s="137"/>
      <c r="AS87" s="137">
        <f>AS48</f>
        <v>0</v>
      </c>
      <c r="AT87" s="137"/>
      <c r="AU87" s="137"/>
      <c r="AV87" s="137"/>
      <c r="AW87" s="137"/>
      <c r="AX87" s="137"/>
      <c r="AY87" s="137"/>
      <c r="AZ87" s="137">
        <f>AZ48</f>
        <v>0</v>
      </c>
      <c r="BA87" s="137"/>
      <c r="BB87" s="137"/>
      <c r="BC87" s="137"/>
      <c r="BD87" s="137"/>
      <c r="BE87" s="137"/>
      <c r="BF87" s="137"/>
      <c r="BG87" s="137">
        <f>BG48</f>
        <v>0</v>
      </c>
      <c r="BH87" s="137"/>
      <c r="BI87" s="137"/>
      <c r="BJ87" s="137"/>
      <c r="BK87" s="137"/>
      <c r="BL87" s="137"/>
      <c r="BM87" s="137"/>
      <c r="BN87" s="137">
        <f>BN48</f>
        <v>0</v>
      </c>
      <c r="BO87" s="137"/>
      <c r="BP87" s="137"/>
      <c r="BQ87" s="137"/>
      <c r="BR87" s="137"/>
      <c r="BS87" s="137"/>
      <c r="BT87" s="137"/>
      <c r="BU87" s="137">
        <f>BU48</f>
        <v>0</v>
      </c>
      <c r="BV87" s="137"/>
      <c r="BW87" s="137"/>
      <c r="BX87" s="137"/>
      <c r="BY87" s="137"/>
      <c r="BZ87" s="137"/>
      <c r="CA87" s="137"/>
      <c r="CB87" s="137">
        <f>CB48</f>
        <v>0</v>
      </c>
      <c r="CC87" s="137"/>
      <c r="CD87" s="137"/>
      <c r="CE87" s="137"/>
      <c r="CF87" s="137"/>
      <c r="CG87" s="137"/>
      <c r="CH87" s="137"/>
      <c r="CI87" s="137">
        <f>CI48</f>
        <v>0</v>
      </c>
      <c r="CJ87" s="137"/>
      <c r="CK87" s="137"/>
      <c r="CL87" s="137"/>
      <c r="CM87" s="137"/>
      <c r="CN87" s="137"/>
    </row>
    <row r="88" spans="2:107" x14ac:dyDescent="0.2">
      <c r="B88" s="105" t="s">
        <v>429</v>
      </c>
      <c r="D88" s="137"/>
      <c r="E88" s="137"/>
      <c r="F88" s="137"/>
      <c r="G88" s="137"/>
      <c r="H88" s="137"/>
      <c r="I88" s="137"/>
      <c r="J88" s="137">
        <f>+J15</f>
        <v>0</v>
      </c>
      <c r="K88" s="137"/>
      <c r="L88" s="137"/>
      <c r="M88" s="137"/>
      <c r="N88" s="137"/>
      <c r="O88" s="137"/>
      <c r="P88" s="137"/>
      <c r="Q88" s="137">
        <f>+Q15</f>
        <v>0</v>
      </c>
      <c r="R88" s="137"/>
      <c r="S88" s="137"/>
      <c r="T88" s="137"/>
      <c r="U88" s="137"/>
      <c r="V88" s="137"/>
      <c r="W88" s="137"/>
      <c r="X88" s="137">
        <f>+X15</f>
        <v>0</v>
      </c>
      <c r="Y88" s="137"/>
      <c r="Z88" s="137"/>
      <c r="AA88" s="137"/>
      <c r="AB88" s="137"/>
      <c r="AC88" s="137"/>
      <c r="AD88" s="137"/>
      <c r="AE88" s="137">
        <f>+AE15</f>
        <v>0</v>
      </c>
      <c r="AF88" s="137"/>
      <c r="AG88" s="137"/>
      <c r="AH88" s="137"/>
      <c r="AI88" s="137"/>
      <c r="AJ88" s="137"/>
      <c r="AK88" s="137"/>
      <c r="AL88" s="137">
        <f>+AL15</f>
        <v>0</v>
      </c>
      <c r="AM88" s="137"/>
      <c r="AN88" s="137"/>
      <c r="AO88" s="137"/>
      <c r="AP88" s="137"/>
      <c r="AQ88" s="137"/>
      <c r="AR88" s="137"/>
      <c r="AS88" s="137">
        <f>+AS15</f>
        <v>0</v>
      </c>
      <c r="AT88" s="137"/>
      <c r="AU88" s="137"/>
      <c r="AV88" s="137"/>
      <c r="AW88" s="137"/>
      <c r="AX88" s="137"/>
      <c r="AY88" s="137"/>
      <c r="AZ88" s="137">
        <f>+AZ15</f>
        <v>0</v>
      </c>
      <c r="BA88" s="137"/>
      <c r="BB88" s="137"/>
      <c r="BC88" s="137"/>
      <c r="BD88" s="137"/>
      <c r="BE88" s="137"/>
      <c r="BF88" s="137"/>
      <c r="BG88" s="137">
        <f>+BG15</f>
        <v>0</v>
      </c>
      <c r="BH88" s="137"/>
      <c r="BI88" s="137"/>
      <c r="BJ88" s="137"/>
      <c r="BK88" s="137"/>
      <c r="BL88" s="137"/>
      <c r="BM88" s="137"/>
      <c r="BN88" s="137">
        <f>+BN15</f>
        <v>0</v>
      </c>
      <c r="BO88" s="137"/>
      <c r="BP88" s="137"/>
      <c r="BQ88" s="137"/>
      <c r="BR88" s="137"/>
      <c r="BS88" s="137"/>
      <c r="BT88" s="137"/>
      <c r="BU88" s="137">
        <f>+BU15</f>
        <v>0</v>
      </c>
      <c r="BV88" s="137"/>
      <c r="BW88" s="137"/>
      <c r="BX88" s="137"/>
      <c r="BY88" s="137"/>
      <c r="BZ88" s="137"/>
      <c r="CA88" s="137"/>
      <c r="CB88" s="137">
        <f>+CB15</f>
        <v>0</v>
      </c>
      <c r="CC88" s="137"/>
      <c r="CD88" s="137"/>
      <c r="CE88" s="137"/>
      <c r="CF88" s="137"/>
      <c r="CG88" s="137"/>
      <c r="CH88" s="137"/>
      <c r="CI88" s="137">
        <f>+CI15</f>
        <v>0</v>
      </c>
      <c r="CJ88" s="137"/>
      <c r="CK88" s="137"/>
      <c r="CL88" s="137"/>
      <c r="CM88" s="137"/>
      <c r="CN88" s="137"/>
    </row>
    <row r="89" spans="2:107" x14ac:dyDescent="0.2">
      <c r="B89" s="105" t="s">
        <v>430</v>
      </c>
      <c r="D89" s="137"/>
      <c r="E89" s="137"/>
      <c r="F89" s="137"/>
      <c r="G89" s="137"/>
      <c r="H89" s="137"/>
      <c r="I89" s="137"/>
      <c r="J89" s="137">
        <f>-(J60-C60)</f>
        <v>0</v>
      </c>
      <c r="K89" s="137"/>
      <c r="L89" s="137"/>
      <c r="M89" s="137"/>
      <c r="N89" s="137"/>
      <c r="O89" s="137"/>
      <c r="P89" s="137"/>
      <c r="Q89" s="137">
        <f>-(Q60-J60)</f>
        <v>0</v>
      </c>
      <c r="R89" s="137"/>
      <c r="S89" s="137"/>
      <c r="T89" s="137"/>
      <c r="U89" s="137"/>
      <c r="V89" s="137"/>
      <c r="W89" s="137"/>
      <c r="X89" s="137">
        <f>-(X60-Q60)</f>
        <v>0</v>
      </c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  <c r="AT89" s="137"/>
      <c r="AU89" s="137"/>
      <c r="AV89" s="137"/>
      <c r="AW89" s="137"/>
      <c r="AX89" s="137"/>
      <c r="AY89" s="137"/>
      <c r="AZ89" s="137">
        <f>-(AZ60-AS60)</f>
        <v>0</v>
      </c>
      <c r="BA89" s="137"/>
      <c r="BB89" s="137"/>
      <c r="BC89" s="137"/>
      <c r="BD89" s="137"/>
      <c r="BE89" s="137"/>
      <c r="BF89" s="137"/>
      <c r="BG89" s="137">
        <f>-(BG60-AZ60)</f>
        <v>0</v>
      </c>
      <c r="BH89" s="137"/>
      <c r="BI89" s="137"/>
      <c r="BJ89" s="137"/>
      <c r="BK89" s="137"/>
      <c r="BL89" s="137"/>
      <c r="BM89" s="137"/>
      <c r="BN89" s="137">
        <f>-(BN60-BG60)</f>
        <v>0</v>
      </c>
      <c r="BO89" s="137"/>
      <c r="BP89" s="137"/>
      <c r="BQ89" s="137"/>
      <c r="BR89" s="137"/>
      <c r="BS89" s="137"/>
      <c r="BT89" s="137"/>
      <c r="BU89" s="137">
        <f>-(BU60-BN60)</f>
        <v>0</v>
      </c>
      <c r="BV89" s="137"/>
      <c r="BW89" s="137"/>
      <c r="BX89" s="137"/>
      <c r="BY89" s="137"/>
      <c r="BZ89" s="137"/>
      <c r="CA89" s="137"/>
      <c r="CB89" s="137">
        <f>-(CB60-BU60)</f>
        <v>0</v>
      </c>
      <c r="CC89" s="137"/>
      <c r="CD89" s="137"/>
      <c r="CE89" s="137"/>
      <c r="CF89" s="137"/>
      <c r="CG89" s="137"/>
      <c r="CH89" s="137"/>
      <c r="CI89" s="137">
        <f>-(CI60-CB60)</f>
        <v>0</v>
      </c>
      <c r="CJ89" s="137"/>
      <c r="CK89" s="137"/>
      <c r="CL89" s="137"/>
      <c r="CM89" s="137"/>
      <c r="CN89" s="137"/>
    </row>
    <row r="90" spans="2:107" x14ac:dyDescent="0.2">
      <c r="B90" s="105" t="s">
        <v>431</v>
      </c>
      <c r="D90" s="137"/>
      <c r="E90" s="137"/>
      <c r="F90" s="137"/>
      <c r="G90" s="137"/>
      <c r="H90" s="137"/>
      <c r="I90" s="137"/>
      <c r="J90" s="137">
        <f>-(J61-C61)</f>
        <v>0</v>
      </c>
      <c r="K90" s="137"/>
      <c r="L90" s="137"/>
      <c r="M90" s="137"/>
      <c r="N90" s="137"/>
      <c r="O90" s="137"/>
      <c r="P90" s="137"/>
      <c r="Q90" s="137">
        <f>-(Q61-J61)</f>
        <v>0</v>
      </c>
      <c r="R90" s="137"/>
      <c r="S90" s="137"/>
      <c r="T90" s="137"/>
      <c r="U90" s="137"/>
      <c r="V90" s="137"/>
      <c r="W90" s="137"/>
      <c r="X90" s="137">
        <f>-(X61-Q61)</f>
        <v>0</v>
      </c>
      <c r="Y90" s="137"/>
      <c r="Z90" s="137"/>
      <c r="AA90" s="137"/>
      <c r="AB90" s="137"/>
      <c r="AC90" s="137"/>
      <c r="AD90" s="137"/>
      <c r="AE90" s="137">
        <f>-(AE61-X61)</f>
        <v>0</v>
      </c>
      <c r="AF90" s="137"/>
      <c r="AG90" s="137"/>
      <c r="AH90" s="137"/>
      <c r="AI90" s="137"/>
      <c r="AJ90" s="137"/>
      <c r="AK90" s="137"/>
      <c r="AL90" s="137">
        <f>-(AL61-AE61)</f>
        <v>0</v>
      </c>
      <c r="AM90" s="137"/>
      <c r="AN90" s="137"/>
      <c r="AO90" s="137"/>
      <c r="AP90" s="137"/>
      <c r="AQ90" s="137"/>
      <c r="AR90" s="137"/>
      <c r="AS90" s="137">
        <f>-(AS61-AL61)</f>
        <v>0</v>
      </c>
      <c r="AT90" s="137"/>
      <c r="AU90" s="137"/>
      <c r="AV90" s="137"/>
      <c r="AW90" s="137"/>
      <c r="AX90" s="137"/>
      <c r="AY90" s="137"/>
      <c r="AZ90" s="137">
        <f>-(AZ61-AS61)</f>
        <v>0</v>
      </c>
      <c r="BA90" s="137"/>
      <c r="BB90" s="137"/>
      <c r="BC90" s="137"/>
      <c r="BD90" s="137"/>
      <c r="BE90" s="137"/>
      <c r="BF90" s="137"/>
      <c r="BG90" s="137">
        <f>-(BG61-AZ61)</f>
        <v>0</v>
      </c>
      <c r="BH90" s="137"/>
      <c r="BI90" s="137"/>
      <c r="BJ90" s="137"/>
      <c r="BK90" s="137"/>
      <c r="BL90" s="137"/>
      <c r="BM90" s="137"/>
      <c r="BN90" s="137">
        <f>-(BN61-BG61)</f>
        <v>0</v>
      </c>
      <c r="BO90" s="137"/>
      <c r="BP90" s="137"/>
      <c r="BQ90" s="137"/>
      <c r="BR90" s="137"/>
      <c r="BS90" s="137"/>
      <c r="BT90" s="137"/>
      <c r="BU90" s="137">
        <f>-(BU61-BN61)</f>
        <v>0</v>
      </c>
      <c r="BV90" s="137"/>
      <c r="BW90" s="137"/>
      <c r="BX90" s="137"/>
      <c r="BY90" s="137"/>
      <c r="BZ90" s="137"/>
      <c r="CA90" s="137"/>
      <c r="CB90" s="137">
        <f>-(CB61-BU61)</f>
        <v>0</v>
      </c>
      <c r="CC90" s="137"/>
      <c r="CD90" s="137"/>
      <c r="CE90" s="137"/>
      <c r="CF90" s="137"/>
      <c r="CG90" s="137"/>
      <c r="CH90" s="137"/>
      <c r="CI90" s="137">
        <f>-(CI61-CB61)</f>
        <v>0</v>
      </c>
      <c r="CJ90" s="137"/>
      <c r="CK90" s="137"/>
      <c r="CL90" s="137"/>
      <c r="CM90" s="137"/>
      <c r="CN90" s="137"/>
    </row>
    <row r="91" spans="2:107" x14ac:dyDescent="0.2">
      <c r="B91" s="105" t="s">
        <v>432</v>
      </c>
      <c r="D91" s="137"/>
      <c r="E91" s="137"/>
      <c r="F91" s="137"/>
      <c r="G91" s="137"/>
      <c r="H91" s="137"/>
      <c r="I91" s="137"/>
      <c r="J91" s="137">
        <f>-(J62-C62)</f>
        <v>0</v>
      </c>
      <c r="K91" s="137"/>
      <c r="L91" s="137"/>
      <c r="M91" s="137"/>
      <c r="N91" s="137"/>
      <c r="O91" s="137"/>
      <c r="P91" s="137"/>
      <c r="Q91" s="137">
        <f>-(Q62-J62)</f>
        <v>0</v>
      </c>
      <c r="R91" s="137"/>
      <c r="S91" s="137"/>
      <c r="T91" s="137"/>
      <c r="U91" s="137"/>
      <c r="V91" s="137"/>
      <c r="W91" s="137"/>
      <c r="X91" s="137">
        <f>-(X62-Q62)</f>
        <v>0</v>
      </c>
      <c r="Y91" s="137"/>
      <c r="Z91" s="137"/>
      <c r="AA91" s="137"/>
      <c r="AB91" s="137"/>
      <c r="AC91" s="137"/>
      <c r="AD91" s="137"/>
      <c r="AE91" s="137">
        <f>-(AE62-X62)</f>
        <v>0</v>
      </c>
      <c r="AF91" s="137"/>
      <c r="AG91" s="137"/>
      <c r="AH91" s="137"/>
      <c r="AI91" s="137"/>
      <c r="AJ91" s="137"/>
      <c r="AK91" s="137"/>
      <c r="AL91" s="137">
        <f>-(AL62-AE62)</f>
        <v>0</v>
      </c>
      <c r="AM91" s="137"/>
      <c r="AN91" s="137"/>
      <c r="AO91" s="137"/>
      <c r="AP91" s="137"/>
      <c r="AQ91" s="137"/>
      <c r="AR91" s="137"/>
      <c r="AS91" s="137">
        <f>-(AS62-AL62)</f>
        <v>0</v>
      </c>
      <c r="AT91" s="137"/>
      <c r="AU91" s="137"/>
      <c r="AV91" s="137"/>
      <c r="AW91" s="137"/>
      <c r="AX91" s="137"/>
      <c r="AY91" s="137"/>
      <c r="AZ91" s="137">
        <f>-(AZ62-AS62)</f>
        <v>0</v>
      </c>
      <c r="BA91" s="137"/>
      <c r="BB91" s="137"/>
      <c r="BC91" s="137"/>
      <c r="BD91" s="137"/>
      <c r="BE91" s="137"/>
      <c r="BF91" s="137"/>
      <c r="BG91" s="137">
        <f>-(BG62-AZ62)</f>
        <v>0</v>
      </c>
      <c r="BH91" s="137"/>
      <c r="BI91" s="137"/>
      <c r="BJ91" s="137"/>
      <c r="BK91" s="137"/>
      <c r="BL91" s="137"/>
      <c r="BM91" s="137"/>
      <c r="BN91" s="137">
        <f>-(BN62-BG62)</f>
        <v>0</v>
      </c>
      <c r="BO91" s="137"/>
      <c r="BP91" s="137"/>
      <c r="BQ91" s="137"/>
      <c r="BR91" s="137"/>
      <c r="BS91" s="137"/>
      <c r="BT91" s="137"/>
      <c r="BU91" s="137">
        <f>-(BU62-BN62)</f>
        <v>0</v>
      </c>
      <c r="BV91" s="137"/>
      <c r="BW91" s="137"/>
      <c r="BX91" s="137"/>
      <c r="BY91" s="137"/>
      <c r="BZ91" s="137"/>
      <c r="CA91" s="137"/>
      <c r="CB91" s="137">
        <f>-(CB62-BU62)</f>
        <v>0</v>
      </c>
      <c r="CC91" s="137"/>
      <c r="CD91" s="137"/>
      <c r="CE91" s="137"/>
      <c r="CF91" s="137"/>
      <c r="CG91" s="137"/>
      <c r="CH91" s="137"/>
      <c r="CI91" s="137">
        <f>-(CI62-CB62)</f>
        <v>0</v>
      </c>
      <c r="CJ91" s="137"/>
      <c r="CK91" s="137"/>
      <c r="CL91" s="137"/>
      <c r="CM91" s="137"/>
      <c r="CN91" s="137"/>
    </row>
    <row r="92" spans="2:107" x14ac:dyDescent="0.2">
      <c r="B92" s="105" t="s">
        <v>433</v>
      </c>
      <c r="D92" s="137"/>
      <c r="E92" s="137"/>
      <c r="F92" s="137"/>
      <c r="G92" s="137"/>
      <c r="H92" s="137"/>
      <c r="I92" s="137"/>
      <c r="J92" s="137">
        <f>(J68-C68)</f>
        <v>0</v>
      </c>
      <c r="K92" s="137"/>
      <c r="L92" s="137"/>
      <c r="M92" s="137"/>
      <c r="N92" s="137"/>
      <c r="O92" s="137"/>
      <c r="P92" s="137"/>
      <c r="Q92" s="137">
        <f>(Q68-J68)</f>
        <v>0</v>
      </c>
      <c r="R92" s="137"/>
      <c r="S92" s="137"/>
      <c r="T92" s="137"/>
      <c r="U92" s="137"/>
      <c r="V92" s="137"/>
      <c r="W92" s="137"/>
      <c r="X92" s="137">
        <f>(X68-Q68)</f>
        <v>0</v>
      </c>
      <c r="Y92" s="137"/>
      <c r="Z92" s="137"/>
      <c r="AA92" s="137"/>
      <c r="AB92" s="137"/>
      <c r="AC92" s="137"/>
      <c r="AD92" s="137"/>
      <c r="AE92" s="137">
        <f>(AE68-X68)</f>
        <v>0</v>
      </c>
      <c r="AF92" s="137"/>
      <c r="AG92" s="137"/>
      <c r="AH92" s="137"/>
      <c r="AI92" s="137"/>
      <c r="AJ92" s="137"/>
      <c r="AK92" s="137"/>
      <c r="AL92" s="137">
        <f>(AL68-AE68)</f>
        <v>0</v>
      </c>
      <c r="AM92" s="137"/>
      <c r="AN92" s="137"/>
      <c r="AO92" s="137"/>
      <c r="AP92" s="137"/>
      <c r="AQ92" s="137"/>
      <c r="AR92" s="137"/>
      <c r="AS92" s="137">
        <f>(AS68-AL68)</f>
        <v>0</v>
      </c>
      <c r="AT92" s="137"/>
      <c r="AU92" s="137"/>
      <c r="AV92" s="137"/>
      <c r="AW92" s="137"/>
      <c r="AX92" s="137"/>
      <c r="AY92" s="137"/>
      <c r="AZ92" s="137">
        <f>(AZ68-AS68)</f>
        <v>0</v>
      </c>
      <c r="BA92" s="137"/>
      <c r="BB92" s="137"/>
      <c r="BC92" s="137"/>
      <c r="BD92" s="137"/>
      <c r="BE92" s="137"/>
      <c r="BF92" s="137"/>
      <c r="BG92" s="137">
        <f>(BG68-AZ68)</f>
        <v>0</v>
      </c>
      <c r="BH92" s="137"/>
      <c r="BI92" s="137"/>
      <c r="BJ92" s="137"/>
      <c r="BK92" s="137"/>
      <c r="BL92" s="137"/>
      <c r="BM92" s="137"/>
      <c r="BN92" s="137">
        <f>(BN68-BG68)</f>
        <v>0</v>
      </c>
      <c r="BO92" s="137"/>
      <c r="BP92" s="137"/>
      <c r="BQ92" s="137"/>
      <c r="BR92" s="137"/>
      <c r="BS92" s="137"/>
      <c r="BT92" s="137"/>
      <c r="BU92" s="137">
        <f>(BU68-BN68)</f>
        <v>0</v>
      </c>
      <c r="BV92" s="137"/>
      <c r="BW92" s="137"/>
      <c r="BX92" s="137"/>
      <c r="BY92" s="137"/>
      <c r="BZ92" s="137"/>
      <c r="CA92" s="137"/>
      <c r="CB92" s="137">
        <f>(CB68-BU68)</f>
        <v>0</v>
      </c>
      <c r="CC92" s="137"/>
      <c r="CD92" s="137"/>
      <c r="CE92" s="137"/>
      <c r="CF92" s="137"/>
      <c r="CG92" s="137"/>
      <c r="CH92" s="137"/>
      <c r="CI92" s="137">
        <f>(CI68-CB68)</f>
        <v>0</v>
      </c>
      <c r="CJ92" s="137"/>
      <c r="CK92" s="137"/>
      <c r="CL92" s="137"/>
      <c r="CM92" s="137"/>
      <c r="CN92" s="137"/>
    </row>
    <row r="93" spans="2:107" x14ac:dyDescent="0.2">
      <c r="B93" s="105" t="s">
        <v>434</v>
      </c>
      <c r="D93" s="137"/>
      <c r="E93" s="137"/>
      <c r="F93" s="137"/>
      <c r="G93" s="137"/>
      <c r="H93" s="137"/>
      <c r="I93" s="137"/>
      <c r="J93" s="137">
        <f>(J67-C67)</f>
        <v>0</v>
      </c>
      <c r="K93" s="137"/>
      <c r="L93" s="137"/>
      <c r="M93" s="137"/>
      <c r="N93" s="137"/>
      <c r="O93" s="137"/>
      <c r="P93" s="137"/>
      <c r="Q93" s="137">
        <f>(Q67-J67)</f>
        <v>0</v>
      </c>
      <c r="R93" s="137"/>
      <c r="S93" s="137"/>
      <c r="T93" s="137"/>
      <c r="U93" s="137"/>
      <c r="V93" s="137"/>
      <c r="W93" s="137"/>
      <c r="X93" s="137">
        <f>(X67-Q67)</f>
        <v>0</v>
      </c>
      <c r="Y93" s="137"/>
      <c r="Z93" s="137"/>
      <c r="AA93" s="137"/>
      <c r="AB93" s="137"/>
      <c r="AC93" s="137"/>
      <c r="AD93" s="137"/>
      <c r="AE93" s="137">
        <f>(AE67-X67)</f>
        <v>0</v>
      </c>
      <c r="AF93" s="137"/>
      <c r="AG93" s="137"/>
      <c r="AH93" s="137"/>
      <c r="AI93" s="137"/>
      <c r="AJ93" s="137"/>
      <c r="AK93" s="137"/>
      <c r="AL93" s="137">
        <f>(AL67-AE67)</f>
        <v>0</v>
      </c>
      <c r="AM93" s="137"/>
      <c r="AN93" s="137"/>
      <c r="AO93" s="137"/>
      <c r="AP93" s="137"/>
      <c r="AQ93" s="137"/>
      <c r="AR93" s="137"/>
      <c r="AS93" s="137">
        <f>(AS67-AL67)</f>
        <v>0</v>
      </c>
      <c r="AT93" s="137"/>
      <c r="AU93" s="137"/>
      <c r="AV93" s="137"/>
      <c r="AW93" s="137"/>
      <c r="AX93" s="137"/>
      <c r="AY93" s="137"/>
      <c r="AZ93" s="137">
        <f>(AZ67-AS67)</f>
        <v>0</v>
      </c>
      <c r="BA93" s="137"/>
      <c r="BB93" s="137"/>
      <c r="BC93" s="137"/>
      <c r="BD93" s="137"/>
      <c r="BE93" s="137"/>
      <c r="BF93" s="137"/>
      <c r="BG93" s="137">
        <f>(BG67-AZ67)</f>
        <v>0</v>
      </c>
      <c r="BH93" s="137"/>
      <c r="BI93" s="137"/>
      <c r="BJ93" s="137"/>
      <c r="BK93" s="137"/>
      <c r="BL93" s="137"/>
      <c r="BM93" s="137"/>
      <c r="BN93" s="137">
        <f>(BN67-BG67)</f>
        <v>0</v>
      </c>
      <c r="BO93" s="137"/>
      <c r="BP93" s="137"/>
      <c r="BQ93" s="137"/>
      <c r="BR93" s="137"/>
      <c r="BS93" s="137"/>
      <c r="BT93" s="137"/>
      <c r="BU93" s="137">
        <f>(BU67-BN67)</f>
        <v>0</v>
      </c>
      <c r="BV93" s="137"/>
      <c r="BW93" s="137"/>
      <c r="BX93" s="137"/>
      <c r="BY93" s="137"/>
      <c r="BZ93" s="137"/>
      <c r="CA93" s="137"/>
      <c r="CB93" s="137">
        <f>(CB67-BU67)</f>
        <v>0</v>
      </c>
      <c r="CC93" s="137"/>
      <c r="CD93" s="137"/>
      <c r="CE93" s="137"/>
      <c r="CF93" s="137"/>
      <c r="CG93" s="137"/>
      <c r="CH93" s="137"/>
      <c r="CI93" s="137">
        <f>(CI67-CB67)</f>
        <v>0</v>
      </c>
      <c r="CJ93" s="137"/>
      <c r="CK93" s="137"/>
      <c r="CL93" s="137"/>
      <c r="CM93" s="137"/>
      <c r="CN93" s="137"/>
    </row>
    <row r="94" spans="2:107" x14ac:dyDescent="0.2">
      <c r="B94" s="105" t="s">
        <v>435</v>
      </c>
      <c r="D94" s="137"/>
      <c r="E94" s="137"/>
      <c r="F94" s="137"/>
      <c r="G94" s="137"/>
      <c r="H94" s="137"/>
      <c r="I94" s="137"/>
      <c r="J94" s="137">
        <f>(J69-C69)</f>
        <v>0</v>
      </c>
      <c r="K94" s="137"/>
      <c r="L94" s="137"/>
      <c r="M94" s="137"/>
      <c r="N94" s="137"/>
      <c r="O94" s="137"/>
      <c r="P94" s="137"/>
      <c r="Q94" s="137">
        <f>(Q69-J69)</f>
        <v>0</v>
      </c>
      <c r="R94" s="137"/>
      <c r="S94" s="137"/>
      <c r="T94" s="137"/>
      <c r="U94" s="137"/>
      <c r="V94" s="137"/>
      <c r="W94" s="137"/>
      <c r="X94" s="137">
        <f>(X69-Q69)</f>
        <v>0</v>
      </c>
      <c r="Y94" s="137"/>
      <c r="Z94" s="137"/>
      <c r="AA94" s="137"/>
      <c r="AB94" s="137"/>
      <c r="AC94" s="137"/>
      <c r="AD94" s="137"/>
      <c r="AE94" s="137">
        <f>(AE69-X69)</f>
        <v>0</v>
      </c>
      <c r="AF94" s="137"/>
      <c r="AG94" s="137"/>
      <c r="AH94" s="137"/>
      <c r="AI94" s="137"/>
      <c r="AJ94" s="137"/>
      <c r="AK94" s="137"/>
      <c r="AL94" s="137">
        <f>(AL69-AE69)</f>
        <v>0</v>
      </c>
      <c r="AM94" s="137"/>
      <c r="AN94" s="137"/>
      <c r="AO94" s="137"/>
      <c r="AP94" s="137"/>
      <c r="AQ94" s="137"/>
      <c r="AR94" s="137"/>
      <c r="AS94" s="137">
        <f>(AS69-AL69)</f>
        <v>0</v>
      </c>
      <c r="AT94" s="137"/>
      <c r="AU94" s="137"/>
      <c r="AV94" s="137"/>
      <c r="AW94" s="137"/>
      <c r="AX94" s="137"/>
      <c r="AY94" s="137"/>
      <c r="AZ94" s="137">
        <f>(AZ69-AS69)</f>
        <v>0</v>
      </c>
      <c r="BA94" s="137"/>
      <c r="BB94" s="137"/>
      <c r="BC94" s="137"/>
      <c r="BD94" s="137"/>
      <c r="BE94" s="137"/>
      <c r="BF94" s="137"/>
      <c r="BG94" s="137">
        <f>(BG69-AZ69)</f>
        <v>0</v>
      </c>
      <c r="BH94" s="137"/>
      <c r="BI94" s="137"/>
      <c r="BJ94" s="137"/>
      <c r="BK94" s="137"/>
      <c r="BL94" s="137"/>
      <c r="BM94" s="137"/>
      <c r="BN94" s="137">
        <f>(BN69-BG69)</f>
        <v>0</v>
      </c>
      <c r="BO94" s="137"/>
      <c r="BP94" s="137"/>
      <c r="BQ94" s="137"/>
      <c r="BR94" s="137"/>
      <c r="BS94" s="137"/>
      <c r="BT94" s="137"/>
      <c r="BU94" s="137">
        <f>(BU69-BN69)</f>
        <v>0</v>
      </c>
      <c r="BV94" s="137"/>
      <c r="BW94" s="137"/>
      <c r="BX94" s="137"/>
      <c r="BY94" s="137"/>
      <c r="BZ94" s="137"/>
      <c r="CA94" s="137"/>
      <c r="CB94" s="137">
        <f>(CB69-BU69)</f>
        <v>0</v>
      </c>
      <c r="CC94" s="137"/>
      <c r="CD94" s="137"/>
      <c r="CE94" s="137"/>
      <c r="CF94" s="137"/>
      <c r="CG94" s="137"/>
      <c r="CH94" s="137"/>
      <c r="CI94" s="137">
        <f>(CI69-CB69)</f>
        <v>0</v>
      </c>
      <c r="CJ94" s="137"/>
      <c r="CK94" s="137"/>
      <c r="CL94" s="137"/>
      <c r="CM94" s="137"/>
      <c r="CN94" s="137"/>
    </row>
    <row r="95" spans="2:107" x14ac:dyDescent="0.2">
      <c r="B95" s="105" t="s">
        <v>436</v>
      </c>
      <c r="D95" s="137"/>
      <c r="E95" s="137"/>
      <c r="F95" s="137"/>
      <c r="G95" s="137"/>
      <c r="H95" s="137"/>
      <c r="I95" s="137"/>
      <c r="J95" s="137">
        <f>(J71-C71)</f>
        <v>0</v>
      </c>
      <c r="K95" s="137"/>
      <c r="L95" s="137"/>
      <c r="M95" s="137"/>
      <c r="N95" s="137"/>
      <c r="O95" s="137"/>
      <c r="P95" s="137"/>
      <c r="Q95" s="137">
        <f>(Q71-J71)</f>
        <v>0</v>
      </c>
      <c r="R95" s="137"/>
      <c r="S95" s="137"/>
      <c r="T95" s="137"/>
      <c r="U95" s="137"/>
      <c r="V95" s="137"/>
      <c r="W95" s="137"/>
      <c r="X95" s="137">
        <f>(X71-Q71)</f>
        <v>0</v>
      </c>
      <c r="Y95" s="137"/>
      <c r="Z95" s="137"/>
      <c r="AA95" s="137"/>
      <c r="AB95" s="137"/>
      <c r="AC95" s="137"/>
      <c r="AD95" s="137"/>
      <c r="AE95" s="137">
        <f>(AE71-X71)</f>
        <v>0</v>
      </c>
      <c r="AF95" s="137"/>
      <c r="AG95" s="137"/>
      <c r="AH95" s="137"/>
      <c r="AI95" s="137"/>
      <c r="AJ95" s="137"/>
      <c r="AK95" s="137"/>
      <c r="AL95" s="137">
        <f>(AL71-AE71)</f>
        <v>0</v>
      </c>
      <c r="AM95" s="137"/>
      <c r="AN95" s="137"/>
      <c r="AO95" s="137"/>
      <c r="AP95" s="137"/>
      <c r="AQ95" s="137"/>
      <c r="AR95" s="137"/>
      <c r="AS95" s="137">
        <f>(AS71-AL71)</f>
        <v>0</v>
      </c>
      <c r="AT95" s="137"/>
      <c r="AU95" s="137"/>
      <c r="AV95" s="137"/>
      <c r="AW95" s="137"/>
      <c r="AX95" s="137"/>
      <c r="AY95" s="137"/>
      <c r="AZ95" s="137">
        <f>(AZ71-AS71)</f>
        <v>0</v>
      </c>
      <c r="BA95" s="137"/>
      <c r="BB95" s="137"/>
      <c r="BC95" s="137"/>
      <c r="BD95" s="137"/>
      <c r="BE95" s="137"/>
      <c r="BF95" s="137"/>
      <c r="BG95" s="137">
        <f>(BG71-AZ71)</f>
        <v>0</v>
      </c>
      <c r="BH95" s="137"/>
      <c r="BI95" s="137"/>
      <c r="BJ95" s="137"/>
      <c r="BK95" s="137"/>
      <c r="BL95" s="137"/>
      <c r="BM95" s="137"/>
      <c r="BN95" s="137">
        <f>(BN71-BG71)</f>
        <v>0</v>
      </c>
      <c r="BO95" s="137"/>
      <c r="BP95" s="137"/>
      <c r="BQ95" s="137"/>
      <c r="BR95" s="137"/>
      <c r="BS95" s="137"/>
      <c r="BT95" s="137"/>
      <c r="BU95" s="137">
        <f>(BU71-BN71)</f>
        <v>0</v>
      </c>
      <c r="BV95" s="137"/>
      <c r="BW95" s="137"/>
      <c r="BX95" s="137"/>
      <c r="BY95" s="137"/>
      <c r="BZ95" s="137"/>
      <c r="CA95" s="137"/>
      <c r="CB95" s="137">
        <f>(CB71-BU71)</f>
        <v>0</v>
      </c>
      <c r="CC95" s="137"/>
      <c r="CD95" s="137"/>
      <c r="CE95" s="137"/>
      <c r="CF95" s="137"/>
      <c r="CG95" s="137"/>
      <c r="CH95" s="137"/>
      <c r="CI95" s="137">
        <f>(CI71-CB71)</f>
        <v>0</v>
      </c>
      <c r="CJ95" s="137"/>
      <c r="CK95" s="137"/>
      <c r="CL95" s="137"/>
      <c r="CM95" s="137"/>
      <c r="CN95" s="137"/>
    </row>
    <row r="96" spans="2:107" ht="16" x14ac:dyDescent="0.2">
      <c r="B96" s="141" t="s">
        <v>354</v>
      </c>
      <c r="C96" s="207"/>
      <c r="D96" s="162"/>
      <c r="E96" s="162"/>
      <c r="F96" s="162"/>
      <c r="G96" s="162"/>
      <c r="H96" s="162"/>
      <c r="I96" s="162"/>
      <c r="J96" s="162">
        <f>SUM(J87:J95)</f>
        <v>1809984.53</v>
      </c>
      <c r="K96" s="162"/>
      <c r="L96" s="162"/>
      <c r="M96" s="162"/>
      <c r="N96" s="162"/>
      <c r="O96" s="162"/>
      <c r="P96" s="162"/>
      <c r="Q96" s="162">
        <f>SUM(Q87:Q95)</f>
        <v>-8677197</v>
      </c>
      <c r="R96" s="162"/>
      <c r="S96" s="162"/>
      <c r="T96" s="162"/>
      <c r="U96" s="162"/>
      <c r="V96" s="162"/>
      <c r="W96" s="162"/>
      <c r="X96" s="162">
        <f>SUM(X87:X95)</f>
        <v>0</v>
      </c>
      <c r="Y96" s="162"/>
      <c r="Z96" s="162"/>
      <c r="AA96" s="162"/>
      <c r="AB96" s="162"/>
      <c r="AC96" s="162"/>
      <c r="AD96" s="162"/>
      <c r="AE96" s="162">
        <f>SUM(AE87:AE95)</f>
        <v>0</v>
      </c>
      <c r="AF96" s="162"/>
      <c r="AG96" s="162"/>
      <c r="AH96" s="162"/>
      <c r="AI96" s="162"/>
      <c r="AJ96" s="162"/>
      <c r="AK96" s="162"/>
      <c r="AL96" s="162">
        <f>SUM(AL87:AL95)</f>
        <v>0</v>
      </c>
      <c r="AM96" s="162"/>
      <c r="AN96" s="162"/>
      <c r="AO96" s="162"/>
      <c r="AP96" s="162"/>
      <c r="AQ96" s="162"/>
      <c r="AR96" s="162"/>
      <c r="AS96" s="162">
        <f>SUM(AS87:AS95)</f>
        <v>0</v>
      </c>
      <c r="AT96" s="162"/>
      <c r="AU96" s="162"/>
      <c r="AV96" s="162"/>
      <c r="AW96" s="162"/>
      <c r="AX96" s="162"/>
      <c r="AY96" s="162"/>
      <c r="AZ96" s="162">
        <f>SUM(AZ87:AZ95)</f>
        <v>0</v>
      </c>
      <c r="BA96" s="162"/>
      <c r="BB96" s="162"/>
      <c r="BC96" s="162"/>
      <c r="BD96" s="162"/>
      <c r="BE96" s="162"/>
      <c r="BF96" s="162"/>
      <c r="BG96" s="162">
        <f>SUM(BG87:BG95)</f>
        <v>0</v>
      </c>
      <c r="BH96" s="162"/>
      <c r="BI96" s="162"/>
      <c r="BJ96" s="162"/>
      <c r="BK96" s="162"/>
      <c r="BL96" s="162"/>
      <c r="BM96" s="162"/>
      <c r="BN96" s="162">
        <f>SUM(BN87:BN95)</f>
        <v>0</v>
      </c>
      <c r="BO96" s="162"/>
      <c r="BP96" s="162"/>
      <c r="BQ96" s="162"/>
      <c r="BR96" s="162"/>
      <c r="BS96" s="162"/>
      <c r="BT96" s="162"/>
      <c r="BU96" s="162">
        <f>SUM(BU87:BU95)</f>
        <v>0</v>
      </c>
      <c r="BV96" s="162"/>
      <c r="BW96" s="162"/>
      <c r="BX96" s="162"/>
      <c r="BY96" s="162"/>
      <c r="BZ96" s="162"/>
      <c r="CA96" s="162"/>
      <c r="CB96" s="162">
        <f>SUM(CB87:CB95)</f>
        <v>0</v>
      </c>
      <c r="CC96" s="162"/>
      <c r="CD96" s="162"/>
      <c r="CE96" s="162"/>
      <c r="CF96" s="162"/>
      <c r="CG96" s="162"/>
      <c r="CH96" s="162"/>
      <c r="CI96" s="162">
        <f>SUM(CI87:CI95)</f>
        <v>0</v>
      </c>
      <c r="CJ96" s="163"/>
      <c r="CK96" s="163"/>
      <c r="CL96" s="163"/>
      <c r="CM96" s="163"/>
      <c r="CN96" s="163"/>
    </row>
    <row r="97" spans="2:94" x14ac:dyDescent="0.2">
      <c r="B97" s="105" t="s">
        <v>437</v>
      </c>
      <c r="D97" s="137"/>
      <c r="E97" s="137"/>
      <c r="F97" s="137"/>
      <c r="G97" s="137"/>
      <c r="H97" s="137"/>
      <c r="I97" s="137"/>
      <c r="J97" s="137">
        <f>-(J64-'EEFF 2025'!CI62+J15)</f>
        <v>0</v>
      </c>
      <c r="K97" s="137"/>
      <c r="L97" s="137"/>
      <c r="M97" s="137"/>
      <c r="N97" s="137"/>
      <c r="O97" s="137"/>
      <c r="P97" s="137"/>
      <c r="Q97" s="137">
        <f>-(Q64-J64+Q15)</f>
        <v>0</v>
      </c>
      <c r="R97" s="137"/>
      <c r="S97" s="137"/>
      <c r="T97" s="137"/>
      <c r="U97" s="137"/>
      <c r="V97" s="137"/>
      <c r="W97" s="137"/>
      <c r="X97" s="137">
        <f>-(X64-Q64+X15)</f>
        <v>0</v>
      </c>
      <c r="Y97" s="137"/>
      <c r="Z97" s="137"/>
      <c r="AA97" s="137"/>
      <c r="AB97" s="137"/>
      <c r="AC97" s="137"/>
      <c r="AD97" s="137"/>
      <c r="AE97" s="137">
        <f>-(AE64-X64+AE15)</f>
        <v>0</v>
      </c>
      <c r="AF97" s="137"/>
      <c r="AG97" s="137"/>
      <c r="AH97" s="137"/>
      <c r="AI97" s="137"/>
      <c r="AJ97" s="137"/>
      <c r="AK97" s="137"/>
      <c r="AL97" s="137">
        <f>-(AL64-AE64+AL15)</f>
        <v>0</v>
      </c>
      <c r="AM97" s="137"/>
      <c r="AN97" s="137"/>
      <c r="AO97" s="137"/>
      <c r="AP97" s="137"/>
      <c r="AQ97" s="137"/>
      <c r="AR97" s="137"/>
      <c r="AS97" s="137">
        <f>-(AS64-AL64+AS15)</f>
        <v>0</v>
      </c>
      <c r="AT97" s="137"/>
      <c r="AU97" s="137"/>
      <c r="AV97" s="137"/>
      <c r="AW97" s="137"/>
      <c r="AX97" s="137"/>
      <c r="AY97" s="137"/>
      <c r="AZ97" s="137">
        <f>-(AZ64-AS64+AZ15)</f>
        <v>0</v>
      </c>
      <c r="BA97" s="137"/>
      <c r="BB97" s="137"/>
      <c r="BC97" s="137"/>
      <c r="BD97" s="137"/>
      <c r="BE97" s="137"/>
      <c r="BF97" s="137"/>
      <c r="BG97" s="137">
        <f>-(BG64-AZ64+BG15)</f>
        <v>0</v>
      </c>
      <c r="BH97" s="137"/>
      <c r="BI97" s="137"/>
      <c r="BJ97" s="137"/>
      <c r="BK97" s="137"/>
      <c r="BL97" s="137"/>
      <c r="BM97" s="137"/>
      <c r="BN97" s="137">
        <f>-(BN64-BG64+BN15)</f>
        <v>0</v>
      </c>
      <c r="BO97" s="137"/>
      <c r="BP97" s="137"/>
      <c r="BQ97" s="137"/>
      <c r="BR97" s="137"/>
      <c r="BS97" s="137"/>
      <c r="BT97" s="137"/>
      <c r="BU97" s="137">
        <f>-(BU64-BN64+BU15)</f>
        <v>0</v>
      </c>
      <c r="BV97" s="137"/>
      <c r="BW97" s="137"/>
      <c r="BX97" s="137"/>
      <c r="BY97" s="137"/>
      <c r="BZ97" s="137"/>
      <c r="CA97" s="137"/>
      <c r="CB97" s="137">
        <f>-(CB64-BU64+CB15)</f>
        <v>0</v>
      </c>
      <c r="CC97" s="137"/>
      <c r="CD97" s="137"/>
      <c r="CE97" s="137"/>
      <c r="CF97" s="137"/>
      <c r="CG97" s="137"/>
      <c r="CH97" s="137"/>
      <c r="CI97" s="137">
        <f>-(CI64-CB64+CI15)</f>
        <v>0</v>
      </c>
      <c r="CJ97" s="137"/>
      <c r="CK97" s="137"/>
      <c r="CL97" s="137"/>
      <c r="CM97" s="137"/>
      <c r="CN97" s="137"/>
    </row>
    <row r="98" spans="2:94" ht="16" x14ac:dyDescent="0.2">
      <c r="B98" s="141" t="s">
        <v>355</v>
      </c>
      <c r="C98" s="207"/>
      <c r="D98" s="162"/>
      <c r="E98" s="162"/>
      <c r="F98" s="162"/>
      <c r="G98" s="162"/>
      <c r="H98" s="162"/>
      <c r="I98" s="162"/>
      <c r="J98" s="162">
        <f>SUM(J97)</f>
        <v>0</v>
      </c>
      <c r="K98" s="162"/>
      <c r="L98" s="162"/>
      <c r="M98" s="162"/>
      <c r="N98" s="162"/>
      <c r="O98" s="162"/>
      <c r="P98" s="162"/>
      <c r="Q98" s="162">
        <f>SUM(Q97)</f>
        <v>0</v>
      </c>
      <c r="R98" s="162"/>
      <c r="S98" s="162"/>
      <c r="T98" s="162"/>
      <c r="U98" s="162"/>
      <c r="V98" s="162"/>
      <c r="W98" s="162"/>
      <c r="X98" s="162">
        <f>SUM(X97)</f>
        <v>0</v>
      </c>
      <c r="Y98" s="162"/>
      <c r="Z98" s="162"/>
      <c r="AA98" s="162"/>
      <c r="AB98" s="162"/>
      <c r="AC98" s="162"/>
      <c r="AD98" s="162"/>
      <c r="AE98" s="162">
        <f>SUM(AE97)</f>
        <v>0</v>
      </c>
      <c r="AF98" s="162"/>
      <c r="AG98" s="162"/>
      <c r="AH98" s="162"/>
      <c r="AI98" s="162"/>
      <c r="AJ98" s="162"/>
      <c r="AK98" s="162"/>
      <c r="AL98" s="162">
        <f>SUM(AL97)</f>
        <v>0</v>
      </c>
      <c r="AM98" s="162"/>
      <c r="AN98" s="162"/>
      <c r="AO98" s="162"/>
      <c r="AP98" s="162"/>
      <c r="AQ98" s="162"/>
      <c r="AR98" s="162"/>
      <c r="AS98" s="162">
        <f>SUM(AS97)</f>
        <v>0</v>
      </c>
      <c r="AT98" s="162"/>
      <c r="AU98" s="162"/>
      <c r="AV98" s="162"/>
      <c r="AW98" s="162"/>
      <c r="AX98" s="162"/>
      <c r="AY98" s="162"/>
      <c r="AZ98" s="162">
        <f>SUM(AZ97)</f>
        <v>0</v>
      </c>
      <c r="BA98" s="162"/>
      <c r="BB98" s="162"/>
      <c r="BC98" s="162"/>
      <c r="BD98" s="162"/>
      <c r="BE98" s="162"/>
      <c r="BF98" s="162"/>
      <c r="BG98" s="162">
        <f>SUM(BG97)</f>
        <v>0</v>
      </c>
      <c r="BH98" s="162"/>
      <c r="BI98" s="162"/>
      <c r="BJ98" s="162"/>
      <c r="BK98" s="162"/>
      <c r="BL98" s="162"/>
      <c r="BM98" s="162"/>
      <c r="BN98" s="162">
        <f>SUM(BN97)</f>
        <v>0</v>
      </c>
      <c r="BO98" s="162"/>
      <c r="BP98" s="162"/>
      <c r="BQ98" s="162"/>
      <c r="BR98" s="162"/>
      <c r="BS98" s="162"/>
      <c r="BT98" s="162"/>
      <c r="BU98" s="162">
        <f>SUM(BU97)</f>
        <v>0</v>
      </c>
      <c r="BV98" s="162"/>
      <c r="BW98" s="162"/>
      <c r="BX98" s="162"/>
      <c r="BY98" s="162"/>
      <c r="BZ98" s="162"/>
      <c r="CA98" s="162"/>
      <c r="CB98" s="162">
        <f>SUM(CB97)</f>
        <v>0</v>
      </c>
      <c r="CC98" s="162"/>
      <c r="CD98" s="162"/>
      <c r="CE98" s="162"/>
      <c r="CF98" s="162"/>
      <c r="CG98" s="162"/>
      <c r="CH98" s="162"/>
      <c r="CI98" s="162">
        <f>SUM(CI97)</f>
        <v>0</v>
      </c>
      <c r="CJ98" s="163"/>
      <c r="CK98" s="163"/>
      <c r="CL98" s="163"/>
      <c r="CM98" s="163"/>
      <c r="CN98" s="163"/>
    </row>
    <row r="99" spans="2:94" x14ac:dyDescent="0.2">
      <c r="B99" s="105" t="s">
        <v>438</v>
      </c>
      <c r="D99" s="137"/>
      <c r="E99" s="137"/>
      <c r="F99" s="137"/>
      <c r="G99" s="137"/>
      <c r="H99" s="137"/>
      <c r="I99" s="137"/>
      <c r="J99" s="137">
        <f>((J70+J73)-('EEFF 2025'!CI68+'EEFF 2025'!CI71))</f>
        <v>0</v>
      </c>
      <c r="K99" s="137"/>
      <c r="L99" s="137"/>
      <c r="M99" s="137"/>
      <c r="N99" s="137"/>
      <c r="O99" s="137"/>
      <c r="P99" s="137"/>
      <c r="Q99" s="137">
        <f>((Q70+Q73)-(J70+J73))</f>
        <v>0</v>
      </c>
      <c r="R99" s="137"/>
      <c r="S99" s="137"/>
      <c r="T99" s="137"/>
      <c r="U99" s="137"/>
      <c r="V99" s="137"/>
      <c r="W99" s="137"/>
      <c r="X99" s="137">
        <f>((X70+X73)-(Q70+Q73))</f>
        <v>0</v>
      </c>
      <c r="Y99" s="137"/>
      <c r="Z99" s="137"/>
      <c r="AA99" s="137"/>
      <c r="AB99" s="137"/>
      <c r="AC99" s="137"/>
      <c r="AD99" s="137"/>
      <c r="AE99" s="137">
        <f>((AE70+AE73)-(X70+X73))</f>
        <v>0</v>
      </c>
      <c r="AF99" s="137"/>
      <c r="AG99" s="137"/>
      <c r="AH99" s="137"/>
      <c r="AI99" s="137"/>
      <c r="AJ99" s="137"/>
      <c r="AK99" s="137"/>
      <c r="AL99" s="137">
        <f>((AL70+AL73)-(AE70+AE73))</f>
        <v>0</v>
      </c>
      <c r="AM99" s="137"/>
      <c r="AN99" s="137"/>
      <c r="AO99" s="137"/>
      <c r="AP99" s="137"/>
      <c r="AQ99" s="137"/>
      <c r="AR99" s="137"/>
      <c r="AS99" s="137">
        <f>((AS70+AS73)-(AL70+AL73))</f>
        <v>0</v>
      </c>
      <c r="AT99" s="137"/>
      <c r="AU99" s="137"/>
      <c r="AV99" s="137"/>
      <c r="AW99" s="137"/>
      <c r="AX99" s="137"/>
      <c r="AY99" s="137"/>
      <c r="AZ99" s="137">
        <f>((AZ70+AZ73)-(AS70+AS73))</f>
        <v>0</v>
      </c>
      <c r="BA99" s="137"/>
      <c r="BB99" s="137"/>
      <c r="BC99" s="137"/>
      <c r="BD99" s="137"/>
      <c r="BE99" s="137"/>
      <c r="BF99" s="137"/>
      <c r="BG99" s="137">
        <f>((BG70+BG73)-(AZ70+AZ73))</f>
        <v>0</v>
      </c>
      <c r="BH99" s="137"/>
      <c r="BI99" s="137"/>
      <c r="BJ99" s="137"/>
      <c r="BK99" s="137"/>
      <c r="BL99" s="137"/>
      <c r="BM99" s="137"/>
      <c r="BN99" s="137">
        <f>((BN70+BN73)-(BG70+BG73))</f>
        <v>0</v>
      </c>
      <c r="BO99" s="137"/>
      <c r="BP99" s="137"/>
      <c r="BQ99" s="137"/>
      <c r="BR99" s="137"/>
      <c r="BS99" s="137"/>
      <c r="BT99" s="137"/>
      <c r="BU99" s="137">
        <f>((BU70+BU73)-(BN70+BN73))</f>
        <v>0</v>
      </c>
      <c r="BV99" s="137"/>
      <c r="BW99" s="137"/>
      <c r="BX99" s="137"/>
      <c r="BY99" s="137"/>
      <c r="BZ99" s="137"/>
      <c r="CA99" s="137"/>
      <c r="CB99" s="137">
        <f>((CB70+CB73)-(BU70+BU73))</f>
        <v>0</v>
      </c>
      <c r="CC99" s="137"/>
      <c r="CD99" s="137"/>
      <c r="CE99" s="137"/>
      <c r="CF99" s="137"/>
      <c r="CG99" s="137"/>
      <c r="CH99" s="137"/>
      <c r="CI99" s="137">
        <f>((CI70+CI73)-(CB70+CB73))</f>
        <v>0</v>
      </c>
      <c r="CJ99" s="137"/>
      <c r="CK99" s="137"/>
      <c r="CL99" s="137"/>
      <c r="CM99" s="137"/>
      <c r="CN99" s="137"/>
    </row>
    <row r="100" spans="2:94" x14ac:dyDescent="0.2">
      <c r="B100" s="105" t="s">
        <v>356</v>
      </c>
      <c r="D100" s="137"/>
      <c r="E100" s="137"/>
      <c r="F100" s="137"/>
      <c r="G100" s="137"/>
      <c r="H100" s="137"/>
      <c r="I100" s="137"/>
      <c r="J100" s="137">
        <f>(J80-('EEFF 2025'!CI77+'EEFF 2025'!CI78))</f>
        <v>-12108994.050000001</v>
      </c>
      <c r="K100" s="137"/>
      <c r="L100" s="137"/>
      <c r="M100" s="137"/>
      <c r="N100" s="137"/>
      <c r="O100" s="137"/>
      <c r="P100" s="137"/>
      <c r="Q100" s="137">
        <f>(Q80-(J79+J80))</f>
        <v>0</v>
      </c>
      <c r="R100" s="137"/>
      <c r="S100" s="137"/>
      <c r="T100" s="137"/>
      <c r="U100" s="137"/>
      <c r="V100" s="137"/>
      <c r="W100" s="137"/>
      <c r="X100" s="137">
        <f>(X80-(Q79+Q80))</f>
        <v>0</v>
      </c>
      <c r="Y100" s="137"/>
      <c r="Z100" s="137"/>
      <c r="AA100" s="137"/>
      <c r="AB100" s="137"/>
      <c r="AC100" s="137"/>
      <c r="AD100" s="137"/>
      <c r="AE100" s="137">
        <f>(AE80-(X79+X80))</f>
        <v>0</v>
      </c>
      <c r="AF100" s="137"/>
      <c r="AG100" s="137"/>
      <c r="AH100" s="137"/>
      <c r="AI100" s="137"/>
      <c r="AJ100" s="137"/>
      <c r="AK100" s="137"/>
      <c r="AL100" s="137">
        <f>(AL80-(AE79+AE80))</f>
        <v>0</v>
      </c>
      <c r="AM100" s="137"/>
      <c r="AN100" s="137"/>
      <c r="AO100" s="137"/>
      <c r="AP100" s="137"/>
      <c r="AQ100" s="137"/>
      <c r="AR100" s="137"/>
      <c r="AS100" s="137">
        <f>(AS80-(AL79+AL80))</f>
        <v>0</v>
      </c>
      <c r="AT100" s="137"/>
      <c r="AU100" s="137"/>
      <c r="AV100" s="137"/>
      <c r="AW100" s="137"/>
      <c r="AX100" s="137"/>
      <c r="AY100" s="137"/>
      <c r="AZ100" s="137">
        <f>(AZ80-(AS79+AS80))</f>
        <v>0</v>
      </c>
      <c r="BA100" s="137"/>
      <c r="BB100" s="137"/>
      <c r="BC100" s="137"/>
      <c r="BD100" s="137"/>
      <c r="BE100" s="137"/>
      <c r="BF100" s="137"/>
      <c r="BG100" s="137">
        <f>(BG80-(AZ79+AZ80))</f>
        <v>0</v>
      </c>
      <c r="BH100" s="137"/>
      <c r="BI100" s="137"/>
      <c r="BJ100" s="137"/>
      <c r="BK100" s="137"/>
      <c r="BL100" s="137"/>
      <c r="BM100" s="137"/>
      <c r="BN100" s="137">
        <f>(BN80-(BG79+BG80))</f>
        <v>0</v>
      </c>
      <c r="BO100" s="137"/>
      <c r="BP100" s="137"/>
      <c r="BQ100" s="137"/>
      <c r="BR100" s="137"/>
      <c r="BS100" s="137"/>
      <c r="BT100" s="137"/>
      <c r="BU100" s="137">
        <f>(BU80-(BN79+BN80))</f>
        <v>0</v>
      </c>
      <c r="BV100" s="137"/>
      <c r="BW100" s="137"/>
      <c r="BX100" s="137"/>
      <c r="BY100" s="137"/>
      <c r="BZ100" s="137"/>
      <c r="CA100" s="137"/>
      <c r="CB100" s="137">
        <f>(CB80-(BU79+BU80))</f>
        <v>0</v>
      </c>
      <c r="CC100" s="137"/>
      <c r="CD100" s="137"/>
      <c r="CE100" s="137"/>
      <c r="CF100" s="137"/>
      <c r="CG100" s="137"/>
      <c r="CH100" s="137"/>
      <c r="CI100" s="137">
        <f>(CI80-(CB79+CB80))</f>
        <v>0</v>
      </c>
      <c r="CJ100" s="137"/>
      <c r="CK100" s="137"/>
      <c r="CL100" s="137"/>
      <c r="CM100" s="137"/>
      <c r="CN100" s="137"/>
    </row>
    <row r="101" spans="2:94" ht="16" x14ac:dyDescent="0.2">
      <c r="B101" s="141" t="s">
        <v>357</v>
      </c>
      <c r="C101" s="207"/>
      <c r="D101" s="162"/>
      <c r="E101" s="162"/>
      <c r="F101" s="162"/>
      <c r="G101" s="162"/>
      <c r="H101" s="162"/>
      <c r="I101" s="162"/>
      <c r="J101" s="162">
        <f>SUM(J99:J100)</f>
        <v>-12108994.050000001</v>
      </c>
      <c r="K101" s="162"/>
      <c r="L101" s="162"/>
      <c r="M101" s="162"/>
      <c r="N101" s="162"/>
      <c r="O101" s="162"/>
      <c r="P101" s="162"/>
      <c r="Q101" s="162">
        <f>SUM(Q99:Q100)</f>
        <v>0</v>
      </c>
      <c r="R101" s="162"/>
      <c r="S101" s="162"/>
      <c r="T101" s="162"/>
      <c r="U101" s="162"/>
      <c r="V101" s="162"/>
      <c r="W101" s="162"/>
      <c r="X101" s="162">
        <f>SUM(X99:X100)</f>
        <v>0</v>
      </c>
      <c r="Y101" s="162"/>
      <c r="Z101" s="162"/>
      <c r="AA101" s="162"/>
      <c r="AB101" s="162"/>
      <c r="AC101" s="162"/>
      <c r="AD101" s="162"/>
      <c r="AE101" s="162">
        <f>SUM(AE99:AE100)</f>
        <v>0</v>
      </c>
      <c r="AF101" s="162"/>
      <c r="AG101" s="162"/>
      <c r="AH101" s="162"/>
      <c r="AI101" s="162"/>
      <c r="AJ101" s="162"/>
      <c r="AK101" s="162"/>
      <c r="AL101" s="162">
        <f>SUM(AL99:AL100)</f>
        <v>0</v>
      </c>
      <c r="AM101" s="162"/>
      <c r="AN101" s="162"/>
      <c r="AO101" s="162"/>
      <c r="AP101" s="162"/>
      <c r="AQ101" s="162"/>
      <c r="AR101" s="162"/>
      <c r="AS101" s="162">
        <f>SUM(AS99:AS100)</f>
        <v>0</v>
      </c>
      <c r="AT101" s="162"/>
      <c r="AU101" s="162"/>
      <c r="AV101" s="162"/>
      <c r="AW101" s="162"/>
      <c r="AX101" s="162"/>
      <c r="AY101" s="162"/>
      <c r="AZ101" s="162">
        <f>SUM(AZ99:AZ100)</f>
        <v>0</v>
      </c>
      <c r="BA101" s="162"/>
      <c r="BB101" s="162"/>
      <c r="BC101" s="162"/>
      <c r="BD101" s="162"/>
      <c r="BE101" s="162"/>
      <c r="BF101" s="162"/>
      <c r="BG101" s="162">
        <f>SUM(BG99:BG100)</f>
        <v>0</v>
      </c>
      <c r="BH101" s="162"/>
      <c r="BI101" s="162"/>
      <c r="BJ101" s="162"/>
      <c r="BK101" s="162"/>
      <c r="BL101" s="162"/>
      <c r="BM101" s="162"/>
      <c r="BN101" s="162">
        <f>SUM(BN99:BN100)</f>
        <v>0</v>
      </c>
      <c r="BO101" s="162"/>
      <c r="BP101" s="162"/>
      <c r="BQ101" s="162"/>
      <c r="BR101" s="162"/>
      <c r="BS101" s="162"/>
      <c r="BT101" s="162"/>
      <c r="BU101" s="162">
        <f>SUM(BU99:BU100)</f>
        <v>0</v>
      </c>
      <c r="BV101" s="162"/>
      <c r="BW101" s="162"/>
      <c r="BX101" s="162"/>
      <c r="BY101" s="162"/>
      <c r="BZ101" s="162"/>
      <c r="CA101" s="162"/>
      <c r="CB101" s="162">
        <f>SUM(CB99:CB100)</f>
        <v>0</v>
      </c>
      <c r="CC101" s="162"/>
      <c r="CD101" s="162"/>
      <c r="CE101" s="162"/>
      <c r="CF101" s="162"/>
      <c r="CG101" s="162"/>
      <c r="CH101" s="162"/>
      <c r="CI101" s="162">
        <f>SUM(CI99:CI100)</f>
        <v>0</v>
      </c>
      <c r="CJ101" s="163"/>
      <c r="CK101" s="163"/>
      <c r="CL101" s="163"/>
      <c r="CM101" s="163"/>
      <c r="CN101" s="163"/>
    </row>
    <row r="102" spans="2:94" ht="16" x14ac:dyDescent="0.2">
      <c r="B102" s="141" t="s">
        <v>353</v>
      </c>
      <c r="C102" s="207"/>
      <c r="D102" s="162"/>
      <c r="E102" s="162"/>
      <c r="F102" s="162"/>
      <c r="G102" s="162"/>
      <c r="H102" s="162"/>
      <c r="I102" s="162"/>
      <c r="J102" s="162">
        <f>J96+J98+J101</f>
        <v>-10299009.520000001</v>
      </c>
      <c r="K102" s="162"/>
      <c r="L102" s="162"/>
      <c r="M102" s="162"/>
      <c r="N102" s="162"/>
      <c r="O102" s="162"/>
      <c r="P102" s="162"/>
      <c r="Q102" s="162">
        <f>Q96+Q98+Q101</f>
        <v>-8677197</v>
      </c>
      <c r="R102" s="162"/>
      <c r="S102" s="162"/>
      <c r="T102" s="162"/>
      <c r="U102" s="162"/>
      <c r="V102" s="162"/>
      <c r="W102" s="162"/>
      <c r="X102" s="162">
        <f>X96+X98+X101</f>
        <v>0</v>
      </c>
      <c r="Y102" s="162"/>
      <c r="Z102" s="162"/>
      <c r="AA102" s="162"/>
      <c r="AB102" s="162"/>
      <c r="AC102" s="162"/>
      <c r="AD102" s="162"/>
      <c r="AE102" s="162">
        <f>AE96+AE98+AE101</f>
        <v>0</v>
      </c>
      <c r="AF102" s="162"/>
      <c r="AG102" s="162"/>
      <c r="AH102" s="162"/>
      <c r="AI102" s="162"/>
      <c r="AJ102" s="162"/>
      <c r="AK102" s="162"/>
      <c r="AL102" s="162">
        <f>AL96+AL98+AL101</f>
        <v>0</v>
      </c>
      <c r="AM102" s="162"/>
      <c r="AN102" s="162"/>
      <c r="AO102" s="162"/>
      <c r="AP102" s="162"/>
      <c r="AQ102" s="162"/>
      <c r="AR102" s="162"/>
      <c r="AS102" s="162">
        <f>AS96+AS98+AS101</f>
        <v>0</v>
      </c>
      <c r="AT102" s="162"/>
      <c r="AU102" s="162"/>
      <c r="AV102" s="162"/>
      <c r="AW102" s="162"/>
      <c r="AX102" s="162"/>
      <c r="AY102" s="162"/>
      <c r="AZ102" s="162">
        <f>AZ96+AZ98+AZ101</f>
        <v>0</v>
      </c>
      <c r="BA102" s="162"/>
      <c r="BB102" s="162"/>
      <c r="BC102" s="162"/>
      <c r="BD102" s="162"/>
      <c r="BE102" s="162"/>
      <c r="BF102" s="162"/>
      <c r="BG102" s="162">
        <f>BG96+BG98+BG101</f>
        <v>0</v>
      </c>
      <c r="BH102" s="162"/>
      <c r="BI102" s="162"/>
      <c r="BJ102" s="162"/>
      <c r="BK102" s="162"/>
      <c r="BL102" s="162"/>
      <c r="BM102" s="162"/>
      <c r="BN102" s="162">
        <f>BN96+BN98+BN101</f>
        <v>0</v>
      </c>
      <c r="BO102" s="162"/>
      <c r="BP102" s="162"/>
      <c r="BQ102" s="162"/>
      <c r="BR102" s="162"/>
      <c r="BS102" s="162"/>
      <c r="BT102" s="162"/>
      <c r="BU102" s="162">
        <f>BU96+BU98+BU101</f>
        <v>0</v>
      </c>
      <c r="BV102" s="162"/>
      <c r="BW102" s="162"/>
      <c r="BX102" s="162"/>
      <c r="BY102" s="162"/>
      <c r="BZ102" s="162"/>
      <c r="CA102" s="162"/>
      <c r="CB102" s="162">
        <f>CB96+CB98+CB101</f>
        <v>0</v>
      </c>
      <c r="CC102" s="162"/>
      <c r="CD102" s="162"/>
      <c r="CE102" s="162"/>
      <c r="CF102" s="162"/>
      <c r="CG102" s="162"/>
      <c r="CH102" s="162"/>
      <c r="CI102" s="162">
        <f>CI96+CI98+CI101</f>
        <v>0</v>
      </c>
      <c r="CJ102" s="163"/>
      <c r="CK102" s="163"/>
      <c r="CL102" s="163"/>
      <c r="CM102" s="163"/>
      <c r="CN102" s="163"/>
    </row>
    <row r="103" spans="2:94" x14ac:dyDescent="0.2">
      <c r="B103" s="105" t="s">
        <v>358</v>
      </c>
      <c r="D103" s="137"/>
      <c r="E103" s="137"/>
      <c r="F103" s="137"/>
      <c r="G103" s="137"/>
      <c r="H103" s="137"/>
      <c r="I103" s="137"/>
      <c r="J103" s="137">
        <f>'EEFF 2025'!CI51</f>
        <v>80689773</v>
      </c>
      <c r="K103" s="137"/>
      <c r="L103" s="137"/>
      <c r="M103" s="137"/>
      <c r="N103" s="137"/>
      <c r="O103" s="137"/>
      <c r="P103" s="137"/>
      <c r="Q103" s="137">
        <f>J52</f>
        <v>70384786.280000001</v>
      </c>
      <c r="R103" s="137"/>
      <c r="S103" s="137"/>
      <c r="T103" s="137"/>
      <c r="U103" s="137"/>
      <c r="V103" s="137"/>
      <c r="W103" s="137"/>
      <c r="X103" s="137">
        <f>Q52</f>
        <v>61371886.280000001</v>
      </c>
      <c r="Y103" s="137"/>
      <c r="Z103" s="137"/>
      <c r="AA103" s="137"/>
      <c r="AB103" s="137"/>
      <c r="AC103" s="137"/>
      <c r="AD103" s="137"/>
      <c r="AE103" s="137">
        <f>X52</f>
        <v>0</v>
      </c>
      <c r="AF103" s="137"/>
      <c r="AG103" s="137"/>
      <c r="AH103" s="137"/>
      <c r="AI103" s="137"/>
      <c r="AJ103" s="137"/>
      <c r="AK103" s="137"/>
      <c r="AL103" s="137">
        <f>AE52</f>
        <v>0</v>
      </c>
      <c r="AM103" s="137"/>
      <c r="AN103" s="137"/>
      <c r="AO103" s="137"/>
      <c r="AP103" s="137"/>
      <c r="AQ103" s="137"/>
      <c r="AR103" s="137"/>
      <c r="AS103" s="137">
        <f>AL52</f>
        <v>0</v>
      </c>
      <c r="AT103" s="137"/>
      <c r="AU103" s="137"/>
      <c r="AV103" s="137"/>
      <c r="AW103" s="137"/>
      <c r="AX103" s="137"/>
      <c r="AY103" s="137"/>
      <c r="AZ103" s="137">
        <f>AS52</f>
        <v>0</v>
      </c>
      <c r="BA103" s="137"/>
      <c r="BB103" s="137"/>
      <c r="BC103" s="137"/>
      <c r="BD103" s="137"/>
      <c r="BE103" s="137"/>
      <c r="BF103" s="137"/>
      <c r="BG103" s="137">
        <f>AZ52</f>
        <v>0</v>
      </c>
      <c r="BH103" s="137"/>
      <c r="BI103" s="137"/>
      <c r="BJ103" s="137"/>
      <c r="BK103" s="137"/>
      <c r="BL103" s="137"/>
      <c r="BM103" s="137"/>
      <c r="BN103" s="137">
        <f>BG52</f>
        <v>0</v>
      </c>
      <c r="BO103" s="137"/>
      <c r="BP103" s="137"/>
      <c r="BQ103" s="137"/>
      <c r="BR103" s="137"/>
      <c r="BS103" s="137"/>
      <c r="BT103" s="137"/>
      <c r="BU103" s="137">
        <f>BN52</f>
        <v>0</v>
      </c>
      <c r="BV103" s="137"/>
      <c r="BW103" s="137"/>
      <c r="BX103" s="137"/>
      <c r="BY103" s="137"/>
      <c r="BZ103" s="137"/>
      <c r="CA103" s="137"/>
      <c r="CB103" s="137">
        <f>BU52</f>
        <v>0</v>
      </c>
      <c r="CC103" s="137"/>
      <c r="CD103" s="137"/>
      <c r="CE103" s="137"/>
      <c r="CF103" s="137"/>
      <c r="CG103" s="137"/>
      <c r="CH103" s="137"/>
      <c r="CI103" s="137">
        <f>CB52</f>
        <v>0</v>
      </c>
      <c r="CJ103" s="137"/>
      <c r="CK103" s="137"/>
      <c r="CL103" s="137"/>
      <c r="CM103" s="137"/>
      <c r="CN103" s="137"/>
    </row>
    <row r="104" spans="2:94" ht="16" x14ac:dyDescent="0.2">
      <c r="B104" s="141" t="s">
        <v>359</v>
      </c>
      <c r="C104" s="207"/>
      <c r="D104" s="162"/>
      <c r="E104" s="162"/>
      <c r="F104" s="162"/>
      <c r="G104" s="162"/>
      <c r="H104" s="162"/>
      <c r="I104" s="162"/>
      <c r="J104" s="162">
        <f>+J102+J103</f>
        <v>70390763.480000004</v>
      </c>
      <c r="K104" s="162"/>
      <c r="L104" s="162"/>
      <c r="M104" s="162"/>
      <c r="N104" s="162"/>
      <c r="O104" s="162"/>
      <c r="P104" s="162"/>
      <c r="Q104" s="162">
        <f>+Q102+Q103</f>
        <v>61707589.280000001</v>
      </c>
      <c r="R104" s="162"/>
      <c r="S104" s="162"/>
      <c r="T104" s="162"/>
      <c r="U104" s="162"/>
      <c r="V104" s="162"/>
      <c r="W104" s="162"/>
      <c r="X104" s="162">
        <f>+X102+X103</f>
        <v>61371886.280000001</v>
      </c>
      <c r="Y104" s="162"/>
      <c r="Z104" s="162"/>
      <c r="AA104" s="162"/>
      <c r="AB104" s="162"/>
      <c r="AC104" s="162"/>
      <c r="AD104" s="162"/>
      <c r="AE104" s="162">
        <f>+AE102+AE103</f>
        <v>0</v>
      </c>
      <c r="AF104" s="162"/>
      <c r="AG104" s="162"/>
      <c r="AH104" s="162"/>
      <c r="AI104" s="162"/>
      <c r="AJ104" s="162"/>
      <c r="AK104" s="162"/>
      <c r="AL104" s="162">
        <f>+AL102+AL103</f>
        <v>0</v>
      </c>
      <c r="AM104" s="162"/>
      <c r="AN104" s="162"/>
      <c r="AO104" s="162"/>
      <c r="AP104" s="162"/>
      <c r="AQ104" s="162"/>
      <c r="AR104" s="162"/>
      <c r="AS104" s="162">
        <f>+AS102+AS103</f>
        <v>0</v>
      </c>
      <c r="AT104" s="162"/>
      <c r="AU104" s="162"/>
      <c r="AV104" s="162"/>
      <c r="AW104" s="162"/>
      <c r="AX104" s="162"/>
      <c r="AY104" s="162"/>
      <c r="AZ104" s="162">
        <f>+AZ102+AZ103</f>
        <v>0</v>
      </c>
      <c r="BA104" s="162"/>
      <c r="BB104" s="162"/>
      <c r="BC104" s="162"/>
      <c r="BD104" s="162"/>
      <c r="BE104" s="162"/>
      <c r="BF104" s="162"/>
      <c r="BG104" s="162">
        <f>+BG102+BG103</f>
        <v>0</v>
      </c>
      <c r="BH104" s="162"/>
      <c r="BI104" s="162"/>
      <c r="BJ104" s="162"/>
      <c r="BK104" s="162"/>
      <c r="BL104" s="162"/>
      <c r="BM104" s="162"/>
      <c r="BN104" s="162">
        <f>+BN102+BN103</f>
        <v>0</v>
      </c>
      <c r="BO104" s="162"/>
      <c r="BP104" s="162"/>
      <c r="BQ104" s="162"/>
      <c r="BR104" s="162"/>
      <c r="BS104" s="162"/>
      <c r="BT104" s="162"/>
      <c r="BU104" s="162">
        <f>+BU102+BU103</f>
        <v>0</v>
      </c>
      <c r="BV104" s="162"/>
      <c r="BW104" s="162"/>
      <c r="BX104" s="162"/>
      <c r="BY104" s="162"/>
      <c r="BZ104" s="162"/>
      <c r="CA104" s="162"/>
      <c r="CB104" s="162">
        <f>+CB102+CB103</f>
        <v>0</v>
      </c>
      <c r="CC104" s="162"/>
      <c r="CD104" s="162"/>
      <c r="CE104" s="162"/>
      <c r="CF104" s="162"/>
      <c r="CG104" s="162"/>
      <c r="CH104" s="162"/>
      <c r="CI104" s="162">
        <f>+CI102+CI103</f>
        <v>0</v>
      </c>
      <c r="CJ104" s="163"/>
      <c r="CK104" s="163"/>
      <c r="CL104" s="163"/>
      <c r="CM104" s="163"/>
      <c r="CN104" s="163"/>
    </row>
    <row r="105" spans="2:94" x14ac:dyDescent="0.2">
      <c r="B105" s="105" t="s">
        <v>350</v>
      </c>
      <c r="D105" s="137"/>
      <c r="E105" s="137"/>
      <c r="F105" s="137"/>
      <c r="G105" s="137"/>
      <c r="H105" s="137"/>
      <c r="I105" s="137"/>
      <c r="J105" s="233">
        <f>J104-J52</f>
        <v>5977.2000000029802</v>
      </c>
      <c r="K105" s="233"/>
      <c r="L105" s="233"/>
      <c r="M105" s="233"/>
      <c r="N105" s="233"/>
      <c r="O105" s="233"/>
      <c r="P105" s="233"/>
      <c r="Q105" s="233">
        <f>Q104-Q52</f>
        <v>335703</v>
      </c>
      <c r="R105" s="233"/>
      <c r="S105" s="233"/>
      <c r="T105" s="233"/>
      <c r="U105" s="233"/>
      <c r="V105" s="233"/>
      <c r="W105" s="233"/>
      <c r="X105" s="233">
        <f>X104-X52</f>
        <v>61371886.280000001</v>
      </c>
      <c r="Y105" s="233"/>
      <c r="Z105" s="233"/>
      <c r="AA105" s="233"/>
      <c r="AB105" s="233"/>
      <c r="AC105" s="233"/>
      <c r="AD105" s="233"/>
      <c r="AE105" s="233">
        <f>AE104-AE52</f>
        <v>0</v>
      </c>
      <c r="AF105" s="233"/>
      <c r="AG105" s="233"/>
      <c r="AH105" s="233"/>
      <c r="AI105" s="233"/>
      <c r="AJ105" s="233"/>
      <c r="AK105" s="233"/>
      <c r="AL105" s="233">
        <f>AL104-AL52</f>
        <v>0</v>
      </c>
      <c r="AM105" s="233"/>
      <c r="AN105" s="233"/>
      <c r="AO105" s="233"/>
      <c r="AP105" s="233"/>
      <c r="AQ105" s="233"/>
      <c r="AR105" s="233"/>
      <c r="AS105" s="233">
        <f>AS104-AS52</f>
        <v>0</v>
      </c>
      <c r="AT105" s="233"/>
      <c r="AU105" s="233"/>
      <c r="AV105" s="233"/>
      <c r="AW105" s="233"/>
      <c r="AX105" s="233"/>
      <c r="AY105" s="233"/>
      <c r="AZ105" s="233">
        <f>AZ104-AZ52</f>
        <v>0</v>
      </c>
      <c r="BA105" s="233"/>
      <c r="BB105" s="233"/>
      <c r="BC105" s="233"/>
      <c r="BD105" s="233"/>
      <c r="BE105" s="233"/>
      <c r="BF105" s="233"/>
      <c r="BG105" s="233">
        <f>BG104-BG52</f>
        <v>0</v>
      </c>
      <c r="BH105" s="233"/>
      <c r="BI105" s="233"/>
      <c r="BJ105" s="233"/>
      <c r="BK105" s="233"/>
      <c r="BL105" s="233"/>
      <c r="BM105" s="233"/>
      <c r="BN105" s="233">
        <f>BN104-BN52</f>
        <v>0</v>
      </c>
      <c r="BO105" s="233"/>
      <c r="BP105" s="233"/>
      <c r="BQ105" s="233"/>
      <c r="BR105" s="233"/>
      <c r="BS105" s="233"/>
      <c r="BT105" s="233"/>
      <c r="BU105" s="233">
        <f>BU104-BU52</f>
        <v>0</v>
      </c>
      <c r="BV105" s="233"/>
      <c r="BW105" s="233"/>
      <c r="BX105" s="233"/>
      <c r="BY105" s="233"/>
      <c r="BZ105" s="233"/>
      <c r="CA105" s="233"/>
      <c r="CB105" s="233">
        <f>CB104-CB52</f>
        <v>0</v>
      </c>
      <c r="CC105" s="233"/>
      <c r="CD105" s="233"/>
      <c r="CE105" s="233"/>
      <c r="CF105" s="233"/>
      <c r="CG105" s="233"/>
      <c r="CH105" s="233"/>
      <c r="CI105" s="233">
        <f>CI104-CI52</f>
        <v>0</v>
      </c>
      <c r="CJ105" s="137"/>
      <c r="CK105" s="137"/>
      <c r="CL105" s="137"/>
      <c r="CM105" s="137"/>
      <c r="CN105" s="137"/>
    </row>
    <row r="106" spans="2:94" x14ac:dyDescent="0.2"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  <c r="CC106" s="137"/>
      <c r="CD106" s="137"/>
      <c r="CE106" s="137"/>
      <c r="CF106" s="137"/>
      <c r="CG106" s="137"/>
      <c r="CH106" s="137"/>
      <c r="CI106" s="137"/>
    </row>
    <row r="108" spans="2:94" ht="16" x14ac:dyDescent="0.2">
      <c r="B108" s="183" t="s">
        <v>360</v>
      </c>
      <c r="C108" s="220"/>
      <c r="CJ108" s="164" t="e">
        <f t="shared" ref="CJ108:CO108" si="52">CJ63/CJ72</f>
        <v>#DIV/0!</v>
      </c>
      <c r="CK108" s="164" t="e">
        <f t="shared" si="52"/>
        <v>#DIV/0!</v>
      </c>
      <c r="CL108" s="164" t="e">
        <f t="shared" si="52"/>
        <v>#DIV/0!</v>
      </c>
      <c r="CM108" s="164" t="e">
        <f t="shared" si="52"/>
        <v>#DIV/0!</v>
      </c>
      <c r="CN108" s="164" t="e">
        <f t="shared" si="52"/>
        <v>#DIV/0!</v>
      </c>
      <c r="CO108" s="164" t="e">
        <f t="shared" si="52"/>
        <v>#DIV/0!</v>
      </c>
      <c r="CP108" s="164"/>
    </row>
    <row r="109" spans="2:94" x14ac:dyDescent="0.2">
      <c r="B109" s="105" t="s">
        <v>439</v>
      </c>
      <c r="D109" s="164"/>
      <c r="E109" s="164"/>
      <c r="F109" s="164"/>
      <c r="G109" s="164"/>
      <c r="H109" s="164"/>
      <c r="I109" s="164"/>
      <c r="J109" s="164">
        <f>J63/J72</f>
        <v>3.3525569438532075</v>
      </c>
      <c r="K109" s="164"/>
      <c r="L109" s="164"/>
      <c r="M109" s="164"/>
      <c r="N109" s="164"/>
      <c r="O109" s="164"/>
      <c r="P109" s="164"/>
      <c r="Q109" s="164">
        <f>Q63/Q72</f>
        <v>2.9232559247515755</v>
      </c>
      <c r="R109" s="164"/>
      <c r="S109" s="164"/>
      <c r="T109" s="164"/>
      <c r="U109" s="164"/>
      <c r="V109" s="164"/>
      <c r="W109" s="164"/>
      <c r="X109" s="164">
        <f>X63/X72</f>
        <v>0</v>
      </c>
      <c r="Y109" s="164"/>
      <c r="Z109" s="164"/>
      <c r="AA109" s="164"/>
      <c r="AB109" s="164"/>
      <c r="AC109" s="164"/>
      <c r="AD109" s="164"/>
      <c r="AE109" s="164">
        <f>AE63/AE72</f>
        <v>0</v>
      </c>
      <c r="AF109" s="164"/>
      <c r="AG109" s="164"/>
      <c r="AH109" s="164"/>
      <c r="AI109" s="164"/>
      <c r="AJ109" s="164"/>
      <c r="AK109" s="164"/>
      <c r="AL109" s="164">
        <f>AL63/AL72</f>
        <v>0</v>
      </c>
      <c r="AM109" s="164"/>
      <c r="AN109" s="164"/>
      <c r="AO109" s="164"/>
      <c r="AP109" s="164"/>
      <c r="AQ109" s="164"/>
      <c r="AR109" s="164"/>
      <c r="AS109" s="164">
        <f>AS63/AS72</f>
        <v>0</v>
      </c>
      <c r="AT109" s="164"/>
      <c r="AU109" s="164"/>
      <c r="AV109" s="164"/>
      <c r="AW109" s="164"/>
      <c r="AX109" s="164"/>
      <c r="AY109" s="164"/>
      <c r="AZ109" s="164">
        <f>AZ63/AZ72</f>
        <v>0</v>
      </c>
      <c r="BA109" s="164"/>
      <c r="BB109" s="164"/>
      <c r="BC109" s="164"/>
      <c r="BD109" s="164"/>
      <c r="BE109" s="164"/>
      <c r="BF109" s="164"/>
      <c r="BG109" s="164">
        <f>BG63/BG72</f>
        <v>0</v>
      </c>
      <c r="BH109" s="164"/>
      <c r="BI109" s="164"/>
      <c r="BJ109" s="164"/>
      <c r="BK109" s="164"/>
      <c r="BL109" s="164"/>
      <c r="BM109" s="164"/>
      <c r="BN109" s="164">
        <f>BN63/BN72</f>
        <v>0</v>
      </c>
      <c r="BO109" s="164"/>
      <c r="BP109" s="164"/>
      <c r="BQ109" s="164"/>
      <c r="BR109" s="164"/>
      <c r="BS109" s="164"/>
      <c r="BT109" s="164"/>
      <c r="BU109" s="164">
        <f>BU63/BU72</f>
        <v>0</v>
      </c>
      <c r="BV109" s="164"/>
      <c r="BW109" s="164"/>
      <c r="BX109" s="164"/>
      <c r="BY109" s="164"/>
      <c r="BZ109" s="164"/>
      <c r="CA109" s="164"/>
      <c r="CB109" s="164">
        <f>CB63/CB72</f>
        <v>0</v>
      </c>
      <c r="CC109" s="164"/>
      <c r="CD109" s="164"/>
      <c r="CE109" s="164"/>
      <c r="CF109" s="164"/>
      <c r="CG109" s="164"/>
      <c r="CH109" s="164"/>
      <c r="CI109" s="164">
        <f>CI63/CI72</f>
        <v>0</v>
      </c>
      <c r="CJ109" s="164" t="e">
        <f>(CJ63-#REF!)/CJ72</f>
        <v>#REF!</v>
      </c>
      <c r="CK109" s="164" t="e">
        <f>(CK63-#REF!)/CK72</f>
        <v>#REF!</v>
      </c>
      <c r="CL109" s="164" t="e">
        <f>(CL63-#REF!)/CL72</f>
        <v>#REF!</v>
      </c>
      <c r="CM109" s="164" t="e">
        <f>(CM63-#REF!)/CM72</f>
        <v>#REF!</v>
      </c>
      <c r="CN109" s="164" t="e">
        <f>(CN63-#REF!)/CN72</f>
        <v>#REF!</v>
      </c>
      <c r="CO109" s="164" t="e">
        <f>(CO63-#REF!)/CO72</f>
        <v>#REF!</v>
      </c>
      <c r="CP109" s="164"/>
    </row>
    <row r="110" spans="2:94" x14ac:dyDescent="0.2">
      <c r="B110" s="105" t="s">
        <v>361</v>
      </c>
      <c r="D110" s="164"/>
      <c r="E110" s="164"/>
      <c r="F110" s="164"/>
      <c r="G110" s="164"/>
      <c r="H110" s="164"/>
      <c r="I110" s="164"/>
      <c r="J110" s="164">
        <f>(J63-J61)/J72</f>
        <v>3.3525569438532075</v>
      </c>
      <c r="K110" s="164"/>
      <c r="L110" s="164"/>
      <c r="M110" s="164"/>
      <c r="N110" s="164"/>
      <c r="O110" s="164"/>
      <c r="P110" s="164"/>
      <c r="Q110" s="164">
        <f>(Q63-Q61)/Q72</f>
        <v>2.9232559247515755</v>
      </c>
      <c r="R110" s="164"/>
      <c r="S110" s="164"/>
      <c r="T110" s="164"/>
      <c r="U110" s="164"/>
      <c r="V110" s="164"/>
      <c r="W110" s="164"/>
      <c r="X110" s="164">
        <f>(X63-X61)/X72</f>
        <v>0</v>
      </c>
      <c r="Y110" s="164"/>
      <c r="Z110" s="164"/>
      <c r="AA110" s="164"/>
      <c r="AB110" s="164"/>
      <c r="AC110" s="164"/>
      <c r="AD110" s="164"/>
      <c r="AE110" s="164">
        <f>(AE63-AE61)/AE72</f>
        <v>0</v>
      </c>
      <c r="AF110" s="164"/>
      <c r="AG110" s="164"/>
      <c r="AH110" s="164"/>
      <c r="AI110" s="164"/>
      <c r="AJ110" s="164"/>
      <c r="AK110" s="164"/>
      <c r="AL110" s="164">
        <f>(AL63-AL61)/AL72</f>
        <v>0</v>
      </c>
      <c r="AM110" s="164"/>
      <c r="AN110" s="164"/>
      <c r="AO110" s="164"/>
      <c r="AP110" s="164"/>
      <c r="AQ110" s="164"/>
      <c r="AR110" s="164"/>
      <c r="AS110" s="164">
        <f>(AS63-AS61)/AS72</f>
        <v>0</v>
      </c>
      <c r="AT110" s="164"/>
      <c r="AU110" s="164"/>
      <c r="AV110" s="164"/>
      <c r="AW110" s="164"/>
      <c r="AX110" s="164"/>
      <c r="AY110" s="164"/>
      <c r="AZ110" s="164">
        <f>(AZ63-AZ61)/AZ72</f>
        <v>0</v>
      </c>
      <c r="BA110" s="164"/>
      <c r="BB110" s="164"/>
      <c r="BC110" s="164"/>
      <c r="BD110" s="164"/>
      <c r="BE110" s="164"/>
      <c r="BF110" s="164"/>
      <c r="BG110" s="164">
        <f>(BG63-BG61)/BG72</f>
        <v>0</v>
      </c>
      <c r="BH110" s="164"/>
      <c r="BI110" s="164"/>
      <c r="BJ110" s="164"/>
      <c r="BK110" s="164"/>
      <c r="BL110" s="164"/>
      <c r="BM110" s="164"/>
      <c r="BN110" s="164">
        <f>(BN63-BN61)/BN72</f>
        <v>0</v>
      </c>
      <c r="BO110" s="164"/>
      <c r="BP110" s="164"/>
      <c r="BQ110" s="164"/>
      <c r="BR110" s="164"/>
      <c r="BS110" s="164"/>
      <c r="BT110" s="164"/>
      <c r="BU110" s="164">
        <f>(BU63-BU61)/BU72</f>
        <v>0</v>
      </c>
      <c r="BV110" s="164"/>
      <c r="BW110" s="164"/>
      <c r="BX110" s="164"/>
      <c r="BY110" s="164"/>
      <c r="BZ110" s="164"/>
      <c r="CA110" s="164"/>
      <c r="CB110" s="164">
        <f>(CB63-CB61)/CB72</f>
        <v>0</v>
      </c>
      <c r="CC110" s="164"/>
      <c r="CD110" s="164"/>
      <c r="CE110" s="164"/>
      <c r="CF110" s="164"/>
      <c r="CG110" s="164"/>
      <c r="CH110" s="164"/>
      <c r="CI110" s="164">
        <f>(CI63-CI61)/CI72</f>
        <v>0</v>
      </c>
      <c r="CJ110" s="137">
        <f t="shared" ref="CJ110:CO110" si="53">CJ63-CJ72</f>
        <v>0</v>
      </c>
      <c r="CK110" s="137">
        <f t="shared" si="53"/>
        <v>0</v>
      </c>
      <c r="CL110" s="137">
        <f t="shared" si="53"/>
        <v>0</v>
      </c>
      <c r="CM110" s="137">
        <f t="shared" si="53"/>
        <v>0</v>
      </c>
      <c r="CN110" s="137">
        <f t="shared" si="53"/>
        <v>0</v>
      </c>
      <c r="CO110" s="137">
        <f t="shared" si="53"/>
        <v>0</v>
      </c>
      <c r="CP110" s="137"/>
    </row>
    <row r="111" spans="2:94" x14ac:dyDescent="0.2">
      <c r="B111" s="105" t="s">
        <v>362</v>
      </c>
      <c r="D111" s="137"/>
      <c r="E111" s="137"/>
      <c r="F111" s="137"/>
      <c r="G111" s="137"/>
      <c r="H111" s="137"/>
      <c r="I111" s="137"/>
      <c r="J111" s="137">
        <f>J63-J72</f>
        <v>49390426.614000008</v>
      </c>
      <c r="K111" s="137"/>
      <c r="L111" s="137"/>
      <c r="M111" s="137"/>
      <c r="N111" s="137"/>
      <c r="O111" s="137"/>
      <c r="P111" s="137"/>
      <c r="Q111" s="137">
        <f>Q63-Q72</f>
        <v>40377526.614000008</v>
      </c>
      <c r="R111" s="137"/>
      <c r="S111" s="137"/>
      <c r="T111" s="137"/>
      <c r="U111" s="137"/>
      <c r="V111" s="137"/>
      <c r="W111" s="137"/>
      <c r="X111" s="137">
        <f>X63-X72</f>
        <v>-20994359.665999997</v>
      </c>
      <c r="Y111" s="137"/>
      <c r="Z111" s="137"/>
      <c r="AA111" s="137"/>
      <c r="AB111" s="137"/>
      <c r="AC111" s="137"/>
      <c r="AD111" s="137"/>
      <c r="AE111" s="137">
        <f>AE63-AE72</f>
        <v>-20994359.665999997</v>
      </c>
      <c r="AF111" s="137"/>
      <c r="AG111" s="137"/>
      <c r="AH111" s="137"/>
      <c r="AI111" s="137"/>
      <c r="AJ111" s="137"/>
      <c r="AK111" s="137"/>
      <c r="AL111" s="137">
        <f>AL63-AL72</f>
        <v>-20994359.665999997</v>
      </c>
      <c r="AM111" s="137"/>
      <c r="AN111" s="137"/>
      <c r="AO111" s="137"/>
      <c r="AP111" s="137"/>
      <c r="AQ111" s="137"/>
      <c r="AR111" s="137"/>
      <c r="AS111" s="137">
        <f>AS63-AS72</f>
        <v>-20994359.665999997</v>
      </c>
      <c r="AT111" s="137"/>
      <c r="AU111" s="137"/>
      <c r="AV111" s="137"/>
      <c r="AW111" s="137"/>
      <c r="AX111" s="137"/>
      <c r="AY111" s="137"/>
      <c r="AZ111" s="137">
        <f>AZ63-AZ72</f>
        <v>-20994359.665999997</v>
      </c>
      <c r="BA111" s="137"/>
      <c r="BB111" s="137"/>
      <c r="BC111" s="137"/>
      <c r="BD111" s="137"/>
      <c r="BE111" s="137"/>
      <c r="BF111" s="137"/>
      <c r="BG111" s="137">
        <f>BG63-BG72</f>
        <v>-20994359.665999997</v>
      </c>
      <c r="BH111" s="137"/>
      <c r="BI111" s="137"/>
      <c r="BJ111" s="137"/>
      <c r="BK111" s="137"/>
      <c r="BL111" s="137"/>
      <c r="BM111" s="137"/>
      <c r="BN111" s="137">
        <f>BN63-BN72</f>
        <v>-20994359.665999997</v>
      </c>
      <c r="BO111" s="137"/>
      <c r="BP111" s="137"/>
      <c r="BQ111" s="137"/>
      <c r="BR111" s="137"/>
      <c r="BS111" s="137"/>
      <c r="BT111" s="137"/>
      <c r="BU111" s="137">
        <f>BU63-BU72</f>
        <v>-20994359.665999997</v>
      </c>
      <c r="BV111" s="137"/>
      <c r="BW111" s="137"/>
      <c r="BX111" s="137"/>
      <c r="BY111" s="137"/>
      <c r="BZ111" s="137"/>
      <c r="CA111" s="137"/>
      <c r="CB111" s="137">
        <f>CB63-CB72</f>
        <v>-20994359.665999997</v>
      </c>
      <c r="CC111" s="137"/>
      <c r="CD111" s="137"/>
      <c r="CE111" s="137"/>
      <c r="CF111" s="137"/>
      <c r="CG111" s="137"/>
      <c r="CH111" s="137"/>
      <c r="CI111" s="137">
        <f>CI63-CI72</f>
        <v>-20994359.665999997</v>
      </c>
      <c r="CJ111" s="137" t="e">
        <f>CJ60+#REF!-CJ68</f>
        <v>#REF!</v>
      </c>
      <c r="CK111" s="137" t="e">
        <f>CK60+#REF!-CK68</f>
        <v>#REF!</v>
      </c>
      <c r="CL111" s="137" t="e">
        <f>CL60+#REF!-CL68</f>
        <v>#REF!</v>
      </c>
      <c r="CM111" s="137" t="e">
        <f>CM60+#REF!-CM68</f>
        <v>#REF!</v>
      </c>
      <c r="CN111" s="137" t="e">
        <f>CN60+#REF!-CN68</f>
        <v>#REF!</v>
      </c>
      <c r="CO111" s="137" t="e">
        <f>CO60+#REF!-CO68</f>
        <v>#REF!</v>
      </c>
      <c r="CP111" s="137"/>
    </row>
    <row r="112" spans="2:94" x14ac:dyDescent="0.2">
      <c r="B112" s="105" t="s">
        <v>363</v>
      </c>
      <c r="D112" s="137"/>
      <c r="E112" s="137"/>
      <c r="F112" s="137"/>
      <c r="G112" s="137"/>
      <c r="H112" s="137"/>
      <c r="I112" s="137"/>
      <c r="J112" s="137">
        <f>J60+J61-J68</f>
        <v>0</v>
      </c>
      <c r="K112" s="137"/>
      <c r="L112" s="137"/>
      <c r="M112" s="137"/>
      <c r="N112" s="137"/>
      <c r="O112" s="137"/>
      <c r="P112" s="137"/>
      <c r="Q112" s="137">
        <f>Q60+Q61-Q68</f>
        <v>0</v>
      </c>
      <c r="R112" s="137"/>
      <c r="S112" s="137"/>
      <c r="T112" s="137"/>
      <c r="U112" s="137"/>
      <c r="V112" s="137"/>
      <c r="W112" s="137"/>
      <c r="X112" s="137">
        <f>X60+X61-X68</f>
        <v>0</v>
      </c>
      <c r="Y112" s="137"/>
      <c r="Z112" s="137"/>
      <c r="AA112" s="137"/>
      <c r="AB112" s="137"/>
      <c r="AC112" s="137"/>
      <c r="AD112" s="137"/>
      <c r="AE112" s="137">
        <f>AE60+AE61-AE68</f>
        <v>0</v>
      </c>
      <c r="AF112" s="137"/>
      <c r="AG112" s="137"/>
      <c r="AH112" s="137"/>
      <c r="AI112" s="137"/>
      <c r="AJ112" s="137"/>
      <c r="AK112" s="137"/>
      <c r="AL112" s="137">
        <f>AL60+AL61-AL68</f>
        <v>0</v>
      </c>
      <c r="AM112" s="137"/>
      <c r="AN112" s="137"/>
      <c r="AO112" s="137"/>
      <c r="AP112" s="137"/>
      <c r="AQ112" s="137"/>
      <c r="AR112" s="137"/>
      <c r="AS112" s="137">
        <f>AS60+AS61-AS68</f>
        <v>0</v>
      </c>
      <c r="AT112" s="137"/>
      <c r="AU112" s="137"/>
      <c r="AV112" s="137"/>
      <c r="AW112" s="137"/>
      <c r="AX112" s="137"/>
      <c r="AY112" s="137"/>
      <c r="AZ112" s="137">
        <f>AZ60+AZ61-AZ68</f>
        <v>0</v>
      </c>
      <c r="BA112" s="137"/>
      <c r="BB112" s="137"/>
      <c r="BC112" s="137"/>
      <c r="BD112" s="137"/>
      <c r="BE112" s="137"/>
      <c r="BF112" s="137"/>
      <c r="BG112" s="137">
        <f>BG60+BG61-BG68</f>
        <v>0</v>
      </c>
      <c r="BH112" s="137"/>
      <c r="BI112" s="137"/>
      <c r="BJ112" s="137"/>
      <c r="BK112" s="137"/>
      <c r="BL112" s="137"/>
      <c r="BM112" s="137"/>
      <c r="BN112" s="137">
        <f>BN60+BN61-BN68</f>
        <v>0</v>
      </c>
      <c r="BO112" s="137"/>
      <c r="BP112" s="137"/>
      <c r="BQ112" s="137"/>
      <c r="BR112" s="137"/>
      <c r="BS112" s="137"/>
      <c r="BT112" s="137"/>
      <c r="BU112" s="137">
        <f>BU60+BU61-BU68</f>
        <v>0</v>
      </c>
      <c r="BV112" s="137"/>
      <c r="BW112" s="137"/>
      <c r="BX112" s="137"/>
      <c r="BY112" s="137"/>
      <c r="BZ112" s="137"/>
      <c r="CA112" s="137"/>
      <c r="CB112" s="137">
        <f>CB60+CB61-CB68</f>
        <v>0</v>
      </c>
      <c r="CC112" s="137"/>
      <c r="CD112" s="137"/>
      <c r="CE112" s="137"/>
      <c r="CF112" s="137"/>
      <c r="CG112" s="137"/>
      <c r="CH112" s="137"/>
      <c r="CI112" s="137">
        <f>CI60+CI61-CI68</f>
        <v>0</v>
      </c>
    </row>
    <row r="114" spans="2:94" ht="16" x14ac:dyDescent="0.2">
      <c r="B114" s="183" t="s">
        <v>364</v>
      </c>
      <c r="C114" s="214"/>
      <c r="CJ114" s="165">
        <f t="shared" ref="CJ114:CO114" si="54">CJ60*365/CJ6</f>
        <v>0</v>
      </c>
      <c r="CK114" s="165">
        <f t="shared" si="54"/>
        <v>0</v>
      </c>
      <c r="CL114" s="165">
        <f t="shared" si="54"/>
        <v>0</v>
      </c>
      <c r="CM114" s="165">
        <f t="shared" si="54"/>
        <v>0</v>
      </c>
      <c r="CN114" s="165">
        <f t="shared" si="54"/>
        <v>0</v>
      </c>
      <c r="CO114" s="165">
        <f t="shared" si="54"/>
        <v>0</v>
      </c>
      <c r="CP114" s="165"/>
    </row>
    <row r="115" spans="2:94" x14ac:dyDescent="0.2">
      <c r="B115" s="105" t="s">
        <v>440</v>
      </c>
      <c r="D115" s="165"/>
      <c r="E115" s="165"/>
      <c r="F115" s="165"/>
      <c r="G115" s="165"/>
      <c r="H115" s="165"/>
      <c r="I115" s="165"/>
      <c r="J115" s="165">
        <f>J60*365/J6</f>
        <v>0</v>
      </c>
      <c r="K115" s="165"/>
      <c r="L115" s="165"/>
      <c r="M115" s="165"/>
      <c r="N115" s="165"/>
      <c r="O115" s="165"/>
      <c r="P115" s="165"/>
      <c r="Q115" s="165">
        <f>Q60*365/Q6</f>
        <v>0</v>
      </c>
      <c r="R115" s="165"/>
      <c r="S115" s="165"/>
      <c r="T115" s="165"/>
      <c r="U115" s="165"/>
      <c r="V115" s="165"/>
      <c r="W115" s="165"/>
      <c r="X115" s="165" t="e">
        <f>X60*365/X6</f>
        <v>#DIV/0!</v>
      </c>
      <c r="Y115" s="165"/>
      <c r="Z115" s="165"/>
      <c r="AA115" s="165"/>
      <c r="AB115" s="165"/>
      <c r="AC115" s="165"/>
      <c r="AD115" s="165"/>
      <c r="AE115" s="165" t="e">
        <f>AE60*365/AE6</f>
        <v>#DIV/0!</v>
      </c>
      <c r="AF115" s="165"/>
      <c r="AG115" s="165"/>
      <c r="AH115" s="165"/>
      <c r="AI115" s="165"/>
      <c r="AJ115" s="165"/>
      <c r="AK115" s="165"/>
      <c r="AL115" s="165" t="e">
        <f>AL60*365/AL6</f>
        <v>#DIV/0!</v>
      </c>
      <c r="AM115" s="165"/>
      <c r="AN115" s="165"/>
      <c r="AO115" s="165"/>
      <c r="AP115" s="165"/>
      <c r="AQ115" s="165"/>
      <c r="AR115" s="165"/>
      <c r="AS115" s="165" t="e">
        <f>AS60*365/AS6</f>
        <v>#DIV/0!</v>
      </c>
      <c r="AT115" s="165"/>
      <c r="AU115" s="165"/>
      <c r="AV115" s="165"/>
      <c r="AW115" s="165"/>
      <c r="AX115" s="165"/>
      <c r="AY115" s="165"/>
      <c r="AZ115" s="165" t="e">
        <f>AZ60*365/AZ6</f>
        <v>#DIV/0!</v>
      </c>
      <c r="BA115" s="165"/>
      <c r="BB115" s="165"/>
      <c r="BC115" s="165"/>
      <c r="BD115" s="165"/>
      <c r="BE115" s="165"/>
      <c r="BF115" s="165"/>
      <c r="BG115" s="165" t="e">
        <f>BG60*365/BG6</f>
        <v>#DIV/0!</v>
      </c>
      <c r="BH115" s="165"/>
      <c r="BI115" s="165"/>
      <c r="BJ115" s="165"/>
      <c r="BK115" s="165"/>
      <c r="BL115" s="165"/>
      <c r="BM115" s="165"/>
      <c r="BN115" s="165" t="e">
        <f>BN60*365/BN6</f>
        <v>#DIV/0!</v>
      </c>
      <c r="BO115" s="165"/>
      <c r="BP115" s="165"/>
      <c r="BQ115" s="165"/>
      <c r="BR115" s="165"/>
      <c r="BS115" s="165"/>
      <c r="BT115" s="165"/>
      <c r="BU115" s="165" t="e">
        <f>BU60*365/BU6</f>
        <v>#DIV/0!</v>
      </c>
      <c r="BV115" s="165"/>
      <c r="BW115" s="165"/>
      <c r="BX115" s="165"/>
      <c r="BY115" s="165"/>
      <c r="BZ115" s="165"/>
      <c r="CA115" s="165"/>
      <c r="CB115" s="165" t="e">
        <f>CB60*365/CB6</f>
        <v>#DIV/0!</v>
      </c>
      <c r="CC115" s="165"/>
      <c r="CD115" s="165"/>
      <c r="CE115" s="165"/>
      <c r="CF115" s="165"/>
      <c r="CG115" s="165"/>
      <c r="CH115" s="165"/>
      <c r="CI115" s="165" t="e">
        <f>CI60*365/CI6</f>
        <v>#DIV/0!</v>
      </c>
      <c r="CJ115" s="165" t="e">
        <f>#REF!*365/CJ7</f>
        <v>#REF!</v>
      </c>
      <c r="CK115" s="165" t="e">
        <f>#REF!*365/CK7</f>
        <v>#REF!</v>
      </c>
      <c r="CL115" s="165" t="e">
        <f>#REF!*365/CL7</f>
        <v>#REF!</v>
      </c>
      <c r="CM115" s="165" t="e">
        <f>#REF!*365/CM7</f>
        <v>#REF!</v>
      </c>
      <c r="CN115" s="165" t="e">
        <f>#REF!*365/CN7</f>
        <v>#REF!</v>
      </c>
      <c r="CO115" s="165" t="e">
        <f>#REF!*365/CO7</f>
        <v>#REF!</v>
      </c>
      <c r="CP115" s="165"/>
    </row>
    <row r="116" spans="2:94" x14ac:dyDescent="0.2">
      <c r="B116" s="105" t="s">
        <v>441</v>
      </c>
      <c r="D116" s="165"/>
      <c r="E116" s="165"/>
      <c r="F116" s="165"/>
      <c r="G116" s="165"/>
      <c r="H116" s="165"/>
      <c r="I116" s="165"/>
      <c r="J116" s="105" t="e">
        <f>J61*365/J7</f>
        <v>#DIV/0!</v>
      </c>
      <c r="K116" s="165"/>
      <c r="L116" s="165"/>
      <c r="M116" s="165"/>
      <c r="N116" s="165"/>
      <c r="O116" s="165"/>
      <c r="P116" s="165"/>
      <c r="Q116" s="165" t="e">
        <f>Q61*365/Q7</f>
        <v>#DIV/0!</v>
      </c>
      <c r="R116" s="165"/>
      <c r="S116" s="165"/>
      <c r="T116" s="165"/>
      <c r="U116" s="165"/>
      <c r="V116" s="165"/>
      <c r="W116" s="165"/>
      <c r="X116" s="165" t="e">
        <f>X61*365/X7</f>
        <v>#DIV/0!</v>
      </c>
      <c r="Y116" s="165"/>
      <c r="Z116" s="165"/>
      <c r="AA116" s="165"/>
      <c r="AB116" s="165"/>
      <c r="AC116" s="165"/>
      <c r="AD116" s="165"/>
      <c r="AE116" s="165" t="e">
        <f>AE61*365/AE7</f>
        <v>#DIV/0!</v>
      </c>
      <c r="AF116" s="165"/>
      <c r="AG116" s="165"/>
      <c r="AH116" s="165"/>
      <c r="AI116" s="165"/>
      <c r="AJ116" s="165"/>
      <c r="AK116" s="165"/>
      <c r="AL116" s="165" t="e">
        <f>AL61*365/AL7</f>
        <v>#DIV/0!</v>
      </c>
      <c r="AM116" s="165"/>
      <c r="AN116" s="165"/>
      <c r="AO116" s="165"/>
      <c r="AP116" s="165"/>
      <c r="AQ116" s="165"/>
      <c r="AR116" s="165"/>
      <c r="AS116" s="165" t="e">
        <f>AS61*365/AS7</f>
        <v>#DIV/0!</v>
      </c>
      <c r="AT116" s="165"/>
      <c r="AU116" s="165"/>
      <c r="AV116" s="165"/>
      <c r="AW116" s="165"/>
      <c r="AX116" s="165"/>
      <c r="AY116" s="165"/>
      <c r="AZ116" s="165" t="e">
        <f>AZ61*365/AZ7</f>
        <v>#DIV/0!</v>
      </c>
      <c r="BA116" s="165"/>
      <c r="BB116" s="165"/>
      <c r="BC116" s="165"/>
      <c r="BD116" s="165"/>
      <c r="BE116" s="165"/>
      <c r="BF116" s="165"/>
      <c r="BG116" s="165" t="e">
        <f>BG61*365/BG7</f>
        <v>#DIV/0!</v>
      </c>
      <c r="BH116" s="165"/>
      <c r="BI116" s="165"/>
      <c r="BJ116" s="165"/>
      <c r="BK116" s="165"/>
      <c r="BL116" s="165"/>
      <c r="BM116" s="165"/>
      <c r="BN116" s="165" t="e">
        <f>BN61*365/BN7</f>
        <v>#DIV/0!</v>
      </c>
      <c r="BO116" s="165"/>
      <c r="BP116" s="165"/>
      <c r="BQ116" s="165"/>
      <c r="BR116" s="165"/>
      <c r="BS116" s="165"/>
      <c r="BT116" s="165"/>
      <c r="BU116" s="165" t="e">
        <f>BU61*365/BU7</f>
        <v>#DIV/0!</v>
      </c>
      <c r="BV116" s="165"/>
      <c r="BW116" s="165"/>
      <c r="BX116" s="165"/>
      <c r="BY116" s="165"/>
      <c r="BZ116" s="165"/>
      <c r="CA116" s="165"/>
      <c r="CB116" s="165" t="e">
        <f>CB61*365/CB7</f>
        <v>#DIV/0!</v>
      </c>
      <c r="CC116" s="165"/>
      <c r="CD116" s="165"/>
      <c r="CE116" s="165"/>
      <c r="CF116" s="165"/>
      <c r="CG116" s="165"/>
      <c r="CH116" s="165"/>
      <c r="CI116" s="165" t="e">
        <f>CI61*365/CI7</f>
        <v>#DIV/0!</v>
      </c>
      <c r="CJ116" s="165" t="e">
        <f t="shared" ref="CJ116:CO116" si="55">CJ68*365/CJ7</f>
        <v>#DIV/0!</v>
      </c>
      <c r="CK116" s="165" t="e">
        <f t="shared" si="55"/>
        <v>#DIV/0!</v>
      </c>
      <c r="CL116" s="165" t="e">
        <f t="shared" si="55"/>
        <v>#DIV/0!</v>
      </c>
      <c r="CM116" s="165" t="e">
        <f t="shared" si="55"/>
        <v>#DIV/0!</v>
      </c>
      <c r="CN116" s="165" t="e">
        <f t="shared" si="55"/>
        <v>#DIV/0!</v>
      </c>
      <c r="CO116" s="165" t="e">
        <f t="shared" si="55"/>
        <v>#DIV/0!</v>
      </c>
      <c r="CP116" s="165"/>
    </row>
    <row r="117" spans="2:94" x14ac:dyDescent="0.2">
      <c r="B117" s="105" t="s">
        <v>442</v>
      </c>
      <c r="D117" s="165"/>
      <c r="E117" s="165"/>
      <c r="F117" s="165"/>
      <c r="G117" s="165"/>
      <c r="H117" s="165"/>
      <c r="I117" s="165"/>
      <c r="J117" s="165" t="e">
        <f>J68*365/J7</f>
        <v>#DIV/0!</v>
      </c>
      <c r="K117" s="165"/>
      <c r="L117" s="165"/>
      <c r="M117" s="165"/>
      <c r="N117" s="165"/>
      <c r="O117" s="165"/>
      <c r="P117" s="165"/>
      <c r="Q117" s="165" t="e">
        <f>Q68*365/Q7</f>
        <v>#DIV/0!</v>
      </c>
      <c r="R117" s="165"/>
      <c r="S117" s="165"/>
      <c r="T117" s="165"/>
      <c r="U117" s="165"/>
      <c r="V117" s="165"/>
      <c r="W117" s="165"/>
      <c r="X117" s="165" t="e">
        <f>X68*365/X7</f>
        <v>#DIV/0!</v>
      </c>
      <c r="Y117" s="165"/>
      <c r="Z117" s="165"/>
      <c r="AA117" s="165"/>
      <c r="AB117" s="165"/>
      <c r="AC117" s="165"/>
      <c r="AD117" s="165"/>
      <c r="AE117" s="165" t="e">
        <f>AE68*365/AE7</f>
        <v>#DIV/0!</v>
      </c>
      <c r="AF117" s="165"/>
      <c r="AG117" s="165"/>
      <c r="AH117" s="165"/>
      <c r="AI117" s="165"/>
      <c r="AJ117" s="165"/>
      <c r="AK117" s="165"/>
      <c r="AL117" s="165" t="e">
        <f>AL68*365/AL7</f>
        <v>#DIV/0!</v>
      </c>
      <c r="AM117" s="165"/>
      <c r="AN117" s="165"/>
      <c r="AO117" s="165"/>
      <c r="AP117" s="165"/>
      <c r="AQ117" s="165"/>
      <c r="AR117" s="165"/>
      <c r="AS117" s="165" t="e">
        <f>AS68*365/AS7</f>
        <v>#DIV/0!</v>
      </c>
      <c r="AT117" s="165"/>
      <c r="AU117" s="165"/>
      <c r="AV117" s="165"/>
      <c r="AW117" s="165"/>
      <c r="AX117" s="165"/>
      <c r="AY117" s="165"/>
      <c r="AZ117" s="165" t="e">
        <f>AZ68*365/AZ7</f>
        <v>#DIV/0!</v>
      </c>
      <c r="BA117" s="165"/>
      <c r="BB117" s="165"/>
      <c r="BC117" s="165"/>
      <c r="BD117" s="165"/>
      <c r="BE117" s="165"/>
      <c r="BF117" s="165"/>
      <c r="BG117" s="165" t="e">
        <f>BG68*365/BG7</f>
        <v>#DIV/0!</v>
      </c>
      <c r="BH117" s="165"/>
      <c r="BI117" s="165"/>
      <c r="BJ117" s="165"/>
      <c r="BK117" s="165"/>
      <c r="BL117" s="165"/>
      <c r="BM117" s="165"/>
      <c r="BN117" s="165" t="e">
        <f>BN68*365/BN7</f>
        <v>#DIV/0!</v>
      </c>
      <c r="BO117" s="165"/>
      <c r="BP117" s="165"/>
      <c r="BQ117" s="165"/>
      <c r="BR117" s="165"/>
      <c r="BS117" s="165"/>
      <c r="BT117" s="165"/>
      <c r="BU117" s="165" t="e">
        <f>BU68*365/BU7</f>
        <v>#DIV/0!</v>
      </c>
      <c r="BV117" s="165"/>
      <c r="BW117" s="165"/>
      <c r="BX117" s="165"/>
      <c r="BY117" s="165"/>
      <c r="BZ117" s="165"/>
      <c r="CA117" s="165"/>
      <c r="CB117" s="165" t="e">
        <f>CB68*365/CB7</f>
        <v>#DIV/0!</v>
      </c>
      <c r="CC117" s="165"/>
      <c r="CD117" s="165"/>
      <c r="CE117" s="165"/>
      <c r="CF117" s="165"/>
      <c r="CG117" s="165"/>
      <c r="CH117" s="165"/>
      <c r="CI117" s="165" t="e">
        <f>CI68*365/CI7</f>
        <v>#DIV/0!</v>
      </c>
      <c r="CJ117" s="165" t="e">
        <f t="shared" ref="CJ117:CO117" si="56">CJ114+CJ115-CJ116</f>
        <v>#REF!</v>
      </c>
      <c r="CK117" s="165" t="e">
        <f t="shared" si="56"/>
        <v>#REF!</v>
      </c>
      <c r="CL117" s="165" t="e">
        <f t="shared" si="56"/>
        <v>#REF!</v>
      </c>
      <c r="CM117" s="165" t="e">
        <f t="shared" si="56"/>
        <v>#REF!</v>
      </c>
      <c r="CN117" s="165" t="e">
        <f t="shared" si="56"/>
        <v>#REF!</v>
      </c>
      <c r="CO117" s="165" t="e">
        <f t="shared" si="56"/>
        <v>#REF!</v>
      </c>
      <c r="CP117" s="165"/>
    </row>
    <row r="118" spans="2:94" x14ac:dyDescent="0.2">
      <c r="B118" s="105" t="s">
        <v>365</v>
      </c>
      <c r="D118" s="165"/>
      <c r="E118" s="165"/>
      <c r="F118" s="165"/>
      <c r="G118" s="165"/>
      <c r="H118" s="165"/>
      <c r="I118" s="165"/>
      <c r="J118" s="165" t="e">
        <f>J115+J116-J117</f>
        <v>#DIV/0!</v>
      </c>
      <c r="K118" s="165"/>
      <c r="L118" s="165"/>
      <c r="M118" s="165"/>
      <c r="N118" s="165"/>
      <c r="O118" s="165"/>
      <c r="P118" s="165"/>
      <c r="Q118" s="165" t="e">
        <f>Q115+Q116-Q117</f>
        <v>#DIV/0!</v>
      </c>
      <c r="R118" s="165"/>
      <c r="S118" s="165"/>
      <c r="T118" s="165"/>
      <c r="U118" s="165"/>
      <c r="V118" s="165"/>
      <c r="W118" s="165"/>
      <c r="X118" s="165" t="e">
        <f>X115+X116-X117</f>
        <v>#DIV/0!</v>
      </c>
      <c r="Y118" s="165"/>
      <c r="Z118" s="165"/>
      <c r="AA118" s="165"/>
      <c r="AB118" s="165"/>
      <c r="AC118" s="165"/>
      <c r="AD118" s="165"/>
      <c r="AE118" s="165" t="e">
        <f>AE115+AE116-AE117</f>
        <v>#DIV/0!</v>
      </c>
      <c r="AF118" s="165"/>
      <c r="AG118" s="165"/>
      <c r="AH118" s="165"/>
      <c r="AI118" s="165"/>
      <c r="AJ118" s="165"/>
      <c r="AK118" s="165"/>
      <c r="AL118" s="165" t="e">
        <f>AL115+AL116-AL117</f>
        <v>#DIV/0!</v>
      </c>
      <c r="AM118" s="165"/>
      <c r="AN118" s="165"/>
      <c r="AO118" s="165"/>
      <c r="AP118" s="165"/>
      <c r="AQ118" s="165"/>
      <c r="AR118" s="165"/>
      <c r="AS118" s="165" t="e">
        <f>AS115+AS116-AS117</f>
        <v>#DIV/0!</v>
      </c>
      <c r="AT118" s="165"/>
      <c r="AU118" s="165"/>
      <c r="AV118" s="165"/>
      <c r="AW118" s="165"/>
      <c r="AX118" s="165"/>
      <c r="AY118" s="165"/>
      <c r="AZ118" s="165" t="e">
        <f>AZ115+AZ116-AZ117</f>
        <v>#DIV/0!</v>
      </c>
      <c r="BA118" s="165"/>
      <c r="BB118" s="165"/>
      <c r="BC118" s="165"/>
      <c r="BD118" s="165"/>
      <c r="BE118" s="165"/>
      <c r="BF118" s="165"/>
      <c r="BG118" s="165" t="e">
        <f>BG115+BG116-BG117</f>
        <v>#DIV/0!</v>
      </c>
      <c r="BH118" s="165"/>
      <c r="BI118" s="165"/>
      <c r="BJ118" s="165"/>
      <c r="BK118" s="165"/>
      <c r="BL118" s="165"/>
      <c r="BM118" s="165"/>
      <c r="BN118" s="165" t="e">
        <f>BN115+BN116-BN117</f>
        <v>#DIV/0!</v>
      </c>
      <c r="BO118" s="165"/>
      <c r="BP118" s="165"/>
      <c r="BQ118" s="165"/>
      <c r="BR118" s="165"/>
      <c r="BS118" s="165"/>
      <c r="BT118" s="165"/>
      <c r="BU118" s="165" t="e">
        <f>BU115+BU116-BU117</f>
        <v>#DIV/0!</v>
      </c>
      <c r="BV118" s="165"/>
      <c r="BW118" s="165"/>
      <c r="BX118" s="165"/>
      <c r="BY118" s="165"/>
      <c r="BZ118" s="165"/>
      <c r="CA118" s="165"/>
      <c r="CB118" s="165" t="e">
        <f>CB115+CB116-CB117</f>
        <v>#DIV/0!</v>
      </c>
      <c r="CC118" s="165"/>
      <c r="CD118" s="165"/>
      <c r="CE118" s="165"/>
      <c r="CF118" s="165"/>
      <c r="CG118" s="165"/>
      <c r="CH118" s="165"/>
      <c r="CI118" s="165" t="e">
        <f>CI115+CI116-CI117</f>
        <v>#DIV/0!</v>
      </c>
    </row>
    <row r="120" spans="2:94" ht="16" x14ac:dyDescent="0.2">
      <c r="B120" s="183" t="s">
        <v>366</v>
      </c>
      <c r="C120" s="214"/>
      <c r="CJ120" s="166">
        <f t="shared" ref="CJ120:CO120" si="57">CJ8/CJ6</f>
        <v>1</v>
      </c>
      <c r="CK120" s="166">
        <f t="shared" si="57"/>
        <v>1</v>
      </c>
      <c r="CL120" s="166">
        <f t="shared" si="57"/>
        <v>1</v>
      </c>
      <c r="CM120" s="166">
        <f t="shared" si="57"/>
        <v>1</v>
      </c>
      <c r="CN120" s="166">
        <f t="shared" si="57"/>
        <v>1</v>
      </c>
      <c r="CO120" s="166">
        <f t="shared" si="57"/>
        <v>1</v>
      </c>
      <c r="CP120" s="166"/>
    </row>
    <row r="121" spans="2:94" x14ac:dyDescent="0.2">
      <c r="B121" s="105" t="s">
        <v>367</v>
      </c>
      <c r="D121" s="166"/>
      <c r="E121" s="166"/>
      <c r="F121" s="166"/>
      <c r="G121" s="166"/>
      <c r="H121" s="166"/>
      <c r="I121" s="166"/>
      <c r="J121" s="166">
        <f>J8/J6</f>
        <v>1</v>
      </c>
      <c r="K121" s="166"/>
      <c r="L121" s="166"/>
      <c r="M121" s="166"/>
      <c r="N121" s="166"/>
      <c r="O121" s="166"/>
      <c r="P121" s="166"/>
      <c r="Q121" s="166">
        <f>Q8/Q6</f>
        <v>1</v>
      </c>
      <c r="R121" s="166"/>
      <c r="S121" s="166"/>
      <c r="T121" s="166"/>
      <c r="U121" s="166"/>
      <c r="V121" s="166"/>
      <c r="W121" s="166"/>
      <c r="X121" s="166" t="e">
        <f>X8/X6</f>
        <v>#DIV/0!</v>
      </c>
      <c r="Y121" s="166"/>
      <c r="Z121" s="166"/>
      <c r="AA121" s="166"/>
      <c r="AB121" s="166"/>
      <c r="AC121" s="166"/>
      <c r="AD121" s="166"/>
      <c r="AE121" s="166" t="e">
        <f>AE8/AE6</f>
        <v>#DIV/0!</v>
      </c>
      <c r="AF121" s="166"/>
      <c r="AG121" s="166"/>
      <c r="AH121" s="166"/>
      <c r="AI121" s="166"/>
      <c r="AJ121" s="166"/>
      <c r="AK121" s="166"/>
      <c r="AL121" s="166" t="e">
        <f>AL8/AL6</f>
        <v>#DIV/0!</v>
      </c>
      <c r="AM121" s="166"/>
      <c r="AN121" s="166"/>
      <c r="AO121" s="166"/>
      <c r="AP121" s="166"/>
      <c r="AQ121" s="166"/>
      <c r="AR121" s="166"/>
      <c r="AS121" s="166" t="e">
        <f>AS8/AS6</f>
        <v>#DIV/0!</v>
      </c>
      <c r="AT121" s="166"/>
      <c r="AU121" s="166"/>
      <c r="AV121" s="166"/>
      <c r="AW121" s="166"/>
      <c r="AX121" s="166"/>
      <c r="AY121" s="166"/>
      <c r="AZ121" s="166" t="e">
        <f>AZ8/AZ6</f>
        <v>#DIV/0!</v>
      </c>
      <c r="BA121" s="166"/>
      <c r="BB121" s="166"/>
      <c r="BC121" s="166"/>
      <c r="BD121" s="166"/>
      <c r="BE121" s="166"/>
      <c r="BF121" s="166"/>
      <c r="BG121" s="166" t="e">
        <f>BG8/BG6</f>
        <v>#DIV/0!</v>
      </c>
      <c r="BH121" s="166"/>
      <c r="BI121" s="166"/>
      <c r="BJ121" s="166"/>
      <c r="BK121" s="166"/>
      <c r="BL121" s="166"/>
      <c r="BM121" s="166"/>
      <c r="BN121" s="166" t="e">
        <f>BN8/BN6</f>
        <v>#DIV/0!</v>
      </c>
      <c r="BO121" s="166"/>
      <c r="BP121" s="166"/>
      <c r="BQ121" s="166"/>
      <c r="BR121" s="166"/>
      <c r="BS121" s="166"/>
      <c r="BT121" s="166"/>
      <c r="BU121" s="166" t="e">
        <f>BU8/BU6</f>
        <v>#DIV/0!</v>
      </c>
      <c r="BV121" s="166"/>
      <c r="BW121" s="166"/>
      <c r="BX121" s="166"/>
      <c r="BY121" s="166"/>
      <c r="BZ121" s="166"/>
      <c r="CA121" s="166"/>
      <c r="CB121" s="166" t="e">
        <f>CB8/CB6</f>
        <v>#DIV/0!</v>
      </c>
      <c r="CC121" s="166"/>
      <c r="CD121" s="166"/>
      <c r="CE121" s="166"/>
      <c r="CF121" s="166"/>
      <c r="CG121" s="166"/>
      <c r="CH121" s="166"/>
      <c r="CI121" s="166" t="e">
        <f>CI8/CI6</f>
        <v>#DIV/0!</v>
      </c>
      <c r="CJ121" s="166" t="e">
        <f>#REF!/CJ6</f>
        <v>#REF!</v>
      </c>
      <c r="CK121" s="166">
        <f>CJ16/CK6</f>
        <v>9.5142375897794441E-3</v>
      </c>
      <c r="CL121" s="166">
        <f>CL16/CL6</f>
        <v>7.0243092105263152E-2</v>
      </c>
      <c r="CM121" s="166" t="e">
        <f>#REF!/CM6</f>
        <v>#REF!</v>
      </c>
      <c r="CN121" s="166">
        <f>CM16/CN6</f>
        <v>7.8917784256559764E-2</v>
      </c>
      <c r="CO121" s="166">
        <f>CO16/CO6</f>
        <v>1</v>
      </c>
      <c r="CP121" s="166"/>
    </row>
    <row r="122" spans="2:94" x14ac:dyDescent="0.2">
      <c r="B122" s="105" t="s">
        <v>443</v>
      </c>
      <c r="D122" s="166"/>
      <c r="E122" s="166"/>
      <c r="F122" s="166"/>
      <c r="G122" s="166"/>
      <c r="H122" s="166"/>
      <c r="I122" s="166"/>
      <c r="J122" s="166">
        <f>J16/J6</f>
        <v>0.90178223036891891</v>
      </c>
      <c r="K122" s="166"/>
      <c r="L122" s="166"/>
      <c r="M122" s="166"/>
      <c r="N122" s="166"/>
      <c r="O122" s="166"/>
      <c r="P122" s="166"/>
      <c r="Q122" s="166">
        <f>Q16/Q6</f>
        <v>-0.86286191467544981</v>
      </c>
      <c r="R122" s="166"/>
      <c r="S122" s="166"/>
      <c r="T122" s="166"/>
      <c r="U122" s="166"/>
      <c r="V122" s="166"/>
      <c r="W122" s="166"/>
      <c r="X122" s="166" t="e">
        <f>X16/X6</f>
        <v>#DIV/0!</v>
      </c>
      <c r="Y122" s="166"/>
      <c r="Z122" s="166"/>
      <c r="AA122" s="166"/>
      <c r="AB122" s="166"/>
      <c r="AC122" s="166"/>
      <c r="AD122" s="166"/>
      <c r="AE122" s="166" t="e">
        <f>AE16/AE6</f>
        <v>#DIV/0!</v>
      </c>
      <c r="AF122" s="166"/>
      <c r="AG122" s="166"/>
      <c r="AH122" s="166"/>
      <c r="AI122" s="166"/>
      <c r="AJ122" s="166"/>
      <c r="AK122" s="166"/>
      <c r="AL122" s="166" t="e">
        <f>AL16/AL6</f>
        <v>#DIV/0!</v>
      </c>
      <c r="AM122" s="166"/>
      <c r="AN122" s="166"/>
      <c r="AO122" s="166"/>
      <c r="AP122" s="166"/>
      <c r="AQ122" s="166"/>
      <c r="AR122" s="166"/>
      <c r="AS122" s="166" t="e">
        <f>AS16/AS6</f>
        <v>#DIV/0!</v>
      </c>
      <c r="AT122" s="166"/>
      <c r="AU122" s="166"/>
      <c r="AV122" s="166"/>
      <c r="AW122" s="166"/>
      <c r="AX122" s="166"/>
      <c r="AY122" s="166"/>
      <c r="AZ122" s="166" t="e">
        <f>AZ16/AZ6</f>
        <v>#DIV/0!</v>
      </c>
      <c r="BA122" s="166"/>
      <c r="BB122" s="166"/>
      <c r="BC122" s="166"/>
      <c r="BD122" s="166"/>
      <c r="BE122" s="166"/>
      <c r="BF122" s="166"/>
      <c r="BG122" s="166" t="e">
        <f>BG16/BG6</f>
        <v>#DIV/0!</v>
      </c>
      <c r="BH122" s="166"/>
      <c r="BI122" s="166"/>
      <c r="BJ122" s="166"/>
      <c r="BK122" s="166"/>
      <c r="BL122" s="166"/>
      <c r="BM122" s="166"/>
      <c r="BN122" s="166" t="e">
        <f>BN16/BN6</f>
        <v>#DIV/0!</v>
      </c>
      <c r="BO122" s="166"/>
      <c r="BP122" s="166"/>
      <c r="BQ122" s="166"/>
      <c r="BR122" s="166"/>
      <c r="BS122" s="166"/>
      <c r="BT122" s="166"/>
      <c r="BU122" s="166" t="e">
        <f>BU16/BU6</f>
        <v>#DIV/0!</v>
      </c>
      <c r="BV122" s="166"/>
      <c r="BW122" s="166"/>
      <c r="BX122" s="166"/>
      <c r="BY122" s="166"/>
      <c r="BZ122" s="166"/>
      <c r="CA122" s="166"/>
      <c r="CB122" s="166" t="e">
        <f>CB16/CB6</f>
        <v>#DIV/0!</v>
      </c>
      <c r="CC122" s="166"/>
      <c r="CD122" s="166"/>
      <c r="CE122" s="166"/>
      <c r="CF122" s="166"/>
      <c r="CG122" s="166"/>
      <c r="CH122" s="166"/>
      <c r="CI122" s="166" t="e">
        <f>CI16/CI6</f>
        <v>#DIV/0!</v>
      </c>
      <c r="CJ122" s="168" t="e">
        <f>#REF!+CJ14</f>
        <v>#REF!</v>
      </c>
      <c r="CK122" s="169">
        <f>CJ16+CK14</f>
        <v>59875</v>
      </c>
      <c r="CL122" s="169">
        <f>CL16+CL14</f>
        <v>213539</v>
      </c>
      <c r="CM122" s="168" t="e">
        <f>#REF!+CM14</f>
        <v>#REF!</v>
      </c>
      <c r="CN122" s="169">
        <f>CM16+CN14</f>
        <v>135344</v>
      </c>
      <c r="CO122" s="169">
        <f>CO16+CO14</f>
        <v>881000</v>
      </c>
      <c r="CP122" s="168"/>
    </row>
    <row r="123" spans="2:94" x14ac:dyDescent="0.2">
      <c r="B123" s="105" t="s">
        <v>368</v>
      </c>
      <c r="D123" s="168"/>
      <c r="E123" s="169"/>
      <c r="F123" s="169"/>
      <c r="G123" s="168"/>
      <c r="H123" s="169"/>
      <c r="I123" s="169"/>
      <c r="J123" s="168">
        <f>J16+J15</f>
        <v>8560258</v>
      </c>
      <c r="K123" s="169"/>
      <c r="L123" s="169"/>
      <c r="M123" s="168"/>
      <c r="N123" s="169"/>
      <c r="O123" s="169"/>
      <c r="P123" s="168"/>
      <c r="Q123" s="168">
        <f>Q16+Q15</f>
        <v>-5553897</v>
      </c>
      <c r="R123" s="169"/>
      <c r="S123" s="168"/>
      <c r="T123" s="169"/>
      <c r="U123" s="169"/>
      <c r="V123" s="168"/>
      <c r="W123" s="169"/>
      <c r="X123" s="168">
        <f>X16+X15</f>
        <v>0</v>
      </c>
      <c r="Y123" s="168"/>
      <c r="Z123" s="169"/>
      <c r="AA123" s="169"/>
      <c r="AB123" s="168"/>
      <c r="AC123" s="169"/>
      <c r="AD123" s="169"/>
      <c r="AE123" s="168">
        <f>AE16+AE15</f>
        <v>0</v>
      </c>
      <c r="AF123" s="169"/>
      <c r="AG123" s="169"/>
      <c r="AH123" s="168"/>
      <c r="AI123" s="169"/>
      <c r="AJ123" s="169"/>
      <c r="AK123" s="168"/>
      <c r="AL123" s="168">
        <f>AL16+AL15</f>
        <v>0</v>
      </c>
      <c r="AM123" s="169"/>
      <c r="AN123" s="168"/>
      <c r="AO123" s="169"/>
      <c r="AP123" s="169"/>
      <c r="AQ123" s="168"/>
      <c r="AR123" s="169"/>
      <c r="AS123" s="168">
        <f>AS16+AS15</f>
        <v>0</v>
      </c>
      <c r="AT123" s="168"/>
      <c r="AU123" s="169"/>
      <c r="AV123" s="169"/>
      <c r="AW123" s="168"/>
      <c r="AX123" s="169"/>
      <c r="AY123" s="169"/>
      <c r="AZ123" s="168">
        <f>AZ16+AZ15</f>
        <v>0</v>
      </c>
      <c r="BA123" s="169"/>
      <c r="BB123" s="169"/>
      <c r="BC123" s="168"/>
      <c r="BD123" s="169"/>
      <c r="BE123" s="169"/>
      <c r="BF123" s="168"/>
      <c r="BG123" s="168">
        <f>BG16+BG15</f>
        <v>0</v>
      </c>
      <c r="BH123" s="169"/>
      <c r="BI123" s="168"/>
      <c r="BJ123" s="169"/>
      <c r="BK123" s="169"/>
      <c r="BL123" s="168"/>
      <c r="BM123" s="169"/>
      <c r="BN123" s="168">
        <f>BN16+BN15</f>
        <v>0</v>
      </c>
      <c r="BO123" s="168"/>
      <c r="BP123" s="169"/>
      <c r="BQ123" s="169"/>
      <c r="BR123" s="168"/>
      <c r="BS123" s="169"/>
      <c r="BT123" s="169"/>
      <c r="BU123" s="168">
        <f>BU16+BU15</f>
        <v>0</v>
      </c>
      <c r="BV123" s="169"/>
      <c r="BW123" s="169"/>
      <c r="BX123" s="168"/>
      <c r="BY123" s="169"/>
      <c r="BZ123" s="169"/>
      <c r="CA123" s="168"/>
      <c r="CB123" s="168">
        <f>CB16+CB15</f>
        <v>0</v>
      </c>
      <c r="CC123" s="169"/>
      <c r="CD123" s="168"/>
      <c r="CE123" s="169"/>
      <c r="CF123" s="169"/>
      <c r="CG123" s="168"/>
      <c r="CH123" s="169"/>
      <c r="CI123" s="168">
        <f>CI16+CI15</f>
        <v>0</v>
      </c>
      <c r="CJ123" s="166" t="e">
        <f t="shared" ref="CJ123:CO123" si="58">CJ122/CJ6</f>
        <v>#REF!</v>
      </c>
      <c r="CK123" s="166">
        <f t="shared" si="58"/>
        <v>9.5142375897794441E-3</v>
      </c>
      <c r="CL123" s="166">
        <f t="shared" si="58"/>
        <v>7.0243092105263152E-2</v>
      </c>
      <c r="CM123" s="166" t="e">
        <f t="shared" si="58"/>
        <v>#REF!</v>
      </c>
      <c r="CN123" s="166">
        <f t="shared" si="58"/>
        <v>7.8917784256559764E-2</v>
      </c>
      <c r="CO123" s="166">
        <f t="shared" si="58"/>
        <v>1</v>
      </c>
      <c r="CP123" s="166"/>
    </row>
    <row r="124" spans="2:94" x14ac:dyDescent="0.2">
      <c r="B124" s="105" t="s">
        <v>369</v>
      </c>
      <c r="D124" s="166"/>
      <c r="E124" s="166"/>
      <c r="F124" s="166"/>
      <c r="G124" s="166"/>
      <c r="H124" s="166"/>
      <c r="I124" s="166"/>
      <c r="J124" s="166">
        <f>J123/J6</f>
        <v>0.90178223036891891</v>
      </c>
      <c r="K124" s="166"/>
      <c r="L124" s="166"/>
      <c r="M124" s="166"/>
      <c r="N124" s="166"/>
      <c r="O124" s="166"/>
      <c r="P124" s="166"/>
      <c r="Q124" s="166">
        <f>Q123/Q6</f>
        <v>-0.86286191467544981</v>
      </c>
      <c r="R124" s="166"/>
      <c r="S124" s="166"/>
      <c r="T124" s="166"/>
      <c r="U124" s="166"/>
      <c r="V124" s="166"/>
      <c r="W124" s="166"/>
      <c r="X124" s="166" t="e">
        <f>X123/X6</f>
        <v>#DIV/0!</v>
      </c>
      <c r="Y124" s="166"/>
      <c r="Z124" s="166"/>
      <c r="AA124" s="166"/>
      <c r="AB124" s="166"/>
      <c r="AC124" s="166"/>
      <c r="AD124" s="166"/>
      <c r="AE124" s="166" t="e">
        <f>AE123/AE6</f>
        <v>#DIV/0!</v>
      </c>
      <c r="AF124" s="166"/>
      <c r="AG124" s="166"/>
      <c r="AH124" s="166"/>
      <c r="AI124" s="166"/>
      <c r="AJ124" s="166"/>
      <c r="AK124" s="166"/>
      <c r="AL124" s="166" t="e">
        <f>AL123/AL6</f>
        <v>#DIV/0!</v>
      </c>
      <c r="AM124" s="166"/>
      <c r="AN124" s="166"/>
      <c r="AO124" s="166"/>
      <c r="AP124" s="166"/>
      <c r="AQ124" s="166"/>
      <c r="AR124" s="166"/>
      <c r="AS124" s="166" t="e">
        <f>AS123/AS6</f>
        <v>#DIV/0!</v>
      </c>
      <c r="AT124" s="166"/>
      <c r="AU124" s="166"/>
      <c r="AV124" s="166"/>
      <c r="AW124" s="166"/>
      <c r="AX124" s="166"/>
      <c r="AY124" s="166"/>
      <c r="AZ124" s="166" t="e">
        <f>AZ123/AZ6</f>
        <v>#DIV/0!</v>
      </c>
      <c r="BA124" s="166"/>
      <c r="BB124" s="166"/>
      <c r="BC124" s="166"/>
      <c r="BD124" s="166"/>
      <c r="BE124" s="166"/>
      <c r="BF124" s="166"/>
      <c r="BG124" s="166" t="e">
        <f>BG123/BG6</f>
        <v>#DIV/0!</v>
      </c>
      <c r="BH124" s="166"/>
      <c r="BI124" s="166"/>
      <c r="BJ124" s="166"/>
      <c r="BK124" s="166"/>
      <c r="BL124" s="166"/>
      <c r="BM124" s="166"/>
      <c r="BN124" s="166" t="e">
        <f>BN123/BN6</f>
        <v>#DIV/0!</v>
      </c>
      <c r="BO124" s="166"/>
      <c r="BP124" s="166"/>
      <c r="BQ124" s="166"/>
      <c r="BR124" s="166"/>
      <c r="BS124" s="166"/>
      <c r="BT124" s="166"/>
      <c r="BU124" s="166" t="e">
        <f>BU123/BU6</f>
        <v>#DIV/0!</v>
      </c>
      <c r="BV124" s="166"/>
      <c r="BW124" s="166"/>
      <c r="BX124" s="166"/>
      <c r="BY124" s="166"/>
      <c r="BZ124" s="166"/>
      <c r="CA124" s="166"/>
      <c r="CB124" s="166" t="e">
        <f>CB123/CB6</f>
        <v>#DIV/0!</v>
      </c>
      <c r="CC124" s="166"/>
      <c r="CD124" s="166"/>
      <c r="CE124" s="166"/>
      <c r="CF124" s="166"/>
      <c r="CG124" s="166"/>
      <c r="CH124" s="166"/>
      <c r="CI124" s="166" t="e">
        <f>CI123/CI6</f>
        <v>#DIV/0!</v>
      </c>
      <c r="CJ124" s="166">
        <f t="shared" ref="CJ124:CO124" si="59">CJ48/CJ6</f>
        <v>0</v>
      </c>
      <c r="CK124" s="166">
        <f t="shared" si="59"/>
        <v>0</v>
      </c>
      <c r="CL124" s="166">
        <f t="shared" si="59"/>
        <v>0</v>
      </c>
      <c r="CM124" s="166">
        <f t="shared" si="59"/>
        <v>0</v>
      </c>
      <c r="CN124" s="166">
        <f t="shared" si="59"/>
        <v>0</v>
      </c>
      <c r="CO124" s="166">
        <f t="shared" si="59"/>
        <v>0</v>
      </c>
      <c r="CP124" s="166"/>
    </row>
    <row r="125" spans="2:94" x14ac:dyDescent="0.2">
      <c r="B125" s="170" t="s">
        <v>370</v>
      </c>
      <c r="D125" s="166"/>
      <c r="E125" s="166"/>
      <c r="F125" s="166"/>
      <c r="G125" s="166"/>
      <c r="H125" s="166"/>
      <c r="I125" s="166"/>
      <c r="J125" s="166">
        <f>J48/J6</f>
        <v>0.19067321176495375</v>
      </c>
      <c r="K125" s="166"/>
      <c r="L125" s="166"/>
      <c r="M125" s="166"/>
      <c r="N125" s="166"/>
      <c r="O125" s="166"/>
      <c r="P125" s="166"/>
      <c r="Q125" s="166">
        <f>Q48/Q6</f>
        <v>-1.3481025696796445</v>
      </c>
      <c r="R125" s="166"/>
      <c r="S125" s="166"/>
      <c r="T125" s="166"/>
      <c r="U125" s="166"/>
      <c r="V125" s="166"/>
      <c r="W125" s="166"/>
      <c r="X125" s="166" t="e">
        <f>X48/X6</f>
        <v>#DIV/0!</v>
      </c>
      <c r="Y125" s="166"/>
      <c r="Z125" s="166"/>
      <c r="AA125" s="166"/>
      <c r="AB125" s="166"/>
      <c r="AC125" s="166"/>
      <c r="AD125" s="166"/>
      <c r="AE125" s="166" t="e">
        <f>AE48/AE6</f>
        <v>#DIV/0!</v>
      </c>
      <c r="AF125" s="166"/>
      <c r="AG125" s="166"/>
      <c r="AH125" s="166"/>
      <c r="AI125" s="166"/>
      <c r="AJ125" s="166"/>
      <c r="AK125" s="166"/>
      <c r="AL125" s="166" t="e">
        <f>AL48/AL6</f>
        <v>#DIV/0!</v>
      </c>
      <c r="AM125" s="166"/>
      <c r="AN125" s="166"/>
      <c r="AO125" s="166"/>
      <c r="AP125" s="166"/>
      <c r="AQ125" s="166"/>
      <c r="AR125" s="166"/>
      <c r="AS125" s="166" t="e">
        <f>AS48/AS6</f>
        <v>#DIV/0!</v>
      </c>
      <c r="AT125" s="166"/>
      <c r="AU125" s="166"/>
      <c r="AV125" s="166"/>
      <c r="AW125" s="166"/>
      <c r="AX125" s="166"/>
      <c r="AY125" s="166"/>
      <c r="AZ125" s="166" t="e">
        <f>AZ48/AZ6</f>
        <v>#DIV/0!</v>
      </c>
      <c r="BA125" s="166"/>
      <c r="BB125" s="166"/>
      <c r="BC125" s="166"/>
      <c r="BD125" s="166"/>
      <c r="BE125" s="166"/>
      <c r="BF125" s="166"/>
      <c r="BG125" s="166" t="e">
        <f>BG48/BG6</f>
        <v>#DIV/0!</v>
      </c>
      <c r="BH125" s="166"/>
      <c r="BI125" s="166"/>
      <c r="BJ125" s="166"/>
      <c r="BK125" s="166"/>
      <c r="BL125" s="166"/>
      <c r="BM125" s="166"/>
      <c r="BN125" s="166" t="e">
        <f>BN48/BN6</f>
        <v>#DIV/0!</v>
      </c>
      <c r="BO125" s="166"/>
      <c r="BP125" s="166"/>
      <c r="BQ125" s="166"/>
      <c r="BR125" s="166"/>
      <c r="BS125" s="166"/>
      <c r="BT125" s="166"/>
      <c r="BU125" s="166" t="e">
        <f>BU48/BU6</f>
        <v>#DIV/0!</v>
      </c>
      <c r="BV125" s="166"/>
      <c r="BW125" s="166"/>
      <c r="BX125" s="166"/>
      <c r="BY125" s="166"/>
      <c r="BZ125" s="166"/>
      <c r="CA125" s="166"/>
      <c r="CB125" s="166" t="e">
        <f>CB48/CB6</f>
        <v>#DIV/0!</v>
      </c>
      <c r="CC125" s="166"/>
      <c r="CD125" s="166"/>
      <c r="CE125" s="166"/>
      <c r="CF125" s="166"/>
      <c r="CG125" s="166"/>
      <c r="CH125" s="166"/>
      <c r="CI125" s="166" t="e">
        <f>CI48/CI6</f>
        <v>#DIV/0!</v>
      </c>
      <c r="CJ125" s="171" t="e">
        <f t="shared" ref="CJ125:CO125" si="60">CJ48/CJ66</f>
        <v>#DIV/0!</v>
      </c>
      <c r="CK125" s="171" t="e">
        <f t="shared" si="60"/>
        <v>#DIV/0!</v>
      </c>
      <c r="CL125" s="171" t="e">
        <f t="shared" si="60"/>
        <v>#DIV/0!</v>
      </c>
      <c r="CM125" s="171" t="e">
        <f t="shared" si="60"/>
        <v>#DIV/0!</v>
      </c>
      <c r="CN125" s="171" t="e">
        <f t="shared" si="60"/>
        <v>#DIV/0!</v>
      </c>
      <c r="CO125" s="171" t="e">
        <f t="shared" si="60"/>
        <v>#DIV/0!</v>
      </c>
      <c r="CP125" s="171"/>
    </row>
    <row r="126" spans="2:94" x14ac:dyDescent="0.2">
      <c r="B126" s="105" t="s">
        <v>371</v>
      </c>
      <c r="D126" s="171"/>
      <c r="E126" s="171"/>
      <c r="F126" s="171"/>
      <c r="G126" s="171"/>
      <c r="H126" s="171"/>
      <c r="I126" s="171"/>
      <c r="J126" s="244">
        <f>J48/J66</f>
        <v>9.2529170116766491E-4</v>
      </c>
      <c r="K126" s="171"/>
      <c r="L126" s="171"/>
      <c r="M126" s="171"/>
      <c r="N126" s="171"/>
      <c r="O126" s="171"/>
      <c r="P126" s="171"/>
      <c r="Q126" s="171">
        <f>Q48/Q66</f>
        <v>-4.4564486978302805E-3</v>
      </c>
      <c r="R126" s="171"/>
      <c r="S126" s="171"/>
      <c r="T126" s="171"/>
      <c r="U126" s="171"/>
      <c r="V126" s="171"/>
      <c r="W126" s="171"/>
      <c r="X126" s="171">
        <f>X48/X66</f>
        <v>0</v>
      </c>
      <c r="Y126" s="171"/>
      <c r="Z126" s="171"/>
      <c r="AA126" s="171"/>
      <c r="AB126" s="171"/>
      <c r="AC126" s="171"/>
      <c r="AD126" s="171"/>
      <c r="AE126" s="171">
        <f>AE48/AE66</f>
        <v>0</v>
      </c>
      <c r="AF126" s="171"/>
      <c r="AG126" s="171"/>
      <c r="AH126" s="171"/>
      <c r="AI126" s="171"/>
      <c r="AJ126" s="171"/>
      <c r="AK126" s="171"/>
      <c r="AL126" s="171">
        <f>AL48/AL66</f>
        <v>0</v>
      </c>
      <c r="AM126" s="171"/>
      <c r="AN126" s="171"/>
      <c r="AO126" s="171"/>
      <c r="AP126" s="171"/>
      <c r="AQ126" s="171"/>
      <c r="AR126" s="171"/>
      <c r="AS126" s="171">
        <f>AS48/AS66</f>
        <v>0</v>
      </c>
      <c r="AT126" s="171"/>
      <c r="AU126" s="171"/>
      <c r="AV126" s="171"/>
      <c r="AW126" s="171"/>
      <c r="AX126" s="171"/>
      <c r="AY126" s="171"/>
      <c r="AZ126" s="171">
        <f>AZ48/AZ66</f>
        <v>0</v>
      </c>
      <c r="BA126" s="171"/>
      <c r="BB126" s="171"/>
      <c r="BC126" s="171"/>
      <c r="BD126" s="171"/>
      <c r="BE126" s="171"/>
      <c r="BF126" s="171"/>
      <c r="BG126" s="171">
        <f>BG48/BG66</f>
        <v>0</v>
      </c>
      <c r="BH126" s="171"/>
      <c r="BI126" s="171"/>
      <c r="BJ126" s="171"/>
      <c r="BK126" s="171"/>
      <c r="BL126" s="171"/>
      <c r="BM126" s="171"/>
      <c r="BN126" s="171">
        <f>BN48/BN66</f>
        <v>0</v>
      </c>
      <c r="BO126" s="171"/>
      <c r="BP126" s="171"/>
      <c r="BQ126" s="171"/>
      <c r="BR126" s="171"/>
      <c r="BS126" s="171"/>
      <c r="BT126" s="171"/>
      <c r="BU126" s="171">
        <f>BU48/BU66</f>
        <v>0</v>
      </c>
      <c r="BV126" s="171"/>
      <c r="BW126" s="171"/>
      <c r="BX126" s="171"/>
      <c r="BY126" s="171"/>
      <c r="BZ126" s="171"/>
      <c r="CA126" s="171"/>
      <c r="CB126" s="171">
        <f>CB48/CB66</f>
        <v>0</v>
      </c>
      <c r="CC126" s="171"/>
      <c r="CD126" s="171"/>
      <c r="CE126" s="171"/>
      <c r="CF126" s="171"/>
      <c r="CG126" s="171"/>
      <c r="CH126" s="171"/>
      <c r="CI126" s="171">
        <f>CI48/CI66</f>
        <v>0</v>
      </c>
      <c r="CJ126" s="171" t="e">
        <f t="shared" ref="CJ126:CO126" si="61">CJ48/CJ81</f>
        <v>#DIV/0!</v>
      </c>
      <c r="CK126" s="171" t="e">
        <f t="shared" si="61"/>
        <v>#DIV/0!</v>
      </c>
      <c r="CL126" s="171" t="e">
        <f t="shared" si="61"/>
        <v>#DIV/0!</v>
      </c>
      <c r="CM126" s="171" t="e">
        <f t="shared" si="61"/>
        <v>#DIV/0!</v>
      </c>
      <c r="CN126" s="171" t="e">
        <f t="shared" si="61"/>
        <v>#DIV/0!</v>
      </c>
      <c r="CO126" s="171" t="e">
        <f t="shared" si="61"/>
        <v>#DIV/0!</v>
      </c>
      <c r="CP126" s="171"/>
    </row>
    <row r="127" spans="2:94" x14ac:dyDescent="0.2">
      <c r="B127" s="105" t="s">
        <v>372</v>
      </c>
      <c r="D127" s="171"/>
      <c r="E127" s="171"/>
      <c r="F127" s="171"/>
      <c r="G127" s="171"/>
      <c r="H127" s="171"/>
      <c r="I127" s="171"/>
      <c r="J127" s="244">
        <f>J48/J81</f>
        <v>9.777583397158258E-4</v>
      </c>
      <c r="K127" s="171"/>
      <c r="L127" s="171"/>
      <c r="M127" s="171"/>
      <c r="N127" s="171"/>
      <c r="O127" s="171"/>
      <c r="P127" s="171"/>
      <c r="Q127" s="171">
        <f>Q48/Q81</f>
        <v>-4.7095199478895114E-3</v>
      </c>
      <c r="R127" s="171"/>
      <c r="S127" s="171"/>
      <c r="T127" s="171"/>
      <c r="U127" s="171"/>
      <c r="V127" s="171"/>
      <c r="W127" s="171"/>
      <c r="X127" s="171">
        <f>X48/X81</f>
        <v>0</v>
      </c>
      <c r="Y127" s="171"/>
      <c r="Z127" s="171"/>
      <c r="AA127" s="171"/>
      <c r="AB127" s="171"/>
      <c r="AC127" s="171"/>
      <c r="AD127" s="171"/>
      <c r="AE127" s="171">
        <f>AE48/AE81</f>
        <v>0</v>
      </c>
      <c r="AF127" s="171"/>
      <c r="AG127" s="171"/>
      <c r="AH127" s="171"/>
      <c r="AI127" s="171"/>
      <c r="AJ127" s="171"/>
      <c r="AK127" s="171"/>
      <c r="AL127" s="171">
        <f>AL48/AL81</f>
        <v>0</v>
      </c>
      <c r="AM127" s="171"/>
      <c r="AN127" s="171"/>
      <c r="AO127" s="171"/>
      <c r="AP127" s="171"/>
      <c r="AQ127" s="171"/>
      <c r="AR127" s="171"/>
      <c r="AS127" s="171">
        <f>AS48/AS81</f>
        <v>0</v>
      </c>
      <c r="AT127" s="171"/>
      <c r="AU127" s="171"/>
      <c r="AV127" s="171"/>
      <c r="AW127" s="171"/>
      <c r="AX127" s="171"/>
      <c r="AY127" s="171"/>
      <c r="AZ127" s="171">
        <f>AZ48/AZ81</f>
        <v>0</v>
      </c>
      <c r="BA127" s="171"/>
      <c r="BB127" s="171"/>
      <c r="BC127" s="171"/>
      <c r="BD127" s="171"/>
      <c r="BE127" s="171"/>
      <c r="BF127" s="171"/>
      <c r="BG127" s="171">
        <f>BG48/BG81</f>
        <v>0</v>
      </c>
      <c r="BH127" s="171"/>
      <c r="BI127" s="171"/>
      <c r="BJ127" s="171"/>
      <c r="BK127" s="171"/>
      <c r="BL127" s="171"/>
      <c r="BM127" s="171"/>
      <c r="BN127" s="171">
        <f>BN48/BN81</f>
        <v>0</v>
      </c>
      <c r="BO127" s="171"/>
      <c r="BP127" s="171"/>
      <c r="BQ127" s="171"/>
      <c r="BR127" s="171"/>
      <c r="BS127" s="171"/>
      <c r="BT127" s="171"/>
      <c r="BU127" s="171">
        <f>BU48/BU81</f>
        <v>0</v>
      </c>
      <c r="BV127" s="171"/>
      <c r="BW127" s="171"/>
      <c r="BX127" s="171"/>
      <c r="BY127" s="171"/>
      <c r="BZ127" s="171"/>
      <c r="CA127" s="171"/>
      <c r="CB127" s="171">
        <f>CB48/CB81</f>
        <v>0</v>
      </c>
      <c r="CC127" s="171"/>
      <c r="CD127" s="171"/>
      <c r="CE127" s="171"/>
      <c r="CF127" s="171"/>
      <c r="CG127" s="171"/>
      <c r="CH127" s="171"/>
      <c r="CI127" s="171">
        <f>CI48/CI81</f>
        <v>0</v>
      </c>
    </row>
    <row r="129" spans="2:94" ht="16" x14ac:dyDescent="0.2">
      <c r="B129" s="183" t="s">
        <v>373</v>
      </c>
      <c r="C129" s="214"/>
      <c r="CJ129" s="166" t="e">
        <f t="shared" ref="CJ129:CO129" si="62">CJ75/CJ66</f>
        <v>#DIV/0!</v>
      </c>
      <c r="CK129" s="166" t="e">
        <f t="shared" si="62"/>
        <v>#DIV/0!</v>
      </c>
      <c r="CL129" s="166" t="e">
        <f t="shared" si="62"/>
        <v>#DIV/0!</v>
      </c>
      <c r="CM129" s="166" t="e">
        <f t="shared" si="62"/>
        <v>#DIV/0!</v>
      </c>
      <c r="CN129" s="166" t="e">
        <f t="shared" si="62"/>
        <v>#DIV/0!</v>
      </c>
      <c r="CO129" s="166" t="e">
        <f t="shared" si="62"/>
        <v>#DIV/0!</v>
      </c>
      <c r="CP129" s="166"/>
    </row>
    <row r="130" spans="2:94" x14ac:dyDescent="0.2">
      <c r="B130" s="105" t="s">
        <v>374</v>
      </c>
      <c r="D130" s="166"/>
      <c r="E130" s="166"/>
      <c r="F130" s="166"/>
      <c r="G130" s="166"/>
      <c r="H130" s="166"/>
      <c r="I130" s="166"/>
      <c r="J130" s="166">
        <f>J75/J66</f>
        <v>5.366318454191138E-2</v>
      </c>
      <c r="K130" s="166"/>
      <c r="L130" s="166"/>
      <c r="M130" s="166"/>
      <c r="N130" s="166"/>
      <c r="O130" s="166"/>
      <c r="P130" s="166"/>
      <c r="Q130" s="166">
        <f>Q75/Q66</f>
        <v>5.3911583887818991E-2</v>
      </c>
      <c r="R130" s="166"/>
      <c r="S130" s="166"/>
      <c r="T130" s="166"/>
      <c r="U130" s="166"/>
      <c r="V130" s="166"/>
      <c r="W130" s="166"/>
      <c r="X130" s="166">
        <f>X75/X66</f>
        <v>5.5666151560005241E-2</v>
      </c>
      <c r="Y130" s="166"/>
      <c r="Z130" s="166"/>
      <c r="AA130" s="166"/>
      <c r="AB130" s="166"/>
      <c r="AC130" s="166"/>
      <c r="AD130" s="166"/>
      <c r="AE130" s="166">
        <f>AE75/AE66</f>
        <v>5.5666151560005241E-2</v>
      </c>
      <c r="AF130" s="166"/>
      <c r="AG130" s="166"/>
      <c r="AH130" s="166"/>
      <c r="AI130" s="166"/>
      <c r="AJ130" s="166"/>
      <c r="AK130" s="166"/>
      <c r="AL130" s="166">
        <f>AL75/AL66</f>
        <v>5.5666151560005241E-2</v>
      </c>
      <c r="AM130" s="166"/>
      <c r="AN130" s="166"/>
      <c r="AO130" s="166"/>
      <c r="AP130" s="166"/>
      <c r="AQ130" s="166"/>
      <c r="AR130" s="166"/>
      <c r="AS130" s="166">
        <f>AS75/AS66</f>
        <v>5.5666151560005241E-2</v>
      </c>
      <c r="AT130" s="166"/>
      <c r="AU130" s="166"/>
      <c r="AV130" s="166"/>
      <c r="AW130" s="166"/>
      <c r="AX130" s="166"/>
      <c r="AY130" s="166"/>
      <c r="AZ130" s="166">
        <f>AZ75/AZ66</f>
        <v>5.5666151560005241E-2</v>
      </c>
      <c r="BA130" s="166"/>
      <c r="BB130" s="166"/>
      <c r="BC130" s="166"/>
      <c r="BD130" s="166"/>
      <c r="BE130" s="166"/>
      <c r="BF130" s="166"/>
      <c r="BG130" s="166">
        <f>BG75/BG66</f>
        <v>5.5666151560005241E-2</v>
      </c>
      <c r="BH130" s="166"/>
      <c r="BI130" s="166"/>
      <c r="BJ130" s="166"/>
      <c r="BK130" s="166"/>
      <c r="BL130" s="166"/>
      <c r="BM130" s="166"/>
      <c r="BN130" s="166">
        <f>BN75/BN66</f>
        <v>5.5666151560005241E-2</v>
      </c>
      <c r="BO130" s="166"/>
      <c r="BP130" s="166"/>
      <c r="BQ130" s="166"/>
      <c r="BR130" s="166"/>
      <c r="BS130" s="166"/>
      <c r="BT130" s="166"/>
      <c r="BU130" s="166">
        <f>BU75/BU66</f>
        <v>5.5666151560005241E-2</v>
      </c>
      <c r="BV130" s="166"/>
      <c r="BW130" s="166"/>
      <c r="BX130" s="166"/>
      <c r="BY130" s="166"/>
      <c r="BZ130" s="166"/>
      <c r="CA130" s="166"/>
      <c r="CB130" s="166">
        <f>CB75/CB66</f>
        <v>5.5666151560005241E-2</v>
      </c>
      <c r="CC130" s="166"/>
      <c r="CD130" s="166"/>
      <c r="CE130" s="166"/>
      <c r="CF130" s="166"/>
      <c r="CG130" s="166"/>
      <c r="CH130" s="166"/>
      <c r="CI130" s="166">
        <f>CI75/CI66</f>
        <v>5.5666151560005241E-2</v>
      </c>
      <c r="CJ130" s="164" t="e">
        <f t="shared" ref="CJ130:CO130" si="63">CJ75/CJ81</f>
        <v>#DIV/0!</v>
      </c>
      <c r="CK130" s="164" t="e">
        <f t="shared" si="63"/>
        <v>#DIV/0!</v>
      </c>
      <c r="CL130" s="164" t="e">
        <f t="shared" si="63"/>
        <v>#DIV/0!</v>
      </c>
      <c r="CM130" s="164" t="e">
        <f t="shared" si="63"/>
        <v>#DIV/0!</v>
      </c>
      <c r="CN130" s="164" t="e">
        <f t="shared" si="63"/>
        <v>#DIV/0!</v>
      </c>
      <c r="CO130" s="164" t="e">
        <f t="shared" si="63"/>
        <v>#DIV/0!</v>
      </c>
      <c r="CP130" s="164"/>
    </row>
    <row r="131" spans="2:94" x14ac:dyDescent="0.2">
      <c r="B131" s="105" t="s">
        <v>375</v>
      </c>
      <c r="D131" s="164"/>
      <c r="E131" s="164"/>
      <c r="F131" s="164"/>
      <c r="G131" s="164"/>
      <c r="H131" s="164"/>
      <c r="I131" s="164"/>
      <c r="J131" s="164">
        <f>J75/J81</f>
        <v>5.6706037842282161E-2</v>
      </c>
      <c r="K131" s="164"/>
      <c r="L131" s="164"/>
      <c r="M131" s="164"/>
      <c r="N131" s="164"/>
      <c r="O131" s="164"/>
      <c r="P131" s="164"/>
      <c r="Q131" s="164">
        <f>Q75/Q81</f>
        <v>5.6973096058666163E-2</v>
      </c>
      <c r="R131" s="164"/>
      <c r="S131" s="164"/>
      <c r="T131" s="164"/>
      <c r="U131" s="164"/>
      <c r="V131" s="164"/>
      <c r="W131" s="164"/>
      <c r="X131" s="164">
        <f>X75/X81</f>
        <v>5.6973096058666163E-2</v>
      </c>
      <c r="Y131" s="164"/>
      <c r="Z131" s="164"/>
      <c r="AA131" s="164"/>
      <c r="AB131" s="164"/>
      <c r="AC131" s="164"/>
      <c r="AD131" s="164"/>
      <c r="AE131" s="164">
        <f>AE75/AE81</f>
        <v>5.6973096058666163E-2</v>
      </c>
      <c r="AF131" s="164"/>
      <c r="AG131" s="164"/>
      <c r="AH131" s="164"/>
      <c r="AI131" s="164"/>
      <c r="AJ131" s="164"/>
      <c r="AK131" s="164"/>
      <c r="AL131" s="164">
        <f>AL75/AL81</f>
        <v>5.6973096058666163E-2</v>
      </c>
      <c r="AM131" s="164"/>
      <c r="AN131" s="164"/>
      <c r="AO131" s="164"/>
      <c r="AP131" s="164"/>
      <c r="AQ131" s="164"/>
      <c r="AR131" s="164"/>
      <c r="AS131" s="164">
        <f>AS75/AS81</f>
        <v>5.6973096058666163E-2</v>
      </c>
      <c r="AT131" s="164"/>
      <c r="AU131" s="164"/>
      <c r="AV131" s="164"/>
      <c r="AW131" s="164"/>
      <c r="AX131" s="164"/>
      <c r="AY131" s="164"/>
      <c r="AZ131" s="164">
        <f>AZ75/AZ81</f>
        <v>5.6973096058666163E-2</v>
      </c>
      <c r="BA131" s="164"/>
      <c r="BB131" s="164"/>
      <c r="BC131" s="164"/>
      <c r="BD131" s="164"/>
      <c r="BE131" s="164"/>
      <c r="BF131" s="164"/>
      <c r="BG131" s="164">
        <f>BG75/BG81</f>
        <v>5.6973096058666163E-2</v>
      </c>
      <c r="BH131" s="164"/>
      <c r="BI131" s="164"/>
      <c r="BJ131" s="164"/>
      <c r="BK131" s="164"/>
      <c r="BL131" s="164"/>
      <c r="BM131" s="164"/>
      <c r="BN131" s="164">
        <f>BN75/BN81</f>
        <v>5.6973096058666163E-2</v>
      </c>
      <c r="BO131" s="164"/>
      <c r="BP131" s="164"/>
      <c r="BQ131" s="164"/>
      <c r="BR131" s="164"/>
      <c r="BS131" s="164"/>
      <c r="BT131" s="164"/>
      <c r="BU131" s="164">
        <f>BU75/BU81</f>
        <v>5.6973096058666163E-2</v>
      </c>
      <c r="BV131" s="164"/>
      <c r="BW131" s="164"/>
      <c r="BX131" s="164"/>
      <c r="BY131" s="164"/>
      <c r="BZ131" s="164"/>
      <c r="CA131" s="164"/>
      <c r="CB131" s="164">
        <f>CB75/CB81</f>
        <v>5.6973096058666163E-2</v>
      </c>
      <c r="CC131" s="164"/>
      <c r="CD131" s="164"/>
      <c r="CE131" s="164"/>
      <c r="CF131" s="164"/>
      <c r="CG131" s="164"/>
      <c r="CH131" s="164"/>
      <c r="CI131" s="164">
        <f>CI75/CI81</f>
        <v>5.6973096058666163E-2</v>
      </c>
      <c r="CJ131" s="139" t="e">
        <f t="shared" ref="CJ131:CO131" si="64">CJ45/CJ122</f>
        <v>#REF!</v>
      </c>
      <c r="CK131" s="139">
        <f t="shared" si="64"/>
        <v>0</v>
      </c>
      <c r="CL131" s="139">
        <f t="shared" si="64"/>
        <v>0</v>
      </c>
      <c r="CM131" s="139" t="e">
        <f t="shared" si="64"/>
        <v>#REF!</v>
      </c>
      <c r="CN131" s="139">
        <f t="shared" si="64"/>
        <v>0</v>
      </c>
      <c r="CO131" s="139">
        <f t="shared" si="64"/>
        <v>0</v>
      </c>
      <c r="CP131" s="139"/>
    </row>
    <row r="132" spans="2:94" x14ac:dyDescent="0.2">
      <c r="B132" s="105" t="s">
        <v>376</v>
      </c>
      <c r="D132" s="139"/>
      <c r="E132" s="139"/>
      <c r="F132" s="139"/>
      <c r="G132" s="139"/>
      <c r="H132" s="139"/>
      <c r="I132" s="139"/>
      <c r="J132" s="217">
        <f>J45/J123</f>
        <v>1.0058248244387029E-3</v>
      </c>
      <c r="K132" s="139"/>
      <c r="L132" s="139"/>
      <c r="M132" s="139"/>
      <c r="N132" s="139"/>
      <c r="O132" s="139"/>
      <c r="P132" s="139"/>
      <c r="Q132" s="217">
        <f>Q45/Q123</f>
        <v>0</v>
      </c>
      <c r="R132" s="139"/>
      <c r="S132" s="139"/>
      <c r="T132" s="139"/>
      <c r="U132" s="139"/>
      <c r="V132" s="139"/>
      <c r="W132" s="139"/>
      <c r="X132" s="217" t="e">
        <f>X45/X123</f>
        <v>#DIV/0!</v>
      </c>
      <c r="Y132" s="139"/>
      <c r="Z132" s="139"/>
      <c r="AA132" s="139"/>
      <c r="AB132" s="139"/>
      <c r="AC132" s="139"/>
      <c r="AD132" s="139"/>
      <c r="AE132" s="217" t="e">
        <f>AE45/AE123</f>
        <v>#DIV/0!</v>
      </c>
      <c r="AF132" s="139"/>
      <c r="AG132" s="139"/>
      <c r="AH132" s="139"/>
      <c r="AI132" s="139"/>
      <c r="AJ132" s="139"/>
      <c r="AK132" s="139"/>
      <c r="AL132" s="217" t="e">
        <f>AL45/AL123</f>
        <v>#DIV/0!</v>
      </c>
      <c r="AM132" s="139"/>
      <c r="AN132" s="139"/>
      <c r="AO132" s="139"/>
      <c r="AP132" s="139"/>
      <c r="AQ132" s="139"/>
      <c r="AR132" s="139"/>
      <c r="AS132" s="217" t="e">
        <f>AS45/AS123</f>
        <v>#DIV/0!</v>
      </c>
      <c r="AT132" s="139"/>
      <c r="AU132" s="139"/>
      <c r="AV132" s="139"/>
      <c r="AW132" s="139"/>
      <c r="AX132" s="139"/>
      <c r="AY132" s="139"/>
      <c r="AZ132" s="217" t="e">
        <f>AZ45/AZ123</f>
        <v>#DIV/0!</v>
      </c>
      <c r="BA132" s="139"/>
      <c r="BB132" s="139"/>
      <c r="BC132" s="139"/>
      <c r="BD132" s="139"/>
      <c r="BE132" s="139"/>
      <c r="BF132" s="139"/>
      <c r="BG132" s="217" t="e">
        <f>BG45/BG123</f>
        <v>#DIV/0!</v>
      </c>
      <c r="BH132" s="139"/>
      <c r="BI132" s="139"/>
      <c r="BJ132" s="139"/>
      <c r="BK132" s="139"/>
      <c r="BL132" s="139"/>
      <c r="BM132" s="139"/>
      <c r="BN132" s="217" t="e">
        <f>BN45/BN123</f>
        <v>#DIV/0!</v>
      </c>
      <c r="BO132" s="139"/>
      <c r="BP132" s="139"/>
      <c r="BQ132" s="139"/>
      <c r="BR132" s="139"/>
      <c r="BS132" s="139"/>
      <c r="BT132" s="139"/>
      <c r="BU132" s="217" t="e">
        <f>BU45/BU123</f>
        <v>#DIV/0!</v>
      </c>
      <c r="BV132" s="139"/>
      <c r="BW132" s="139"/>
      <c r="BX132" s="139"/>
      <c r="BY132" s="139"/>
      <c r="BZ132" s="139"/>
      <c r="CA132" s="139"/>
      <c r="CB132" s="217" t="e">
        <f>CB45/CB123</f>
        <v>#DIV/0!</v>
      </c>
      <c r="CC132" s="139"/>
      <c r="CD132" s="139"/>
      <c r="CE132" s="139"/>
      <c r="CF132" s="139"/>
      <c r="CG132" s="139"/>
      <c r="CH132" s="139"/>
      <c r="CI132" s="217" t="e">
        <f>CI45/CI123</f>
        <v>#DIV/0!</v>
      </c>
      <c r="CJ132" s="164" t="e">
        <f t="shared" ref="CJ132:CO132" si="65">CJ122/(CJ45+CJ70)</f>
        <v>#REF!</v>
      </c>
      <c r="CK132" s="164" t="e">
        <f t="shared" si="65"/>
        <v>#DIV/0!</v>
      </c>
      <c r="CL132" s="164" t="e">
        <f t="shared" si="65"/>
        <v>#DIV/0!</v>
      </c>
      <c r="CM132" s="164" t="e">
        <f t="shared" si="65"/>
        <v>#REF!</v>
      </c>
      <c r="CN132" s="164" t="e">
        <f t="shared" si="65"/>
        <v>#DIV/0!</v>
      </c>
      <c r="CO132" s="164" t="e">
        <f t="shared" si="65"/>
        <v>#DIV/0!</v>
      </c>
      <c r="CP132" s="164"/>
    </row>
    <row r="133" spans="2:94" x14ac:dyDescent="0.2">
      <c r="B133" s="105" t="s">
        <v>377</v>
      </c>
      <c r="D133" s="164"/>
      <c r="E133" s="164"/>
      <c r="F133" s="164"/>
      <c r="G133" s="164"/>
      <c r="H133" s="164"/>
      <c r="I133" s="164"/>
      <c r="J133" s="218">
        <f>J123/(J45+J70)</f>
        <v>0.40757369492127882</v>
      </c>
      <c r="K133" s="164"/>
      <c r="L133" s="164"/>
      <c r="M133" s="164"/>
      <c r="N133" s="164"/>
      <c r="O133" s="164"/>
      <c r="P133" s="164"/>
      <c r="Q133" s="218">
        <f>Q123/(Q45+Q70)</f>
        <v>-0.26454233843551989</v>
      </c>
      <c r="R133" s="164"/>
      <c r="S133" s="164"/>
      <c r="T133" s="164"/>
      <c r="U133" s="164"/>
      <c r="V133" s="164"/>
      <c r="W133" s="164"/>
      <c r="X133" s="218">
        <f>X123/(X45+X70)</f>
        <v>0</v>
      </c>
      <c r="Y133" s="164"/>
      <c r="Z133" s="164"/>
      <c r="AA133" s="164"/>
      <c r="AB133" s="164"/>
      <c r="AC133" s="164"/>
      <c r="AD133" s="164"/>
      <c r="AE133" s="218">
        <f>AE123/(AE45+AE70)</f>
        <v>0</v>
      </c>
      <c r="AF133" s="164"/>
      <c r="AG133" s="164"/>
      <c r="AH133" s="164"/>
      <c r="AI133" s="164"/>
      <c r="AJ133" s="164"/>
      <c r="AK133" s="164"/>
      <c r="AL133" s="218">
        <f>AL123/(AL45+AL70)</f>
        <v>0</v>
      </c>
      <c r="AM133" s="164"/>
      <c r="AN133" s="164"/>
      <c r="AO133" s="164"/>
      <c r="AP133" s="164"/>
      <c r="AQ133" s="164"/>
      <c r="AR133" s="164"/>
      <c r="AS133" s="218">
        <f>AS123/(AS45+AS70)</f>
        <v>0</v>
      </c>
      <c r="AT133" s="164"/>
      <c r="AU133" s="164"/>
      <c r="AV133" s="164"/>
      <c r="AW133" s="164"/>
      <c r="AX133" s="164"/>
      <c r="AY133" s="164"/>
      <c r="AZ133" s="218">
        <f>AZ123/(AZ45+AZ70)</f>
        <v>0</v>
      </c>
      <c r="BA133" s="164"/>
      <c r="BB133" s="164"/>
      <c r="BC133" s="164"/>
      <c r="BD133" s="164"/>
      <c r="BE133" s="164"/>
      <c r="BF133" s="164"/>
      <c r="BG133" s="218">
        <f>BG123/(BG45+BG70)</f>
        <v>0</v>
      </c>
      <c r="BH133" s="164"/>
      <c r="BI133" s="164"/>
      <c r="BJ133" s="164"/>
      <c r="BK133" s="164"/>
      <c r="BL133" s="164"/>
      <c r="BM133" s="164"/>
      <c r="BN133" s="218">
        <f>BN123/(BN45+BN70)</f>
        <v>0</v>
      </c>
      <c r="BO133" s="164"/>
      <c r="BP133" s="164"/>
      <c r="BQ133" s="164"/>
      <c r="BR133" s="164"/>
      <c r="BS133" s="164"/>
      <c r="BT133" s="164"/>
      <c r="BU133" s="218">
        <f>BU123/(BU45+BU70)</f>
        <v>0</v>
      </c>
      <c r="BV133" s="164"/>
      <c r="BW133" s="164"/>
      <c r="BX133" s="164"/>
      <c r="BY133" s="164"/>
      <c r="BZ133" s="164"/>
      <c r="CA133" s="164"/>
      <c r="CB133" s="218">
        <f>CB123/(CB45+CB70)</f>
        <v>0</v>
      </c>
      <c r="CC133" s="164"/>
      <c r="CD133" s="164"/>
      <c r="CE133" s="164"/>
      <c r="CF133" s="164"/>
      <c r="CG133" s="164"/>
      <c r="CH133" s="164"/>
      <c r="CI133" s="218">
        <f>CI123/(CI45+CI70)</f>
        <v>0</v>
      </c>
    </row>
    <row r="135" spans="2:94" ht="16" x14ac:dyDescent="0.2">
      <c r="B135" s="183" t="s">
        <v>378</v>
      </c>
      <c r="C135" s="220"/>
      <c r="CJ135" s="164" t="e">
        <f t="shared" ref="CJ135:CO135" si="66">CJ111/CJ6</f>
        <v>#REF!</v>
      </c>
      <c r="CK135" s="164" t="e">
        <f t="shared" si="66"/>
        <v>#REF!</v>
      </c>
      <c r="CL135" s="164" t="e">
        <f t="shared" si="66"/>
        <v>#REF!</v>
      </c>
      <c r="CM135" s="164" t="e">
        <f t="shared" si="66"/>
        <v>#REF!</v>
      </c>
      <c r="CN135" s="164" t="e">
        <f t="shared" si="66"/>
        <v>#REF!</v>
      </c>
      <c r="CO135" s="164" t="e">
        <f t="shared" si="66"/>
        <v>#REF!</v>
      </c>
      <c r="CP135" s="164"/>
    </row>
    <row r="136" spans="2:94" x14ac:dyDescent="0.2">
      <c r="B136" s="105" t="s">
        <v>379</v>
      </c>
      <c r="D136" s="164"/>
      <c r="E136" s="164"/>
      <c r="F136" s="164"/>
      <c r="G136" s="164"/>
      <c r="H136" s="164"/>
      <c r="I136" s="164"/>
      <c r="J136" s="164">
        <f>J112/J6</f>
        <v>0</v>
      </c>
      <c r="K136" s="164"/>
      <c r="L136" s="164"/>
      <c r="M136" s="164"/>
      <c r="N136" s="164"/>
      <c r="O136" s="164"/>
      <c r="P136" s="164"/>
      <c r="Q136" s="164">
        <f>Q112/Q6</f>
        <v>0</v>
      </c>
      <c r="R136" s="164"/>
      <c r="S136" s="164"/>
      <c r="T136" s="164"/>
      <c r="U136" s="164"/>
      <c r="V136" s="164"/>
      <c r="W136" s="164"/>
      <c r="X136" s="164" t="e">
        <f>X112/X6</f>
        <v>#DIV/0!</v>
      </c>
      <c r="Y136" s="164"/>
      <c r="Z136" s="164"/>
      <c r="AA136" s="164"/>
      <c r="AB136" s="164"/>
      <c r="AC136" s="164"/>
      <c r="AD136" s="164"/>
      <c r="AE136" s="164" t="e">
        <f>AE112/AE6</f>
        <v>#DIV/0!</v>
      </c>
      <c r="AF136" s="164"/>
      <c r="AG136" s="164"/>
      <c r="AH136" s="164"/>
      <c r="AI136" s="164"/>
      <c r="AJ136" s="164"/>
      <c r="AK136" s="164"/>
      <c r="AL136" s="164" t="e">
        <f>AL112/AL6</f>
        <v>#DIV/0!</v>
      </c>
      <c r="AM136" s="164"/>
      <c r="AN136" s="164"/>
      <c r="AO136" s="164"/>
      <c r="AP136" s="164"/>
      <c r="AQ136" s="164"/>
      <c r="AR136" s="164"/>
      <c r="AS136" s="164" t="e">
        <f>AS112/AS6</f>
        <v>#DIV/0!</v>
      </c>
      <c r="AT136" s="164"/>
      <c r="AU136" s="164"/>
      <c r="AV136" s="164"/>
      <c r="AW136" s="164"/>
      <c r="AX136" s="164"/>
      <c r="AY136" s="164"/>
      <c r="AZ136" s="164" t="e">
        <f>AZ112/AZ6</f>
        <v>#DIV/0!</v>
      </c>
      <c r="BA136" s="164"/>
      <c r="BB136" s="164"/>
      <c r="BC136" s="164"/>
      <c r="BD136" s="164"/>
      <c r="BE136" s="164"/>
      <c r="BF136" s="164"/>
      <c r="BG136" s="164" t="e">
        <f>BG112/BG6</f>
        <v>#DIV/0!</v>
      </c>
      <c r="BH136" s="164"/>
      <c r="BI136" s="164"/>
      <c r="BJ136" s="164"/>
      <c r="BK136" s="164"/>
      <c r="BL136" s="164"/>
      <c r="BM136" s="164"/>
      <c r="BN136" s="164" t="e">
        <f>BN112/BN6</f>
        <v>#DIV/0!</v>
      </c>
      <c r="BO136" s="164"/>
      <c r="BP136" s="164"/>
      <c r="BQ136" s="164"/>
      <c r="BR136" s="164"/>
      <c r="BS136" s="164"/>
      <c r="BT136" s="164"/>
      <c r="BU136" s="164" t="e">
        <f>BU112/BU6</f>
        <v>#DIV/0!</v>
      </c>
      <c r="BV136" s="164"/>
      <c r="BW136" s="164"/>
      <c r="BX136" s="164"/>
      <c r="BY136" s="164"/>
      <c r="BZ136" s="164"/>
      <c r="CA136" s="164"/>
      <c r="CB136" s="164" t="e">
        <f>CB112/CB6</f>
        <v>#DIV/0!</v>
      </c>
      <c r="CC136" s="164"/>
      <c r="CD136" s="164"/>
      <c r="CE136" s="164"/>
      <c r="CF136" s="164"/>
      <c r="CG136" s="164"/>
      <c r="CH136" s="164"/>
      <c r="CI136" s="164" t="e">
        <f>CI112/CI6</f>
        <v>#DIV/0!</v>
      </c>
      <c r="CJ136" s="174">
        <f t="shared" ref="CJ136:CO136" si="67">CJ6/CJ64</f>
        <v>1.3008840808213261E-2</v>
      </c>
      <c r="CK136" s="174">
        <f t="shared" si="67"/>
        <v>6.3325249801265866E-3</v>
      </c>
      <c r="CL136" s="174">
        <f t="shared" si="67"/>
        <v>1.2674472029024542E-2</v>
      </c>
      <c r="CM136" s="174">
        <f t="shared" si="67"/>
        <v>8.8085548684882758E-3</v>
      </c>
      <c r="CN136" s="174">
        <f t="shared" si="67"/>
        <v>7.9542871984675818E-3</v>
      </c>
      <c r="CO136" s="174">
        <f t="shared" si="67"/>
        <v>7.9600010327581829E-3</v>
      </c>
      <c r="CP136" s="174"/>
    </row>
    <row r="137" spans="2:94" x14ac:dyDescent="0.2">
      <c r="B137" s="105" t="s">
        <v>444</v>
      </c>
      <c r="D137" s="174"/>
      <c r="E137" s="174"/>
      <c r="F137" s="174"/>
      <c r="G137" s="174"/>
      <c r="H137" s="174"/>
      <c r="I137" s="174"/>
      <c r="J137" s="219">
        <f>J6/J64</f>
        <v>5.0338902324729359E-3</v>
      </c>
      <c r="K137" s="174"/>
      <c r="L137" s="174"/>
      <c r="M137" s="174"/>
      <c r="N137" s="174"/>
      <c r="O137" s="174"/>
      <c r="P137" s="174"/>
      <c r="Q137" s="219">
        <f>Q6/Q64</f>
        <v>3.4133048764653832E-3</v>
      </c>
      <c r="R137" s="174"/>
      <c r="S137" s="174"/>
      <c r="T137" s="174"/>
      <c r="U137" s="174"/>
      <c r="V137" s="174"/>
      <c r="W137" s="174"/>
      <c r="X137" s="219">
        <f>X6/X64</f>
        <v>0</v>
      </c>
      <c r="Y137" s="174"/>
      <c r="Z137" s="174"/>
      <c r="AA137" s="174"/>
      <c r="AB137" s="174"/>
      <c r="AC137" s="174"/>
      <c r="AD137" s="174"/>
      <c r="AE137" s="219">
        <f>AE6/AE64</f>
        <v>0</v>
      </c>
      <c r="AF137" s="174"/>
      <c r="AG137" s="174"/>
      <c r="AH137" s="174"/>
      <c r="AI137" s="174"/>
      <c r="AJ137" s="174"/>
      <c r="AK137" s="174"/>
      <c r="AL137" s="219">
        <f>AL6/AL64</f>
        <v>0</v>
      </c>
      <c r="AM137" s="174"/>
      <c r="AN137" s="174"/>
      <c r="AO137" s="174"/>
      <c r="AP137" s="174"/>
      <c r="AQ137" s="174"/>
      <c r="AR137" s="174"/>
      <c r="AS137" s="219">
        <f>AS6/AS64</f>
        <v>0</v>
      </c>
      <c r="AT137" s="174"/>
      <c r="AU137" s="174"/>
      <c r="AV137" s="174"/>
      <c r="AW137" s="174"/>
      <c r="AX137" s="174"/>
      <c r="AY137" s="174"/>
      <c r="AZ137" s="219">
        <f>AZ6/AZ64</f>
        <v>0</v>
      </c>
      <c r="BA137" s="174"/>
      <c r="BB137" s="174"/>
      <c r="BC137" s="174"/>
      <c r="BD137" s="174"/>
      <c r="BE137" s="174"/>
      <c r="BF137" s="174"/>
      <c r="BG137" s="219">
        <f>BG6/BG64</f>
        <v>0</v>
      </c>
      <c r="BH137" s="174"/>
      <c r="BI137" s="174"/>
      <c r="BJ137" s="174"/>
      <c r="BK137" s="174"/>
      <c r="BL137" s="174"/>
      <c r="BM137" s="174"/>
      <c r="BN137" s="219">
        <f>BN6/BN64</f>
        <v>0</v>
      </c>
      <c r="BO137" s="174"/>
      <c r="BP137" s="174"/>
      <c r="BQ137" s="174"/>
      <c r="BR137" s="174"/>
      <c r="BS137" s="174"/>
      <c r="BT137" s="174"/>
      <c r="BU137" s="219">
        <f>BU6/BU64</f>
        <v>0</v>
      </c>
      <c r="BV137" s="174"/>
      <c r="BW137" s="174"/>
      <c r="BX137" s="174"/>
      <c r="BY137" s="174"/>
      <c r="BZ137" s="174"/>
      <c r="CA137" s="174"/>
      <c r="CB137" s="219">
        <f>CB6/CB64</f>
        <v>0</v>
      </c>
      <c r="CC137" s="174"/>
      <c r="CD137" s="174"/>
      <c r="CE137" s="174"/>
      <c r="CF137" s="174"/>
      <c r="CG137" s="174"/>
      <c r="CH137" s="174"/>
      <c r="CI137" s="219">
        <f>CI6/CI64</f>
        <v>0</v>
      </c>
    </row>
    <row r="139" spans="2:94" ht="16" x14ac:dyDescent="0.2">
      <c r="B139" s="183" t="s">
        <v>380</v>
      </c>
      <c r="C139" s="220"/>
      <c r="CJ139" s="171" t="e">
        <f t="shared" ref="CJ139:CO139" si="68">CJ47/CJ46</f>
        <v>#DIV/0!</v>
      </c>
      <c r="CK139" s="171" t="e">
        <f t="shared" si="68"/>
        <v>#DIV/0!</v>
      </c>
      <c r="CL139" s="171" t="e">
        <f t="shared" si="68"/>
        <v>#DIV/0!</v>
      </c>
      <c r="CM139" s="171" t="e">
        <f t="shared" si="68"/>
        <v>#DIV/0!</v>
      </c>
      <c r="CN139" s="171" t="e">
        <f t="shared" si="68"/>
        <v>#DIV/0!</v>
      </c>
      <c r="CO139" s="171" t="e">
        <f t="shared" si="68"/>
        <v>#DIV/0!</v>
      </c>
      <c r="CP139" s="171"/>
    </row>
    <row r="140" spans="2:94" x14ac:dyDescent="0.2">
      <c r="B140" s="105" t="s">
        <v>381</v>
      </c>
      <c r="D140" s="171"/>
      <c r="E140" s="171"/>
      <c r="F140" s="171"/>
      <c r="G140" s="171"/>
      <c r="H140" s="171"/>
      <c r="I140" s="171"/>
      <c r="J140" s="171">
        <f>J47/J46</f>
        <v>0</v>
      </c>
      <c r="K140" s="171"/>
      <c r="L140" s="171"/>
      <c r="M140" s="171"/>
      <c r="N140" s="171"/>
      <c r="O140" s="171"/>
      <c r="P140" s="171"/>
      <c r="Q140" s="171">
        <f>Q47/Q46</f>
        <v>0</v>
      </c>
      <c r="R140" s="171"/>
      <c r="S140" s="171"/>
      <c r="T140" s="171"/>
      <c r="U140" s="171"/>
      <c r="V140" s="171"/>
      <c r="W140" s="171"/>
      <c r="X140" s="171" t="e">
        <f>X47/X46</f>
        <v>#DIV/0!</v>
      </c>
      <c r="Y140" s="171"/>
      <c r="Z140" s="171"/>
      <c r="AA140" s="171"/>
      <c r="AB140" s="171"/>
      <c r="AC140" s="171"/>
      <c r="AD140" s="171"/>
      <c r="AE140" s="171" t="e">
        <f>AE47/AE46</f>
        <v>#DIV/0!</v>
      </c>
      <c r="AF140" s="171"/>
      <c r="AG140" s="171"/>
      <c r="AH140" s="171"/>
      <c r="AI140" s="171"/>
      <c r="AJ140" s="171"/>
      <c r="AK140" s="171"/>
      <c r="AL140" s="171" t="e">
        <f>AL47/AL46</f>
        <v>#DIV/0!</v>
      </c>
      <c r="AM140" s="171"/>
      <c r="AN140" s="171"/>
      <c r="AO140" s="171"/>
      <c r="AP140" s="171"/>
      <c r="AQ140" s="171"/>
      <c r="AR140" s="171"/>
      <c r="AS140" s="171" t="e">
        <f>AS47/AS46</f>
        <v>#DIV/0!</v>
      </c>
      <c r="AT140" s="171"/>
      <c r="AU140" s="171"/>
      <c r="AV140" s="171"/>
      <c r="AW140" s="171"/>
      <c r="AX140" s="171"/>
      <c r="AY140" s="171"/>
      <c r="AZ140" s="171" t="e">
        <f>AZ47/AZ46</f>
        <v>#DIV/0!</v>
      </c>
      <c r="BA140" s="171"/>
      <c r="BB140" s="171"/>
      <c r="BC140" s="171"/>
      <c r="BD140" s="171"/>
      <c r="BE140" s="171"/>
      <c r="BF140" s="171"/>
      <c r="BG140" s="171" t="e">
        <f>BG47/BG46</f>
        <v>#DIV/0!</v>
      </c>
      <c r="BH140" s="171"/>
      <c r="BI140" s="171"/>
      <c r="BJ140" s="171"/>
      <c r="BK140" s="171"/>
      <c r="BL140" s="171"/>
      <c r="BM140" s="171"/>
      <c r="BN140" s="171" t="e">
        <f>BN47/BN46</f>
        <v>#DIV/0!</v>
      </c>
      <c r="BO140" s="171"/>
      <c r="BP140" s="171"/>
      <c r="BQ140" s="171"/>
      <c r="BR140" s="171"/>
      <c r="BS140" s="171"/>
      <c r="BT140" s="171"/>
      <c r="BU140" s="171" t="e">
        <f>BU47/BU46</f>
        <v>#DIV/0!</v>
      </c>
      <c r="BV140" s="171"/>
      <c r="BW140" s="171"/>
      <c r="BX140" s="171"/>
      <c r="BY140" s="171"/>
      <c r="BZ140" s="171"/>
      <c r="CA140" s="171"/>
      <c r="CB140" s="171" t="e">
        <f>CB47/CB46</f>
        <v>#DIV/0!</v>
      </c>
      <c r="CC140" s="171"/>
      <c r="CD140" s="171"/>
      <c r="CE140" s="171"/>
      <c r="CF140" s="171"/>
      <c r="CG140" s="171"/>
      <c r="CH140" s="171"/>
      <c r="CI140" s="171" t="e">
        <f>CI47/CI46</f>
        <v>#DIV/0!</v>
      </c>
      <c r="CJ140" s="137" t="e">
        <f>#REF!*(1-CJ139)</f>
        <v>#REF!</v>
      </c>
      <c r="CK140" s="137" t="e">
        <f>CJ16*(1-CK139)</f>
        <v>#DIV/0!</v>
      </c>
      <c r="CL140" s="137" t="e">
        <f>CL16*(1-CL139)</f>
        <v>#DIV/0!</v>
      </c>
      <c r="CM140" s="137" t="e">
        <f>#REF!*(1-CM139)</f>
        <v>#REF!</v>
      </c>
      <c r="CN140" s="137" t="e">
        <f>CM16*(1-CN139)</f>
        <v>#DIV/0!</v>
      </c>
      <c r="CO140" s="137" t="e">
        <f>CO16*(1-CO139)</f>
        <v>#DIV/0!</v>
      </c>
      <c r="CP140" s="137"/>
    </row>
    <row r="141" spans="2:94" x14ac:dyDescent="0.2">
      <c r="B141" s="105" t="s">
        <v>382</v>
      </c>
      <c r="D141" s="137"/>
      <c r="E141" s="137"/>
      <c r="F141" s="137"/>
      <c r="G141" s="137"/>
      <c r="H141" s="137"/>
      <c r="I141" s="137"/>
      <c r="J141" s="137">
        <f>J16*(1-J140)</f>
        <v>8560258</v>
      </c>
      <c r="K141" s="137"/>
      <c r="L141" s="137"/>
      <c r="M141" s="137"/>
      <c r="N141" s="137"/>
      <c r="O141" s="137"/>
      <c r="P141" s="137"/>
      <c r="Q141" s="137">
        <f>Q16*(1-Q140)</f>
        <v>-5553897</v>
      </c>
      <c r="R141" s="137"/>
      <c r="S141" s="137"/>
      <c r="T141" s="137"/>
      <c r="U141" s="137"/>
      <c r="V141" s="137"/>
      <c r="W141" s="137"/>
      <c r="X141" s="137" t="e">
        <f>X16*(1-X140)</f>
        <v>#DIV/0!</v>
      </c>
      <c r="Y141" s="137"/>
      <c r="Z141" s="137"/>
      <c r="AA141" s="137"/>
      <c r="AB141" s="137"/>
      <c r="AC141" s="137"/>
      <c r="AD141" s="137"/>
      <c r="AE141" s="137" t="e">
        <f>AE16*(1-AE140)</f>
        <v>#DIV/0!</v>
      </c>
      <c r="AF141" s="137"/>
      <c r="AG141" s="137"/>
      <c r="AH141" s="137"/>
      <c r="AI141" s="137"/>
      <c r="AJ141" s="137"/>
      <c r="AK141" s="137"/>
      <c r="AL141" s="137" t="e">
        <f>AL16*(1-AL140)</f>
        <v>#DIV/0!</v>
      </c>
      <c r="AM141" s="137"/>
      <c r="AN141" s="137"/>
      <c r="AO141" s="137"/>
      <c r="AP141" s="137"/>
      <c r="AQ141" s="137"/>
      <c r="AR141" s="137"/>
      <c r="AS141" s="137" t="e">
        <f>AS16*(1-AS140)</f>
        <v>#DIV/0!</v>
      </c>
      <c r="AT141" s="137"/>
      <c r="AU141" s="137"/>
      <c r="AV141" s="137"/>
      <c r="AW141" s="137"/>
      <c r="AX141" s="137"/>
      <c r="AY141" s="137"/>
      <c r="AZ141" s="137" t="e">
        <f>AZ16*(1-AZ140)</f>
        <v>#DIV/0!</v>
      </c>
      <c r="BA141" s="137"/>
      <c r="BB141" s="137"/>
      <c r="BC141" s="137"/>
      <c r="BD141" s="137"/>
      <c r="BE141" s="137"/>
      <c r="BF141" s="137"/>
      <c r="BG141" s="137" t="e">
        <f>BG16*(1-BG140)</f>
        <v>#DIV/0!</v>
      </c>
      <c r="BH141" s="137"/>
      <c r="BI141" s="137"/>
      <c r="BJ141" s="137"/>
      <c r="BK141" s="137"/>
      <c r="BL141" s="137"/>
      <c r="BM141" s="137"/>
      <c r="BN141" s="137" t="e">
        <f>BN16*(1-BN140)</f>
        <v>#DIV/0!</v>
      </c>
      <c r="BO141" s="137"/>
      <c r="BP141" s="137"/>
      <c r="BQ141" s="137"/>
      <c r="BR141" s="137"/>
      <c r="BS141" s="137"/>
      <c r="BT141" s="137"/>
      <c r="BU141" s="137" t="e">
        <f>BU16*(1-BU140)</f>
        <v>#DIV/0!</v>
      </c>
      <c r="BV141" s="137"/>
      <c r="BW141" s="137"/>
      <c r="BX141" s="137"/>
      <c r="BY141" s="137"/>
      <c r="BZ141" s="137"/>
      <c r="CA141" s="137"/>
      <c r="CB141" s="137" t="e">
        <f>CB16*(1-CB140)</f>
        <v>#DIV/0!</v>
      </c>
      <c r="CC141" s="137"/>
      <c r="CD141" s="137"/>
      <c r="CE141" s="137"/>
      <c r="CF141" s="137"/>
      <c r="CG141" s="137"/>
      <c r="CH141" s="137"/>
      <c r="CI141" s="137" t="e">
        <f>CI16*(1-CI140)</f>
        <v>#DIV/0!</v>
      </c>
      <c r="CJ141" s="137" t="e">
        <f t="shared" ref="CJ141:CO141" si="69">CJ111+CJ64</f>
        <v>#REF!</v>
      </c>
      <c r="CK141" s="137" t="e">
        <f t="shared" si="69"/>
        <v>#REF!</v>
      </c>
      <c r="CL141" s="137" t="e">
        <f t="shared" si="69"/>
        <v>#REF!</v>
      </c>
      <c r="CM141" s="137" t="e">
        <f t="shared" si="69"/>
        <v>#REF!</v>
      </c>
      <c r="CN141" s="137" t="e">
        <f t="shared" si="69"/>
        <v>#REF!</v>
      </c>
      <c r="CO141" s="137" t="e">
        <f t="shared" si="69"/>
        <v>#REF!</v>
      </c>
      <c r="CP141" s="137"/>
    </row>
    <row r="142" spans="2:94" x14ac:dyDescent="0.2">
      <c r="B142" s="105" t="s">
        <v>383</v>
      </c>
      <c r="D142" s="137"/>
      <c r="E142" s="137"/>
      <c r="F142" s="137"/>
      <c r="G142" s="137"/>
      <c r="H142" s="137"/>
      <c r="I142" s="137"/>
      <c r="J142" s="137">
        <f>J112+J64</f>
        <v>1885738377.5999999</v>
      </c>
      <c r="K142" s="137"/>
      <c r="L142" s="137"/>
      <c r="M142" s="137"/>
      <c r="N142" s="137"/>
      <c r="O142" s="137"/>
      <c r="P142" s="137"/>
      <c r="Q142" s="137">
        <f>Q112+Q64</f>
        <v>1885738377.5999999</v>
      </c>
      <c r="R142" s="137"/>
      <c r="S142" s="137"/>
      <c r="T142" s="137"/>
      <c r="U142" s="137"/>
      <c r="V142" s="137"/>
      <c r="W142" s="137"/>
      <c r="X142" s="137">
        <f>X112+X64</f>
        <v>1885738377.5999999</v>
      </c>
      <c r="Y142" s="137"/>
      <c r="Z142" s="137"/>
      <c r="AA142" s="137"/>
      <c r="AB142" s="137"/>
      <c r="AC142" s="137"/>
      <c r="AD142" s="137"/>
      <c r="AE142" s="137">
        <f>AE112+AE64</f>
        <v>1885738377.5999999</v>
      </c>
      <c r="AF142" s="137"/>
      <c r="AG142" s="137"/>
      <c r="AH142" s="137"/>
      <c r="AI142" s="137"/>
      <c r="AJ142" s="137"/>
      <c r="AK142" s="137"/>
      <c r="AL142" s="137">
        <f>AL112+AL64</f>
        <v>1885738377.5999999</v>
      </c>
      <c r="AM142" s="137"/>
      <c r="AN142" s="137"/>
      <c r="AO142" s="137"/>
      <c r="AP142" s="137"/>
      <c r="AQ142" s="137"/>
      <c r="AR142" s="137"/>
      <c r="AS142" s="137">
        <f>AS112+AS64</f>
        <v>1885738377.5999999</v>
      </c>
      <c r="AT142" s="137"/>
      <c r="AU142" s="137"/>
      <c r="AV142" s="137"/>
      <c r="AW142" s="137"/>
      <c r="AX142" s="137"/>
      <c r="AY142" s="137"/>
      <c r="AZ142" s="137">
        <f>AZ112+AZ64</f>
        <v>1885738377.5999999</v>
      </c>
      <c r="BA142" s="137"/>
      <c r="BB142" s="137"/>
      <c r="BC142" s="137"/>
      <c r="BD142" s="137"/>
      <c r="BE142" s="137"/>
      <c r="BF142" s="137"/>
      <c r="BG142" s="137">
        <f>BG112+BG64</f>
        <v>1885738377.5999999</v>
      </c>
      <c r="BH142" s="137"/>
      <c r="BI142" s="137"/>
      <c r="BJ142" s="137"/>
      <c r="BK142" s="137"/>
      <c r="BL142" s="137"/>
      <c r="BM142" s="137"/>
      <c r="BN142" s="137">
        <f>BN112+BN64</f>
        <v>1885738377.5999999</v>
      </c>
      <c r="BO142" s="137"/>
      <c r="BP142" s="137"/>
      <c r="BQ142" s="137"/>
      <c r="BR142" s="137"/>
      <c r="BS142" s="137"/>
      <c r="BT142" s="137"/>
      <c r="BU142" s="137">
        <f>BU112+BU64</f>
        <v>1885738377.5999999</v>
      </c>
      <c r="BV142" s="137"/>
      <c r="BW142" s="137"/>
      <c r="BX142" s="137"/>
      <c r="BY142" s="137"/>
      <c r="BZ142" s="137"/>
      <c r="CA142" s="137"/>
      <c r="CB142" s="137">
        <f>CB112+CB64</f>
        <v>1885738377.5999999</v>
      </c>
      <c r="CC142" s="137"/>
      <c r="CD142" s="137"/>
      <c r="CE142" s="137"/>
      <c r="CF142" s="137"/>
      <c r="CG142" s="137"/>
      <c r="CH142" s="137"/>
      <c r="CI142" s="137">
        <f>CI112+CI64</f>
        <v>1885738377.5999999</v>
      </c>
      <c r="CJ142" s="166" t="e">
        <f t="shared" ref="CJ142:CO142" si="70">CJ140/CJ141</f>
        <v>#REF!</v>
      </c>
      <c r="CK142" s="166" t="e">
        <f t="shared" si="70"/>
        <v>#DIV/0!</v>
      </c>
      <c r="CL142" s="166" t="e">
        <f t="shared" si="70"/>
        <v>#DIV/0!</v>
      </c>
      <c r="CM142" s="166" t="e">
        <f t="shared" si="70"/>
        <v>#REF!</v>
      </c>
      <c r="CN142" s="166" t="e">
        <f t="shared" si="70"/>
        <v>#DIV/0!</v>
      </c>
      <c r="CO142" s="166" t="e">
        <f t="shared" si="70"/>
        <v>#DIV/0!</v>
      </c>
      <c r="CP142" s="166"/>
    </row>
    <row r="143" spans="2:94" x14ac:dyDescent="0.2">
      <c r="B143" s="105" t="s">
        <v>384</v>
      </c>
      <c r="D143" s="166"/>
      <c r="E143" s="166"/>
      <c r="F143" s="166"/>
      <c r="G143" s="166"/>
      <c r="H143" s="166"/>
      <c r="I143" s="166"/>
      <c r="J143" s="139">
        <f>J141/J142</f>
        <v>4.5394727612717602E-3</v>
      </c>
      <c r="K143" s="166"/>
      <c r="L143" s="166"/>
      <c r="M143" s="166"/>
      <c r="N143" s="166"/>
      <c r="O143" s="166"/>
      <c r="P143" s="166"/>
      <c r="Q143" s="139">
        <f>Q141/Q142</f>
        <v>-2.9452107810779703E-3</v>
      </c>
      <c r="R143" s="166"/>
      <c r="S143" s="166"/>
      <c r="T143" s="166"/>
      <c r="U143" s="166"/>
      <c r="V143" s="166"/>
      <c r="W143" s="166"/>
      <c r="X143" s="139" t="e">
        <f>X141/X142</f>
        <v>#DIV/0!</v>
      </c>
      <c r="Y143" s="166"/>
      <c r="Z143" s="166"/>
      <c r="AA143" s="166"/>
      <c r="AB143" s="166"/>
      <c r="AC143" s="166"/>
      <c r="AD143" s="166"/>
      <c r="AE143" s="139" t="e">
        <f>AE141/AE142</f>
        <v>#DIV/0!</v>
      </c>
      <c r="AF143" s="166"/>
      <c r="AG143" s="166"/>
      <c r="AH143" s="166"/>
      <c r="AI143" s="166"/>
      <c r="AJ143" s="166"/>
      <c r="AK143" s="166"/>
      <c r="AL143" s="139" t="e">
        <f>AL141/AL142</f>
        <v>#DIV/0!</v>
      </c>
      <c r="AM143" s="166"/>
      <c r="AN143" s="166"/>
      <c r="AO143" s="166"/>
      <c r="AP143" s="166"/>
      <c r="AQ143" s="166"/>
      <c r="AR143" s="166"/>
      <c r="AS143" s="139" t="e">
        <f>AS141/AS142</f>
        <v>#DIV/0!</v>
      </c>
      <c r="AT143" s="166"/>
      <c r="AU143" s="166"/>
      <c r="AV143" s="166"/>
      <c r="AW143" s="166"/>
      <c r="AX143" s="166"/>
      <c r="AY143" s="166"/>
      <c r="AZ143" s="139" t="e">
        <f>AZ141/AZ142</f>
        <v>#DIV/0!</v>
      </c>
      <c r="BA143" s="166"/>
      <c r="BB143" s="166"/>
      <c r="BC143" s="166"/>
      <c r="BD143" s="166"/>
      <c r="BE143" s="166"/>
      <c r="BF143" s="166"/>
      <c r="BG143" s="139" t="e">
        <f>BG141/BG142</f>
        <v>#DIV/0!</v>
      </c>
      <c r="BH143" s="166"/>
      <c r="BI143" s="166"/>
      <c r="BJ143" s="166"/>
      <c r="BK143" s="166"/>
      <c r="BL143" s="166"/>
      <c r="BM143" s="166"/>
      <c r="BN143" s="139" t="e">
        <f>BN141/BN142</f>
        <v>#DIV/0!</v>
      </c>
      <c r="BO143" s="166"/>
      <c r="BP143" s="166"/>
      <c r="BQ143" s="166"/>
      <c r="BR143" s="166"/>
      <c r="BS143" s="166"/>
      <c r="BT143" s="166"/>
      <c r="BU143" s="139" t="e">
        <f>BU141/BU142</f>
        <v>#DIV/0!</v>
      </c>
      <c r="BV143" s="166"/>
      <c r="BW143" s="166"/>
      <c r="BX143" s="166"/>
      <c r="BY143" s="166"/>
      <c r="BZ143" s="166"/>
      <c r="CA143" s="166"/>
      <c r="CB143" s="139" t="e">
        <f>CB141/CB142</f>
        <v>#DIV/0!</v>
      </c>
      <c r="CC143" s="166"/>
      <c r="CD143" s="166"/>
      <c r="CE143" s="166"/>
      <c r="CF143" s="166"/>
      <c r="CG143" s="166"/>
      <c r="CH143" s="166"/>
      <c r="CI143" s="139" t="e">
        <f>CI141/CI142</f>
        <v>#DIV/0!</v>
      </c>
      <c r="CJ143" s="137">
        <f t="shared" ref="CJ143:CO143" si="71">CJ73+CJ70</f>
        <v>0</v>
      </c>
      <c r="CK143" s="137">
        <f t="shared" si="71"/>
        <v>0</v>
      </c>
      <c r="CL143" s="137">
        <f t="shared" si="71"/>
        <v>0</v>
      </c>
      <c r="CM143" s="137">
        <f t="shared" si="71"/>
        <v>0</v>
      </c>
      <c r="CN143" s="137">
        <f t="shared" si="71"/>
        <v>0</v>
      </c>
      <c r="CO143" s="137">
        <f t="shared" si="71"/>
        <v>0</v>
      </c>
      <c r="CP143" s="137"/>
    </row>
    <row r="144" spans="2:94" x14ac:dyDescent="0.2">
      <c r="B144" s="105" t="s">
        <v>385</v>
      </c>
      <c r="D144" s="137"/>
      <c r="E144" s="137"/>
      <c r="F144" s="137"/>
      <c r="G144" s="137"/>
      <c r="H144" s="137"/>
      <c r="I144" s="137"/>
      <c r="J144" s="137">
        <f>J73+J70</f>
        <v>104971798.32999998</v>
      </c>
      <c r="K144" s="137"/>
      <c r="L144" s="137"/>
      <c r="M144" s="137"/>
      <c r="N144" s="137"/>
      <c r="O144" s="137"/>
      <c r="P144" s="137"/>
      <c r="Q144" s="137">
        <f>Q73+Q70</f>
        <v>104971798.32999998</v>
      </c>
      <c r="R144" s="137"/>
      <c r="S144" s="137"/>
      <c r="T144" s="137"/>
      <c r="U144" s="137"/>
      <c r="V144" s="137"/>
      <c r="W144" s="137"/>
      <c r="X144" s="137">
        <f>X73+X70</f>
        <v>104971798.32999998</v>
      </c>
      <c r="Y144" s="137"/>
      <c r="Z144" s="137"/>
      <c r="AA144" s="137"/>
      <c r="AB144" s="137"/>
      <c r="AC144" s="137"/>
      <c r="AD144" s="137"/>
      <c r="AE144" s="137">
        <f>AE73+AE70</f>
        <v>104971798.32999998</v>
      </c>
      <c r="AF144" s="137"/>
      <c r="AG144" s="137"/>
      <c r="AH144" s="137"/>
      <c r="AI144" s="137"/>
      <c r="AJ144" s="137"/>
      <c r="AK144" s="137"/>
      <c r="AL144" s="137">
        <f>AL73+AL70</f>
        <v>104971798.32999998</v>
      </c>
      <c r="AM144" s="137"/>
      <c r="AN144" s="137"/>
      <c r="AO144" s="137"/>
      <c r="AP144" s="137"/>
      <c r="AQ144" s="137"/>
      <c r="AR144" s="137"/>
      <c r="AS144" s="137">
        <f>AS73+AS70</f>
        <v>104971798.32999998</v>
      </c>
      <c r="AT144" s="137"/>
      <c r="AU144" s="137"/>
      <c r="AV144" s="137"/>
      <c r="AW144" s="137"/>
      <c r="AX144" s="137"/>
      <c r="AY144" s="137"/>
      <c r="AZ144" s="137">
        <f>AZ73+AZ70</f>
        <v>104971798.32999998</v>
      </c>
      <c r="BA144" s="137"/>
      <c r="BB144" s="137"/>
      <c r="BC144" s="137"/>
      <c r="BD144" s="137"/>
      <c r="BE144" s="137"/>
      <c r="BF144" s="137"/>
      <c r="BG144" s="137">
        <f>BG73+BG70</f>
        <v>104971798.32999998</v>
      </c>
      <c r="BH144" s="137"/>
      <c r="BI144" s="137"/>
      <c r="BJ144" s="137"/>
      <c r="BK144" s="137"/>
      <c r="BL144" s="137"/>
      <c r="BM144" s="137"/>
      <c r="BN144" s="137">
        <f>BN73+BN70</f>
        <v>104971798.32999998</v>
      </c>
      <c r="BO144" s="137"/>
      <c r="BP144" s="137"/>
      <c r="BQ144" s="137"/>
      <c r="BR144" s="137"/>
      <c r="BS144" s="137"/>
      <c r="BT144" s="137"/>
      <c r="BU144" s="137">
        <f>BU73+BU70</f>
        <v>104971798.32999998</v>
      </c>
      <c r="BV144" s="137"/>
      <c r="BW144" s="137"/>
      <c r="BX144" s="137"/>
      <c r="BY144" s="137"/>
      <c r="BZ144" s="137"/>
      <c r="CA144" s="137"/>
      <c r="CB144" s="137">
        <f>CB73+CB70</f>
        <v>104971798.32999998</v>
      </c>
      <c r="CC144" s="137"/>
      <c r="CD144" s="137"/>
      <c r="CE144" s="137"/>
      <c r="CF144" s="137"/>
      <c r="CG144" s="137"/>
      <c r="CH144" s="137"/>
      <c r="CI144" s="137">
        <f>CI73+CI70</f>
        <v>104971798.32999998</v>
      </c>
      <c r="CJ144" s="137">
        <f t="shared" ref="CJ144:CO144" si="72">CJ81</f>
        <v>0</v>
      </c>
      <c r="CK144" s="137">
        <f t="shared" si="72"/>
        <v>0</v>
      </c>
      <c r="CL144" s="137">
        <f t="shared" si="72"/>
        <v>0</v>
      </c>
      <c r="CM144" s="137">
        <f t="shared" si="72"/>
        <v>0</v>
      </c>
      <c r="CN144" s="137">
        <f t="shared" si="72"/>
        <v>0</v>
      </c>
      <c r="CO144" s="137">
        <f t="shared" si="72"/>
        <v>0</v>
      </c>
      <c r="CP144" s="137"/>
    </row>
    <row r="145" spans="2:94" x14ac:dyDescent="0.2">
      <c r="B145" s="105" t="s">
        <v>386</v>
      </c>
      <c r="D145" s="137"/>
      <c r="E145" s="137"/>
      <c r="F145" s="137"/>
      <c r="G145" s="137"/>
      <c r="H145" s="137"/>
      <c r="I145" s="137"/>
      <c r="J145" s="137">
        <f>J81</f>
        <v>1851157342.75</v>
      </c>
      <c r="K145" s="137"/>
      <c r="L145" s="137"/>
      <c r="M145" s="137"/>
      <c r="N145" s="137"/>
      <c r="O145" s="137"/>
      <c r="P145" s="137"/>
      <c r="Q145" s="137">
        <f>Q81</f>
        <v>1842480145.75</v>
      </c>
      <c r="R145" s="137"/>
      <c r="S145" s="137"/>
      <c r="T145" s="137"/>
      <c r="U145" s="137"/>
      <c r="V145" s="137"/>
      <c r="W145" s="137"/>
      <c r="X145" s="137">
        <f>X81</f>
        <v>1842480145.75</v>
      </c>
      <c r="Y145" s="137"/>
      <c r="Z145" s="137"/>
      <c r="AA145" s="137"/>
      <c r="AB145" s="137"/>
      <c r="AC145" s="137"/>
      <c r="AD145" s="137"/>
      <c r="AE145" s="137">
        <f>AE81</f>
        <v>1842480145.75</v>
      </c>
      <c r="AF145" s="137"/>
      <c r="AG145" s="137"/>
      <c r="AH145" s="137"/>
      <c r="AI145" s="137"/>
      <c r="AJ145" s="137"/>
      <c r="AK145" s="137"/>
      <c r="AL145" s="137">
        <f>AL81</f>
        <v>1842480145.75</v>
      </c>
      <c r="AM145" s="137"/>
      <c r="AN145" s="137"/>
      <c r="AO145" s="137"/>
      <c r="AP145" s="137"/>
      <c r="AQ145" s="137"/>
      <c r="AR145" s="137"/>
      <c r="AS145" s="137">
        <f>AS81</f>
        <v>1842480145.75</v>
      </c>
      <c r="AT145" s="137"/>
      <c r="AU145" s="137"/>
      <c r="AV145" s="137"/>
      <c r="AW145" s="137"/>
      <c r="AX145" s="137"/>
      <c r="AY145" s="137"/>
      <c r="AZ145" s="137">
        <f>AZ81</f>
        <v>1842480145.75</v>
      </c>
      <c r="BA145" s="137"/>
      <c r="BB145" s="137"/>
      <c r="BC145" s="137"/>
      <c r="BD145" s="137"/>
      <c r="BE145" s="137"/>
      <c r="BF145" s="137"/>
      <c r="BG145" s="137">
        <f>BG81</f>
        <v>1842480145.75</v>
      </c>
      <c r="BH145" s="137"/>
      <c r="BI145" s="137"/>
      <c r="BJ145" s="137"/>
      <c r="BK145" s="137"/>
      <c r="BL145" s="137"/>
      <c r="BM145" s="137"/>
      <c r="BN145" s="137">
        <f>BN81</f>
        <v>1842480145.75</v>
      </c>
      <c r="BO145" s="137"/>
      <c r="BP145" s="137"/>
      <c r="BQ145" s="137"/>
      <c r="BR145" s="137"/>
      <c r="BS145" s="137"/>
      <c r="BT145" s="137"/>
      <c r="BU145" s="137">
        <f>BU81</f>
        <v>1842480145.75</v>
      </c>
      <c r="BV145" s="137"/>
      <c r="BW145" s="137"/>
      <c r="BX145" s="137"/>
      <c r="BY145" s="137"/>
      <c r="BZ145" s="137"/>
      <c r="CA145" s="137"/>
      <c r="CB145" s="137">
        <f>CB81</f>
        <v>1842480145.75</v>
      </c>
      <c r="CC145" s="137"/>
      <c r="CD145" s="137"/>
      <c r="CE145" s="137"/>
      <c r="CF145" s="137"/>
      <c r="CG145" s="137"/>
      <c r="CH145" s="137"/>
      <c r="CI145" s="137">
        <f>CI81</f>
        <v>1842480145.75</v>
      </c>
      <c r="CJ145" s="139" t="e">
        <f t="shared" ref="CJ145:CO145" si="73">CJ143/(CJ143+CJ144)</f>
        <v>#DIV/0!</v>
      </c>
      <c r="CK145" s="139" t="e">
        <f t="shared" si="73"/>
        <v>#DIV/0!</v>
      </c>
      <c r="CL145" s="139" t="e">
        <f t="shared" si="73"/>
        <v>#DIV/0!</v>
      </c>
      <c r="CM145" s="139" t="e">
        <f t="shared" si="73"/>
        <v>#DIV/0!</v>
      </c>
      <c r="CN145" s="139" t="e">
        <f t="shared" si="73"/>
        <v>#DIV/0!</v>
      </c>
      <c r="CO145" s="139" t="e">
        <f t="shared" si="73"/>
        <v>#DIV/0!</v>
      </c>
      <c r="CP145" s="139"/>
    </row>
    <row r="146" spans="2:94" x14ac:dyDescent="0.2">
      <c r="B146" s="105" t="s">
        <v>387</v>
      </c>
      <c r="D146" s="139"/>
      <c r="E146" s="139"/>
      <c r="F146" s="139"/>
      <c r="G146" s="139"/>
      <c r="H146" s="139"/>
      <c r="I146" s="139"/>
      <c r="J146" s="139">
        <f>J144/(J144+J145)</f>
        <v>5.3663020567263735E-2</v>
      </c>
      <c r="K146" s="139"/>
      <c r="L146" s="139"/>
      <c r="M146" s="139"/>
      <c r="N146" s="139"/>
      <c r="O146" s="139"/>
      <c r="P146" s="139"/>
      <c r="Q146" s="139">
        <f>Q144/(Q144+Q145)</f>
        <v>5.3902125107169171E-2</v>
      </c>
      <c r="R146" s="139"/>
      <c r="S146" s="139"/>
      <c r="T146" s="139"/>
      <c r="U146" s="139"/>
      <c r="V146" s="139"/>
      <c r="W146" s="139"/>
      <c r="X146" s="139">
        <f>X144/(X144+X145)</f>
        <v>5.3902125107169171E-2</v>
      </c>
      <c r="Y146" s="139"/>
      <c r="Z146" s="139"/>
      <c r="AA146" s="139"/>
      <c r="AB146" s="139"/>
      <c r="AC146" s="139"/>
      <c r="AD146" s="139"/>
      <c r="AE146" s="139">
        <f>AE144/(AE144+AE145)</f>
        <v>5.3902125107169171E-2</v>
      </c>
      <c r="AF146" s="139"/>
      <c r="AG146" s="139"/>
      <c r="AH146" s="139"/>
      <c r="AI146" s="139"/>
      <c r="AJ146" s="139"/>
      <c r="AK146" s="139"/>
      <c r="AL146" s="139">
        <f>AL144/(AL144+AL145)</f>
        <v>5.3902125107169171E-2</v>
      </c>
      <c r="AM146" s="139"/>
      <c r="AN146" s="139"/>
      <c r="AO146" s="139"/>
      <c r="AP146" s="139"/>
      <c r="AQ146" s="139"/>
      <c r="AR146" s="139"/>
      <c r="AS146" s="139">
        <f>AS144/(AS144+AS145)</f>
        <v>5.3902125107169171E-2</v>
      </c>
      <c r="AT146" s="139"/>
      <c r="AU146" s="139"/>
      <c r="AV146" s="139"/>
      <c r="AW146" s="139"/>
      <c r="AX146" s="139"/>
      <c r="AY146" s="139"/>
      <c r="AZ146" s="139">
        <f>AZ144/(AZ144+AZ145)</f>
        <v>5.3902125107169171E-2</v>
      </c>
      <c r="BA146" s="139"/>
      <c r="BB146" s="139"/>
      <c r="BC146" s="139"/>
      <c r="BD146" s="139"/>
      <c r="BE146" s="139"/>
      <c r="BF146" s="139"/>
      <c r="BG146" s="139">
        <f>BG144/(BG144+BG145)</f>
        <v>5.3902125107169171E-2</v>
      </c>
      <c r="BH146" s="139"/>
      <c r="BI146" s="139"/>
      <c r="BJ146" s="139"/>
      <c r="BK146" s="139"/>
      <c r="BL146" s="139"/>
      <c r="BM146" s="139"/>
      <c r="BN146" s="139">
        <f>BN144/(BN144+BN145)</f>
        <v>5.3902125107169171E-2</v>
      </c>
      <c r="BO146" s="139"/>
      <c r="BP146" s="139"/>
      <c r="BQ146" s="139"/>
      <c r="BR146" s="139"/>
      <c r="BS146" s="139"/>
      <c r="BT146" s="139"/>
      <c r="BU146" s="139">
        <f>BU144/(BU144+BU145)</f>
        <v>5.3902125107169171E-2</v>
      </c>
      <c r="BV146" s="139"/>
      <c r="BW146" s="139"/>
      <c r="BX146" s="139"/>
      <c r="BY146" s="139"/>
      <c r="BZ146" s="139"/>
      <c r="CA146" s="139"/>
      <c r="CB146" s="139">
        <f>CB144/(CB144+CB145)</f>
        <v>5.3902125107169171E-2</v>
      </c>
      <c r="CC146" s="139"/>
      <c r="CD146" s="139"/>
      <c r="CE146" s="139"/>
      <c r="CF146" s="139"/>
      <c r="CG146" s="139"/>
      <c r="CH146" s="139"/>
      <c r="CI146" s="139">
        <f>CI144/(CI144+CI145)</f>
        <v>5.3902125107169171E-2</v>
      </c>
      <c r="CJ146" s="139" t="e">
        <f t="shared" ref="CJ146:CO146" si="74">CJ144/(CJ143+CJ144)</f>
        <v>#DIV/0!</v>
      </c>
      <c r="CK146" s="139" t="e">
        <f t="shared" si="74"/>
        <v>#DIV/0!</v>
      </c>
      <c r="CL146" s="139" t="e">
        <f t="shared" si="74"/>
        <v>#DIV/0!</v>
      </c>
      <c r="CM146" s="139" t="e">
        <f t="shared" si="74"/>
        <v>#DIV/0!</v>
      </c>
      <c r="CN146" s="139" t="e">
        <f t="shared" si="74"/>
        <v>#DIV/0!</v>
      </c>
      <c r="CO146" s="139" t="e">
        <f t="shared" si="74"/>
        <v>#DIV/0!</v>
      </c>
      <c r="CP146" s="139"/>
    </row>
    <row r="147" spans="2:94" x14ac:dyDescent="0.2">
      <c r="B147" s="105" t="s">
        <v>388</v>
      </c>
      <c r="D147" s="139"/>
      <c r="E147" s="139"/>
      <c r="F147" s="139"/>
      <c r="G147" s="139"/>
      <c r="H147" s="139"/>
      <c r="I147" s="139"/>
      <c r="J147" s="139">
        <f>J145/(J144+J145)</f>
        <v>0.94633697943273631</v>
      </c>
      <c r="K147" s="139"/>
      <c r="L147" s="139"/>
      <c r="M147" s="139"/>
      <c r="N147" s="139"/>
      <c r="O147" s="139"/>
      <c r="P147" s="139"/>
      <c r="Q147" s="139">
        <f>Q145/(Q144+Q145)</f>
        <v>0.94609787489283081</v>
      </c>
      <c r="R147" s="139"/>
      <c r="S147" s="139"/>
      <c r="T147" s="139"/>
      <c r="U147" s="139"/>
      <c r="V147" s="139"/>
      <c r="W147" s="139"/>
      <c r="X147" s="139">
        <f>X145/(X144+X145)</f>
        <v>0.94609787489283081</v>
      </c>
      <c r="Y147" s="139"/>
      <c r="Z147" s="139"/>
      <c r="AA147" s="139"/>
      <c r="AB147" s="139"/>
      <c r="AC147" s="139"/>
      <c r="AD147" s="139"/>
      <c r="AE147" s="139">
        <f>AE145/(AE144+AE145)</f>
        <v>0.94609787489283081</v>
      </c>
      <c r="AF147" s="139"/>
      <c r="AG147" s="139"/>
      <c r="AH147" s="139"/>
      <c r="AI147" s="139"/>
      <c r="AJ147" s="139"/>
      <c r="AK147" s="139"/>
      <c r="AL147" s="139">
        <f>AL145/(AL144+AL145)</f>
        <v>0.94609787489283081</v>
      </c>
      <c r="AM147" s="139"/>
      <c r="AN147" s="139"/>
      <c r="AO147" s="139"/>
      <c r="AP147" s="139"/>
      <c r="AQ147" s="139"/>
      <c r="AR147" s="139"/>
      <c r="AS147" s="139">
        <f>AS145/(AS144+AS145)</f>
        <v>0.94609787489283081</v>
      </c>
      <c r="AT147" s="139"/>
      <c r="AU147" s="139"/>
      <c r="AV147" s="139"/>
      <c r="AW147" s="139"/>
      <c r="AX147" s="139"/>
      <c r="AY147" s="139"/>
      <c r="AZ147" s="139">
        <f>AZ145/(AZ144+AZ145)</f>
        <v>0.94609787489283081</v>
      </c>
      <c r="BA147" s="139"/>
      <c r="BB147" s="139"/>
      <c r="BC147" s="139"/>
      <c r="BD147" s="139"/>
      <c r="BE147" s="139"/>
      <c r="BF147" s="139"/>
      <c r="BG147" s="139">
        <f>BG145/(BG144+BG145)</f>
        <v>0.94609787489283081</v>
      </c>
      <c r="BH147" s="139"/>
      <c r="BI147" s="139"/>
      <c r="BJ147" s="139"/>
      <c r="BK147" s="139"/>
      <c r="BL147" s="139"/>
      <c r="BM147" s="139"/>
      <c r="BN147" s="139">
        <f>BN145/(BN144+BN145)</f>
        <v>0.94609787489283081</v>
      </c>
      <c r="BO147" s="139"/>
      <c r="BP147" s="139"/>
      <c r="BQ147" s="139"/>
      <c r="BR147" s="139"/>
      <c r="BS147" s="139"/>
      <c r="BT147" s="139"/>
      <c r="BU147" s="139">
        <f>BU145/(BU144+BU145)</f>
        <v>0.94609787489283081</v>
      </c>
      <c r="BV147" s="139"/>
      <c r="BW147" s="139"/>
      <c r="BX147" s="139"/>
      <c r="BY147" s="139"/>
      <c r="BZ147" s="139"/>
      <c r="CA147" s="139"/>
      <c r="CB147" s="139">
        <f>CB145/(CB144+CB145)</f>
        <v>0.94609787489283081</v>
      </c>
      <c r="CC147" s="139"/>
      <c r="CD147" s="139"/>
      <c r="CE147" s="139"/>
      <c r="CF147" s="139"/>
      <c r="CG147" s="139"/>
      <c r="CH147" s="139"/>
      <c r="CI147" s="139">
        <f>CI145/(CI144+CI145)</f>
        <v>0.94609787489283081</v>
      </c>
      <c r="CJ147" s="139" t="e">
        <f t="shared" ref="CJ147:CO147" si="75">CJ45/CJ143</f>
        <v>#DIV/0!</v>
      </c>
      <c r="CK147" s="139" t="e">
        <f t="shared" si="75"/>
        <v>#DIV/0!</v>
      </c>
      <c r="CL147" s="139" t="e">
        <f t="shared" si="75"/>
        <v>#DIV/0!</v>
      </c>
      <c r="CM147" s="139" t="e">
        <f t="shared" si="75"/>
        <v>#DIV/0!</v>
      </c>
      <c r="CN147" s="139" t="e">
        <f t="shared" si="75"/>
        <v>#DIV/0!</v>
      </c>
      <c r="CO147" s="139" t="e">
        <f t="shared" si="75"/>
        <v>#DIV/0!</v>
      </c>
      <c r="CP147" s="139"/>
    </row>
    <row r="148" spans="2:94" x14ac:dyDescent="0.2">
      <c r="B148" s="105" t="s">
        <v>389</v>
      </c>
      <c r="D148" s="139"/>
      <c r="E148" s="139"/>
      <c r="F148" s="139"/>
      <c r="G148" s="139"/>
      <c r="H148" s="139"/>
      <c r="I148" s="139"/>
      <c r="J148" s="139">
        <f>J45/J144</f>
        <v>8.2023173242515627E-5</v>
      </c>
      <c r="K148" s="139"/>
      <c r="L148" s="139"/>
      <c r="M148" s="139"/>
      <c r="N148" s="139"/>
      <c r="O148" s="139"/>
      <c r="P148" s="139"/>
      <c r="Q148" s="139">
        <f>Q45/Q144</f>
        <v>0</v>
      </c>
      <c r="R148" s="139"/>
      <c r="S148" s="139"/>
      <c r="T148" s="139"/>
      <c r="U148" s="139"/>
      <c r="V148" s="139"/>
      <c r="W148" s="139"/>
      <c r="X148" s="139">
        <f>X45/X144</f>
        <v>0</v>
      </c>
      <c r="Y148" s="139"/>
      <c r="Z148" s="139"/>
      <c r="AA148" s="139"/>
      <c r="AB148" s="139"/>
      <c r="AC148" s="139"/>
      <c r="AD148" s="139"/>
      <c r="AE148" s="139">
        <f>AE45/AE144</f>
        <v>0</v>
      </c>
      <c r="AF148" s="139"/>
      <c r="AG148" s="139"/>
      <c r="AH148" s="139"/>
      <c r="AI148" s="139"/>
      <c r="AJ148" s="139"/>
      <c r="AK148" s="139"/>
      <c r="AL148" s="139">
        <f>AL45/AL144</f>
        <v>0</v>
      </c>
      <c r="AM148" s="139"/>
      <c r="AN148" s="139"/>
      <c r="AO148" s="139"/>
      <c r="AP148" s="139"/>
      <c r="AQ148" s="139"/>
      <c r="AR148" s="139"/>
      <c r="AS148" s="139">
        <f>AS45/AS144</f>
        <v>0</v>
      </c>
      <c r="AT148" s="139"/>
      <c r="AU148" s="139"/>
      <c r="AV148" s="139"/>
      <c r="AW148" s="139"/>
      <c r="AX148" s="139"/>
      <c r="AY148" s="139"/>
      <c r="AZ148" s="139">
        <f>AZ45/AZ144</f>
        <v>0</v>
      </c>
      <c r="BA148" s="139"/>
      <c r="BB148" s="139"/>
      <c r="BC148" s="139"/>
      <c r="BD148" s="139"/>
      <c r="BE148" s="139"/>
      <c r="BF148" s="139"/>
      <c r="BG148" s="139">
        <f>BG45/BG144</f>
        <v>0</v>
      </c>
      <c r="BH148" s="139"/>
      <c r="BI148" s="139"/>
      <c r="BJ148" s="139"/>
      <c r="BK148" s="139"/>
      <c r="BL148" s="139"/>
      <c r="BM148" s="139"/>
      <c r="BN148" s="139">
        <f>BN45/BN144</f>
        <v>0</v>
      </c>
      <c r="BO148" s="139"/>
      <c r="BP148" s="139"/>
      <c r="BQ148" s="139"/>
      <c r="BR148" s="139"/>
      <c r="BS148" s="139"/>
      <c r="BT148" s="139"/>
      <c r="BU148" s="139">
        <f>BU45/BU144</f>
        <v>0</v>
      </c>
      <c r="BV148" s="139"/>
      <c r="BW148" s="139"/>
      <c r="BX148" s="139"/>
      <c r="BY148" s="139"/>
      <c r="BZ148" s="139"/>
      <c r="CA148" s="139"/>
      <c r="CB148" s="139">
        <f>CB45/CB144</f>
        <v>0</v>
      </c>
      <c r="CC148" s="139"/>
      <c r="CD148" s="139"/>
      <c r="CE148" s="139"/>
      <c r="CF148" s="139"/>
      <c r="CG148" s="139"/>
      <c r="CH148" s="139"/>
      <c r="CI148" s="139">
        <f>CI45/CI144</f>
        <v>0</v>
      </c>
      <c r="CJ148" s="135" t="e">
        <f t="shared" ref="CJ148:CO148" si="76">CJ147*(1-CJ139)</f>
        <v>#DIV/0!</v>
      </c>
      <c r="CK148" s="135" t="e">
        <f t="shared" si="76"/>
        <v>#DIV/0!</v>
      </c>
      <c r="CL148" s="135" t="e">
        <f t="shared" si="76"/>
        <v>#DIV/0!</v>
      </c>
      <c r="CM148" s="135" t="e">
        <f t="shared" si="76"/>
        <v>#DIV/0!</v>
      </c>
      <c r="CN148" s="135" t="e">
        <f t="shared" si="76"/>
        <v>#DIV/0!</v>
      </c>
      <c r="CO148" s="135" t="e">
        <f t="shared" si="76"/>
        <v>#DIV/0!</v>
      </c>
      <c r="CP148" s="135"/>
    </row>
    <row r="149" spans="2:94" ht="16" x14ac:dyDescent="0.2">
      <c r="B149" s="105" t="s">
        <v>390</v>
      </c>
      <c r="D149" s="135"/>
      <c r="E149" s="135"/>
      <c r="F149" s="135"/>
      <c r="G149" s="135"/>
      <c r="H149" s="135"/>
      <c r="I149" s="135"/>
      <c r="J149" s="135">
        <f>J148*(1-J140)</f>
        <v>8.2023173242515627E-5</v>
      </c>
      <c r="K149" s="135"/>
      <c r="L149" s="135"/>
      <c r="M149" s="135"/>
      <c r="N149" s="135"/>
      <c r="O149" s="135"/>
      <c r="P149" s="135"/>
      <c r="Q149" s="135">
        <f>Q148*(1-Q140)</f>
        <v>0</v>
      </c>
      <c r="R149" s="135"/>
      <c r="S149" s="135"/>
      <c r="T149" s="135"/>
      <c r="U149" s="135"/>
      <c r="V149" s="135"/>
      <c r="W149" s="135"/>
      <c r="X149" s="135" t="e">
        <f>X148*(1-X140)</f>
        <v>#DIV/0!</v>
      </c>
      <c r="Y149" s="135"/>
      <c r="Z149" s="135"/>
      <c r="AA149" s="135"/>
      <c r="AB149" s="135"/>
      <c r="AC149" s="135"/>
      <c r="AD149" s="135"/>
      <c r="AE149" s="135" t="e">
        <f>AE148*(1-AE140)</f>
        <v>#DIV/0!</v>
      </c>
      <c r="AF149" s="135"/>
      <c r="AG149" s="135"/>
      <c r="AH149" s="135"/>
      <c r="AI149" s="135"/>
      <c r="AJ149" s="135"/>
      <c r="AK149" s="135"/>
      <c r="AL149" s="135" t="e">
        <f>AL148*(1-AL140)</f>
        <v>#DIV/0!</v>
      </c>
      <c r="AM149" s="135"/>
      <c r="AN149" s="135"/>
      <c r="AO149" s="135"/>
      <c r="AP149" s="135"/>
      <c r="AQ149" s="135"/>
      <c r="AR149" s="135"/>
      <c r="AS149" s="135" t="e">
        <f>AS148*(1-AS140)</f>
        <v>#DIV/0!</v>
      </c>
      <c r="AT149" s="135"/>
      <c r="AU149" s="135"/>
      <c r="AV149" s="135"/>
      <c r="AW149" s="135"/>
      <c r="AX149" s="135"/>
      <c r="AY149" s="135"/>
      <c r="AZ149" s="135" t="e">
        <f>AZ148*(1-AZ140)</f>
        <v>#DIV/0!</v>
      </c>
      <c r="BA149" s="135"/>
      <c r="BB149" s="135"/>
      <c r="BC149" s="135"/>
      <c r="BD149" s="135"/>
      <c r="BE149" s="135"/>
      <c r="BF149" s="135"/>
      <c r="BG149" s="135" t="e">
        <f>BG148*(1-BG140)</f>
        <v>#DIV/0!</v>
      </c>
      <c r="BH149" s="135"/>
      <c r="BI149" s="135"/>
      <c r="BJ149" s="135"/>
      <c r="BK149" s="135"/>
      <c r="BL149" s="135"/>
      <c r="BM149" s="135"/>
      <c r="BN149" s="135" t="e">
        <f>BN148*(1-BN140)</f>
        <v>#DIV/0!</v>
      </c>
      <c r="BO149" s="135"/>
      <c r="BP149" s="135"/>
      <c r="BQ149" s="135"/>
      <c r="BR149" s="135"/>
      <c r="BS149" s="135"/>
      <c r="BT149" s="135"/>
      <c r="BU149" s="135" t="e">
        <f>BU148*(1-BU140)</f>
        <v>#DIV/0!</v>
      </c>
      <c r="BV149" s="135"/>
      <c r="BW149" s="135"/>
      <c r="BX149" s="135"/>
      <c r="BY149" s="135"/>
      <c r="BZ149" s="135"/>
      <c r="CA149" s="135"/>
      <c r="CB149" s="135" t="e">
        <f>CB148*(1-CB140)</f>
        <v>#DIV/0!</v>
      </c>
      <c r="CC149" s="135"/>
      <c r="CD149" s="135"/>
      <c r="CE149" s="135"/>
      <c r="CF149" s="135"/>
      <c r="CG149" s="135"/>
      <c r="CH149" s="135"/>
      <c r="CI149" s="135" t="e">
        <f>CI148*(1-CI140)</f>
        <v>#DIV/0!</v>
      </c>
      <c r="CJ149" s="175">
        <v>28.73</v>
      </c>
      <c r="CK149" s="175">
        <f>CJ149</f>
        <v>28.73</v>
      </c>
      <c r="CL149" s="175">
        <f>CK149</f>
        <v>28.73</v>
      </c>
      <c r="CM149" s="175">
        <v>29.73</v>
      </c>
      <c r="CN149" s="175">
        <f>CM149</f>
        <v>29.73</v>
      </c>
      <c r="CO149" s="175">
        <f>CN149</f>
        <v>29.73</v>
      </c>
      <c r="CP149" s="175"/>
    </row>
    <row r="150" spans="2:94" ht="16" x14ac:dyDescent="0.2">
      <c r="B150" s="237" t="s">
        <v>445</v>
      </c>
      <c r="C150" s="238"/>
      <c r="D150" s="241"/>
      <c r="E150" s="241"/>
      <c r="F150" s="241"/>
      <c r="G150" s="241"/>
      <c r="H150" s="241"/>
      <c r="I150" s="241"/>
      <c r="J150" s="241">
        <v>0.89</v>
      </c>
      <c r="K150" s="241"/>
      <c r="L150" s="241"/>
      <c r="M150" s="241"/>
      <c r="N150" s="241"/>
      <c r="O150" s="241"/>
      <c r="P150" s="241"/>
      <c r="Q150" s="241">
        <v>0.89</v>
      </c>
      <c r="R150" s="241"/>
      <c r="S150" s="241"/>
      <c r="T150" s="241"/>
      <c r="U150" s="241"/>
      <c r="V150" s="241"/>
      <c r="W150" s="241"/>
      <c r="X150" s="241">
        <v>0.89</v>
      </c>
      <c r="Y150" s="241"/>
      <c r="Z150" s="241"/>
      <c r="AA150" s="241"/>
      <c r="AB150" s="241"/>
      <c r="AC150" s="241"/>
      <c r="AD150" s="241"/>
      <c r="AE150" s="241">
        <v>0.89</v>
      </c>
      <c r="AF150" s="241"/>
      <c r="AG150" s="241"/>
      <c r="AH150" s="241"/>
      <c r="AI150" s="241"/>
      <c r="AJ150" s="241"/>
      <c r="AK150" s="241"/>
      <c r="AL150" s="241">
        <v>0.89</v>
      </c>
      <c r="AM150" s="241"/>
      <c r="AN150" s="241"/>
      <c r="AO150" s="241"/>
      <c r="AP150" s="241"/>
      <c r="AQ150" s="241"/>
      <c r="AR150" s="241"/>
      <c r="AS150" s="241">
        <v>0.89</v>
      </c>
      <c r="AT150" s="241"/>
      <c r="AU150" s="241"/>
      <c r="AV150" s="241"/>
      <c r="AW150" s="241"/>
      <c r="AX150" s="241"/>
      <c r="AY150" s="241"/>
      <c r="AZ150" s="241">
        <v>0.89</v>
      </c>
      <c r="BA150" s="241"/>
      <c r="BB150" s="241"/>
      <c r="BC150" s="241"/>
      <c r="BD150" s="241"/>
      <c r="BE150" s="241"/>
      <c r="BF150" s="241"/>
      <c r="BG150" s="241">
        <v>0.89</v>
      </c>
      <c r="BH150" s="241"/>
      <c r="BI150" s="241"/>
      <c r="BJ150" s="241"/>
      <c r="BK150" s="241"/>
      <c r="BL150" s="241"/>
      <c r="BM150" s="241"/>
      <c r="BN150" s="241">
        <v>0.89</v>
      </c>
      <c r="BO150" s="241"/>
      <c r="BP150" s="241"/>
      <c r="BQ150" s="241"/>
      <c r="BR150" s="241"/>
      <c r="BS150" s="241"/>
      <c r="BT150" s="241"/>
      <c r="BU150" s="241">
        <v>0.89</v>
      </c>
      <c r="BV150" s="241"/>
      <c r="BW150" s="241"/>
      <c r="BX150" s="241"/>
      <c r="BY150" s="241"/>
      <c r="BZ150" s="241"/>
      <c r="CA150" s="241"/>
      <c r="CB150" s="241">
        <v>0.89</v>
      </c>
      <c r="CC150" s="241"/>
      <c r="CD150" s="241"/>
      <c r="CE150" s="241"/>
      <c r="CF150" s="241"/>
      <c r="CG150" s="241"/>
      <c r="CH150" s="241"/>
      <c r="CI150" s="241">
        <v>0.89</v>
      </c>
      <c r="CJ150" s="164" t="e">
        <f t="shared" ref="CJ150:CO150" si="77">CJ149*(1+(1-CJ139)*(CJ143/CJ144))</f>
        <v>#DIV/0!</v>
      </c>
      <c r="CK150" s="164" t="e">
        <f t="shared" si="77"/>
        <v>#DIV/0!</v>
      </c>
      <c r="CL150" s="164" t="e">
        <f t="shared" si="77"/>
        <v>#DIV/0!</v>
      </c>
      <c r="CM150" s="164" t="e">
        <f t="shared" si="77"/>
        <v>#DIV/0!</v>
      </c>
      <c r="CN150" s="164" t="e">
        <f t="shared" si="77"/>
        <v>#DIV/0!</v>
      </c>
      <c r="CO150" s="164" t="e">
        <f t="shared" si="77"/>
        <v>#DIV/0!</v>
      </c>
      <c r="CP150" s="164"/>
    </row>
    <row r="151" spans="2:94" ht="16" x14ac:dyDescent="0.2">
      <c r="B151" s="105" t="s">
        <v>446</v>
      </c>
      <c r="D151" s="164"/>
      <c r="E151" s="164"/>
      <c r="F151" s="164"/>
      <c r="G151" s="164"/>
      <c r="H151" s="164"/>
      <c r="I151" s="164"/>
      <c r="J151" s="164">
        <f>J150*(1+(1-J140)*(J144/J145))</f>
        <v>0.9404683736796311</v>
      </c>
      <c r="K151" s="164"/>
      <c r="L151" s="164"/>
      <c r="M151" s="164"/>
      <c r="N151" s="164"/>
      <c r="O151" s="164"/>
      <c r="P151" s="164"/>
      <c r="Q151" s="164">
        <f>Q150*(1+(1-Q140)*(Q144/Q145))</f>
        <v>0.94070605549221287</v>
      </c>
      <c r="R151" s="164"/>
      <c r="S151" s="164"/>
      <c r="T151" s="164"/>
      <c r="U151" s="164"/>
      <c r="V151" s="164"/>
      <c r="W151" s="164"/>
      <c r="X151" s="164" t="e">
        <f>X150*(1+(1-X140)*(X144/X145))</f>
        <v>#DIV/0!</v>
      </c>
      <c r="Y151" s="164"/>
      <c r="Z151" s="164"/>
      <c r="AA151" s="164"/>
      <c r="AB151" s="164"/>
      <c r="AC151" s="164"/>
      <c r="AD151" s="164"/>
      <c r="AE151" s="164" t="e">
        <f>AE150*(1+(1-AE140)*(AE144/AE145))</f>
        <v>#DIV/0!</v>
      </c>
      <c r="AF151" s="164"/>
      <c r="AG151" s="164"/>
      <c r="AH151" s="164"/>
      <c r="AI151" s="164"/>
      <c r="AJ151" s="164"/>
      <c r="AK151" s="164"/>
      <c r="AL151" s="164" t="e">
        <f>AL150*(1+(1-AL140)*(AL144/AL145))</f>
        <v>#DIV/0!</v>
      </c>
      <c r="AM151" s="164"/>
      <c r="AN151" s="164"/>
      <c r="AO151" s="164"/>
      <c r="AP151" s="164"/>
      <c r="AQ151" s="164"/>
      <c r="AR151" s="164"/>
      <c r="AS151" s="164" t="e">
        <f>AS150*(1+(1-AS140)*(AS144/AS145))</f>
        <v>#DIV/0!</v>
      </c>
      <c r="AT151" s="164"/>
      <c r="AU151" s="164"/>
      <c r="AV151" s="164"/>
      <c r="AW151" s="164"/>
      <c r="AX151" s="164"/>
      <c r="AY151" s="164"/>
      <c r="AZ151" s="164" t="e">
        <f>AZ150*(1+(1-AZ140)*(AZ144/AZ145))</f>
        <v>#DIV/0!</v>
      </c>
      <c r="BA151" s="164"/>
      <c r="BB151" s="164"/>
      <c r="BC151" s="164"/>
      <c r="BD151" s="164"/>
      <c r="BE151" s="164"/>
      <c r="BF151" s="164"/>
      <c r="BG151" s="164" t="e">
        <f>BG150*(1+(1-BG140)*(BG144/BG145))</f>
        <v>#DIV/0!</v>
      </c>
      <c r="BH151" s="164"/>
      <c r="BI151" s="164"/>
      <c r="BJ151" s="164"/>
      <c r="BK151" s="164"/>
      <c r="BL151" s="164"/>
      <c r="BM151" s="164"/>
      <c r="BN151" s="164" t="e">
        <f>BN150*(1+(1-BN140)*(BN144/BN145))</f>
        <v>#DIV/0!</v>
      </c>
      <c r="BO151" s="164"/>
      <c r="BP151" s="164"/>
      <c r="BQ151" s="164"/>
      <c r="BR151" s="164"/>
      <c r="BS151" s="164"/>
      <c r="BT151" s="164"/>
      <c r="BU151" s="164" t="e">
        <f>BU150*(1+(1-BU140)*(BU144/BU145))</f>
        <v>#DIV/0!</v>
      </c>
      <c r="BV151" s="164"/>
      <c r="BW151" s="164"/>
      <c r="BX151" s="164"/>
      <c r="BY151" s="164"/>
      <c r="BZ151" s="164"/>
      <c r="CA151" s="164"/>
      <c r="CB151" s="164" t="e">
        <f>CB150*(1+(1-CB140)*(CB144/CB145))</f>
        <v>#DIV/0!</v>
      </c>
      <c r="CC151" s="164"/>
      <c r="CD151" s="164"/>
      <c r="CE151" s="164"/>
      <c r="CF151" s="164"/>
      <c r="CG151" s="164"/>
      <c r="CH151" s="164"/>
      <c r="CI151" s="164" t="e">
        <f>CI150*(1+(1-CI140)*(CI144/CI145))</f>
        <v>#DIV/0!</v>
      </c>
      <c r="CJ151" s="176">
        <v>4.7899999999999998E-2</v>
      </c>
      <c r="CK151" s="176">
        <f>CJ151</f>
        <v>4.7899999999999998E-2</v>
      </c>
      <c r="CL151" s="176">
        <v>4.7899999999999998E-2</v>
      </c>
      <c r="CM151" s="176">
        <v>4.7899999999999998E-2</v>
      </c>
      <c r="CN151" s="176">
        <f>CM151</f>
        <v>4.7899999999999998E-2</v>
      </c>
      <c r="CO151" s="176">
        <v>4.7899999999999998E-2</v>
      </c>
      <c r="CP151" s="176"/>
    </row>
    <row r="152" spans="2:94" ht="16" x14ac:dyDescent="0.2">
      <c r="B152" s="237" t="s">
        <v>447</v>
      </c>
      <c r="C152" s="238"/>
      <c r="D152" s="239"/>
      <c r="E152" s="239"/>
      <c r="F152" s="239"/>
      <c r="G152" s="239"/>
      <c r="H152" s="239"/>
      <c r="I152" s="239"/>
      <c r="J152" s="239">
        <v>4.7899999999999998E-2</v>
      </c>
      <c r="K152" s="239"/>
      <c r="L152" s="239"/>
      <c r="M152" s="239"/>
      <c r="N152" s="239"/>
      <c r="O152" s="239"/>
      <c r="P152" s="239"/>
      <c r="Q152" s="239">
        <v>4.7899999999999998E-2</v>
      </c>
      <c r="R152" s="239"/>
      <c r="S152" s="239"/>
      <c r="T152" s="239"/>
      <c r="U152" s="239"/>
      <c r="V152" s="239"/>
      <c r="W152" s="239"/>
      <c r="X152" s="239">
        <v>4.7899999999999998E-2</v>
      </c>
      <c r="Y152" s="239"/>
      <c r="Z152" s="239"/>
      <c r="AA152" s="239"/>
      <c r="AB152" s="239"/>
      <c r="AC152" s="239"/>
      <c r="AD152" s="239"/>
      <c r="AE152" s="239">
        <v>4.7899999999999998E-2</v>
      </c>
      <c r="AF152" s="239"/>
      <c r="AG152" s="239"/>
      <c r="AH152" s="239"/>
      <c r="AI152" s="239"/>
      <c r="AJ152" s="239"/>
      <c r="AK152" s="239"/>
      <c r="AL152" s="239">
        <v>4.7899999999999998E-2</v>
      </c>
      <c r="AM152" s="239"/>
      <c r="AN152" s="239"/>
      <c r="AO152" s="239"/>
      <c r="AP152" s="239"/>
      <c r="AQ152" s="239"/>
      <c r="AR152" s="239"/>
      <c r="AS152" s="239">
        <v>4.7899999999999998E-2</v>
      </c>
      <c r="AT152" s="239"/>
      <c r="AU152" s="239"/>
      <c r="AV152" s="239"/>
      <c r="AW152" s="239"/>
      <c r="AX152" s="239"/>
      <c r="AY152" s="239"/>
      <c r="AZ152" s="239">
        <v>4.7899999999999998E-2</v>
      </c>
      <c r="BA152" s="239"/>
      <c r="BB152" s="239"/>
      <c r="BC152" s="239"/>
      <c r="BD152" s="239"/>
      <c r="BE152" s="239"/>
      <c r="BF152" s="239"/>
      <c r="BG152" s="239">
        <v>4.7899999999999998E-2</v>
      </c>
      <c r="BH152" s="239"/>
      <c r="BI152" s="239"/>
      <c r="BJ152" s="239"/>
      <c r="BK152" s="239"/>
      <c r="BL152" s="239"/>
      <c r="BM152" s="239"/>
      <c r="BN152" s="239">
        <v>4.7899999999999998E-2</v>
      </c>
      <c r="BO152" s="239"/>
      <c r="BP152" s="239"/>
      <c r="BQ152" s="239"/>
      <c r="BR152" s="239"/>
      <c r="BS152" s="239"/>
      <c r="BT152" s="239"/>
      <c r="BU152" s="239">
        <v>4.7899999999999998E-2</v>
      </c>
      <c r="BV152" s="239"/>
      <c r="BW152" s="239"/>
      <c r="BX152" s="239"/>
      <c r="BY152" s="239"/>
      <c r="BZ152" s="239"/>
      <c r="CA152" s="239"/>
      <c r="CB152" s="239">
        <v>4.7899999999999998E-2</v>
      </c>
      <c r="CC152" s="239"/>
      <c r="CD152" s="239"/>
      <c r="CE152" s="239"/>
      <c r="CF152" s="239"/>
      <c r="CG152" s="239"/>
      <c r="CH152" s="239"/>
      <c r="CI152" s="239">
        <v>4.7899999999999998E-2</v>
      </c>
      <c r="CJ152" s="176">
        <v>0.1179</v>
      </c>
      <c r="CK152" s="176">
        <f>CJ152</f>
        <v>0.1179</v>
      </c>
      <c r="CL152" s="176">
        <v>0.1179</v>
      </c>
      <c r="CM152" s="176">
        <v>0.1179</v>
      </c>
      <c r="CN152" s="176">
        <f>CM152</f>
        <v>0.1179</v>
      </c>
      <c r="CO152" s="176">
        <v>0.1179</v>
      </c>
      <c r="CP152" s="176"/>
    </row>
    <row r="153" spans="2:94" ht="16" x14ac:dyDescent="0.2">
      <c r="B153" s="105" t="s">
        <v>448</v>
      </c>
      <c r="D153" s="176"/>
      <c r="E153" s="176"/>
      <c r="F153" s="176"/>
      <c r="G153" s="176"/>
      <c r="H153" s="176"/>
      <c r="I153" s="176"/>
      <c r="J153" s="176">
        <v>0.1179</v>
      </c>
      <c r="K153" s="176"/>
      <c r="L153" s="176"/>
      <c r="M153" s="176"/>
      <c r="N153" s="176"/>
      <c r="O153" s="176"/>
      <c r="P153" s="176"/>
      <c r="Q153" s="176">
        <v>0.1179</v>
      </c>
      <c r="R153" s="176"/>
      <c r="S153" s="176"/>
      <c r="T153" s="176"/>
      <c r="U153" s="176"/>
      <c r="V153" s="176"/>
      <c r="W153" s="176"/>
      <c r="X153" s="176">
        <v>0.1179</v>
      </c>
      <c r="Y153" s="176"/>
      <c r="Z153" s="176"/>
      <c r="AA153" s="176"/>
      <c r="AB153" s="176"/>
      <c r="AC153" s="176"/>
      <c r="AD153" s="176"/>
      <c r="AE153" s="176">
        <v>0.1179</v>
      </c>
      <c r="AF153" s="176"/>
      <c r="AG153" s="176"/>
      <c r="AH153" s="176"/>
      <c r="AI153" s="176"/>
      <c r="AJ153" s="176"/>
      <c r="AK153" s="176"/>
      <c r="AL153" s="176">
        <v>0.1179</v>
      </c>
      <c r="AM153" s="176"/>
      <c r="AN153" s="176"/>
      <c r="AO153" s="176"/>
      <c r="AP153" s="176"/>
      <c r="AQ153" s="176"/>
      <c r="AR153" s="176"/>
      <c r="AS153" s="176">
        <v>0.1179</v>
      </c>
      <c r="AT153" s="176"/>
      <c r="AU153" s="176"/>
      <c r="AV153" s="176"/>
      <c r="AW153" s="176"/>
      <c r="AX153" s="176"/>
      <c r="AY153" s="176"/>
      <c r="AZ153" s="176">
        <v>0.1179</v>
      </c>
      <c r="BA153" s="176"/>
      <c r="BB153" s="176"/>
      <c r="BC153" s="176"/>
      <c r="BD153" s="176"/>
      <c r="BE153" s="176"/>
      <c r="BF153" s="176"/>
      <c r="BG153" s="176">
        <v>0.1179</v>
      </c>
      <c r="BH153" s="176"/>
      <c r="BI153" s="176"/>
      <c r="BJ153" s="176"/>
      <c r="BK153" s="176"/>
      <c r="BL153" s="176"/>
      <c r="BM153" s="176"/>
      <c r="BN153" s="176">
        <v>0.1179</v>
      </c>
      <c r="BO153" s="176"/>
      <c r="BP153" s="176"/>
      <c r="BQ153" s="176"/>
      <c r="BR153" s="176"/>
      <c r="BS153" s="176"/>
      <c r="BT153" s="176"/>
      <c r="BU153" s="176">
        <v>0.1179</v>
      </c>
      <c r="BV153" s="176"/>
      <c r="BW153" s="176"/>
      <c r="BX153" s="176"/>
      <c r="BY153" s="176"/>
      <c r="BZ153" s="176"/>
      <c r="CA153" s="176"/>
      <c r="CB153" s="176">
        <v>0.1179</v>
      </c>
      <c r="CC153" s="176"/>
      <c r="CD153" s="176"/>
      <c r="CE153" s="176"/>
      <c r="CF153" s="176"/>
      <c r="CG153" s="176"/>
      <c r="CH153" s="176"/>
      <c r="CI153" s="176">
        <v>0.1179</v>
      </c>
      <c r="CJ153" s="176">
        <v>7.2900000000000006E-2</v>
      </c>
      <c r="CK153" s="176">
        <f>CJ153</f>
        <v>7.2900000000000006E-2</v>
      </c>
      <c r="CL153" s="176">
        <v>7.2900000000000006E-2</v>
      </c>
      <c r="CM153" s="176">
        <v>7.2900000000000006E-2</v>
      </c>
      <c r="CN153" s="176">
        <f>CM153</f>
        <v>7.2900000000000006E-2</v>
      </c>
      <c r="CO153" s="176">
        <v>7.2900000000000006E-2</v>
      </c>
      <c r="CP153" s="176"/>
    </row>
    <row r="154" spans="2:94" ht="16" x14ac:dyDescent="0.2">
      <c r="B154" s="237" t="s">
        <v>449</v>
      </c>
      <c r="C154" s="240" t="s">
        <v>533</v>
      </c>
      <c r="D154" s="239"/>
      <c r="E154" s="239"/>
      <c r="F154" s="239"/>
      <c r="G154" s="239"/>
      <c r="H154" s="239"/>
      <c r="I154" s="239"/>
      <c r="J154" s="239">
        <v>8.6699999999999999E-2</v>
      </c>
      <c r="K154" s="239"/>
      <c r="L154" s="239"/>
      <c r="M154" s="239"/>
      <c r="N154" s="239"/>
      <c r="O154" s="239"/>
      <c r="P154" s="239"/>
      <c r="Q154" s="239">
        <v>7.2900000000000006E-2</v>
      </c>
      <c r="R154" s="239"/>
      <c r="S154" s="239"/>
      <c r="T154" s="239"/>
      <c r="U154" s="239"/>
      <c r="V154" s="239"/>
      <c r="W154" s="239"/>
      <c r="X154" s="239">
        <v>7.2900000000000006E-2</v>
      </c>
      <c r="Y154" s="239"/>
      <c r="Z154" s="239"/>
      <c r="AA154" s="239"/>
      <c r="AB154" s="239"/>
      <c r="AC154" s="239"/>
      <c r="AD154" s="239"/>
      <c r="AE154" s="239">
        <v>7.2900000000000006E-2</v>
      </c>
      <c r="AF154" s="239"/>
      <c r="AG154" s="239"/>
      <c r="AH154" s="239"/>
      <c r="AI154" s="239"/>
      <c r="AJ154" s="239"/>
      <c r="AK154" s="239"/>
      <c r="AL154" s="239">
        <v>7.2900000000000006E-2</v>
      </c>
      <c r="AM154" s="239"/>
      <c r="AN154" s="239"/>
      <c r="AO154" s="239"/>
      <c r="AP154" s="239"/>
      <c r="AQ154" s="239"/>
      <c r="AR154" s="239"/>
      <c r="AS154" s="239">
        <v>7.2900000000000006E-2</v>
      </c>
      <c r="AT154" s="239"/>
      <c r="AU154" s="239"/>
      <c r="AV154" s="239"/>
      <c r="AW154" s="239"/>
      <c r="AX154" s="239"/>
      <c r="AY154" s="239"/>
      <c r="AZ154" s="239">
        <v>7.2900000000000006E-2</v>
      </c>
      <c r="BA154" s="239"/>
      <c r="BB154" s="239"/>
      <c r="BC154" s="239"/>
      <c r="BD154" s="239"/>
      <c r="BE154" s="239"/>
      <c r="BF154" s="239"/>
      <c r="BG154" s="239">
        <v>7.2900000000000006E-2</v>
      </c>
      <c r="BH154" s="239"/>
      <c r="BI154" s="239"/>
      <c r="BJ154" s="239"/>
      <c r="BK154" s="239"/>
      <c r="BL154" s="239"/>
      <c r="BM154" s="239"/>
      <c r="BN154" s="239">
        <v>7.2900000000000006E-2</v>
      </c>
      <c r="BO154" s="239"/>
      <c r="BP154" s="239"/>
      <c r="BQ154" s="239"/>
      <c r="BR154" s="239"/>
      <c r="BS154" s="239"/>
      <c r="BT154" s="239"/>
      <c r="BU154" s="239">
        <v>7.2900000000000006E-2</v>
      </c>
      <c r="BV154" s="239"/>
      <c r="BW154" s="239"/>
      <c r="BX154" s="239"/>
      <c r="BY154" s="239"/>
      <c r="BZ154" s="239"/>
      <c r="CA154" s="239"/>
      <c r="CB154" s="239">
        <v>7.2900000000000006E-2</v>
      </c>
      <c r="CC154" s="239"/>
      <c r="CD154" s="239"/>
      <c r="CE154" s="239"/>
      <c r="CF154" s="239"/>
      <c r="CG154" s="239"/>
      <c r="CH154" s="239"/>
      <c r="CI154" s="239">
        <v>7.2900000000000006E-2</v>
      </c>
      <c r="CJ154" s="176">
        <v>4.7E-2</v>
      </c>
      <c r="CK154" s="176">
        <f>CJ154</f>
        <v>4.7E-2</v>
      </c>
      <c r="CL154" s="176">
        <v>4.7E-2</v>
      </c>
      <c r="CM154" s="176">
        <v>4.7E-2</v>
      </c>
      <c r="CN154" s="176">
        <f>CM154</f>
        <v>4.7E-2</v>
      </c>
      <c r="CO154" s="176">
        <v>4.7E-2</v>
      </c>
      <c r="CP154" s="176"/>
    </row>
    <row r="155" spans="2:94" ht="16" x14ac:dyDescent="0.2">
      <c r="B155" s="105" t="s">
        <v>450</v>
      </c>
      <c r="D155" s="176"/>
      <c r="E155" s="176"/>
      <c r="F155" s="176"/>
      <c r="G155" s="176"/>
      <c r="H155" s="176"/>
      <c r="I155" s="176"/>
      <c r="J155" s="176">
        <v>4.7E-2</v>
      </c>
      <c r="K155" s="176"/>
      <c r="L155" s="176"/>
      <c r="M155" s="176"/>
      <c r="N155" s="176"/>
      <c r="O155" s="176"/>
      <c r="P155" s="176"/>
      <c r="Q155" s="176">
        <v>4.7E-2</v>
      </c>
      <c r="R155" s="176"/>
      <c r="S155" s="176"/>
      <c r="T155" s="176"/>
      <c r="U155" s="176"/>
      <c r="V155" s="176"/>
      <c r="W155" s="176"/>
      <c r="X155" s="176">
        <v>4.7E-2</v>
      </c>
      <c r="Y155" s="176"/>
      <c r="Z155" s="176"/>
      <c r="AA155" s="176"/>
      <c r="AB155" s="176"/>
      <c r="AC155" s="176"/>
      <c r="AD155" s="176"/>
      <c r="AE155" s="176">
        <v>4.7E-2</v>
      </c>
      <c r="AF155" s="176"/>
      <c r="AG155" s="176"/>
      <c r="AH155" s="176"/>
      <c r="AI155" s="176"/>
      <c r="AJ155" s="176"/>
      <c r="AK155" s="176"/>
      <c r="AL155" s="176">
        <v>4.7E-2</v>
      </c>
      <c r="AM155" s="176"/>
      <c r="AN155" s="176"/>
      <c r="AO155" s="176"/>
      <c r="AP155" s="176"/>
      <c r="AQ155" s="176"/>
      <c r="AR155" s="176"/>
      <c r="AS155" s="176">
        <v>4.7E-2</v>
      </c>
      <c r="AT155" s="176"/>
      <c r="AU155" s="176"/>
      <c r="AV155" s="176"/>
      <c r="AW155" s="176"/>
      <c r="AX155" s="176"/>
      <c r="AY155" s="176"/>
      <c r="AZ155" s="176">
        <v>4.7E-2</v>
      </c>
      <c r="BA155" s="176"/>
      <c r="BB155" s="176"/>
      <c r="BC155" s="176"/>
      <c r="BD155" s="176"/>
      <c r="BE155" s="176"/>
      <c r="BF155" s="176"/>
      <c r="BG155" s="176">
        <v>4.7E-2</v>
      </c>
      <c r="BH155" s="176"/>
      <c r="BI155" s="176"/>
      <c r="BJ155" s="176"/>
      <c r="BK155" s="176"/>
      <c r="BL155" s="176"/>
      <c r="BM155" s="176"/>
      <c r="BN155" s="176">
        <v>4.7E-2</v>
      </c>
      <c r="BO155" s="176"/>
      <c r="BP155" s="176"/>
      <c r="BQ155" s="176"/>
      <c r="BR155" s="176"/>
      <c r="BS155" s="176"/>
      <c r="BT155" s="176"/>
      <c r="BU155" s="176">
        <v>4.7E-2</v>
      </c>
      <c r="BV155" s="176"/>
      <c r="BW155" s="176"/>
      <c r="BX155" s="176"/>
      <c r="BY155" s="176"/>
      <c r="BZ155" s="176"/>
      <c r="CA155" s="176"/>
      <c r="CB155" s="176">
        <v>4.7E-2</v>
      </c>
      <c r="CC155" s="176"/>
      <c r="CD155" s="176"/>
      <c r="CE155" s="176"/>
      <c r="CF155" s="176"/>
      <c r="CG155" s="176"/>
      <c r="CH155" s="176"/>
      <c r="CI155" s="176">
        <v>4.7E-2</v>
      </c>
      <c r="CJ155" s="176">
        <v>0.03</v>
      </c>
      <c r="CK155" s="176">
        <f>CJ155</f>
        <v>0.03</v>
      </c>
      <c r="CL155" s="176">
        <v>0.03</v>
      </c>
      <c r="CM155" s="176">
        <v>0.03</v>
      </c>
      <c r="CN155" s="176">
        <f>CM155</f>
        <v>0.03</v>
      </c>
      <c r="CO155" s="176">
        <v>0.03</v>
      </c>
      <c r="CP155" s="176"/>
    </row>
    <row r="156" spans="2:94" ht="16" x14ac:dyDescent="0.2">
      <c r="B156" s="105" t="s">
        <v>451</v>
      </c>
      <c r="D156" s="176"/>
      <c r="E156" s="176"/>
      <c r="F156" s="176"/>
      <c r="G156" s="176"/>
      <c r="H156" s="176"/>
      <c r="I156" s="176"/>
      <c r="J156" s="176">
        <v>0.03</v>
      </c>
      <c r="K156" s="176"/>
      <c r="L156" s="176"/>
      <c r="M156" s="176"/>
      <c r="N156" s="176"/>
      <c r="O156" s="176"/>
      <c r="P156" s="176"/>
      <c r="Q156" s="176">
        <v>0.03</v>
      </c>
      <c r="R156" s="176"/>
      <c r="S156" s="176"/>
      <c r="T156" s="176"/>
      <c r="U156" s="176"/>
      <c r="V156" s="176"/>
      <c r="W156" s="176"/>
      <c r="X156" s="176">
        <v>0.03</v>
      </c>
      <c r="Y156" s="176"/>
      <c r="Z156" s="176"/>
      <c r="AA156" s="176"/>
      <c r="AB156" s="176"/>
      <c r="AC156" s="176"/>
      <c r="AD156" s="176"/>
      <c r="AE156" s="176">
        <v>0.03</v>
      </c>
      <c r="AF156" s="176"/>
      <c r="AG156" s="176"/>
      <c r="AH156" s="176"/>
      <c r="AI156" s="176"/>
      <c r="AJ156" s="176"/>
      <c r="AK156" s="176"/>
      <c r="AL156" s="176">
        <v>0.03</v>
      </c>
      <c r="AM156" s="176"/>
      <c r="AN156" s="176"/>
      <c r="AO156" s="176"/>
      <c r="AP156" s="176"/>
      <c r="AQ156" s="176"/>
      <c r="AR156" s="176"/>
      <c r="AS156" s="176">
        <v>0.03</v>
      </c>
      <c r="AT156" s="176"/>
      <c r="AU156" s="176"/>
      <c r="AV156" s="176"/>
      <c r="AW156" s="176"/>
      <c r="AX156" s="176"/>
      <c r="AY156" s="176"/>
      <c r="AZ156" s="176">
        <v>0.03</v>
      </c>
      <c r="BA156" s="176"/>
      <c r="BB156" s="176"/>
      <c r="BC156" s="176"/>
      <c r="BD156" s="176"/>
      <c r="BE156" s="176"/>
      <c r="BF156" s="176"/>
      <c r="BG156" s="176">
        <v>0.03</v>
      </c>
      <c r="BH156" s="176"/>
      <c r="BI156" s="176"/>
      <c r="BJ156" s="176"/>
      <c r="BK156" s="176"/>
      <c r="BL156" s="176"/>
      <c r="BM156" s="176"/>
      <c r="BN156" s="176">
        <v>0.03</v>
      </c>
      <c r="BO156" s="176"/>
      <c r="BP156" s="176"/>
      <c r="BQ156" s="176"/>
      <c r="BR156" s="176"/>
      <c r="BS156" s="176"/>
      <c r="BT156" s="176"/>
      <c r="BU156" s="176">
        <v>0.03</v>
      </c>
      <c r="BV156" s="176"/>
      <c r="BW156" s="176"/>
      <c r="BX156" s="176"/>
      <c r="BY156" s="176"/>
      <c r="BZ156" s="176"/>
      <c r="CA156" s="176"/>
      <c r="CB156" s="176">
        <v>0.03</v>
      </c>
      <c r="CC156" s="176"/>
      <c r="CD156" s="176"/>
      <c r="CE156" s="176"/>
      <c r="CF156" s="176"/>
      <c r="CG156" s="176"/>
      <c r="CH156" s="176"/>
      <c r="CI156" s="176">
        <v>0.03</v>
      </c>
      <c r="CJ156" s="135">
        <f t="shared" ref="CJ156:CO156" si="78">((1+CJ154)/(1+CJ155))-1</f>
        <v>1.6504854368931898E-2</v>
      </c>
      <c r="CK156" s="135">
        <f t="shared" si="78"/>
        <v>1.6504854368931898E-2</v>
      </c>
      <c r="CL156" s="135">
        <f t="shared" si="78"/>
        <v>1.6504854368931898E-2</v>
      </c>
      <c r="CM156" s="135">
        <f t="shared" si="78"/>
        <v>1.6504854368931898E-2</v>
      </c>
      <c r="CN156" s="135">
        <f t="shared" si="78"/>
        <v>1.6504854368931898E-2</v>
      </c>
      <c r="CO156" s="135">
        <f t="shared" si="78"/>
        <v>1.6504854368931898E-2</v>
      </c>
      <c r="CP156" s="135"/>
    </row>
    <row r="157" spans="2:94" x14ac:dyDescent="0.2">
      <c r="B157" s="105" t="s">
        <v>452</v>
      </c>
      <c r="D157" s="135"/>
      <c r="E157" s="135"/>
      <c r="F157" s="135"/>
      <c r="G157" s="135"/>
      <c r="H157" s="135"/>
      <c r="I157" s="135"/>
      <c r="J157" s="135">
        <f>((1+J155)/(1+J156))-1</f>
        <v>1.6504854368931898E-2</v>
      </c>
      <c r="K157" s="135"/>
      <c r="L157" s="135"/>
      <c r="M157" s="135"/>
      <c r="N157" s="135"/>
      <c r="O157" s="135"/>
      <c r="P157" s="135"/>
      <c r="Q157" s="135">
        <f>((1+Q155)/(1+Q156))-1</f>
        <v>1.6504854368931898E-2</v>
      </c>
      <c r="R157" s="135"/>
      <c r="S157" s="135"/>
      <c r="T157" s="135"/>
      <c r="U157" s="135"/>
      <c r="V157" s="135"/>
      <c r="W157" s="135"/>
      <c r="X157" s="135">
        <f>((1+X155)/(1+X156))-1</f>
        <v>1.6504854368931898E-2</v>
      </c>
      <c r="Y157" s="135"/>
      <c r="Z157" s="135"/>
      <c r="AA157" s="135"/>
      <c r="AB157" s="135"/>
      <c r="AC157" s="135"/>
      <c r="AD157" s="135"/>
      <c r="AE157" s="135">
        <f>((1+AE155)/(1+AE156))-1</f>
        <v>1.6504854368931898E-2</v>
      </c>
      <c r="AF157" s="135"/>
      <c r="AG157" s="135"/>
      <c r="AH157" s="135"/>
      <c r="AI157" s="135"/>
      <c r="AJ157" s="135"/>
      <c r="AK157" s="135"/>
      <c r="AL157" s="135">
        <f>((1+AL155)/(1+AL156))-1</f>
        <v>1.6504854368931898E-2</v>
      </c>
      <c r="AM157" s="135"/>
      <c r="AN157" s="135"/>
      <c r="AO157" s="135"/>
      <c r="AP157" s="135"/>
      <c r="AQ157" s="135"/>
      <c r="AR157" s="135"/>
      <c r="AS157" s="135">
        <f>((1+AS155)/(1+AS156))-1</f>
        <v>1.6504854368931898E-2</v>
      </c>
      <c r="AT157" s="135"/>
      <c r="AU157" s="135"/>
      <c r="AV157" s="135"/>
      <c r="AW157" s="135"/>
      <c r="AX157" s="135"/>
      <c r="AY157" s="135"/>
      <c r="AZ157" s="135">
        <f>((1+AZ155)/(1+AZ156))-1</f>
        <v>1.6504854368931898E-2</v>
      </c>
      <c r="BA157" s="135"/>
      <c r="BB157" s="135"/>
      <c r="BC157" s="135"/>
      <c r="BD157" s="135"/>
      <c r="BE157" s="135"/>
      <c r="BF157" s="135"/>
      <c r="BG157" s="135">
        <f>((1+BG155)/(1+BG156))-1</f>
        <v>1.6504854368931898E-2</v>
      </c>
      <c r="BH157" s="135"/>
      <c r="BI157" s="135"/>
      <c r="BJ157" s="135"/>
      <c r="BK157" s="135"/>
      <c r="BL157" s="135"/>
      <c r="BM157" s="135"/>
      <c r="BN157" s="135">
        <f>((1+BN155)/(1+BN156))-1</f>
        <v>1.6504854368931898E-2</v>
      </c>
      <c r="BO157" s="135"/>
      <c r="BP157" s="135"/>
      <c r="BQ157" s="135"/>
      <c r="BR157" s="135"/>
      <c r="BS157" s="135"/>
      <c r="BT157" s="135"/>
      <c r="BU157" s="135">
        <f>((1+BU155)/(1+BU156))-1</f>
        <v>1.6504854368931898E-2</v>
      </c>
      <c r="BV157" s="135"/>
      <c r="BW157" s="135"/>
      <c r="BX157" s="135"/>
      <c r="BY157" s="135"/>
      <c r="BZ157" s="135"/>
      <c r="CA157" s="135"/>
      <c r="CB157" s="135">
        <f>((1+CB155)/(1+CB156))-1</f>
        <v>1.6504854368931898E-2</v>
      </c>
      <c r="CC157" s="135"/>
      <c r="CD157" s="135"/>
      <c r="CE157" s="135"/>
      <c r="CF157" s="135"/>
      <c r="CG157" s="135"/>
      <c r="CH157" s="135"/>
      <c r="CI157" s="135">
        <f>((1+CI155)/(1+CI156))-1</f>
        <v>1.6504854368931898E-2</v>
      </c>
      <c r="CJ157" s="135" t="e">
        <f t="shared" ref="CJ157:CO157" si="79">CJ151+(CJ150*(CJ152-CJ151))+CJ153</f>
        <v>#DIV/0!</v>
      </c>
      <c r="CK157" s="135" t="e">
        <f t="shared" si="79"/>
        <v>#DIV/0!</v>
      </c>
      <c r="CL157" s="135" t="e">
        <f t="shared" si="79"/>
        <v>#DIV/0!</v>
      </c>
      <c r="CM157" s="135" t="e">
        <f t="shared" si="79"/>
        <v>#DIV/0!</v>
      </c>
      <c r="CN157" s="135" t="e">
        <f t="shared" si="79"/>
        <v>#DIV/0!</v>
      </c>
      <c r="CO157" s="135" t="e">
        <f t="shared" si="79"/>
        <v>#DIV/0!</v>
      </c>
      <c r="CP157" s="135"/>
    </row>
    <row r="158" spans="2:94" x14ac:dyDescent="0.2">
      <c r="B158" s="105" t="s">
        <v>453</v>
      </c>
      <c r="D158" s="135"/>
      <c r="E158" s="135"/>
      <c r="F158" s="135"/>
      <c r="G158" s="135"/>
      <c r="H158" s="135"/>
      <c r="I158" s="135"/>
      <c r="J158" s="135">
        <f>J152+(J151*(J153-J152))+J154</f>
        <v>0.20043278615757418</v>
      </c>
      <c r="K158" s="135"/>
      <c r="L158" s="135"/>
      <c r="M158" s="135"/>
      <c r="N158" s="135"/>
      <c r="O158" s="135"/>
      <c r="P158" s="135"/>
      <c r="Q158" s="135">
        <f>Q152+(Q151*(Q153-Q152))+Q154</f>
        <v>0.18664942388445491</v>
      </c>
      <c r="R158" s="135"/>
      <c r="S158" s="135"/>
      <c r="T158" s="135"/>
      <c r="U158" s="135"/>
      <c r="V158" s="135"/>
      <c r="W158" s="135"/>
      <c r="X158" s="135" t="e">
        <f>X152+(X151*(X153-X152))+X154</f>
        <v>#DIV/0!</v>
      </c>
      <c r="Y158" s="135"/>
      <c r="Z158" s="135"/>
      <c r="AA158" s="135"/>
      <c r="AB158" s="135"/>
      <c r="AC158" s="135"/>
      <c r="AD158" s="135"/>
      <c r="AE158" s="135" t="e">
        <f>AE152+(AE151*(AE153-AE152))+AE154</f>
        <v>#DIV/0!</v>
      </c>
      <c r="AF158" s="135"/>
      <c r="AG158" s="135"/>
      <c r="AH158" s="135"/>
      <c r="AI158" s="135"/>
      <c r="AJ158" s="135"/>
      <c r="AK158" s="135"/>
      <c r="AL158" s="135" t="e">
        <f>AL152+(AL151*(AL153-AL152))+AL154</f>
        <v>#DIV/0!</v>
      </c>
      <c r="AM158" s="135"/>
      <c r="AN158" s="135"/>
      <c r="AO158" s="135"/>
      <c r="AP158" s="135"/>
      <c r="AQ158" s="135"/>
      <c r="AR158" s="135"/>
      <c r="AS158" s="135" t="e">
        <f>AS152+(AS151*(AS153-AS152))+AS154</f>
        <v>#DIV/0!</v>
      </c>
      <c r="AT158" s="135"/>
      <c r="AU158" s="135"/>
      <c r="AV158" s="135"/>
      <c r="AW158" s="135"/>
      <c r="AX158" s="135"/>
      <c r="AY158" s="135"/>
      <c r="AZ158" s="135" t="e">
        <f>AZ152+(AZ151*(AZ153-AZ152))+AZ154</f>
        <v>#DIV/0!</v>
      </c>
      <c r="BA158" s="135"/>
      <c r="BB158" s="135"/>
      <c r="BC158" s="135"/>
      <c r="BD158" s="135"/>
      <c r="BE158" s="135"/>
      <c r="BF158" s="135"/>
      <c r="BG158" s="135" t="e">
        <f>BG152+(BG151*(BG153-BG152))+BG154</f>
        <v>#DIV/0!</v>
      </c>
      <c r="BH158" s="135"/>
      <c r="BI158" s="135"/>
      <c r="BJ158" s="135"/>
      <c r="BK158" s="135"/>
      <c r="BL158" s="135"/>
      <c r="BM158" s="135"/>
      <c r="BN158" s="135" t="e">
        <f>BN152+(BN151*(BN153-BN152))+BN154</f>
        <v>#DIV/0!</v>
      </c>
      <c r="BO158" s="135"/>
      <c r="BP158" s="135"/>
      <c r="BQ158" s="135"/>
      <c r="BR158" s="135"/>
      <c r="BS158" s="135"/>
      <c r="BT158" s="135"/>
      <c r="BU158" s="135" t="e">
        <f>BU152+(BU151*(BU153-BU152))+BU154</f>
        <v>#DIV/0!</v>
      </c>
      <c r="BV158" s="135"/>
      <c r="BW158" s="135"/>
      <c r="BX158" s="135"/>
      <c r="BY158" s="135"/>
      <c r="BZ158" s="135"/>
      <c r="CA158" s="135"/>
      <c r="CB158" s="135" t="e">
        <f>CB152+(CB151*(CB153-CB152))+CB154</f>
        <v>#DIV/0!</v>
      </c>
      <c r="CC158" s="135"/>
      <c r="CD158" s="135"/>
      <c r="CE158" s="135"/>
      <c r="CF158" s="135"/>
      <c r="CG158" s="135"/>
      <c r="CH158" s="135"/>
      <c r="CI158" s="135" t="e">
        <f>CI152+(CI151*(CI153-CI152))+CI154</f>
        <v>#DIV/0!</v>
      </c>
      <c r="CJ158" s="135" t="e">
        <f t="shared" ref="CJ158:CO158" si="80">(1+CJ157)*(1+CJ156)-1</f>
        <v>#DIV/0!</v>
      </c>
      <c r="CK158" s="135" t="e">
        <f t="shared" si="80"/>
        <v>#DIV/0!</v>
      </c>
      <c r="CL158" s="135" t="e">
        <f t="shared" si="80"/>
        <v>#DIV/0!</v>
      </c>
      <c r="CM158" s="135" t="e">
        <f t="shared" si="80"/>
        <v>#DIV/0!</v>
      </c>
      <c r="CN158" s="135" t="e">
        <f t="shared" si="80"/>
        <v>#DIV/0!</v>
      </c>
      <c r="CO158" s="135" t="e">
        <f t="shared" si="80"/>
        <v>#DIV/0!</v>
      </c>
      <c r="CP158" s="135"/>
    </row>
    <row r="159" spans="2:94" x14ac:dyDescent="0.2">
      <c r="B159" s="105" t="s">
        <v>454</v>
      </c>
      <c r="D159" s="135"/>
      <c r="E159" s="135"/>
      <c r="F159" s="135"/>
      <c r="G159" s="135"/>
      <c r="H159" s="135"/>
      <c r="I159" s="135"/>
      <c r="J159" s="135">
        <f>(1+J158)*(1+J157)-1</f>
        <v>0.22024575447279604</v>
      </c>
      <c r="K159" s="135"/>
      <c r="L159" s="135"/>
      <c r="M159" s="135"/>
      <c r="N159" s="135"/>
      <c r="O159" s="135"/>
      <c r="P159" s="135"/>
      <c r="Q159" s="135">
        <f>(1+Q158)*(1+Q157)-1</f>
        <v>0.20623489981264487</v>
      </c>
      <c r="R159" s="135"/>
      <c r="S159" s="135"/>
      <c r="T159" s="135"/>
      <c r="U159" s="135"/>
      <c r="V159" s="135"/>
      <c r="W159" s="135"/>
      <c r="X159" s="135" t="e">
        <f>(1+X158)*(1+X157)-1</f>
        <v>#DIV/0!</v>
      </c>
      <c r="Y159" s="135"/>
      <c r="Z159" s="135"/>
      <c r="AA159" s="135"/>
      <c r="AB159" s="135"/>
      <c r="AC159" s="135"/>
      <c r="AD159" s="135"/>
      <c r="AE159" s="135" t="e">
        <f>(1+AE158)*(1+AE157)-1</f>
        <v>#DIV/0!</v>
      </c>
      <c r="AF159" s="135"/>
      <c r="AG159" s="135"/>
      <c r="AH159" s="135"/>
      <c r="AI159" s="135"/>
      <c r="AJ159" s="135"/>
      <c r="AK159" s="135"/>
      <c r="AL159" s="135" t="e">
        <f>(1+AL158)*(1+AL157)-1</f>
        <v>#DIV/0!</v>
      </c>
      <c r="AM159" s="135"/>
      <c r="AN159" s="135"/>
      <c r="AO159" s="135"/>
      <c r="AP159" s="135"/>
      <c r="AQ159" s="135"/>
      <c r="AR159" s="135"/>
      <c r="AS159" s="135" t="e">
        <f>(1+AS158)*(1+AS157)-1</f>
        <v>#DIV/0!</v>
      </c>
      <c r="AT159" s="135"/>
      <c r="AU159" s="135"/>
      <c r="AV159" s="135"/>
      <c r="AW159" s="135"/>
      <c r="AX159" s="135"/>
      <c r="AY159" s="135"/>
      <c r="AZ159" s="135" t="e">
        <f>(1+AZ158)*(1+AZ157)-1</f>
        <v>#DIV/0!</v>
      </c>
      <c r="BA159" s="135"/>
      <c r="BB159" s="135"/>
      <c r="BC159" s="135"/>
      <c r="BD159" s="135"/>
      <c r="BE159" s="135"/>
      <c r="BF159" s="135"/>
      <c r="BG159" s="135" t="e">
        <f>(1+BG158)*(1+BG157)-1</f>
        <v>#DIV/0!</v>
      </c>
      <c r="BH159" s="135"/>
      <c r="BI159" s="135"/>
      <c r="BJ159" s="135"/>
      <c r="BK159" s="135"/>
      <c r="BL159" s="135"/>
      <c r="BM159" s="135"/>
      <c r="BN159" s="135" t="e">
        <f>(1+BN158)*(1+BN157)-1</f>
        <v>#DIV/0!</v>
      </c>
      <c r="BO159" s="135"/>
      <c r="BP159" s="135"/>
      <c r="BQ159" s="135"/>
      <c r="BR159" s="135"/>
      <c r="BS159" s="135"/>
      <c r="BT159" s="135"/>
      <c r="BU159" s="135" t="e">
        <f>(1+BU158)*(1+BU157)-1</f>
        <v>#DIV/0!</v>
      </c>
      <c r="BV159" s="135"/>
      <c r="BW159" s="135"/>
      <c r="BX159" s="135"/>
      <c r="BY159" s="135"/>
      <c r="BZ159" s="135"/>
      <c r="CA159" s="135"/>
      <c r="CB159" s="135" t="e">
        <f>(1+CB158)*(1+CB157)-1</f>
        <v>#DIV/0!</v>
      </c>
      <c r="CC159" s="135"/>
      <c r="CD159" s="135"/>
      <c r="CE159" s="135"/>
      <c r="CF159" s="135"/>
      <c r="CG159" s="135"/>
      <c r="CH159" s="135"/>
      <c r="CI159" s="135" t="e">
        <f>(1+CI158)*(1+CI157)-1</f>
        <v>#DIV/0!</v>
      </c>
      <c r="CJ159" s="135" t="e">
        <f t="shared" ref="CJ159:CO159" si="81">CJ148*CJ145+CJ158*CJ146</f>
        <v>#DIV/0!</v>
      </c>
      <c r="CK159" s="135" t="e">
        <f t="shared" si="81"/>
        <v>#DIV/0!</v>
      </c>
      <c r="CL159" s="135" t="e">
        <f t="shared" si="81"/>
        <v>#DIV/0!</v>
      </c>
      <c r="CM159" s="135" t="e">
        <f t="shared" si="81"/>
        <v>#DIV/0!</v>
      </c>
      <c r="CN159" s="135" t="e">
        <f t="shared" si="81"/>
        <v>#DIV/0!</v>
      </c>
      <c r="CO159" s="135" t="e">
        <f t="shared" si="81"/>
        <v>#DIV/0!</v>
      </c>
      <c r="CP159" s="135"/>
    </row>
    <row r="160" spans="2:94" x14ac:dyDescent="0.2">
      <c r="B160" s="105" t="s">
        <v>391</v>
      </c>
      <c r="D160" s="135"/>
      <c r="E160" s="135"/>
      <c r="F160" s="135"/>
      <c r="G160" s="135"/>
      <c r="H160" s="135"/>
      <c r="I160" s="135"/>
      <c r="J160" s="135">
        <f>J149*J146+J159*J147</f>
        <v>0.20843110363190259</v>
      </c>
      <c r="K160" s="135"/>
      <c r="L160" s="135"/>
      <c r="M160" s="135"/>
      <c r="N160" s="135"/>
      <c r="O160" s="135"/>
      <c r="P160" s="135"/>
      <c r="Q160" s="135">
        <f>Q149*Q146+Q159*Q147</f>
        <v>0.19511840044147918</v>
      </c>
      <c r="R160" s="135"/>
      <c r="S160" s="135"/>
      <c r="T160" s="135"/>
      <c r="U160" s="135"/>
      <c r="V160" s="135"/>
      <c r="W160" s="135"/>
      <c r="X160" s="135" t="e">
        <f>X149*X146+X159*X147</f>
        <v>#DIV/0!</v>
      </c>
      <c r="Y160" s="135"/>
      <c r="Z160" s="135"/>
      <c r="AA160" s="135"/>
      <c r="AB160" s="135"/>
      <c r="AC160" s="135"/>
      <c r="AD160" s="135"/>
      <c r="AE160" s="135" t="e">
        <f>AE149*AE146+AE159*AE147</f>
        <v>#DIV/0!</v>
      </c>
      <c r="AF160" s="135"/>
      <c r="AG160" s="135"/>
      <c r="AH160" s="135"/>
      <c r="AI160" s="135"/>
      <c r="AJ160" s="135"/>
      <c r="AK160" s="135"/>
      <c r="AL160" s="135" t="e">
        <f>AL149*AL146+AL159*AL147</f>
        <v>#DIV/0!</v>
      </c>
      <c r="AM160" s="135"/>
      <c r="AN160" s="135"/>
      <c r="AO160" s="135"/>
      <c r="AP160" s="135"/>
      <c r="AQ160" s="135"/>
      <c r="AR160" s="135"/>
      <c r="AS160" s="135" t="e">
        <f>AS149*AS146+AS159*AS147</f>
        <v>#DIV/0!</v>
      </c>
      <c r="AT160" s="135"/>
      <c r="AU160" s="135"/>
      <c r="AV160" s="135"/>
      <c r="AW160" s="135"/>
      <c r="AX160" s="135"/>
      <c r="AY160" s="135"/>
      <c r="AZ160" s="135" t="e">
        <f>AZ149*AZ146+AZ159*AZ147</f>
        <v>#DIV/0!</v>
      </c>
      <c r="BA160" s="135"/>
      <c r="BB160" s="135"/>
      <c r="BC160" s="135"/>
      <c r="BD160" s="135"/>
      <c r="BE160" s="135"/>
      <c r="BF160" s="135"/>
      <c r="BG160" s="135" t="e">
        <f>BG149*BG146+BG159*BG147</f>
        <v>#DIV/0!</v>
      </c>
      <c r="BH160" s="135"/>
      <c r="BI160" s="135"/>
      <c r="BJ160" s="135"/>
      <c r="BK160" s="135"/>
      <c r="BL160" s="135"/>
      <c r="BM160" s="135"/>
      <c r="BN160" s="135" t="e">
        <f>BN149*BN146+BN159*BN147</f>
        <v>#DIV/0!</v>
      </c>
      <c r="BO160" s="135"/>
      <c r="BP160" s="135"/>
      <c r="BQ160" s="135"/>
      <c r="BR160" s="135"/>
      <c r="BS160" s="135"/>
      <c r="BT160" s="135"/>
      <c r="BU160" s="135" t="e">
        <f>BU149*BU146+BU159*BU147</f>
        <v>#DIV/0!</v>
      </c>
      <c r="BV160" s="135"/>
      <c r="BW160" s="135"/>
      <c r="BX160" s="135"/>
      <c r="BY160" s="135"/>
      <c r="BZ160" s="135"/>
      <c r="CA160" s="135"/>
      <c r="CB160" s="135" t="e">
        <f>CB149*CB146+CB159*CB147</f>
        <v>#DIV/0!</v>
      </c>
      <c r="CC160" s="135"/>
      <c r="CD160" s="135"/>
      <c r="CE160" s="135"/>
      <c r="CF160" s="135"/>
      <c r="CG160" s="135"/>
      <c r="CH160" s="135"/>
      <c r="CI160" s="135" t="e">
        <f>CI149*CI146+CI159*CI147</f>
        <v>#DIV/0!</v>
      </c>
      <c r="CJ160" s="177" t="e">
        <f t="shared" ref="CJ160:CO160" si="82">CJ142-CJ159</f>
        <v>#REF!</v>
      </c>
      <c r="CK160" s="177" t="e">
        <f t="shared" si="82"/>
        <v>#DIV/0!</v>
      </c>
      <c r="CL160" s="177" t="e">
        <f t="shared" si="82"/>
        <v>#DIV/0!</v>
      </c>
      <c r="CM160" s="177" t="e">
        <f t="shared" si="82"/>
        <v>#REF!</v>
      </c>
      <c r="CN160" s="177" t="e">
        <f t="shared" si="82"/>
        <v>#DIV/0!</v>
      </c>
      <c r="CO160" s="177" t="e">
        <f t="shared" si="82"/>
        <v>#DIV/0!</v>
      </c>
      <c r="CP160" s="177"/>
    </row>
    <row r="161" spans="2:94" x14ac:dyDescent="0.2">
      <c r="B161" s="105" t="s">
        <v>392</v>
      </c>
      <c r="D161" s="177"/>
      <c r="E161" s="177"/>
      <c r="F161" s="177"/>
      <c r="G161" s="177"/>
      <c r="H161" s="177"/>
      <c r="I161" s="177"/>
      <c r="J161" s="177">
        <f>J143-J160</f>
        <v>-0.20389163087063084</v>
      </c>
      <c r="K161" s="177"/>
      <c r="L161" s="177"/>
      <c r="M161" s="177"/>
      <c r="N161" s="177"/>
      <c r="O161" s="177"/>
      <c r="P161" s="177"/>
      <c r="Q161" s="177">
        <f>Q143-Q160</f>
        <v>-0.19806361122255717</v>
      </c>
      <c r="R161" s="177"/>
      <c r="S161" s="177"/>
      <c r="T161" s="177"/>
      <c r="U161" s="177"/>
      <c r="V161" s="177"/>
      <c r="W161" s="177"/>
      <c r="X161" s="177" t="e">
        <f>X143-X160</f>
        <v>#DIV/0!</v>
      </c>
      <c r="Y161" s="177"/>
      <c r="Z161" s="177"/>
      <c r="AA161" s="177"/>
      <c r="AB161" s="177"/>
      <c r="AC161" s="177"/>
      <c r="AD161" s="177"/>
      <c r="AE161" s="177" t="e">
        <f>AE143-AE160</f>
        <v>#DIV/0!</v>
      </c>
      <c r="AF161" s="177"/>
      <c r="AG161" s="177"/>
      <c r="AH161" s="177"/>
      <c r="AI161" s="177"/>
      <c r="AJ161" s="177"/>
      <c r="AK161" s="177"/>
      <c r="AL161" s="177" t="e">
        <f>AL143-AL160</f>
        <v>#DIV/0!</v>
      </c>
      <c r="AM161" s="177"/>
      <c r="AN161" s="177"/>
      <c r="AO161" s="177"/>
      <c r="AP161" s="177"/>
      <c r="AQ161" s="177"/>
      <c r="AR161" s="177"/>
      <c r="AS161" s="177" t="e">
        <f>AS143-AS160</f>
        <v>#DIV/0!</v>
      </c>
      <c r="AT161" s="177"/>
      <c r="AU161" s="177"/>
      <c r="AV161" s="177"/>
      <c r="AW161" s="177"/>
      <c r="AX161" s="177"/>
      <c r="AY161" s="177"/>
      <c r="AZ161" s="177" t="e">
        <f>AZ143-AZ160</f>
        <v>#DIV/0!</v>
      </c>
      <c r="BA161" s="177"/>
      <c r="BB161" s="177"/>
      <c r="BC161" s="177"/>
      <c r="BD161" s="177"/>
      <c r="BE161" s="177"/>
      <c r="BF161" s="177"/>
      <c r="BG161" s="177" t="e">
        <f>BG143-BG160</f>
        <v>#DIV/0!</v>
      </c>
      <c r="BH161" s="177"/>
      <c r="BI161" s="177"/>
      <c r="BJ161" s="177"/>
      <c r="BK161" s="177"/>
      <c r="BL161" s="177"/>
      <c r="BM161" s="177"/>
      <c r="BN161" s="177" t="e">
        <f>BN143-BN160</f>
        <v>#DIV/0!</v>
      </c>
      <c r="BO161" s="177"/>
      <c r="BP161" s="177"/>
      <c r="BQ161" s="177"/>
      <c r="BR161" s="177"/>
      <c r="BS161" s="177"/>
      <c r="BT161" s="177"/>
      <c r="BU161" s="177" t="e">
        <f>BU143-BU160</f>
        <v>#DIV/0!</v>
      </c>
      <c r="BV161" s="177"/>
      <c r="BW161" s="177"/>
      <c r="BX161" s="177"/>
      <c r="BY161" s="177"/>
      <c r="BZ161" s="177"/>
      <c r="CA161" s="177"/>
      <c r="CB161" s="177" t="e">
        <f>CB143-CB160</f>
        <v>#DIV/0!</v>
      </c>
      <c r="CC161" s="177"/>
      <c r="CD161" s="177"/>
      <c r="CE161" s="177"/>
      <c r="CF161" s="177"/>
      <c r="CG161" s="177"/>
      <c r="CH161" s="177"/>
      <c r="CI161" s="177" t="e">
        <f>CI143-CI160</f>
        <v>#DIV/0!</v>
      </c>
      <c r="CJ161" s="178" t="e">
        <f t="shared" ref="CJ161:CO161" si="83">CJ160*CJ141</f>
        <v>#REF!</v>
      </c>
      <c r="CK161" s="178" t="e">
        <f t="shared" si="83"/>
        <v>#DIV/0!</v>
      </c>
      <c r="CL161" s="178" t="e">
        <f t="shared" si="83"/>
        <v>#DIV/0!</v>
      </c>
      <c r="CM161" s="178" t="e">
        <f t="shared" si="83"/>
        <v>#REF!</v>
      </c>
      <c r="CN161" s="178" t="e">
        <f t="shared" si="83"/>
        <v>#DIV/0!</v>
      </c>
      <c r="CO161" s="178" t="e">
        <f t="shared" si="83"/>
        <v>#DIV/0!</v>
      </c>
      <c r="CP161" s="178"/>
    </row>
    <row r="162" spans="2:94" x14ac:dyDescent="0.2">
      <c r="B162" s="105" t="s">
        <v>393</v>
      </c>
      <c r="D162" s="178"/>
      <c r="E162" s="178"/>
      <c r="F162" s="178"/>
      <c r="G162" s="178"/>
      <c r="H162" s="178"/>
      <c r="I162" s="178"/>
      <c r="J162" s="178">
        <f>J161*J142</f>
        <v>-384486273.20420146</v>
      </c>
      <c r="K162" s="178"/>
      <c r="L162" s="178"/>
      <c r="M162" s="178"/>
      <c r="N162" s="178"/>
      <c r="O162" s="178"/>
      <c r="P162" s="178"/>
      <c r="Q162" s="178">
        <f>Q161*Q142</f>
        <v>-373496152.88842207</v>
      </c>
      <c r="R162" s="178"/>
      <c r="S162" s="178"/>
      <c r="T162" s="178"/>
      <c r="U162" s="178"/>
      <c r="V162" s="178"/>
      <c r="W162" s="178"/>
      <c r="X162" s="178" t="e">
        <f>X161*X142</f>
        <v>#DIV/0!</v>
      </c>
      <c r="Y162" s="178"/>
      <c r="Z162" s="178"/>
      <c r="AA162" s="178"/>
      <c r="AB162" s="178"/>
      <c r="AC162" s="178"/>
      <c r="AD162" s="178"/>
      <c r="AE162" s="178" t="e">
        <f>AE161*AE142</f>
        <v>#DIV/0!</v>
      </c>
      <c r="AF162" s="178"/>
      <c r="AG162" s="178"/>
      <c r="AH162" s="178"/>
      <c r="AI162" s="178"/>
      <c r="AJ162" s="178"/>
      <c r="AK162" s="178"/>
      <c r="AL162" s="178" t="e">
        <f>AL161*AL142</f>
        <v>#DIV/0!</v>
      </c>
      <c r="AM162" s="178"/>
      <c r="AN162" s="178"/>
      <c r="AO162" s="178"/>
      <c r="AP162" s="178"/>
      <c r="AQ162" s="178"/>
      <c r="AR162" s="178"/>
      <c r="AS162" s="178" t="e">
        <f>AS161*AS142</f>
        <v>#DIV/0!</v>
      </c>
      <c r="AT162" s="178"/>
      <c r="AU162" s="178"/>
      <c r="AV162" s="178"/>
      <c r="AW162" s="178"/>
      <c r="AX162" s="178"/>
      <c r="AY162" s="178"/>
      <c r="AZ162" s="178" t="e">
        <f>AZ161*AZ142</f>
        <v>#DIV/0!</v>
      </c>
      <c r="BA162" s="178"/>
      <c r="BB162" s="178"/>
      <c r="BC162" s="178"/>
      <c r="BD162" s="178"/>
      <c r="BE162" s="178"/>
      <c r="BF162" s="178"/>
      <c r="BG162" s="178" t="e">
        <f>BG161*BG142</f>
        <v>#DIV/0!</v>
      </c>
      <c r="BH162" s="178"/>
      <c r="BI162" s="178"/>
      <c r="BJ162" s="178"/>
      <c r="BK162" s="178"/>
      <c r="BL162" s="178"/>
      <c r="BM162" s="178"/>
      <c r="BN162" s="178" t="e">
        <f>BN161*BN142</f>
        <v>#DIV/0!</v>
      </c>
      <c r="BO162" s="178"/>
      <c r="BP162" s="178"/>
      <c r="BQ162" s="178"/>
      <c r="BR162" s="178"/>
      <c r="BS162" s="178"/>
      <c r="BT162" s="178"/>
      <c r="BU162" s="178" t="e">
        <f>BU161*BU142</f>
        <v>#DIV/0!</v>
      </c>
      <c r="BV162" s="178"/>
      <c r="BW162" s="178"/>
      <c r="BX162" s="178"/>
      <c r="BY162" s="178"/>
      <c r="BZ162" s="178"/>
      <c r="CA162" s="178"/>
      <c r="CB162" s="178" t="e">
        <f>CB161*CB142</f>
        <v>#DIV/0!</v>
      </c>
      <c r="CC162" s="178"/>
      <c r="CD162" s="178"/>
      <c r="CE162" s="178"/>
      <c r="CF162" s="178"/>
      <c r="CG162" s="178"/>
      <c r="CH162" s="178"/>
      <c r="CI162" s="178" t="e">
        <f>CI161*CI142</f>
        <v>#DIV/0!</v>
      </c>
    </row>
    <row r="163" spans="2:94" x14ac:dyDescent="0.2">
      <c r="CJ163" s="166">
        <f t="shared" ref="CJ163:CO163" si="84">CJ14/CJ64</f>
        <v>0</v>
      </c>
      <c r="CK163" s="166">
        <f t="shared" si="84"/>
        <v>0</v>
      </c>
      <c r="CL163" s="166">
        <f t="shared" si="84"/>
        <v>0</v>
      </c>
      <c r="CM163" s="166">
        <f t="shared" si="84"/>
        <v>0</v>
      </c>
      <c r="CN163" s="166">
        <f t="shared" si="84"/>
        <v>0</v>
      </c>
      <c r="CO163" s="166">
        <f t="shared" si="84"/>
        <v>0</v>
      </c>
      <c r="CP163" s="166"/>
    </row>
    <row r="164" spans="2:94" x14ac:dyDescent="0.2">
      <c r="B164" s="105" t="s">
        <v>394</v>
      </c>
      <c r="D164" s="166"/>
      <c r="E164" s="166"/>
      <c r="F164" s="166"/>
      <c r="G164" s="166"/>
      <c r="H164" s="166"/>
      <c r="I164" s="166"/>
      <c r="J164" s="166">
        <f>J14/J64</f>
        <v>0</v>
      </c>
      <c r="K164" s="166"/>
      <c r="L164" s="166"/>
      <c r="M164" s="166"/>
      <c r="N164" s="166"/>
      <c r="O164" s="166"/>
      <c r="P164" s="166"/>
      <c r="Q164" s="166">
        <f>Q14/Q64</f>
        <v>0</v>
      </c>
      <c r="R164" s="166"/>
      <c r="S164" s="166"/>
      <c r="T164" s="166"/>
      <c r="U164" s="166"/>
      <c r="V164" s="166"/>
      <c r="W164" s="166"/>
      <c r="X164" s="166">
        <f>X14/X64</f>
        <v>0</v>
      </c>
      <c r="Y164" s="166"/>
      <c r="Z164" s="166"/>
      <c r="AA164" s="166"/>
      <c r="AB164" s="166"/>
      <c r="AC164" s="166"/>
      <c r="AD164" s="166"/>
      <c r="AE164" s="166">
        <f>AE14/AE64</f>
        <v>0</v>
      </c>
      <c r="AF164" s="166"/>
      <c r="AG164" s="166"/>
      <c r="AH164" s="166"/>
      <c r="AI164" s="166"/>
      <c r="AJ164" s="166"/>
      <c r="AK164" s="166"/>
      <c r="AL164" s="166">
        <f>AL14/AL64</f>
        <v>0</v>
      </c>
      <c r="AM164" s="166"/>
      <c r="AN164" s="166"/>
      <c r="AO164" s="166"/>
      <c r="AP164" s="166"/>
      <c r="AQ164" s="166"/>
      <c r="AR164" s="166"/>
      <c r="AS164" s="166">
        <f>AS14/AS64</f>
        <v>0</v>
      </c>
      <c r="AT164" s="166"/>
      <c r="AU164" s="166"/>
      <c r="AV164" s="166"/>
      <c r="AW164" s="166"/>
      <c r="AX164" s="166"/>
      <c r="AY164" s="166"/>
      <c r="AZ164" s="166">
        <f>AZ14/AZ64</f>
        <v>0</v>
      </c>
      <c r="BA164" s="166"/>
      <c r="BB164" s="166"/>
      <c r="BC164" s="166"/>
      <c r="BD164" s="166"/>
      <c r="BE164" s="166"/>
      <c r="BF164" s="166"/>
      <c r="BG164" s="166">
        <f>BG14/BG64</f>
        <v>0</v>
      </c>
      <c r="BH164" s="166"/>
      <c r="BI164" s="166"/>
      <c r="BJ164" s="166"/>
      <c r="BK164" s="166"/>
      <c r="BL164" s="166"/>
      <c r="BM164" s="166"/>
      <c r="BN164" s="166">
        <f>BN14/BN64</f>
        <v>0</v>
      </c>
      <c r="BO164" s="166"/>
      <c r="BP164" s="166"/>
      <c r="BQ164" s="166"/>
      <c r="BR164" s="166"/>
      <c r="BS164" s="166"/>
      <c r="BT164" s="166"/>
      <c r="BU164" s="166">
        <f>BU14/BU64</f>
        <v>0</v>
      </c>
      <c r="BV164" s="166"/>
      <c r="BW164" s="166"/>
      <c r="BX164" s="166"/>
      <c r="BY164" s="166"/>
      <c r="BZ164" s="166"/>
      <c r="CA164" s="166"/>
      <c r="CB164" s="166">
        <f>CB14/CB64</f>
        <v>0</v>
      </c>
      <c r="CC164" s="166"/>
      <c r="CD164" s="166"/>
      <c r="CE164" s="166"/>
      <c r="CF164" s="166"/>
      <c r="CG164" s="166"/>
      <c r="CH164" s="166"/>
      <c r="CI164" s="166">
        <f>CI14/CI64</f>
        <v>0</v>
      </c>
      <c r="CJ164" s="137">
        <f t="shared" ref="CJ164:CO164" si="85">-CJ100</f>
        <v>0</v>
      </c>
      <c r="CK164" s="137">
        <f t="shared" si="85"/>
        <v>0</v>
      </c>
      <c r="CL164" s="137">
        <f t="shared" si="85"/>
        <v>0</v>
      </c>
      <c r="CM164" s="137">
        <f t="shared" si="85"/>
        <v>0</v>
      </c>
      <c r="CN164" s="137">
        <f t="shared" si="85"/>
        <v>0</v>
      </c>
      <c r="CO164" s="137">
        <f t="shared" si="85"/>
        <v>0</v>
      </c>
      <c r="CP164" s="137"/>
    </row>
    <row r="165" spans="2:94" x14ac:dyDescent="0.2">
      <c r="B165" s="105" t="s">
        <v>395</v>
      </c>
      <c r="D165" s="137"/>
      <c r="E165" s="137"/>
      <c r="F165" s="137"/>
      <c r="G165" s="137"/>
      <c r="H165" s="137"/>
      <c r="I165" s="137"/>
      <c r="J165" s="137">
        <f>-J100</f>
        <v>12108994.050000001</v>
      </c>
      <c r="K165" s="137"/>
      <c r="L165" s="137"/>
      <c r="M165" s="137"/>
      <c r="N165" s="137"/>
      <c r="O165" s="137"/>
      <c r="P165" s="137"/>
      <c r="Q165" s="137">
        <f>-Q100</f>
        <v>0</v>
      </c>
      <c r="R165" s="137"/>
      <c r="S165" s="137"/>
      <c r="T165" s="137"/>
      <c r="U165" s="137"/>
      <c r="V165" s="137"/>
      <c r="W165" s="137"/>
      <c r="X165" s="137">
        <f>-X100</f>
        <v>0</v>
      </c>
      <c r="Y165" s="137"/>
      <c r="Z165" s="137"/>
      <c r="AA165" s="137"/>
      <c r="AB165" s="137"/>
      <c r="AC165" s="137"/>
      <c r="AD165" s="137"/>
      <c r="AE165" s="137">
        <f>-AE100</f>
        <v>0</v>
      </c>
      <c r="AF165" s="137"/>
      <c r="AG165" s="137"/>
      <c r="AH165" s="137"/>
      <c r="AI165" s="137"/>
      <c r="AJ165" s="137"/>
      <c r="AK165" s="137"/>
      <c r="AL165" s="137">
        <f>-AL100</f>
        <v>0</v>
      </c>
      <c r="AM165" s="137"/>
      <c r="AN165" s="137"/>
      <c r="AO165" s="137"/>
      <c r="AP165" s="137"/>
      <c r="AQ165" s="137"/>
      <c r="AR165" s="137"/>
      <c r="AS165" s="137">
        <f>-AS100</f>
        <v>0</v>
      </c>
      <c r="AT165" s="137"/>
      <c r="AU165" s="137"/>
      <c r="AV165" s="137"/>
      <c r="AW165" s="137"/>
      <c r="AX165" s="137"/>
      <c r="AY165" s="137"/>
      <c r="AZ165" s="137">
        <f>-AZ100</f>
        <v>0</v>
      </c>
      <c r="BA165" s="137"/>
      <c r="BB165" s="137"/>
      <c r="BC165" s="137"/>
      <c r="BD165" s="137"/>
      <c r="BE165" s="137"/>
      <c r="BF165" s="137"/>
      <c r="BG165" s="137">
        <f>-BG100</f>
        <v>0</v>
      </c>
      <c r="BH165" s="137"/>
      <c r="BI165" s="137"/>
      <c r="BJ165" s="137"/>
      <c r="BK165" s="137"/>
      <c r="BL165" s="137"/>
      <c r="BM165" s="137"/>
      <c r="BN165" s="137">
        <f>-BN100</f>
        <v>0</v>
      </c>
      <c r="BO165" s="137"/>
      <c r="BP165" s="137"/>
      <c r="BQ165" s="137"/>
      <c r="BR165" s="137"/>
      <c r="BS165" s="137"/>
      <c r="BT165" s="137"/>
      <c r="BU165" s="137">
        <f>-BU100</f>
        <v>0</v>
      </c>
      <c r="BV165" s="137"/>
      <c r="BW165" s="137"/>
      <c r="BX165" s="137"/>
      <c r="BY165" s="137"/>
      <c r="BZ165" s="137"/>
      <c r="CA165" s="137"/>
      <c r="CB165" s="137">
        <f>-CB100</f>
        <v>0</v>
      </c>
      <c r="CC165" s="137"/>
      <c r="CD165" s="137"/>
      <c r="CE165" s="137"/>
      <c r="CF165" s="137"/>
      <c r="CG165" s="137"/>
      <c r="CH165" s="137"/>
      <c r="CI165" s="137">
        <f>-CI100</f>
        <v>0</v>
      </c>
      <c r="CK165" s="171" t="e">
        <f>CK164/CK48</f>
        <v>#DIV/0!</v>
      </c>
      <c r="CL165" s="171" t="e">
        <f>CL164/CL48</f>
        <v>#DIV/0!</v>
      </c>
      <c r="CN165" s="171" t="e">
        <f>CN164/CN48</f>
        <v>#DIV/0!</v>
      </c>
      <c r="CO165" s="171" t="e">
        <f>CO164/CO48</f>
        <v>#DIV/0!</v>
      </c>
    </row>
    <row r="166" spans="2:94" x14ac:dyDescent="0.2">
      <c r="B166" s="105" t="s">
        <v>396</v>
      </c>
      <c r="E166" s="171"/>
      <c r="F166" s="171"/>
      <c r="H166" s="171"/>
      <c r="I166" s="171"/>
      <c r="J166" s="171">
        <f>J165/J48</f>
        <v>6.6901091414300655</v>
      </c>
      <c r="K166" s="171"/>
      <c r="L166" s="171"/>
      <c r="N166" s="171"/>
      <c r="O166" s="171"/>
      <c r="Q166" s="171">
        <f>Q165/Q48</f>
        <v>0</v>
      </c>
      <c r="R166" s="171"/>
      <c r="T166" s="171"/>
      <c r="U166" s="171"/>
      <c r="W166" s="171"/>
      <c r="X166" s="171" t="e">
        <f>X165/X48</f>
        <v>#DIV/0!</v>
      </c>
      <c r="Z166" s="171"/>
      <c r="AA166" s="171"/>
      <c r="AC166" s="171"/>
      <c r="AD166" s="171"/>
      <c r="AE166" s="171" t="e">
        <f>AE165/AE48</f>
        <v>#DIV/0!</v>
      </c>
      <c r="AF166" s="171"/>
      <c r="AG166" s="171"/>
      <c r="AI166" s="171"/>
      <c r="AJ166" s="171"/>
      <c r="AL166" s="171" t="e">
        <f>AL165/AL48</f>
        <v>#DIV/0!</v>
      </c>
      <c r="AM166" s="171"/>
      <c r="AO166" s="171"/>
      <c r="AP166" s="171"/>
      <c r="AR166" s="171"/>
      <c r="AS166" s="171" t="e">
        <f>AS165/AS48</f>
        <v>#DIV/0!</v>
      </c>
      <c r="AU166" s="171"/>
      <c r="AV166" s="171"/>
      <c r="AX166" s="171"/>
      <c r="AY166" s="171"/>
      <c r="AZ166" s="171" t="e">
        <f>AZ165/AZ48</f>
        <v>#DIV/0!</v>
      </c>
      <c r="BA166" s="171"/>
      <c r="BB166" s="171"/>
      <c r="BD166" s="171"/>
      <c r="BE166" s="171"/>
      <c r="BG166" s="171" t="e">
        <f>BG165/BG48</f>
        <v>#DIV/0!</v>
      </c>
      <c r="BH166" s="171"/>
      <c r="BJ166" s="171"/>
      <c r="BK166" s="171"/>
      <c r="BM166" s="171"/>
      <c r="BN166" s="171" t="e">
        <f>BN165/BN48</f>
        <v>#DIV/0!</v>
      </c>
      <c r="BP166" s="171"/>
      <c r="BQ166" s="171"/>
      <c r="BS166" s="171"/>
      <c r="BT166" s="171"/>
      <c r="BU166" s="171" t="e">
        <f>BU165/BU48</f>
        <v>#DIV/0!</v>
      </c>
      <c r="BV166" s="171"/>
      <c r="BW166" s="171"/>
      <c r="BY166" s="171"/>
      <c r="BZ166" s="171"/>
      <c r="CB166" s="171" t="e">
        <f>CB165/CB48</f>
        <v>#DIV/0!</v>
      </c>
      <c r="CC166" s="171"/>
      <c r="CE166" s="171"/>
      <c r="CF166" s="171"/>
      <c r="CH166" s="171"/>
      <c r="CI166" s="171" t="e">
        <f>CI165/CI48</f>
        <v>#DIV/0!</v>
      </c>
    </row>
  </sheetData>
  <mergeCells count="2">
    <mergeCell ref="CR1:DC1"/>
    <mergeCell ref="DE1:DP1"/>
  </mergeCells>
  <conditionalFormatting sqref="A1:DB1 DC1:XFD2 CU2:DB2 A2:CT12 CU3:XFD12 A13:XFD16 A17:A18 D17:XFD18 A19:XFD25 A26:CT39 A42:CT48 A49:AR51 AT49:CT51 A52:CA63 A40:CQ40 CR40:CT41">
    <cfRule type="cellIs" dxfId="15" priority="32" operator="lessThan">
      <formula>0</formula>
    </cfRule>
  </conditionalFormatting>
  <conditionalFormatting sqref="Y64:CA69 A167:XFD1048576">
    <cfRule type="cellIs" dxfId="14" priority="31" operator="lessThan">
      <formula>0</formula>
    </cfRule>
  </conditionalFormatting>
  <conditionalFormatting sqref="Y70:XFD166">
    <cfRule type="cellIs" dxfId="13" priority="1" operator="lessThan">
      <formula>0</formula>
    </cfRule>
  </conditionalFormatting>
  <conditionalFormatting sqref="CB52:XFD69">
    <cfRule type="cellIs" dxfId="12" priority="11" operator="lessThan">
      <formula>0</formula>
    </cfRule>
  </conditionalFormatting>
  <conditionalFormatting sqref="A41 C41:CQ41 A64:X166 CU26:XFD51">
    <cfRule type="cellIs" dxfId="11" priority="25" operator="lessThan">
      <formula>0</formula>
    </cfRule>
  </conditionalFormatting>
  <hyperlinks>
    <hyperlink ref="C154" r:id="rId1" xr:uid="{FA357CE6-9A29-C740-A457-FE400A0B6AB3}"/>
  </hyperlinks>
  <pageMargins left="0.7" right="0.7" top="0.75" bottom="0.75" header="0.3" footer="0.3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22D6-01E6-EA47-B2A2-16D0926D483A}">
  <dimension ref="A1:DP166"/>
  <sheetViews>
    <sheetView zoomScale="80" zoomScaleNormal="80" workbookViewId="0">
      <pane xSplit="3" ySplit="4" topLeftCell="J5" activePane="bottomRight" state="frozen"/>
      <selection activeCell="AE32" sqref="AE32"/>
      <selection pane="topRight" activeCell="AE32" sqref="AE32"/>
      <selection pane="bottomLeft" activeCell="AE32" sqref="AE32"/>
      <selection pane="bottomRight" activeCell="J81" sqref="J81"/>
    </sheetView>
  </sheetViews>
  <sheetFormatPr baseColWidth="10" defaultColWidth="10.83203125" defaultRowHeight="15" outlineLevelCol="1" x14ac:dyDescent="0.2"/>
  <cols>
    <col min="1" max="1" width="10.83203125" style="105"/>
    <col min="2" max="2" width="32" style="105" customWidth="1"/>
    <col min="3" max="3" width="29.83203125" style="204" bestFit="1" customWidth="1"/>
    <col min="4" max="4" width="12.5" style="105" hidden="1" customWidth="1" outlineLevel="1"/>
    <col min="5" max="5" width="13.1640625" style="105" hidden="1" customWidth="1" outlineLevel="1"/>
    <col min="6" max="7" width="12.5" style="105" hidden="1" customWidth="1" outlineLevel="1"/>
    <col min="8" max="8" width="15" style="105" hidden="1" customWidth="1" outlineLevel="1"/>
    <col min="9" max="9" width="12.5" style="105" hidden="1" customWidth="1" outlineLevel="1"/>
    <col min="10" max="10" width="16.6640625" style="105" bestFit="1" customWidth="1" collapsed="1"/>
    <col min="11" max="11" width="14.1640625" style="105" hidden="1" customWidth="1" outlineLevel="1"/>
    <col min="12" max="12" width="13.1640625" style="105" hidden="1" customWidth="1" outlineLevel="1"/>
    <col min="13" max="14" width="12.5" style="105" hidden="1" customWidth="1" outlineLevel="1"/>
    <col min="15" max="15" width="13.1640625" style="105" hidden="1" customWidth="1" outlineLevel="1"/>
    <col min="16" max="16" width="12.5" style="105" hidden="1" customWidth="1" outlineLevel="1"/>
    <col min="17" max="17" width="16.6640625" style="105" bestFit="1" customWidth="1" collapsed="1"/>
    <col min="18" max="18" width="14.1640625" style="105" hidden="1" customWidth="1" outlineLevel="1"/>
    <col min="19" max="19" width="13.1640625" style="105" hidden="1" customWidth="1" outlineLevel="1"/>
    <col min="20" max="21" width="12.5" style="105" hidden="1" customWidth="1" outlineLevel="1"/>
    <col min="22" max="22" width="13.1640625" style="105" hidden="1" customWidth="1" outlineLevel="1"/>
    <col min="23" max="23" width="12.5" style="105" hidden="1" customWidth="1" outlineLevel="1"/>
    <col min="24" max="24" width="16.6640625" style="105" bestFit="1" customWidth="1" collapsed="1"/>
    <col min="25" max="25" width="14.1640625" style="105" hidden="1" customWidth="1" outlineLevel="1"/>
    <col min="26" max="26" width="13.1640625" style="105" hidden="1" customWidth="1" outlineLevel="1"/>
    <col min="27" max="28" width="12.5" style="105" hidden="1" customWidth="1" outlineLevel="1"/>
    <col min="29" max="29" width="13.1640625" style="105" hidden="1" customWidth="1" outlineLevel="1"/>
    <col min="30" max="30" width="12.5" style="105" hidden="1" customWidth="1" outlineLevel="1"/>
    <col min="31" max="31" width="16.6640625" style="105" bestFit="1" customWidth="1" collapsed="1"/>
    <col min="32" max="32" width="14.1640625" style="105" hidden="1" customWidth="1" outlineLevel="1"/>
    <col min="33" max="33" width="13.1640625" style="105" hidden="1" customWidth="1" outlineLevel="1"/>
    <col min="34" max="35" width="12.5" style="105" hidden="1" customWidth="1" outlineLevel="1"/>
    <col min="36" max="36" width="13.1640625" style="105" hidden="1" customWidth="1" outlineLevel="1"/>
    <col min="37" max="37" width="12.5" style="105" hidden="1" customWidth="1" outlineLevel="1"/>
    <col min="38" max="38" width="16.6640625" style="105" bestFit="1" customWidth="1" collapsed="1"/>
    <col min="39" max="41" width="12.5" style="105" hidden="1" customWidth="1" outlineLevel="1"/>
    <col min="42" max="42" width="11.5" style="105" hidden="1" customWidth="1" outlineLevel="1"/>
    <col min="43" max="44" width="12.5" style="105" hidden="1" customWidth="1" outlineLevel="1"/>
    <col min="45" max="45" width="16.6640625" style="105" bestFit="1" customWidth="1" collapsed="1"/>
    <col min="46" max="48" width="12.5" style="105" hidden="1" customWidth="1" outlineLevel="1"/>
    <col min="49" max="49" width="11.5" style="105" hidden="1" customWidth="1" outlineLevel="1"/>
    <col min="50" max="51" width="12.5" style="105" hidden="1" customWidth="1" outlineLevel="1"/>
    <col min="52" max="52" width="16.6640625" style="105" bestFit="1" customWidth="1" collapsed="1"/>
    <col min="53" max="55" width="12.5" style="105" hidden="1" customWidth="1" outlineLevel="1"/>
    <col min="56" max="56" width="11.5" style="105" hidden="1" customWidth="1" outlineLevel="1"/>
    <col min="57" max="58" width="12.5" style="105" hidden="1" customWidth="1" outlineLevel="1"/>
    <col min="59" max="59" width="16.6640625" style="105" bestFit="1" customWidth="1" collapsed="1"/>
    <col min="60" max="62" width="12.5" style="105" hidden="1" customWidth="1" outlineLevel="1"/>
    <col min="63" max="63" width="11.5" style="105" hidden="1" customWidth="1" outlineLevel="1"/>
    <col min="64" max="65" width="12.5" style="105" hidden="1" customWidth="1" outlineLevel="1"/>
    <col min="66" max="66" width="16.6640625" style="105" bestFit="1" customWidth="1" collapsed="1"/>
    <col min="67" max="69" width="12.5" style="105" hidden="1" customWidth="1" outlineLevel="1"/>
    <col min="70" max="70" width="11.5" style="105" hidden="1" customWidth="1" outlineLevel="1"/>
    <col min="71" max="72" width="12.5" style="105" hidden="1" customWidth="1" outlineLevel="1"/>
    <col min="73" max="73" width="16.6640625" style="105" bestFit="1" customWidth="1" collapsed="1"/>
    <col min="74" max="76" width="12.5" style="105" hidden="1" customWidth="1" outlineLevel="1"/>
    <col min="77" max="77" width="11.5" style="105" hidden="1" customWidth="1" outlineLevel="1"/>
    <col min="78" max="79" width="12.5" style="105" hidden="1" customWidth="1" outlineLevel="1"/>
    <col min="80" max="80" width="16.6640625" style="105" bestFit="1" customWidth="1" collapsed="1"/>
    <col min="81" max="83" width="12.5" style="105" hidden="1" customWidth="1" outlineLevel="1"/>
    <col min="84" max="84" width="11.5" style="105" hidden="1" customWidth="1" outlineLevel="1"/>
    <col min="85" max="86" width="12.1640625" style="105" hidden="1" customWidth="1" outlineLevel="1"/>
    <col min="87" max="87" width="16.6640625" style="105" bestFit="1" customWidth="1" collapsed="1"/>
    <col min="88" max="90" width="12.5" style="105" hidden="1" customWidth="1" outlineLevel="1"/>
    <col min="91" max="91" width="11.5" style="105" hidden="1" customWidth="1" outlineLevel="1"/>
    <col min="92" max="93" width="12.5" style="105" hidden="1" customWidth="1" outlineLevel="1"/>
    <col min="94" max="94" width="16.33203125" style="105" bestFit="1" customWidth="1" collapsed="1"/>
    <col min="95" max="95" width="10.83203125" style="105"/>
    <col min="96" max="107" width="9.83203125" style="105" bestFit="1" customWidth="1"/>
    <col min="108" max="16384" width="10.83203125" style="105"/>
  </cols>
  <sheetData>
    <row r="1" spans="2:120" s="181" customFormat="1" ht="16" x14ac:dyDescent="0.2">
      <c r="B1" s="179">
        <v>2026</v>
      </c>
      <c r="C1" s="201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180"/>
      <c r="BS1" s="180"/>
      <c r="BT1" s="180"/>
      <c r="BU1" s="180"/>
      <c r="BV1" s="180"/>
      <c r="BW1" s="180"/>
      <c r="BX1" s="180"/>
      <c r="BY1" s="180"/>
      <c r="BZ1" s="180"/>
      <c r="CA1" s="180"/>
      <c r="CB1" s="180"/>
      <c r="CC1" s="180"/>
      <c r="CD1" s="180"/>
      <c r="CE1" s="180"/>
      <c r="CF1" s="180"/>
      <c r="CG1" s="180"/>
      <c r="CH1" s="180"/>
      <c r="CI1" s="180"/>
      <c r="CJ1" s="180"/>
      <c r="CK1" s="180"/>
      <c r="CL1" s="180"/>
      <c r="CM1" s="180"/>
      <c r="CN1" s="180"/>
      <c r="CO1" s="180"/>
      <c r="CP1" s="180"/>
      <c r="CR1" s="288" t="s">
        <v>504</v>
      </c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E1" s="288" t="s">
        <v>491</v>
      </c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</row>
    <row r="2" spans="2:120" s="190" customFormat="1" ht="31" customHeight="1" x14ac:dyDescent="0.2">
      <c r="B2" s="182"/>
      <c r="C2" s="202"/>
      <c r="D2" s="189">
        <v>1</v>
      </c>
      <c r="E2" s="182">
        <v>1</v>
      </c>
      <c r="F2" s="182">
        <v>1</v>
      </c>
      <c r="G2" s="182">
        <v>1</v>
      </c>
      <c r="H2" s="182">
        <v>1</v>
      </c>
      <c r="I2" s="182">
        <v>1</v>
      </c>
      <c r="J2" s="182">
        <v>1</v>
      </c>
      <c r="K2" s="189">
        <v>2</v>
      </c>
      <c r="L2" s="182">
        <v>2</v>
      </c>
      <c r="M2" s="182">
        <v>2</v>
      </c>
      <c r="N2" s="182">
        <v>2</v>
      </c>
      <c r="O2" s="189">
        <v>2</v>
      </c>
      <c r="P2" s="182">
        <v>2</v>
      </c>
      <c r="Q2" s="182">
        <v>2</v>
      </c>
      <c r="R2" s="189">
        <v>3</v>
      </c>
      <c r="S2" s="182">
        <v>3</v>
      </c>
      <c r="T2" s="182">
        <v>3</v>
      </c>
      <c r="U2" s="182">
        <v>3</v>
      </c>
      <c r="V2" s="182">
        <v>3</v>
      </c>
      <c r="W2" s="182">
        <v>3</v>
      </c>
      <c r="X2" s="182">
        <v>3</v>
      </c>
      <c r="Y2" s="189">
        <v>4</v>
      </c>
      <c r="Z2" s="182">
        <v>4</v>
      </c>
      <c r="AA2" s="182">
        <v>4</v>
      </c>
      <c r="AB2" s="182">
        <v>4</v>
      </c>
      <c r="AC2" s="182">
        <v>4</v>
      </c>
      <c r="AD2" s="182">
        <v>4</v>
      </c>
      <c r="AE2" s="182">
        <v>4</v>
      </c>
      <c r="AF2" s="189">
        <v>5</v>
      </c>
      <c r="AG2" s="182">
        <v>5</v>
      </c>
      <c r="AH2" s="182">
        <v>5</v>
      </c>
      <c r="AI2" s="182">
        <v>5</v>
      </c>
      <c r="AJ2" s="182">
        <v>5</v>
      </c>
      <c r="AK2" s="182">
        <v>5</v>
      </c>
      <c r="AL2" s="182">
        <v>5</v>
      </c>
      <c r="AM2" s="189">
        <v>6</v>
      </c>
      <c r="AN2" s="182">
        <v>6</v>
      </c>
      <c r="AO2" s="182">
        <v>6</v>
      </c>
      <c r="AP2" s="182">
        <v>6</v>
      </c>
      <c r="AQ2" s="182">
        <v>6</v>
      </c>
      <c r="AR2" s="182">
        <v>6</v>
      </c>
      <c r="AS2" s="182">
        <v>6</v>
      </c>
      <c r="AT2" s="189">
        <v>7</v>
      </c>
      <c r="AU2" s="182">
        <v>7</v>
      </c>
      <c r="AV2" s="182">
        <v>7</v>
      </c>
      <c r="AW2" s="182">
        <v>7</v>
      </c>
      <c r="AX2" s="182">
        <v>7</v>
      </c>
      <c r="AY2" s="182">
        <v>7</v>
      </c>
      <c r="AZ2" s="182">
        <v>7</v>
      </c>
      <c r="BA2" s="189">
        <v>8</v>
      </c>
      <c r="BB2" s="182">
        <v>8</v>
      </c>
      <c r="BC2" s="182">
        <v>8</v>
      </c>
      <c r="BD2" s="182">
        <v>8</v>
      </c>
      <c r="BE2" s="182">
        <v>8</v>
      </c>
      <c r="BF2" s="182">
        <v>8</v>
      </c>
      <c r="BG2" s="182">
        <v>8</v>
      </c>
      <c r="BH2" s="189">
        <v>9</v>
      </c>
      <c r="BI2" s="182">
        <v>9</v>
      </c>
      <c r="BJ2" s="182">
        <v>9</v>
      </c>
      <c r="BK2" s="182">
        <v>9</v>
      </c>
      <c r="BL2" s="182">
        <v>9</v>
      </c>
      <c r="BM2" s="182">
        <v>9</v>
      </c>
      <c r="BN2" s="182">
        <v>9</v>
      </c>
      <c r="BO2" s="189">
        <v>10</v>
      </c>
      <c r="BP2" s="189">
        <v>10</v>
      </c>
      <c r="BQ2" s="189">
        <v>10</v>
      </c>
      <c r="BR2" s="189">
        <v>10</v>
      </c>
      <c r="BS2" s="189">
        <v>10</v>
      </c>
      <c r="BT2" s="189">
        <v>10</v>
      </c>
      <c r="BU2" s="182">
        <v>10</v>
      </c>
      <c r="BV2" s="189">
        <v>11</v>
      </c>
      <c r="BW2" s="189">
        <v>11</v>
      </c>
      <c r="BX2" s="189">
        <v>11</v>
      </c>
      <c r="BY2" s="189">
        <v>11</v>
      </c>
      <c r="BZ2" s="189">
        <v>11</v>
      </c>
      <c r="CA2" s="189">
        <v>11</v>
      </c>
      <c r="CB2" s="182">
        <v>11</v>
      </c>
      <c r="CC2" s="189">
        <v>12</v>
      </c>
      <c r="CD2" s="189">
        <v>12</v>
      </c>
      <c r="CE2" s="189">
        <v>12</v>
      </c>
      <c r="CF2" s="189">
        <v>12</v>
      </c>
      <c r="CG2" s="189">
        <v>12</v>
      </c>
      <c r="CH2" s="189">
        <v>12</v>
      </c>
      <c r="CI2" s="189">
        <v>12</v>
      </c>
      <c r="CJ2" s="195"/>
      <c r="CK2" s="195"/>
      <c r="CL2" s="195"/>
      <c r="CM2" s="195"/>
      <c r="CN2" s="195"/>
      <c r="CO2" s="195"/>
      <c r="CP2" s="196">
        <v>2026</v>
      </c>
      <c r="CR2" s="182" t="s">
        <v>492</v>
      </c>
      <c r="CS2" s="182" t="s">
        <v>493</v>
      </c>
      <c r="CT2" s="182" t="s">
        <v>494</v>
      </c>
      <c r="CU2" s="182" t="s">
        <v>495</v>
      </c>
      <c r="CV2" s="182" t="s">
        <v>496</v>
      </c>
      <c r="CW2" s="182" t="s">
        <v>497</v>
      </c>
      <c r="CX2" s="182" t="s">
        <v>498</v>
      </c>
      <c r="CY2" s="182" t="s">
        <v>499</v>
      </c>
      <c r="CZ2" s="182" t="s">
        <v>500</v>
      </c>
      <c r="DA2" s="182" t="s">
        <v>501</v>
      </c>
      <c r="DB2" s="182" t="s">
        <v>502</v>
      </c>
      <c r="DC2" s="182" t="s">
        <v>503</v>
      </c>
      <c r="DE2" s="182" t="s">
        <v>481</v>
      </c>
      <c r="DF2" s="182" t="s">
        <v>482</v>
      </c>
      <c r="DG2" s="182" t="s">
        <v>483</v>
      </c>
      <c r="DH2" s="182" t="s">
        <v>484</v>
      </c>
      <c r="DI2" s="182" t="s">
        <v>485</v>
      </c>
      <c r="DJ2" s="182" t="s">
        <v>486</v>
      </c>
      <c r="DK2" s="182" t="s">
        <v>487</v>
      </c>
      <c r="DL2" s="182" t="s">
        <v>488</v>
      </c>
      <c r="DM2" s="182" t="s">
        <v>489</v>
      </c>
      <c r="DN2" s="182" t="s">
        <v>490</v>
      </c>
      <c r="DO2" s="182" t="s">
        <v>480</v>
      </c>
      <c r="DP2" s="182" t="s">
        <v>479</v>
      </c>
    </row>
    <row r="3" spans="2:120" s="181" customFormat="1" ht="32" x14ac:dyDescent="0.2">
      <c r="B3" s="104"/>
      <c r="C3" s="203"/>
      <c r="D3" s="104" t="s">
        <v>455</v>
      </c>
      <c r="E3" s="104" t="s">
        <v>456</v>
      </c>
      <c r="F3" s="104" t="s">
        <v>457</v>
      </c>
      <c r="G3" s="104" t="s">
        <v>458</v>
      </c>
      <c r="H3" s="104" t="s">
        <v>459</v>
      </c>
      <c r="I3" s="104" t="s">
        <v>460</v>
      </c>
      <c r="J3" s="104" t="s">
        <v>461</v>
      </c>
      <c r="K3" s="104" t="s">
        <v>455</v>
      </c>
      <c r="L3" s="104" t="s">
        <v>456</v>
      </c>
      <c r="M3" s="104" t="s">
        <v>457</v>
      </c>
      <c r="N3" s="104" t="s">
        <v>458</v>
      </c>
      <c r="O3" s="104" t="s">
        <v>459</v>
      </c>
      <c r="P3" s="104" t="s">
        <v>460</v>
      </c>
      <c r="Q3" s="104" t="s">
        <v>462</v>
      </c>
      <c r="R3" s="104" t="s">
        <v>455</v>
      </c>
      <c r="S3" s="104" t="s">
        <v>456</v>
      </c>
      <c r="T3" s="104" t="s">
        <v>457</v>
      </c>
      <c r="U3" s="104" t="s">
        <v>458</v>
      </c>
      <c r="V3" s="104" t="s">
        <v>459</v>
      </c>
      <c r="W3" s="104" t="s">
        <v>460</v>
      </c>
      <c r="X3" s="104" t="s">
        <v>463</v>
      </c>
      <c r="Y3" s="104" t="s">
        <v>455</v>
      </c>
      <c r="Z3" s="104" t="s">
        <v>456</v>
      </c>
      <c r="AA3" s="104" t="s">
        <v>457</v>
      </c>
      <c r="AB3" s="104" t="s">
        <v>458</v>
      </c>
      <c r="AC3" s="104" t="s">
        <v>459</v>
      </c>
      <c r="AD3" s="104" t="s">
        <v>460</v>
      </c>
      <c r="AE3" s="104" t="s">
        <v>464</v>
      </c>
      <c r="AF3" s="104" t="s">
        <v>455</v>
      </c>
      <c r="AG3" s="104" t="s">
        <v>456</v>
      </c>
      <c r="AH3" s="104" t="s">
        <v>457</v>
      </c>
      <c r="AI3" s="104" t="s">
        <v>458</v>
      </c>
      <c r="AJ3" s="104" t="s">
        <v>459</v>
      </c>
      <c r="AK3" s="104" t="s">
        <v>460</v>
      </c>
      <c r="AL3" s="104" t="s">
        <v>465</v>
      </c>
      <c r="AM3" s="104" t="s">
        <v>455</v>
      </c>
      <c r="AN3" s="104" t="s">
        <v>456</v>
      </c>
      <c r="AO3" s="104" t="s">
        <v>457</v>
      </c>
      <c r="AP3" s="104" t="s">
        <v>458</v>
      </c>
      <c r="AQ3" s="104" t="s">
        <v>459</v>
      </c>
      <c r="AR3" s="104" t="s">
        <v>460</v>
      </c>
      <c r="AS3" s="104" t="s">
        <v>466</v>
      </c>
      <c r="AT3" s="104" t="s">
        <v>455</v>
      </c>
      <c r="AU3" s="104" t="s">
        <v>456</v>
      </c>
      <c r="AV3" s="104" t="s">
        <v>457</v>
      </c>
      <c r="AW3" s="104" t="s">
        <v>458</v>
      </c>
      <c r="AX3" s="104" t="s">
        <v>459</v>
      </c>
      <c r="AY3" s="104" t="s">
        <v>460</v>
      </c>
      <c r="AZ3" s="104" t="s">
        <v>467</v>
      </c>
      <c r="BA3" s="104" t="s">
        <v>455</v>
      </c>
      <c r="BB3" s="104" t="s">
        <v>456</v>
      </c>
      <c r="BC3" s="104" t="s">
        <v>457</v>
      </c>
      <c r="BD3" s="104" t="s">
        <v>458</v>
      </c>
      <c r="BE3" s="104" t="s">
        <v>459</v>
      </c>
      <c r="BF3" s="104" t="s">
        <v>460</v>
      </c>
      <c r="BG3" s="104" t="s">
        <v>468</v>
      </c>
      <c r="BH3" s="104" t="s">
        <v>455</v>
      </c>
      <c r="BI3" s="104" t="s">
        <v>456</v>
      </c>
      <c r="BJ3" s="104" t="s">
        <v>457</v>
      </c>
      <c r="BK3" s="104" t="s">
        <v>458</v>
      </c>
      <c r="BL3" s="104" t="s">
        <v>459</v>
      </c>
      <c r="BM3" s="104" t="s">
        <v>460</v>
      </c>
      <c r="BN3" s="104" t="s">
        <v>469</v>
      </c>
      <c r="BO3" s="104" t="s">
        <v>455</v>
      </c>
      <c r="BP3" s="104" t="s">
        <v>456</v>
      </c>
      <c r="BQ3" s="104" t="s">
        <v>457</v>
      </c>
      <c r="BR3" s="104" t="s">
        <v>458</v>
      </c>
      <c r="BS3" s="104" t="s">
        <v>459</v>
      </c>
      <c r="BT3" s="104" t="s">
        <v>460</v>
      </c>
      <c r="BU3" s="104" t="s">
        <v>470</v>
      </c>
      <c r="BV3" s="104" t="s">
        <v>455</v>
      </c>
      <c r="BW3" s="104" t="s">
        <v>456</v>
      </c>
      <c r="BX3" s="104" t="s">
        <v>457</v>
      </c>
      <c r="BY3" s="104" t="s">
        <v>458</v>
      </c>
      <c r="BZ3" s="104" t="s">
        <v>459</v>
      </c>
      <c r="CA3" s="104" t="s">
        <v>460</v>
      </c>
      <c r="CB3" s="104" t="s">
        <v>471</v>
      </c>
      <c r="CC3" s="104" t="s">
        <v>455</v>
      </c>
      <c r="CD3" s="104" t="s">
        <v>456</v>
      </c>
      <c r="CE3" s="104" t="s">
        <v>457</v>
      </c>
      <c r="CF3" s="104" t="s">
        <v>458</v>
      </c>
      <c r="CG3" s="104" t="s">
        <v>459</v>
      </c>
      <c r="CH3" s="104" t="s">
        <v>460</v>
      </c>
      <c r="CI3" s="104" t="s">
        <v>472</v>
      </c>
      <c r="CJ3" s="104" t="s">
        <v>455</v>
      </c>
      <c r="CK3" s="104" t="s">
        <v>456</v>
      </c>
      <c r="CL3" s="104" t="s">
        <v>457</v>
      </c>
      <c r="CM3" s="104" t="s">
        <v>458</v>
      </c>
      <c r="CN3" s="104" t="s">
        <v>459</v>
      </c>
      <c r="CO3" s="104" t="s">
        <v>460</v>
      </c>
      <c r="CP3" s="104" t="s">
        <v>473</v>
      </c>
    </row>
    <row r="4" spans="2:120" x14ac:dyDescent="0.2">
      <c r="D4" s="106"/>
      <c r="E4" s="106"/>
      <c r="K4" s="106"/>
      <c r="L4" s="106"/>
      <c r="R4" s="106"/>
      <c r="S4" s="106"/>
      <c r="Y4" s="106"/>
      <c r="Z4" s="106"/>
      <c r="AF4" s="106"/>
      <c r="AG4" s="106"/>
      <c r="AM4" s="106"/>
      <c r="AN4" s="106"/>
      <c r="AT4" s="106"/>
      <c r="AU4" s="106"/>
      <c r="BA4" s="106"/>
      <c r="BB4" s="106"/>
      <c r="BH4" s="106"/>
      <c r="BI4" s="106"/>
      <c r="BO4" s="106"/>
      <c r="BP4" s="106"/>
      <c r="BV4" s="106"/>
      <c r="BW4" s="106"/>
      <c r="CC4" s="106"/>
      <c r="CD4" s="106"/>
      <c r="CJ4" s="106"/>
      <c r="CK4" s="106"/>
    </row>
    <row r="5" spans="2:120" ht="16" x14ac:dyDescent="0.2">
      <c r="B5" s="183" t="s">
        <v>397</v>
      </c>
      <c r="C5" s="205"/>
      <c r="D5" s="108"/>
      <c r="E5" s="108"/>
      <c r="G5" s="107"/>
      <c r="H5" s="107"/>
      <c r="I5" s="107"/>
      <c r="J5" s="107"/>
      <c r="K5" s="107"/>
      <c r="L5" s="107"/>
      <c r="M5" s="107"/>
      <c r="N5" s="107"/>
      <c r="O5" s="107"/>
      <c r="R5" s="107"/>
      <c r="S5" s="107"/>
      <c r="T5" s="107"/>
      <c r="U5" s="107"/>
      <c r="V5" s="107"/>
      <c r="Y5" s="107"/>
      <c r="Z5" s="107"/>
      <c r="AA5" s="107"/>
      <c r="AB5" s="107"/>
      <c r="AC5" s="107"/>
      <c r="AF5" s="107"/>
      <c r="AG5" s="107"/>
      <c r="AH5" s="107"/>
      <c r="AI5" s="107"/>
      <c r="AJ5" s="107"/>
      <c r="AM5" s="107"/>
      <c r="AN5" s="107"/>
      <c r="AO5" s="107"/>
      <c r="AP5" s="107"/>
      <c r="AQ5" s="107"/>
      <c r="AT5" s="107"/>
      <c r="AU5" s="107"/>
      <c r="AV5" s="107"/>
      <c r="AW5" s="107"/>
      <c r="AX5" s="107"/>
      <c r="BA5" s="107"/>
      <c r="BB5" s="107"/>
      <c r="BC5" s="107"/>
      <c r="BD5" s="107"/>
      <c r="BE5" s="107"/>
      <c r="BH5" s="107"/>
      <c r="BI5" s="107"/>
      <c r="BJ5" s="107"/>
      <c r="BK5" s="107"/>
      <c r="BL5" s="107"/>
      <c r="BO5" s="107"/>
      <c r="BP5" s="107"/>
      <c r="BQ5" s="107"/>
      <c r="BR5" s="107"/>
      <c r="BS5" s="107"/>
      <c r="BV5" s="107"/>
      <c r="BW5" s="107"/>
      <c r="BX5" s="107"/>
      <c r="BY5" s="107"/>
      <c r="BZ5" s="107"/>
      <c r="CC5" s="107"/>
      <c r="CD5" s="107"/>
      <c r="CE5" s="107"/>
      <c r="CF5" s="107"/>
      <c r="CG5" s="107"/>
      <c r="CJ5" s="107"/>
      <c r="CK5" s="107"/>
      <c r="CL5" s="107"/>
      <c r="CM5" s="107"/>
      <c r="CN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</row>
    <row r="6" spans="2:120" ht="16" x14ac:dyDescent="0.2">
      <c r="B6" s="109" t="s">
        <v>398</v>
      </c>
      <c r="C6" s="193" t="s">
        <v>130</v>
      </c>
      <c r="D6" s="110">
        <f>SUMIFS(wallet_records!$D:$D,wallet_records!$B:$B,'EEFF 2026 Proyectado'!$C6,wallet_records!$L:$L,'EEFF 2026 Proyectado'!D$3,wallet_records!$O:$O,'EEFF 2026 Proyectado'!$B$1,wallet_records!$N:$N,'EEFF 2026 Proyectado'!D$2)</f>
        <v>1750000</v>
      </c>
      <c r="E6" s="110">
        <f>SUMIFS(wallet_records!$D:$D,wallet_records!$B:$B,'EEFF 2026 Proyectado'!$C6,wallet_records!$L:$L,'EEFF 2026 Proyectado'!E$3,wallet_records!$O:$O,'EEFF 2026 Proyectado'!$B$1,wallet_records!$N:$N,'EEFF 2026 Proyectado'!E$2)</f>
        <v>3146600</v>
      </c>
      <c r="F6" s="110">
        <f>SUMIFS(wallet_records!$D:$D,wallet_records!$B:$B,'EEFF 2026 Proyectado'!$C6,wallet_records!$L:$L,'EEFF 2026 Proyectado'!F$3,wallet_records!$O:$O,'EEFF 2026 Proyectado'!$B$1,wallet_records!$N:$N,'EEFF 2026 Proyectado'!F$2)</f>
        <v>1500000</v>
      </c>
      <c r="G6" s="110">
        <f>SUMIFS(wallet_records!$D:$D,wallet_records!$B:$B,'EEFF 2026 Proyectado'!$C6,wallet_records!$L:$L,'EEFF 2026 Proyectado'!G$3,wallet_records!$O:$O,'EEFF 2026 Proyectado'!$B$1,wallet_records!$N:$N,'EEFF 2026 Proyectado'!G$2)</f>
        <v>500000</v>
      </c>
      <c r="H6" s="110">
        <f>SUMIFS(wallet_records!$D:$D,wallet_records!$B:$B,'EEFF 2026 Proyectado'!$C6,wallet_records!$L:$L,'EEFF 2026 Proyectado'!H$3,wallet_records!$O:$O,'EEFF 2026 Proyectado'!$B$1,wallet_records!$N:$N,'EEFF 2026 Proyectado'!H$2)</f>
        <v>1715000</v>
      </c>
      <c r="I6" s="110">
        <f>SUMIFS(wallet_records!$D:$D,wallet_records!$B:$B,'EEFF 2026 Proyectado'!$C6,wallet_records!$L:$L,'EEFF 2026 Proyectado'!I$3,wallet_records!$O:$O,'EEFF 2026 Proyectado'!$B$1,wallet_records!$N:$N,'EEFF 2026 Proyectado'!I$2)</f>
        <v>881000</v>
      </c>
      <c r="J6" s="110">
        <v>9492600</v>
      </c>
      <c r="K6" s="110">
        <f>SUMIFS(wallet_records!$D:$D,wallet_records!$B:$B,'EEFF 2026 Proyectado'!$C6,wallet_records!$L:$L,'EEFF 2026 Proyectado'!K$3,wallet_records!$O:$O,'EEFF 2026 Proyectado'!$B$1,wallet_records!$N:$N,'EEFF 2026 Proyectado'!K$2)</f>
        <v>1750000</v>
      </c>
      <c r="L6" s="110">
        <f>SUMIFS(wallet_records!$D:$D,wallet_records!$B:$B,'EEFF 2026 Proyectado'!$C6,wallet_records!$L:$L,'EEFF 2026 Proyectado'!L$3,wallet_records!$O:$O,'EEFF 2026 Proyectado'!$B$1,wallet_records!$N:$N,'EEFF 2026 Proyectado'!L$2)</f>
        <v>3146600</v>
      </c>
      <c r="M6" s="110">
        <f>SUMIFS(wallet_records!$D:$D,wallet_records!$B:$B,'EEFF 2026 Proyectado'!$C6,wallet_records!$L:$L,'EEFF 2026 Proyectado'!M$3,wallet_records!$O:$O,'EEFF 2026 Proyectado'!$B$1,wallet_records!$N:$N,'EEFF 2026 Proyectado'!M$2)</f>
        <v>1540000</v>
      </c>
      <c r="N6" s="110">
        <f>SUMIFS(wallet_records!$D:$D,wallet_records!$B:$B,'EEFF 2026 Proyectado'!$C6,wallet_records!$L:$L,'EEFF 2026 Proyectado'!N$3,wallet_records!$O:$O,'EEFF 2026 Proyectado'!$B$1,wallet_records!$N:$N,'EEFF 2026 Proyectado'!N$2)</f>
        <v>0</v>
      </c>
      <c r="O6" s="110">
        <f>SUMIFS(wallet_records!$D:$D,wallet_records!$B:$B,'EEFF 2026 Proyectado'!$C6,wallet_records!$L:$L,'EEFF 2026 Proyectado'!O$3,wallet_records!$O:$O,'EEFF 2026 Proyectado'!$B$1,wallet_records!$N:$N,'EEFF 2026 Proyectado'!O$2)</f>
        <v>0</v>
      </c>
      <c r="P6" s="110">
        <f>SUMIFS(wallet_records!$D:$D,wallet_records!$B:$B,'EEFF 2026 Proyectado'!$C6,wallet_records!$L:$L,'EEFF 2026 Proyectado'!P$3,wallet_records!$O:$O,'EEFF 2026 Proyectado'!$B$1,wallet_records!$N:$N,'EEFF 2026 Proyectado'!P$2)</f>
        <v>0</v>
      </c>
      <c r="Q6" s="110">
        <v>9492600</v>
      </c>
      <c r="R6" s="110">
        <f>SUMIFS(wallet_records!$D:$D,wallet_records!$B:$B,'EEFF 2026 Proyectado'!$C6,wallet_records!$L:$L,'EEFF 2026 Proyectado'!R$3,wallet_records!$O:$O,'EEFF 2026 Proyectado'!$B$1,wallet_records!$N:$N,'EEFF 2026 Proyectado'!R$2)</f>
        <v>0</v>
      </c>
      <c r="S6" s="110">
        <f>SUMIFS(wallet_records!$D:$D,wallet_records!$B:$B,'EEFF 2026 Proyectado'!$C6,wallet_records!$L:$L,'EEFF 2026 Proyectado'!S$3,wallet_records!$O:$O,'EEFF 2026 Proyectado'!$B$1,wallet_records!$N:$N,'EEFF 2026 Proyectado'!S$2)</f>
        <v>0</v>
      </c>
      <c r="T6" s="110">
        <f>SUMIFS(wallet_records!$D:$D,wallet_records!$B:$B,'EEFF 2026 Proyectado'!$C6,wallet_records!$L:$L,'EEFF 2026 Proyectado'!T$3,wallet_records!$O:$O,'EEFF 2026 Proyectado'!$B$1,wallet_records!$N:$N,'EEFF 2026 Proyectado'!T$2)</f>
        <v>0</v>
      </c>
      <c r="U6" s="110">
        <f>SUMIFS(wallet_records!$D:$D,wallet_records!$B:$B,'EEFF 2026 Proyectado'!$C6,wallet_records!$L:$L,'EEFF 2026 Proyectado'!U$3,wallet_records!$O:$O,'EEFF 2026 Proyectado'!$B$1,wallet_records!$N:$N,'EEFF 2026 Proyectado'!U$2)</f>
        <v>0</v>
      </c>
      <c r="V6" s="110">
        <f>SUMIFS(wallet_records!$D:$D,wallet_records!$B:$B,'EEFF 2026 Proyectado'!$C6,wallet_records!$L:$L,'EEFF 2026 Proyectado'!V$3,wallet_records!$O:$O,'EEFF 2026 Proyectado'!$B$1,wallet_records!$N:$N,'EEFF 2026 Proyectado'!V$2)</f>
        <v>0</v>
      </c>
      <c r="W6" s="110">
        <f>SUMIFS(wallet_records!$D:$D,wallet_records!$B:$B,'EEFF 2026 Proyectado'!$C6,wallet_records!$L:$L,'EEFF 2026 Proyectado'!W$3,wallet_records!$O:$O,'EEFF 2026 Proyectado'!$B$1,wallet_records!$N:$N,'EEFF 2026 Proyectado'!W$2)</f>
        <v>0</v>
      </c>
      <c r="X6" s="110">
        <v>9492600</v>
      </c>
      <c r="Y6" s="110">
        <f>SUMIFS(wallet_records!$D:$D,wallet_records!$B:$B,'EEFF 2026 Proyectado'!$C6,wallet_records!$L:$L,'EEFF 2026 Proyectado'!Y$3,wallet_records!$O:$O,'EEFF 2026 Proyectado'!$B$1,wallet_records!$N:$N,'EEFF 2026 Proyectado'!Y$2)</f>
        <v>0</v>
      </c>
      <c r="Z6" s="110">
        <f>SUMIFS(wallet_records!$D:$D,wallet_records!$B:$B,'EEFF 2026 Proyectado'!$C6,wallet_records!$L:$L,'EEFF 2026 Proyectado'!Z$3,wallet_records!$O:$O,'EEFF 2026 Proyectado'!$B$1,wallet_records!$N:$N,'EEFF 2026 Proyectado'!Z$2)</f>
        <v>0</v>
      </c>
      <c r="AA6" s="110">
        <f>SUMIFS(wallet_records!$D:$D,wallet_records!$B:$B,'EEFF 2026 Proyectado'!$C6,wallet_records!$L:$L,'EEFF 2026 Proyectado'!AA$3,wallet_records!$O:$O,'EEFF 2026 Proyectado'!$B$1,wallet_records!$N:$N,'EEFF 2026 Proyectado'!AA$2)</f>
        <v>0</v>
      </c>
      <c r="AB6" s="110">
        <f>SUMIFS(wallet_records!$D:$D,wallet_records!$B:$B,'EEFF 2026 Proyectado'!$C6,wallet_records!$L:$L,'EEFF 2026 Proyectado'!AB$3,wallet_records!$O:$O,'EEFF 2026 Proyectado'!$B$1,wallet_records!$N:$N,'EEFF 2026 Proyectado'!AB$2)</f>
        <v>0</v>
      </c>
      <c r="AC6" s="110">
        <f>SUMIFS(wallet_records!$D:$D,wallet_records!$B:$B,'EEFF 2026 Proyectado'!$C6,wallet_records!$L:$L,'EEFF 2026 Proyectado'!AC$3,wallet_records!$O:$O,'EEFF 2026 Proyectado'!$B$1,wallet_records!$N:$N,'EEFF 2026 Proyectado'!AC$2)</f>
        <v>0</v>
      </c>
      <c r="AD6" s="110">
        <f>SUMIFS(wallet_records!$D:$D,wallet_records!$B:$B,'EEFF 2026 Proyectado'!$C6,wallet_records!$L:$L,'EEFF 2026 Proyectado'!AD$3,wallet_records!$O:$O,'EEFF 2026 Proyectado'!$B$1,wallet_records!$N:$N,'EEFF 2026 Proyectado'!AD$2)</f>
        <v>0</v>
      </c>
      <c r="AE6" s="110">
        <v>9492600</v>
      </c>
      <c r="AF6" s="110">
        <f>SUMIFS(wallet_records!$D:$D,wallet_records!$B:$B,'EEFF 2026 Proyectado'!$C6,wallet_records!$L:$L,'EEFF 2026 Proyectado'!AF$3,wallet_records!$O:$O,'EEFF 2026 Proyectado'!$B$1,wallet_records!$N:$N,'EEFF 2026 Proyectado'!AF$2)</f>
        <v>0</v>
      </c>
      <c r="AG6" s="110">
        <f>SUMIFS(wallet_records!$D:$D,wallet_records!$B:$B,'EEFF 2026 Proyectado'!$C6,wallet_records!$L:$L,'EEFF 2026 Proyectado'!AG$3,wallet_records!$O:$O,'EEFF 2026 Proyectado'!$B$1,wallet_records!$N:$N,'EEFF 2026 Proyectado'!AG$2)</f>
        <v>0</v>
      </c>
      <c r="AH6" s="110">
        <f>SUMIFS(wallet_records!$D:$D,wallet_records!$B:$B,'EEFF 2026 Proyectado'!$C6,wallet_records!$L:$L,'EEFF 2026 Proyectado'!AH$3,wallet_records!$O:$O,'EEFF 2026 Proyectado'!$B$1,wallet_records!$N:$N,'EEFF 2026 Proyectado'!AH$2)</f>
        <v>0</v>
      </c>
      <c r="AI6" s="110">
        <f>SUMIFS(wallet_records!$D:$D,wallet_records!$B:$B,'EEFF 2026 Proyectado'!$C6,wallet_records!$L:$L,'EEFF 2026 Proyectado'!AI$3,wallet_records!$O:$O,'EEFF 2026 Proyectado'!$B$1,wallet_records!$N:$N,'EEFF 2026 Proyectado'!AI$2)</f>
        <v>0</v>
      </c>
      <c r="AJ6" s="110">
        <f>SUMIFS(wallet_records!$D:$D,wallet_records!$B:$B,'EEFF 2026 Proyectado'!$C6,wallet_records!$L:$L,'EEFF 2026 Proyectado'!AJ$3,wallet_records!$O:$O,'EEFF 2026 Proyectado'!$B$1,wallet_records!$N:$N,'EEFF 2026 Proyectado'!AJ$2)</f>
        <v>0</v>
      </c>
      <c r="AK6" s="110">
        <f>SUMIFS(wallet_records!$D:$D,wallet_records!$B:$B,'EEFF 2026 Proyectado'!$C6,wallet_records!$L:$L,'EEFF 2026 Proyectado'!AK$3,wallet_records!$O:$O,'EEFF 2026 Proyectado'!$B$1,wallet_records!$N:$N,'EEFF 2026 Proyectado'!AK$2)</f>
        <v>0</v>
      </c>
      <c r="AL6" s="110">
        <v>9492600</v>
      </c>
      <c r="AM6" s="110">
        <f>SUMIFS(wallet_records!$D:$D,wallet_records!$B:$B,'EEFF 2026 Proyectado'!$C6,wallet_records!$L:$L,'EEFF 2026 Proyectado'!AM$3,wallet_records!$O:$O,'EEFF 2026 Proyectado'!$B$1,wallet_records!$N:$N,'EEFF 2026 Proyectado'!AM$2)</f>
        <v>0</v>
      </c>
      <c r="AN6" s="110">
        <f>SUMIFS(wallet_records!$D:$D,wallet_records!$B:$B,'EEFF 2026 Proyectado'!$C6,wallet_records!$L:$L,'EEFF 2026 Proyectado'!AN$3,wallet_records!$O:$O,'EEFF 2026 Proyectado'!$B$1,wallet_records!$N:$N,'EEFF 2026 Proyectado'!AN$2)</f>
        <v>0</v>
      </c>
      <c r="AO6" s="110">
        <f>SUMIFS(wallet_records!$D:$D,wallet_records!$B:$B,'EEFF 2026 Proyectado'!$C6,wallet_records!$L:$L,'EEFF 2026 Proyectado'!AO$3,wallet_records!$O:$O,'EEFF 2026 Proyectado'!$B$1,wallet_records!$N:$N,'EEFF 2026 Proyectado'!AO$2)</f>
        <v>0</v>
      </c>
      <c r="AP6" s="110">
        <f>SUMIFS(wallet_records!$D:$D,wallet_records!$B:$B,'EEFF 2026 Proyectado'!$C6,wallet_records!$L:$L,'EEFF 2026 Proyectado'!AP$3,wallet_records!$O:$O,'EEFF 2026 Proyectado'!$B$1,wallet_records!$N:$N,'EEFF 2026 Proyectado'!AP$2)</f>
        <v>0</v>
      </c>
      <c r="AQ6" s="110">
        <f>SUMIFS(wallet_records!$D:$D,wallet_records!$B:$B,'EEFF 2026 Proyectado'!$C6,wallet_records!$L:$L,'EEFF 2026 Proyectado'!AQ$3,wallet_records!$O:$O,'EEFF 2026 Proyectado'!$B$1,wallet_records!$N:$N,'EEFF 2026 Proyectado'!AQ$2)</f>
        <v>0</v>
      </c>
      <c r="AR6" s="110">
        <f>SUMIFS(wallet_records!$D:$D,wallet_records!$B:$B,'EEFF 2026 Proyectado'!$C6,wallet_records!$L:$L,'EEFF 2026 Proyectado'!AR$3,wallet_records!$O:$O,'EEFF 2026 Proyectado'!$B$1,wallet_records!$N:$N,'EEFF 2026 Proyectado'!AR$2)</f>
        <v>0</v>
      </c>
      <c r="AS6" s="110">
        <v>9950250</v>
      </c>
      <c r="AT6" s="110">
        <f>SUMIFS(wallet_records!$D:$D,wallet_records!$B:$B,'EEFF 2026 Proyectado'!$C6,wallet_records!$L:$L,'EEFF 2026 Proyectado'!AT$3,wallet_records!$O:$O,'EEFF 2026 Proyectado'!$B$1,wallet_records!$N:$N,'EEFF 2026 Proyectado'!AT$2)</f>
        <v>0</v>
      </c>
      <c r="AU6" s="110">
        <f>SUMIFS(wallet_records!$D:$D,wallet_records!$B:$B,'EEFF 2026 Proyectado'!$C6,wallet_records!$L:$L,'EEFF 2026 Proyectado'!AU$3,wallet_records!$O:$O,'EEFF 2026 Proyectado'!$B$1,wallet_records!$N:$N,'EEFF 2026 Proyectado'!AU$2)</f>
        <v>0</v>
      </c>
      <c r="AV6" s="110">
        <f>SUMIFS(wallet_records!$D:$D,wallet_records!$B:$B,'EEFF 2026 Proyectado'!$C6,wallet_records!$L:$L,'EEFF 2026 Proyectado'!AV$3,wallet_records!$O:$O,'EEFF 2026 Proyectado'!$B$1,wallet_records!$N:$N,'EEFF 2026 Proyectado'!AV$2)</f>
        <v>0</v>
      </c>
      <c r="AW6" s="110">
        <f>SUMIFS(wallet_records!$D:$D,wallet_records!$B:$B,'EEFF 2026 Proyectado'!$C6,wallet_records!$L:$L,'EEFF 2026 Proyectado'!AW$3,wallet_records!$O:$O,'EEFF 2026 Proyectado'!$B$1,wallet_records!$N:$N,'EEFF 2026 Proyectado'!AW$2)</f>
        <v>0</v>
      </c>
      <c r="AX6" s="110">
        <f>SUMIFS(wallet_records!$D:$D,wallet_records!$B:$B,'EEFF 2026 Proyectado'!$C6,wallet_records!$L:$L,'EEFF 2026 Proyectado'!AX$3,wallet_records!$O:$O,'EEFF 2026 Proyectado'!$B$1,wallet_records!$N:$N,'EEFF 2026 Proyectado'!AX$2)</f>
        <v>0</v>
      </c>
      <c r="AY6" s="110">
        <f>SUMIFS(wallet_records!$D:$D,wallet_records!$B:$B,'EEFF 2026 Proyectado'!$C6,wallet_records!$L:$L,'EEFF 2026 Proyectado'!AY$3,wallet_records!$O:$O,'EEFF 2026 Proyectado'!$B$1,wallet_records!$N:$N,'EEFF 2026 Proyectado'!AY$2)</f>
        <v>0</v>
      </c>
      <c r="AZ6" s="110">
        <v>10260624.6</v>
      </c>
      <c r="BA6" s="110">
        <f>SUMIFS(wallet_records!$D:$D,wallet_records!$B:$B,'EEFF 2026 Proyectado'!$C6,wallet_records!$L:$L,'EEFF 2026 Proyectado'!BA$3,wallet_records!$O:$O,'EEFF 2026 Proyectado'!$B$1,wallet_records!$N:$N,'EEFF 2026 Proyectado'!BA$2)</f>
        <v>0</v>
      </c>
      <c r="BB6" s="110">
        <f>SUMIFS(wallet_records!$D:$D,wallet_records!$B:$B,'EEFF 2026 Proyectado'!$C6,wallet_records!$L:$L,'EEFF 2026 Proyectado'!BB$3,wallet_records!$O:$O,'EEFF 2026 Proyectado'!$B$1,wallet_records!$N:$N,'EEFF 2026 Proyectado'!BB$2)</f>
        <v>0</v>
      </c>
      <c r="BC6" s="110">
        <f>SUMIFS(wallet_records!$D:$D,wallet_records!$B:$B,'EEFF 2026 Proyectado'!$C6,wallet_records!$L:$L,'EEFF 2026 Proyectado'!BC$3,wallet_records!$O:$O,'EEFF 2026 Proyectado'!$B$1,wallet_records!$N:$N,'EEFF 2026 Proyectado'!BC$2)</f>
        <v>0</v>
      </c>
      <c r="BD6" s="110">
        <f>SUMIFS(wallet_records!$D:$D,wallet_records!$B:$B,'EEFF 2026 Proyectado'!$C6,wallet_records!$L:$L,'EEFF 2026 Proyectado'!BD$3,wallet_records!$O:$O,'EEFF 2026 Proyectado'!$B$1,wallet_records!$N:$N,'EEFF 2026 Proyectado'!BD$2)</f>
        <v>0</v>
      </c>
      <c r="BE6" s="110">
        <f>SUMIFS(wallet_records!$D:$D,wallet_records!$B:$B,'EEFF 2026 Proyectado'!$C6,wallet_records!$L:$L,'EEFF 2026 Proyectado'!BE$3,wallet_records!$O:$O,'EEFF 2026 Proyectado'!$B$1,wallet_records!$N:$N,'EEFF 2026 Proyectado'!BE$2)</f>
        <v>0</v>
      </c>
      <c r="BF6" s="110">
        <f>SUMIFS(wallet_records!$D:$D,wallet_records!$B:$B,'EEFF 2026 Proyectado'!$C6,wallet_records!$L:$L,'EEFF 2026 Proyectado'!BF$3,wallet_records!$O:$O,'EEFF 2026 Proyectado'!$B$1,wallet_records!$N:$N,'EEFF 2026 Proyectado'!BF$2)</f>
        <v>0</v>
      </c>
      <c r="BG6" s="110">
        <v>10305555.6</v>
      </c>
      <c r="BH6" s="110">
        <f>SUMIFS(wallet_records!$D:$D,wallet_records!$B:$B,'EEFF 2026 Proyectado'!$C6,wallet_records!$L:$L,'EEFF 2026 Proyectado'!BH$3,wallet_records!$O:$O,'EEFF 2026 Proyectado'!$B$1,wallet_records!$N:$N,'EEFF 2026 Proyectado'!BH$2)</f>
        <v>0</v>
      </c>
      <c r="BI6" s="110">
        <f>SUMIFS(wallet_records!$D:$D,wallet_records!$B:$B,'EEFF 2026 Proyectado'!$C6,wallet_records!$L:$L,'EEFF 2026 Proyectado'!BI$3,wallet_records!$O:$O,'EEFF 2026 Proyectado'!$B$1,wallet_records!$N:$N,'EEFF 2026 Proyectado'!BI$2)</f>
        <v>0</v>
      </c>
      <c r="BJ6" s="110">
        <f>SUMIFS(wallet_records!$D:$D,wallet_records!$B:$B,'EEFF 2026 Proyectado'!$C6,wallet_records!$L:$L,'EEFF 2026 Proyectado'!BJ$3,wallet_records!$O:$O,'EEFF 2026 Proyectado'!$B$1,wallet_records!$N:$N,'EEFF 2026 Proyectado'!BJ$2)</f>
        <v>0</v>
      </c>
      <c r="BK6" s="110">
        <f>SUMIFS(wallet_records!$D:$D,wallet_records!$B:$B,'EEFF 2026 Proyectado'!$C6,wallet_records!$L:$L,'EEFF 2026 Proyectado'!BK$3,wallet_records!$O:$O,'EEFF 2026 Proyectado'!$B$1,wallet_records!$N:$N,'EEFF 2026 Proyectado'!BK$2)</f>
        <v>0</v>
      </c>
      <c r="BL6" s="110">
        <f>SUMIFS(wallet_records!$D:$D,wallet_records!$B:$B,'EEFF 2026 Proyectado'!$C6,wallet_records!$L:$L,'EEFF 2026 Proyectado'!BL$3,wallet_records!$O:$O,'EEFF 2026 Proyectado'!$B$1,wallet_records!$N:$N,'EEFF 2026 Proyectado'!BL$2)</f>
        <v>0</v>
      </c>
      <c r="BM6" s="110">
        <f>SUMIFS(wallet_records!$D:$D,wallet_records!$B:$B,'EEFF 2026 Proyectado'!$C6,wallet_records!$L:$L,'EEFF 2026 Proyectado'!BM$3,wallet_records!$O:$O,'EEFF 2026 Proyectado'!$B$1,wallet_records!$N:$N,'EEFF 2026 Proyectado'!BM$2)</f>
        <v>0</v>
      </c>
      <c r="BN6" s="110">
        <v>10305555.6</v>
      </c>
      <c r="BO6" s="110">
        <f>SUMIFS(wallet_records!$D:$D,wallet_records!$B:$B,'EEFF 2026 Proyectado'!$C6,wallet_records!$L:$L,'EEFF 2026 Proyectado'!BO$3,wallet_records!$O:$O,'EEFF 2026 Proyectado'!$B$1,wallet_records!$N:$N,'EEFF 2026 Proyectado'!BO$2)</f>
        <v>0</v>
      </c>
      <c r="BP6" s="110">
        <f>SUMIFS(wallet_records!$D:$D,wallet_records!$B:$B,'EEFF 2026 Proyectado'!$C6,wallet_records!$L:$L,'EEFF 2026 Proyectado'!BP$3,wallet_records!$O:$O,'EEFF 2026 Proyectado'!$B$1,wallet_records!$N:$N,'EEFF 2026 Proyectado'!BP$2)</f>
        <v>0</v>
      </c>
      <c r="BQ6" s="110">
        <f>SUMIFS(wallet_records!$D:$D,wallet_records!$B:$B,'EEFF 2026 Proyectado'!$C6,wallet_records!$L:$L,'EEFF 2026 Proyectado'!BQ$3,wallet_records!$O:$O,'EEFF 2026 Proyectado'!$B$1,wallet_records!$N:$N,'EEFF 2026 Proyectado'!BQ$2)</f>
        <v>0</v>
      </c>
      <c r="BR6" s="110">
        <f>SUMIFS(wallet_records!$D:$D,wallet_records!$B:$B,'EEFF 2026 Proyectado'!$C6,wallet_records!$L:$L,'EEFF 2026 Proyectado'!BR$3,wallet_records!$O:$O,'EEFF 2026 Proyectado'!$B$1,wallet_records!$N:$N,'EEFF 2026 Proyectado'!BR$2)</f>
        <v>0</v>
      </c>
      <c r="BS6" s="110">
        <f>SUMIFS(wallet_records!$D:$D,wallet_records!$B:$B,'EEFF 2026 Proyectado'!$C6,wallet_records!$L:$L,'EEFF 2026 Proyectado'!BS$3,wallet_records!$O:$O,'EEFF 2026 Proyectado'!$B$1,wallet_records!$N:$N,'EEFF 2026 Proyectado'!BS$2)</f>
        <v>0</v>
      </c>
      <c r="BT6" s="110">
        <f>SUMIFS(wallet_records!$D:$D,wallet_records!$B:$B,'EEFF 2026 Proyectado'!$C6,wallet_records!$L:$L,'EEFF 2026 Proyectado'!BT$3,wallet_records!$O:$O,'EEFF 2026 Proyectado'!$B$1,wallet_records!$N:$N,'EEFF 2026 Proyectado'!BT$2)</f>
        <v>0</v>
      </c>
      <c r="BU6" s="110">
        <v>10305555.6</v>
      </c>
      <c r="BV6" s="110">
        <f>SUMIFS(wallet_records!$D:$D,wallet_records!$B:$B,'EEFF 2026 Proyectado'!$C6,wallet_records!$L:$L,'EEFF 2026 Proyectado'!BV$3,wallet_records!$O:$O,'EEFF 2026 Proyectado'!$B$1,wallet_records!$N:$N,'EEFF 2026 Proyectado'!BV$2)</f>
        <v>0</v>
      </c>
      <c r="BW6" s="110">
        <f>SUMIFS(wallet_records!$D:$D,wallet_records!$B:$B,'EEFF 2026 Proyectado'!$C6,wallet_records!$L:$L,'EEFF 2026 Proyectado'!BW$3,wallet_records!$O:$O,'EEFF 2026 Proyectado'!$B$1,wallet_records!$N:$N,'EEFF 2026 Proyectado'!BW$2)</f>
        <v>0</v>
      </c>
      <c r="BX6" s="110">
        <f>SUMIFS(wallet_records!$D:$D,wallet_records!$B:$B,'EEFF 2026 Proyectado'!$C6,wallet_records!$L:$L,'EEFF 2026 Proyectado'!BX$3,wallet_records!$O:$O,'EEFF 2026 Proyectado'!$B$1,wallet_records!$N:$N,'EEFF 2026 Proyectado'!BX$2)</f>
        <v>0</v>
      </c>
      <c r="BY6" s="110">
        <f>SUMIFS(wallet_records!$D:$D,wallet_records!$B:$B,'EEFF 2026 Proyectado'!$C6,wallet_records!$L:$L,'EEFF 2026 Proyectado'!BY$3,wallet_records!$O:$O,'EEFF 2026 Proyectado'!$B$1,wallet_records!$N:$N,'EEFF 2026 Proyectado'!BY$2)</f>
        <v>0</v>
      </c>
      <c r="BZ6" s="110">
        <f>SUMIFS(wallet_records!$D:$D,wallet_records!$B:$B,'EEFF 2026 Proyectado'!$C6,wallet_records!$L:$L,'EEFF 2026 Proyectado'!BZ$3,wallet_records!$O:$O,'EEFF 2026 Proyectado'!$B$1,wallet_records!$N:$N,'EEFF 2026 Proyectado'!BZ$2)</f>
        <v>0</v>
      </c>
      <c r="CA6" s="110">
        <f>SUMIFS(wallet_records!$D:$D,wallet_records!$B:$B,'EEFF 2026 Proyectado'!$C6,wallet_records!$L:$L,'EEFF 2026 Proyectado'!CA$3,wallet_records!$O:$O,'EEFF 2026 Proyectado'!$B$1,wallet_records!$N:$N,'EEFF 2026 Proyectado'!CA$2)</f>
        <v>0</v>
      </c>
      <c r="CB6" s="110">
        <v>10305555.6</v>
      </c>
      <c r="CC6" s="110">
        <f>SUMIFS(wallet_records!$D:$D,wallet_records!$B:$B,'EEFF 2026 Proyectado'!$C6,wallet_records!$L:$L,'EEFF 2026 Proyectado'!CC$3,wallet_records!$O:$O,'EEFF 2026 Proyectado'!$B$1,wallet_records!$N:$N,'EEFF 2026 Proyectado'!CC$2)</f>
        <v>0</v>
      </c>
      <c r="CD6" s="110">
        <f>SUMIFS(wallet_records!$D:$D,wallet_records!$B:$B,'EEFF 2026 Proyectado'!$C6,wallet_records!$L:$L,'EEFF 2026 Proyectado'!CD$3,wallet_records!$O:$O,'EEFF 2026 Proyectado'!$B$1,wallet_records!$N:$N,'EEFF 2026 Proyectado'!CD$2)</f>
        <v>0</v>
      </c>
      <c r="CE6" s="110">
        <f>SUMIFS(wallet_records!$D:$D,wallet_records!$B:$B,'EEFF 2026 Proyectado'!$C6,wallet_records!$L:$L,'EEFF 2026 Proyectado'!CE$3,wallet_records!$O:$O,'EEFF 2026 Proyectado'!$B$1,wallet_records!$N:$N,'EEFF 2026 Proyectado'!CE$2)</f>
        <v>0</v>
      </c>
      <c r="CF6" s="110">
        <f>SUMIFS(wallet_records!$D:$D,wallet_records!$B:$B,'EEFF 2026 Proyectado'!$C6,wallet_records!$L:$L,'EEFF 2026 Proyectado'!CF$3,wallet_records!$O:$O,'EEFF 2026 Proyectado'!$B$1,wallet_records!$N:$N,'EEFF 2026 Proyectado'!CF$2)</f>
        <v>0</v>
      </c>
      <c r="CG6" s="110">
        <f>SUMIFS(wallet_records!$D:$D,wallet_records!$B:$B,'EEFF 2026 Proyectado'!$C6,wallet_records!$L:$L,'EEFF 2026 Proyectado'!CG$3,wallet_records!$O:$O,'EEFF 2026 Proyectado'!$B$1,wallet_records!$N:$N,'EEFF 2026 Proyectado'!CG$2)</f>
        <v>0</v>
      </c>
      <c r="CH6" s="110">
        <f>SUMIFS(wallet_records!$D:$D,wallet_records!$B:$B,'EEFF 2026 Proyectado'!$C6,wallet_records!$L:$L,'EEFF 2026 Proyectado'!CH$3,wallet_records!$O:$O,'EEFF 2026 Proyectado'!$B$1,wallet_records!$N:$N,'EEFF 2026 Proyectado'!CH$2)</f>
        <v>0</v>
      </c>
      <c r="CI6" s="110">
        <v>10393020.6</v>
      </c>
      <c r="CJ6" s="110">
        <f>SUMIFS(wallet_records!$D:$D,wallet_records!$B:$B,'EEFF 2026 Proyectado'!$C$6,wallet_records!$L:$L,'EEFF 2026 Proyectado'!CJ3,wallet_records!$O:$O,'EEFF 2026 Proyectado'!$B$1)</f>
        <v>3500000</v>
      </c>
      <c r="CK6" s="110">
        <f>SUMIFS(wallet_records!$D:$D,wallet_records!$B:$B,'EEFF 2026 Proyectado'!$C$6,wallet_records!$L:$L,'EEFF 2026 Proyectado'!CK3,wallet_records!$O:$O,'EEFF 2026 Proyectado'!$B$1)</f>
        <v>6293200</v>
      </c>
      <c r="CL6" s="110">
        <f>SUMIFS(wallet_records!$D:$D,wallet_records!$B:$B,'EEFF 2026 Proyectado'!$C$6,wallet_records!$L:$L,'EEFF 2026 Proyectado'!CL3,wallet_records!$O:$O,'EEFF 2026 Proyectado'!$B$1)</f>
        <v>3040000</v>
      </c>
      <c r="CM6" s="110">
        <f>SUMIFS(wallet_records!$D:$D,wallet_records!$B:$B,'EEFF 2026 Proyectado'!$C$6,wallet_records!$L:$L,'EEFF 2026 Proyectado'!CM3,wallet_records!$O:$O,'EEFF 2026 Proyectado'!$B$1)</f>
        <v>500000</v>
      </c>
      <c r="CN6" s="110">
        <f>SUMIFS(wallet_records!$D:$D,wallet_records!$B:$B,'EEFF 2026 Proyectado'!$C$6,wallet_records!$L:$L,'EEFF 2026 Proyectado'!CN3,wallet_records!$O:$O,'EEFF 2026 Proyectado'!$B$1)</f>
        <v>1715000</v>
      </c>
      <c r="CO6" s="110">
        <f>SUMIFS(wallet_records!$D:$D,wallet_records!$B:$B,'EEFF 2026 Proyectado'!$C$6,wallet_records!$L:$L,'EEFF 2026 Proyectado'!CO3,wallet_records!$O:$O,'EEFF 2026 Proyectado'!$B$1)</f>
        <v>881000</v>
      </c>
      <c r="CP6" s="110"/>
      <c r="CQ6" s="107"/>
      <c r="CR6" s="111">
        <f t="shared" ref="CR6:CR48" si="0">J6/J$6</f>
        <v>1</v>
      </c>
      <c r="CS6" s="111">
        <f t="shared" ref="CS6:CS48" si="1">Q6/Q$6</f>
        <v>1</v>
      </c>
      <c r="CT6" s="111">
        <f t="shared" ref="CT6:CT47" si="2">X6/X$6</f>
        <v>1</v>
      </c>
      <c r="CU6" s="111">
        <f t="shared" ref="CU6:CU47" si="3">AE6/AE$6</f>
        <v>1</v>
      </c>
      <c r="CV6" s="111">
        <f t="shared" ref="CV6:CV47" si="4">AL6/AL$6</f>
        <v>1</v>
      </c>
      <c r="CW6" s="111">
        <f t="shared" ref="CW6:CW47" si="5">AS6/AS$6</f>
        <v>1</v>
      </c>
      <c r="CX6" s="111">
        <f t="shared" ref="CX6:CX47" si="6">AZ6/AZ$6</f>
        <v>1</v>
      </c>
      <c r="CY6" s="111">
        <f t="shared" ref="CY6:CY47" si="7">BG6/BG$6</f>
        <v>1</v>
      </c>
      <c r="CZ6" s="111">
        <f t="shared" ref="CZ6:CZ47" si="8">BN6/BN$6</f>
        <v>1</v>
      </c>
      <c r="DA6" s="111">
        <f t="shared" ref="DA6:DA47" si="9">BU6/BU$6</f>
        <v>1</v>
      </c>
      <c r="DB6" s="111">
        <f t="shared" ref="DB6:DB47" si="10">CB6/CB$6</f>
        <v>1</v>
      </c>
      <c r="DC6" s="111">
        <f t="shared" ref="DC6:DC47" si="11">CI6/CI$6</f>
        <v>1</v>
      </c>
    </row>
    <row r="7" spans="2:120" x14ac:dyDescent="0.2">
      <c r="B7" s="112" t="s">
        <v>399</v>
      </c>
      <c r="C7" s="192"/>
      <c r="D7" s="113">
        <v>0</v>
      </c>
      <c r="E7" s="113">
        <v>0</v>
      </c>
      <c r="F7" s="113">
        <v>0</v>
      </c>
      <c r="G7" s="114">
        <v>0</v>
      </c>
      <c r="H7" s="114">
        <v>0</v>
      </c>
      <c r="I7" s="114">
        <v>0</v>
      </c>
      <c r="J7" s="114">
        <f>SUM(D7:I7)</f>
        <v>0</v>
      </c>
      <c r="K7" s="113">
        <v>0</v>
      </c>
      <c r="L7" s="113">
        <v>0</v>
      </c>
      <c r="M7" s="113">
        <v>0</v>
      </c>
      <c r="N7" s="114">
        <v>0</v>
      </c>
      <c r="O7" s="114">
        <v>0</v>
      </c>
      <c r="P7" s="114">
        <v>0</v>
      </c>
      <c r="Q7" s="114">
        <f>SUM(K7:P7)</f>
        <v>0</v>
      </c>
      <c r="R7" s="113">
        <v>0</v>
      </c>
      <c r="S7" s="113">
        <v>0</v>
      </c>
      <c r="T7" s="113">
        <v>0</v>
      </c>
      <c r="U7" s="114">
        <v>0</v>
      </c>
      <c r="V7" s="114">
        <v>0</v>
      </c>
      <c r="W7" s="114">
        <v>0</v>
      </c>
      <c r="X7" s="114">
        <f>SUM(R7:W7)</f>
        <v>0</v>
      </c>
      <c r="Y7" s="113">
        <v>0</v>
      </c>
      <c r="Z7" s="113">
        <v>0</v>
      </c>
      <c r="AA7" s="113">
        <v>0</v>
      </c>
      <c r="AB7" s="114">
        <v>0</v>
      </c>
      <c r="AC7" s="114">
        <v>0</v>
      </c>
      <c r="AD7" s="114">
        <v>0</v>
      </c>
      <c r="AE7" s="114">
        <f>SUM(Y7:AD7)</f>
        <v>0</v>
      </c>
      <c r="AF7" s="113">
        <v>0</v>
      </c>
      <c r="AG7" s="113">
        <v>0</v>
      </c>
      <c r="AH7" s="113">
        <v>0</v>
      </c>
      <c r="AI7" s="114">
        <v>0</v>
      </c>
      <c r="AJ7" s="114">
        <v>0</v>
      </c>
      <c r="AK7" s="114">
        <v>0</v>
      </c>
      <c r="AL7" s="114">
        <f>SUM(AF7:AK7)</f>
        <v>0</v>
      </c>
      <c r="AM7" s="113">
        <v>0</v>
      </c>
      <c r="AN7" s="113">
        <v>0</v>
      </c>
      <c r="AO7" s="113">
        <v>0</v>
      </c>
      <c r="AP7" s="114">
        <v>0</v>
      </c>
      <c r="AQ7" s="114">
        <v>0</v>
      </c>
      <c r="AR7" s="114">
        <v>0</v>
      </c>
      <c r="AS7" s="114">
        <f>SUM(AM7:AR7)</f>
        <v>0</v>
      </c>
      <c r="AT7" s="113">
        <v>0</v>
      </c>
      <c r="AU7" s="113">
        <v>0</v>
      </c>
      <c r="AV7" s="113">
        <v>0</v>
      </c>
      <c r="AW7" s="114">
        <v>0</v>
      </c>
      <c r="AX7" s="114">
        <v>0</v>
      </c>
      <c r="AY7" s="114">
        <v>0</v>
      </c>
      <c r="AZ7" s="114">
        <f>SUM(AT7:AY7)</f>
        <v>0</v>
      </c>
      <c r="BA7" s="113">
        <v>0</v>
      </c>
      <c r="BB7" s="113">
        <v>0</v>
      </c>
      <c r="BC7" s="113">
        <v>0</v>
      </c>
      <c r="BD7" s="114">
        <v>0</v>
      </c>
      <c r="BE7" s="114">
        <v>0</v>
      </c>
      <c r="BF7" s="114">
        <v>0</v>
      </c>
      <c r="BG7" s="114">
        <f>SUM(BA7:BF7)</f>
        <v>0</v>
      </c>
      <c r="BH7" s="113">
        <v>0</v>
      </c>
      <c r="BI7" s="113">
        <v>0</v>
      </c>
      <c r="BJ7" s="113">
        <v>0</v>
      </c>
      <c r="BK7" s="114">
        <v>0</v>
      </c>
      <c r="BL7" s="114">
        <v>0</v>
      </c>
      <c r="BM7" s="114">
        <v>0</v>
      </c>
      <c r="BN7" s="114">
        <f>SUM(BH7:BM7)</f>
        <v>0</v>
      </c>
      <c r="BO7" s="113">
        <v>0</v>
      </c>
      <c r="BP7" s="113">
        <v>0</v>
      </c>
      <c r="BQ7" s="113">
        <v>0</v>
      </c>
      <c r="BR7" s="114">
        <v>0</v>
      </c>
      <c r="BS7" s="114">
        <v>0</v>
      </c>
      <c r="BT7" s="114">
        <v>0</v>
      </c>
      <c r="BU7" s="114">
        <f>SUM(BO7:BT7)</f>
        <v>0</v>
      </c>
      <c r="BV7" s="113">
        <v>0</v>
      </c>
      <c r="BW7" s="113">
        <v>0</v>
      </c>
      <c r="BX7" s="113">
        <v>0</v>
      </c>
      <c r="BY7" s="114">
        <v>0</v>
      </c>
      <c r="BZ7" s="114">
        <v>0</v>
      </c>
      <c r="CA7" s="114">
        <v>0</v>
      </c>
      <c r="CB7" s="114">
        <f>SUM(BV7:CA7)</f>
        <v>0</v>
      </c>
      <c r="CC7" s="113">
        <v>0</v>
      </c>
      <c r="CD7" s="113">
        <v>0</v>
      </c>
      <c r="CE7" s="113">
        <v>0</v>
      </c>
      <c r="CF7" s="114">
        <v>0</v>
      </c>
      <c r="CG7" s="114">
        <v>0</v>
      </c>
      <c r="CH7" s="114">
        <v>0</v>
      </c>
      <c r="CI7" s="114">
        <f>SUM(CC7:CH7)</f>
        <v>0</v>
      </c>
      <c r="CJ7" s="113">
        <v>0</v>
      </c>
      <c r="CK7" s="113">
        <v>0</v>
      </c>
      <c r="CL7" s="113">
        <v>0</v>
      </c>
      <c r="CM7" s="114">
        <v>0</v>
      </c>
      <c r="CN7" s="114">
        <v>0</v>
      </c>
      <c r="CO7" s="114">
        <v>0</v>
      </c>
      <c r="CP7" s="114"/>
      <c r="CQ7" s="107"/>
      <c r="CR7" s="111">
        <f t="shared" si="0"/>
        <v>0</v>
      </c>
      <c r="CS7" s="111">
        <f t="shared" si="1"/>
        <v>0</v>
      </c>
      <c r="CT7" s="111">
        <f t="shared" si="2"/>
        <v>0</v>
      </c>
      <c r="CU7" s="111">
        <f t="shared" si="3"/>
        <v>0</v>
      </c>
      <c r="CV7" s="111">
        <f t="shared" si="4"/>
        <v>0</v>
      </c>
      <c r="CW7" s="111">
        <f t="shared" si="5"/>
        <v>0</v>
      </c>
      <c r="CX7" s="111">
        <f t="shared" si="6"/>
        <v>0</v>
      </c>
      <c r="CY7" s="111">
        <f t="shared" si="7"/>
        <v>0</v>
      </c>
      <c r="CZ7" s="111">
        <f t="shared" si="8"/>
        <v>0</v>
      </c>
      <c r="DA7" s="111">
        <f t="shared" si="9"/>
        <v>0</v>
      </c>
      <c r="DB7" s="111">
        <f t="shared" si="10"/>
        <v>0</v>
      </c>
      <c r="DC7" s="111">
        <f t="shared" si="11"/>
        <v>0</v>
      </c>
    </row>
    <row r="8" spans="2:120" ht="16" x14ac:dyDescent="0.2">
      <c r="B8" s="109" t="s">
        <v>351</v>
      </c>
      <c r="C8" s="193"/>
      <c r="D8" s="117">
        <f>D6-D7</f>
        <v>1750000</v>
      </c>
      <c r="E8" s="117">
        <f t="shared" ref="E8:BP8" si="12">E6-E7</f>
        <v>3146600</v>
      </c>
      <c r="F8" s="117">
        <f t="shared" si="12"/>
        <v>1500000</v>
      </c>
      <c r="G8" s="117">
        <f t="shared" si="12"/>
        <v>500000</v>
      </c>
      <c r="H8" s="117">
        <f t="shared" si="12"/>
        <v>1715000</v>
      </c>
      <c r="I8" s="117">
        <f t="shared" si="12"/>
        <v>881000</v>
      </c>
      <c r="J8" s="117">
        <f t="shared" si="12"/>
        <v>9492600</v>
      </c>
      <c r="K8" s="117">
        <f t="shared" si="12"/>
        <v>1750000</v>
      </c>
      <c r="L8" s="117">
        <f t="shared" si="12"/>
        <v>3146600</v>
      </c>
      <c r="M8" s="117">
        <f t="shared" si="12"/>
        <v>1540000</v>
      </c>
      <c r="N8" s="117">
        <f t="shared" si="12"/>
        <v>0</v>
      </c>
      <c r="O8" s="117">
        <f t="shared" si="12"/>
        <v>0</v>
      </c>
      <c r="P8" s="117">
        <f t="shared" si="12"/>
        <v>0</v>
      </c>
      <c r="Q8" s="117">
        <f t="shared" si="12"/>
        <v>9492600</v>
      </c>
      <c r="R8" s="117">
        <f t="shared" si="12"/>
        <v>0</v>
      </c>
      <c r="S8" s="117">
        <f t="shared" si="12"/>
        <v>0</v>
      </c>
      <c r="T8" s="117">
        <f t="shared" si="12"/>
        <v>0</v>
      </c>
      <c r="U8" s="117">
        <f t="shared" si="12"/>
        <v>0</v>
      </c>
      <c r="V8" s="117">
        <f t="shared" si="12"/>
        <v>0</v>
      </c>
      <c r="W8" s="117">
        <f t="shared" si="12"/>
        <v>0</v>
      </c>
      <c r="X8" s="117">
        <f t="shared" si="12"/>
        <v>9492600</v>
      </c>
      <c r="Y8" s="117">
        <f t="shared" si="12"/>
        <v>0</v>
      </c>
      <c r="Z8" s="117">
        <f t="shared" si="12"/>
        <v>0</v>
      </c>
      <c r="AA8" s="117">
        <f t="shared" si="12"/>
        <v>0</v>
      </c>
      <c r="AB8" s="117">
        <f t="shared" si="12"/>
        <v>0</v>
      </c>
      <c r="AC8" s="117">
        <f t="shared" si="12"/>
        <v>0</v>
      </c>
      <c r="AD8" s="117">
        <f t="shared" si="12"/>
        <v>0</v>
      </c>
      <c r="AE8" s="117">
        <f t="shared" si="12"/>
        <v>9492600</v>
      </c>
      <c r="AF8" s="117">
        <f t="shared" si="12"/>
        <v>0</v>
      </c>
      <c r="AG8" s="117">
        <f t="shared" si="12"/>
        <v>0</v>
      </c>
      <c r="AH8" s="117">
        <f t="shared" si="12"/>
        <v>0</v>
      </c>
      <c r="AI8" s="117">
        <f t="shared" si="12"/>
        <v>0</v>
      </c>
      <c r="AJ8" s="117">
        <f t="shared" si="12"/>
        <v>0</v>
      </c>
      <c r="AK8" s="117">
        <f t="shared" si="12"/>
        <v>0</v>
      </c>
      <c r="AL8" s="117">
        <f t="shared" si="12"/>
        <v>9492600</v>
      </c>
      <c r="AM8" s="117">
        <f t="shared" si="12"/>
        <v>0</v>
      </c>
      <c r="AN8" s="117">
        <f t="shared" si="12"/>
        <v>0</v>
      </c>
      <c r="AO8" s="117">
        <f t="shared" si="12"/>
        <v>0</v>
      </c>
      <c r="AP8" s="117">
        <f t="shared" si="12"/>
        <v>0</v>
      </c>
      <c r="AQ8" s="117">
        <f t="shared" si="12"/>
        <v>0</v>
      </c>
      <c r="AR8" s="117">
        <f t="shared" si="12"/>
        <v>0</v>
      </c>
      <c r="AS8" s="117">
        <f t="shared" si="12"/>
        <v>9950250</v>
      </c>
      <c r="AT8" s="117">
        <f t="shared" si="12"/>
        <v>0</v>
      </c>
      <c r="AU8" s="117">
        <f t="shared" si="12"/>
        <v>0</v>
      </c>
      <c r="AV8" s="117">
        <f t="shared" si="12"/>
        <v>0</v>
      </c>
      <c r="AW8" s="117">
        <f t="shared" si="12"/>
        <v>0</v>
      </c>
      <c r="AX8" s="117">
        <f t="shared" si="12"/>
        <v>0</v>
      </c>
      <c r="AY8" s="117">
        <f t="shared" si="12"/>
        <v>0</v>
      </c>
      <c r="AZ8" s="117">
        <f t="shared" si="12"/>
        <v>10260624.6</v>
      </c>
      <c r="BA8" s="117">
        <f t="shared" si="12"/>
        <v>0</v>
      </c>
      <c r="BB8" s="117">
        <f t="shared" si="12"/>
        <v>0</v>
      </c>
      <c r="BC8" s="117">
        <f t="shared" si="12"/>
        <v>0</v>
      </c>
      <c r="BD8" s="117">
        <f t="shared" si="12"/>
        <v>0</v>
      </c>
      <c r="BE8" s="117">
        <f t="shared" si="12"/>
        <v>0</v>
      </c>
      <c r="BF8" s="117">
        <f t="shared" si="12"/>
        <v>0</v>
      </c>
      <c r="BG8" s="117">
        <f t="shared" si="12"/>
        <v>10305555.6</v>
      </c>
      <c r="BH8" s="117">
        <f t="shared" si="12"/>
        <v>0</v>
      </c>
      <c r="BI8" s="117">
        <f t="shared" si="12"/>
        <v>0</v>
      </c>
      <c r="BJ8" s="117">
        <f t="shared" si="12"/>
        <v>0</v>
      </c>
      <c r="BK8" s="117">
        <f t="shared" si="12"/>
        <v>0</v>
      </c>
      <c r="BL8" s="117">
        <f t="shared" si="12"/>
        <v>0</v>
      </c>
      <c r="BM8" s="117">
        <f t="shared" si="12"/>
        <v>0</v>
      </c>
      <c r="BN8" s="117">
        <f t="shared" si="12"/>
        <v>10305555.6</v>
      </c>
      <c r="BO8" s="117">
        <f t="shared" si="12"/>
        <v>0</v>
      </c>
      <c r="BP8" s="117">
        <f t="shared" si="12"/>
        <v>0</v>
      </c>
      <c r="BQ8" s="117">
        <f t="shared" ref="BQ8:CO8" si="13">BQ6-BQ7</f>
        <v>0</v>
      </c>
      <c r="BR8" s="117">
        <f t="shared" si="13"/>
        <v>0</v>
      </c>
      <c r="BS8" s="117">
        <f t="shared" si="13"/>
        <v>0</v>
      </c>
      <c r="BT8" s="117">
        <f t="shared" si="13"/>
        <v>0</v>
      </c>
      <c r="BU8" s="117">
        <f t="shared" si="13"/>
        <v>10305555.6</v>
      </c>
      <c r="BV8" s="117">
        <f t="shared" si="13"/>
        <v>0</v>
      </c>
      <c r="BW8" s="117">
        <f t="shared" si="13"/>
        <v>0</v>
      </c>
      <c r="BX8" s="117">
        <f t="shared" si="13"/>
        <v>0</v>
      </c>
      <c r="BY8" s="117">
        <f t="shared" si="13"/>
        <v>0</v>
      </c>
      <c r="BZ8" s="117">
        <f t="shared" si="13"/>
        <v>0</v>
      </c>
      <c r="CA8" s="117">
        <f t="shared" si="13"/>
        <v>0</v>
      </c>
      <c r="CB8" s="117">
        <f t="shared" si="13"/>
        <v>10305555.6</v>
      </c>
      <c r="CC8" s="117">
        <f t="shared" si="13"/>
        <v>0</v>
      </c>
      <c r="CD8" s="117">
        <f t="shared" si="13"/>
        <v>0</v>
      </c>
      <c r="CE8" s="117">
        <f t="shared" si="13"/>
        <v>0</v>
      </c>
      <c r="CF8" s="117">
        <f t="shared" si="13"/>
        <v>0</v>
      </c>
      <c r="CG8" s="117">
        <f t="shared" si="13"/>
        <v>0</v>
      </c>
      <c r="CH8" s="117">
        <f t="shared" si="13"/>
        <v>0</v>
      </c>
      <c r="CI8" s="117">
        <f t="shared" si="13"/>
        <v>10393020.6</v>
      </c>
      <c r="CJ8" s="117">
        <f t="shared" si="13"/>
        <v>3500000</v>
      </c>
      <c r="CK8" s="117">
        <f t="shared" si="13"/>
        <v>6293200</v>
      </c>
      <c r="CL8" s="117">
        <f t="shared" si="13"/>
        <v>3040000</v>
      </c>
      <c r="CM8" s="117">
        <f t="shared" si="13"/>
        <v>500000</v>
      </c>
      <c r="CN8" s="117">
        <f t="shared" si="13"/>
        <v>1715000</v>
      </c>
      <c r="CO8" s="117">
        <f t="shared" si="13"/>
        <v>881000</v>
      </c>
      <c r="CP8" s="117"/>
      <c r="CQ8" s="107"/>
      <c r="CR8" s="111">
        <f t="shared" si="0"/>
        <v>1</v>
      </c>
      <c r="CS8" s="111">
        <f t="shared" si="1"/>
        <v>1</v>
      </c>
      <c r="CT8" s="111">
        <f t="shared" si="2"/>
        <v>1</v>
      </c>
      <c r="CU8" s="111">
        <f t="shared" si="3"/>
        <v>1</v>
      </c>
      <c r="CV8" s="111">
        <f t="shared" si="4"/>
        <v>1</v>
      </c>
      <c r="CW8" s="111">
        <f t="shared" si="5"/>
        <v>1</v>
      </c>
      <c r="CX8" s="111">
        <f t="shared" si="6"/>
        <v>1</v>
      </c>
      <c r="CY8" s="111">
        <f t="shared" si="7"/>
        <v>1</v>
      </c>
      <c r="CZ8" s="111">
        <f t="shared" si="8"/>
        <v>1</v>
      </c>
      <c r="DA8" s="111">
        <f t="shared" si="9"/>
        <v>1</v>
      </c>
      <c r="DB8" s="111">
        <f t="shared" si="10"/>
        <v>1</v>
      </c>
      <c r="DC8" s="111">
        <f t="shared" si="11"/>
        <v>1</v>
      </c>
    </row>
    <row r="9" spans="2:120" x14ac:dyDescent="0.2">
      <c r="B9" s="107" t="s">
        <v>478</v>
      </c>
      <c r="C9" s="191" t="s">
        <v>306</v>
      </c>
      <c r="D9" s="115">
        <f>SUMIFS(wallet_records!$D:$D,wallet_records!$B:$B,'EEFF 2026 Proyectado'!$C9,wallet_records!$L:$L,'EEFF 2026 Proyectado'!D$3,wallet_records!$O:$O,'EEFF 2026 Proyectado'!$B$1,wallet_records!$N:$N,'EEFF 2026 Proyectado'!D$2,wallet_records!$H:$H,'EEFF 2026 Proyectado'!$B9)</f>
        <v>0</v>
      </c>
      <c r="E9" s="115">
        <f>SUMIFS(wallet_records!$D:$D,wallet_records!$B:$B,'EEFF 2026 Proyectado'!$C9,wallet_records!$L:$L,'EEFF 2026 Proyectado'!E$3,wallet_records!$O:$O,'EEFF 2026 Proyectado'!$B$1,wallet_records!$N:$N,'EEFF 2026 Proyectado'!E$2,wallet_records!$H:$H,'EEFF 2026 Proyectado'!$B9)</f>
        <v>0</v>
      </c>
      <c r="F9" s="115">
        <f>SUMIFS(wallet_records!$D:$D,wallet_records!$B:$B,'EEFF 2026 Proyectado'!$C9,wallet_records!$L:$L,'EEFF 2026 Proyectado'!F$3,wallet_records!$O:$O,'EEFF 2026 Proyectado'!$B$1,wallet_records!$N:$N,'EEFF 2026 Proyectado'!F$2,wallet_records!$H:$H,'EEFF 2026 Proyectado'!$B9)</f>
        <v>0</v>
      </c>
      <c r="G9" s="115">
        <f>SUMIFS(wallet_records!$D:$D,wallet_records!$B:$B,'EEFF 2026 Proyectado'!$C9,wallet_records!$L:$L,'EEFF 2026 Proyectado'!G$3,wallet_records!$O:$O,'EEFF 2026 Proyectado'!$B$1,wallet_records!$N:$N,'EEFF 2026 Proyectado'!G$2,wallet_records!$H:$H,'EEFF 2026 Proyectado'!$B9)</f>
        <v>0</v>
      </c>
      <c r="H9" s="115">
        <f>SUMIFS(wallet_records!$D:$D,wallet_records!$B:$B,'EEFF 2026 Proyectado'!$C9,wallet_records!$L:$L,'EEFF 2026 Proyectado'!H$3,wallet_records!$O:$O,'EEFF 2026 Proyectado'!$B$1,wallet_records!$N:$N,'EEFF 2026 Proyectado'!H$2,wallet_records!$H:$H,'EEFF 2026 Proyectado'!$B9)</f>
        <v>0</v>
      </c>
      <c r="I9" s="115">
        <f>SUMIFS(wallet_records!$D:$D,wallet_records!$B:$B,'EEFF 2026 Proyectado'!$C9,wallet_records!$L:$L,'EEFF 2026 Proyectado'!I$3,wallet_records!$O:$O,'EEFF 2026 Proyectado'!$B$1,wallet_records!$N:$N,'EEFF 2026 Proyectado'!I$2,wallet_records!$H:$H,'EEFF 2026 Proyectado'!$B9)</f>
        <v>0</v>
      </c>
      <c r="J9" s="116">
        <v>0</v>
      </c>
      <c r="K9" s="115">
        <f>SUMIFS(wallet_records!$D:$D,wallet_records!$B:$B,'EEFF 2026 Proyectado'!$C9,wallet_records!$L:$L,'EEFF 2026 Proyectado'!K$3,wallet_records!$O:$O,'EEFF 2026 Proyectado'!$B$1,wallet_records!$N:$N,'EEFF 2026 Proyectado'!K$2,wallet_records!$H:$H,'EEFF 2026 Proyectado'!$B9)</f>
        <v>0</v>
      </c>
      <c r="L9" s="115">
        <f>SUMIFS(wallet_records!$D:$D,wallet_records!$B:$B,'EEFF 2026 Proyectado'!$C9,wallet_records!$L:$L,'EEFF 2026 Proyectado'!L$3,wallet_records!$O:$O,'EEFF 2026 Proyectado'!$B$1,wallet_records!$N:$N,'EEFF 2026 Proyectado'!L$2,wallet_records!$H:$H,'EEFF 2026 Proyectado'!$B9)</f>
        <v>0</v>
      </c>
      <c r="M9" s="115">
        <f>SUMIFS(wallet_records!$D:$D,wallet_records!$B:$B,'EEFF 2026 Proyectado'!$C9,wallet_records!$L:$L,'EEFF 2026 Proyectado'!M$3,wallet_records!$O:$O,'EEFF 2026 Proyectado'!$B$1,wallet_records!$N:$N,'EEFF 2026 Proyectado'!M$2,wallet_records!$H:$H,'EEFF 2026 Proyectado'!$B9)</f>
        <v>0</v>
      </c>
      <c r="N9" s="115">
        <f>SUMIFS(wallet_records!$D:$D,wallet_records!$B:$B,'EEFF 2026 Proyectado'!$C9,wallet_records!$L:$L,'EEFF 2026 Proyectado'!N$3,wallet_records!$O:$O,'EEFF 2026 Proyectado'!$B$1,wallet_records!$N:$N,'EEFF 2026 Proyectado'!N$2,wallet_records!$H:$H,'EEFF 2026 Proyectado'!$B9)</f>
        <v>0</v>
      </c>
      <c r="O9" s="115">
        <f>SUMIFS(wallet_records!$D:$D,wallet_records!$B:$B,'EEFF 2026 Proyectado'!$C9,wallet_records!$L:$L,'EEFF 2026 Proyectado'!O$3,wallet_records!$O:$O,'EEFF 2026 Proyectado'!$B$1,wallet_records!$N:$N,'EEFF 2026 Proyectado'!O$2,wallet_records!$H:$H,'EEFF 2026 Proyectado'!$B9)</f>
        <v>0</v>
      </c>
      <c r="P9" s="115">
        <f>SUMIFS(wallet_records!$D:$D,wallet_records!$B:$B,'EEFF 2026 Proyectado'!$C9,wallet_records!$L:$L,'EEFF 2026 Proyectado'!P$3,wallet_records!$O:$O,'EEFF 2026 Proyectado'!$B$1,wallet_records!$N:$N,'EEFF 2026 Proyectado'!P$2,wallet_records!$H:$H,'EEFF 2026 Proyectado'!$B9)</f>
        <v>0</v>
      </c>
      <c r="Q9" s="116">
        <f t="shared" ref="Q9:Q14" si="14">SUM(K9:P9)</f>
        <v>0</v>
      </c>
      <c r="R9" s="115">
        <f>SUMIFS(wallet_records!$D:$D,wallet_records!$B:$B,'EEFF 2026 Proyectado'!$C9,wallet_records!$L:$L,'EEFF 2026 Proyectado'!R$3,wallet_records!$O:$O,'EEFF 2026 Proyectado'!$B$1,wallet_records!$N:$N,'EEFF 2026 Proyectado'!R$2,wallet_records!$H:$H,'EEFF 2026 Proyectado'!$B9)</f>
        <v>0</v>
      </c>
      <c r="S9" s="115">
        <f>SUMIFS(wallet_records!$D:$D,wallet_records!$B:$B,'EEFF 2026 Proyectado'!$C9,wallet_records!$L:$L,'EEFF 2026 Proyectado'!S$3,wallet_records!$O:$O,'EEFF 2026 Proyectado'!$B$1,wallet_records!$N:$N,'EEFF 2026 Proyectado'!S$2,wallet_records!$H:$H,'EEFF 2026 Proyectado'!$B9)</f>
        <v>0</v>
      </c>
      <c r="T9" s="115">
        <f>SUMIFS(wallet_records!$D:$D,wallet_records!$B:$B,'EEFF 2026 Proyectado'!$C9,wallet_records!$L:$L,'EEFF 2026 Proyectado'!T$3,wallet_records!$O:$O,'EEFF 2026 Proyectado'!$B$1,wallet_records!$N:$N,'EEFF 2026 Proyectado'!T$2,wallet_records!$H:$H,'EEFF 2026 Proyectado'!$B9)</f>
        <v>0</v>
      </c>
      <c r="U9" s="115">
        <f>SUMIFS(wallet_records!$D:$D,wallet_records!$B:$B,'EEFF 2026 Proyectado'!$C9,wallet_records!$L:$L,'EEFF 2026 Proyectado'!U$3,wallet_records!$O:$O,'EEFF 2026 Proyectado'!$B$1,wallet_records!$N:$N,'EEFF 2026 Proyectado'!U$2,wallet_records!$H:$H,'EEFF 2026 Proyectado'!$B9)</f>
        <v>0</v>
      </c>
      <c r="V9" s="115">
        <f>SUMIFS(wallet_records!$D:$D,wallet_records!$B:$B,'EEFF 2026 Proyectado'!$C9,wallet_records!$L:$L,'EEFF 2026 Proyectado'!V$3,wallet_records!$O:$O,'EEFF 2026 Proyectado'!$B$1,wallet_records!$N:$N,'EEFF 2026 Proyectado'!V$2,wallet_records!$H:$H,'EEFF 2026 Proyectado'!$B9)</f>
        <v>0</v>
      </c>
      <c r="W9" s="115">
        <f>SUMIFS(wallet_records!$D:$D,wallet_records!$B:$B,'EEFF 2026 Proyectado'!$C9,wallet_records!$L:$L,'EEFF 2026 Proyectado'!W$3,wallet_records!$O:$O,'EEFF 2026 Proyectado'!$B$1,wallet_records!$N:$N,'EEFF 2026 Proyectado'!W$2,wallet_records!$H:$H,'EEFF 2026 Proyectado'!$B9)</f>
        <v>0</v>
      </c>
      <c r="X9" s="116">
        <v>0</v>
      </c>
      <c r="Y9" s="115">
        <f>SUMIFS(wallet_records!$D:$D,wallet_records!$B:$B,'EEFF 2026 Proyectado'!$C9,wallet_records!$L:$L,'EEFF 2026 Proyectado'!Y$3,wallet_records!$O:$O,'EEFF 2026 Proyectado'!$B$1,wallet_records!$N:$N,'EEFF 2026 Proyectado'!Y$2,wallet_records!$H:$H,'EEFF 2026 Proyectado'!$B9)</f>
        <v>0</v>
      </c>
      <c r="Z9" s="115">
        <f>SUMIFS(wallet_records!$D:$D,wallet_records!$B:$B,'EEFF 2026 Proyectado'!$C9,wallet_records!$L:$L,'EEFF 2026 Proyectado'!Z$3,wallet_records!$O:$O,'EEFF 2026 Proyectado'!$B$1,wallet_records!$N:$N,'EEFF 2026 Proyectado'!Z$2,wallet_records!$H:$H,'EEFF 2026 Proyectado'!$B9)</f>
        <v>0</v>
      </c>
      <c r="AA9" s="115">
        <f>SUMIFS(wallet_records!$D:$D,wallet_records!$B:$B,'EEFF 2026 Proyectado'!$C9,wallet_records!$L:$L,'EEFF 2026 Proyectado'!AA$3,wallet_records!$O:$O,'EEFF 2026 Proyectado'!$B$1,wallet_records!$N:$N,'EEFF 2026 Proyectado'!AA$2,wallet_records!$H:$H,'EEFF 2026 Proyectado'!$B9)</f>
        <v>0</v>
      </c>
      <c r="AB9" s="115">
        <f>SUMIFS(wallet_records!$D:$D,wallet_records!$B:$B,'EEFF 2026 Proyectado'!$C9,wallet_records!$L:$L,'EEFF 2026 Proyectado'!AB$3,wallet_records!$O:$O,'EEFF 2026 Proyectado'!$B$1,wallet_records!$N:$N,'EEFF 2026 Proyectado'!AB$2,wallet_records!$H:$H,'EEFF 2026 Proyectado'!$B9)</f>
        <v>0</v>
      </c>
      <c r="AC9" s="115">
        <f>SUMIFS(wallet_records!$D:$D,wallet_records!$B:$B,'EEFF 2026 Proyectado'!$C9,wallet_records!$L:$L,'EEFF 2026 Proyectado'!AC$3,wallet_records!$O:$O,'EEFF 2026 Proyectado'!$B$1,wallet_records!$N:$N,'EEFF 2026 Proyectado'!AC$2,wallet_records!$H:$H,'EEFF 2026 Proyectado'!$B9)</f>
        <v>0</v>
      </c>
      <c r="AD9" s="115">
        <f>SUMIFS(wallet_records!$D:$D,wallet_records!$B:$B,'EEFF 2026 Proyectado'!$C9,wallet_records!$L:$L,'EEFF 2026 Proyectado'!AD$3,wallet_records!$O:$O,'EEFF 2026 Proyectado'!$B$1,wallet_records!$N:$N,'EEFF 2026 Proyectado'!AD$2,wallet_records!$H:$H,'EEFF 2026 Proyectado'!$B9)</f>
        <v>0</v>
      </c>
      <c r="AE9" s="116">
        <v>0</v>
      </c>
      <c r="AF9" s="115">
        <f>SUMIFS(wallet_records!$D:$D,wallet_records!$B:$B,'EEFF 2026 Proyectado'!$C9,wallet_records!$L:$L,'EEFF 2026 Proyectado'!AF$3,wallet_records!$O:$O,'EEFF 2026 Proyectado'!$B$1,wallet_records!$N:$N,'EEFF 2026 Proyectado'!AF$2,wallet_records!$H:$H,'EEFF 2026 Proyectado'!$B9)</f>
        <v>0</v>
      </c>
      <c r="AG9" s="115">
        <f>SUMIFS(wallet_records!$D:$D,wallet_records!$B:$B,'EEFF 2026 Proyectado'!$C9,wallet_records!$L:$L,'EEFF 2026 Proyectado'!AG$3,wallet_records!$O:$O,'EEFF 2026 Proyectado'!$B$1,wallet_records!$N:$N,'EEFF 2026 Proyectado'!AG$2,wallet_records!$H:$H,'EEFF 2026 Proyectado'!$B9)</f>
        <v>0</v>
      </c>
      <c r="AH9" s="115">
        <f>SUMIFS(wallet_records!$D:$D,wallet_records!$B:$B,'EEFF 2026 Proyectado'!$C9,wallet_records!$L:$L,'EEFF 2026 Proyectado'!AH$3,wallet_records!$O:$O,'EEFF 2026 Proyectado'!$B$1,wallet_records!$N:$N,'EEFF 2026 Proyectado'!AH$2,wallet_records!$H:$H,'EEFF 2026 Proyectado'!$B9)</f>
        <v>0</v>
      </c>
      <c r="AI9" s="115">
        <f>SUMIFS(wallet_records!$D:$D,wallet_records!$B:$B,'EEFF 2026 Proyectado'!$C9,wallet_records!$L:$L,'EEFF 2026 Proyectado'!AI$3,wallet_records!$O:$O,'EEFF 2026 Proyectado'!$B$1,wallet_records!$N:$N,'EEFF 2026 Proyectado'!AI$2,wallet_records!$H:$H,'EEFF 2026 Proyectado'!$B9)</f>
        <v>0</v>
      </c>
      <c r="AJ9" s="115">
        <f>SUMIFS(wallet_records!$D:$D,wallet_records!$B:$B,'EEFF 2026 Proyectado'!$C9,wallet_records!$L:$L,'EEFF 2026 Proyectado'!AJ$3,wallet_records!$O:$O,'EEFF 2026 Proyectado'!$B$1,wallet_records!$N:$N,'EEFF 2026 Proyectado'!AJ$2,wallet_records!$H:$H,'EEFF 2026 Proyectado'!$B9)</f>
        <v>0</v>
      </c>
      <c r="AK9" s="115">
        <f>SUMIFS(wallet_records!$D:$D,wallet_records!$B:$B,'EEFF 2026 Proyectado'!$C9,wallet_records!$L:$L,'EEFF 2026 Proyectado'!AK$3,wallet_records!$O:$O,'EEFF 2026 Proyectado'!$B$1,wallet_records!$N:$N,'EEFF 2026 Proyectado'!AK$2,wallet_records!$H:$H,'EEFF 2026 Proyectado'!$B9)</f>
        <v>0</v>
      </c>
      <c r="AL9" s="116">
        <v>0</v>
      </c>
      <c r="AM9" s="115">
        <f>SUMIFS(wallet_records!$D:$D,wallet_records!$B:$B,'EEFF 2026 Proyectado'!$C9,wallet_records!$L:$L,'EEFF 2026 Proyectado'!AM$3,wallet_records!$O:$O,'EEFF 2026 Proyectado'!$B$1,wallet_records!$N:$N,'EEFF 2026 Proyectado'!AM$2,wallet_records!$H:$H,'EEFF 2026 Proyectado'!$B9)</f>
        <v>0</v>
      </c>
      <c r="AN9" s="115">
        <f>SUMIFS(wallet_records!$D:$D,wallet_records!$B:$B,'EEFF 2026 Proyectado'!$C9,wallet_records!$L:$L,'EEFF 2026 Proyectado'!AN$3,wallet_records!$O:$O,'EEFF 2026 Proyectado'!$B$1,wallet_records!$N:$N,'EEFF 2026 Proyectado'!AN$2,wallet_records!$H:$H,'EEFF 2026 Proyectado'!$B9)</f>
        <v>0</v>
      </c>
      <c r="AO9" s="115">
        <f>SUMIFS(wallet_records!$D:$D,wallet_records!$B:$B,'EEFF 2026 Proyectado'!$C9,wallet_records!$L:$L,'EEFF 2026 Proyectado'!AO$3,wallet_records!$O:$O,'EEFF 2026 Proyectado'!$B$1,wallet_records!$N:$N,'EEFF 2026 Proyectado'!AO$2,wallet_records!$H:$H,'EEFF 2026 Proyectado'!$B9)</f>
        <v>0</v>
      </c>
      <c r="AP9" s="115">
        <f>SUMIFS(wallet_records!$D:$D,wallet_records!$B:$B,'EEFF 2026 Proyectado'!$C9,wallet_records!$L:$L,'EEFF 2026 Proyectado'!AP$3,wallet_records!$O:$O,'EEFF 2026 Proyectado'!$B$1,wallet_records!$N:$N,'EEFF 2026 Proyectado'!AP$2,wallet_records!$H:$H,'EEFF 2026 Proyectado'!$B9)</f>
        <v>0</v>
      </c>
      <c r="AQ9" s="115">
        <f>SUMIFS(wallet_records!$D:$D,wallet_records!$B:$B,'EEFF 2026 Proyectado'!$C9,wallet_records!$L:$L,'EEFF 2026 Proyectado'!AQ$3,wallet_records!$O:$O,'EEFF 2026 Proyectado'!$B$1,wallet_records!$N:$N,'EEFF 2026 Proyectado'!AQ$2,wallet_records!$H:$H,'EEFF 2026 Proyectado'!$B9)</f>
        <v>0</v>
      </c>
      <c r="AR9" s="115">
        <f>SUMIFS(wallet_records!$D:$D,wallet_records!$B:$B,'EEFF 2026 Proyectado'!$C9,wallet_records!$L:$L,'EEFF 2026 Proyectado'!AR$3,wallet_records!$O:$O,'EEFF 2026 Proyectado'!$B$1,wallet_records!$N:$N,'EEFF 2026 Proyectado'!AR$2,wallet_records!$H:$H,'EEFF 2026 Proyectado'!$B9)</f>
        <v>0</v>
      </c>
      <c r="AS9" s="116">
        <v>0</v>
      </c>
      <c r="AT9" s="115">
        <f>SUMIFS(wallet_records!$D:$D,wallet_records!$B:$B,'EEFF 2026 Proyectado'!$C9,wallet_records!$L:$L,'EEFF 2026 Proyectado'!AT$3,wallet_records!$O:$O,'EEFF 2026 Proyectado'!$B$1,wallet_records!$N:$N,'EEFF 2026 Proyectado'!AT$2,wallet_records!$H:$H,'EEFF 2026 Proyectado'!$B9)</f>
        <v>0</v>
      </c>
      <c r="AU9" s="115">
        <f>SUMIFS(wallet_records!$D:$D,wallet_records!$B:$B,'EEFF 2026 Proyectado'!$C9,wallet_records!$L:$L,'EEFF 2026 Proyectado'!AU$3,wallet_records!$O:$O,'EEFF 2026 Proyectado'!$B$1,wallet_records!$N:$N,'EEFF 2026 Proyectado'!AU$2,wallet_records!$H:$H,'EEFF 2026 Proyectado'!$B9)</f>
        <v>0</v>
      </c>
      <c r="AV9" s="115">
        <f>SUMIFS(wallet_records!$D:$D,wallet_records!$B:$B,'EEFF 2026 Proyectado'!$C9,wallet_records!$L:$L,'EEFF 2026 Proyectado'!AV$3,wallet_records!$O:$O,'EEFF 2026 Proyectado'!$B$1,wallet_records!$N:$N,'EEFF 2026 Proyectado'!AV$2,wallet_records!$H:$H,'EEFF 2026 Proyectado'!$B9)</f>
        <v>0</v>
      </c>
      <c r="AW9" s="115">
        <f>SUMIFS(wallet_records!$D:$D,wallet_records!$B:$B,'EEFF 2026 Proyectado'!$C9,wallet_records!$L:$L,'EEFF 2026 Proyectado'!AW$3,wallet_records!$O:$O,'EEFF 2026 Proyectado'!$B$1,wallet_records!$N:$N,'EEFF 2026 Proyectado'!AW$2,wallet_records!$H:$H,'EEFF 2026 Proyectado'!$B9)</f>
        <v>0</v>
      </c>
      <c r="AX9" s="115">
        <f>SUMIFS(wallet_records!$D:$D,wallet_records!$B:$B,'EEFF 2026 Proyectado'!$C9,wallet_records!$L:$L,'EEFF 2026 Proyectado'!AX$3,wallet_records!$O:$O,'EEFF 2026 Proyectado'!$B$1,wallet_records!$N:$N,'EEFF 2026 Proyectado'!AX$2,wallet_records!$H:$H,'EEFF 2026 Proyectado'!$B9)</f>
        <v>0</v>
      </c>
      <c r="AY9" s="115">
        <f>SUMIFS(wallet_records!$D:$D,wallet_records!$B:$B,'EEFF 2026 Proyectado'!$C9,wallet_records!$L:$L,'EEFF 2026 Proyectado'!AY$3,wallet_records!$O:$O,'EEFF 2026 Proyectado'!$B$1,wallet_records!$N:$N,'EEFF 2026 Proyectado'!AY$2,wallet_records!$H:$H,'EEFF 2026 Proyectado'!$B9)</f>
        <v>0</v>
      </c>
      <c r="AZ9" s="116">
        <v>0</v>
      </c>
      <c r="BA9" s="115">
        <f>SUMIFS(wallet_records!$D:$D,wallet_records!$B:$B,'EEFF 2026 Proyectado'!$C9,wallet_records!$L:$L,'EEFF 2026 Proyectado'!BA$3,wallet_records!$O:$O,'EEFF 2026 Proyectado'!$B$1,wallet_records!$N:$N,'EEFF 2026 Proyectado'!BA$2,wallet_records!$H:$H,'EEFF 2026 Proyectado'!$B9)</f>
        <v>0</v>
      </c>
      <c r="BB9" s="115">
        <f>SUMIFS(wallet_records!$D:$D,wallet_records!$B:$B,'EEFF 2026 Proyectado'!$C9,wallet_records!$L:$L,'EEFF 2026 Proyectado'!BB$3,wallet_records!$O:$O,'EEFF 2026 Proyectado'!$B$1,wallet_records!$N:$N,'EEFF 2026 Proyectado'!BB$2,wallet_records!$H:$H,'EEFF 2026 Proyectado'!$B9)</f>
        <v>0</v>
      </c>
      <c r="BC9" s="115">
        <f>SUMIFS(wallet_records!$D:$D,wallet_records!$B:$B,'EEFF 2026 Proyectado'!$C9,wallet_records!$L:$L,'EEFF 2026 Proyectado'!BC$3,wallet_records!$O:$O,'EEFF 2026 Proyectado'!$B$1,wallet_records!$N:$N,'EEFF 2026 Proyectado'!BC$2,wallet_records!$H:$H,'EEFF 2026 Proyectado'!$B9)</f>
        <v>0</v>
      </c>
      <c r="BD9" s="115">
        <f>SUMIFS(wallet_records!$D:$D,wallet_records!$B:$B,'EEFF 2026 Proyectado'!$C9,wallet_records!$L:$L,'EEFF 2026 Proyectado'!BD$3,wallet_records!$O:$O,'EEFF 2026 Proyectado'!$B$1,wallet_records!$N:$N,'EEFF 2026 Proyectado'!BD$2,wallet_records!$H:$H,'EEFF 2026 Proyectado'!$B9)</f>
        <v>0</v>
      </c>
      <c r="BE9" s="115">
        <f>SUMIFS(wallet_records!$D:$D,wallet_records!$B:$B,'EEFF 2026 Proyectado'!$C9,wallet_records!$L:$L,'EEFF 2026 Proyectado'!BE$3,wallet_records!$O:$O,'EEFF 2026 Proyectado'!$B$1,wallet_records!$N:$N,'EEFF 2026 Proyectado'!BE$2,wallet_records!$H:$H,'EEFF 2026 Proyectado'!$B9)</f>
        <v>0</v>
      </c>
      <c r="BF9" s="115">
        <f>SUMIFS(wallet_records!$D:$D,wallet_records!$B:$B,'EEFF 2026 Proyectado'!$C9,wallet_records!$L:$L,'EEFF 2026 Proyectado'!BF$3,wallet_records!$O:$O,'EEFF 2026 Proyectado'!$B$1,wallet_records!$N:$N,'EEFF 2026 Proyectado'!BF$2,wallet_records!$H:$H,'EEFF 2026 Proyectado'!$B9)</f>
        <v>0</v>
      </c>
      <c r="BG9" s="116">
        <v>0</v>
      </c>
      <c r="BH9" s="115">
        <f>SUMIFS(wallet_records!$D:$D,wallet_records!$B:$B,'EEFF 2026 Proyectado'!$C9,wallet_records!$L:$L,'EEFF 2026 Proyectado'!BH$3,wallet_records!$O:$O,'EEFF 2026 Proyectado'!$B$1,wallet_records!$N:$N,'EEFF 2026 Proyectado'!BH$2,wallet_records!$H:$H,'EEFF 2026 Proyectado'!$B9)</f>
        <v>0</v>
      </c>
      <c r="BI9" s="115">
        <f>SUMIFS(wallet_records!$D:$D,wallet_records!$B:$B,'EEFF 2026 Proyectado'!$C9,wallet_records!$L:$L,'EEFF 2026 Proyectado'!BI$3,wallet_records!$O:$O,'EEFF 2026 Proyectado'!$B$1,wallet_records!$N:$N,'EEFF 2026 Proyectado'!BI$2,wallet_records!$H:$H,'EEFF 2026 Proyectado'!$B9)</f>
        <v>0</v>
      </c>
      <c r="BJ9" s="115">
        <f>SUMIFS(wallet_records!$D:$D,wallet_records!$B:$B,'EEFF 2026 Proyectado'!$C9,wallet_records!$L:$L,'EEFF 2026 Proyectado'!BJ$3,wallet_records!$O:$O,'EEFF 2026 Proyectado'!$B$1,wallet_records!$N:$N,'EEFF 2026 Proyectado'!BJ$2,wallet_records!$H:$H,'EEFF 2026 Proyectado'!$B9)</f>
        <v>0</v>
      </c>
      <c r="BK9" s="115">
        <f>SUMIFS(wallet_records!$D:$D,wallet_records!$B:$B,'EEFF 2026 Proyectado'!$C9,wallet_records!$L:$L,'EEFF 2026 Proyectado'!BK$3,wallet_records!$O:$O,'EEFF 2026 Proyectado'!$B$1,wallet_records!$N:$N,'EEFF 2026 Proyectado'!BK$2,wallet_records!$H:$H,'EEFF 2026 Proyectado'!$B9)</f>
        <v>0</v>
      </c>
      <c r="BL9" s="115">
        <f>SUMIFS(wallet_records!$D:$D,wallet_records!$B:$B,'EEFF 2026 Proyectado'!$C9,wallet_records!$L:$L,'EEFF 2026 Proyectado'!BL$3,wallet_records!$O:$O,'EEFF 2026 Proyectado'!$B$1,wallet_records!$N:$N,'EEFF 2026 Proyectado'!BL$2,wallet_records!$H:$H,'EEFF 2026 Proyectado'!$B9)</f>
        <v>0</v>
      </c>
      <c r="BM9" s="115">
        <f>SUMIFS(wallet_records!$D:$D,wallet_records!$B:$B,'EEFF 2026 Proyectado'!$C9,wallet_records!$L:$L,'EEFF 2026 Proyectado'!BM$3,wallet_records!$O:$O,'EEFF 2026 Proyectado'!$B$1,wallet_records!$N:$N,'EEFF 2026 Proyectado'!BM$2,wallet_records!$H:$H,'EEFF 2026 Proyectado'!$B9)</f>
        <v>0</v>
      </c>
      <c r="BN9" s="116">
        <v>0</v>
      </c>
      <c r="BO9" s="115">
        <f>SUMIFS(wallet_records!$D:$D,wallet_records!$B:$B,'EEFF 2026 Proyectado'!$C9,wallet_records!$L:$L,'EEFF 2026 Proyectado'!BO$3,wallet_records!$O:$O,'EEFF 2026 Proyectado'!$B$1,wallet_records!$N:$N,'EEFF 2026 Proyectado'!BO$2,wallet_records!$H:$H,'EEFF 2026 Proyectado'!$B9)</f>
        <v>0</v>
      </c>
      <c r="BP9" s="115">
        <f>SUMIFS(wallet_records!$D:$D,wallet_records!$B:$B,'EEFF 2026 Proyectado'!$C9,wallet_records!$L:$L,'EEFF 2026 Proyectado'!BP$3,wallet_records!$O:$O,'EEFF 2026 Proyectado'!$B$1,wallet_records!$N:$N,'EEFF 2026 Proyectado'!BP$2,wallet_records!$H:$H,'EEFF 2026 Proyectado'!$B9)</f>
        <v>0</v>
      </c>
      <c r="BQ9" s="115">
        <f>SUMIFS(wallet_records!$D:$D,wallet_records!$B:$B,'EEFF 2026 Proyectado'!$C9,wallet_records!$L:$L,'EEFF 2026 Proyectado'!BQ$3,wallet_records!$O:$O,'EEFF 2026 Proyectado'!$B$1,wallet_records!$N:$N,'EEFF 2026 Proyectado'!BQ$2,wallet_records!$H:$H,'EEFF 2026 Proyectado'!$B9)</f>
        <v>0</v>
      </c>
      <c r="BR9" s="115">
        <f>SUMIFS(wallet_records!$D:$D,wallet_records!$B:$B,'EEFF 2026 Proyectado'!$C9,wallet_records!$L:$L,'EEFF 2026 Proyectado'!BR$3,wallet_records!$O:$O,'EEFF 2026 Proyectado'!$B$1,wallet_records!$N:$N,'EEFF 2026 Proyectado'!BR$2,wallet_records!$H:$H,'EEFF 2026 Proyectado'!$B9)</f>
        <v>0</v>
      </c>
      <c r="BS9" s="115">
        <f>SUMIFS(wallet_records!$D:$D,wallet_records!$B:$B,'EEFF 2026 Proyectado'!$C9,wallet_records!$L:$L,'EEFF 2026 Proyectado'!BS$3,wallet_records!$O:$O,'EEFF 2026 Proyectado'!$B$1,wallet_records!$N:$N,'EEFF 2026 Proyectado'!BS$2,wallet_records!$H:$H,'EEFF 2026 Proyectado'!$B9)</f>
        <v>0</v>
      </c>
      <c r="BT9" s="115">
        <f>SUMIFS(wallet_records!$D:$D,wallet_records!$B:$B,'EEFF 2026 Proyectado'!$C9,wallet_records!$L:$L,'EEFF 2026 Proyectado'!BT$3,wallet_records!$O:$O,'EEFF 2026 Proyectado'!$B$1,wallet_records!$N:$N,'EEFF 2026 Proyectado'!BT$2,wallet_records!$H:$H,'EEFF 2026 Proyectado'!$B9)</f>
        <v>0</v>
      </c>
      <c r="BU9" s="116">
        <v>0</v>
      </c>
      <c r="BV9" s="115">
        <f>SUMIFS(wallet_records!$D:$D,wallet_records!$B:$B,'EEFF 2026 Proyectado'!$C9,wallet_records!$L:$L,'EEFF 2026 Proyectado'!BV$3,wallet_records!$O:$O,'EEFF 2026 Proyectado'!$B$1,wallet_records!$N:$N,'EEFF 2026 Proyectado'!BV$2,wallet_records!$H:$H,'EEFF 2026 Proyectado'!$B9)</f>
        <v>0</v>
      </c>
      <c r="BW9" s="115">
        <f>SUMIFS(wallet_records!$D:$D,wallet_records!$B:$B,'EEFF 2026 Proyectado'!$C9,wallet_records!$L:$L,'EEFF 2026 Proyectado'!BW$3,wallet_records!$O:$O,'EEFF 2026 Proyectado'!$B$1,wallet_records!$N:$N,'EEFF 2026 Proyectado'!BW$2,wallet_records!$H:$H,'EEFF 2026 Proyectado'!$B9)</f>
        <v>0</v>
      </c>
      <c r="BX9" s="115">
        <f>SUMIFS(wallet_records!$D:$D,wallet_records!$B:$B,'EEFF 2026 Proyectado'!$C9,wallet_records!$L:$L,'EEFF 2026 Proyectado'!BX$3,wallet_records!$O:$O,'EEFF 2026 Proyectado'!$B$1,wallet_records!$N:$N,'EEFF 2026 Proyectado'!BX$2,wallet_records!$H:$H,'EEFF 2026 Proyectado'!$B9)</f>
        <v>0</v>
      </c>
      <c r="BY9" s="115">
        <f>SUMIFS(wallet_records!$D:$D,wallet_records!$B:$B,'EEFF 2026 Proyectado'!$C9,wallet_records!$L:$L,'EEFF 2026 Proyectado'!BY$3,wallet_records!$O:$O,'EEFF 2026 Proyectado'!$B$1,wallet_records!$N:$N,'EEFF 2026 Proyectado'!BY$2,wallet_records!$H:$H,'EEFF 2026 Proyectado'!$B9)</f>
        <v>0</v>
      </c>
      <c r="BZ9" s="115">
        <f>SUMIFS(wallet_records!$D:$D,wallet_records!$B:$B,'EEFF 2026 Proyectado'!$C9,wallet_records!$L:$L,'EEFF 2026 Proyectado'!BZ$3,wallet_records!$O:$O,'EEFF 2026 Proyectado'!$B$1,wallet_records!$N:$N,'EEFF 2026 Proyectado'!BZ$2,wallet_records!$H:$H,'EEFF 2026 Proyectado'!$B9)</f>
        <v>0</v>
      </c>
      <c r="CA9" s="115">
        <f>SUMIFS(wallet_records!$D:$D,wallet_records!$B:$B,'EEFF 2026 Proyectado'!$C9,wallet_records!$L:$L,'EEFF 2026 Proyectado'!CA$3,wallet_records!$O:$O,'EEFF 2026 Proyectado'!$B$1,wallet_records!$N:$N,'EEFF 2026 Proyectado'!CA$2,wallet_records!$H:$H,'EEFF 2026 Proyectado'!$B9)</f>
        <v>0</v>
      </c>
      <c r="CB9" s="116">
        <v>0</v>
      </c>
      <c r="CC9" s="115">
        <f>SUMIFS(wallet_records!$D:$D,wallet_records!$B:$B,'EEFF 2026 Proyectado'!$C9,wallet_records!$L:$L,'EEFF 2026 Proyectado'!CC$3,wallet_records!$O:$O,'EEFF 2026 Proyectado'!$B$1,wallet_records!$N:$N,'EEFF 2026 Proyectado'!CC$2,wallet_records!$H:$H,'EEFF 2026 Proyectado'!$B9)</f>
        <v>0</v>
      </c>
      <c r="CD9" s="115">
        <f>SUMIFS(wallet_records!$D:$D,wallet_records!$B:$B,'EEFF 2026 Proyectado'!$C9,wallet_records!$L:$L,'EEFF 2026 Proyectado'!CD$3,wallet_records!$O:$O,'EEFF 2026 Proyectado'!$B$1,wallet_records!$N:$N,'EEFF 2026 Proyectado'!CD$2,wallet_records!$H:$H,'EEFF 2026 Proyectado'!$B9)</f>
        <v>0</v>
      </c>
      <c r="CE9" s="115">
        <f>SUMIFS(wallet_records!$D:$D,wallet_records!$B:$B,'EEFF 2026 Proyectado'!$C9,wallet_records!$L:$L,'EEFF 2026 Proyectado'!CE$3,wallet_records!$O:$O,'EEFF 2026 Proyectado'!$B$1,wallet_records!$N:$N,'EEFF 2026 Proyectado'!CE$2,wallet_records!$H:$H,'EEFF 2026 Proyectado'!$B9)</f>
        <v>0</v>
      </c>
      <c r="CF9" s="115">
        <f>SUMIFS(wallet_records!$D:$D,wallet_records!$B:$B,'EEFF 2026 Proyectado'!$C9,wallet_records!$L:$L,'EEFF 2026 Proyectado'!CF$3,wallet_records!$O:$O,'EEFF 2026 Proyectado'!$B$1,wallet_records!$N:$N,'EEFF 2026 Proyectado'!CF$2,wallet_records!$H:$H,'EEFF 2026 Proyectado'!$B9)</f>
        <v>0</v>
      </c>
      <c r="CG9" s="115">
        <f>SUMIFS(wallet_records!$D:$D,wallet_records!$B:$B,'EEFF 2026 Proyectado'!$C9,wallet_records!$L:$L,'EEFF 2026 Proyectado'!CG$3,wallet_records!$O:$O,'EEFF 2026 Proyectado'!$B$1,wallet_records!$N:$N,'EEFF 2026 Proyectado'!CG$2,wallet_records!$H:$H,'EEFF 2026 Proyectado'!$B9)</f>
        <v>0</v>
      </c>
      <c r="CH9" s="115">
        <f>SUMIFS(wallet_records!$D:$D,wallet_records!$B:$B,'EEFF 2026 Proyectado'!$C9,wallet_records!$L:$L,'EEFF 2026 Proyectado'!CH$3,wallet_records!$O:$O,'EEFF 2026 Proyectado'!$B$1,wallet_records!$N:$N,'EEFF 2026 Proyectado'!CH$2,wallet_records!$H:$H,'EEFF 2026 Proyectado'!$B9)</f>
        <v>0</v>
      </c>
      <c r="CI9" s="116">
        <v>0</v>
      </c>
      <c r="CJ9" s="115">
        <f>SUMIFS(wallet_records!$D:$D,wallet_records!$B:$B,'EEFF 2026 Proyectado'!$C9,wallet_records!$L:$L,'EEFF 2026 Proyectado'!CJ$3,wallet_records!$O:$O,'EEFF 2026 Proyectado'!$B$1,wallet_records!$H:$H,'EEFF 2026 Proyectado'!$B9)</f>
        <v>0</v>
      </c>
      <c r="CK9" s="115">
        <f>SUMIFS(wallet_records!$D:$D,wallet_records!$B:$B,'EEFF 2026 Proyectado'!$C9,wallet_records!$L:$L,'EEFF 2026 Proyectado'!CK$3,wallet_records!$O:$O,'EEFF 2026 Proyectado'!$B$1,wallet_records!$H:$H,'EEFF 2026 Proyectado'!$B9)</f>
        <v>0</v>
      </c>
      <c r="CL9" s="115">
        <f>SUMIFS(wallet_records!$D:$D,wallet_records!$B:$B,'EEFF 2026 Proyectado'!$C9,wallet_records!$L:$L,'EEFF 2026 Proyectado'!CL$3,wallet_records!$O:$O,'EEFF 2026 Proyectado'!$B$1,wallet_records!$H:$H,'EEFF 2026 Proyectado'!$B9)</f>
        <v>0</v>
      </c>
      <c r="CM9" s="115">
        <f>SUMIFS(wallet_records!$D:$D,wallet_records!$B:$B,'EEFF 2026 Proyectado'!$C9,wallet_records!$L:$L,'EEFF 2026 Proyectado'!CM$3,wallet_records!$O:$O,'EEFF 2026 Proyectado'!$B$1,wallet_records!$H:$H,'EEFF 2026 Proyectado'!$B9)</f>
        <v>0</v>
      </c>
      <c r="CN9" s="115">
        <f>SUMIFS(wallet_records!$D:$D,wallet_records!$B:$B,'EEFF 2026 Proyectado'!$C9,wallet_records!$L:$L,'EEFF 2026 Proyectado'!CN$3,wallet_records!$O:$O,'EEFF 2026 Proyectado'!$B$1,wallet_records!$H:$H,'EEFF 2026 Proyectado'!$B9)</f>
        <v>0</v>
      </c>
      <c r="CO9" s="115">
        <f>SUMIFS(wallet_records!$D:$D,wallet_records!$B:$B,'EEFF 2026 Proyectado'!$C9,wallet_records!$L:$L,'EEFF 2026 Proyectado'!CO$3,wallet_records!$O:$O,'EEFF 2026 Proyectado'!$B$1,wallet_records!$H:$H,'EEFF 2026 Proyectado'!$B9)</f>
        <v>0</v>
      </c>
      <c r="CP9" s="116"/>
      <c r="CQ9" s="107"/>
      <c r="CR9" s="118">
        <f t="shared" si="0"/>
        <v>0</v>
      </c>
      <c r="CS9" s="118">
        <f t="shared" si="1"/>
        <v>0</v>
      </c>
      <c r="CT9" s="118">
        <f t="shared" si="2"/>
        <v>0</v>
      </c>
      <c r="CU9" s="118">
        <f t="shared" si="3"/>
        <v>0</v>
      </c>
      <c r="CV9" s="118">
        <f t="shared" si="4"/>
        <v>0</v>
      </c>
      <c r="CW9" s="118">
        <f t="shared" si="5"/>
        <v>0</v>
      </c>
      <c r="CX9" s="118">
        <f t="shared" si="6"/>
        <v>0</v>
      </c>
      <c r="CY9" s="118">
        <f t="shared" si="7"/>
        <v>0</v>
      </c>
      <c r="CZ9" s="118">
        <f t="shared" si="8"/>
        <v>0</v>
      </c>
      <c r="DA9" s="118">
        <f t="shared" si="9"/>
        <v>0</v>
      </c>
      <c r="DB9" s="118">
        <f t="shared" si="10"/>
        <v>0</v>
      </c>
      <c r="DC9" s="118">
        <f t="shared" si="11"/>
        <v>0</v>
      </c>
    </row>
    <row r="10" spans="2:120" x14ac:dyDescent="0.2">
      <c r="B10" s="107" t="s">
        <v>118</v>
      </c>
      <c r="C10" s="191" t="s">
        <v>114</v>
      </c>
      <c r="D10" s="115">
        <f>SUMIFS(wallet_records!$D:$D,wallet_records!$B:$B,'EEFF 2026 Proyectado'!$C10,wallet_records!$L:$L,'EEFF 2026 Proyectado'!D$3,wallet_records!$O:$O,'EEFF 2026 Proyectado'!$B$1,wallet_records!$N:$N,'EEFF 2026 Proyectado'!D$2,wallet_records!$H:$H,'EEFF 2026 Proyectado'!$B10)</f>
        <v>0</v>
      </c>
      <c r="E10" s="115">
        <f>SUMIFS(wallet_records!$D:$D,wallet_records!$B:$B,'EEFF 2026 Proyectado'!$C10,wallet_records!$L:$L,'EEFF 2026 Proyectado'!E$3,wallet_records!$O:$O,'EEFF 2026 Proyectado'!$B$1,wallet_records!$N:$N,'EEFF 2026 Proyectado'!E$2,wallet_records!$H:$H,'EEFF 2026 Proyectado'!$B10)</f>
        <v>0</v>
      </c>
      <c r="F10" s="115">
        <f>SUMIFS(wallet_records!$D:$D,wallet_records!$B:$B,'EEFF 2026 Proyectado'!$C10,wallet_records!$L:$L,'EEFF 2026 Proyectado'!F$3,wallet_records!$O:$O,'EEFF 2026 Proyectado'!$B$1,wallet_records!$N:$N,'EEFF 2026 Proyectado'!F$2,wallet_records!$H:$H,'EEFF 2026 Proyectado'!$B10)</f>
        <v>0</v>
      </c>
      <c r="G10" s="115">
        <f>SUMIFS(wallet_records!$D:$D,wallet_records!$B:$B,'EEFF 2026 Proyectado'!$C10,wallet_records!$L:$L,'EEFF 2026 Proyectado'!G$3,wallet_records!$O:$O,'EEFF 2026 Proyectado'!$B$1,wallet_records!$N:$N,'EEFF 2026 Proyectado'!G$2,wallet_records!$H:$H,'EEFF 2026 Proyectado'!$B10)</f>
        <v>5400</v>
      </c>
      <c r="H10" s="115">
        <f>SUMIFS(wallet_records!$D:$D,wallet_records!$B:$B,'EEFF 2026 Proyectado'!$C10,wallet_records!$L:$L,'EEFF 2026 Proyectado'!H$3,wallet_records!$O:$O,'EEFF 2026 Proyectado'!$B$1,wallet_records!$N:$N,'EEFF 2026 Proyectado'!H$2,wallet_records!$H:$H,'EEFF 2026 Proyectado'!$B10)</f>
        <v>0</v>
      </c>
      <c r="I10" s="115">
        <f>SUMIFS(wallet_records!$D:$D,wallet_records!$B:$B,'EEFF 2026 Proyectado'!$C10,wallet_records!$L:$L,'EEFF 2026 Proyectado'!I$3,wallet_records!$O:$O,'EEFF 2026 Proyectado'!$B$1,wallet_records!$N:$N,'EEFF 2026 Proyectado'!I$2,wallet_records!$H:$H,'EEFF 2026 Proyectado'!$B10)</f>
        <v>0</v>
      </c>
      <c r="J10" s="116">
        <v>5400</v>
      </c>
      <c r="K10" s="115">
        <f>SUMIFS(wallet_records!$D:$D,wallet_records!$B:$B,'EEFF 2026 Proyectado'!$C10,wallet_records!$L:$L,'EEFF 2026 Proyectado'!K$3,wallet_records!$O:$O,'EEFF 2026 Proyectado'!$B$1,wallet_records!$N:$N,'EEFF 2026 Proyectado'!K$2,wallet_records!$H:$H,'EEFF 2026 Proyectado'!$B10)</f>
        <v>666250</v>
      </c>
      <c r="L10" s="115">
        <f>SUMIFS(wallet_records!$D:$D,wallet_records!$B:$B,'EEFF 2026 Proyectado'!$C10,wallet_records!$L:$L,'EEFF 2026 Proyectado'!L$3,wallet_records!$O:$O,'EEFF 2026 Proyectado'!$B$1,wallet_records!$N:$N,'EEFF 2026 Proyectado'!L$2,wallet_records!$H:$H,'EEFF 2026 Proyectado'!$B10)</f>
        <v>0</v>
      </c>
      <c r="M10" s="115">
        <f>SUMIFS(wallet_records!$D:$D,wallet_records!$B:$B,'EEFF 2026 Proyectado'!$C10,wallet_records!$L:$L,'EEFF 2026 Proyectado'!M$3,wallet_records!$O:$O,'EEFF 2026 Proyectado'!$B$1,wallet_records!$N:$N,'EEFF 2026 Proyectado'!M$2,wallet_records!$H:$H,'EEFF 2026 Proyectado'!$B10)</f>
        <v>0</v>
      </c>
      <c r="N10" s="115">
        <f>SUMIFS(wallet_records!$D:$D,wallet_records!$B:$B,'EEFF 2026 Proyectado'!$C10,wallet_records!$L:$L,'EEFF 2026 Proyectado'!N$3,wallet_records!$O:$O,'EEFF 2026 Proyectado'!$B$1,wallet_records!$N:$N,'EEFF 2026 Proyectado'!N$2,wallet_records!$H:$H,'EEFF 2026 Proyectado'!$B10)</f>
        <v>0</v>
      </c>
      <c r="O10" s="115">
        <f>SUMIFS(wallet_records!$D:$D,wallet_records!$B:$B,'EEFF 2026 Proyectado'!$C10,wallet_records!$L:$L,'EEFF 2026 Proyectado'!O$3,wallet_records!$O:$O,'EEFF 2026 Proyectado'!$B$1,wallet_records!$N:$N,'EEFF 2026 Proyectado'!O$2,wallet_records!$H:$H,'EEFF 2026 Proyectado'!$B10)</f>
        <v>0</v>
      </c>
      <c r="P10" s="115">
        <f>SUMIFS(wallet_records!$D:$D,wallet_records!$B:$B,'EEFF 2026 Proyectado'!$C10,wallet_records!$L:$L,'EEFF 2026 Proyectado'!P$3,wallet_records!$O:$O,'EEFF 2026 Proyectado'!$B$1,wallet_records!$N:$N,'EEFF 2026 Proyectado'!P$2,wallet_records!$H:$H,'EEFF 2026 Proyectado'!$B10)</f>
        <v>0</v>
      </c>
      <c r="Q10" s="116">
        <f t="shared" si="14"/>
        <v>666250</v>
      </c>
      <c r="R10" s="115">
        <f>SUMIFS(wallet_records!$D:$D,wallet_records!$B:$B,'EEFF 2026 Proyectado'!$C10,wallet_records!$L:$L,'EEFF 2026 Proyectado'!R$3,wallet_records!$O:$O,'EEFF 2026 Proyectado'!$B$1,wallet_records!$N:$N,'EEFF 2026 Proyectado'!R$2,wallet_records!$H:$H,'EEFF 2026 Proyectado'!$B10)</f>
        <v>0</v>
      </c>
      <c r="S10" s="115">
        <f>SUMIFS(wallet_records!$D:$D,wallet_records!$B:$B,'EEFF 2026 Proyectado'!$C10,wallet_records!$L:$L,'EEFF 2026 Proyectado'!S$3,wallet_records!$O:$O,'EEFF 2026 Proyectado'!$B$1,wallet_records!$N:$N,'EEFF 2026 Proyectado'!S$2,wallet_records!$H:$H,'EEFF 2026 Proyectado'!$B10)</f>
        <v>0</v>
      </c>
      <c r="T10" s="115">
        <f>SUMIFS(wallet_records!$D:$D,wallet_records!$B:$B,'EEFF 2026 Proyectado'!$C10,wallet_records!$L:$L,'EEFF 2026 Proyectado'!T$3,wallet_records!$O:$O,'EEFF 2026 Proyectado'!$B$1,wallet_records!$N:$N,'EEFF 2026 Proyectado'!T$2,wallet_records!$H:$H,'EEFF 2026 Proyectado'!$B10)</f>
        <v>0</v>
      </c>
      <c r="U10" s="115">
        <f>SUMIFS(wallet_records!$D:$D,wallet_records!$B:$B,'EEFF 2026 Proyectado'!$C10,wallet_records!$L:$L,'EEFF 2026 Proyectado'!U$3,wallet_records!$O:$O,'EEFF 2026 Proyectado'!$B$1,wallet_records!$N:$N,'EEFF 2026 Proyectado'!U$2,wallet_records!$H:$H,'EEFF 2026 Proyectado'!$B10)</f>
        <v>0</v>
      </c>
      <c r="V10" s="115">
        <f>SUMIFS(wallet_records!$D:$D,wallet_records!$B:$B,'EEFF 2026 Proyectado'!$C10,wallet_records!$L:$L,'EEFF 2026 Proyectado'!V$3,wallet_records!$O:$O,'EEFF 2026 Proyectado'!$B$1,wallet_records!$N:$N,'EEFF 2026 Proyectado'!V$2,wallet_records!$H:$H,'EEFF 2026 Proyectado'!$B10)</f>
        <v>0</v>
      </c>
      <c r="W10" s="115">
        <f>SUMIFS(wallet_records!$D:$D,wallet_records!$B:$B,'EEFF 2026 Proyectado'!$C10,wallet_records!$L:$L,'EEFF 2026 Proyectado'!W$3,wallet_records!$O:$O,'EEFF 2026 Proyectado'!$B$1,wallet_records!$N:$N,'EEFF 2026 Proyectado'!W$2,wallet_records!$H:$H,'EEFF 2026 Proyectado'!$B10)</f>
        <v>0</v>
      </c>
      <c r="X10" s="116">
        <v>200000</v>
      </c>
      <c r="Y10" s="115">
        <f>SUMIFS(wallet_records!$D:$D,wallet_records!$B:$B,'EEFF 2026 Proyectado'!$C10,wallet_records!$L:$L,'EEFF 2026 Proyectado'!Y$3,wallet_records!$O:$O,'EEFF 2026 Proyectado'!$B$1,wallet_records!$N:$N,'EEFF 2026 Proyectado'!Y$2,wallet_records!$H:$H,'EEFF 2026 Proyectado'!$B10)</f>
        <v>0</v>
      </c>
      <c r="Z10" s="115">
        <f>SUMIFS(wallet_records!$D:$D,wallet_records!$B:$B,'EEFF 2026 Proyectado'!$C10,wallet_records!$L:$L,'EEFF 2026 Proyectado'!Z$3,wallet_records!$O:$O,'EEFF 2026 Proyectado'!$B$1,wallet_records!$N:$N,'EEFF 2026 Proyectado'!Z$2,wallet_records!$H:$H,'EEFF 2026 Proyectado'!$B10)</f>
        <v>0</v>
      </c>
      <c r="AA10" s="115">
        <f>SUMIFS(wallet_records!$D:$D,wallet_records!$B:$B,'EEFF 2026 Proyectado'!$C10,wallet_records!$L:$L,'EEFF 2026 Proyectado'!AA$3,wallet_records!$O:$O,'EEFF 2026 Proyectado'!$B$1,wallet_records!$N:$N,'EEFF 2026 Proyectado'!AA$2,wallet_records!$H:$H,'EEFF 2026 Proyectado'!$B10)</f>
        <v>0</v>
      </c>
      <c r="AB10" s="115">
        <f>SUMIFS(wallet_records!$D:$D,wallet_records!$B:$B,'EEFF 2026 Proyectado'!$C10,wallet_records!$L:$L,'EEFF 2026 Proyectado'!AB$3,wallet_records!$O:$O,'EEFF 2026 Proyectado'!$B$1,wallet_records!$N:$N,'EEFF 2026 Proyectado'!AB$2,wallet_records!$H:$H,'EEFF 2026 Proyectado'!$B10)</f>
        <v>0</v>
      </c>
      <c r="AC10" s="115">
        <f>SUMIFS(wallet_records!$D:$D,wallet_records!$B:$B,'EEFF 2026 Proyectado'!$C10,wallet_records!$L:$L,'EEFF 2026 Proyectado'!AC$3,wallet_records!$O:$O,'EEFF 2026 Proyectado'!$B$1,wallet_records!$N:$N,'EEFF 2026 Proyectado'!AC$2,wallet_records!$H:$H,'EEFF 2026 Proyectado'!$B10)</f>
        <v>0</v>
      </c>
      <c r="AD10" s="115">
        <f>SUMIFS(wallet_records!$D:$D,wallet_records!$B:$B,'EEFF 2026 Proyectado'!$C10,wallet_records!$L:$L,'EEFF 2026 Proyectado'!AD$3,wallet_records!$O:$O,'EEFF 2026 Proyectado'!$B$1,wallet_records!$N:$N,'EEFF 2026 Proyectado'!AD$2,wallet_records!$H:$H,'EEFF 2026 Proyectado'!$B10)</f>
        <v>0</v>
      </c>
      <c r="AE10" s="116">
        <v>200000</v>
      </c>
      <c r="AF10" s="115">
        <f>SUMIFS(wallet_records!$D:$D,wallet_records!$B:$B,'EEFF 2026 Proyectado'!$C10,wallet_records!$L:$L,'EEFF 2026 Proyectado'!AF$3,wallet_records!$O:$O,'EEFF 2026 Proyectado'!$B$1,wallet_records!$N:$N,'EEFF 2026 Proyectado'!AF$2,wallet_records!$H:$H,'EEFF 2026 Proyectado'!$B10)</f>
        <v>0</v>
      </c>
      <c r="AG10" s="115">
        <f>SUMIFS(wallet_records!$D:$D,wallet_records!$B:$B,'EEFF 2026 Proyectado'!$C10,wallet_records!$L:$L,'EEFF 2026 Proyectado'!AG$3,wallet_records!$O:$O,'EEFF 2026 Proyectado'!$B$1,wallet_records!$N:$N,'EEFF 2026 Proyectado'!AG$2,wallet_records!$H:$H,'EEFF 2026 Proyectado'!$B10)</f>
        <v>0</v>
      </c>
      <c r="AH10" s="115">
        <f>SUMIFS(wallet_records!$D:$D,wallet_records!$B:$B,'EEFF 2026 Proyectado'!$C10,wallet_records!$L:$L,'EEFF 2026 Proyectado'!AH$3,wallet_records!$O:$O,'EEFF 2026 Proyectado'!$B$1,wallet_records!$N:$N,'EEFF 2026 Proyectado'!AH$2,wallet_records!$H:$H,'EEFF 2026 Proyectado'!$B10)</f>
        <v>0</v>
      </c>
      <c r="AI10" s="115">
        <f>SUMIFS(wallet_records!$D:$D,wallet_records!$B:$B,'EEFF 2026 Proyectado'!$C10,wallet_records!$L:$L,'EEFF 2026 Proyectado'!AI$3,wallet_records!$O:$O,'EEFF 2026 Proyectado'!$B$1,wallet_records!$N:$N,'EEFF 2026 Proyectado'!AI$2,wallet_records!$H:$H,'EEFF 2026 Proyectado'!$B10)</f>
        <v>0</v>
      </c>
      <c r="AJ10" s="115">
        <f>SUMIFS(wallet_records!$D:$D,wallet_records!$B:$B,'EEFF 2026 Proyectado'!$C10,wallet_records!$L:$L,'EEFF 2026 Proyectado'!AJ$3,wallet_records!$O:$O,'EEFF 2026 Proyectado'!$B$1,wallet_records!$N:$N,'EEFF 2026 Proyectado'!AJ$2,wallet_records!$H:$H,'EEFF 2026 Proyectado'!$B10)</f>
        <v>0</v>
      </c>
      <c r="AK10" s="115">
        <f>SUMIFS(wallet_records!$D:$D,wallet_records!$B:$B,'EEFF 2026 Proyectado'!$C10,wallet_records!$L:$L,'EEFF 2026 Proyectado'!AK$3,wallet_records!$O:$O,'EEFF 2026 Proyectado'!$B$1,wallet_records!$N:$N,'EEFF 2026 Proyectado'!AK$2,wallet_records!$H:$H,'EEFF 2026 Proyectado'!$B10)</f>
        <v>0</v>
      </c>
      <c r="AL10" s="116">
        <v>200000</v>
      </c>
      <c r="AM10" s="115">
        <f>SUMIFS(wallet_records!$D:$D,wallet_records!$B:$B,'EEFF 2026 Proyectado'!$C10,wallet_records!$L:$L,'EEFF 2026 Proyectado'!AM$3,wallet_records!$O:$O,'EEFF 2026 Proyectado'!$B$1,wallet_records!$N:$N,'EEFF 2026 Proyectado'!AM$2,wallet_records!$H:$H,'EEFF 2026 Proyectado'!$B10)</f>
        <v>0</v>
      </c>
      <c r="AN10" s="115">
        <f>SUMIFS(wallet_records!$D:$D,wallet_records!$B:$B,'EEFF 2026 Proyectado'!$C10,wallet_records!$L:$L,'EEFF 2026 Proyectado'!AN$3,wallet_records!$O:$O,'EEFF 2026 Proyectado'!$B$1,wallet_records!$N:$N,'EEFF 2026 Proyectado'!AN$2,wallet_records!$H:$H,'EEFF 2026 Proyectado'!$B10)</f>
        <v>0</v>
      </c>
      <c r="AO10" s="115">
        <f>SUMIFS(wallet_records!$D:$D,wallet_records!$B:$B,'EEFF 2026 Proyectado'!$C10,wallet_records!$L:$L,'EEFF 2026 Proyectado'!AO$3,wallet_records!$O:$O,'EEFF 2026 Proyectado'!$B$1,wallet_records!$N:$N,'EEFF 2026 Proyectado'!AO$2,wallet_records!$H:$H,'EEFF 2026 Proyectado'!$B10)</f>
        <v>0</v>
      </c>
      <c r="AP10" s="115">
        <f>SUMIFS(wallet_records!$D:$D,wallet_records!$B:$B,'EEFF 2026 Proyectado'!$C10,wallet_records!$L:$L,'EEFF 2026 Proyectado'!AP$3,wallet_records!$O:$O,'EEFF 2026 Proyectado'!$B$1,wallet_records!$N:$N,'EEFF 2026 Proyectado'!AP$2,wallet_records!$H:$H,'EEFF 2026 Proyectado'!$B10)</f>
        <v>0</v>
      </c>
      <c r="AQ10" s="115">
        <f>SUMIFS(wallet_records!$D:$D,wallet_records!$B:$B,'EEFF 2026 Proyectado'!$C10,wallet_records!$L:$L,'EEFF 2026 Proyectado'!AQ$3,wallet_records!$O:$O,'EEFF 2026 Proyectado'!$B$1,wallet_records!$N:$N,'EEFF 2026 Proyectado'!AQ$2,wallet_records!$H:$H,'EEFF 2026 Proyectado'!$B10)</f>
        <v>0</v>
      </c>
      <c r="AR10" s="115">
        <f>SUMIFS(wallet_records!$D:$D,wallet_records!$B:$B,'EEFF 2026 Proyectado'!$C10,wallet_records!$L:$L,'EEFF 2026 Proyectado'!AR$3,wallet_records!$O:$O,'EEFF 2026 Proyectado'!$B$1,wallet_records!$N:$N,'EEFF 2026 Proyectado'!AR$2,wallet_records!$H:$H,'EEFF 2026 Proyectado'!$B10)</f>
        <v>0</v>
      </c>
      <c r="AS10" s="116">
        <v>200000</v>
      </c>
      <c r="AT10" s="115">
        <f>SUMIFS(wallet_records!$D:$D,wallet_records!$B:$B,'EEFF 2026 Proyectado'!$C10,wallet_records!$L:$L,'EEFF 2026 Proyectado'!AT$3,wallet_records!$O:$O,'EEFF 2026 Proyectado'!$B$1,wallet_records!$N:$N,'EEFF 2026 Proyectado'!AT$2,wallet_records!$H:$H,'EEFF 2026 Proyectado'!$B10)</f>
        <v>0</v>
      </c>
      <c r="AU10" s="115">
        <f>SUMIFS(wallet_records!$D:$D,wallet_records!$B:$B,'EEFF 2026 Proyectado'!$C10,wallet_records!$L:$L,'EEFF 2026 Proyectado'!AU$3,wallet_records!$O:$O,'EEFF 2026 Proyectado'!$B$1,wallet_records!$N:$N,'EEFF 2026 Proyectado'!AU$2,wallet_records!$H:$H,'EEFF 2026 Proyectado'!$B10)</f>
        <v>0</v>
      </c>
      <c r="AV10" s="115">
        <f>SUMIFS(wallet_records!$D:$D,wallet_records!$B:$B,'EEFF 2026 Proyectado'!$C10,wallet_records!$L:$L,'EEFF 2026 Proyectado'!AV$3,wallet_records!$O:$O,'EEFF 2026 Proyectado'!$B$1,wallet_records!$N:$N,'EEFF 2026 Proyectado'!AV$2,wallet_records!$H:$H,'EEFF 2026 Proyectado'!$B10)</f>
        <v>0</v>
      </c>
      <c r="AW10" s="115">
        <f>SUMIFS(wallet_records!$D:$D,wallet_records!$B:$B,'EEFF 2026 Proyectado'!$C10,wallet_records!$L:$L,'EEFF 2026 Proyectado'!AW$3,wallet_records!$O:$O,'EEFF 2026 Proyectado'!$B$1,wallet_records!$N:$N,'EEFF 2026 Proyectado'!AW$2,wallet_records!$H:$H,'EEFF 2026 Proyectado'!$B10)</f>
        <v>0</v>
      </c>
      <c r="AX10" s="115">
        <f>SUMIFS(wallet_records!$D:$D,wallet_records!$B:$B,'EEFF 2026 Proyectado'!$C10,wallet_records!$L:$L,'EEFF 2026 Proyectado'!AX$3,wallet_records!$O:$O,'EEFF 2026 Proyectado'!$B$1,wallet_records!$N:$N,'EEFF 2026 Proyectado'!AX$2,wallet_records!$H:$H,'EEFF 2026 Proyectado'!$B10)</f>
        <v>0</v>
      </c>
      <c r="AY10" s="115">
        <f>SUMIFS(wallet_records!$D:$D,wallet_records!$B:$B,'EEFF 2026 Proyectado'!$C10,wallet_records!$L:$L,'EEFF 2026 Proyectado'!AY$3,wallet_records!$O:$O,'EEFF 2026 Proyectado'!$B$1,wallet_records!$N:$N,'EEFF 2026 Proyectado'!AY$2,wallet_records!$H:$H,'EEFF 2026 Proyectado'!$B10)</f>
        <v>0</v>
      </c>
      <c r="AZ10" s="116">
        <v>200000</v>
      </c>
      <c r="BA10" s="115">
        <f>SUMIFS(wallet_records!$D:$D,wallet_records!$B:$B,'EEFF 2026 Proyectado'!$C10,wallet_records!$L:$L,'EEFF 2026 Proyectado'!BA$3,wallet_records!$O:$O,'EEFF 2026 Proyectado'!$B$1,wallet_records!$N:$N,'EEFF 2026 Proyectado'!BA$2,wallet_records!$H:$H,'EEFF 2026 Proyectado'!$B10)</f>
        <v>0</v>
      </c>
      <c r="BB10" s="115">
        <f>SUMIFS(wallet_records!$D:$D,wallet_records!$B:$B,'EEFF 2026 Proyectado'!$C10,wallet_records!$L:$L,'EEFF 2026 Proyectado'!BB$3,wallet_records!$O:$O,'EEFF 2026 Proyectado'!$B$1,wallet_records!$N:$N,'EEFF 2026 Proyectado'!BB$2,wallet_records!$H:$H,'EEFF 2026 Proyectado'!$B10)</f>
        <v>0</v>
      </c>
      <c r="BC10" s="115">
        <f>SUMIFS(wallet_records!$D:$D,wallet_records!$B:$B,'EEFF 2026 Proyectado'!$C10,wallet_records!$L:$L,'EEFF 2026 Proyectado'!BC$3,wallet_records!$O:$O,'EEFF 2026 Proyectado'!$B$1,wallet_records!$N:$N,'EEFF 2026 Proyectado'!BC$2,wallet_records!$H:$H,'EEFF 2026 Proyectado'!$B10)</f>
        <v>0</v>
      </c>
      <c r="BD10" s="115">
        <f>SUMIFS(wallet_records!$D:$D,wallet_records!$B:$B,'EEFF 2026 Proyectado'!$C10,wallet_records!$L:$L,'EEFF 2026 Proyectado'!BD$3,wallet_records!$O:$O,'EEFF 2026 Proyectado'!$B$1,wallet_records!$N:$N,'EEFF 2026 Proyectado'!BD$2,wallet_records!$H:$H,'EEFF 2026 Proyectado'!$B10)</f>
        <v>0</v>
      </c>
      <c r="BE10" s="115">
        <f>SUMIFS(wallet_records!$D:$D,wallet_records!$B:$B,'EEFF 2026 Proyectado'!$C10,wallet_records!$L:$L,'EEFF 2026 Proyectado'!BE$3,wallet_records!$O:$O,'EEFF 2026 Proyectado'!$B$1,wallet_records!$N:$N,'EEFF 2026 Proyectado'!BE$2,wallet_records!$H:$H,'EEFF 2026 Proyectado'!$B10)</f>
        <v>0</v>
      </c>
      <c r="BF10" s="115">
        <f>SUMIFS(wallet_records!$D:$D,wallet_records!$B:$B,'EEFF 2026 Proyectado'!$C10,wallet_records!$L:$L,'EEFF 2026 Proyectado'!BF$3,wallet_records!$O:$O,'EEFF 2026 Proyectado'!$B$1,wallet_records!$N:$N,'EEFF 2026 Proyectado'!BF$2,wallet_records!$H:$H,'EEFF 2026 Proyectado'!$B10)</f>
        <v>0</v>
      </c>
      <c r="BG10" s="116">
        <v>200000</v>
      </c>
      <c r="BH10" s="115">
        <f>SUMIFS(wallet_records!$D:$D,wallet_records!$B:$B,'EEFF 2026 Proyectado'!$C10,wallet_records!$L:$L,'EEFF 2026 Proyectado'!BH$3,wallet_records!$O:$O,'EEFF 2026 Proyectado'!$B$1,wallet_records!$N:$N,'EEFF 2026 Proyectado'!BH$2,wallet_records!$H:$H,'EEFF 2026 Proyectado'!$B10)</f>
        <v>0</v>
      </c>
      <c r="BI10" s="115">
        <f>SUMIFS(wallet_records!$D:$D,wallet_records!$B:$B,'EEFF 2026 Proyectado'!$C10,wallet_records!$L:$L,'EEFF 2026 Proyectado'!BI$3,wallet_records!$O:$O,'EEFF 2026 Proyectado'!$B$1,wallet_records!$N:$N,'EEFF 2026 Proyectado'!BI$2,wallet_records!$H:$H,'EEFF 2026 Proyectado'!$B10)</f>
        <v>0</v>
      </c>
      <c r="BJ10" s="115">
        <f>SUMIFS(wallet_records!$D:$D,wallet_records!$B:$B,'EEFF 2026 Proyectado'!$C10,wallet_records!$L:$L,'EEFF 2026 Proyectado'!BJ$3,wallet_records!$O:$O,'EEFF 2026 Proyectado'!$B$1,wallet_records!$N:$N,'EEFF 2026 Proyectado'!BJ$2,wallet_records!$H:$H,'EEFF 2026 Proyectado'!$B10)</f>
        <v>0</v>
      </c>
      <c r="BK10" s="115">
        <f>SUMIFS(wallet_records!$D:$D,wallet_records!$B:$B,'EEFF 2026 Proyectado'!$C10,wallet_records!$L:$L,'EEFF 2026 Proyectado'!BK$3,wallet_records!$O:$O,'EEFF 2026 Proyectado'!$B$1,wallet_records!$N:$N,'EEFF 2026 Proyectado'!BK$2,wallet_records!$H:$H,'EEFF 2026 Proyectado'!$B10)</f>
        <v>0</v>
      </c>
      <c r="BL10" s="115">
        <f>SUMIFS(wallet_records!$D:$D,wallet_records!$B:$B,'EEFF 2026 Proyectado'!$C10,wallet_records!$L:$L,'EEFF 2026 Proyectado'!BL$3,wallet_records!$O:$O,'EEFF 2026 Proyectado'!$B$1,wallet_records!$N:$N,'EEFF 2026 Proyectado'!BL$2,wallet_records!$H:$H,'EEFF 2026 Proyectado'!$B10)</f>
        <v>0</v>
      </c>
      <c r="BM10" s="115">
        <f>SUMIFS(wallet_records!$D:$D,wallet_records!$B:$B,'EEFF 2026 Proyectado'!$C10,wallet_records!$L:$L,'EEFF 2026 Proyectado'!BM$3,wallet_records!$O:$O,'EEFF 2026 Proyectado'!$B$1,wallet_records!$N:$N,'EEFF 2026 Proyectado'!BM$2,wallet_records!$H:$H,'EEFF 2026 Proyectado'!$B10)</f>
        <v>0</v>
      </c>
      <c r="BN10" s="116">
        <v>200000</v>
      </c>
      <c r="BO10" s="115">
        <f>SUMIFS(wallet_records!$D:$D,wallet_records!$B:$B,'EEFF 2026 Proyectado'!$C10,wallet_records!$L:$L,'EEFF 2026 Proyectado'!BO$3,wallet_records!$O:$O,'EEFF 2026 Proyectado'!$B$1,wallet_records!$N:$N,'EEFF 2026 Proyectado'!BO$2,wallet_records!$H:$H,'EEFF 2026 Proyectado'!$B10)</f>
        <v>0</v>
      </c>
      <c r="BP10" s="115">
        <f>SUMIFS(wallet_records!$D:$D,wallet_records!$B:$B,'EEFF 2026 Proyectado'!$C10,wallet_records!$L:$L,'EEFF 2026 Proyectado'!BP$3,wallet_records!$O:$O,'EEFF 2026 Proyectado'!$B$1,wallet_records!$N:$N,'EEFF 2026 Proyectado'!BP$2,wallet_records!$H:$H,'EEFF 2026 Proyectado'!$B10)</f>
        <v>0</v>
      </c>
      <c r="BQ10" s="115">
        <f>SUMIFS(wallet_records!$D:$D,wallet_records!$B:$B,'EEFF 2026 Proyectado'!$C10,wallet_records!$L:$L,'EEFF 2026 Proyectado'!BQ$3,wallet_records!$O:$O,'EEFF 2026 Proyectado'!$B$1,wallet_records!$N:$N,'EEFF 2026 Proyectado'!BQ$2,wallet_records!$H:$H,'EEFF 2026 Proyectado'!$B10)</f>
        <v>0</v>
      </c>
      <c r="BR10" s="115">
        <f>SUMIFS(wallet_records!$D:$D,wallet_records!$B:$B,'EEFF 2026 Proyectado'!$C10,wallet_records!$L:$L,'EEFF 2026 Proyectado'!BR$3,wallet_records!$O:$O,'EEFF 2026 Proyectado'!$B$1,wallet_records!$N:$N,'EEFF 2026 Proyectado'!BR$2,wallet_records!$H:$H,'EEFF 2026 Proyectado'!$B10)</f>
        <v>0</v>
      </c>
      <c r="BS10" s="115">
        <f>SUMIFS(wallet_records!$D:$D,wallet_records!$B:$B,'EEFF 2026 Proyectado'!$C10,wallet_records!$L:$L,'EEFF 2026 Proyectado'!BS$3,wallet_records!$O:$O,'EEFF 2026 Proyectado'!$B$1,wallet_records!$N:$N,'EEFF 2026 Proyectado'!BS$2,wallet_records!$H:$H,'EEFF 2026 Proyectado'!$B10)</f>
        <v>0</v>
      </c>
      <c r="BT10" s="115">
        <f>SUMIFS(wallet_records!$D:$D,wallet_records!$B:$B,'EEFF 2026 Proyectado'!$C10,wallet_records!$L:$L,'EEFF 2026 Proyectado'!BT$3,wallet_records!$O:$O,'EEFF 2026 Proyectado'!$B$1,wallet_records!$N:$N,'EEFF 2026 Proyectado'!BT$2,wallet_records!$H:$H,'EEFF 2026 Proyectado'!$B10)</f>
        <v>0</v>
      </c>
      <c r="BU10" s="116">
        <v>200000</v>
      </c>
      <c r="BV10" s="115">
        <f>SUMIFS(wallet_records!$D:$D,wallet_records!$B:$B,'EEFF 2026 Proyectado'!$C10,wallet_records!$L:$L,'EEFF 2026 Proyectado'!BV$3,wallet_records!$O:$O,'EEFF 2026 Proyectado'!$B$1,wallet_records!$N:$N,'EEFF 2026 Proyectado'!BV$2,wallet_records!$H:$H,'EEFF 2026 Proyectado'!$B10)</f>
        <v>0</v>
      </c>
      <c r="BW10" s="115">
        <f>SUMIFS(wallet_records!$D:$D,wallet_records!$B:$B,'EEFF 2026 Proyectado'!$C10,wallet_records!$L:$L,'EEFF 2026 Proyectado'!BW$3,wallet_records!$O:$O,'EEFF 2026 Proyectado'!$B$1,wallet_records!$N:$N,'EEFF 2026 Proyectado'!BW$2,wallet_records!$H:$H,'EEFF 2026 Proyectado'!$B10)</f>
        <v>0</v>
      </c>
      <c r="BX10" s="115">
        <f>SUMIFS(wallet_records!$D:$D,wallet_records!$B:$B,'EEFF 2026 Proyectado'!$C10,wallet_records!$L:$L,'EEFF 2026 Proyectado'!BX$3,wallet_records!$O:$O,'EEFF 2026 Proyectado'!$B$1,wallet_records!$N:$N,'EEFF 2026 Proyectado'!BX$2,wallet_records!$H:$H,'EEFF 2026 Proyectado'!$B10)</f>
        <v>0</v>
      </c>
      <c r="BY10" s="115">
        <f>SUMIFS(wallet_records!$D:$D,wallet_records!$B:$B,'EEFF 2026 Proyectado'!$C10,wallet_records!$L:$L,'EEFF 2026 Proyectado'!BY$3,wallet_records!$O:$O,'EEFF 2026 Proyectado'!$B$1,wallet_records!$N:$N,'EEFF 2026 Proyectado'!BY$2,wallet_records!$H:$H,'EEFF 2026 Proyectado'!$B10)</f>
        <v>0</v>
      </c>
      <c r="BZ10" s="115">
        <f>SUMIFS(wallet_records!$D:$D,wallet_records!$B:$B,'EEFF 2026 Proyectado'!$C10,wallet_records!$L:$L,'EEFF 2026 Proyectado'!BZ$3,wallet_records!$O:$O,'EEFF 2026 Proyectado'!$B$1,wallet_records!$N:$N,'EEFF 2026 Proyectado'!BZ$2,wallet_records!$H:$H,'EEFF 2026 Proyectado'!$B10)</f>
        <v>0</v>
      </c>
      <c r="CA10" s="115">
        <f>SUMIFS(wallet_records!$D:$D,wallet_records!$B:$B,'EEFF 2026 Proyectado'!$C10,wallet_records!$L:$L,'EEFF 2026 Proyectado'!CA$3,wallet_records!$O:$O,'EEFF 2026 Proyectado'!$B$1,wallet_records!$N:$N,'EEFF 2026 Proyectado'!CA$2,wallet_records!$H:$H,'EEFF 2026 Proyectado'!$B10)</f>
        <v>0</v>
      </c>
      <c r="CB10" s="116">
        <v>200000</v>
      </c>
      <c r="CC10" s="115">
        <f>SUMIFS(wallet_records!$D:$D,wallet_records!$B:$B,'EEFF 2026 Proyectado'!$C10,wallet_records!$L:$L,'EEFF 2026 Proyectado'!CC$3,wallet_records!$O:$O,'EEFF 2026 Proyectado'!$B$1,wallet_records!$N:$N,'EEFF 2026 Proyectado'!CC$2,wallet_records!$H:$H,'EEFF 2026 Proyectado'!$B10)</f>
        <v>0</v>
      </c>
      <c r="CD10" s="115">
        <f>SUMIFS(wallet_records!$D:$D,wallet_records!$B:$B,'EEFF 2026 Proyectado'!$C10,wallet_records!$L:$L,'EEFF 2026 Proyectado'!CD$3,wallet_records!$O:$O,'EEFF 2026 Proyectado'!$B$1,wallet_records!$N:$N,'EEFF 2026 Proyectado'!CD$2,wallet_records!$H:$H,'EEFF 2026 Proyectado'!$B10)</f>
        <v>0</v>
      </c>
      <c r="CE10" s="115">
        <f>SUMIFS(wallet_records!$D:$D,wallet_records!$B:$B,'EEFF 2026 Proyectado'!$C10,wallet_records!$L:$L,'EEFF 2026 Proyectado'!CE$3,wallet_records!$O:$O,'EEFF 2026 Proyectado'!$B$1,wallet_records!$N:$N,'EEFF 2026 Proyectado'!CE$2,wallet_records!$H:$H,'EEFF 2026 Proyectado'!$B10)</f>
        <v>0</v>
      </c>
      <c r="CF10" s="115">
        <f>SUMIFS(wallet_records!$D:$D,wallet_records!$B:$B,'EEFF 2026 Proyectado'!$C10,wallet_records!$L:$L,'EEFF 2026 Proyectado'!CF$3,wallet_records!$O:$O,'EEFF 2026 Proyectado'!$B$1,wallet_records!$N:$N,'EEFF 2026 Proyectado'!CF$2,wallet_records!$H:$H,'EEFF 2026 Proyectado'!$B10)</f>
        <v>0</v>
      </c>
      <c r="CG10" s="115">
        <f>SUMIFS(wallet_records!$D:$D,wallet_records!$B:$B,'EEFF 2026 Proyectado'!$C10,wallet_records!$L:$L,'EEFF 2026 Proyectado'!CG$3,wallet_records!$O:$O,'EEFF 2026 Proyectado'!$B$1,wallet_records!$N:$N,'EEFF 2026 Proyectado'!CG$2,wallet_records!$H:$H,'EEFF 2026 Proyectado'!$B10)</f>
        <v>0</v>
      </c>
      <c r="CH10" s="115">
        <f>SUMIFS(wallet_records!$D:$D,wallet_records!$B:$B,'EEFF 2026 Proyectado'!$C10,wallet_records!$L:$L,'EEFF 2026 Proyectado'!CH$3,wallet_records!$O:$O,'EEFF 2026 Proyectado'!$B$1,wallet_records!$N:$N,'EEFF 2026 Proyectado'!CH$2,wallet_records!$H:$H,'EEFF 2026 Proyectado'!$B10)</f>
        <v>0</v>
      </c>
      <c r="CI10" s="116">
        <v>200000</v>
      </c>
      <c r="CJ10" s="115">
        <f>SUMIFS(wallet_records!$D:$D,wallet_records!$B:$B,'EEFF 2026 Proyectado'!$C10,wallet_records!$L:$L,'EEFF 2026 Proyectado'!CJ$3,wallet_records!$O:$O,'EEFF 2026 Proyectado'!$B$1,wallet_records!$H:$H,'EEFF 2026 Proyectado'!$B10)</f>
        <v>666250</v>
      </c>
      <c r="CK10" s="115">
        <f>SUMIFS(wallet_records!$D:$D,wallet_records!$B:$B,'EEFF 2026 Proyectado'!$C10,wallet_records!$L:$L,'EEFF 2026 Proyectado'!CK$3,wallet_records!$O:$O,'EEFF 2026 Proyectado'!$B$1,wallet_records!$H:$H,'EEFF 2026 Proyectado'!$B10)</f>
        <v>0</v>
      </c>
      <c r="CL10" s="115">
        <f>SUMIFS(wallet_records!$D:$D,wallet_records!$B:$B,'EEFF 2026 Proyectado'!$C10,wallet_records!$L:$L,'EEFF 2026 Proyectado'!CL$3,wallet_records!$O:$O,'EEFF 2026 Proyectado'!$B$1,wallet_records!$H:$H,'EEFF 2026 Proyectado'!$B10)</f>
        <v>0</v>
      </c>
      <c r="CM10" s="115">
        <f>SUMIFS(wallet_records!$D:$D,wallet_records!$B:$B,'EEFF 2026 Proyectado'!$C10,wallet_records!$L:$L,'EEFF 2026 Proyectado'!CM$3,wallet_records!$O:$O,'EEFF 2026 Proyectado'!$B$1,wallet_records!$H:$H,'EEFF 2026 Proyectado'!$B10)</f>
        <v>5400</v>
      </c>
      <c r="CN10" s="115">
        <f>SUMIFS(wallet_records!$D:$D,wallet_records!$B:$B,'EEFF 2026 Proyectado'!$C10,wallet_records!$L:$L,'EEFF 2026 Proyectado'!CN$3,wallet_records!$O:$O,'EEFF 2026 Proyectado'!$B$1,wallet_records!$H:$H,'EEFF 2026 Proyectado'!$B10)</f>
        <v>0</v>
      </c>
      <c r="CO10" s="115">
        <f>SUMIFS(wallet_records!$D:$D,wallet_records!$B:$B,'EEFF 2026 Proyectado'!$C10,wallet_records!$L:$L,'EEFF 2026 Proyectado'!CO$3,wallet_records!$O:$O,'EEFF 2026 Proyectado'!$B$1,wallet_records!$H:$H,'EEFF 2026 Proyectado'!$B10)</f>
        <v>0</v>
      </c>
      <c r="CP10" s="116"/>
      <c r="CQ10" s="107"/>
      <c r="CR10" s="118">
        <f t="shared" si="0"/>
        <v>5.6886416787813661E-4</v>
      </c>
      <c r="CS10" s="118">
        <f t="shared" si="1"/>
        <v>7.0186250342371956E-2</v>
      </c>
      <c r="CT10" s="118">
        <f t="shared" si="2"/>
        <v>2.1069043254745803E-2</v>
      </c>
      <c r="CU10" s="118">
        <f t="shared" si="3"/>
        <v>2.1069043254745803E-2</v>
      </c>
      <c r="CV10" s="118">
        <f t="shared" si="4"/>
        <v>2.1069043254745803E-2</v>
      </c>
      <c r="CW10" s="118">
        <f t="shared" si="5"/>
        <v>2.0099997487500312E-2</v>
      </c>
      <c r="CX10" s="118">
        <f t="shared" si="6"/>
        <v>1.9491990770230498E-2</v>
      </c>
      <c r="CY10" s="118">
        <f t="shared" si="7"/>
        <v>1.9407008002557378E-2</v>
      </c>
      <c r="CZ10" s="118">
        <f t="shared" si="8"/>
        <v>1.9407008002557378E-2</v>
      </c>
      <c r="DA10" s="118">
        <f t="shared" si="9"/>
        <v>1.9407008002557378E-2</v>
      </c>
      <c r="DB10" s="118">
        <f t="shared" si="10"/>
        <v>1.9407008002557378E-2</v>
      </c>
      <c r="DC10" s="118">
        <f t="shared" si="11"/>
        <v>1.9243683592814202E-2</v>
      </c>
    </row>
    <row r="11" spans="2:120" x14ac:dyDescent="0.2">
      <c r="B11" s="107" t="s">
        <v>140</v>
      </c>
      <c r="C11" s="191" t="s">
        <v>136</v>
      </c>
      <c r="D11" s="115">
        <f>SUMIFS(wallet_records!$D:$D,wallet_records!$B:$B,'EEFF 2026 Proyectado'!$C11,wallet_records!$L:$L,'EEFF 2026 Proyectado'!D$3,wallet_records!$O:$O,'EEFF 2026 Proyectado'!$B$1,wallet_records!$N:$N,'EEFF 2026 Proyectado'!D$2,wallet_records!$H:$H,'EEFF 2026 Proyectado'!$B11)</f>
        <v>156000</v>
      </c>
      <c r="E11" s="115">
        <f>SUMIFS(wallet_records!$D:$D,wallet_records!$B:$B,'EEFF 2026 Proyectado'!$C11,wallet_records!$L:$L,'EEFF 2026 Proyectado'!E$3,wallet_records!$O:$O,'EEFF 2026 Proyectado'!$B$1,wallet_records!$N:$N,'EEFF 2026 Proyectado'!E$2,wallet_records!$H:$H,'EEFF 2026 Proyectado'!$B11)</f>
        <v>0</v>
      </c>
      <c r="F11" s="115">
        <f>SUMIFS(wallet_records!$D:$D,wallet_records!$B:$B,'EEFF 2026 Proyectado'!$C11,wallet_records!$L:$L,'EEFF 2026 Proyectado'!F$3,wallet_records!$O:$O,'EEFF 2026 Proyectado'!$B$1,wallet_records!$N:$N,'EEFF 2026 Proyectado'!F$2,wallet_records!$H:$H,'EEFF 2026 Proyectado'!$B11)</f>
        <v>501542</v>
      </c>
      <c r="G11" s="115">
        <f>SUMIFS(wallet_records!$D:$D,wallet_records!$B:$B,'EEFF 2026 Proyectado'!$C11,wallet_records!$L:$L,'EEFF 2026 Proyectado'!G$3,wallet_records!$O:$O,'EEFF 2026 Proyectado'!$B$1,wallet_records!$N:$N,'EEFF 2026 Proyectado'!G$2,wallet_records!$H:$H,'EEFF 2026 Proyectado'!$B11)</f>
        <v>0</v>
      </c>
      <c r="H11" s="115">
        <f>SUMIFS(wallet_records!$D:$D,wallet_records!$B:$B,'EEFF 2026 Proyectado'!$C11,wallet_records!$L:$L,'EEFF 2026 Proyectado'!H$3,wallet_records!$O:$O,'EEFF 2026 Proyectado'!$B$1,wallet_records!$N:$N,'EEFF 2026 Proyectado'!H$2,wallet_records!$H:$H,'EEFF 2026 Proyectado'!$B11)</f>
        <v>269400</v>
      </c>
      <c r="I11" s="115">
        <f>SUMIFS(wallet_records!$D:$D,wallet_records!$B:$B,'EEFF 2026 Proyectado'!$C11,wallet_records!$L:$L,'EEFF 2026 Proyectado'!I$3,wallet_records!$O:$O,'EEFF 2026 Proyectado'!$B$1,wallet_records!$N:$N,'EEFF 2026 Proyectado'!I$2,wallet_records!$H:$H,'EEFF 2026 Proyectado'!$B11)</f>
        <v>0</v>
      </c>
      <c r="J11" s="116">
        <v>926942</v>
      </c>
      <c r="K11" s="115">
        <f>SUMIFS(wallet_records!$D:$D,wallet_records!$B:$B,'EEFF 2026 Proyectado'!$C11,wallet_records!$L:$L,'EEFF 2026 Proyectado'!K$3,wallet_records!$O:$O,'EEFF 2026 Proyectado'!$B$1,wallet_records!$N:$N,'EEFF 2026 Proyectado'!K$2,wallet_records!$H:$H,'EEFF 2026 Proyectado'!$B11)</f>
        <v>156000</v>
      </c>
      <c r="L11" s="115">
        <f>SUMIFS(wallet_records!$D:$D,wallet_records!$B:$B,'EEFF 2026 Proyectado'!$C11,wallet_records!$L:$L,'EEFF 2026 Proyectado'!L$3,wallet_records!$O:$O,'EEFF 2026 Proyectado'!$B$1,wallet_records!$N:$N,'EEFF 2026 Proyectado'!L$2,wallet_records!$H:$H,'EEFF 2026 Proyectado'!$B11)</f>
        <v>0</v>
      </c>
      <c r="M11" s="115">
        <f>SUMIFS(wallet_records!$D:$D,wallet_records!$B:$B,'EEFF 2026 Proyectado'!$C11,wallet_records!$L:$L,'EEFF 2026 Proyectado'!M$3,wallet_records!$O:$O,'EEFF 2026 Proyectado'!$B$1,wallet_records!$N:$N,'EEFF 2026 Proyectado'!M$2,wallet_records!$H:$H,'EEFF 2026 Proyectado'!$B11)</f>
        <v>501542</v>
      </c>
      <c r="N11" s="115">
        <f>SUMIFS(wallet_records!$D:$D,wallet_records!$B:$B,'EEFF 2026 Proyectado'!$C11,wallet_records!$L:$L,'EEFF 2026 Proyectado'!N$3,wallet_records!$O:$O,'EEFF 2026 Proyectado'!$B$1,wallet_records!$N:$N,'EEFF 2026 Proyectado'!N$2,wallet_records!$H:$H,'EEFF 2026 Proyectado'!$B11)</f>
        <v>0</v>
      </c>
      <c r="O11" s="115">
        <f>SUMIFS(wallet_records!$D:$D,wallet_records!$B:$B,'EEFF 2026 Proyectado'!$C11,wallet_records!$L:$L,'EEFF 2026 Proyectado'!O$3,wallet_records!$O:$O,'EEFF 2026 Proyectado'!$B$1,wallet_records!$N:$N,'EEFF 2026 Proyectado'!O$2,wallet_records!$H:$H,'EEFF 2026 Proyectado'!$B11)</f>
        <v>269400</v>
      </c>
      <c r="P11" s="115">
        <f>SUMIFS(wallet_records!$D:$D,wallet_records!$B:$B,'EEFF 2026 Proyectado'!$C11,wallet_records!$L:$L,'EEFF 2026 Proyectado'!P$3,wallet_records!$O:$O,'EEFF 2026 Proyectado'!$B$1,wallet_records!$N:$N,'EEFF 2026 Proyectado'!P$2,wallet_records!$H:$H,'EEFF 2026 Proyectado'!$B11)</f>
        <v>0</v>
      </c>
      <c r="Q11" s="116">
        <f t="shared" si="14"/>
        <v>926942</v>
      </c>
      <c r="R11" s="115">
        <f>SUMIFS(wallet_records!$D:$D,wallet_records!$B:$B,'EEFF 2026 Proyectado'!$C11,wallet_records!$L:$L,'EEFF 2026 Proyectado'!R$3,wallet_records!$O:$O,'EEFF 2026 Proyectado'!$B$1,wallet_records!$N:$N,'EEFF 2026 Proyectado'!R$2,wallet_records!$H:$H,'EEFF 2026 Proyectado'!$B11)</f>
        <v>0</v>
      </c>
      <c r="S11" s="115">
        <f>SUMIFS(wallet_records!$D:$D,wallet_records!$B:$B,'EEFF 2026 Proyectado'!$C11,wallet_records!$L:$L,'EEFF 2026 Proyectado'!S$3,wallet_records!$O:$O,'EEFF 2026 Proyectado'!$B$1,wallet_records!$N:$N,'EEFF 2026 Proyectado'!S$2,wallet_records!$H:$H,'EEFF 2026 Proyectado'!$B11)</f>
        <v>0</v>
      </c>
      <c r="T11" s="115">
        <f>SUMIFS(wallet_records!$D:$D,wallet_records!$B:$B,'EEFF 2026 Proyectado'!$C11,wallet_records!$L:$L,'EEFF 2026 Proyectado'!T$3,wallet_records!$O:$O,'EEFF 2026 Proyectado'!$B$1,wallet_records!$N:$N,'EEFF 2026 Proyectado'!T$2,wallet_records!$H:$H,'EEFF 2026 Proyectado'!$B11)</f>
        <v>0</v>
      </c>
      <c r="U11" s="115">
        <f>SUMIFS(wallet_records!$D:$D,wallet_records!$B:$B,'EEFF 2026 Proyectado'!$C11,wallet_records!$L:$L,'EEFF 2026 Proyectado'!U$3,wallet_records!$O:$O,'EEFF 2026 Proyectado'!$B$1,wallet_records!$N:$N,'EEFF 2026 Proyectado'!U$2,wallet_records!$H:$H,'EEFF 2026 Proyectado'!$B11)</f>
        <v>0</v>
      </c>
      <c r="V11" s="115">
        <f>SUMIFS(wallet_records!$D:$D,wallet_records!$B:$B,'EEFF 2026 Proyectado'!$C11,wallet_records!$L:$L,'EEFF 2026 Proyectado'!V$3,wallet_records!$O:$O,'EEFF 2026 Proyectado'!$B$1,wallet_records!$N:$N,'EEFF 2026 Proyectado'!V$2,wallet_records!$H:$H,'EEFF 2026 Proyectado'!$B11)</f>
        <v>0</v>
      </c>
      <c r="W11" s="115">
        <f>SUMIFS(wallet_records!$D:$D,wallet_records!$B:$B,'EEFF 2026 Proyectado'!$C11,wallet_records!$L:$L,'EEFF 2026 Proyectado'!W$3,wallet_records!$O:$O,'EEFF 2026 Proyectado'!$B$1,wallet_records!$N:$N,'EEFF 2026 Proyectado'!W$2,wallet_records!$H:$H,'EEFF 2026 Proyectado'!$B11)</f>
        <v>0</v>
      </c>
      <c r="X11" s="116">
        <v>926942</v>
      </c>
      <c r="Y11" s="115">
        <f>SUMIFS(wallet_records!$D:$D,wallet_records!$B:$B,'EEFF 2026 Proyectado'!$C11,wallet_records!$L:$L,'EEFF 2026 Proyectado'!Y$3,wallet_records!$O:$O,'EEFF 2026 Proyectado'!$B$1,wallet_records!$N:$N,'EEFF 2026 Proyectado'!Y$2,wallet_records!$H:$H,'EEFF 2026 Proyectado'!$B11)</f>
        <v>0</v>
      </c>
      <c r="Z11" s="115">
        <f>SUMIFS(wallet_records!$D:$D,wallet_records!$B:$B,'EEFF 2026 Proyectado'!$C11,wallet_records!$L:$L,'EEFF 2026 Proyectado'!Z$3,wallet_records!$O:$O,'EEFF 2026 Proyectado'!$B$1,wallet_records!$N:$N,'EEFF 2026 Proyectado'!Z$2,wallet_records!$H:$H,'EEFF 2026 Proyectado'!$B11)</f>
        <v>0</v>
      </c>
      <c r="AA11" s="115">
        <f>SUMIFS(wallet_records!$D:$D,wallet_records!$B:$B,'EEFF 2026 Proyectado'!$C11,wallet_records!$L:$L,'EEFF 2026 Proyectado'!AA$3,wallet_records!$O:$O,'EEFF 2026 Proyectado'!$B$1,wallet_records!$N:$N,'EEFF 2026 Proyectado'!AA$2,wallet_records!$H:$H,'EEFF 2026 Proyectado'!$B11)</f>
        <v>0</v>
      </c>
      <c r="AB11" s="115">
        <f>SUMIFS(wallet_records!$D:$D,wallet_records!$B:$B,'EEFF 2026 Proyectado'!$C11,wallet_records!$L:$L,'EEFF 2026 Proyectado'!AB$3,wallet_records!$O:$O,'EEFF 2026 Proyectado'!$B$1,wallet_records!$N:$N,'EEFF 2026 Proyectado'!AB$2,wallet_records!$H:$H,'EEFF 2026 Proyectado'!$B11)</f>
        <v>0</v>
      </c>
      <c r="AC11" s="115">
        <f>SUMIFS(wallet_records!$D:$D,wallet_records!$B:$B,'EEFF 2026 Proyectado'!$C11,wallet_records!$L:$L,'EEFF 2026 Proyectado'!AC$3,wallet_records!$O:$O,'EEFF 2026 Proyectado'!$B$1,wallet_records!$N:$N,'EEFF 2026 Proyectado'!AC$2,wallet_records!$H:$H,'EEFF 2026 Proyectado'!$B11)</f>
        <v>0</v>
      </c>
      <c r="AD11" s="115">
        <f>SUMIFS(wallet_records!$D:$D,wallet_records!$B:$B,'EEFF 2026 Proyectado'!$C11,wallet_records!$L:$L,'EEFF 2026 Proyectado'!AD$3,wallet_records!$O:$O,'EEFF 2026 Proyectado'!$B$1,wallet_records!$N:$N,'EEFF 2026 Proyectado'!AD$2,wallet_records!$H:$H,'EEFF 2026 Proyectado'!$B11)</f>
        <v>0</v>
      </c>
      <c r="AE11" s="116">
        <v>926942</v>
      </c>
      <c r="AF11" s="115">
        <f>SUMIFS(wallet_records!$D:$D,wallet_records!$B:$B,'EEFF 2026 Proyectado'!$C11,wallet_records!$L:$L,'EEFF 2026 Proyectado'!AF$3,wallet_records!$O:$O,'EEFF 2026 Proyectado'!$B$1,wallet_records!$N:$N,'EEFF 2026 Proyectado'!AF$2,wallet_records!$H:$H,'EEFF 2026 Proyectado'!$B11)</f>
        <v>0</v>
      </c>
      <c r="AG11" s="115">
        <f>SUMIFS(wallet_records!$D:$D,wallet_records!$B:$B,'EEFF 2026 Proyectado'!$C11,wallet_records!$L:$L,'EEFF 2026 Proyectado'!AG$3,wallet_records!$O:$O,'EEFF 2026 Proyectado'!$B$1,wallet_records!$N:$N,'EEFF 2026 Proyectado'!AG$2,wallet_records!$H:$H,'EEFF 2026 Proyectado'!$B11)</f>
        <v>0</v>
      </c>
      <c r="AH11" s="115">
        <f>SUMIFS(wallet_records!$D:$D,wallet_records!$B:$B,'EEFF 2026 Proyectado'!$C11,wallet_records!$L:$L,'EEFF 2026 Proyectado'!AH$3,wallet_records!$O:$O,'EEFF 2026 Proyectado'!$B$1,wallet_records!$N:$N,'EEFF 2026 Proyectado'!AH$2,wallet_records!$H:$H,'EEFF 2026 Proyectado'!$B11)</f>
        <v>0</v>
      </c>
      <c r="AI11" s="115">
        <f>SUMIFS(wallet_records!$D:$D,wallet_records!$B:$B,'EEFF 2026 Proyectado'!$C11,wallet_records!$L:$L,'EEFF 2026 Proyectado'!AI$3,wallet_records!$O:$O,'EEFF 2026 Proyectado'!$B$1,wallet_records!$N:$N,'EEFF 2026 Proyectado'!AI$2,wallet_records!$H:$H,'EEFF 2026 Proyectado'!$B11)</f>
        <v>0</v>
      </c>
      <c r="AJ11" s="115">
        <f>SUMIFS(wallet_records!$D:$D,wallet_records!$B:$B,'EEFF 2026 Proyectado'!$C11,wallet_records!$L:$L,'EEFF 2026 Proyectado'!AJ$3,wallet_records!$O:$O,'EEFF 2026 Proyectado'!$B$1,wallet_records!$N:$N,'EEFF 2026 Proyectado'!AJ$2,wallet_records!$H:$H,'EEFF 2026 Proyectado'!$B11)</f>
        <v>0</v>
      </c>
      <c r="AK11" s="115">
        <f>SUMIFS(wallet_records!$D:$D,wallet_records!$B:$B,'EEFF 2026 Proyectado'!$C11,wallet_records!$L:$L,'EEFF 2026 Proyectado'!AK$3,wallet_records!$O:$O,'EEFF 2026 Proyectado'!$B$1,wallet_records!$N:$N,'EEFF 2026 Proyectado'!AK$2,wallet_records!$H:$H,'EEFF 2026 Proyectado'!$B11)</f>
        <v>0</v>
      </c>
      <c r="AL11" s="116">
        <v>926942</v>
      </c>
      <c r="AM11" s="115">
        <f>SUMIFS(wallet_records!$D:$D,wallet_records!$B:$B,'EEFF 2026 Proyectado'!$C11,wallet_records!$L:$L,'EEFF 2026 Proyectado'!AM$3,wallet_records!$O:$O,'EEFF 2026 Proyectado'!$B$1,wallet_records!$N:$N,'EEFF 2026 Proyectado'!AM$2,wallet_records!$H:$H,'EEFF 2026 Proyectado'!$B11)</f>
        <v>0</v>
      </c>
      <c r="AN11" s="115">
        <f>SUMIFS(wallet_records!$D:$D,wallet_records!$B:$B,'EEFF 2026 Proyectado'!$C11,wallet_records!$L:$L,'EEFF 2026 Proyectado'!AN$3,wallet_records!$O:$O,'EEFF 2026 Proyectado'!$B$1,wallet_records!$N:$N,'EEFF 2026 Proyectado'!AN$2,wallet_records!$H:$H,'EEFF 2026 Proyectado'!$B11)</f>
        <v>0</v>
      </c>
      <c r="AO11" s="115">
        <f>SUMIFS(wallet_records!$D:$D,wallet_records!$B:$B,'EEFF 2026 Proyectado'!$C11,wallet_records!$L:$L,'EEFF 2026 Proyectado'!AO$3,wallet_records!$O:$O,'EEFF 2026 Proyectado'!$B$1,wallet_records!$N:$N,'EEFF 2026 Proyectado'!AO$2,wallet_records!$H:$H,'EEFF 2026 Proyectado'!$B11)</f>
        <v>0</v>
      </c>
      <c r="AP11" s="115">
        <f>SUMIFS(wallet_records!$D:$D,wallet_records!$B:$B,'EEFF 2026 Proyectado'!$C11,wallet_records!$L:$L,'EEFF 2026 Proyectado'!AP$3,wallet_records!$O:$O,'EEFF 2026 Proyectado'!$B$1,wallet_records!$N:$N,'EEFF 2026 Proyectado'!AP$2,wallet_records!$H:$H,'EEFF 2026 Proyectado'!$B11)</f>
        <v>0</v>
      </c>
      <c r="AQ11" s="115">
        <f>SUMIFS(wallet_records!$D:$D,wallet_records!$B:$B,'EEFF 2026 Proyectado'!$C11,wallet_records!$L:$L,'EEFF 2026 Proyectado'!AQ$3,wallet_records!$O:$O,'EEFF 2026 Proyectado'!$B$1,wallet_records!$N:$N,'EEFF 2026 Proyectado'!AQ$2,wallet_records!$H:$H,'EEFF 2026 Proyectado'!$B11)</f>
        <v>0</v>
      </c>
      <c r="AR11" s="115">
        <f>SUMIFS(wallet_records!$D:$D,wallet_records!$B:$B,'EEFF 2026 Proyectado'!$C11,wallet_records!$L:$L,'EEFF 2026 Proyectado'!AR$3,wallet_records!$O:$O,'EEFF 2026 Proyectado'!$B$1,wallet_records!$N:$N,'EEFF 2026 Proyectado'!AR$2,wallet_records!$H:$H,'EEFF 2026 Proyectado'!$B11)</f>
        <v>0</v>
      </c>
      <c r="AS11" s="116">
        <v>926942</v>
      </c>
      <c r="AT11" s="115">
        <f>SUMIFS(wallet_records!$D:$D,wallet_records!$B:$B,'EEFF 2026 Proyectado'!$C11,wallet_records!$L:$L,'EEFF 2026 Proyectado'!AT$3,wallet_records!$O:$O,'EEFF 2026 Proyectado'!$B$1,wallet_records!$N:$N,'EEFF 2026 Proyectado'!AT$2,wallet_records!$H:$H,'EEFF 2026 Proyectado'!$B11)</f>
        <v>0</v>
      </c>
      <c r="AU11" s="115">
        <f>SUMIFS(wallet_records!$D:$D,wallet_records!$B:$B,'EEFF 2026 Proyectado'!$C11,wallet_records!$L:$L,'EEFF 2026 Proyectado'!AU$3,wallet_records!$O:$O,'EEFF 2026 Proyectado'!$B$1,wallet_records!$N:$N,'EEFF 2026 Proyectado'!AU$2,wallet_records!$H:$H,'EEFF 2026 Proyectado'!$B11)</f>
        <v>0</v>
      </c>
      <c r="AV11" s="115">
        <f>SUMIFS(wallet_records!$D:$D,wallet_records!$B:$B,'EEFF 2026 Proyectado'!$C11,wallet_records!$L:$L,'EEFF 2026 Proyectado'!AV$3,wallet_records!$O:$O,'EEFF 2026 Proyectado'!$B$1,wallet_records!$N:$N,'EEFF 2026 Proyectado'!AV$2,wallet_records!$H:$H,'EEFF 2026 Proyectado'!$B11)</f>
        <v>0</v>
      </c>
      <c r="AW11" s="115">
        <f>SUMIFS(wallet_records!$D:$D,wallet_records!$B:$B,'EEFF 2026 Proyectado'!$C11,wallet_records!$L:$L,'EEFF 2026 Proyectado'!AW$3,wallet_records!$O:$O,'EEFF 2026 Proyectado'!$B$1,wallet_records!$N:$N,'EEFF 2026 Proyectado'!AW$2,wallet_records!$H:$H,'EEFF 2026 Proyectado'!$B11)</f>
        <v>0</v>
      </c>
      <c r="AX11" s="115">
        <f>SUMIFS(wallet_records!$D:$D,wallet_records!$B:$B,'EEFF 2026 Proyectado'!$C11,wallet_records!$L:$L,'EEFF 2026 Proyectado'!AX$3,wallet_records!$O:$O,'EEFF 2026 Proyectado'!$B$1,wallet_records!$N:$N,'EEFF 2026 Proyectado'!AX$2,wallet_records!$H:$H,'EEFF 2026 Proyectado'!$B11)</f>
        <v>0</v>
      </c>
      <c r="AY11" s="115">
        <f>SUMIFS(wallet_records!$D:$D,wallet_records!$B:$B,'EEFF 2026 Proyectado'!$C11,wallet_records!$L:$L,'EEFF 2026 Proyectado'!AY$3,wallet_records!$O:$O,'EEFF 2026 Proyectado'!$B$1,wallet_records!$N:$N,'EEFF 2026 Proyectado'!AY$2,wallet_records!$H:$H,'EEFF 2026 Proyectado'!$B11)</f>
        <v>0</v>
      </c>
      <c r="AZ11" s="116">
        <v>926942</v>
      </c>
      <c r="BA11" s="115">
        <f>SUMIFS(wallet_records!$D:$D,wallet_records!$B:$B,'EEFF 2026 Proyectado'!$C11,wallet_records!$L:$L,'EEFF 2026 Proyectado'!BA$3,wallet_records!$O:$O,'EEFF 2026 Proyectado'!$B$1,wallet_records!$N:$N,'EEFF 2026 Proyectado'!BA$2,wallet_records!$H:$H,'EEFF 2026 Proyectado'!$B11)</f>
        <v>0</v>
      </c>
      <c r="BB11" s="115">
        <f>SUMIFS(wallet_records!$D:$D,wallet_records!$B:$B,'EEFF 2026 Proyectado'!$C11,wallet_records!$L:$L,'EEFF 2026 Proyectado'!BB$3,wallet_records!$O:$O,'EEFF 2026 Proyectado'!$B$1,wallet_records!$N:$N,'EEFF 2026 Proyectado'!BB$2,wallet_records!$H:$H,'EEFF 2026 Proyectado'!$B11)</f>
        <v>0</v>
      </c>
      <c r="BC11" s="115">
        <f>SUMIFS(wallet_records!$D:$D,wallet_records!$B:$B,'EEFF 2026 Proyectado'!$C11,wallet_records!$L:$L,'EEFF 2026 Proyectado'!BC$3,wallet_records!$O:$O,'EEFF 2026 Proyectado'!$B$1,wallet_records!$N:$N,'EEFF 2026 Proyectado'!BC$2,wallet_records!$H:$H,'EEFF 2026 Proyectado'!$B11)</f>
        <v>0</v>
      </c>
      <c r="BD11" s="115">
        <f>SUMIFS(wallet_records!$D:$D,wallet_records!$B:$B,'EEFF 2026 Proyectado'!$C11,wallet_records!$L:$L,'EEFF 2026 Proyectado'!BD$3,wallet_records!$O:$O,'EEFF 2026 Proyectado'!$B$1,wallet_records!$N:$N,'EEFF 2026 Proyectado'!BD$2,wallet_records!$H:$H,'EEFF 2026 Proyectado'!$B11)</f>
        <v>0</v>
      </c>
      <c r="BE11" s="115">
        <f>SUMIFS(wallet_records!$D:$D,wallet_records!$B:$B,'EEFF 2026 Proyectado'!$C11,wallet_records!$L:$L,'EEFF 2026 Proyectado'!BE$3,wallet_records!$O:$O,'EEFF 2026 Proyectado'!$B$1,wallet_records!$N:$N,'EEFF 2026 Proyectado'!BE$2,wallet_records!$H:$H,'EEFF 2026 Proyectado'!$B11)</f>
        <v>0</v>
      </c>
      <c r="BF11" s="115">
        <f>SUMIFS(wallet_records!$D:$D,wallet_records!$B:$B,'EEFF 2026 Proyectado'!$C11,wallet_records!$L:$L,'EEFF 2026 Proyectado'!BF$3,wallet_records!$O:$O,'EEFF 2026 Proyectado'!$B$1,wallet_records!$N:$N,'EEFF 2026 Proyectado'!BF$2,wallet_records!$H:$H,'EEFF 2026 Proyectado'!$B11)</f>
        <v>0</v>
      </c>
      <c r="BG11" s="116">
        <v>926942</v>
      </c>
      <c r="BH11" s="115">
        <f>SUMIFS(wallet_records!$D:$D,wallet_records!$B:$B,'EEFF 2026 Proyectado'!$C11,wallet_records!$L:$L,'EEFF 2026 Proyectado'!BH$3,wallet_records!$O:$O,'EEFF 2026 Proyectado'!$B$1,wallet_records!$N:$N,'EEFF 2026 Proyectado'!BH$2,wallet_records!$H:$H,'EEFF 2026 Proyectado'!$B11)</f>
        <v>0</v>
      </c>
      <c r="BI11" s="115">
        <f>SUMIFS(wallet_records!$D:$D,wallet_records!$B:$B,'EEFF 2026 Proyectado'!$C11,wallet_records!$L:$L,'EEFF 2026 Proyectado'!BI$3,wallet_records!$O:$O,'EEFF 2026 Proyectado'!$B$1,wallet_records!$N:$N,'EEFF 2026 Proyectado'!BI$2,wallet_records!$H:$H,'EEFF 2026 Proyectado'!$B11)</f>
        <v>0</v>
      </c>
      <c r="BJ11" s="115">
        <f>SUMIFS(wallet_records!$D:$D,wallet_records!$B:$B,'EEFF 2026 Proyectado'!$C11,wallet_records!$L:$L,'EEFF 2026 Proyectado'!BJ$3,wallet_records!$O:$O,'EEFF 2026 Proyectado'!$B$1,wallet_records!$N:$N,'EEFF 2026 Proyectado'!BJ$2,wallet_records!$H:$H,'EEFF 2026 Proyectado'!$B11)</f>
        <v>0</v>
      </c>
      <c r="BK11" s="115">
        <f>SUMIFS(wallet_records!$D:$D,wallet_records!$B:$B,'EEFF 2026 Proyectado'!$C11,wallet_records!$L:$L,'EEFF 2026 Proyectado'!BK$3,wallet_records!$O:$O,'EEFF 2026 Proyectado'!$B$1,wallet_records!$N:$N,'EEFF 2026 Proyectado'!BK$2,wallet_records!$H:$H,'EEFF 2026 Proyectado'!$B11)</f>
        <v>0</v>
      </c>
      <c r="BL11" s="115">
        <f>SUMIFS(wallet_records!$D:$D,wallet_records!$B:$B,'EEFF 2026 Proyectado'!$C11,wallet_records!$L:$L,'EEFF 2026 Proyectado'!BL$3,wallet_records!$O:$O,'EEFF 2026 Proyectado'!$B$1,wallet_records!$N:$N,'EEFF 2026 Proyectado'!BL$2,wallet_records!$H:$H,'EEFF 2026 Proyectado'!$B11)</f>
        <v>0</v>
      </c>
      <c r="BM11" s="115">
        <f>SUMIFS(wallet_records!$D:$D,wallet_records!$B:$B,'EEFF 2026 Proyectado'!$C11,wallet_records!$L:$L,'EEFF 2026 Proyectado'!BM$3,wallet_records!$O:$O,'EEFF 2026 Proyectado'!$B$1,wallet_records!$N:$N,'EEFF 2026 Proyectado'!BM$2,wallet_records!$H:$H,'EEFF 2026 Proyectado'!$B11)</f>
        <v>0</v>
      </c>
      <c r="BN11" s="116">
        <v>926942</v>
      </c>
      <c r="BO11" s="115">
        <f>SUMIFS(wallet_records!$D:$D,wallet_records!$B:$B,'EEFF 2026 Proyectado'!$C11,wallet_records!$L:$L,'EEFF 2026 Proyectado'!BO$3,wallet_records!$O:$O,'EEFF 2026 Proyectado'!$B$1,wallet_records!$N:$N,'EEFF 2026 Proyectado'!BO$2,wallet_records!$H:$H,'EEFF 2026 Proyectado'!$B11)</f>
        <v>0</v>
      </c>
      <c r="BP11" s="115">
        <f>SUMIFS(wallet_records!$D:$D,wallet_records!$B:$B,'EEFF 2026 Proyectado'!$C11,wallet_records!$L:$L,'EEFF 2026 Proyectado'!BP$3,wallet_records!$O:$O,'EEFF 2026 Proyectado'!$B$1,wallet_records!$N:$N,'EEFF 2026 Proyectado'!BP$2,wallet_records!$H:$H,'EEFF 2026 Proyectado'!$B11)</f>
        <v>0</v>
      </c>
      <c r="BQ11" s="115">
        <f>SUMIFS(wallet_records!$D:$D,wallet_records!$B:$B,'EEFF 2026 Proyectado'!$C11,wallet_records!$L:$L,'EEFF 2026 Proyectado'!BQ$3,wallet_records!$O:$O,'EEFF 2026 Proyectado'!$B$1,wallet_records!$N:$N,'EEFF 2026 Proyectado'!BQ$2,wallet_records!$H:$H,'EEFF 2026 Proyectado'!$B11)</f>
        <v>0</v>
      </c>
      <c r="BR11" s="115">
        <f>SUMIFS(wallet_records!$D:$D,wallet_records!$B:$B,'EEFF 2026 Proyectado'!$C11,wallet_records!$L:$L,'EEFF 2026 Proyectado'!BR$3,wallet_records!$O:$O,'EEFF 2026 Proyectado'!$B$1,wallet_records!$N:$N,'EEFF 2026 Proyectado'!BR$2,wallet_records!$H:$H,'EEFF 2026 Proyectado'!$B11)</f>
        <v>0</v>
      </c>
      <c r="BS11" s="115">
        <f>SUMIFS(wallet_records!$D:$D,wallet_records!$B:$B,'EEFF 2026 Proyectado'!$C11,wallet_records!$L:$L,'EEFF 2026 Proyectado'!BS$3,wallet_records!$O:$O,'EEFF 2026 Proyectado'!$B$1,wallet_records!$N:$N,'EEFF 2026 Proyectado'!BS$2,wallet_records!$H:$H,'EEFF 2026 Proyectado'!$B11)</f>
        <v>0</v>
      </c>
      <c r="BT11" s="115">
        <f>SUMIFS(wallet_records!$D:$D,wallet_records!$B:$B,'EEFF 2026 Proyectado'!$C11,wallet_records!$L:$L,'EEFF 2026 Proyectado'!BT$3,wallet_records!$O:$O,'EEFF 2026 Proyectado'!$B$1,wallet_records!$N:$N,'EEFF 2026 Proyectado'!BT$2,wallet_records!$H:$H,'EEFF 2026 Proyectado'!$B11)</f>
        <v>0</v>
      </c>
      <c r="BU11" s="116">
        <v>926942</v>
      </c>
      <c r="BV11" s="115">
        <f>SUMIFS(wallet_records!$D:$D,wallet_records!$B:$B,'EEFF 2026 Proyectado'!$C11,wallet_records!$L:$L,'EEFF 2026 Proyectado'!BV$3,wallet_records!$O:$O,'EEFF 2026 Proyectado'!$B$1,wallet_records!$N:$N,'EEFF 2026 Proyectado'!BV$2,wallet_records!$H:$H,'EEFF 2026 Proyectado'!$B11)</f>
        <v>0</v>
      </c>
      <c r="BW11" s="115">
        <f>SUMIFS(wallet_records!$D:$D,wallet_records!$B:$B,'EEFF 2026 Proyectado'!$C11,wallet_records!$L:$L,'EEFF 2026 Proyectado'!BW$3,wallet_records!$O:$O,'EEFF 2026 Proyectado'!$B$1,wallet_records!$N:$N,'EEFF 2026 Proyectado'!BW$2,wallet_records!$H:$H,'EEFF 2026 Proyectado'!$B11)</f>
        <v>0</v>
      </c>
      <c r="BX11" s="115">
        <f>SUMIFS(wallet_records!$D:$D,wallet_records!$B:$B,'EEFF 2026 Proyectado'!$C11,wallet_records!$L:$L,'EEFF 2026 Proyectado'!BX$3,wallet_records!$O:$O,'EEFF 2026 Proyectado'!$B$1,wallet_records!$N:$N,'EEFF 2026 Proyectado'!BX$2,wallet_records!$H:$H,'EEFF 2026 Proyectado'!$B11)</f>
        <v>0</v>
      </c>
      <c r="BY11" s="115">
        <f>SUMIFS(wallet_records!$D:$D,wallet_records!$B:$B,'EEFF 2026 Proyectado'!$C11,wallet_records!$L:$L,'EEFF 2026 Proyectado'!BY$3,wallet_records!$O:$O,'EEFF 2026 Proyectado'!$B$1,wallet_records!$N:$N,'EEFF 2026 Proyectado'!BY$2,wallet_records!$H:$H,'EEFF 2026 Proyectado'!$B11)</f>
        <v>0</v>
      </c>
      <c r="BZ11" s="115">
        <f>SUMIFS(wallet_records!$D:$D,wallet_records!$B:$B,'EEFF 2026 Proyectado'!$C11,wallet_records!$L:$L,'EEFF 2026 Proyectado'!BZ$3,wallet_records!$O:$O,'EEFF 2026 Proyectado'!$B$1,wallet_records!$N:$N,'EEFF 2026 Proyectado'!BZ$2,wallet_records!$H:$H,'EEFF 2026 Proyectado'!$B11)</f>
        <v>0</v>
      </c>
      <c r="CA11" s="115">
        <f>SUMIFS(wallet_records!$D:$D,wallet_records!$B:$B,'EEFF 2026 Proyectado'!$C11,wallet_records!$L:$L,'EEFF 2026 Proyectado'!CA$3,wallet_records!$O:$O,'EEFF 2026 Proyectado'!$B$1,wallet_records!$N:$N,'EEFF 2026 Proyectado'!CA$2,wallet_records!$H:$H,'EEFF 2026 Proyectado'!$B11)</f>
        <v>0</v>
      </c>
      <c r="CB11" s="116">
        <v>926942</v>
      </c>
      <c r="CC11" s="115">
        <f>SUMIFS(wallet_records!$D:$D,wallet_records!$B:$B,'EEFF 2026 Proyectado'!$C11,wallet_records!$L:$L,'EEFF 2026 Proyectado'!CC$3,wallet_records!$O:$O,'EEFF 2026 Proyectado'!$B$1,wallet_records!$N:$N,'EEFF 2026 Proyectado'!CC$2,wallet_records!$H:$H,'EEFF 2026 Proyectado'!$B11)</f>
        <v>0</v>
      </c>
      <c r="CD11" s="115">
        <f>SUMIFS(wallet_records!$D:$D,wallet_records!$B:$B,'EEFF 2026 Proyectado'!$C11,wallet_records!$L:$L,'EEFF 2026 Proyectado'!CD$3,wallet_records!$O:$O,'EEFF 2026 Proyectado'!$B$1,wallet_records!$N:$N,'EEFF 2026 Proyectado'!CD$2,wallet_records!$H:$H,'EEFF 2026 Proyectado'!$B11)</f>
        <v>0</v>
      </c>
      <c r="CE11" s="115">
        <f>SUMIFS(wallet_records!$D:$D,wallet_records!$B:$B,'EEFF 2026 Proyectado'!$C11,wallet_records!$L:$L,'EEFF 2026 Proyectado'!CE$3,wallet_records!$O:$O,'EEFF 2026 Proyectado'!$B$1,wallet_records!$N:$N,'EEFF 2026 Proyectado'!CE$2,wallet_records!$H:$H,'EEFF 2026 Proyectado'!$B11)</f>
        <v>0</v>
      </c>
      <c r="CF11" s="115">
        <f>SUMIFS(wallet_records!$D:$D,wallet_records!$B:$B,'EEFF 2026 Proyectado'!$C11,wallet_records!$L:$L,'EEFF 2026 Proyectado'!CF$3,wallet_records!$O:$O,'EEFF 2026 Proyectado'!$B$1,wallet_records!$N:$N,'EEFF 2026 Proyectado'!CF$2,wallet_records!$H:$H,'EEFF 2026 Proyectado'!$B11)</f>
        <v>0</v>
      </c>
      <c r="CG11" s="115">
        <f>SUMIFS(wallet_records!$D:$D,wallet_records!$B:$B,'EEFF 2026 Proyectado'!$C11,wallet_records!$L:$L,'EEFF 2026 Proyectado'!CG$3,wallet_records!$O:$O,'EEFF 2026 Proyectado'!$B$1,wallet_records!$N:$N,'EEFF 2026 Proyectado'!CG$2,wallet_records!$H:$H,'EEFF 2026 Proyectado'!$B11)</f>
        <v>0</v>
      </c>
      <c r="CH11" s="115">
        <f>SUMIFS(wallet_records!$D:$D,wallet_records!$B:$B,'EEFF 2026 Proyectado'!$C11,wallet_records!$L:$L,'EEFF 2026 Proyectado'!CH$3,wallet_records!$O:$O,'EEFF 2026 Proyectado'!$B$1,wallet_records!$N:$N,'EEFF 2026 Proyectado'!CH$2,wallet_records!$H:$H,'EEFF 2026 Proyectado'!$B11)</f>
        <v>0</v>
      </c>
      <c r="CI11" s="116">
        <v>926942</v>
      </c>
      <c r="CJ11" s="115">
        <f>SUMIFS(wallet_records!$D:$D,wallet_records!$B:$B,'EEFF 2026 Proyectado'!$C11,wallet_records!$L:$L,'EEFF 2026 Proyectado'!CJ$3,wallet_records!$O:$O,'EEFF 2026 Proyectado'!$B$1,wallet_records!$H:$H,'EEFF 2026 Proyectado'!$B11)</f>
        <v>312000</v>
      </c>
      <c r="CK11" s="115">
        <f>SUMIFS(wallet_records!$D:$D,wallet_records!$B:$B,'EEFF 2026 Proyectado'!$C11,wallet_records!$L:$L,'EEFF 2026 Proyectado'!CK$3,wallet_records!$O:$O,'EEFF 2026 Proyectado'!$B$1,wallet_records!$H:$H,'EEFF 2026 Proyectado'!$B11)</f>
        <v>0</v>
      </c>
      <c r="CL11" s="115">
        <f>SUMIFS(wallet_records!$D:$D,wallet_records!$B:$B,'EEFF 2026 Proyectado'!$C11,wallet_records!$L:$L,'EEFF 2026 Proyectado'!CL$3,wallet_records!$O:$O,'EEFF 2026 Proyectado'!$B$1,wallet_records!$H:$H,'EEFF 2026 Proyectado'!$B11)</f>
        <v>1003084</v>
      </c>
      <c r="CM11" s="115">
        <f>SUMIFS(wallet_records!$D:$D,wallet_records!$B:$B,'EEFF 2026 Proyectado'!$C11,wallet_records!$L:$L,'EEFF 2026 Proyectado'!CM$3,wallet_records!$O:$O,'EEFF 2026 Proyectado'!$B$1,wallet_records!$H:$H,'EEFF 2026 Proyectado'!$B11)</f>
        <v>0</v>
      </c>
      <c r="CN11" s="115">
        <f>SUMIFS(wallet_records!$D:$D,wallet_records!$B:$B,'EEFF 2026 Proyectado'!$C11,wallet_records!$L:$L,'EEFF 2026 Proyectado'!CN$3,wallet_records!$O:$O,'EEFF 2026 Proyectado'!$B$1,wallet_records!$H:$H,'EEFF 2026 Proyectado'!$B11)</f>
        <v>538800</v>
      </c>
      <c r="CO11" s="115">
        <f>SUMIFS(wallet_records!$D:$D,wallet_records!$B:$B,'EEFF 2026 Proyectado'!$C11,wallet_records!$L:$L,'EEFF 2026 Proyectado'!CO$3,wallet_records!$O:$O,'EEFF 2026 Proyectado'!$B$1,wallet_records!$H:$H,'EEFF 2026 Proyectado'!$B11)</f>
        <v>0</v>
      </c>
      <c r="CP11" s="116"/>
      <c r="CQ11" s="107"/>
      <c r="CR11" s="118">
        <f t="shared" si="0"/>
        <v>9.7648905463202915E-2</v>
      </c>
      <c r="CS11" s="118">
        <f t="shared" si="1"/>
        <v>9.7648905463202915E-2</v>
      </c>
      <c r="CT11" s="118">
        <f t="shared" si="2"/>
        <v>9.7648905463202915E-2</v>
      </c>
      <c r="CU11" s="118">
        <f t="shared" si="3"/>
        <v>9.7648905463202915E-2</v>
      </c>
      <c r="CV11" s="118">
        <f t="shared" si="4"/>
        <v>9.7648905463202915E-2</v>
      </c>
      <c r="CW11" s="118">
        <f t="shared" si="5"/>
        <v>9.3157659355292577E-2</v>
      </c>
      <c r="CX11" s="118">
        <f t="shared" si="6"/>
        <v>9.0339724542694996E-2</v>
      </c>
      <c r="CY11" s="118">
        <f t="shared" si="7"/>
        <v>8.9945854059532704E-2</v>
      </c>
      <c r="CZ11" s="118">
        <f t="shared" si="8"/>
        <v>8.9945854059532704E-2</v>
      </c>
      <c r="DA11" s="118">
        <f t="shared" si="9"/>
        <v>8.9945854059532704E-2</v>
      </c>
      <c r="DB11" s="118">
        <f t="shared" si="10"/>
        <v>8.9945854059532704E-2</v>
      </c>
      <c r="DC11" s="118">
        <f t="shared" si="11"/>
        <v>8.9188892784451912E-2</v>
      </c>
    </row>
    <row r="12" spans="2:120" x14ac:dyDescent="0.2">
      <c r="B12" s="107" t="s">
        <v>508</v>
      </c>
      <c r="C12" s="191" t="s">
        <v>154</v>
      </c>
      <c r="D12" s="115">
        <f>SUMIFS(wallet_records!$D:$D,wallet_records!$B:$B,'EEFF 2026 Proyectado'!$C12,wallet_records!$L:$L,'EEFF 2026 Proyectado'!D$3,wallet_records!$O:$O,'EEFF 2026 Proyectado'!$B$1,wallet_records!$N:$N,'EEFF 2026 Proyectado'!D$2,wallet_records!$H:$H,'EEFF 2026 Proyectado'!$B12)</f>
        <v>0</v>
      </c>
      <c r="E12" s="115">
        <f>SUMIFS(wallet_records!$D:$D,wallet_records!$B:$B,'EEFF 2026 Proyectado'!$C12,wallet_records!$L:$L,'EEFF 2026 Proyectado'!E$3,wallet_records!$O:$O,'EEFF 2026 Proyectado'!$B$1,wallet_records!$N:$N,'EEFF 2026 Proyectado'!E$2,wallet_records!$H:$H,'EEFF 2026 Proyectado'!$B12)</f>
        <v>0</v>
      </c>
      <c r="F12" s="115">
        <f>SUMIFS(wallet_records!$D:$D,wallet_records!$B:$B,'EEFF 2026 Proyectado'!$C12,wallet_records!$L:$L,'EEFF 2026 Proyectado'!F$3,wallet_records!$O:$O,'EEFF 2026 Proyectado'!$B$1,wallet_records!$N:$N,'EEFF 2026 Proyectado'!F$2,wallet_records!$H:$H,'EEFF 2026 Proyectado'!$B12)</f>
        <v>0</v>
      </c>
      <c r="G12" s="115">
        <f>SUMIFS(wallet_records!$D:$D,wallet_records!$B:$B,'EEFF 2026 Proyectado'!$C12,wallet_records!$L:$L,'EEFF 2026 Proyectado'!G$3,wallet_records!$O:$O,'EEFF 2026 Proyectado'!$B$1,wallet_records!$N:$N,'EEFF 2026 Proyectado'!G$2,wallet_records!$H:$H,'EEFF 2026 Proyectado'!$B12)</f>
        <v>0</v>
      </c>
      <c r="H12" s="115">
        <f>SUMIFS(wallet_records!$D:$D,wallet_records!$B:$B,'EEFF 2026 Proyectado'!$C12,wallet_records!$L:$L,'EEFF 2026 Proyectado'!H$3,wallet_records!$O:$O,'EEFF 2026 Proyectado'!$B$1,wallet_records!$N:$N,'EEFF 2026 Proyectado'!H$2,wallet_records!$H:$H,'EEFF 2026 Proyectado'!$B12)</f>
        <v>0</v>
      </c>
      <c r="I12" s="115">
        <f>SUMIFS(wallet_records!$D:$D,wallet_records!$B:$B,'EEFF 2026 Proyectado'!$C12,wallet_records!$L:$L,'EEFF 2026 Proyectado'!I$3,wallet_records!$O:$O,'EEFF 2026 Proyectado'!$B$1,wallet_records!$N:$N,'EEFF 2026 Proyectado'!I$2,wallet_records!$H:$H,'EEFF 2026 Proyectado'!$B12)</f>
        <v>0</v>
      </c>
      <c r="J12" s="116">
        <v>0</v>
      </c>
      <c r="K12" s="115">
        <f>SUMIFS(wallet_records!$D:$D,wallet_records!$B:$B,'EEFF 2026 Proyectado'!$C12,wallet_records!$L:$L,'EEFF 2026 Proyectado'!K$3,wallet_records!$O:$O,'EEFF 2026 Proyectado'!$B$1,wallet_records!$N:$N,'EEFF 2026 Proyectado'!K$2,wallet_records!$H:$H,'EEFF 2026 Proyectado'!$B12)</f>
        <v>2461875</v>
      </c>
      <c r="L12" s="115">
        <f>SUMIFS(wallet_records!$D:$D,wallet_records!$B:$B,'EEFF 2026 Proyectado'!$C12,wallet_records!$L:$L,'EEFF 2026 Proyectado'!L$3,wallet_records!$O:$O,'EEFF 2026 Proyectado'!$B$1,wallet_records!$N:$N,'EEFF 2026 Proyectado'!L$2,wallet_records!$H:$H,'EEFF 2026 Proyectado'!$B12)</f>
        <v>4431940</v>
      </c>
      <c r="M12" s="115">
        <f>SUMIFS(wallet_records!$D:$D,wallet_records!$B:$B,'EEFF 2026 Proyectado'!$C12,wallet_records!$L:$L,'EEFF 2026 Proyectado'!M$3,wallet_records!$O:$O,'EEFF 2026 Proyectado'!$B$1,wallet_records!$N:$N,'EEFF 2026 Proyectado'!M$2,wallet_records!$H:$H,'EEFF 2026 Proyectado'!$B12)</f>
        <v>1823377</v>
      </c>
      <c r="N12" s="115">
        <f>SUMIFS(wallet_records!$D:$D,wallet_records!$B:$B,'EEFF 2026 Proyectado'!$C12,wallet_records!$L:$L,'EEFF 2026 Proyectado'!N$3,wallet_records!$O:$O,'EEFF 2026 Proyectado'!$B$1,wallet_records!$N:$N,'EEFF 2026 Proyectado'!N$2,wallet_records!$H:$H,'EEFF 2026 Proyectado'!$B12)</f>
        <v>359256</v>
      </c>
      <c r="O12" s="115">
        <f>SUMIFS(wallet_records!$D:$D,wallet_records!$B:$B,'EEFF 2026 Proyectado'!$C12,wallet_records!$L:$L,'EEFF 2026 Proyectado'!O$3,wallet_records!$O:$O,'EEFF 2026 Proyectado'!$B$1,wallet_records!$N:$N,'EEFF 2026 Proyectado'!O$2,wallet_records!$H:$H,'EEFF 2026 Proyectado'!$B12)</f>
        <v>1320857</v>
      </c>
      <c r="P12" s="115">
        <f>SUMIFS(wallet_records!$D:$D,wallet_records!$B:$B,'EEFF 2026 Proyectado'!$C12,wallet_records!$L:$L,'EEFF 2026 Proyectado'!P$3,wallet_records!$O:$O,'EEFF 2026 Proyectado'!$B$1,wallet_records!$N:$N,'EEFF 2026 Proyectado'!P$2,wallet_records!$H:$H,'EEFF 2026 Proyectado'!$B12)</f>
        <v>0</v>
      </c>
      <c r="Q12" s="116">
        <f t="shared" si="14"/>
        <v>10397305</v>
      </c>
      <c r="R12" s="115">
        <f>SUMIFS(wallet_records!$D:$D,wallet_records!$B:$B,'EEFF 2026 Proyectado'!$C12,wallet_records!$L:$L,'EEFF 2026 Proyectado'!R$3,wallet_records!$O:$O,'EEFF 2026 Proyectado'!$B$1,wallet_records!$N:$N,'EEFF 2026 Proyectado'!R$2,wallet_records!$H:$H,'EEFF 2026 Proyectado'!$B12)</f>
        <v>0</v>
      </c>
      <c r="S12" s="115">
        <f>SUMIFS(wallet_records!$D:$D,wallet_records!$B:$B,'EEFF 2026 Proyectado'!$C12,wallet_records!$L:$L,'EEFF 2026 Proyectado'!S$3,wallet_records!$O:$O,'EEFF 2026 Proyectado'!$B$1,wallet_records!$N:$N,'EEFF 2026 Proyectado'!S$2,wallet_records!$H:$H,'EEFF 2026 Proyectado'!$B12)</f>
        <v>0</v>
      </c>
      <c r="T12" s="115">
        <f>SUMIFS(wallet_records!$D:$D,wallet_records!$B:$B,'EEFF 2026 Proyectado'!$C12,wallet_records!$L:$L,'EEFF 2026 Proyectado'!T$3,wallet_records!$O:$O,'EEFF 2026 Proyectado'!$B$1,wallet_records!$N:$N,'EEFF 2026 Proyectado'!T$2,wallet_records!$H:$H,'EEFF 2026 Proyectado'!$B12)</f>
        <v>0</v>
      </c>
      <c r="U12" s="115">
        <f>SUMIFS(wallet_records!$D:$D,wallet_records!$B:$B,'EEFF 2026 Proyectado'!$C12,wallet_records!$L:$L,'EEFF 2026 Proyectado'!U$3,wallet_records!$O:$O,'EEFF 2026 Proyectado'!$B$1,wallet_records!$N:$N,'EEFF 2026 Proyectado'!U$2,wallet_records!$H:$H,'EEFF 2026 Proyectado'!$B12)</f>
        <v>0</v>
      </c>
      <c r="V12" s="115">
        <f>SUMIFS(wallet_records!$D:$D,wallet_records!$B:$B,'EEFF 2026 Proyectado'!$C12,wallet_records!$L:$L,'EEFF 2026 Proyectado'!V$3,wallet_records!$O:$O,'EEFF 2026 Proyectado'!$B$1,wallet_records!$N:$N,'EEFF 2026 Proyectado'!V$2,wallet_records!$H:$H,'EEFF 2026 Proyectado'!$B12)</f>
        <v>0</v>
      </c>
      <c r="W12" s="115">
        <f>SUMIFS(wallet_records!$D:$D,wallet_records!$B:$B,'EEFF 2026 Proyectado'!$C12,wallet_records!$L:$L,'EEFF 2026 Proyectado'!W$3,wallet_records!$O:$O,'EEFF 2026 Proyectado'!$B$1,wallet_records!$N:$N,'EEFF 2026 Proyectado'!W$2,wallet_records!$H:$H,'EEFF 2026 Proyectado'!$B12)</f>
        <v>0</v>
      </c>
      <c r="X12" s="116">
        <v>1600000</v>
      </c>
      <c r="Y12" s="115">
        <f>SUMIFS(wallet_records!$D:$D,wallet_records!$B:$B,'EEFF 2026 Proyectado'!$C12,wallet_records!$L:$L,'EEFF 2026 Proyectado'!Y$3,wallet_records!$O:$O,'EEFF 2026 Proyectado'!$B$1,wallet_records!$N:$N,'EEFF 2026 Proyectado'!Y$2,wallet_records!$H:$H,'EEFF 2026 Proyectado'!$B12)</f>
        <v>0</v>
      </c>
      <c r="Z12" s="115">
        <f>SUMIFS(wallet_records!$D:$D,wallet_records!$B:$B,'EEFF 2026 Proyectado'!$C12,wallet_records!$L:$L,'EEFF 2026 Proyectado'!Z$3,wallet_records!$O:$O,'EEFF 2026 Proyectado'!$B$1,wallet_records!$N:$N,'EEFF 2026 Proyectado'!Z$2,wallet_records!$H:$H,'EEFF 2026 Proyectado'!$B12)</f>
        <v>0</v>
      </c>
      <c r="AA12" s="115">
        <f>SUMIFS(wallet_records!$D:$D,wallet_records!$B:$B,'EEFF 2026 Proyectado'!$C12,wallet_records!$L:$L,'EEFF 2026 Proyectado'!AA$3,wallet_records!$O:$O,'EEFF 2026 Proyectado'!$B$1,wallet_records!$N:$N,'EEFF 2026 Proyectado'!AA$2,wallet_records!$H:$H,'EEFF 2026 Proyectado'!$B12)</f>
        <v>0</v>
      </c>
      <c r="AB12" s="115">
        <f>SUMIFS(wallet_records!$D:$D,wallet_records!$B:$B,'EEFF 2026 Proyectado'!$C12,wallet_records!$L:$L,'EEFF 2026 Proyectado'!AB$3,wallet_records!$O:$O,'EEFF 2026 Proyectado'!$B$1,wallet_records!$N:$N,'EEFF 2026 Proyectado'!AB$2,wallet_records!$H:$H,'EEFF 2026 Proyectado'!$B12)</f>
        <v>0</v>
      </c>
      <c r="AC12" s="115">
        <f>SUMIFS(wallet_records!$D:$D,wallet_records!$B:$B,'EEFF 2026 Proyectado'!$C12,wallet_records!$L:$L,'EEFF 2026 Proyectado'!AC$3,wallet_records!$O:$O,'EEFF 2026 Proyectado'!$B$1,wallet_records!$N:$N,'EEFF 2026 Proyectado'!AC$2,wallet_records!$H:$H,'EEFF 2026 Proyectado'!$B12)</f>
        <v>0</v>
      </c>
      <c r="AD12" s="115">
        <f>SUMIFS(wallet_records!$D:$D,wallet_records!$B:$B,'EEFF 2026 Proyectado'!$C12,wallet_records!$L:$L,'EEFF 2026 Proyectado'!AD$3,wallet_records!$O:$O,'EEFF 2026 Proyectado'!$B$1,wallet_records!$N:$N,'EEFF 2026 Proyectado'!AD$2,wallet_records!$H:$H,'EEFF 2026 Proyectado'!$B12)</f>
        <v>0</v>
      </c>
      <c r="AE12" s="116">
        <v>0</v>
      </c>
      <c r="AF12" s="115">
        <f>SUMIFS(wallet_records!$D:$D,wallet_records!$B:$B,'EEFF 2026 Proyectado'!$C12,wallet_records!$L:$L,'EEFF 2026 Proyectado'!AF$3,wallet_records!$O:$O,'EEFF 2026 Proyectado'!$B$1,wallet_records!$N:$N,'EEFF 2026 Proyectado'!AF$2,wallet_records!$H:$H,'EEFF 2026 Proyectado'!$B12)</f>
        <v>0</v>
      </c>
      <c r="AG12" s="115">
        <f>SUMIFS(wallet_records!$D:$D,wallet_records!$B:$B,'EEFF 2026 Proyectado'!$C12,wallet_records!$L:$L,'EEFF 2026 Proyectado'!AG$3,wallet_records!$O:$O,'EEFF 2026 Proyectado'!$B$1,wallet_records!$N:$N,'EEFF 2026 Proyectado'!AG$2,wallet_records!$H:$H,'EEFF 2026 Proyectado'!$B12)</f>
        <v>0</v>
      </c>
      <c r="AH12" s="115">
        <f>SUMIFS(wallet_records!$D:$D,wallet_records!$B:$B,'EEFF 2026 Proyectado'!$C12,wallet_records!$L:$L,'EEFF 2026 Proyectado'!AH$3,wallet_records!$O:$O,'EEFF 2026 Proyectado'!$B$1,wallet_records!$N:$N,'EEFF 2026 Proyectado'!AH$2,wallet_records!$H:$H,'EEFF 2026 Proyectado'!$B12)</f>
        <v>0</v>
      </c>
      <c r="AI12" s="115">
        <f>SUMIFS(wallet_records!$D:$D,wallet_records!$B:$B,'EEFF 2026 Proyectado'!$C12,wallet_records!$L:$L,'EEFF 2026 Proyectado'!AI$3,wallet_records!$O:$O,'EEFF 2026 Proyectado'!$B$1,wallet_records!$N:$N,'EEFF 2026 Proyectado'!AI$2,wallet_records!$H:$H,'EEFF 2026 Proyectado'!$B12)</f>
        <v>0</v>
      </c>
      <c r="AJ12" s="115">
        <f>SUMIFS(wallet_records!$D:$D,wallet_records!$B:$B,'EEFF 2026 Proyectado'!$C12,wallet_records!$L:$L,'EEFF 2026 Proyectado'!AJ$3,wallet_records!$O:$O,'EEFF 2026 Proyectado'!$B$1,wallet_records!$N:$N,'EEFF 2026 Proyectado'!AJ$2,wallet_records!$H:$H,'EEFF 2026 Proyectado'!$B12)</f>
        <v>0</v>
      </c>
      <c r="AK12" s="115">
        <f>SUMIFS(wallet_records!$D:$D,wallet_records!$B:$B,'EEFF 2026 Proyectado'!$C12,wallet_records!$L:$L,'EEFF 2026 Proyectado'!AK$3,wallet_records!$O:$O,'EEFF 2026 Proyectado'!$B$1,wallet_records!$N:$N,'EEFF 2026 Proyectado'!AK$2,wallet_records!$H:$H,'EEFF 2026 Proyectado'!$B12)</f>
        <v>0</v>
      </c>
      <c r="AL12" s="116">
        <v>0</v>
      </c>
      <c r="AM12" s="115">
        <f>SUMIFS(wallet_records!$D:$D,wallet_records!$B:$B,'EEFF 2026 Proyectado'!$C12,wallet_records!$L:$L,'EEFF 2026 Proyectado'!AM$3,wallet_records!$O:$O,'EEFF 2026 Proyectado'!$B$1,wallet_records!$N:$N,'EEFF 2026 Proyectado'!AM$2,wallet_records!$H:$H,'EEFF 2026 Proyectado'!$B12)</f>
        <v>0</v>
      </c>
      <c r="AN12" s="115">
        <f>SUMIFS(wallet_records!$D:$D,wallet_records!$B:$B,'EEFF 2026 Proyectado'!$C12,wallet_records!$L:$L,'EEFF 2026 Proyectado'!AN$3,wallet_records!$O:$O,'EEFF 2026 Proyectado'!$B$1,wallet_records!$N:$N,'EEFF 2026 Proyectado'!AN$2,wallet_records!$H:$H,'EEFF 2026 Proyectado'!$B12)</f>
        <v>0</v>
      </c>
      <c r="AO12" s="115">
        <f>SUMIFS(wallet_records!$D:$D,wallet_records!$B:$B,'EEFF 2026 Proyectado'!$C12,wallet_records!$L:$L,'EEFF 2026 Proyectado'!AO$3,wallet_records!$O:$O,'EEFF 2026 Proyectado'!$B$1,wallet_records!$N:$N,'EEFF 2026 Proyectado'!AO$2,wallet_records!$H:$H,'EEFF 2026 Proyectado'!$B12)</f>
        <v>0</v>
      </c>
      <c r="AP12" s="115">
        <f>SUMIFS(wallet_records!$D:$D,wallet_records!$B:$B,'EEFF 2026 Proyectado'!$C12,wallet_records!$L:$L,'EEFF 2026 Proyectado'!AP$3,wallet_records!$O:$O,'EEFF 2026 Proyectado'!$B$1,wallet_records!$N:$N,'EEFF 2026 Proyectado'!AP$2,wallet_records!$H:$H,'EEFF 2026 Proyectado'!$B12)</f>
        <v>0</v>
      </c>
      <c r="AQ12" s="115">
        <f>SUMIFS(wallet_records!$D:$D,wallet_records!$B:$B,'EEFF 2026 Proyectado'!$C12,wallet_records!$L:$L,'EEFF 2026 Proyectado'!AQ$3,wallet_records!$O:$O,'EEFF 2026 Proyectado'!$B$1,wallet_records!$N:$N,'EEFF 2026 Proyectado'!AQ$2,wallet_records!$H:$H,'EEFF 2026 Proyectado'!$B12)</f>
        <v>0</v>
      </c>
      <c r="AR12" s="115">
        <f>SUMIFS(wallet_records!$D:$D,wallet_records!$B:$B,'EEFF 2026 Proyectado'!$C12,wallet_records!$L:$L,'EEFF 2026 Proyectado'!AR$3,wallet_records!$O:$O,'EEFF 2026 Proyectado'!$B$1,wallet_records!$N:$N,'EEFF 2026 Proyectado'!AR$2,wallet_records!$H:$H,'EEFF 2026 Proyectado'!$B12)</f>
        <v>0</v>
      </c>
      <c r="AS12" s="116">
        <v>0</v>
      </c>
      <c r="AT12" s="115">
        <f>SUMIFS(wallet_records!$D:$D,wallet_records!$B:$B,'EEFF 2026 Proyectado'!$C12,wallet_records!$L:$L,'EEFF 2026 Proyectado'!AT$3,wallet_records!$O:$O,'EEFF 2026 Proyectado'!$B$1,wallet_records!$N:$N,'EEFF 2026 Proyectado'!AT$2,wallet_records!$H:$H,'EEFF 2026 Proyectado'!$B12)</f>
        <v>0</v>
      </c>
      <c r="AU12" s="115">
        <f>SUMIFS(wallet_records!$D:$D,wallet_records!$B:$B,'EEFF 2026 Proyectado'!$C12,wallet_records!$L:$L,'EEFF 2026 Proyectado'!AU$3,wallet_records!$O:$O,'EEFF 2026 Proyectado'!$B$1,wallet_records!$N:$N,'EEFF 2026 Proyectado'!AU$2,wallet_records!$H:$H,'EEFF 2026 Proyectado'!$B12)</f>
        <v>0</v>
      </c>
      <c r="AV12" s="115">
        <f>SUMIFS(wallet_records!$D:$D,wallet_records!$B:$B,'EEFF 2026 Proyectado'!$C12,wallet_records!$L:$L,'EEFF 2026 Proyectado'!AV$3,wallet_records!$O:$O,'EEFF 2026 Proyectado'!$B$1,wallet_records!$N:$N,'EEFF 2026 Proyectado'!AV$2,wallet_records!$H:$H,'EEFF 2026 Proyectado'!$B12)</f>
        <v>0</v>
      </c>
      <c r="AW12" s="115">
        <f>SUMIFS(wallet_records!$D:$D,wallet_records!$B:$B,'EEFF 2026 Proyectado'!$C12,wallet_records!$L:$L,'EEFF 2026 Proyectado'!AW$3,wallet_records!$O:$O,'EEFF 2026 Proyectado'!$B$1,wallet_records!$N:$N,'EEFF 2026 Proyectado'!AW$2,wallet_records!$H:$H,'EEFF 2026 Proyectado'!$B12)</f>
        <v>0</v>
      </c>
      <c r="AX12" s="115">
        <f>SUMIFS(wallet_records!$D:$D,wallet_records!$B:$B,'EEFF 2026 Proyectado'!$C12,wallet_records!$L:$L,'EEFF 2026 Proyectado'!AX$3,wallet_records!$O:$O,'EEFF 2026 Proyectado'!$B$1,wallet_records!$N:$N,'EEFF 2026 Proyectado'!AX$2,wallet_records!$H:$H,'EEFF 2026 Proyectado'!$B12)</f>
        <v>0</v>
      </c>
      <c r="AY12" s="115">
        <f>SUMIFS(wallet_records!$D:$D,wallet_records!$B:$B,'EEFF 2026 Proyectado'!$C12,wallet_records!$L:$L,'EEFF 2026 Proyectado'!AY$3,wallet_records!$O:$O,'EEFF 2026 Proyectado'!$B$1,wallet_records!$N:$N,'EEFF 2026 Proyectado'!AY$2,wallet_records!$H:$H,'EEFF 2026 Proyectado'!$B12)</f>
        <v>0</v>
      </c>
      <c r="AZ12" s="116">
        <v>0</v>
      </c>
      <c r="BA12" s="115">
        <f>SUMIFS(wallet_records!$D:$D,wallet_records!$B:$B,'EEFF 2026 Proyectado'!$C12,wallet_records!$L:$L,'EEFF 2026 Proyectado'!BA$3,wallet_records!$O:$O,'EEFF 2026 Proyectado'!$B$1,wallet_records!$N:$N,'EEFF 2026 Proyectado'!BA$2,wallet_records!$H:$H,'EEFF 2026 Proyectado'!$B12)</f>
        <v>0</v>
      </c>
      <c r="BB12" s="115">
        <f>SUMIFS(wallet_records!$D:$D,wallet_records!$B:$B,'EEFF 2026 Proyectado'!$C12,wallet_records!$L:$L,'EEFF 2026 Proyectado'!BB$3,wallet_records!$O:$O,'EEFF 2026 Proyectado'!$B$1,wallet_records!$N:$N,'EEFF 2026 Proyectado'!BB$2,wallet_records!$H:$H,'EEFF 2026 Proyectado'!$B12)</f>
        <v>0</v>
      </c>
      <c r="BC12" s="115">
        <f>SUMIFS(wallet_records!$D:$D,wallet_records!$B:$B,'EEFF 2026 Proyectado'!$C12,wallet_records!$L:$L,'EEFF 2026 Proyectado'!BC$3,wallet_records!$O:$O,'EEFF 2026 Proyectado'!$B$1,wallet_records!$N:$N,'EEFF 2026 Proyectado'!BC$2,wallet_records!$H:$H,'EEFF 2026 Proyectado'!$B12)</f>
        <v>0</v>
      </c>
      <c r="BD12" s="115">
        <f>SUMIFS(wallet_records!$D:$D,wallet_records!$B:$B,'EEFF 2026 Proyectado'!$C12,wallet_records!$L:$L,'EEFF 2026 Proyectado'!BD$3,wallet_records!$O:$O,'EEFF 2026 Proyectado'!$B$1,wallet_records!$N:$N,'EEFF 2026 Proyectado'!BD$2,wallet_records!$H:$H,'EEFF 2026 Proyectado'!$B12)</f>
        <v>0</v>
      </c>
      <c r="BE12" s="115">
        <f>SUMIFS(wallet_records!$D:$D,wallet_records!$B:$B,'EEFF 2026 Proyectado'!$C12,wallet_records!$L:$L,'EEFF 2026 Proyectado'!BE$3,wallet_records!$O:$O,'EEFF 2026 Proyectado'!$B$1,wallet_records!$N:$N,'EEFF 2026 Proyectado'!BE$2,wallet_records!$H:$H,'EEFF 2026 Proyectado'!$B12)</f>
        <v>0</v>
      </c>
      <c r="BF12" s="115">
        <f>SUMIFS(wallet_records!$D:$D,wallet_records!$B:$B,'EEFF 2026 Proyectado'!$C12,wallet_records!$L:$L,'EEFF 2026 Proyectado'!BF$3,wallet_records!$O:$O,'EEFF 2026 Proyectado'!$B$1,wallet_records!$N:$N,'EEFF 2026 Proyectado'!BF$2,wallet_records!$H:$H,'EEFF 2026 Proyectado'!$B12)</f>
        <v>0</v>
      </c>
      <c r="BG12" s="116">
        <v>0</v>
      </c>
      <c r="BH12" s="115">
        <f>SUMIFS(wallet_records!$D:$D,wallet_records!$B:$B,'EEFF 2026 Proyectado'!$C12,wallet_records!$L:$L,'EEFF 2026 Proyectado'!BH$3,wallet_records!$O:$O,'EEFF 2026 Proyectado'!$B$1,wallet_records!$N:$N,'EEFF 2026 Proyectado'!BH$2,wallet_records!$H:$H,'EEFF 2026 Proyectado'!$B12)</f>
        <v>0</v>
      </c>
      <c r="BI12" s="115">
        <f>SUMIFS(wallet_records!$D:$D,wallet_records!$B:$B,'EEFF 2026 Proyectado'!$C12,wallet_records!$L:$L,'EEFF 2026 Proyectado'!BI$3,wallet_records!$O:$O,'EEFF 2026 Proyectado'!$B$1,wallet_records!$N:$N,'EEFF 2026 Proyectado'!BI$2,wallet_records!$H:$H,'EEFF 2026 Proyectado'!$B12)</f>
        <v>0</v>
      </c>
      <c r="BJ12" s="115">
        <f>SUMIFS(wallet_records!$D:$D,wallet_records!$B:$B,'EEFF 2026 Proyectado'!$C12,wallet_records!$L:$L,'EEFF 2026 Proyectado'!BJ$3,wallet_records!$O:$O,'EEFF 2026 Proyectado'!$B$1,wallet_records!$N:$N,'EEFF 2026 Proyectado'!BJ$2,wallet_records!$H:$H,'EEFF 2026 Proyectado'!$B12)</f>
        <v>0</v>
      </c>
      <c r="BK12" s="115">
        <f>SUMIFS(wallet_records!$D:$D,wallet_records!$B:$B,'EEFF 2026 Proyectado'!$C12,wallet_records!$L:$L,'EEFF 2026 Proyectado'!BK$3,wallet_records!$O:$O,'EEFF 2026 Proyectado'!$B$1,wallet_records!$N:$N,'EEFF 2026 Proyectado'!BK$2,wallet_records!$H:$H,'EEFF 2026 Proyectado'!$B12)</f>
        <v>0</v>
      </c>
      <c r="BL12" s="115">
        <f>SUMIFS(wallet_records!$D:$D,wallet_records!$B:$B,'EEFF 2026 Proyectado'!$C12,wallet_records!$L:$L,'EEFF 2026 Proyectado'!BL$3,wallet_records!$O:$O,'EEFF 2026 Proyectado'!$B$1,wallet_records!$N:$N,'EEFF 2026 Proyectado'!BL$2,wallet_records!$H:$H,'EEFF 2026 Proyectado'!$B12)</f>
        <v>0</v>
      </c>
      <c r="BM12" s="115">
        <f>SUMIFS(wallet_records!$D:$D,wallet_records!$B:$B,'EEFF 2026 Proyectado'!$C12,wallet_records!$L:$L,'EEFF 2026 Proyectado'!BM$3,wallet_records!$O:$O,'EEFF 2026 Proyectado'!$B$1,wallet_records!$N:$N,'EEFF 2026 Proyectado'!BM$2,wallet_records!$H:$H,'EEFF 2026 Proyectado'!$B12)</f>
        <v>0</v>
      </c>
      <c r="BN12" s="116">
        <v>0</v>
      </c>
      <c r="BO12" s="115">
        <f>SUMIFS(wallet_records!$D:$D,wallet_records!$B:$B,'EEFF 2026 Proyectado'!$C12,wallet_records!$L:$L,'EEFF 2026 Proyectado'!BO$3,wallet_records!$O:$O,'EEFF 2026 Proyectado'!$B$1,wallet_records!$N:$N,'EEFF 2026 Proyectado'!BO$2,wallet_records!$H:$H,'EEFF 2026 Proyectado'!$B12)</f>
        <v>0</v>
      </c>
      <c r="BP12" s="115">
        <f>SUMIFS(wallet_records!$D:$D,wallet_records!$B:$B,'EEFF 2026 Proyectado'!$C12,wallet_records!$L:$L,'EEFF 2026 Proyectado'!BP$3,wallet_records!$O:$O,'EEFF 2026 Proyectado'!$B$1,wallet_records!$N:$N,'EEFF 2026 Proyectado'!BP$2,wallet_records!$H:$H,'EEFF 2026 Proyectado'!$B12)</f>
        <v>0</v>
      </c>
      <c r="BQ12" s="115">
        <f>SUMIFS(wallet_records!$D:$D,wallet_records!$B:$B,'EEFF 2026 Proyectado'!$C12,wallet_records!$L:$L,'EEFF 2026 Proyectado'!BQ$3,wallet_records!$O:$O,'EEFF 2026 Proyectado'!$B$1,wallet_records!$N:$N,'EEFF 2026 Proyectado'!BQ$2,wallet_records!$H:$H,'EEFF 2026 Proyectado'!$B12)</f>
        <v>0</v>
      </c>
      <c r="BR12" s="115">
        <f>SUMIFS(wallet_records!$D:$D,wallet_records!$B:$B,'EEFF 2026 Proyectado'!$C12,wallet_records!$L:$L,'EEFF 2026 Proyectado'!BR$3,wallet_records!$O:$O,'EEFF 2026 Proyectado'!$B$1,wallet_records!$N:$N,'EEFF 2026 Proyectado'!BR$2,wallet_records!$H:$H,'EEFF 2026 Proyectado'!$B12)</f>
        <v>0</v>
      </c>
      <c r="BS12" s="115">
        <f>SUMIFS(wallet_records!$D:$D,wallet_records!$B:$B,'EEFF 2026 Proyectado'!$C12,wallet_records!$L:$L,'EEFF 2026 Proyectado'!BS$3,wallet_records!$O:$O,'EEFF 2026 Proyectado'!$B$1,wallet_records!$N:$N,'EEFF 2026 Proyectado'!BS$2,wallet_records!$H:$H,'EEFF 2026 Proyectado'!$B12)</f>
        <v>0</v>
      </c>
      <c r="BT12" s="115">
        <f>SUMIFS(wallet_records!$D:$D,wallet_records!$B:$B,'EEFF 2026 Proyectado'!$C12,wallet_records!$L:$L,'EEFF 2026 Proyectado'!BT$3,wallet_records!$O:$O,'EEFF 2026 Proyectado'!$B$1,wallet_records!$N:$N,'EEFF 2026 Proyectado'!BT$2,wallet_records!$H:$H,'EEFF 2026 Proyectado'!$B12)</f>
        <v>0</v>
      </c>
      <c r="BU12" s="116">
        <v>0</v>
      </c>
      <c r="BV12" s="115">
        <f>SUMIFS(wallet_records!$D:$D,wallet_records!$B:$B,'EEFF 2026 Proyectado'!$C12,wallet_records!$L:$L,'EEFF 2026 Proyectado'!BV$3,wallet_records!$O:$O,'EEFF 2026 Proyectado'!$B$1,wallet_records!$N:$N,'EEFF 2026 Proyectado'!BV$2,wallet_records!$H:$H,'EEFF 2026 Proyectado'!$B12)</f>
        <v>0</v>
      </c>
      <c r="BW12" s="115">
        <f>SUMIFS(wallet_records!$D:$D,wallet_records!$B:$B,'EEFF 2026 Proyectado'!$C12,wallet_records!$L:$L,'EEFF 2026 Proyectado'!BW$3,wallet_records!$O:$O,'EEFF 2026 Proyectado'!$B$1,wallet_records!$N:$N,'EEFF 2026 Proyectado'!BW$2,wallet_records!$H:$H,'EEFF 2026 Proyectado'!$B12)</f>
        <v>0</v>
      </c>
      <c r="BX12" s="115">
        <f>SUMIFS(wallet_records!$D:$D,wallet_records!$B:$B,'EEFF 2026 Proyectado'!$C12,wallet_records!$L:$L,'EEFF 2026 Proyectado'!BX$3,wallet_records!$O:$O,'EEFF 2026 Proyectado'!$B$1,wallet_records!$N:$N,'EEFF 2026 Proyectado'!BX$2,wallet_records!$H:$H,'EEFF 2026 Proyectado'!$B12)</f>
        <v>0</v>
      </c>
      <c r="BY12" s="115">
        <f>SUMIFS(wallet_records!$D:$D,wallet_records!$B:$B,'EEFF 2026 Proyectado'!$C12,wallet_records!$L:$L,'EEFF 2026 Proyectado'!BY$3,wallet_records!$O:$O,'EEFF 2026 Proyectado'!$B$1,wallet_records!$N:$N,'EEFF 2026 Proyectado'!BY$2,wallet_records!$H:$H,'EEFF 2026 Proyectado'!$B12)</f>
        <v>0</v>
      </c>
      <c r="BZ12" s="115">
        <f>SUMIFS(wallet_records!$D:$D,wallet_records!$B:$B,'EEFF 2026 Proyectado'!$C12,wallet_records!$L:$L,'EEFF 2026 Proyectado'!BZ$3,wallet_records!$O:$O,'EEFF 2026 Proyectado'!$B$1,wallet_records!$N:$N,'EEFF 2026 Proyectado'!BZ$2,wallet_records!$H:$H,'EEFF 2026 Proyectado'!$B12)</f>
        <v>0</v>
      </c>
      <c r="CA12" s="115">
        <f>SUMIFS(wallet_records!$D:$D,wallet_records!$B:$B,'EEFF 2026 Proyectado'!$C12,wallet_records!$L:$L,'EEFF 2026 Proyectado'!CA$3,wallet_records!$O:$O,'EEFF 2026 Proyectado'!$B$1,wallet_records!$N:$N,'EEFF 2026 Proyectado'!CA$2,wallet_records!$H:$H,'EEFF 2026 Proyectado'!$B12)</f>
        <v>0</v>
      </c>
      <c r="CB12" s="116">
        <v>0</v>
      </c>
      <c r="CC12" s="115">
        <f>SUMIFS(wallet_records!$D:$D,wallet_records!$B:$B,'EEFF 2026 Proyectado'!$C12,wallet_records!$L:$L,'EEFF 2026 Proyectado'!CC$3,wallet_records!$O:$O,'EEFF 2026 Proyectado'!$B$1,wallet_records!$N:$N,'EEFF 2026 Proyectado'!CC$2,wallet_records!$H:$H,'EEFF 2026 Proyectado'!$B12)</f>
        <v>0</v>
      </c>
      <c r="CD12" s="115">
        <f>SUMIFS(wallet_records!$D:$D,wallet_records!$B:$B,'EEFF 2026 Proyectado'!$C12,wallet_records!$L:$L,'EEFF 2026 Proyectado'!CD$3,wallet_records!$O:$O,'EEFF 2026 Proyectado'!$B$1,wallet_records!$N:$N,'EEFF 2026 Proyectado'!CD$2,wallet_records!$H:$H,'EEFF 2026 Proyectado'!$B12)</f>
        <v>0</v>
      </c>
      <c r="CE12" s="115">
        <f>SUMIFS(wallet_records!$D:$D,wallet_records!$B:$B,'EEFF 2026 Proyectado'!$C12,wallet_records!$L:$L,'EEFF 2026 Proyectado'!CE$3,wallet_records!$O:$O,'EEFF 2026 Proyectado'!$B$1,wallet_records!$N:$N,'EEFF 2026 Proyectado'!CE$2,wallet_records!$H:$H,'EEFF 2026 Proyectado'!$B12)</f>
        <v>0</v>
      </c>
      <c r="CF12" s="115">
        <f>SUMIFS(wallet_records!$D:$D,wallet_records!$B:$B,'EEFF 2026 Proyectado'!$C12,wallet_records!$L:$L,'EEFF 2026 Proyectado'!CF$3,wallet_records!$O:$O,'EEFF 2026 Proyectado'!$B$1,wallet_records!$N:$N,'EEFF 2026 Proyectado'!CF$2,wallet_records!$H:$H,'EEFF 2026 Proyectado'!$B12)</f>
        <v>0</v>
      </c>
      <c r="CG12" s="115">
        <f>SUMIFS(wallet_records!$D:$D,wallet_records!$B:$B,'EEFF 2026 Proyectado'!$C12,wallet_records!$L:$L,'EEFF 2026 Proyectado'!CG$3,wallet_records!$O:$O,'EEFF 2026 Proyectado'!$B$1,wallet_records!$N:$N,'EEFF 2026 Proyectado'!CG$2,wallet_records!$H:$H,'EEFF 2026 Proyectado'!$B12)</f>
        <v>0</v>
      </c>
      <c r="CH12" s="115">
        <f>SUMIFS(wallet_records!$D:$D,wallet_records!$B:$B,'EEFF 2026 Proyectado'!$C12,wallet_records!$L:$L,'EEFF 2026 Proyectado'!CH$3,wallet_records!$O:$O,'EEFF 2026 Proyectado'!$B$1,wallet_records!$N:$N,'EEFF 2026 Proyectado'!CH$2,wallet_records!$H:$H,'EEFF 2026 Proyectado'!$B12)</f>
        <v>0</v>
      </c>
      <c r="CI12" s="116">
        <v>0</v>
      </c>
      <c r="CJ12" s="115">
        <f>SUMIFS(wallet_records!$D:$D,wallet_records!$B:$B,'EEFF 2026 Proyectado'!$C12,wallet_records!$L:$L,'EEFF 2026 Proyectado'!CJ$3,wallet_records!$O:$O,'EEFF 2026 Proyectado'!$B$1,wallet_records!$H:$H,'EEFF 2026 Proyectado'!$B12)</f>
        <v>2461875</v>
      </c>
      <c r="CK12" s="115">
        <f>SUMIFS(wallet_records!$D:$D,wallet_records!$B:$B,'EEFF 2026 Proyectado'!$C12,wallet_records!$L:$L,'EEFF 2026 Proyectado'!CK$3,wallet_records!$O:$O,'EEFF 2026 Proyectado'!$B$1,wallet_records!$H:$H,'EEFF 2026 Proyectado'!$B12)</f>
        <v>4431940</v>
      </c>
      <c r="CL12" s="115">
        <f>SUMIFS(wallet_records!$D:$D,wallet_records!$B:$B,'EEFF 2026 Proyectado'!$C12,wallet_records!$L:$L,'EEFF 2026 Proyectado'!CL$3,wallet_records!$O:$O,'EEFF 2026 Proyectado'!$B$1,wallet_records!$H:$H,'EEFF 2026 Proyectado'!$B12)</f>
        <v>1823377</v>
      </c>
      <c r="CM12" s="115">
        <f>SUMIFS(wallet_records!$D:$D,wallet_records!$B:$B,'EEFF 2026 Proyectado'!$C12,wallet_records!$L:$L,'EEFF 2026 Proyectado'!CM$3,wallet_records!$O:$O,'EEFF 2026 Proyectado'!$B$1,wallet_records!$H:$H,'EEFF 2026 Proyectado'!$B12)</f>
        <v>359256</v>
      </c>
      <c r="CN12" s="115">
        <f>SUMIFS(wallet_records!$D:$D,wallet_records!$B:$B,'EEFF 2026 Proyectado'!$C12,wallet_records!$L:$L,'EEFF 2026 Proyectado'!CN$3,wallet_records!$O:$O,'EEFF 2026 Proyectado'!$B$1,wallet_records!$H:$H,'EEFF 2026 Proyectado'!$B12)</f>
        <v>1320857</v>
      </c>
      <c r="CO12" s="115">
        <f>SUMIFS(wallet_records!$D:$D,wallet_records!$B:$B,'EEFF 2026 Proyectado'!$C12,wallet_records!$L:$L,'EEFF 2026 Proyectado'!CO$3,wallet_records!$O:$O,'EEFF 2026 Proyectado'!$B$1,wallet_records!$H:$H,'EEFF 2026 Proyectado'!$B12)</f>
        <v>0</v>
      </c>
      <c r="CP12" s="116"/>
      <c r="CQ12" s="107"/>
      <c r="CR12" s="118">
        <f t="shared" si="0"/>
        <v>0</v>
      </c>
      <c r="CS12" s="118">
        <f t="shared" si="1"/>
        <v>1.0953063438889239</v>
      </c>
      <c r="CT12" s="118">
        <f t="shared" si="2"/>
        <v>0.16855234603796643</v>
      </c>
      <c r="CU12" s="118">
        <f t="shared" si="3"/>
        <v>0</v>
      </c>
      <c r="CV12" s="118">
        <f t="shared" si="4"/>
        <v>0</v>
      </c>
      <c r="CW12" s="118">
        <f t="shared" si="5"/>
        <v>0</v>
      </c>
      <c r="CX12" s="118">
        <f t="shared" si="6"/>
        <v>0</v>
      </c>
      <c r="CY12" s="118">
        <f t="shared" si="7"/>
        <v>0</v>
      </c>
      <c r="CZ12" s="118">
        <f t="shared" si="8"/>
        <v>0</v>
      </c>
      <c r="DA12" s="118">
        <f t="shared" si="9"/>
        <v>0</v>
      </c>
      <c r="DB12" s="118">
        <f t="shared" si="10"/>
        <v>0</v>
      </c>
      <c r="DC12" s="118">
        <f t="shared" si="11"/>
        <v>0</v>
      </c>
    </row>
    <row r="13" spans="2:120" x14ac:dyDescent="0.2">
      <c r="B13" s="10" t="s">
        <v>510</v>
      </c>
      <c r="C13" s="191" t="s">
        <v>154</v>
      </c>
      <c r="D13" s="115">
        <f>SUMIFS(wallet_records!$D:$D,wallet_records!$B:$B,'EEFF 2026 Proyectado'!$C13,wallet_records!$L:$L,'EEFF 2026 Proyectado'!D$3,wallet_records!$O:$O,'EEFF 2026 Proyectado'!$B$1,wallet_records!$N:$N,'EEFF 2026 Proyectado'!D$2,wallet_records!$H:$H,'EEFF 2026 Proyectado'!$B13)</f>
        <v>0</v>
      </c>
      <c r="E13" s="115">
        <f>SUMIFS(wallet_records!$D:$D,wallet_records!$B:$B,'EEFF 2026 Proyectado'!$C13,wallet_records!$L:$L,'EEFF 2026 Proyectado'!E$3,wallet_records!$O:$O,'EEFF 2026 Proyectado'!$B$1,wallet_records!$N:$N,'EEFF 2026 Proyectado'!E$2,wallet_records!$H:$H,'EEFF 2026 Proyectado'!$B13)</f>
        <v>0</v>
      </c>
      <c r="F13" s="115">
        <f>SUMIFS(wallet_records!$D:$D,wallet_records!$B:$B,'EEFF 2026 Proyectado'!$C13,wallet_records!$L:$L,'EEFF 2026 Proyectado'!F$3,wallet_records!$O:$O,'EEFF 2026 Proyectado'!$B$1,wallet_records!$N:$N,'EEFF 2026 Proyectado'!F$2,wallet_records!$H:$H,'EEFF 2026 Proyectado'!$B13)</f>
        <v>0</v>
      </c>
      <c r="G13" s="115">
        <f>SUMIFS(wallet_records!$D:$D,wallet_records!$B:$B,'EEFF 2026 Proyectado'!$C13,wallet_records!$L:$L,'EEFF 2026 Proyectado'!G$3,wallet_records!$O:$O,'EEFF 2026 Proyectado'!$B$1,wallet_records!$N:$N,'EEFF 2026 Proyectado'!G$2,wallet_records!$H:$H,'EEFF 2026 Proyectado'!$B13)</f>
        <v>0</v>
      </c>
      <c r="H13" s="115">
        <f>SUMIFS(wallet_records!$D:$D,wallet_records!$B:$B,'EEFF 2026 Proyectado'!$C13,wallet_records!$L:$L,'EEFF 2026 Proyectado'!H$3,wallet_records!$O:$O,'EEFF 2026 Proyectado'!$B$1,wallet_records!$N:$N,'EEFF 2026 Proyectado'!H$2,wallet_records!$H:$H,'EEFF 2026 Proyectado'!$B13)</f>
        <v>0</v>
      </c>
      <c r="I13" s="115">
        <f>SUMIFS(wallet_records!$D:$D,wallet_records!$B:$B,'EEFF 2026 Proyectado'!$C13,wallet_records!$L:$L,'EEFF 2026 Proyectado'!I$3,wallet_records!$O:$O,'EEFF 2026 Proyectado'!$B$1,wallet_records!$N:$N,'EEFF 2026 Proyectado'!I$2,wallet_records!$H:$H,'EEFF 2026 Proyectado'!$B13)</f>
        <v>0</v>
      </c>
      <c r="J13" s="116">
        <v>0</v>
      </c>
      <c r="K13" s="115">
        <f>SUMIFS(wallet_records!$D:$D,wallet_records!$B:$B,'EEFF 2026 Proyectado'!$C13,wallet_records!$L:$L,'EEFF 2026 Proyectado'!K$3,wallet_records!$O:$O,'EEFF 2026 Proyectado'!$B$1,wallet_records!$N:$N,'EEFF 2026 Proyectado'!K$2,wallet_records!$H:$H,'EEFF 2026 Proyectado'!$B13)</f>
        <v>0</v>
      </c>
      <c r="L13" s="115">
        <f>SUMIFS(wallet_records!$D:$D,wallet_records!$B:$B,'EEFF 2026 Proyectado'!$C13,wallet_records!$L:$L,'EEFF 2026 Proyectado'!L$3,wallet_records!$O:$O,'EEFF 2026 Proyectado'!$B$1,wallet_records!$N:$N,'EEFF 2026 Proyectado'!L$2,wallet_records!$H:$H,'EEFF 2026 Proyectado'!$B13)</f>
        <v>0</v>
      </c>
      <c r="M13" s="115">
        <f>SUMIFS(wallet_records!$D:$D,wallet_records!$B:$B,'EEFF 2026 Proyectado'!$C13,wallet_records!$L:$L,'EEFF 2026 Proyectado'!M$3,wallet_records!$O:$O,'EEFF 2026 Proyectado'!$B$1,wallet_records!$N:$N,'EEFF 2026 Proyectado'!M$2,wallet_records!$H:$H,'EEFF 2026 Proyectado'!$B13)</f>
        <v>0</v>
      </c>
      <c r="N13" s="115">
        <f>SUMIFS(wallet_records!$D:$D,wallet_records!$B:$B,'EEFF 2026 Proyectado'!$C13,wallet_records!$L:$L,'EEFF 2026 Proyectado'!N$3,wallet_records!$O:$O,'EEFF 2026 Proyectado'!$B$1,wallet_records!$N:$N,'EEFF 2026 Proyectado'!N$2,wallet_records!$H:$H,'EEFF 2026 Proyectado'!$B13)</f>
        <v>0</v>
      </c>
      <c r="O13" s="115">
        <f>SUMIFS(wallet_records!$D:$D,wallet_records!$B:$B,'EEFF 2026 Proyectado'!$C13,wallet_records!$L:$L,'EEFF 2026 Proyectado'!O$3,wallet_records!$O:$O,'EEFF 2026 Proyectado'!$B$1,wallet_records!$N:$N,'EEFF 2026 Proyectado'!O$2,wallet_records!$H:$H,'EEFF 2026 Proyectado'!$B13)</f>
        <v>0</v>
      </c>
      <c r="P13" s="115">
        <f>SUMIFS(wallet_records!$D:$D,wallet_records!$B:$B,'EEFF 2026 Proyectado'!$C13,wallet_records!$L:$L,'EEFF 2026 Proyectado'!P$3,wallet_records!$O:$O,'EEFF 2026 Proyectado'!$B$1,wallet_records!$N:$N,'EEFF 2026 Proyectado'!P$2,wallet_records!$H:$H,'EEFF 2026 Proyectado'!$B13)</f>
        <v>0</v>
      </c>
      <c r="Q13" s="116">
        <f t="shared" si="14"/>
        <v>0</v>
      </c>
      <c r="R13" s="115">
        <f>SUMIFS(wallet_records!$D:$D,wallet_records!$B:$B,'EEFF 2026 Proyectado'!$C13,wallet_records!$L:$L,'EEFF 2026 Proyectado'!R$3,wallet_records!$O:$O,'EEFF 2026 Proyectado'!$B$1,wallet_records!$N:$N,'EEFF 2026 Proyectado'!R$2,wallet_records!$H:$H,'EEFF 2026 Proyectado'!$B13)</f>
        <v>0</v>
      </c>
      <c r="S13" s="115">
        <f>SUMIFS(wallet_records!$D:$D,wallet_records!$B:$B,'EEFF 2026 Proyectado'!$C13,wallet_records!$L:$L,'EEFF 2026 Proyectado'!S$3,wallet_records!$O:$O,'EEFF 2026 Proyectado'!$B$1,wallet_records!$N:$N,'EEFF 2026 Proyectado'!S$2,wallet_records!$H:$H,'EEFF 2026 Proyectado'!$B13)</f>
        <v>0</v>
      </c>
      <c r="T13" s="115">
        <f>SUMIFS(wallet_records!$D:$D,wallet_records!$B:$B,'EEFF 2026 Proyectado'!$C13,wallet_records!$L:$L,'EEFF 2026 Proyectado'!T$3,wallet_records!$O:$O,'EEFF 2026 Proyectado'!$B$1,wallet_records!$N:$N,'EEFF 2026 Proyectado'!T$2,wallet_records!$H:$H,'EEFF 2026 Proyectado'!$B13)</f>
        <v>0</v>
      </c>
      <c r="U13" s="115">
        <f>SUMIFS(wallet_records!$D:$D,wallet_records!$B:$B,'EEFF 2026 Proyectado'!$C13,wallet_records!$L:$L,'EEFF 2026 Proyectado'!U$3,wallet_records!$O:$O,'EEFF 2026 Proyectado'!$B$1,wallet_records!$N:$N,'EEFF 2026 Proyectado'!U$2,wallet_records!$H:$H,'EEFF 2026 Proyectado'!$B13)</f>
        <v>0</v>
      </c>
      <c r="V13" s="115">
        <f>SUMIFS(wallet_records!$D:$D,wallet_records!$B:$B,'EEFF 2026 Proyectado'!$C13,wallet_records!$L:$L,'EEFF 2026 Proyectado'!V$3,wallet_records!$O:$O,'EEFF 2026 Proyectado'!$B$1,wallet_records!$N:$N,'EEFF 2026 Proyectado'!V$2,wallet_records!$H:$H,'EEFF 2026 Proyectado'!$B13)</f>
        <v>0</v>
      </c>
      <c r="W13" s="115">
        <f>SUMIFS(wallet_records!$D:$D,wallet_records!$B:$B,'EEFF 2026 Proyectado'!$C13,wallet_records!$L:$L,'EEFF 2026 Proyectado'!W$3,wallet_records!$O:$O,'EEFF 2026 Proyectado'!$B$1,wallet_records!$N:$N,'EEFF 2026 Proyectado'!W$2,wallet_records!$H:$H,'EEFF 2026 Proyectado'!$B13)</f>
        <v>0</v>
      </c>
      <c r="X13" s="116">
        <v>0</v>
      </c>
      <c r="Y13" s="115">
        <f>SUMIFS(wallet_records!$D:$D,wallet_records!$B:$B,'EEFF 2026 Proyectado'!$C13,wallet_records!$L:$L,'EEFF 2026 Proyectado'!Y$3,wallet_records!$O:$O,'EEFF 2026 Proyectado'!$B$1,wallet_records!$N:$N,'EEFF 2026 Proyectado'!Y$2,wallet_records!$H:$H,'EEFF 2026 Proyectado'!$B13)</f>
        <v>0</v>
      </c>
      <c r="Z13" s="115">
        <f>SUMIFS(wallet_records!$D:$D,wallet_records!$B:$B,'EEFF 2026 Proyectado'!$C13,wallet_records!$L:$L,'EEFF 2026 Proyectado'!Z$3,wallet_records!$O:$O,'EEFF 2026 Proyectado'!$B$1,wallet_records!$N:$N,'EEFF 2026 Proyectado'!Z$2,wallet_records!$H:$H,'EEFF 2026 Proyectado'!$B13)</f>
        <v>0</v>
      </c>
      <c r="AA13" s="115">
        <f>SUMIFS(wallet_records!$D:$D,wallet_records!$B:$B,'EEFF 2026 Proyectado'!$C13,wallet_records!$L:$L,'EEFF 2026 Proyectado'!AA$3,wallet_records!$O:$O,'EEFF 2026 Proyectado'!$B$1,wallet_records!$N:$N,'EEFF 2026 Proyectado'!AA$2,wallet_records!$H:$H,'EEFF 2026 Proyectado'!$B13)</f>
        <v>0</v>
      </c>
      <c r="AB13" s="115">
        <f>SUMIFS(wallet_records!$D:$D,wallet_records!$B:$B,'EEFF 2026 Proyectado'!$C13,wallet_records!$L:$L,'EEFF 2026 Proyectado'!AB$3,wallet_records!$O:$O,'EEFF 2026 Proyectado'!$B$1,wallet_records!$N:$N,'EEFF 2026 Proyectado'!AB$2,wallet_records!$H:$H,'EEFF 2026 Proyectado'!$B13)</f>
        <v>0</v>
      </c>
      <c r="AC13" s="115">
        <f>SUMIFS(wallet_records!$D:$D,wallet_records!$B:$B,'EEFF 2026 Proyectado'!$C13,wallet_records!$L:$L,'EEFF 2026 Proyectado'!AC$3,wallet_records!$O:$O,'EEFF 2026 Proyectado'!$B$1,wallet_records!$N:$N,'EEFF 2026 Proyectado'!AC$2,wallet_records!$H:$H,'EEFF 2026 Proyectado'!$B13)</f>
        <v>0</v>
      </c>
      <c r="AD13" s="115">
        <f>SUMIFS(wallet_records!$D:$D,wallet_records!$B:$B,'EEFF 2026 Proyectado'!$C13,wallet_records!$L:$L,'EEFF 2026 Proyectado'!AD$3,wallet_records!$O:$O,'EEFF 2026 Proyectado'!$B$1,wallet_records!$N:$N,'EEFF 2026 Proyectado'!AD$2,wallet_records!$H:$H,'EEFF 2026 Proyectado'!$B13)</f>
        <v>0</v>
      </c>
      <c r="AE13" s="116">
        <v>0</v>
      </c>
      <c r="AF13" s="115">
        <f>SUMIFS(wallet_records!$D:$D,wallet_records!$B:$B,'EEFF 2026 Proyectado'!$C13,wallet_records!$L:$L,'EEFF 2026 Proyectado'!AF$3,wallet_records!$O:$O,'EEFF 2026 Proyectado'!$B$1,wallet_records!$N:$N,'EEFF 2026 Proyectado'!AF$2,wallet_records!$H:$H,'EEFF 2026 Proyectado'!$B13)</f>
        <v>0</v>
      </c>
      <c r="AG13" s="115">
        <f>SUMIFS(wallet_records!$D:$D,wallet_records!$B:$B,'EEFF 2026 Proyectado'!$C13,wallet_records!$L:$L,'EEFF 2026 Proyectado'!AG$3,wallet_records!$O:$O,'EEFF 2026 Proyectado'!$B$1,wallet_records!$N:$N,'EEFF 2026 Proyectado'!AG$2,wallet_records!$H:$H,'EEFF 2026 Proyectado'!$B13)</f>
        <v>0</v>
      </c>
      <c r="AH13" s="115">
        <f>SUMIFS(wallet_records!$D:$D,wallet_records!$B:$B,'EEFF 2026 Proyectado'!$C13,wallet_records!$L:$L,'EEFF 2026 Proyectado'!AH$3,wallet_records!$O:$O,'EEFF 2026 Proyectado'!$B$1,wallet_records!$N:$N,'EEFF 2026 Proyectado'!AH$2,wallet_records!$H:$H,'EEFF 2026 Proyectado'!$B13)</f>
        <v>0</v>
      </c>
      <c r="AI13" s="115">
        <f>SUMIFS(wallet_records!$D:$D,wallet_records!$B:$B,'EEFF 2026 Proyectado'!$C13,wallet_records!$L:$L,'EEFF 2026 Proyectado'!AI$3,wallet_records!$O:$O,'EEFF 2026 Proyectado'!$B$1,wallet_records!$N:$N,'EEFF 2026 Proyectado'!AI$2,wallet_records!$H:$H,'EEFF 2026 Proyectado'!$B13)</f>
        <v>0</v>
      </c>
      <c r="AJ13" s="115">
        <f>SUMIFS(wallet_records!$D:$D,wallet_records!$B:$B,'EEFF 2026 Proyectado'!$C13,wallet_records!$L:$L,'EEFF 2026 Proyectado'!AJ$3,wallet_records!$O:$O,'EEFF 2026 Proyectado'!$B$1,wallet_records!$N:$N,'EEFF 2026 Proyectado'!AJ$2,wallet_records!$H:$H,'EEFF 2026 Proyectado'!$B13)</f>
        <v>0</v>
      </c>
      <c r="AK13" s="115">
        <f>SUMIFS(wallet_records!$D:$D,wallet_records!$B:$B,'EEFF 2026 Proyectado'!$C13,wallet_records!$L:$L,'EEFF 2026 Proyectado'!AK$3,wallet_records!$O:$O,'EEFF 2026 Proyectado'!$B$1,wallet_records!$N:$N,'EEFF 2026 Proyectado'!AK$2,wallet_records!$H:$H,'EEFF 2026 Proyectado'!$B13)</f>
        <v>0</v>
      </c>
      <c r="AL13" s="116">
        <v>0</v>
      </c>
      <c r="AM13" s="115">
        <f>SUMIFS(wallet_records!$D:$D,wallet_records!$B:$B,'EEFF 2026 Proyectado'!$C13,wallet_records!$L:$L,'EEFF 2026 Proyectado'!AM$3,wallet_records!$O:$O,'EEFF 2026 Proyectado'!$B$1,wallet_records!$N:$N,'EEFF 2026 Proyectado'!AM$2,wallet_records!$H:$H,'EEFF 2026 Proyectado'!$B13)</f>
        <v>0</v>
      </c>
      <c r="AN13" s="115">
        <f>SUMIFS(wallet_records!$D:$D,wallet_records!$B:$B,'EEFF 2026 Proyectado'!$C13,wallet_records!$L:$L,'EEFF 2026 Proyectado'!AN$3,wallet_records!$O:$O,'EEFF 2026 Proyectado'!$B$1,wallet_records!$N:$N,'EEFF 2026 Proyectado'!AN$2,wallet_records!$H:$H,'EEFF 2026 Proyectado'!$B13)</f>
        <v>0</v>
      </c>
      <c r="AO13" s="115">
        <f>SUMIFS(wallet_records!$D:$D,wallet_records!$B:$B,'EEFF 2026 Proyectado'!$C13,wallet_records!$L:$L,'EEFF 2026 Proyectado'!AO$3,wallet_records!$O:$O,'EEFF 2026 Proyectado'!$B$1,wallet_records!$N:$N,'EEFF 2026 Proyectado'!AO$2,wallet_records!$H:$H,'EEFF 2026 Proyectado'!$B13)</f>
        <v>0</v>
      </c>
      <c r="AP13" s="115">
        <f>SUMIFS(wallet_records!$D:$D,wallet_records!$B:$B,'EEFF 2026 Proyectado'!$C13,wallet_records!$L:$L,'EEFF 2026 Proyectado'!AP$3,wallet_records!$O:$O,'EEFF 2026 Proyectado'!$B$1,wallet_records!$N:$N,'EEFF 2026 Proyectado'!AP$2,wallet_records!$H:$H,'EEFF 2026 Proyectado'!$B13)</f>
        <v>0</v>
      </c>
      <c r="AQ13" s="115">
        <f>SUMIFS(wallet_records!$D:$D,wallet_records!$B:$B,'EEFF 2026 Proyectado'!$C13,wallet_records!$L:$L,'EEFF 2026 Proyectado'!AQ$3,wallet_records!$O:$O,'EEFF 2026 Proyectado'!$B$1,wallet_records!$N:$N,'EEFF 2026 Proyectado'!AQ$2,wallet_records!$H:$H,'EEFF 2026 Proyectado'!$B13)</f>
        <v>0</v>
      </c>
      <c r="AR13" s="115">
        <f>SUMIFS(wallet_records!$D:$D,wallet_records!$B:$B,'EEFF 2026 Proyectado'!$C13,wallet_records!$L:$L,'EEFF 2026 Proyectado'!AR$3,wallet_records!$O:$O,'EEFF 2026 Proyectado'!$B$1,wallet_records!$N:$N,'EEFF 2026 Proyectado'!AR$2,wallet_records!$H:$H,'EEFF 2026 Proyectado'!$B13)</f>
        <v>0</v>
      </c>
      <c r="AS13" s="116">
        <v>0</v>
      </c>
      <c r="AT13" s="115">
        <f>SUMIFS(wallet_records!$D:$D,wallet_records!$B:$B,'EEFF 2026 Proyectado'!$C13,wallet_records!$L:$L,'EEFF 2026 Proyectado'!AT$3,wallet_records!$O:$O,'EEFF 2026 Proyectado'!$B$1,wallet_records!$N:$N,'EEFF 2026 Proyectado'!AT$2,wallet_records!$H:$H,'EEFF 2026 Proyectado'!$B13)</f>
        <v>0</v>
      </c>
      <c r="AU13" s="115">
        <f>SUMIFS(wallet_records!$D:$D,wallet_records!$B:$B,'EEFF 2026 Proyectado'!$C13,wallet_records!$L:$L,'EEFF 2026 Proyectado'!AU$3,wallet_records!$O:$O,'EEFF 2026 Proyectado'!$B$1,wallet_records!$N:$N,'EEFF 2026 Proyectado'!AU$2,wallet_records!$H:$H,'EEFF 2026 Proyectado'!$B13)</f>
        <v>0</v>
      </c>
      <c r="AV13" s="115">
        <f>SUMIFS(wallet_records!$D:$D,wallet_records!$B:$B,'EEFF 2026 Proyectado'!$C13,wallet_records!$L:$L,'EEFF 2026 Proyectado'!AV$3,wallet_records!$O:$O,'EEFF 2026 Proyectado'!$B$1,wallet_records!$N:$N,'EEFF 2026 Proyectado'!AV$2,wallet_records!$H:$H,'EEFF 2026 Proyectado'!$B13)</f>
        <v>0</v>
      </c>
      <c r="AW13" s="115">
        <f>SUMIFS(wallet_records!$D:$D,wallet_records!$B:$B,'EEFF 2026 Proyectado'!$C13,wallet_records!$L:$L,'EEFF 2026 Proyectado'!AW$3,wallet_records!$O:$O,'EEFF 2026 Proyectado'!$B$1,wallet_records!$N:$N,'EEFF 2026 Proyectado'!AW$2,wallet_records!$H:$H,'EEFF 2026 Proyectado'!$B13)</f>
        <v>0</v>
      </c>
      <c r="AX13" s="115">
        <f>SUMIFS(wallet_records!$D:$D,wallet_records!$B:$B,'EEFF 2026 Proyectado'!$C13,wallet_records!$L:$L,'EEFF 2026 Proyectado'!AX$3,wallet_records!$O:$O,'EEFF 2026 Proyectado'!$B$1,wallet_records!$N:$N,'EEFF 2026 Proyectado'!AX$2,wallet_records!$H:$H,'EEFF 2026 Proyectado'!$B13)</f>
        <v>0</v>
      </c>
      <c r="AY13" s="115">
        <f>SUMIFS(wallet_records!$D:$D,wallet_records!$B:$B,'EEFF 2026 Proyectado'!$C13,wallet_records!$L:$L,'EEFF 2026 Proyectado'!AY$3,wallet_records!$O:$O,'EEFF 2026 Proyectado'!$B$1,wallet_records!$N:$N,'EEFF 2026 Proyectado'!AY$2,wallet_records!$H:$H,'EEFF 2026 Proyectado'!$B13)</f>
        <v>0</v>
      </c>
      <c r="AZ13" s="116">
        <v>0</v>
      </c>
      <c r="BA13" s="115">
        <f>SUMIFS(wallet_records!$D:$D,wallet_records!$B:$B,'EEFF 2026 Proyectado'!$C13,wallet_records!$L:$L,'EEFF 2026 Proyectado'!BA$3,wallet_records!$O:$O,'EEFF 2026 Proyectado'!$B$1,wallet_records!$N:$N,'EEFF 2026 Proyectado'!BA$2,wallet_records!$H:$H,'EEFF 2026 Proyectado'!$B13)</f>
        <v>0</v>
      </c>
      <c r="BB13" s="115">
        <f>SUMIFS(wallet_records!$D:$D,wallet_records!$B:$B,'EEFF 2026 Proyectado'!$C13,wallet_records!$L:$L,'EEFF 2026 Proyectado'!BB$3,wallet_records!$O:$O,'EEFF 2026 Proyectado'!$B$1,wallet_records!$N:$N,'EEFF 2026 Proyectado'!BB$2,wallet_records!$H:$H,'EEFF 2026 Proyectado'!$B13)</f>
        <v>0</v>
      </c>
      <c r="BC13" s="115">
        <f>SUMIFS(wallet_records!$D:$D,wallet_records!$B:$B,'EEFF 2026 Proyectado'!$C13,wallet_records!$L:$L,'EEFF 2026 Proyectado'!BC$3,wallet_records!$O:$O,'EEFF 2026 Proyectado'!$B$1,wallet_records!$N:$N,'EEFF 2026 Proyectado'!BC$2,wallet_records!$H:$H,'EEFF 2026 Proyectado'!$B13)</f>
        <v>0</v>
      </c>
      <c r="BD13" s="115">
        <f>SUMIFS(wallet_records!$D:$D,wallet_records!$B:$B,'EEFF 2026 Proyectado'!$C13,wallet_records!$L:$L,'EEFF 2026 Proyectado'!BD$3,wallet_records!$O:$O,'EEFF 2026 Proyectado'!$B$1,wallet_records!$N:$N,'EEFF 2026 Proyectado'!BD$2,wallet_records!$H:$H,'EEFF 2026 Proyectado'!$B13)</f>
        <v>0</v>
      </c>
      <c r="BE13" s="115">
        <f>SUMIFS(wallet_records!$D:$D,wallet_records!$B:$B,'EEFF 2026 Proyectado'!$C13,wallet_records!$L:$L,'EEFF 2026 Proyectado'!BE$3,wallet_records!$O:$O,'EEFF 2026 Proyectado'!$B$1,wallet_records!$N:$N,'EEFF 2026 Proyectado'!BE$2,wallet_records!$H:$H,'EEFF 2026 Proyectado'!$B13)</f>
        <v>0</v>
      </c>
      <c r="BF13" s="115">
        <f>SUMIFS(wallet_records!$D:$D,wallet_records!$B:$B,'EEFF 2026 Proyectado'!$C13,wallet_records!$L:$L,'EEFF 2026 Proyectado'!BF$3,wallet_records!$O:$O,'EEFF 2026 Proyectado'!$B$1,wallet_records!$N:$N,'EEFF 2026 Proyectado'!BF$2,wallet_records!$H:$H,'EEFF 2026 Proyectado'!$B13)</f>
        <v>0</v>
      </c>
      <c r="BG13" s="116">
        <v>0</v>
      </c>
      <c r="BH13" s="115">
        <f>SUMIFS(wallet_records!$D:$D,wallet_records!$B:$B,'EEFF 2026 Proyectado'!$C13,wallet_records!$L:$L,'EEFF 2026 Proyectado'!BH$3,wallet_records!$O:$O,'EEFF 2026 Proyectado'!$B$1,wallet_records!$N:$N,'EEFF 2026 Proyectado'!BH$2,wallet_records!$H:$H,'EEFF 2026 Proyectado'!$B13)</f>
        <v>0</v>
      </c>
      <c r="BI13" s="115">
        <f>SUMIFS(wallet_records!$D:$D,wallet_records!$B:$B,'EEFF 2026 Proyectado'!$C13,wallet_records!$L:$L,'EEFF 2026 Proyectado'!BI$3,wallet_records!$O:$O,'EEFF 2026 Proyectado'!$B$1,wallet_records!$N:$N,'EEFF 2026 Proyectado'!BI$2,wallet_records!$H:$H,'EEFF 2026 Proyectado'!$B13)</f>
        <v>0</v>
      </c>
      <c r="BJ13" s="115">
        <f>SUMIFS(wallet_records!$D:$D,wallet_records!$B:$B,'EEFF 2026 Proyectado'!$C13,wallet_records!$L:$L,'EEFF 2026 Proyectado'!BJ$3,wallet_records!$O:$O,'EEFF 2026 Proyectado'!$B$1,wallet_records!$N:$N,'EEFF 2026 Proyectado'!BJ$2,wallet_records!$H:$H,'EEFF 2026 Proyectado'!$B13)</f>
        <v>0</v>
      </c>
      <c r="BK13" s="115">
        <f>SUMIFS(wallet_records!$D:$D,wallet_records!$B:$B,'EEFF 2026 Proyectado'!$C13,wallet_records!$L:$L,'EEFF 2026 Proyectado'!BK$3,wallet_records!$O:$O,'EEFF 2026 Proyectado'!$B$1,wallet_records!$N:$N,'EEFF 2026 Proyectado'!BK$2,wallet_records!$H:$H,'EEFF 2026 Proyectado'!$B13)</f>
        <v>0</v>
      </c>
      <c r="BL13" s="115">
        <f>SUMIFS(wallet_records!$D:$D,wallet_records!$B:$B,'EEFF 2026 Proyectado'!$C13,wallet_records!$L:$L,'EEFF 2026 Proyectado'!BL$3,wallet_records!$O:$O,'EEFF 2026 Proyectado'!$B$1,wallet_records!$N:$N,'EEFF 2026 Proyectado'!BL$2,wallet_records!$H:$H,'EEFF 2026 Proyectado'!$B13)</f>
        <v>0</v>
      </c>
      <c r="BM13" s="115">
        <f>SUMIFS(wallet_records!$D:$D,wallet_records!$B:$B,'EEFF 2026 Proyectado'!$C13,wallet_records!$L:$L,'EEFF 2026 Proyectado'!BM$3,wallet_records!$O:$O,'EEFF 2026 Proyectado'!$B$1,wallet_records!$N:$N,'EEFF 2026 Proyectado'!BM$2,wallet_records!$H:$H,'EEFF 2026 Proyectado'!$B13)</f>
        <v>0</v>
      </c>
      <c r="BN13" s="116">
        <v>0</v>
      </c>
      <c r="BO13" s="115">
        <f>SUMIFS(wallet_records!$D:$D,wallet_records!$B:$B,'EEFF 2026 Proyectado'!$C13,wallet_records!$L:$L,'EEFF 2026 Proyectado'!BO$3,wallet_records!$O:$O,'EEFF 2026 Proyectado'!$B$1,wallet_records!$N:$N,'EEFF 2026 Proyectado'!BO$2,wallet_records!$H:$H,'EEFF 2026 Proyectado'!$B13)</f>
        <v>0</v>
      </c>
      <c r="BP13" s="115">
        <f>SUMIFS(wallet_records!$D:$D,wallet_records!$B:$B,'EEFF 2026 Proyectado'!$C13,wallet_records!$L:$L,'EEFF 2026 Proyectado'!BP$3,wallet_records!$O:$O,'EEFF 2026 Proyectado'!$B$1,wallet_records!$N:$N,'EEFF 2026 Proyectado'!BP$2,wallet_records!$H:$H,'EEFF 2026 Proyectado'!$B13)</f>
        <v>0</v>
      </c>
      <c r="BQ13" s="115">
        <f>SUMIFS(wallet_records!$D:$D,wallet_records!$B:$B,'EEFF 2026 Proyectado'!$C13,wallet_records!$L:$L,'EEFF 2026 Proyectado'!BQ$3,wallet_records!$O:$O,'EEFF 2026 Proyectado'!$B$1,wallet_records!$N:$N,'EEFF 2026 Proyectado'!BQ$2,wallet_records!$H:$H,'EEFF 2026 Proyectado'!$B13)</f>
        <v>0</v>
      </c>
      <c r="BR13" s="115">
        <f>SUMIFS(wallet_records!$D:$D,wallet_records!$B:$B,'EEFF 2026 Proyectado'!$C13,wallet_records!$L:$L,'EEFF 2026 Proyectado'!BR$3,wallet_records!$O:$O,'EEFF 2026 Proyectado'!$B$1,wallet_records!$N:$N,'EEFF 2026 Proyectado'!BR$2,wallet_records!$H:$H,'EEFF 2026 Proyectado'!$B13)</f>
        <v>0</v>
      </c>
      <c r="BS13" s="115">
        <f>SUMIFS(wallet_records!$D:$D,wallet_records!$B:$B,'EEFF 2026 Proyectado'!$C13,wallet_records!$L:$L,'EEFF 2026 Proyectado'!BS$3,wallet_records!$O:$O,'EEFF 2026 Proyectado'!$B$1,wallet_records!$N:$N,'EEFF 2026 Proyectado'!BS$2,wallet_records!$H:$H,'EEFF 2026 Proyectado'!$B13)</f>
        <v>0</v>
      </c>
      <c r="BT13" s="115">
        <f>SUMIFS(wallet_records!$D:$D,wallet_records!$B:$B,'EEFF 2026 Proyectado'!$C13,wallet_records!$L:$L,'EEFF 2026 Proyectado'!BT$3,wallet_records!$O:$O,'EEFF 2026 Proyectado'!$B$1,wallet_records!$N:$N,'EEFF 2026 Proyectado'!BT$2,wallet_records!$H:$H,'EEFF 2026 Proyectado'!$B13)</f>
        <v>0</v>
      </c>
      <c r="BU13" s="116">
        <v>0</v>
      </c>
      <c r="BV13" s="115">
        <f>SUMIFS(wallet_records!$D:$D,wallet_records!$B:$B,'EEFF 2026 Proyectado'!$C13,wallet_records!$L:$L,'EEFF 2026 Proyectado'!BV$3,wallet_records!$O:$O,'EEFF 2026 Proyectado'!$B$1,wallet_records!$N:$N,'EEFF 2026 Proyectado'!BV$2,wallet_records!$H:$H,'EEFF 2026 Proyectado'!$B13)</f>
        <v>0</v>
      </c>
      <c r="BW13" s="115">
        <f>SUMIFS(wallet_records!$D:$D,wallet_records!$B:$B,'EEFF 2026 Proyectado'!$C13,wallet_records!$L:$L,'EEFF 2026 Proyectado'!BW$3,wallet_records!$O:$O,'EEFF 2026 Proyectado'!$B$1,wallet_records!$N:$N,'EEFF 2026 Proyectado'!BW$2,wallet_records!$H:$H,'EEFF 2026 Proyectado'!$B13)</f>
        <v>0</v>
      </c>
      <c r="BX13" s="115">
        <f>SUMIFS(wallet_records!$D:$D,wallet_records!$B:$B,'EEFF 2026 Proyectado'!$C13,wallet_records!$L:$L,'EEFF 2026 Proyectado'!BX$3,wallet_records!$O:$O,'EEFF 2026 Proyectado'!$B$1,wallet_records!$N:$N,'EEFF 2026 Proyectado'!BX$2,wallet_records!$H:$H,'EEFF 2026 Proyectado'!$B13)</f>
        <v>0</v>
      </c>
      <c r="BY13" s="115">
        <f>SUMIFS(wallet_records!$D:$D,wallet_records!$B:$B,'EEFF 2026 Proyectado'!$C13,wallet_records!$L:$L,'EEFF 2026 Proyectado'!BY$3,wallet_records!$O:$O,'EEFF 2026 Proyectado'!$B$1,wallet_records!$N:$N,'EEFF 2026 Proyectado'!BY$2,wallet_records!$H:$H,'EEFF 2026 Proyectado'!$B13)</f>
        <v>0</v>
      </c>
      <c r="BZ13" s="115">
        <f>SUMIFS(wallet_records!$D:$D,wallet_records!$B:$B,'EEFF 2026 Proyectado'!$C13,wallet_records!$L:$L,'EEFF 2026 Proyectado'!BZ$3,wallet_records!$O:$O,'EEFF 2026 Proyectado'!$B$1,wallet_records!$N:$N,'EEFF 2026 Proyectado'!BZ$2,wallet_records!$H:$H,'EEFF 2026 Proyectado'!$B13)</f>
        <v>0</v>
      </c>
      <c r="CA13" s="115">
        <f>SUMIFS(wallet_records!$D:$D,wallet_records!$B:$B,'EEFF 2026 Proyectado'!$C13,wallet_records!$L:$L,'EEFF 2026 Proyectado'!CA$3,wallet_records!$O:$O,'EEFF 2026 Proyectado'!$B$1,wallet_records!$N:$N,'EEFF 2026 Proyectado'!CA$2,wallet_records!$H:$H,'EEFF 2026 Proyectado'!$B13)</f>
        <v>0</v>
      </c>
      <c r="CB13" s="116">
        <v>0</v>
      </c>
      <c r="CC13" s="115">
        <f>SUMIFS(wallet_records!$D:$D,wallet_records!$B:$B,'EEFF 2026 Proyectado'!$C13,wallet_records!$L:$L,'EEFF 2026 Proyectado'!CC$3,wallet_records!$O:$O,'EEFF 2026 Proyectado'!$B$1,wallet_records!$N:$N,'EEFF 2026 Proyectado'!CC$2,wallet_records!$H:$H,'EEFF 2026 Proyectado'!$B13)</f>
        <v>0</v>
      </c>
      <c r="CD13" s="115">
        <f>SUMIFS(wallet_records!$D:$D,wallet_records!$B:$B,'EEFF 2026 Proyectado'!$C13,wallet_records!$L:$L,'EEFF 2026 Proyectado'!CD$3,wallet_records!$O:$O,'EEFF 2026 Proyectado'!$B$1,wallet_records!$N:$N,'EEFF 2026 Proyectado'!CD$2,wallet_records!$H:$H,'EEFF 2026 Proyectado'!$B13)</f>
        <v>0</v>
      </c>
      <c r="CE13" s="115">
        <f>SUMIFS(wallet_records!$D:$D,wallet_records!$B:$B,'EEFF 2026 Proyectado'!$C13,wallet_records!$L:$L,'EEFF 2026 Proyectado'!CE$3,wallet_records!$O:$O,'EEFF 2026 Proyectado'!$B$1,wallet_records!$N:$N,'EEFF 2026 Proyectado'!CE$2,wallet_records!$H:$H,'EEFF 2026 Proyectado'!$B13)</f>
        <v>0</v>
      </c>
      <c r="CF13" s="115">
        <f>SUMIFS(wallet_records!$D:$D,wallet_records!$B:$B,'EEFF 2026 Proyectado'!$C13,wallet_records!$L:$L,'EEFF 2026 Proyectado'!CF$3,wallet_records!$O:$O,'EEFF 2026 Proyectado'!$B$1,wallet_records!$N:$N,'EEFF 2026 Proyectado'!CF$2,wallet_records!$H:$H,'EEFF 2026 Proyectado'!$B13)</f>
        <v>0</v>
      </c>
      <c r="CG13" s="115">
        <f>SUMIFS(wallet_records!$D:$D,wallet_records!$B:$B,'EEFF 2026 Proyectado'!$C13,wallet_records!$L:$L,'EEFF 2026 Proyectado'!CG$3,wallet_records!$O:$O,'EEFF 2026 Proyectado'!$B$1,wallet_records!$N:$N,'EEFF 2026 Proyectado'!CG$2,wallet_records!$H:$H,'EEFF 2026 Proyectado'!$B13)</f>
        <v>0</v>
      </c>
      <c r="CH13" s="115">
        <f>SUMIFS(wallet_records!$D:$D,wallet_records!$B:$B,'EEFF 2026 Proyectado'!$C13,wallet_records!$L:$L,'EEFF 2026 Proyectado'!CH$3,wallet_records!$O:$O,'EEFF 2026 Proyectado'!$B$1,wallet_records!$N:$N,'EEFF 2026 Proyectado'!CH$2,wallet_records!$H:$H,'EEFF 2026 Proyectado'!$B13)</f>
        <v>0</v>
      </c>
      <c r="CI13" s="116">
        <v>0</v>
      </c>
      <c r="CJ13" s="115">
        <f>SUMIFS(wallet_records!$D:$D,wallet_records!$B:$B,'EEFF 2026 Proyectado'!$C13,wallet_records!$L:$L,'EEFF 2026 Proyectado'!CJ$3,wallet_records!$O:$O,'EEFF 2026 Proyectado'!$B$1,wallet_records!$H:$H,'EEFF 2026 Proyectado'!$B13)</f>
        <v>0</v>
      </c>
      <c r="CK13" s="115">
        <f>SUMIFS(wallet_records!$D:$D,wallet_records!$B:$B,'EEFF 2026 Proyectado'!$C13,wallet_records!$L:$L,'EEFF 2026 Proyectado'!CK$3,wallet_records!$O:$O,'EEFF 2026 Proyectado'!$B$1,wallet_records!$H:$H,'EEFF 2026 Proyectado'!$B13)</f>
        <v>0</v>
      </c>
      <c r="CL13" s="115">
        <f>SUMIFS(wallet_records!$D:$D,wallet_records!$B:$B,'EEFF 2026 Proyectado'!$C13,wallet_records!$L:$L,'EEFF 2026 Proyectado'!CL$3,wallet_records!$O:$O,'EEFF 2026 Proyectado'!$B$1,wallet_records!$H:$H,'EEFF 2026 Proyectado'!$B13)</f>
        <v>0</v>
      </c>
      <c r="CM13" s="115">
        <f>SUMIFS(wallet_records!$D:$D,wallet_records!$B:$B,'EEFF 2026 Proyectado'!$C13,wallet_records!$L:$L,'EEFF 2026 Proyectado'!CM$3,wallet_records!$O:$O,'EEFF 2026 Proyectado'!$B$1,wallet_records!$H:$H,'EEFF 2026 Proyectado'!$B13)</f>
        <v>0</v>
      </c>
      <c r="CN13" s="115">
        <f>SUMIFS(wallet_records!$D:$D,wallet_records!$B:$B,'EEFF 2026 Proyectado'!$C13,wallet_records!$L:$L,'EEFF 2026 Proyectado'!CN$3,wallet_records!$O:$O,'EEFF 2026 Proyectado'!$B$1,wallet_records!$H:$H,'EEFF 2026 Proyectado'!$B13)</f>
        <v>0</v>
      </c>
      <c r="CO13" s="115">
        <f>SUMIFS(wallet_records!$D:$D,wallet_records!$B:$B,'EEFF 2026 Proyectado'!$C13,wallet_records!$L:$L,'EEFF 2026 Proyectado'!CO$3,wallet_records!$O:$O,'EEFF 2026 Proyectado'!$B$1,wallet_records!$H:$H,'EEFF 2026 Proyectado'!$B13)</f>
        <v>0</v>
      </c>
      <c r="CP13" s="116"/>
      <c r="CQ13" s="107"/>
      <c r="CR13" s="118">
        <f t="shared" si="0"/>
        <v>0</v>
      </c>
      <c r="CS13" s="118">
        <f t="shared" si="1"/>
        <v>0</v>
      </c>
      <c r="CT13" s="118">
        <f t="shared" si="2"/>
        <v>0</v>
      </c>
      <c r="CU13" s="118">
        <f t="shared" si="3"/>
        <v>0</v>
      </c>
      <c r="CV13" s="118">
        <f t="shared" si="4"/>
        <v>0</v>
      </c>
      <c r="CW13" s="118">
        <f t="shared" si="5"/>
        <v>0</v>
      </c>
      <c r="CX13" s="118">
        <f t="shared" si="6"/>
        <v>0</v>
      </c>
      <c r="CY13" s="118">
        <f t="shared" si="7"/>
        <v>0</v>
      </c>
      <c r="CZ13" s="118">
        <f t="shared" si="8"/>
        <v>0</v>
      </c>
      <c r="DA13" s="118">
        <f t="shared" si="9"/>
        <v>0</v>
      </c>
      <c r="DB13" s="118">
        <f t="shared" si="10"/>
        <v>0</v>
      </c>
      <c r="DC13" s="118">
        <f t="shared" si="11"/>
        <v>0</v>
      </c>
    </row>
    <row r="14" spans="2:120" ht="16" x14ac:dyDescent="0.2">
      <c r="B14" s="107" t="s">
        <v>400</v>
      </c>
      <c r="C14" s="191"/>
      <c r="D14" s="116">
        <v>0</v>
      </c>
      <c r="E14" s="116">
        <v>0</v>
      </c>
      <c r="F14" s="116">
        <v>0</v>
      </c>
      <c r="G14" s="119">
        <v>0</v>
      </c>
      <c r="H14" s="119">
        <v>0</v>
      </c>
      <c r="I14" s="119">
        <v>0</v>
      </c>
      <c r="J14" s="119">
        <v>0</v>
      </c>
      <c r="K14" s="116">
        <v>0</v>
      </c>
      <c r="L14" s="116">
        <v>0</v>
      </c>
      <c r="M14" s="116">
        <v>0</v>
      </c>
      <c r="N14" s="119">
        <v>0</v>
      </c>
      <c r="O14" s="119">
        <v>0</v>
      </c>
      <c r="P14" s="119">
        <v>0</v>
      </c>
      <c r="Q14" s="119">
        <f t="shared" si="14"/>
        <v>0</v>
      </c>
      <c r="R14" s="116">
        <v>0</v>
      </c>
      <c r="S14" s="116">
        <v>0</v>
      </c>
      <c r="T14" s="116">
        <v>0</v>
      </c>
      <c r="U14" s="119">
        <v>0</v>
      </c>
      <c r="V14" s="119">
        <v>0</v>
      </c>
      <c r="W14" s="119">
        <v>0</v>
      </c>
      <c r="X14" s="119">
        <v>0</v>
      </c>
      <c r="Y14" s="116">
        <v>0</v>
      </c>
      <c r="Z14" s="116">
        <v>0</v>
      </c>
      <c r="AA14" s="116">
        <v>0</v>
      </c>
      <c r="AB14" s="119">
        <v>0</v>
      </c>
      <c r="AC14" s="119">
        <v>0</v>
      </c>
      <c r="AD14" s="119">
        <v>0</v>
      </c>
      <c r="AE14" s="119">
        <v>0</v>
      </c>
      <c r="AF14" s="116">
        <v>0</v>
      </c>
      <c r="AG14" s="116">
        <v>0</v>
      </c>
      <c r="AH14" s="116">
        <v>0</v>
      </c>
      <c r="AI14" s="119">
        <v>0</v>
      </c>
      <c r="AJ14" s="119">
        <v>0</v>
      </c>
      <c r="AK14" s="119">
        <v>0</v>
      </c>
      <c r="AL14" s="119">
        <v>0</v>
      </c>
      <c r="AM14" s="116">
        <v>0</v>
      </c>
      <c r="AN14" s="116">
        <v>0</v>
      </c>
      <c r="AO14" s="116">
        <v>0</v>
      </c>
      <c r="AP14" s="119">
        <v>0</v>
      </c>
      <c r="AQ14" s="119">
        <v>0</v>
      </c>
      <c r="AR14" s="119">
        <v>0</v>
      </c>
      <c r="AS14" s="119">
        <v>0</v>
      </c>
      <c r="AT14" s="116">
        <v>0</v>
      </c>
      <c r="AU14" s="116">
        <v>0</v>
      </c>
      <c r="AV14" s="116">
        <v>0</v>
      </c>
      <c r="AW14" s="119">
        <v>0</v>
      </c>
      <c r="AX14" s="119">
        <v>0</v>
      </c>
      <c r="AY14" s="119">
        <v>0</v>
      </c>
      <c r="AZ14" s="119">
        <v>0</v>
      </c>
      <c r="BA14" s="116">
        <v>0</v>
      </c>
      <c r="BB14" s="116">
        <v>0</v>
      </c>
      <c r="BC14" s="116">
        <v>0</v>
      </c>
      <c r="BD14" s="119">
        <v>0</v>
      </c>
      <c r="BE14" s="119">
        <v>0</v>
      </c>
      <c r="BF14" s="119">
        <v>0</v>
      </c>
      <c r="BG14" s="119">
        <v>0</v>
      </c>
      <c r="BH14" s="116">
        <v>0</v>
      </c>
      <c r="BI14" s="116">
        <v>0</v>
      </c>
      <c r="BJ14" s="116">
        <v>0</v>
      </c>
      <c r="BK14" s="119">
        <v>0</v>
      </c>
      <c r="BL14" s="119">
        <v>0</v>
      </c>
      <c r="BM14" s="119">
        <v>0</v>
      </c>
      <c r="BN14" s="119">
        <v>0</v>
      </c>
      <c r="BO14" s="116">
        <v>0</v>
      </c>
      <c r="BP14" s="116">
        <v>0</v>
      </c>
      <c r="BQ14" s="116">
        <v>0</v>
      </c>
      <c r="BR14" s="119">
        <v>0</v>
      </c>
      <c r="BS14" s="119">
        <v>0</v>
      </c>
      <c r="BT14" s="119">
        <v>0</v>
      </c>
      <c r="BU14" s="119">
        <v>0</v>
      </c>
      <c r="BV14" s="116">
        <v>0</v>
      </c>
      <c r="BW14" s="116">
        <v>0</v>
      </c>
      <c r="BX14" s="116">
        <v>0</v>
      </c>
      <c r="BY14" s="119">
        <v>0</v>
      </c>
      <c r="BZ14" s="119">
        <v>0</v>
      </c>
      <c r="CA14" s="119">
        <v>0</v>
      </c>
      <c r="CB14" s="119">
        <v>0</v>
      </c>
      <c r="CC14" s="116">
        <v>0</v>
      </c>
      <c r="CD14" s="116">
        <v>0</v>
      </c>
      <c r="CE14" s="116">
        <v>0</v>
      </c>
      <c r="CF14" s="119">
        <v>0</v>
      </c>
      <c r="CG14" s="119">
        <v>0</v>
      </c>
      <c r="CH14" s="119">
        <v>0</v>
      </c>
      <c r="CI14" s="119">
        <v>0</v>
      </c>
      <c r="CJ14" s="115">
        <f>SUMIFS(wallet_records!$D:$D,wallet_records!$B:$B,'EEFF 2026 Proyectado'!$C14,wallet_records!$L:$L,'EEFF 2026 Proyectado'!CJ$3,wallet_records!$O:$O,'EEFF 2026 Proyectado'!$B$1,wallet_records!$H:$H,'EEFF 2026 Proyectado'!$B14)</f>
        <v>0</v>
      </c>
      <c r="CK14" s="115">
        <f>SUMIFS(wallet_records!$D:$D,wallet_records!$B:$B,'EEFF 2026 Proyectado'!$C14,wallet_records!$L:$L,'EEFF 2026 Proyectado'!CK$3,wallet_records!$O:$O,'EEFF 2026 Proyectado'!$B$1,wallet_records!$H:$H,'EEFF 2026 Proyectado'!$B14)</f>
        <v>0</v>
      </c>
      <c r="CL14" s="115">
        <f>SUMIFS(wallet_records!$D:$D,wallet_records!$B:$B,'EEFF 2026 Proyectado'!$C14,wallet_records!$L:$L,'EEFF 2026 Proyectado'!CL$3,wallet_records!$O:$O,'EEFF 2026 Proyectado'!$B$1,wallet_records!$H:$H,'EEFF 2026 Proyectado'!$B14)</f>
        <v>0</v>
      </c>
      <c r="CM14" s="115">
        <f>SUMIFS(wallet_records!$D:$D,wallet_records!$B:$B,'EEFF 2026 Proyectado'!$C14,wallet_records!$L:$L,'EEFF 2026 Proyectado'!CM$3,wallet_records!$O:$O,'EEFF 2026 Proyectado'!$B$1,wallet_records!$H:$H,'EEFF 2026 Proyectado'!$B14)</f>
        <v>0</v>
      </c>
      <c r="CN14" s="115">
        <f>SUMIFS(wallet_records!$D:$D,wallet_records!$B:$B,'EEFF 2026 Proyectado'!$C14,wallet_records!$L:$L,'EEFF 2026 Proyectado'!CN$3,wallet_records!$O:$O,'EEFF 2026 Proyectado'!$B$1,wallet_records!$H:$H,'EEFF 2026 Proyectado'!$B14)</f>
        <v>0</v>
      </c>
      <c r="CO14" s="115">
        <f>SUMIFS(wallet_records!$D:$D,wallet_records!$B:$B,'EEFF 2026 Proyectado'!$C14,wallet_records!$L:$L,'EEFF 2026 Proyectado'!CO$3,wallet_records!$O:$O,'EEFF 2026 Proyectado'!$B$1,wallet_records!$H:$H,'EEFF 2026 Proyectado'!$B14)</f>
        <v>0</v>
      </c>
      <c r="CP14" s="119"/>
      <c r="CQ14" s="107"/>
      <c r="CR14" s="118">
        <f t="shared" si="0"/>
        <v>0</v>
      </c>
      <c r="CS14" s="118">
        <f t="shared" si="1"/>
        <v>0</v>
      </c>
      <c r="CT14" s="118">
        <f t="shared" si="2"/>
        <v>0</v>
      </c>
      <c r="CU14" s="118">
        <f t="shared" si="3"/>
        <v>0</v>
      </c>
      <c r="CV14" s="118">
        <f t="shared" si="4"/>
        <v>0</v>
      </c>
      <c r="CW14" s="118">
        <f t="shared" si="5"/>
        <v>0</v>
      </c>
      <c r="CX14" s="118">
        <f t="shared" si="6"/>
        <v>0</v>
      </c>
      <c r="CY14" s="118">
        <f t="shared" si="7"/>
        <v>0</v>
      </c>
      <c r="CZ14" s="118">
        <f t="shared" si="8"/>
        <v>0</v>
      </c>
      <c r="DA14" s="118">
        <f t="shared" si="9"/>
        <v>0</v>
      </c>
      <c r="DB14" s="118">
        <f t="shared" si="10"/>
        <v>0</v>
      </c>
      <c r="DC14" s="118">
        <f t="shared" si="11"/>
        <v>0</v>
      </c>
    </row>
    <row r="15" spans="2:120" ht="16" x14ac:dyDescent="0.2">
      <c r="B15" s="107" t="s">
        <v>530</v>
      </c>
      <c r="C15" s="191"/>
      <c r="D15" s="116"/>
      <c r="E15" s="116"/>
      <c r="F15" s="116"/>
      <c r="G15" s="119"/>
      <c r="H15" s="119"/>
      <c r="I15" s="119"/>
      <c r="J15" s="119"/>
      <c r="K15" s="116"/>
      <c r="L15" s="116"/>
      <c r="M15" s="116"/>
      <c r="N15" s="119"/>
      <c r="O15" s="119"/>
      <c r="P15" s="119"/>
      <c r="Q15" s="119"/>
      <c r="R15" s="116"/>
      <c r="S15" s="116"/>
      <c r="T15" s="116"/>
      <c r="U15" s="119"/>
      <c r="V15" s="119"/>
      <c r="W15" s="119"/>
      <c r="X15" s="119"/>
      <c r="Y15" s="116"/>
      <c r="Z15" s="116"/>
      <c r="AA15" s="116"/>
      <c r="AB15" s="119"/>
      <c r="AC15" s="119"/>
      <c r="AD15" s="119"/>
      <c r="AE15" s="119"/>
      <c r="AF15" s="116"/>
      <c r="AG15" s="116"/>
      <c r="AH15" s="116"/>
      <c r="AI15" s="119"/>
      <c r="AJ15" s="119"/>
      <c r="AK15" s="119"/>
      <c r="AL15" s="119"/>
      <c r="AM15" s="116"/>
      <c r="AN15" s="116"/>
      <c r="AO15" s="116"/>
      <c r="AP15" s="119"/>
      <c r="AQ15" s="119"/>
      <c r="AR15" s="119"/>
      <c r="AS15" s="119"/>
      <c r="AT15" s="116"/>
      <c r="AU15" s="116"/>
      <c r="AV15" s="116"/>
      <c r="AW15" s="119"/>
      <c r="AX15" s="119"/>
      <c r="AY15" s="119"/>
      <c r="AZ15" s="119"/>
      <c r="BA15" s="116"/>
      <c r="BB15" s="116"/>
      <c r="BC15" s="116"/>
      <c r="BD15" s="119"/>
      <c r="BE15" s="119"/>
      <c r="BF15" s="119"/>
      <c r="BG15" s="119"/>
      <c r="BH15" s="116"/>
      <c r="BI15" s="116"/>
      <c r="BJ15" s="116"/>
      <c r="BK15" s="119"/>
      <c r="BL15" s="119"/>
      <c r="BM15" s="119"/>
      <c r="BN15" s="119"/>
      <c r="BO15" s="116"/>
      <c r="BP15" s="116"/>
      <c r="BQ15" s="116"/>
      <c r="BR15" s="119"/>
      <c r="BS15" s="119"/>
      <c r="BT15" s="119"/>
      <c r="BU15" s="119"/>
      <c r="BV15" s="116"/>
      <c r="BW15" s="116"/>
      <c r="BX15" s="116"/>
      <c r="BY15" s="119"/>
      <c r="BZ15" s="119"/>
      <c r="CA15" s="119"/>
      <c r="CB15" s="119"/>
      <c r="CC15" s="116"/>
      <c r="CD15" s="116"/>
      <c r="CE15" s="116"/>
      <c r="CF15" s="119"/>
      <c r="CG15" s="119"/>
      <c r="CH15" s="119"/>
      <c r="CI15" s="119"/>
      <c r="CJ15" s="115"/>
      <c r="CK15" s="115"/>
      <c r="CL15" s="115"/>
      <c r="CM15" s="115"/>
      <c r="CN15" s="115"/>
      <c r="CO15" s="115"/>
      <c r="CP15" s="119"/>
      <c r="CQ15" s="107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</row>
    <row r="16" spans="2:120" ht="16" x14ac:dyDescent="0.2">
      <c r="B16" s="109" t="s">
        <v>401</v>
      </c>
      <c r="C16" s="193"/>
      <c r="D16" s="110">
        <f>D8-D9-D10-D11-D12-D13-D14</f>
        <v>1594000</v>
      </c>
      <c r="E16" s="110">
        <f t="shared" ref="E16:BP16" si="15">E8-E9-E10-E11-E12-E13-E14</f>
        <v>3146600</v>
      </c>
      <c r="F16" s="110">
        <f t="shared" si="15"/>
        <v>998458</v>
      </c>
      <c r="G16" s="110">
        <f t="shared" si="15"/>
        <v>494600</v>
      </c>
      <c r="H16" s="110">
        <f t="shared" si="15"/>
        <v>1445600</v>
      </c>
      <c r="I16" s="110">
        <f t="shared" si="15"/>
        <v>881000</v>
      </c>
      <c r="J16" s="263">
        <f>J8-J9-J10-J11-J12-J13-J14</f>
        <v>8560258</v>
      </c>
      <c r="K16" s="110">
        <f t="shared" si="15"/>
        <v>-1534125</v>
      </c>
      <c r="L16" s="110">
        <f t="shared" si="15"/>
        <v>-1285340</v>
      </c>
      <c r="M16" s="110">
        <f t="shared" si="15"/>
        <v>-784919</v>
      </c>
      <c r="N16" s="110">
        <f t="shared" si="15"/>
        <v>-359256</v>
      </c>
      <c r="O16" s="110">
        <f t="shared" si="15"/>
        <v>-1590257</v>
      </c>
      <c r="P16" s="110">
        <f t="shared" si="15"/>
        <v>0</v>
      </c>
      <c r="Q16" s="110">
        <f t="shared" si="15"/>
        <v>-2497897</v>
      </c>
      <c r="R16" s="110">
        <f t="shared" si="15"/>
        <v>0</v>
      </c>
      <c r="S16" s="110">
        <f t="shared" si="15"/>
        <v>0</v>
      </c>
      <c r="T16" s="110">
        <f t="shared" si="15"/>
        <v>0</v>
      </c>
      <c r="U16" s="110">
        <f t="shared" si="15"/>
        <v>0</v>
      </c>
      <c r="V16" s="110">
        <f t="shared" si="15"/>
        <v>0</v>
      </c>
      <c r="W16" s="110">
        <f t="shared" si="15"/>
        <v>0</v>
      </c>
      <c r="X16" s="263">
        <f>X8-X9-X10-X11-X12-X13-X14</f>
        <v>6765658</v>
      </c>
      <c r="Y16" s="110">
        <f t="shared" si="15"/>
        <v>0</v>
      </c>
      <c r="Z16" s="110">
        <f t="shared" si="15"/>
        <v>0</v>
      </c>
      <c r="AA16" s="110">
        <f t="shared" si="15"/>
        <v>0</v>
      </c>
      <c r="AB16" s="110">
        <f t="shared" si="15"/>
        <v>0</v>
      </c>
      <c r="AC16" s="110">
        <f t="shared" si="15"/>
        <v>0</v>
      </c>
      <c r="AD16" s="110">
        <f t="shared" si="15"/>
        <v>0</v>
      </c>
      <c r="AE16" s="263">
        <f>AE8-AE9-AE10-AE11-AE12-AE13-AE14</f>
        <v>8365658</v>
      </c>
      <c r="AF16" s="110">
        <f t="shared" si="15"/>
        <v>0</v>
      </c>
      <c r="AG16" s="110">
        <f t="shared" si="15"/>
        <v>0</v>
      </c>
      <c r="AH16" s="110">
        <f t="shared" si="15"/>
        <v>0</v>
      </c>
      <c r="AI16" s="110">
        <f t="shared" si="15"/>
        <v>0</v>
      </c>
      <c r="AJ16" s="110">
        <f t="shared" si="15"/>
        <v>0</v>
      </c>
      <c r="AK16" s="110">
        <f t="shared" si="15"/>
        <v>0</v>
      </c>
      <c r="AL16" s="263">
        <f>AL8-AL9-AL10-AL11-AL12-AL13-AL14</f>
        <v>8365658</v>
      </c>
      <c r="AM16" s="110">
        <f t="shared" si="15"/>
        <v>0</v>
      </c>
      <c r="AN16" s="110">
        <f t="shared" si="15"/>
        <v>0</v>
      </c>
      <c r="AO16" s="110">
        <f t="shared" si="15"/>
        <v>0</v>
      </c>
      <c r="AP16" s="110">
        <f t="shared" si="15"/>
        <v>0</v>
      </c>
      <c r="AQ16" s="110">
        <f t="shared" si="15"/>
        <v>0</v>
      </c>
      <c r="AR16" s="110">
        <f t="shared" si="15"/>
        <v>0</v>
      </c>
      <c r="AS16" s="263">
        <f>AS8-AS9-AS10-AS11-AS12-AS13-AS14</f>
        <v>8823308</v>
      </c>
      <c r="AT16" s="110">
        <f t="shared" si="15"/>
        <v>0</v>
      </c>
      <c r="AU16" s="110">
        <f t="shared" si="15"/>
        <v>0</v>
      </c>
      <c r="AV16" s="110">
        <f t="shared" si="15"/>
        <v>0</v>
      </c>
      <c r="AW16" s="110">
        <f t="shared" si="15"/>
        <v>0</v>
      </c>
      <c r="AX16" s="110">
        <f t="shared" si="15"/>
        <v>0</v>
      </c>
      <c r="AY16" s="110">
        <f t="shared" si="15"/>
        <v>0</v>
      </c>
      <c r="AZ16" s="263">
        <f>AZ8-AZ9-AZ10-AZ11-AZ12-AZ13-AZ14</f>
        <v>9133682.5999999996</v>
      </c>
      <c r="BA16" s="110">
        <f t="shared" si="15"/>
        <v>0</v>
      </c>
      <c r="BB16" s="110">
        <f t="shared" si="15"/>
        <v>0</v>
      </c>
      <c r="BC16" s="110">
        <f t="shared" si="15"/>
        <v>0</v>
      </c>
      <c r="BD16" s="110">
        <f t="shared" si="15"/>
        <v>0</v>
      </c>
      <c r="BE16" s="110">
        <f t="shared" si="15"/>
        <v>0</v>
      </c>
      <c r="BF16" s="110">
        <f t="shared" si="15"/>
        <v>0</v>
      </c>
      <c r="BG16" s="263">
        <f>BG8-BG9-BG10-BG11-BG12-BG13-BG14</f>
        <v>9178613.5999999996</v>
      </c>
      <c r="BH16" s="110">
        <f t="shared" si="15"/>
        <v>0</v>
      </c>
      <c r="BI16" s="110">
        <f t="shared" si="15"/>
        <v>0</v>
      </c>
      <c r="BJ16" s="110">
        <f t="shared" si="15"/>
        <v>0</v>
      </c>
      <c r="BK16" s="110">
        <f t="shared" si="15"/>
        <v>0</v>
      </c>
      <c r="BL16" s="110">
        <f t="shared" si="15"/>
        <v>0</v>
      </c>
      <c r="BM16" s="110">
        <f t="shared" si="15"/>
        <v>0</v>
      </c>
      <c r="BN16" s="263">
        <f>BN8-BN9-BN10-BN11-BN12-BN13-BN14</f>
        <v>9178613.5999999996</v>
      </c>
      <c r="BO16" s="110">
        <f t="shared" si="15"/>
        <v>0</v>
      </c>
      <c r="BP16" s="110">
        <f t="shared" si="15"/>
        <v>0</v>
      </c>
      <c r="BQ16" s="110">
        <f t="shared" ref="BQ16:CO16" si="16">BQ8-BQ9-BQ10-BQ11-BQ12-BQ13-BQ14</f>
        <v>0</v>
      </c>
      <c r="BR16" s="110">
        <f t="shared" si="16"/>
        <v>0</v>
      </c>
      <c r="BS16" s="110">
        <f t="shared" si="16"/>
        <v>0</v>
      </c>
      <c r="BT16" s="110">
        <f t="shared" si="16"/>
        <v>0</v>
      </c>
      <c r="BU16" s="263">
        <f>BU8-BU9-BU10-BU11-BU12-BU13-BU14</f>
        <v>9178613.5999999996</v>
      </c>
      <c r="BV16" s="110">
        <f t="shared" si="16"/>
        <v>0</v>
      </c>
      <c r="BW16" s="110">
        <f t="shared" si="16"/>
        <v>0</v>
      </c>
      <c r="BX16" s="110">
        <f t="shared" si="16"/>
        <v>0</v>
      </c>
      <c r="BY16" s="110">
        <f t="shared" si="16"/>
        <v>0</v>
      </c>
      <c r="BZ16" s="110">
        <f t="shared" si="16"/>
        <v>0</v>
      </c>
      <c r="CA16" s="110">
        <f t="shared" si="16"/>
        <v>0</v>
      </c>
      <c r="CB16" s="263">
        <f>CB8-CB9-CB10-CB11-CB12-CB13-CB14</f>
        <v>9178613.5999999996</v>
      </c>
      <c r="CC16" s="110">
        <f t="shared" si="16"/>
        <v>0</v>
      </c>
      <c r="CD16" s="110">
        <f t="shared" si="16"/>
        <v>0</v>
      </c>
      <c r="CE16" s="110">
        <f t="shared" si="16"/>
        <v>0</v>
      </c>
      <c r="CF16" s="110">
        <f t="shared" si="16"/>
        <v>0</v>
      </c>
      <c r="CG16" s="110">
        <f t="shared" si="16"/>
        <v>0</v>
      </c>
      <c r="CH16" s="110">
        <f t="shared" si="16"/>
        <v>0</v>
      </c>
      <c r="CI16" s="263">
        <f>CI8-CI9-CI10-CI11-CI12-CI13-CI14</f>
        <v>9266078.5999999996</v>
      </c>
      <c r="CJ16" s="110">
        <f t="shared" si="16"/>
        <v>59875</v>
      </c>
      <c r="CK16" s="110">
        <f t="shared" si="16"/>
        <v>1861260</v>
      </c>
      <c r="CL16" s="110">
        <f t="shared" si="16"/>
        <v>213539</v>
      </c>
      <c r="CM16" s="110">
        <f t="shared" si="16"/>
        <v>135344</v>
      </c>
      <c r="CN16" s="110">
        <f t="shared" si="16"/>
        <v>-144657</v>
      </c>
      <c r="CO16" s="110">
        <f t="shared" si="16"/>
        <v>881000</v>
      </c>
      <c r="CP16" s="110"/>
      <c r="CQ16" s="107"/>
      <c r="CR16" s="111">
        <f t="shared" si="0"/>
        <v>0.90178223036891891</v>
      </c>
      <c r="CS16" s="111">
        <f t="shared" si="1"/>
        <v>-0.26314149969449885</v>
      </c>
      <c r="CT16" s="111">
        <f t="shared" si="2"/>
        <v>0.71272970524408485</v>
      </c>
      <c r="CU16" s="111">
        <f t="shared" si="3"/>
        <v>0.88128205128205128</v>
      </c>
      <c r="CV16" s="111">
        <f t="shared" si="4"/>
        <v>0.88128205128205128</v>
      </c>
      <c r="CW16" s="111">
        <f t="shared" si="5"/>
        <v>0.88674234315720712</v>
      </c>
      <c r="CX16" s="111">
        <f t="shared" si="6"/>
        <v>0.89016828468707454</v>
      </c>
      <c r="CY16" s="111">
        <f t="shared" si="7"/>
        <v>0.89064713793790995</v>
      </c>
      <c r="CZ16" s="111">
        <f t="shared" si="8"/>
        <v>0.89064713793790995</v>
      </c>
      <c r="DA16" s="111">
        <f t="shared" si="9"/>
        <v>0.89064713793790995</v>
      </c>
      <c r="DB16" s="111">
        <f t="shared" si="10"/>
        <v>0.89064713793790995</v>
      </c>
      <c r="DC16" s="111">
        <f t="shared" si="11"/>
        <v>0.89156742362273389</v>
      </c>
    </row>
    <row r="17" spans="1:107" ht="16" x14ac:dyDescent="0.2">
      <c r="A17" s="264"/>
      <c r="B17" s="235" t="s">
        <v>529</v>
      </c>
      <c r="C17" s="191" t="s">
        <v>531</v>
      </c>
      <c r="D17" s="120"/>
      <c r="E17" s="120"/>
      <c r="F17" s="120"/>
      <c r="G17" s="120"/>
      <c r="H17" s="120"/>
      <c r="I17" s="120"/>
      <c r="J17" s="116">
        <v>0</v>
      </c>
      <c r="K17" s="120"/>
      <c r="L17" s="120"/>
      <c r="M17" s="120"/>
      <c r="N17" s="120"/>
      <c r="O17" s="120"/>
      <c r="P17" s="120"/>
      <c r="Q17" s="115">
        <v>0</v>
      </c>
      <c r="R17" s="120"/>
      <c r="S17" s="120"/>
      <c r="T17" s="120"/>
      <c r="U17" s="120"/>
      <c r="V17" s="120"/>
      <c r="W17" s="120"/>
      <c r="X17" s="116">
        <v>0</v>
      </c>
      <c r="Y17" s="120"/>
      <c r="Z17" s="120"/>
      <c r="AA17" s="120"/>
      <c r="AB17" s="120"/>
      <c r="AC17" s="120"/>
      <c r="AD17" s="120"/>
      <c r="AE17" s="116">
        <v>0</v>
      </c>
      <c r="AF17" s="120"/>
      <c r="AG17" s="120"/>
      <c r="AH17" s="120"/>
      <c r="AI17" s="120"/>
      <c r="AJ17" s="120"/>
      <c r="AK17" s="120"/>
      <c r="AL17" s="116">
        <v>0</v>
      </c>
      <c r="AM17" s="120"/>
      <c r="AN17" s="120"/>
      <c r="AO17" s="120"/>
      <c r="AP17" s="120"/>
      <c r="AQ17" s="120"/>
      <c r="AR17" s="120"/>
      <c r="AS17" s="116">
        <v>0</v>
      </c>
      <c r="AT17" s="120"/>
      <c r="AU17" s="120"/>
      <c r="AV17" s="120"/>
      <c r="AW17" s="120"/>
      <c r="AX17" s="120"/>
      <c r="AY17" s="120"/>
      <c r="AZ17" s="116">
        <v>0</v>
      </c>
      <c r="BA17" s="120"/>
      <c r="BB17" s="120"/>
      <c r="BC17" s="120"/>
      <c r="BD17" s="120"/>
      <c r="BE17" s="120"/>
      <c r="BF17" s="120"/>
      <c r="BG17" s="116">
        <v>0</v>
      </c>
      <c r="BH17" s="120"/>
      <c r="BI17" s="120"/>
      <c r="BJ17" s="120"/>
      <c r="BK17" s="120"/>
      <c r="BL17" s="120"/>
      <c r="BM17" s="120"/>
      <c r="BN17" s="116">
        <v>0</v>
      </c>
      <c r="BO17" s="120"/>
      <c r="BP17" s="120"/>
      <c r="BQ17" s="120"/>
      <c r="BR17" s="120"/>
      <c r="BS17" s="120"/>
      <c r="BT17" s="120"/>
      <c r="BU17" s="116">
        <v>0</v>
      </c>
      <c r="BV17" s="120"/>
      <c r="BW17" s="120"/>
      <c r="BX17" s="120"/>
      <c r="BY17" s="120"/>
      <c r="BZ17" s="120"/>
      <c r="CA17" s="120"/>
      <c r="CB17" s="116">
        <v>0</v>
      </c>
      <c r="CC17" s="120"/>
      <c r="CD17" s="120"/>
      <c r="CE17" s="120"/>
      <c r="CF17" s="120"/>
      <c r="CG17" s="120"/>
      <c r="CH17" s="120"/>
      <c r="CI17" s="116">
        <v>0</v>
      </c>
      <c r="CJ17" s="120"/>
      <c r="CK17" s="120"/>
      <c r="CL17" s="120"/>
      <c r="CM17" s="120"/>
      <c r="CN17" s="120"/>
      <c r="CO17" s="120"/>
      <c r="CP17" s="115"/>
      <c r="CQ17" s="107"/>
      <c r="CR17" s="236"/>
      <c r="CS17" s="236"/>
      <c r="CT17" s="236"/>
      <c r="CU17" s="236"/>
      <c r="CV17" s="236"/>
      <c r="CW17" s="236"/>
      <c r="CX17" s="236"/>
      <c r="CY17" s="236"/>
      <c r="CZ17" s="236"/>
      <c r="DA17" s="236"/>
      <c r="DB17" s="236"/>
      <c r="DC17" s="236"/>
    </row>
    <row r="18" spans="1:107" ht="16" x14ac:dyDescent="0.2">
      <c r="B18" s="235" t="s">
        <v>522</v>
      </c>
      <c r="C18" s="191" t="s">
        <v>136</v>
      </c>
      <c r="D18" s="115"/>
      <c r="E18" s="115"/>
      <c r="F18" s="115"/>
      <c r="G18" s="121"/>
      <c r="H18" s="121"/>
      <c r="I18" s="121"/>
      <c r="J18" s="116">
        <v>0</v>
      </c>
      <c r="K18" s="115"/>
      <c r="L18" s="115"/>
      <c r="M18" s="115"/>
      <c r="N18" s="121"/>
      <c r="O18" s="121"/>
      <c r="P18" s="121"/>
      <c r="Q18" s="115">
        <v>0</v>
      </c>
      <c r="R18" s="121"/>
      <c r="S18" s="121"/>
      <c r="T18" s="121"/>
      <c r="U18" s="121"/>
      <c r="V18" s="121"/>
      <c r="X18" s="116">
        <v>0</v>
      </c>
      <c r="Y18" s="121"/>
      <c r="Z18" s="121"/>
      <c r="AA18" s="121"/>
      <c r="AB18" s="121"/>
      <c r="AC18" s="121"/>
      <c r="AE18" s="116">
        <v>0</v>
      </c>
      <c r="AF18" s="121"/>
      <c r="AG18" s="121"/>
      <c r="AH18" s="121"/>
      <c r="AI18" s="121"/>
      <c r="AJ18" s="121"/>
      <c r="AL18" s="116">
        <v>0</v>
      </c>
      <c r="AM18" s="121"/>
      <c r="AN18" s="121"/>
      <c r="AO18" s="121"/>
      <c r="AP18" s="121"/>
      <c r="AQ18" s="121"/>
      <c r="AS18" s="116">
        <v>0</v>
      </c>
      <c r="AT18" s="121"/>
      <c r="AU18" s="121"/>
      <c r="AV18" s="121"/>
      <c r="AW18" s="121"/>
      <c r="AX18" s="121"/>
      <c r="AZ18" s="116">
        <v>0</v>
      </c>
      <c r="BA18" s="121"/>
      <c r="BB18" s="121"/>
      <c r="BC18" s="121"/>
      <c r="BD18" s="121"/>
      <c r="BE18" s="121"/>
      <c r="BG18" s="116">
        <v>0</v>
      </c>
      <c r="BH18" s="121"/>
      <c r="BI18" s="121"/>
      <c r="BJ18" s="121"/>
      <c r="BK18" s="121"/>
      <c r="BL18" s="121"/>
      <c r="BN18" s="116">
        <v>0</v>
      </c>
      <c r="BO18" s="121"/>
      <c r="BP18" s="121"/>
      <c r="BQ18" s="121"/>
      <c r="BR18" s="121"/>
      <c r="BS18" s="121"/>
      <c r="BU18" s="116">
        <v>0</v>
      </c>
      <c r="BV18" s="121"/>
      <c r="BW18" s="121"/>
      <c r="BX18" s="121"/>
      <c r="BY18" s="121"/>
      <c r="BZ18" s="121"/>
      <c r="CB18" s="116">
        <v>0</v>
      </c>
      <c r="CC18" s="121"/>
      <c r="CD18" s="121"/>
      <c r="CE18" s="121"/>
      <c r="CF18" s="121"/>
      <c r="CG18" s="121"/>
      <c r="CI18" s="116">
        <v>0</v>
      </c>
      <c r="CJ18" s="121"/>
      <c r="CK18" s="121"/>
      <c r="CL18" s="121"/>
      <c r="CM18" s="121"/>
      <c r="CN18" s="121"/>
      <c r="CP18" s="115"/>
      <c r="CQ18" s="107"/>
      <c r="CR18" s="118">
        <f t="shared" si="0"/>
        <v>0</v>
      </c>
      <c r="CS18" s="118">
        <f t="shared" si="1"/>
        <v>0</v>
      </c>
      <c r="CT18" s="118">
        <f t="shared" si="2"/>
        <v>0</v>
      </c>
      <c r="CU18" s="118">
        <f t="shared" si="3"/>
        <v>0</v>
      </c>
      <c r="CV18" s="118">
        <f t="shared" si="4"/>
        <v>0</v>
      </c>
      <c r="CW18" s="118">
        <f t="shared" si="5"/>
        <v>0</v>
      </c>
      <c r="CX18" s="118">
        <f t="shared" si="6"/>
        <v>0</v>
      </c>
      <c r="CY18" s="118">
        <f t="shared" si="7"/>
        <v>0</v>
      </c>
      <c r="CZ18" s="118">
        <f t="shared" si="8"/>
        <v>0</v>
      </c>
      <c r="DA18" s="118">
        <f t="shared" si="9"/>
        <v>0</v>
      </c>
      <c r="DB18" s="118">
        <f t="shared" si="10"/>
        <v>0</v>
      </c>
      <c r="DC18" s="118">
        <f t="shared" si="11"/>
        <v>0</v>
      </c>
    </row>
    <row r="19" spans="1:107" ht="16" x14ac:dyDescent="0.2">
      <c r="B19" s="252" t="s">
        <v>535</v>
      </c>
      <c r="C19" s="191" t="s">
        <v>144</v>
      </c>
      <c r="D19" s="115"/>
      <c r="E19" s="115"/>
      <c r="F19" s="115"/>
      <c r="G19" s="121"/>
      <c r="H19" s="121"/>
      <c r="I19" s="121"/>
      <c r="J19" s="116">
        <v>2104000</v>
      </c>
      <c r="K19" s="115"/>
      <c r="L19" s="115"/>
      <c r="M19" s="115"/>
      <c r="N19" s="121"/>
      <c r="O19" s="121"/>
      <c r="P19" s="121"/>
      <c r="Q19" s="116">
        <v>2102000</v>
      </c>
      <c r="R19" s="121"/>
      <c r="S19" s="121"/>
      <c r="T19" s="121"/>
      <c r="U19" s="121"/>
      <c r="V19" s="121"/>
      <c r="X19" s="116">
        <v>2102000</v>
      </c>
      <c r="Y19" s="121"/>
      <c r="Z19" s="121"/>
      <c r="AA19" s="121"/>
      <c r="AB19" s="121"/>
      <c r="AC19" s="121"/>
      <c r="AE19" s="116">
        <v>2102000</v>
      </c>
      <c r="AF19" s="121"/>
      <c r="AG19" s="121"/>
      <c r="AH19" s="121"/>
      <c r="AI19" s="121"/>
      <c r="AJ19" s="121"/>
      <c r="AL19" s="116">
        <v>2102000</v>
      </c>
      <c r="AM19" s="121"/>
      <c r="AN19" s="121"/>
      <c r="AO19" s="121"/>
      <c r="AP19" s="121"/>
      <c r="AQ19" s="121"/>
      <c r="AS19" s="116">
        <v>2102000</v>
      </c>
      <c r="AT19" s="121"/>
      <c r="AU19" s="121"/>
      <c r="AV19" s="121"/>
      <c r="AW19" s="121"/>
      <c r="AX19" s="121"/>
      <c r="AZ19" s="116">
        <v>2102000</v>
      </c>
      <c r="BA19" s="121"/>
      <c r="BB19" s="121"/>
      <c r="BC19" s="121"/>
      <c r="BD19" s="121"/>
      <c r="BE19" s="121"/>
      <c r="BG19" s="116">
        <v>2102000</v>
      </c>
      <c r="BH19" s="121"/>
      <c r="BI19" s="121"/>
      <c r="BJ19" s="121"/>
      <c r="BK19" s="121"/>
      <c r="BL19" s="121"/>
      <c r="BN19" s="116">
        <v>2102000</v>
      </c>
      <c r="BO19" s="121"/>
      <c r="BP19" s="121"/>
      <c r="BQ19" s="121"/>
      <c r="BR19" s="121"/>
      <c r="BS19" s="121"/>
      <c r="BU19" s="116">
        <v>2102000</v>
      </c>
      <c r="BV19" s="121"/>
      <c r="BW19" s="121"/>
      <c r="BX19" s="121"/>
      <c r="BY19" s="121"/>
      <c r="BZ19" s="121"/>
      <c r="CB19" s="116">
        <v>2102000</v>
      </c>
      <c r="CC19" s="121"/>
      <c r="CD19" s="121"/>
      <c r="CE19" s="121"/>
      <c r="CF19" s="121"/>
      <c r="CG19" s="121"/>
      <c r="CI19" s="116">
        <v>2102000</v>
      </c>
      <c r="CJ19" s="121"/>
      <c r="CK19" s="121"/>
      <c r="CL19" s="121"/>
      <c r="CM19" s="121"/>
      <c r="CN19" s="121"/>
      <c r="CP19" s="115"/>
      <c r="CQ19" s="107"/>
      <c r="CR19" s="118">
        <f t="shared" si="0"/>
        <v>0.22164633503992584</v>
      </c>
      <c r="CS19" s="118">
        <f t="shared" si="1"/>
        <v>0.22143564460737838</v>
      </c>
      <c r="CT19" s="118">
        <f t="shared" si="2"/>
        <v>0.22143564460737838</v>
      </c>
      <c r="CU19" s="118">
        <f t="shared" si="3"/>
        <v>0.22143564460737838</v>
      </c>
      <c r="CV19" s="118">
        <f t="shared" si="4"/>
        <v>0.22143564460737838</v>
      </c>
      <c r="CW19" s="118">
        <f t="shared" si="5"/>
        <v>0.21125097359362829</v>
      </c>
      <c r="CX19" s="118">
        <f t="shared" si="6"/>
        <v>0.20486082299512254</v>
      </c>
      <c r="CY19" s="118">
        <f t="shared" si="7"/>
        <v>0.20396765410687806</v>
      </c>
      <c r="CZ19" s="118">
        <f t="shared" si="8"/>
        <v>0.20396765410687806</v>
      </c>
      <c r="DA19" s="118">
        <f t="shared" si="9"/>
        <v>0.20396765410687806</v>
      </c>
      <c r="DB19" s="118">
        <f t="shared" si="10"/>
        <v>0.20396765410687806</v>
      </c>
      <c r="DC19" s="118">
        <f t="shared" si="11"/>
        <v>0.20225111456047726</v>
      </c>
    </row>
    <row r="20" spans="1:107" x14ac:dyDescent="0.2">
      <c r="B20" s="107" t="s">
        <v>145</v>
      </c>
      <c r="C20" s="191" t="s">
        <v>144</v>
      </c>
      <c r="D20" s="187"/>
      <c r="E20" s="187"/>
      <c r="F20" s="187"/>
      <c r="G20" s="188"/>
      <c r="H20" s="188"/>
      <c r="I20" s="188"/>
      <c r="J20" s="116">
        <v>753300</v>
      </c>
      <c r="K20" s="187"/>
      <c r="L20" s="187"/>
      <c r="M20" s="187"/>
      <c r="N20" s="187"/>
      <c r="O20" s="187"/>
      <c r="P20" s="187"/>
      <c r="Q20" s="115">
        <v>794200</v>
      </c>
      <c r="R20" s="187"/>
      <c r="S20" s="187"/>
      <c r="T20" s="187"/>
      <c r="U20" s="188"/>
      <c r="V20" s="188"/>
      <c r="W20" s="188"/>
      <c r="X20" s="116">
        <v>753300</v>
      </c>
      <c r="Y20" s="187"/>
      <c r="Z20" s="187"/>
      <c r="AA20" s="187"/>
      <c r="AB20" s="188"/>
      <c r="AC20" s="188"/>
      <c r="AD20" s="188"/>
      <c r="AE20" s="116">
        <v>753300</v>
      </c>
      <c r="AF20" s="187"/>
      <c r="AG20" s="187"/>
      <c r="AH20" s="187"/>
      <c r="AI20" s="188"/>
      <c r="AJ20" s="188"/>
      <c r="AK20" s="188"/>
      <c r="AL20" s="116">
        <v>753300</v>
      </c>
      <c r="AM20" s="187"/>
      <c r="AN20" s="187"/>
      <c r="AO20" s="187"/>
      <c r="AP20" s="188"/>
      <c r="AQ20" s="188"/>
      <c r="AR20" s="188"/>
      <c r="AS20" s="116">
        <v>753300</v>
      </c>
      <c r="AT20" s="187"/>
      <c r="AU20" s="187"/>
      <c r="AV20" s="187"/>
      <c r="AW20" s="188"/>
      <c r="AX20" s="188"/>
      <c r="AY20" s="188"/>
      <c r="AZ20" s="116">
        <v>460000</v>
      </c>
      <c r="BA20" s="187"/>
      <c r="BB20" s="187"/>
      <c r="BC20" s="187"/>
      <c r="BD20" s="188"/>
      <c r="BE20" s="188"/>
      <c r="BF20" s="188"/>
      <c r="BG20" s="116">
        <v>460000</v>
      </c>
      <c r="BH20" s="187"/>
      <c r="BI20" s="187"/>
      <c r="BJ20" s="187"/>
      <c r="BK20" s="188"/>
      <c r="BL20" s="188"/>
      <c r="BM20" s="188"/>
      <c r="BN20" s="116">
        <v>460000</v>
      </c>
      <c r="BO20" s="187"/>
      <c r="BP20" s="187"/>
      <c r="BQ20" s="187"/>
      <c r="BR20" s="188"/>
      <c r="BS20" s="188"/>
      <c r="BT20" s="188"/>
      <c r="BU20" s="116">
        <v>460000</v>
      </c>
      <c r="BV20" s="187"/>
      <c r="BW20" s="187"/>
      <c r="BX20" s="187"/>
      <c r="BY20" s="188"/>
      <c r="BZ20" s="188"/>
      <c r="CA20" s="188"/>
      <c r="CB20" s="116">
        <v>460000</v>
      </c>
      <c r="CC20" s="187"/>
      <c r="CD20" s="187"/>
      <c r="CE20" s="187"/>
      <c r="CF20" s="188"/>
      <c r="CG20" s="188"/>
      <c r="CH20" s="188"/>
      <c r="CI20" s="116">
        <v>460000</v>
      </c>
      <c r="CJ20" s="116"/>
      <c r="CK20" s="116"/>
      <c r="CL20" s="116"/>
      <c r="CM20" s="116"/>
      <c r="CN20" s="116"/>
      <c r="CP20" s="115"/>
      <c r="CQ20" s="107"/>
      <c r="CR20" s="118">
        <f t="shared" si="0"/>
        <v>7.9356551419000068E-2</v>
      </c>
      <c r="CS20" s="118">
        <f t="shared" si="1"/>
        <v>8.3665170764595578E-2</v>
      </c>
      <c r="CT20" s="118">
        <f t="shared" si="2"/>
        <v>7.9356551419000068E-2</v>
      </c>
      <c r="CU20" s="118">
        <f t="shared" si="3"/>
        <v>7.9356551419000068E-2</v>
      </c>
      <c r="CV20" s="118">
        <f t="shared" si="4"/>
        <v>7.9356551419000068E-2</v>
      </c>
      <c r="CW20" s="118">
        <f t="shared" si="5"/>
        <v>7.5706640536669936E-2</v>
      </c>
      <c r="CX20" s="118">
        <f t="shared" si="6"/>
        <v>4.4831578771530149E-2</v>
      </c>
      <c r="CY20" s="118">
        <f t="shared" si="7"/>
        <v>4.4636118405881969E-2</v>
      </c>
      <c r="CZ20" s="118">
        <f t="shared" si="8"/>
        <v>4.4636118405881969E-2</v>
      </c>
      <c r="DA20" s="118">
        <f t="shared" si="9"/>
        <v>4.4636118405881969E-2</v>
      </c>
      <c r="DB20" s="118">
        <f t="shared" si="10"/>
        <v>4.4636118405881969E-2</v>
      </c>
      <c r="DC20" s="118">
        <f t="shared" si="11"/>
        <v>4.4260472263472662E-2</v>
      </c>
    </row>
    <row r="21" spans="1:107" x14ac:dyDescent="0.2">
      <c r="B21" s="10" t="s">
        <v>132</v>
      </c>
      <c r="C21" s="191" t="s">
        <v>131</v>
      </c>
      <c r="D21" s="115"/>
      <c r="E21" s="115"/>
      <c r="F21" s="115"/>
      <c r="G21" s="116"/>
      <c r="H21" s="116"/>
      <c r="I21" s="116"/>
      <c r="J21" s="116">
        <v>0</v>
      </c>
      <c r="K21" s="115"/>
      <c r="L21" s="115"/>
      <c r="M21" s="115"/>
      <c r="N21" s="116"/>
      <c r="O21" s="116"/>
      <c r="P21" s="116"/>
      <c r="Q21" s="115">
        <v>0</v>
      </c>
      <c r="R21" s="116"/>
      <c r="S21" s="116"/>
      <c r="T21" s="116"/>
      <c r="U21" s="116"/>
      <c r="V21" s="116"/>
      <c r="X21" s="116">
        <v>0</v>
      </c>
      <c r="Y21" s="116"/>
      <c r="Z21" s="116"/>
      <c r="AA21" s="116"/>
      <c r="AB21" s="116"/>
      <c r="AC21" s="116"/>
      <c r="AE21" s="116">
        <v>0</v>
      </c>
      <c r="AF21" s="116"/>
      <c r="AG21" s="116"/>
      <c r="AH21" s="116"/>
      <c r="AI21" s="116"/>
      <c r="AJ21" s="116"/>
      <c r="AL21" s="116">
        <v>0</v>
      </c>
      <c r="AM21" s="116"/>
      <c r="AN21" s="116"/>
      <c r="AO21" s="116"/>
      <c r="AP21" s="116"/>
      <c r="AQ21" s="116"/>
      <c r="AS21" s="116">
        <v>0</v>
      </c>
      <c r="AT21" s="116"/>
      <c r="AU21" s="116"/>
      <c r="AV21" s="116"/>
      <c r="AW21" s="116"/>
      <c r="AX21" s="116"/>
      <c r="AZ21" s="116">
        <v>0</v>
      </c>
      <c r="BA21" s="116"/>
      <c r="BB21" s="116"/>
      <c r="BC21" s="116"/>
      <c r="BD21" s="116"/>
      <c r="BE21" s="116"/>
      <c r="BG21" s="116">
        <v>0</v>
      </c>
      <c r="BH21" s="116"/>
      <c r="BI21" s="116"/>
      <c r="BJ21" s="116"/>
      <c r="BK21" s="116"/>
      <c r="BL21" s="116"/>
      <c r="BN21" s="116">
        <v>0</v>
      </c>
      <c r="BO21" s="116"/>
      <c r="BP21" s="116"/>
      <c r="BQ21" s="116"/>
      <c r="BR21" s="116"/>
      <c r="BS21" s="116"/>
      <c r="BU21" s="116">
        <v>3000000</v>
      </c>
      <c r="BV21" s="116"/>
      <c r="BW21" s="116"/>
      <c r="BX21" s="116"/>
      <c r="BY21" s="116"/>
      <c r="BZ21" s="116"/>
      <c r="CB21" s="116">
        <v>0</v>
      </c>
      <c r="CC21" s="116"/>
      <c r="CD21" s="116"/>
      <c r="CE21" s="116"/>
      <c r="CF21" s="116"/>
      <c r="CG21" s="116"/>
      <c r="CI21" s="116">
        <v>0</v>
      </c>
      <c r="CJ21" s="116"/>
      <c r="CK21" s="116"/>
      <c r="CL21" s="116"/>
      <c r="CM21" s="116"/>
      <c r="CN21" s="116"/>
      <c r="CP21" s="115"/>
      <c r="CQ21" s="107"/>
      <c r="CR21" s="118">
        <f t="shared" si="0"/>
        <v>0</v>
      </c>
      <c r="CS21" s="118">
        <f t="shared" si="1"/>
        <v>0</v>
      </c>
      <c r="CT21" s="118">
        <f t="shared" si="2"/>
        <v>0</v>
      </c>
      <c r="CU21" s="118">
        <f t="shared" si="3"/>
        <v>0</v>
      </c>
      <c r="CV21" s="118">
        <f t="shared" si="4"/>
        <v>0</v>
      </c>
      <c r="CW21" s="118">
        <f t="shared" si="5"/>
        <v>0</v>
      </c>
      <c r="CX21" s="118">
        <f t="shared" si="6"/>
        <v>0</v>
      </c>
      <c r="CY21" s="118">
        <f t="shared" si="7"/>
        <v>0</v>
      </c>
      <c r="CZ21" s="118">
        <f t="shared" si="8"/>
        <v>0</v>
      </c>
      <c r="DA21" s="118">
        <f t="shared" si="9"/>
        <v>0.2911051200383607</v>
      </c>
      <c r="DB21" s="118">
        <f t="shared" si="10"/>
        <v>0</v>
      </c>
      <c r="DC21" s="118">
        <f t="shared" si="11"/>
        <v>0</v>
      </c>
    </row>
    <row r="22" spans="1:107" x14ac:dyDescent="0.2">
      <c r="B22" s="10" t="s">
        <v>222</v>
      </c>
      <c r="C22" s="191" t="s">
        <v>131</v>
      </c>
      <c r="D22" s="115"/>
      <c r="E22" s="115"/>
      <c r="F22" s="115"/>
      <c r="G22" s="116"/>
      <c r="H22" s="116"/>
      <c r="I22" s="116"/>
      <c r="J22" s="116">
        <v>2194118</v>
      </c>
      <c r="K22" s="115"/>
      <c r="L22" s="115"/>
      <c r="M22" s="115"/>
      <c r="N22" s="116"/>
      <c r="O22" s="116"/>
      <c r="P22" s="116"/>
      <c r="Q22" s="115">
        <v>0</v>
      </c>
      <c r="R22" s="116"/>
      <c r="S22" s="116"/>
      <c r="T22" s="116"/>
      <c r="U22" s="116"/>
      <c r="V22" s="116"/>
      <c r="X22" s="116">
        <v>0</v>
      </c>
      <c r="Y22" s="116"/>
      <c r="Z22" s="116"/>
      <c r="AA22" s="116"/>
      <c r="AB22" s="116"/>
      <c r="AC22" s="116"/>
      <c r="AE22" s="116">
        <v>0</v>
      </c>
      <c r="AF22" s="116"/>
      <c r="AG22" s="116"/>
      <c r="AH22" s="116"/>
      <c r="AI22" s="116"/>
      <c r="AJ22" s="116"/>
      <c r="AL22" s="116">
        <v>0</v>
      </c>
      <c r="AM22" s="116"/>
      <c r="AN22" s="116"/>
      <c r="AO22" s="116"/>
      <c r="AP22" s="116"/>
      <c r="AQ22" s="116"/>
      <c r="AS22" s="116">
        <v>0</v>
      </c>
      <c r="AT22" s="116"/>
      <c r="AU22" s="116"/>
      <c r="AV22" s="116"/>
      <c r="AW22" s="116"/>
      <c r="AX22" s="116"/>
      <c r="AZ22" s="116">
        <v>0</v>
      </c>
      <c r="BA22" s="116"/>
      <c r="BB22" s="116"/>
      <c r="BC22" s="116"/>
      <c r="BD22" s="116"/>
      <c r="BE22" s="116"/>
      <c r="BG22" s="116">
        <v>0</v>
      </c>
      <c r="BH22" s="116"/>
      <c r="BI22" s="116"/>
      <c r="BJ22" s="116"/>
      <c r="BK22" s="116"/>
      <c r="BL22" s="116"/>
      <c r="BN22" s="116">
        <v>0</v>
      </c>
      <c r="BO22" s="116"/>
      <c r="BP22" s="116"/>
      <c r="BQ22" s="116"/>
      <c r="BR22" s="116"/>
      <c r="BS22" s="116"/>
      <c r="BU22" s="116">
        <v>0</v>
      </c>
      <c r="BV22" s="116"/>
      <c r="BW22" s="116"/>
      <c r="BX22" s="116"/>
      <c r="BY22" s="116"/>
      <c r="BZ22" s="116"/>
      <c r="CB22" s="116">
        <v>0</v>
      </c>
      <c r="CC22" s="116"/>
      <c r="CD22" s="116"/>
      <c r="CE22" s="116"/>
      <c r="CF22" s="116"/>
      <c r="CG22" s="116"/>
      <c r="CI22" s="116">
        <v>0</v>
      </c>
      <c r="CJ22" s="116"/>
      <c r="CK22" s="116"/>
      <c r="CL22" s="116"/>
      <c r="CM22" s="116"/>
      <c r="CN22" s="116"/>
      <c r="CP22" s="115"/>
      <c r="CQ22" s="107"/>
      <c r="CR22" s="118">
        <f t="shared" si="0"/>
        <v>0.23113983524008175</v>
      </c>
      <c r="CS22" s="118">
        <f t="shared" si="1"/>
        <v>0</v>
      </c>
      <c r="CT22" s="118">
        <f t="shared" si="2"/>
        <v>0</v>
      </c>
      <c r="CU22" s="118">
        <f t="shared" si="3"/>
        <v>0</v>
      </c>
      <c r="CV22" s="118">
        <f t="shared" si="4"/>
        <v>0</v>
      </c>
      <c r="CW22" s="118">
        <f t="shared" si="5"/>
        <v>0</v>
      </c>
      <c r="CX22" s="118">
        <f t="shared" si="6"/>
        <v>0</v>
      </c>
      <c r="CY22" s="118">
        <f t="shared" si="7"/>
        <v>0</v>
      </c>
      <c r="CZ22" s="118">
        <f t="shared" si="8"/>
        <v>0</v>
      </c>
      <c r="DA22" s="118">
        <f t="shared" si="9"/>
        <v>0</v>
      </c>
      <c r="DB22" s="118">
        <f t="shared" si="10"/>
        <v>0</v>
      </c>
      <c r="DC22" s="118">
        <f t="shared" si="11"/>
        <v>0</v>
      </c>
    </row>
    <row r="23" spans="1:107" x14ac:dyDescent="0.2">
      <c r="B23" s="10" t="s">
        <v>87</v>
      </c>
      <c r="C23" s="191" t="s">
        <v>114</v>
      </c>
      <c r="D23" s="115"/>
      <c r="E23" s="115"/>
      <c r="F23" s="115"/>
      <c r="G23" s="116"/>
      <c r="H23" s="116"/>
      <c r="I23" s="116"/>
      <c r="J23" s="116">
        <v>0</v>
      </c>
      <c r="K23" s="115"/>
      <c r="L23" s="115"/>
      <c r="M23" s="115"/>
      <c r="N23" s="116"/>
      <c r="O23" s="116"/>
      <c r="P23" s="116"/>
      <c r="Q23" s="115">
        <v>0</v>
      </c>
      <c r="R23" s="116"/>
      <c r="S23" s="116"/>
      <c r="T23" s="116"/>
      <c r="U23" s="116"/>
      <c r="V23" s="116"/>
      <c r="X23" s="116">
        <v>0</v>
      </c>
      <c r="Y23" s="116"/>
      <c r="Z23" s="116"/>
      <c r="AA23" s="116"/>
      <c r="AB23" s="116"/>
      <c r="AC23" s="116"/>
      <c r="AE23" s="116">
        <v>0</v>
      </c>
      <c r="AF23" s="116"/>
      <c r="AG23" s="116"/>
      <c r="AH23" s="116"/>
      <c r="AI23" s="116"/>
      <c r="AJ23" s="116"/>
      <c r="AL23" s="116">
        <v>0</v>
      </c>
      <c r="AM23" s="116"/>
      <c r="AN23" s="116"/>
      <c r="AO23" s="116"/>
      <c r="AP23" s="116"/>
      <c r="AQ23" s="116"/>
      <c r="AS23" s="116">
        <v>0</v>
      </c>
      <c r="AT23" s="116"/>
      <c r="AU23" s="116"/>
      <c r="AV23" s="116"/>
      <c r="AW23" s="116"/>
      <c r="AX23" s="116"/>
      <c r="AZ23" s="116">
        <v>0</v>
      </c>
      <c r="BA23" s="116"/>
      <c r="BB23" s="116"/>
      <c r="BC23" s="116"/>
      <c r="BD23" s="116"/>
      <c r="BE23" s="116"/>
      <c r="BG23" s="116">
        <v>0</v>
      </c>
      <c r="BH23" s="116"/>
      <c r="BI23" s="116"/>
      <c r="BJ23" s="116"/>
      <c r="BK23" s="116"/>
      <c r="BL23" s="116"/>
      <c r="BN23" s="116">
        <v>0</v>
      </c>
      <c r="BO23" s="116"/>
      <c r="BP23" s="116"/>
      <c r="BQ23" s="116"/>
      <c r="BR23" s="116"/>
      <c r="BS23" s="116"/>
      <c r="BU23" s="116">
        <v>300000</v>
      </c>
      <c r="BV23" s="116"/>
      <c r="BW23" s="116"/>
      <c r="BX23" s="116"/>
      <c r="BY23" s="116"/>
      <c r="BZ23" s="116"/>
      <c r="CB23" s="116">
        <v>0</v>
      </c>
      <c r="CC23" s="116"/>
      <c r="CD23" s="116"/>
      <c r="CE23" s="116"/>
      <c r="CF23" s="116"/>
      <c r="CG23" s="116"/>
      <c r="CI23" s="116">
        <v>0</v>
      </c>
      <c r="CJ23" s="116"/>
      <c r="CK23" s="116"/>
      <c r="CL23" s="116"/>
      <c r="CM23" s="116"/>
      <c r="CN23" s="116"/>
      <c r="CP23" s="115"/>
      <c r="CQ23" s="107"/>
      <c r="CR23" s="118">
        <f t="shared" si="0"/>
        <v>0</v>
      </c>
      <c r="CS23" s="118">
        <f t="shared" si="1"/>
        <v>0</v>
      </c>
      <c r="CT23" s="118">
        <f t="shared" si="2"/>
        <v>0</v>
      </c>
      <c r="CU23" s="118">
        <f t="shared" si="3"/>
        <v>0</v>
      </c>
      <c r="CV23" s="118">
        <f t="shared" si="4"/>
        <v>0</v>
      </c>
      <c r="CW23" s="118">
        <f t="shared" si="5"/>
        <v>0</v>
      </c>
      <c r="CX23" s="118">
        <f t="shared" si="6"/>
        <v>0</v>
      </c>
      <c r="CY23" s="118">
        <f t="shared" si="7"/>
        <v>0</v>
      </c>
      <c r="CZ23" s="118">
        <f t="shared" si="8"/>
        <v>0</v>
      </c>
      <c r="DA23" s="118">
        <f t="shared" si="9"/>
        <v>2.9110512003836068E-2</v>
      </c>
      <c r="DB23" s="118">
        <f t="shared" si="10"/>
        <v>0</v>
      </c>
      <c r="DC23" s="118">
        <f t="shared" si="11"/>
        <v>0</v>
      </c>
    </row>
    <row r="24" spans="1:107" x14ac:dyDescent="0.2">
      <c r="B24" s="10" t="s">
        <v>88</v>
      </c>
      <c r="C24" s="191" t="s">
        <v>131</v>
      </c>
      <c r="D24" s="115"/>
      <c r="E24" s="115"/>
      <c r="F24" s="115"/>
      <c r="G24" s="116"/>
      <c r="H24" s="116"/>
      <c r="I24" s="116"/>
      <c r="J24" s="116">
        <v>0</v>
      </c>
      <c r="K24" s="115"/>
      <c r="L24" s="115"/>
      <c r="M24" s="115"/>
      <c r="N24" s="116"/>
      <c r="O24" s="116"/>
      <c r="P24" s="116"/>
      <c r="Q24" s="115">
        <v>0</v>
      </c>
      <c r="R24" s="116"/>
      <c r="S24" s="116"/>
      <c r="T24" s="116"/>
      <c r="U24" s="116"/>
      <c r="V24" s="116"/>
      <c r="X24" s="116">
        <v>0</v>
      </c>
      <c r="Y24" s="116"/>
      <c r="Z24" s="116"/>
      <c r="AA24" s="116"/>
      <c r="AB24" s="116"/>
      <c r="AC24" s="116"/>
      <c r="AE24" s="116">
        <v>0</v>
      </c>
      <c r="AF24" s="116"/>
      <c r="AG24" s="116"/>
      <c r="AH24" s="116"/>
      <c r="AI24" s="116"/>
      <c r="AJ24" s="116"/>
      <c r="AL24" s="116">
        <v>0</v>
      </c>
      <c r="AM24" s="116"/>
      <c r="AN24" s="116"/>
      <c r="AO24" s="116"/>
      <c r="AP24" s="116"/>
      <c r="AQ24" s="116"/>
      <c r="AS24" s="116">
        <v>0</v>
      </c>
      <c r="AT24" s="116"/>
      <c r="AU24" s="116"/>
      <c r="AV24" s="116"/>
      <c r="AW24" s="116"/>
      <c r="AX24" s="116"/>
      <c r="AZ24" s="116">
        <v>0</v>
      </c>
      <c r="BA24" s="116"/>
      <c r="BB24" s="116"/>
      <c r="BC24" s="116"/>
      <c r="BD24" s="116"/>
      <c r="BE24" s="116"/>
      <c r="BG24" s="116">
        <v>0</v>
      </c>
      <c r="BH24" s="116"/>
      <c r="BI24" s="116"/>
      <c r="BJ24" s="116"/>
      <c r="BK24" s="116"/>
      <c r="BL24" s="116"/>
      <c r="BN24" s="116">
        <v>0</v>
      </c>
      <c r="BO24" s="116"/>
      <c r="BP24" s="116"/>
      <c r="BQ24" s="116"/>
      <c r="BR24" s="116"/>
      <c r="BS24" s="116"/>
      <c r="BU24" s="116">
        <v>0</v>
      </c>
      <c r="BV24" s="116"/>
      <c r="BW24" s="116"/>
      <c r="BX24" s="116"/>
      <c r="BY24" s="116"/>
      <c r="BZ24" s="116"/>
      <c r="CB24" s="116">
        <v>0</v>
      </c>
      <c r="CC24" s="116"/>
      <c r="CD24" s="116"/>
      <c r="CE24" s="116"/>
      <c r="CF24" s="116"/>
      <c r="CG24" s="116"/>
      <c r="CI24" s="116">
        <v>0</v>
      </c>
      <c r="CJ24" s="116"/>
      <c r="CK24" s="116"/>
      <c r="CL24" s="116"/>
      <c r="CM24" s="116"/>
      <c r="CN24" s="116"/>
      <c r="CP24" s="115"/>
      <c r="CQ24" s="107"/>
      <c r="CR24" s="118">
        <f t="shared" si="0"/>
        <v>0</v>
      </c>
      <c r="CS24" s="118">
        <f t="shared" si="1"/>
        <v>0</v>
      </c>
      <c r="CT24" s="118">
        <f t="shared" si="2"/>
        <v>0</v>
      </c>
      <c r="CU24" s="118">
        <f t="shared" si="3"/>
        <v>0</v>
      </c>
      <c r="CV24" s="118">
        <f t="shared" si="4"/>
        <v>0</v>
      </c>
      <c r="CW24" s="118">
        <f t="shared" si="5"/>
        <v>0</v>
      </c>
      <c r="CX24" s="118">
        <f t="shared" si="6"/>
        <v>0</v>
      </c>
      <c r="CY24" s="118">
        <f t="shared" si="7"/>
        <v>0</v>
      </c>
      <c r="CZ24" s="118">
        <f t="shared" si="8"/>
        <v>0</v>
      </c>
      <c r="DA24" s="118">
        <f t="shared" si="9"/>
        <v>0</v>
      </c>
      <c r="DB24" s="118">
        <f t="shared" si="10"/>
        <v>0</v>
      </c>
      <c r="DC24" s="118">
        <f t="shared" si="11"/>
        <v>0</v>
      </c>
    </row>
    <row r="25" spans="1:107" x14ac:dyDescent="0.2">
      <c r="B25" s="10" t="s">
        <v>99</v>
      </c>
      <c r="C25" s="191" t="s">
        <v>154</v>
      </c>
      <c r="D25" s="115"/>
      <c r="E25" s="115"/>
      <c r="F25" s="115"/>
      <c r="G25" s="116"/>
      <c r="H25" s="116"/>
      <c r="I25" s="116"/>
      <c r="J25" s="116">
        <v>0</v>
      </c>
      <c r="K25" s="115"/>
      <c r="L25" s="115"/>
      <c r="M25" s="115"/>
      <c r="N25" s="116"/>
      <c r="O25" s="116"/>
      <c r="P25" s="116"/>
      <c r="Q25" s="115">
        <v>0</v>
      </c>
      <c r="R25" s="116"/>
      <c r="S25" s="116"/>
      <c r="T25" s="116"/>
      <c r="U25" s="116"/>
      <c r="V25" s="116"/>
      <c r="X25" s="116">
        <v>0</v>
      </c>
      <c r="Y25" s="116"/>
      <c r="Z25" s="116"/>
      <c r="AA25" s="116"/>
      <c r="AB25" s="116"/>
      <c r="AC25" s="116"/>
      <c r="AE25" s="116">
        <v>0</v>
      </c>
      <c r="AF25" s="116"/>
      <c r="AG25" s="116"/>
      <c r="AH25" s="116"/>
      <c r="AI25" s="116"/>
      <c r="AJ25" s="116"/>
      <c r="AL25" s="116">
        <v>0</v>
      </c>
      <c r="AM25" s="116"/>
      <c r="AN25" s="116"/>
      <c r="AO25" s="116"/>
      <c r="AP25" s="116"/>
      <c r="AQ25" s="116"/>
      <c r="AS25" s="116">
        <v>0</v>
      </c>
      <c r="AT25" s="116"/>
      <c r="AU25" s="116"/>
      <c r="AV25" s="116"/>
      <c r="AW25" s="116"/>
      <c r="AX25" s="116"/>
      <c r="AZ25" s="116">
        <v>0</v>
      </c>
      <c r="BA25" s="116"/>
      <c r="BB25" s="116"/>
      <c r="BC25" s="116"/>
      <c r="BD25" s="116"/>
      <c r="BE25" s="116"/>
      <c r="BG25" s="116">
        <v>0</v>
      </c>
      <c r="BH25" s="116"/>
      <c r="BI25" s="116"/>
      <c r="BJ25" s="116"/>
      <c r="BK25" s="116"/>
      <c r="BL25" s="116"/>
      <c r="BN25" s="116">
        <v>0</v>
      </c>
      <c r="BO25" s="116"/>
      <c r="BP25" s="116"/>
      <c r="BQ25" s="116"/>
      <c r="BR25" s="116"/>
      <c r="BS25" s="116"/>
      <c r="BU25" s="116">
        <v>150000</v>
      </c>
      <c r="BV25" s="116"/>
      <c r="BW25" s="116"/>
      <c r="BX25" s="116"/>
      <c r="BY25" s="116"/>
      <c r="BZ25" s="116"/>
      <c r="CB25" s="116">
        <v>0</v>
      </c>
      <c r="CC25" s="116"/>
      <c r="CD25" s="116"/>
      <c r="CE25" s="116"/>
      <c r="CF25" s="116"/>
      <c r="CG25" s="116"/>
      <c r="CI25" s="116">
        <v>0</v>
      </c>
      <c r="CJ25" s="116"/>
      <c r="CK25" s="116"/>
      <c r="CL25" s="116"/>
      <c r="CM25" s="116"/>
      <c r="CN25" s="116"/>
      <c r="CP25" s="115"/>
      <c r="CQ25" s="107"/>
      <c r="CR25" s="118">
        <f t="shared" si="0"/>
        <v>0</v>
      </c>
      <c r="CS25" s="118">
        <f t="shared" si="1"/>
        <v>0</v>
      </c>
      <c r="CT25" s="118">
        <f t="shared" si="2"/>
        <v>0</v>
      </c>
      <c r="CU25" s="118">
        <f t="shared" si="3"/>
        <v>0</v>
      </c>
      <c r="CV25" s="118">
        <f t="shared" si="4"/>
        <v>0</v>
      </c>
      <c r="CW25" s="118">
        <f t="shared" si="5"/>
        <v>0</v>
      </c>
      <c r="CX25" s="118">
        <f t="shared" si="6"/>
        <v>0</v>
      </c>
      <c r="CY25" s="118">
        <f t="shared" si="7"/>
        <v>0</v>
      </c>
      <c r="CZ25" s="118">
        <f t="shared" si="8"/>
        <v>0</v>
      </c>
      <c r="DA25" s="118">
        <f t="shared" si="9"/>
        <v>1.4555256001918034E-2</v>
      </c>
      <c r="DB25" s="118">
        <f t="shared" si="10"/>
        <v>0</v>
      </c>
      <c r="DC25" s="118">
        <f t="shared" si="11"/>
        <v>0</v>
      </c>
    </row>
    <row r="26" spans="1:107" x14ac:dyDescent="0.2">
      <c r="B26" s="10" t="s">
        <v>509</v>
      </c>
      <c r="C26" s="191" t="s">
        <v>114</v>
      </c>
      <c r="D26" s="115"/>
      <c r="E26" s="115"/>
      <c r="F26" s="115"/>
      <c r="G26" s="116"/>
      <c r="H26" s="116"/>
      <c r="I26" s="116"/>
      <c r="J26" s="116">
        <v>423900</v>
      </c>
      <c r="K26" s="115"/>
      <c r="L26" s="115"/>
      <c r="M26" s="115"/>
      <c r="N26" s="116"/>
      <c r="O26" s="116"/>
      <c r="P26" s="116"/>
      <c r="Q26" s="115">
        <v>0</v>
      </c>
      <c r="R26" s="116"/>
      <c r="S26" s="116"/>
      <c r="T26" s="116"/>
      <c r="U26" s="116"/>
      <c r="V26" s="116"/>
      <c r="X26" s="116">
        <v>0</v>
      </c>
      <c r="Y26" s="116"/>
      <c r="Z26" s="116"/>
      <c r="AA26" s="116"/>
      <c r="AB26" s="116"/>
      <c r="AC26" s="116"/>
      <c r="AE26" s="116">
        <v>0</v>
      </c>
      <c r="AF26" s="116"/>
      <c r="AG26" s="116"/>
      <c r="AH26" s="116"/>
      <c r="AI26" s="116"/>
      <c r="AJ26" s="116"/>
      <c r="AL26" s="116">
        <v>423900</v>
      </c>
      <c r="AM26" s="116"/>
      <c r="AN26" s="116"/>
      <c r="AO26" s="116"/>
      <c r="AP26" s="116"/>
      <c r="AQ26" s="116"/>
      <c r="AS26" s="116">
        <v>0</v>
      </c>
      <c r="AT26" s="116"/>
      <c r="AU26" s="116"/>
      <c r="AV26" s="116"/>
      <c r="AW26" s="116"/>
      <c r="AX26" s="116"/>
      <c r="AZ26" s="116">
        <v>0</v>
      </c>
      <c r="BA26" s="116"/>
      <c r="BB26" s="116"/>
      <c r="BC26" s="116"/>
      <c r="BD26" s="116"/>
      <c r="BE26" s="116"/>
      <c r="BG26" s="116">
        <v>0</v>
      </c>
      <c r="BH26" s="116"/>
      <c r="BI26" s="116"/>
      <c r="BJ26" s="116"/>
      <c r="BK26" s="116"/>
      <c r="BL26" s="116"/>
      <c r="BN26" s="116">
        <v>423900</v>
      </c>
      <c r="BO26" s="116"/>
      <c r="BP26" s="116"/>
      <c r="BQ26" s="116"/>
      <c r="BR26" s="116"/>
      <c r="BS26" s="116"/>
      <c r="BU26" s="116">
        <v>0</v>
      </c>
      <c r="BV26" s="116"/>
      <c r="BW26" s="116"/>
      <c r="BX26" s="116"/>
      <c r="BY26" s="116"/>
      <c r="BZ26" s="116"/>
      <c r="CB26" s="116">
        <v>0</v>
      </c>
      <c r="CC26" s="116"/>
      <c r="CD26" s="116"/>
      <c r="CE26" s="116"/>
      <c r="CF26" s="116"/>
      <c r="CG26" s="116"/>
      <c r="CI26" s="116">
        <v>0</v>
      </c>
      <c r="CJ26" s="116"/>
      <c r="CK26" s="116"/>
      <c r="CL26" s="116"/>
      <c r="CM26" s="116"/>
      <c r="CN26" s="116"/>
      <c r="CP26" s="115"/>
      <c r="CQ26" s="107"/>
      <c r="CR26" s="118">
        <f t="shared" si="0"/>
        <v>4.465583717843373E-2</v>
      </c>
      <c r="CS26" s="118">
        <f t="shared" si="1"/>
        <v>0</v>
      </c>
      <c r="CT26" s="118">
        <f t="shared" si="2"/>
        <v>0</v>
      </c>
      <c r="CU26" s="118">
        <f t="shared" si="3"/>
        <v>0</v>
      </c>
      <c r="CV26" s="118">
        <f t="shared" si="4"/>
        <v>4.465583717843373E-2</v>
      </c>
      <c r="CW26" s="118">
        <f t="shared" si="5"/>
        <v>0</v>
      </c>
      <c r="CX26" s="118">
        <f t="shared" si="6"/>
        <v>0</v>
      </c>
      <c r="CY26" s="118">
        <f t="shared" si="7"/>
        <v>0</v>
      </c>
      <c r="CZ26" s="118">
        <f t="shared" si="8"/>
        <v>4.1133153461420366E-2</v>
      </c>
      <c r="DA26" s="118">
        <f t="shared" si="9"/>
        <v>0</v>
      </c>
      <c r="DB26" s="118">
        <f t="shared" si="10"/>
        <v>0</v>
      </c>
      <c r="DC26" s="118">
        <f t="shared" si="11"/>
        <v>0</v>
      </c>
    </row>
    <row r="27" spans="1:107" x14ac:dyDescent="0.2">
      <c r="B27" s="10" t="s">
        <v>93</v>
      </c>
      <c r="C27" s="191" t="s">
        <v>131</v>
      </c>
      <c r="D27" s="115"/>
      <c r="E27" s="115"/>
      <c r="F27" s="115"/>
      <c r="G27" s="116"/>
      <c r="H27" s="116"/>
      <c r="I27" s="116"/>
      <c r="J27" s="116">
        <v>0</v>
      </c>
      <c r="K27" s="115"/>
      <c r="L27" s="115"/>
      <c r="M27" s="115"/>
      <c r="N27" s="116"/>
      <c r="O27" s="116"/>
      <c r="P27" s="116"/>
      <c r="Q27" s="115">
        <v>0</v>
      </c>
      <c r="R27" s="116"/>
      <c r="S27" s="116"/>
      <c r="T27" s="116"/>
      <c r="U27" s="116"/>
      <c r="V27" s="116"/>
      <c r="X27" s="116">
        <v>700000</v>
      </c>
      <c r="Y27" s="116"/>
      <c r="Z27" s="116"/>
      <c r="AA27" s="116"/>
      <c r="AB27" s="116"/>
      <c r="AC27" s="116"/>
      <c r="AE27" s="116">
        <v>0</v>
      </c>
      <c r="AF27" s="116"/>
      <c r="AG27" s="116"/>
      <c r="AH27" s="116"/>
      <c r="AI27" s="116"/>
      <c r="AJ27" s="116"/>
      <c r="AL27" s="116">
        <v>0</v>
      </c>
      <c r="AM27" s="116"/>
      <c r="AN27" s="116"/>
      <c r="AO27" s="116"/>
      <c r="AP27" s="116"/>
      <c r="AQ27" s="116"/>
      <c r="AS27" s="116">
        <v>0</v>
      </c>
      <c r="AT27" s="116"/>
      <c r="AU27" s="116"/>
      <c r="AV27" s="116"/>
      <c r="AW27" s="116"/>
      <c r="AX27" s="116"/>
      <c r="AZ27" s="116">
        <v>1700000</v>
      </c>
      <c r="BA27" s="116"/>
      <c r="BB27" s="116"/>
      <c r="BC27" s="116"/>
      <c r="BD27" s="116"/>
      <c r="BE27" s="116"/>
      <c r="BG27" s="116">
        <v>0</v>
      </c>
      <c r="BH27" s="116"/>
      <c r="BI27" s="116"/>
      <c r="BJ27" s="116"/>
      <c r="BK27" s="116"/>
      <c r="BL27" s="116"/>
      <c r="BN27" s="116">
        <v>0</v>
      </c>
      <c r="BO27" s="116"/>
      <c r="BP27" s="116"/>
      <c r="BQ27" s="116"/>
      <c r="BR27" s="116"/>
      <c r="BS27" s="116"/>
      <c r="BU27" s="116">
        <v>0</v>
      </c>
      <c r="BV27" s="116"/>
      <c r="BW27" s="116"/>
      <c r="BX27" s="116"/>
      <c r="BY27" s="116"/>
      <c r="BZ27" s="116"/>
      <c r="CB27" s="116">
        <v>0</v>
      </c>
      <c r="CC27" s="116"/>
      <c r="CD27" s="116"/>
      <c r="CE27" s="116"/>
      <c r="CF27" s="116"/>
      <c r="CG27" s="116"/>
      <c r="CI27" s="116">
        <v>0</v>
      </c>
      <c r="CJ27" s="116"/>
      <c r="CK27" s="116"/>
      <c r="CL27" s="116"/>
      <c r="CM27" s="116"/>
      <c r="CN27" s="116"/>
      <c r="CP27" s="115"/>
      <c r="CQ27" s="107"/>
      <c r="CR27" s="118">
        <f t="shared" si="0"/>
        <v>0</v>
      </c>
      <c r="CS27" s="118">
        <f t="shared" si="1"/>
        <v>0</v>
      </c>
      <c r="CT27" s="118">
        <f t="shared" si="2"/>
        <v>7.3741651391610305E-2</v>
      </c>
      <c r="CU27" s="118">
        <f t="shared" si="3"/>
        <v>0</v>
      </c>
      <c r="CV27" s="118">
        <f t="shared" si="4"/>
        <v>0</v>
      </c>
      <c r="CW27" s="118">
        <f t="shared" si="5"/>
        <v>0</v>
      </c>
      <c r="CX27" s="118">
        <f t="shared" si="6"/>
        <v>0.16568192154695924</v>
      </c>
      <c r="CY27" s="118">
        <f t="shared" si="7"/>
        <v>0</v>
      </c>
      <c r="CZ27" s="118">
        <f t="shared" si="8"/>
        <v>0</v>
      </c>
      <c r="DA27" s="118">
        <f t="shared" si="9"/>
        <v>0</v>
      </c>
      <c r="DB27" s="118">
        <f t="shared" si="10"/>
        <v>0</v>
      </c>
      <c r="DC27" s="118">
        <f t="shared" si="11"/>
        <v>0</v>
      </c>
    </row>
    <row r="28" spans="1:107" x14ac:dyDescent="0.2">
      <c r="B28" s="10" t="s">
        <v>225</v>
      </c>
      <c r="C28" s="191" t="s">
        <v>131</v>
      </c>
      <c r="D28" s="115"/>
      <c r="E28" s="115"/>
      <c r="F28" s="115"/>
      <c r="G28" s="116"/>
      <c r="H28" s="116"/>
      <c r="I28" s="116"/>
      <c r="J28" s="116">
        <v>677400</v>
      </c>
      <c r="K28" s="115"/>
      <c r="L28" s="115"/>
      <c r="M28" s="115"/>
      <c r="N28" s="116"/>
      <c r="O28" s="116"/>
      <c r="P28" s="116"/>
      <c r="Q28" s="115">
        <v>0</v>
      </c>
      <c r="R28" s="116"/>
      <c r="S28" s="116"/>
      <c r="T28" s="116"/>
      <c r="U28" s="116"/>
      <c r="V28" s="116"/>
      <c r="X28" s="116">
        <v>0</v>
      </c>
      <c r="Y28" s="116"/>
      <c r="Z28" s="116"/>
      <c r="AA28" s="116"/>
      <c r="AB28" s="116"/>
      <c r="AC28" s="116"/>
      <c r="AE28" s="116">
        <v>0</v>
      </c>
      <c r="AF28" s="116"/>
      <c r="AG28" s="116"/>
      <c r="AH28" s="116"/>
      <c r="AI28" s="116"/>
      <c r="AJ28" s="116"/>
      <c r="AL28" s="116">
        <v>0</v>
      </c>
      <c r="AM28" s="116"/>
      <c r="AN28" s="116"/>
      <c r="AO28" s="116"/>
      <c r="AP28" s="116"/>
      <c r="AQ28" s="116"/>
      <c r="AS28" s="116">
        <v>0</v>
      </c>
      <c r="AT28" s="116"/>
      <c r="AU28" s="116"/>
      <c r="AV28" s="116"/>
      <c r="AW28" s="116"/>
      <c r="AX28" s="116"/>
      <c r="AZ28" s="116">
        <v>0</v>
      </c>
      <c r="BA28" s="116"/>
      <c r="BB28" s="116"/>
      <c r="BC28" s="116"/>
      <c r="BD28" s="116"/>
      <c r="BE28" s="116"/>
      <c r="BG28" s="116">
        <v>0</v>
      </c>
      <c r="BH28" s="116"/>
      <c r="BI28" s="116"/>
      <c r="BJ28" s="116"/>
      <c r="BK28" s="116"/>
      <c r="BL28" s="116"/>
      <c r="BN28" s="116">
        <v>0</v>
      </c>
      <c r="BO28" s="116"/>
      <c r="BP28" s="116"/>
      <c r="BQ28" s="116"/>
      <c r="BR28" s="116"/>
      <c r="BS28" s="116"/>
      <c r="BU28" s="116">
        <v>0</v>
      </c>
      <c r="BV28" s="116"/>
      <c r="BW28" s="116"/>
      <c r="BX28" s="116"/>
      <c r="BY28" s="116"/>
      <c r="BZ28" s="116"/>
      <c r="CB28" s="116">
        <v>0</v>
      </c>
      <c r="CC28" s="116"/>
      <c r="CD28" s="116"/>
      <c r="CE28" s="116"/>
      <c r="CF28" s="116"/>
      <c r="CG28" s="116"/>
      <c r="CI28" s="116">
        <v>0</v>
      </c>
      <c r="CJ28" s="116"/>
      <c r="CK28" s="116"/>
      <c r="CL28" s="116"/>
      <c r="CM28" s="116"/>
      <c r="CN28" s="116"/>
      <c r="CP28" s="115"/>
      <c r="CQ28" s="107"/>
      <c r="CR28" s="118">
        <f t="shared" si="0"/>
        <v>7.1360849503824028E-2</v>
      </c>
      <c r="CS28" s="118">
        <f t="shared" si="1"/>
        <v>0</v>
      </c>
      <c r="CT28" s="118">
        <f t="shared" si="2"/>
        <v>0</v>
      </c>
      <c r="CU28" s="118">
        <f t="shared" si="3"/>
        <v>0</v>
      </c>
      <c r="CV28" s="118">
        <f t="shared" si="4"/>
        <v>0</v>
      </c>
      <c r="CW28" s="118">
        <f t="shared" si="5"/>
        <v>0</v>
      </c>
      <c r="CX28" s="118">
        <f t="shared" si="6"/>
        <v>0</v>
      </c>
      <c r="CY28" s="118">
        <f t="shared" si="7"/>
        <v>0</v>
      </c>
      <c r="CZ28" s="118">
        <f t="shared" si="8"/>
        <v>0</v>
      </c>
      <c r="DA28" s="118">
        <f t="shared" si="9"/>
        <v>0</v>
      </c>
      <c r="DB28" s="118">
        <f t="shared" si="10"/>
        <v>0</v>
      </c>
      <c r="DC28" s="118">
        <f t="shared" si="11"/>
        <v>0</v>
      </c>
    </row>
    <row r="29" spans="1:107" x14ac:dyDescent="0.2">
      <c r="B29" s="10" t="s">
        <v>92</v>
      </c>
      <c r="C29" s="191" t="s">
        <v>114</v>
      </c>
      <c r="D29" s="115"/>
      <c r="E29" s="115"/>
      <c r="F29" s="115"/>
      <c r="G29" s="116"/>
      <c r="H29" s="116"/>
      <c r="I29" s="116"/>
      <c r="J29" s="116">
        <v>364600</v>
      </c>
      <c r="K29" s="115"/>
      <c r="L29" s="115"/>
      <c r="M29" s="115"/>
      <c r="N29" s="116"/>
      <c r="O29" s="116"/>
      <c r="P29" s="116"/>
      <c r="Q29" s="115">
        <v>0</v>
      </c>
      <c r="R29" s="116"/>
      <c r="S29" s="116"/>
      <c r="T29" s="116"/>
      <c r="U29" s="116"/>
      <c r="V29" s="116"/>
      <c r="X29" s="116">
        <v>0</v>
      </c>
      <c r="Y29" s="116"/>
      <c r="Z29" s="116"/>
      <c r="AA29" s="116"/>
      <c r="AB29" s="116"/>
      <c r="AC29" s="116"/>
      <c r="AE29" s="116">
        <v>0</v>
      </c>
      <c r="AF29" s="116"/>
      <c r="AG29" s="116"/>
      <c r="AH29" s="116"/>
      <c r="AI29" s="116"/>
      <c r="AJ29" s="116"/>
      <c r="AL29" s="116">
        <v>0</v>
      </c>
      <c r="AM29" s="116"/>
      <c r="AN29" s="116"/>
      <c r="AO29" s="116"/>
      <c r="AP29" s="116"/>
      <c r="AQ29" s="116"/>
      <c r="AS29" s="116">
        <v>0</v>
      </c>
      <c r="AT29" s="116"/>
      <c r="AU29" s="116"/>
      <c r="AV29" s="116"/>
      <c r="AW29" s="116"/>
      <c r="AX29" s="116"/>
      <c r="AZ29" s="116">
        <v>0</v>
      </c>
      <c r="BA29" s="116"/>
      <c r="BB29" s="116"/>
      <c r="BC29" s="116"/>
      <c r="BD29" s="116"/>
      <c r="BE29" s="116"/>
      <c r="BG29" s="116">
        <v>0</v>
      </c>
      <c r="BH29" s="116"/>
      <c r="BI29" s="116"/>
      <c r="BJ29" s="116"/>
      <c r="BK29" s="116"/>
      <c r="BL29" s="116"/>
      <c r="BN29" s="116">
        <v>0</v>
      </c>
      <c r="BO29" s="116"/>
      <c r="BP29" s="116"/>
      <c r="BQ29" s="116"/>
      <c r="BR29" s="116"/>
      <c r="BS29" s="116"/>
      <c r="BU29" s="116">
        <v>0</v>
      </c>
      <c r="BV29" s="116"/>
      <c r="BW29" s="116"/>
      <c r="BX29" s="116"/>
      <c r="BY29" s="116"/>
      <c r="BZ29" s="116"/>
      <c r="CB29" s="116">
        <v>0</v>
      </c>
      <c r="CC29" s="116"/>
      <c r="CD29" s="116"/>
      <c r="CE29" s="116"/>
      <c r="CF29" s="116"/>
      <c r="CG29" s="116"/>
      <c r="CI29" s="116">
        <v>0</v>
      </c>
      <c r="CJ29" s="116"/>
      <c r="CK29" s="116"/>
      <c r="CL29" s="116"/>
      <c r="CM29" s="116"/>
      <c r="CN29" s="116"/>
      <c r="CP29" s="115"/>
      <c r="CQ29" s="107"/>
      <c r="CR29" s="118">
        <f t="shared" si="0"/>
        <v>3.84088658534016E-2</v>
      </c>
      <c r="CS29" s="118">
        <f t="shared" si="1"/>
        <v>0</v>
      </c>
      <c r="CT29" s="118">
        <f t="shared" si="2"/>
        <v>0</v>
      </c>
      <c r="CU29" s="118">
        <f t="shared" si="3"/>
        <v>0</v>
      </c>
      <c r="CV29" s="118">
        <f t="shared" si="4"/>
        <v>0</v>
      </c>
      <c r="CW29" s="118">
        <f t="shared" si="5"/>
        <v>0</v>
      </c>
      <c r="CX29" s="118">
        <f t="shared" si="6"/>
        <v>0</v>
      </c>
      <c r="CY29" s="118">
        <f t="shared" si="7"/>
        <v>0</v>
      </c>
      <c r="CZ29" s="118">
        <f t="shared" si="8"/>
        <v>0</v>
      </c>
      <c r="DA29" s="118">
        <f t="shared" si="9"/>
        <v>0</v>
      </c>
      <c r="DB29" s="118">
        <f t="shared" si="10"/>
        <v>0</v>
      </c>
      <c r="DC29" s="118">
        <f t="shared" si="11"/>
        <v>0</v>
      </c>
    </row>
    <row r="30" spans="1:107" x14ac:dyDescent="0.2">
      <c r="B30" s="10" t="s">
        <v>97</v>
      </c>
      <c r="C30" s="191" t="s">
        <v>154</v>
      </c>
      <c r="D30" s="115"/>
      <c r="E30" s="115"/>
      <c r="F30" s="115"/>
      <c r="G30" s="116"/>
      <c r="H30" s="116"/>
      <c r="I30" s="116"/>
      <c r="J30" s="116">
        <v>42900</v>
      </c>
      <c r="K30" s="115"/>
      <c r="L30" s="115"/>
      <c r="M30" s="115"/>
      <c r="N30" s="116"/>
      <c r="O30" s="116"/>
      <c r="P30" s="116"/>
      <c r="Q30" s="115">
        <v>0</v>
      </c>
      <c r="R30" s="116"/>
      <c r="S30" s="116"/>
      <c r="T30" s="116"/>
      <c r="U30" s="116"/>
      <c r="V30" s="116"/>
      <c r="X30" s="116">
        <v>0</v>
      </c>
      <c r="Y30" s="116"/>
      <c r="Z30" s="116"/>
      <c r="AA30" s="116"/>
      <c r="AB30" s="116"/>
      <c r="AC30" s="116"/>
      <c r="AE30" s="116">
        <v>0</v>
      </c>
      <c r="AF30" s="116"/>
      <c r="AG30" s="116"/>
      <c r="AH30" s="116"/>
      <c r="AI30" s="116"/>
      <c r="AJ30" s="116"/>
      <c r="AL30" s="116">
        <v>0</v>
      </c>
      <c r="AM30" s="116"/>
      <c r="AN30" s="116"/>
      <c r="AO30" s="116"/>
      <c r="AP30" s="116"/>
      <c r="AQ30" s="116"/>
      <c r="AS30" s="116">
        <v>0</v>
      </c>
      <c r="AT30" s="116"/>
      <c r="AU30" s="116"/>
      <c r="AV30" s="116"/>
      <c r="AW30" s="116"/>
      <c r="AX30" s="116"/>
      <c r="AZ30" s="116">
        <v>0</v>
      </c>
      <c r="BA30" s="116"/>
      <c r="BB30" s="116"/>
      <c r="BC30" s="116"/>
      <c r="BD30" s="116"/>
      <c r="BE30" s="116"/>
      <c r="BG30" s="116">
        <v>0</v>
      </c>
      <c r="BH30" s="116"/>
      <c r="BI30" s="116"/>
      <c r="BJ30" s="116"/>
      <c r="BK30" s="116"/>
      <c r="BL30" s="116"/>
      <c r="BN30" s="116">
        <v>0</v>
      </c>
      <c r="BO30" s="116"/>
      <c r="BP30" s="116"/>
      <c r="BQ30" s="116"/>
      <c r="BR30" s="116"/>
      <c r="BS30" s="116"/>
      <c r="BU30" s="116">
        <v>0</v>
      </c>
      <c r="BV30" s="116"/>
      <c r="BW30" s="116"/>
      <c r="BX30" s="116"/>
      <c r="BY30" s="116"/>
      <c r="BZ30" s="116"/>
      <c r="CB30" s="116">
        <v>0</v>
      </c>
      <c r="CC30" s="116"/>
      <c r="CD30" s="116"/>
      <c r="CE30" s="116"/>
      <c r="CF30" s="116"/>
      <c r="CG30" s="116"/>
      <c r="CI30" s="116">
        <v>0</v>
      </c>
      <c r="CJ30" s="116"/>
      <c r="CK30" s="116"/>
      <c r="CL30" s="116"/>
      <c r="CM30" s="116"/>
      <c r="CN30" s="116"/>
      <c r="CP30" s="115"/>
      <c r="CQ30" s="107"/>
      <c r="CR30" s="118">
        <f t="shared" si="0"/>
        <v>4.5193097781429745E-3</v>
      </c>
      <c r="CS30" s="118">
        <f t="shared" si="1"/>
        <v>0</v>
      </c>
      <c r="CT30" s="118">
        <f t="shared" si="2"/>
        <v>0</v>
      </c>
      <c r="CU30" s="118">
        <f t="shared" si="3"/>
        <v>0</v>
      </c>
      <c r="CV30" s="118">
        <f t="shared" si="4"/>
        <v>0</v>
      </c>
      <c r="CW30" s="118">
        <f t="shared" si="5"/>
        <v>0</v>
      </c>
      <c r="CX30" s="118">
        <f t="shared" si="6"/>
        <v>0</v>
      </c>
      <c r="CY30" s="118">
        <f t="shared" si="7"/>
        <v>0</v>
      </c>
      <c r="CZ30" s="118">
        <f t="shared" si="8"/>
        <v>0</v>
      </c>
      <c r="DA30" s="118">
        <f t="shared" si="9"/>
        <v>0</v>
      </c>
      <c r="DB30" s="118">
        <f t="shared" si="10"/>
        <v>0</v>
      </c>
      <c r="DC30" s="118">
        <f t="shared" si="11"/>
        <v>0</v>
      </c>
    </row>
    <row r="31" spans="1:107" x14ac:dyDescent="0.2">
      <c r="B31" s="10" t="s">
        <v>98</v>
      </c>
      <c r="C31" s="191" t="s">
        <v>154</v>
      </c>
      <c r="D31" s="115"/>
      <c r="E31" s="115"/>
      <c r="F31" s="115"/>
      <c r="G31" s="116"/>
      <c r="H31" s="116"/>
      <c r="I31" s="116"/>
      <c r="J31" s="116">
        <v>0</v>
      </c>
      <c r="K31" s="115"/>
      <c r="L31" s="115"/>
      <c r="M31" s="115"/>
      <c r="N31" s="116"/>
      <c r="O31" s="116"/>
      <c r="P31" s="116"/>
      <c r="Q31" s="115">
        <v>227100</v>
      </c>
      <c r="R31" s="116"/>
      <c r="S31" s="116"/>
      <c r="T31" s="116"/>
      <c r="U31" s="116"/>
      <c r="V31" s="116"/>
      <c r="X31" s="116">
        <v>0</v>
      </c>
      <c r="Y31" s="116"/>
      <c r="Z31" s="116"/>
      <c r="AA31" s="116"/>
      <c r="AB31" s="116"/>
      <c r="AC31" s="116"/>
      <c r="AE31" s="116">
        <v>0</v>
      </c>
      <c r="AF31" s="116"/>
      <c r="AG31" s="116"/>
      <c r="AH31" s="116"/>
      <c r="AI31" s="116"/>
      <c r="AJ31" s="116"/>
      <c r="AL31" s="116">
        <v>0</v>
      </c>
      <c r="AM31" s="116"/>
      <c r="AN31" s="116"/>
      <c r="AO31" s="116"/>
      <c r="AP31" s="116"/>
      <c r="AQ31" s="116"/>
      <c r="AS31" s="116">
        <v>0</v>
      </c>
      <c r="AT31" s="116"/>
      <c r="AU31" s="116"/>
      <c r="AV31" s="116"/>
      <c r="AW31" s="116"/>
      <c r="AX31" s="116"/>
      <c r="AZ31" s="116">
        <v>0</v>
      </c>
      <c r="BA31" s="116"/>
      <c r="BB31" s="116"/>
      <c r="BC31" s="116"/>
      <c r="BD31" s="116"/>
      <c r="BE31" s="116"/>
      <c r="BG31" s="116">
        <v>0</v>
      </c>
      <c r="BH31" s="116"/>
      <c r="BI31" s="116"/>
      <c r="BJ31" s="116"/>
      <c r="BK31" s="116"/>
      <c r="BL31" s="116"/>
      <c r="BN31" s="116">
        <v>0</v>
      </c>
      <c r="BO31" s="116"/>
      <c r="BP31" s="116"/>
      <c r="BQ31" s="116"/>
      <c r="BR31" s="116"/>
      <c r="BS31" s="116"/>
      <c r="BU31" s="116">
        <v>0</v>
      </c>
      <c r="BV31" s="116"/>
      <c r="BW31" s="116"/>
      <c r="BX31" s="116"/>
      <c r="BY31" s="116"/>
      <c r="BZ31" s="116"/>
      <c r="CB31" s="116">
        <v>0</v>
      </c>
      <c r="CC31" s="116"/>
      <c r="CD31" s="116"/>
      <c r="CE31" s="116"/>
      <c r="CF31" s="116"/>
      <c r="CG31" s="116"/>
      <c r="CI31" s="116">
        <v>0</v>
      </c>
      <c r="CJ31" s="116"/>
      <c r="CK31" s="116"/>
      <c r="CL31" s="116"/>
      <c r="CM31" s="116"/>
      <c r="CN31" s="116"/>
      <c r="CP31" s="115"/>
      <c r="CQ31" s="107"/>
      <c r="CR31" s="118">
        <f t="shared" si="0"/>
        <v>0</v>
      </c>
      <c r="CS31" s="118">
        <f t="shared" si="1"/>
        <v>2.3923898615763859E-2</v>
      </c>
      <c r="CT31" s="118">
        <f t="shared" si="2"/>
        <v>0</v>
      </c>
      <c r="CU31" s="118">
        <f t="shared" si="3"/>
        <v>0</v>
      </c>
      <c r="CV31" s="118">
        <f t="shared" si="4"/>
        <v>0</v>
      </c>
      <c r="CW31" s="118">
        <f t="shared" si="5"/>
        <v>0</v>
      </c>
      <c r="CX31" s="118">
        <f t="shared" si="6"/>
        <v>0</v>
      </c>
      <c r="CY31" s="118">
        <f t="shared" si="7"/>
        <v>0</v>
      </c>
      <c r="CZ31" s="118">
        <f t="shared" si="8"/>
        <v>0</v>
      </c>
      <c r="DA31" s="118">
        <f t="shared" si="9"/>
        <v>0</v>
      </c>
      <c r="DB31" s="118">
        <f t="shared" si="10"/>
        <v>0</v>
      </c>
      <c r="DC31" s="118">
        <f t="shared" si="11"/>
        <v>0</v>
      </c>
    </row>
    <row r="32" spans="1:107" x14ac:dyDescent="0.2">
      <c r="B32" s="10" t="s">
        <v>287</v>
      </c>
      <c r="C32" s="191" t="s">
        <v>114</v>
      </c>
      <c r="D32" s="115"/>
      <c r="E32" s="115"/>
      <c r="F32" s="115"/>
      <c r="G32" s="116"/>
      <c r="H32" s="116"/>
      <c r="I32" s="116"/>
      <c r="J32" s="116">
        <v>0</v>
      </c>
      <c r="K32" s="115"/>
      <c r="L32" s="115"/>
      <c r="M32" s="115"/>
      <c r="N32" s="116"/>
      <c r="O32" s="116"/>
      <c r="P32" s="116"/>
      <c r="Q32" s="115">
        <v>0</v>
      </c>
      <c r="R32" s="116"/>
      <c r="S32" s="116"/>
      <c r="T32" s="116"/>
      <c r="U32" s="116"/>
      <c r="V32" s="116"/>
      <c r="X32" s="116">
        <v>0</v>
      </c>
      <c r="Y32" s="116"/>
      <c r="Z32" s="116"/>
      <c r="AA32" s="116"/>
      <c r="AB32" s="116"/>
      <c r="AC32" s="116"/>
      <c r="AE32" s="116">
        <v>0</v>
      </c>
      <c r="AF32" s="116"/>
      <c r="AG32" s="116"/>
      <c r="AH32" s="116"/>
      <c r="AI32" s="116"/>
      <c r="AJ32" s="116"/>
      <c r="AL32" s="116">
        <v>0</v>
      </c>
      <c r="AM32" s="116"/>
      <c r="AN32" s="116"/>
      <c r="AO32" s="116"/>
      <c r="AP32" s="116"/>
      <c r="AQ32" s="116"/>
      <c r="AS32" s="116">
        <v>500000</v>
      </c>
      <c r="AT32" s="116"/>
      <c r="AU32" s="116"/>
      <c r="AV32" s="116"/>
      <c r="AW32" s="116"/>
      <c r="AX32" s="116"/>
      <c r="AZ32" s="116">
        <v>0</v>
      </c>
      <c r="BA32" s="116"/>
      <c r="BB32" s="116"/>
      <c r="BC32" s="116"/>
      <c r="BD32" s="116"/>
      <c r="BE32" s="116"/>
      <c r="BG32" s="116">
        <v>0</v>
      </c>
      <c r="BH32" s="116"/>
      <c r="BI32" s="116"/>
      <c r="BJ32" s="116"/>
      <c r="BK32" s="116"/>
      <c r="BL32" s="116"/>
      <c r="BN32" s="116">
        <v>0</v>
      </c>
      <c r="BO32" s="116"/>
      <c r="BP32" s="116"/>
      <c r="BQ32" s="116"/>
      <c r="BR32" s="116"/>
      <c r="BS32" s="116"/>
      <c r="BU32" s="116">
        <v>0</v>
      </c>
      <c r="BV32" s="116"/>
      <c r="BW32" s="116"/>
      <c r="BX32" s="116"/>
      <c r="BY32" s="116"/>
      <c r="BZ32" s="116"/>
      <c r="CB32" s="116">
        <v>0</v>
      </c>
      <c r="CC32" s="116"/>
      <c r="CD32" s="116"/>
      <c r="CE32" s="116"/>
      <c r="CF32" s="116"/>
      <c r="CG32" s="116"/>
      <c r="CI32" s="116">
        <v>500000</v>
      </c>
      <c r="CJ32" s="116"/>
      <c r="CK32" s="116"/>
      <c r="CL32" s="116"/>
      <c r="CM32" s="116"/>
      <c r="CN32" s="116"/>
      <c r="CP32" s="115"/>
      <c r="CQ32" s="107"/>
      <c r="CR32" s="118">
        <f t="shared" si="0"/>
        <v>0</v>
      </c>
      <c r="CS32" s="118">
        <f t="shared" si="1"/>
        <v>0</v>
      </c>
      <c r="CT32" s="118">
        <f t="shared" si="2"/>
        <v>0</v>
      </c>
      <c r="CU32" s="118">
        <f t="shared" si="3"/>
        <v>0</v>
      </c>
      <c r="CV32" s="118">
        <f t="shared" si="4"/>
        <v>0</v>
      </c>
      <c r="CW32" s="118">
        <f t="shared" si="5"/>
        <v>5.0249993718750788E-2</v>
      </c>
      <c r="CX32" s="118">
        <f t="shared" si="6"/>
        <v>0</v>
      </c>
      <c r="CY32" s="118">
        <f t="shared" si="7"/>
        <v>0</v>
      </c>
      <c r="CZ32" s="118">
        <f t="shared" si="8"/>
        <v>0</v>
      </c>
      <c r="DA32" s="118">
        <f t="shared" si="9"/>
        <v>0</v>
      </c>
      <c r="DB32" s="118">
        <f t="shared" si="10"/>
        <v>0</v>
      </c>
      <c r="DC32" s="118">
        <f t="shared" si="11"/>
        <v>4.8109208982035502E-2</v>
      </c>
    </row>
    <row r="33" spans="2:107" x14ac:dyDescent="0.2">
      <c r="B33" s="10" t="s">
        <v>173</v>
      </c>
      <c r="C33" s="191" t="s">
        <v>172</v>
      </c>
      <c r="D33" s="115"/>
      <c r="E33" s="115"/>
      <c r="F33" s="115"/>
      <c r="G33" s="116"/>
      <c r="H33" s="116"/>
      <c r="I33" s="116"/>
      <c r="J33" s="116">
        <v>0</v>
      </c>
      <c r="K33" s="115"/>
      <c r="L33" s="115"/>
      <c r="M33" s="115"/>
      <c r="N33" s="116"/>
      <c r="O33" s="116"/>
      <c r="P33" s="116"/>
      <c r="Q33" s="115">
        <v>0</v>
      </c>
      <c r="R33" s="116"/>
      <c r="S33" s="116"/>
      <c r="T33" s="116"/>
      <c r="U33" s="116"/>
      <c r="V33" s="116"/>
      <c r="X33" s="116">
        <v>0</v>
      </c>
      <c r="Y33" s="116"/>
      <c r="Z33" s="116"/>
      <c r="AA33" s="116"/>
      <c r="AB33" s="116"/>
      <c r="AC33" s="116"/>
      <c r="AE33" s="116">
        <v>0</v>
      </c>
      <c r="AF33" s="116"/>
      <c r="AG33" s="116"/>
      <c r="AH33" s="116"/>
      <c r="AI33" s="116"/>
      <c r="AJ33" s="116"/>
      <c r="AL33" s="116">
        <v>0</v>
      </c>
      <c r="AM33" s="116"/>
      <c r="AN33" s="116"/>
      <c r="AO33" s="116"/>
      <c r="AP33" s="116"/>
      <c r="AQ33" s="116"/>
      <c r="AS33" s="116">
        <v>0</v>
      </c>
      <c r="AT33" s="116"/>
      <c r="AU33" s="116"/>
      <c r="AV33" s="116"/>
      <c r="AW33" s="116"/>
      <c r="AX33" s="116"/>
      <c r="AZ33" s="116">
        <v>0</v>
      </c>
      <c r="BA33" s="116"/>
      <c r="BB33" s="116"/>
      <c r="BC33" s="116"/>
      <c r="BD33" s="116"/>
      <c r="BE33" s="116"/>
      <c r="BG33" s="116">
        <v>0</v>
      </c>
      <c r="BH33" s="116"/>
      <c r="BI33" s="116"/>
      <c r="BJ33" s="116"/>
      <c r="BK33" s="116"/>
      <c r="BL33" s="116"/>
      <c r="BN33" s="116">
        <v>0</v>
      </c>
      <c r="BO33" s="116"/>
      <c r="BP33" s="116"/>
      <c r="BQ33" s="116"/>
      <c r="BR33" s="116"/>
      <c r="BS33" s="116"/>
      <c r="BU33" s="116">
        <v>0</v>
      </c>
      <c r="BV33" s="116"/>
      <c r="BW33" s="116"/>
      <c r="BX33" s="116"/>
      <c r="BY33" s="116"/>
      <c r="BZ33" s="116"/>
      <c r="CB33" s="116">
        <v>0</v>
      </c>
      <c r="CC33" s="116"/>
      <c r="CD33" s="116"/>
      <c r="CE33" s="116"/>
      <c r="CF33" s="116"/>
      <c r="CG33" s="116"/>
      <c r="CI33" s="116">
        <v>0</v>
      </c>
      <c r="CJ33" s="116"/>
      <c r="CK33" s="116"/>
      <c r="CL33" s="116"/>
      <c r="CM33" s="116"/>
      <c r="CN33" s="116"/>
      <c r="CP33" s="115"/>
      <c r="CQ33" s="107"/>
      <c r="CR33" s="118">
        <f t="shared" si="0"/>
        <v>0</v>
      </c>
      <c r="CS33" s="118">
        <f t="shared" si="1"/>
        <v>0</v>
      </c>
      <c r="CT33" s="118">
        <f t="shared" si="2"/>
        <v>0</v>
      </c>
      <c r="CU33" s="118">
        <f t="shared" si="3"/>
        <v>0</v>
      </c>
      <c r="CV33" s="118">
        <f t="shared" si="4"/>
        <v>0</v>
      </c>
      <c r="CW33" s="118">
        <f t="shared" si="5"/>
        <v>0</v>
      </c>
      <c r="CX33" s="118">
        <f t="shared" si="6"/>
        <v>0</v>
      </c>
      <c r="CY33" s="118">
        <f t="shared" si="7"/>
        <v>0</v>
      </c>
      <c r="CZ33" s="118">
        <f t="shared" si="8"/>
        <v>0</v>
      </c>
      <c r="DA33" s="118">
        <f t="shared" si="9"/>
        <v>0</v>
      </c>
      <c r="DB33" s="118">
        <f t="shared" si="10"/>
        <v>0</v>
      </c>
      <c r="DC33" s="118">
        <f t="shared" si="11"/>
        <v>0</v>
      </c>
    </row>
    <row r="34" spans="2:107" x14ac:dyDescent="0.2">
      <c r="B34" s="10" t="s">
        <v>174</v>
      </c>
      <c r="C34" s="191" t="s">
        <v>172</v>
      </c>
      <c r="D34" s="115"/>
      <c r="E34" s="115"/>
      <c r="F34" s="115"/>
      <c r="G34" s="116"/>
      <c r="H34" s="116"/>
      <c r="I34" s="116"/>
      <c r="J34" s="116">
        <v>0</v>
      </c>
      <c r="K34" s="115"/>
      <c r="L34" s="115"/>
      <c r="M34" s="115"/>
      <c r="N34" s="116"/>
      <c r="O34" s="116"/>
      <c r="P34" s="116"/>
      <c r="Q34" s="115">
        <v>0</v>
      </c>
      <c r="R34" s="116"/>
      <c r="S34" s="116"/>
      <c r="T34" s="116"/>
      <c r="U34" s="116"/>
      <c r="V34" s="116"/>
      <c r="X34" s="116">
        <v>0</v>
      </c>
      <c r="Y34" s="116"/>
      <c r="Z34" s="116"/>
      <c r="AA34" s="116"/>
      <c r="AB34" s="116"/>
      <c r="AC34" s="116"/>
      <c r="AE34" s="116">
        <v>0</v>
      </c>
      <c r="AF34" s="116"/>
      <c r="AG34" s="116"/>
      <c r="AH34" s="116"/>
      <c r="AI34" s="116"/>
      <c r="AJ34" s="116"/>
      <c r="AL34" s="116">
        <v>0</v>
      </c>
      <c r="AM34" s="116"/>
      <c r="AN34" s="116"/>
      <c r="AO34" s="116"/>
      <c r="AP34" s="116"/>
      <c r="AQ34" s="116"/>
      <c r="AS34" s="116">
        <v>0</v>
      </c>
      <c r="AT34" s="116"/>
      <c r="AU34" s="116"/>
      <c r="AV34" s="116"/>
      <c r="AW34" s="116"/>
      <c r="AX34" s="116"/>
      <c r="AZ34" s="116">
        <v>0</v>
      </c>
      <c r="BA34" s="116"/>
      <c r="BB34" s="116"/>
      <c r="BC34" s="116"/>
      <c r="BD34" s="116"/>
      <c r="BE34" s="116"/>
      <c r="BG34" s="116">
        <v>0</v>
      </c>
      <c r="BH34" s="116"/>
      <c r="BI34" s="116"/>
      <c r="BJ34" s="116"/>
      <c r="BK34" s="116"/>
      <c r="BL34" s="116"/>
      <c r="BN34" s="116">
        <v>1000000</v>
      </c>
      <c r="BO34" s="116"/>
      <c r="BP34" s="116"/>
      <c r="BQ34" s="116"/>
      <c r="BR34" s="116"/>
      <c r="BS34" s="116"/>
      <c r="BU34" s="116">
        <v>0</v>
      </c>
      <c r="BV34" s="116"/>
      <c r="BW34" s="116"/>
      <c r="BX34" s="116"/>
      <c r="BY34" s="116"/>
      <c r="BZ34" s="116"/>
      <c r="CB34" s="116">
        <v>0</v>
      </c>
      <c r="CC34" s="116"/>
      <c r="CD34" s="116"/>
      <c r="CE34" s="116"/>
      <c r="CF34" s="116"/>
      <c r="CG34" s="116"/>
      <c r="CI34" s="116">
        <v>0</v>
      </c>
      <c r="CJ34" s="116"/>
      <c r="CK34" s="116"/>
      <c r="CL34" s="116"/>
      <c r="CM34" s="116"/>
      <c r="CN34" s="116"/>
      <c r="CP34" s="115"/>
      <c r="CQ34" s="107"/>
      <c r="CR34" s="118">
        <f t="shared" si="0"/>
        <v>0</v>
      </c>
      <c r="CS34" s="118">
        <f t="shared" si="1"/>
        <v>0</v>
      </c>
      <c r="CT34" s="118">
        <f t="shared" si="2"/>
        <v>0</v>
      </c>
      <c r="CU34" s="118">
        <f t="shared" si="3"/>
        <v>0</v>
      </c>
      <c r="CV34" s="118">
        <f t="shared" si="4"/>
        <v>0</v>
      </c>
      <c r="CW34" s="118">
        <f t="shared" si="5"/>
        <v>0</v>
      </c>
      <c r="CX34" s="118">
        <f t="shared" si="6"/>
        <v>0</v>
      </c>
      <c r="CY34" s="118">
        <f t="shared" si="7"/>
        <v>0</v>
      </c>
      <c r="CZ34" s="118">
        <f t="shared" si="8"/>
        <v>9.7035040012786899E-2</v>
      </c>
      <c r="DA34" s="118">
        <f t="shared" si="9"/>
        <v>0</v>
      </c>
      <c r="DB34" s="118">
        <f t="shared" si="10"/>
        <v>0</v>
      </c>
      <c r="DC34" s="118">
        <f t="shared" si="11"/>
        <v>0</v>
      </c>
    </row>
    <row r="35" spans="2:107" x14ac:dyDescent="0.2">
      <c r="B35" s="10" t="s">
        <v>94</v>
      </c>
      <c r="C35" s="191" t="s">
        <v>136</v>
      </c>
      <c r="D35" s="115"/>
      <c r="E35" s="115"/>
      <c r="F35" s="115"/>
      <c r="G35" s="116"/>
      <c r="H35" s="116"/>
      <c r="I35" s="116"/>
      <c r="J35" s="116">
        <v>58000</v>
      </c>
      <c r="K35" s="115"/>
      <c r="L35" s="115"/>
      <c r="M35" s="115"/>
      <c r="N35" s="116"/>
      <c r="O35" s="116"/>
      <c r="P35" s="116"/>
      <c r="Q35" s="115">
        <v>0</v>
      </c>
      <c r="R35" s="116"/>
      <c r="S35" s="116"/>
      <c r="T35" s="116"/>
      <c r="U35" s="116"/>
      <c r="V35" s="116"/>
      <c r="X35" s="116">
        <v>0</v>
      </c>
      <c r="Y35" s="116"/>
      <c r="Z35" s="116"/>
      <c r="AA35" s="116"/>
      <c r="AB35" s="116"/>
      <c r="AC35" s="116"/>
      <c r="AE35" s="116">
        <v>0</v>
      </c>
      <c r="AF35" s="116"/>
      <c r="AG35" s="116"/>
      <c r="AH35" s="116"/>
      <c r="AI35" s="116"/>
      <c r="AJ35" s="116"/>
      <c r="AL35" s="116">
        <v>0</v>
      </c>
      <c r="AM35" s="116"/>
      <c r="AN35" s="116"/>
      <c r="AO35" s="116"/>
      <c r="AP35" s="116"/>
      <c r="AQ35" s="116"/>
      <c r="AS35" s="116">
        <v>0</v>
      </c>
      <c r="AT35" s="116"/>
      <c r="AU35" s="116"/>
      <c r="AV35" s="116"/>
      <c r="AW35" s="116"/>
      <c r="AX35" s="116"/>
      <c r="AZ35" s="116">
        <v>0</v>
      </c>
      <c r="BA35" s="116"/>
      <c r="BB35" s="116"/>
      <c r="BC35" s="116"/>
      <c r="BD35" s="116"/>
      <c r="BE35" s="116"/>
      <c r="BG35" s="116">
        <v>0</v>
      </c>
      <c r="BH35" s="116"/>
      <c r="BI35" s="116"/>
      <c r="BJ35" s="116"/>
      <c r="BK35" s="116"/>
      <c r="BL35" s="116"/>
      <c r="BN35" s="116">
        <v>0</v>
      </c>
      <c r="BO35" s="116"/>
      <c r="BP35" s="116"/>
      <c r="BQ35" s="116"/>
      <c r="BR35" s="116"/>
      <c r="BS35" s="116"/>
      <c r="BU35" s="116">
        <v>0</v>
      </c>
      <c r="BV35" s="116"/>
      <c r="BW35" s="116"/>
      <c r="BX35" s="116"/>
      <c r="BY35" s="116"/>
      <c r="BZ35" s="116"/>
      <c r="CB35" s="116">
        <v>0</v>
      </c>
      <c r="CC35" s="116"/>
      <c r="CD35" s="116"/>
      <c r="CE35" s="116"/>
      <c r="CF35" s="116"/>
      <c r="CG35" s="116"/>
      <c r="CI35" s="116">
        <v>0</v>
      </c>
      <c r="CJ35" s="116"/>
      <c r="CK35" s="116"/>
      <c r="CL35" s="116"/>
      <c r="CM35" s="116"/>
      <c r="CN35" s="116"/>
      <c r="CP35" s="115"/>
      <c r="CQ35" s="107"/>
      <c r="CR35" s="118">
        <f t="shared" si="0"/>
        <v>6.1100225438762822E-3</v>
      </c>
      <c r="CS35" s="118">
        <f t="shared" si="1"/>
        <v>0</v>
      </c>
      <c r="CT35" s="118">
        <f t="shared" si="2"/>
        <v>0</v>
      </c>
      <c r="CU35" s="118">
        <f t="shared" si="3"/>
        <v>0</v>
      </c>
      <c r="CV35" s="118">
        <f t="shared" si="4"/>
        <v>0</v>
      </c>
      <c r="CW35" s="118">
        <f t="shared" si="5"/>
        <v>0</v>
      </c>
      <c r="CX35" s="118">
        <f t="shared" si="6"/>
        <v>0</v>
      </c>
      <c r="CY35" s="118">
        <f t="shared" si="7"/>
        <v>0</v>
      </c>
      <c r="CZ35" s="118">
        <f t="shared" si="8"/>
        <v>0</v>
      </c>
      <c r="DA35" s="118">
        <f t="shared" si="9"/>
        <v>0</v>
      </c>
      <c r="DB35" s="118">
        <f t="shared" si="10"/>
        <v>0</v>
      </c>
      <c r="DC35" s="118">
        <f t="shared" si="11"/>
        <v>0</v>
      </c>
    </row>
    <row r="36" spans="2:107" x14ac:dyDescent="0.2">
      <c r="B36" s="10" t="s">
        <v>95</v>
      </c>
      <c r="C36" s="191" t="s">
        <v>136</v>
      </c>
      <c r="D36" s="115"/>
      <c r="E36" s="115"/>
      <c r="F36" s="115"/>
      <c r="G36" s="116"/>
      <c r="H36" s="116"/>
      <c r="I36" s="116"/>
      <c r="J36" s="116">
        <v>116800</v>
      </c>
      <c r="K36" s="115"/>
      <c r="L36" s="115"/>
      <c r="M36" s="115"/>
      <c r="N36" s="116"/>
      <c r="O36" s="116"/>
      <c r="P36" s="116"/>
      <c r="Q36" s="115">
        <v>0</v>
      </c>
      <c r="R36" s="116"/>
      <c r="S36" s="116"/>
      <c r="T36" s="116"/>
      <c r="U36" s="116"/>
      <c r="V36" s="116"/>
      <c r="X36" s="116">
        <v>0</v>
      </c>
      <c r="Y36" s="116"/>
      <c r="Z36" s="116"/>
      <c r="AA36" s="116"/>
      <c r="AB36" s="116"/>
      <c r="AC36" s="116"/>
      <c r="AE36" s="116">
        <v>0</v>
      </c>
      <c r="AF36" s="116"/>
      <c r="AG36" s="116"/>
      <c r="AH36" s="116"/>
      <c r="AI36" s="116"/>
      <c r="AJ36" s="116"/>
      <c r="AL36" s="116">
        <v>0</v>
      </c>
      <c r="AM36" s="116"/>
      <c r="AN36" s="116"/>
      <c r="AO36" s="116"/>
      <c r="AP36" s="116"/>
      <c r="AQ36" s="116"/>
      <c r="AS36" s="116">
        <v>0</v>
      </c>
      <c r="AT36" s="116"/>
      <c r="AU36" s="116"/>
      <c r="AV36" s="116"/>
      <c r="AW36" s="116"/>
      <c r="AX36" s="116"/>
      <c r="AZ36" s="116">
        <v>0</v>
      </c>
      <c r="BA36" s="116"/>
      <c r="BB36" s="116"/>
      <c r="BC36" s="116"/>
      <c r="BD36" s="116"/>
      <c r="BE36" s="116"/>
      <c r="BG36" s="116">
        <v>0</v>
      </c>
      <c r="BH36" s="116"/>
      <c r="BI36" s="116"/>
      <c r="BJ36" s="116"/>
      <c r="BK36" s="116"/>
      <c r="BL36" s="116"/>
      <c r="BN36" s="116">
        <v>0</v>
      </c>
      <c r="BO36" s="116"/>
      <c r="BP36" s="116"/>
      <c r="BQ36" s="116"/>
      <c r="BR36" s="116"/>
      <c r="BS36" s="116"/>
      <c r="BU36" s="116">
        <v>0</v>
      </c>
      <c r="BV36" s="116"/>
      <c r="BW36" s="116"/>
      <c r="BX36" s="116"/>
      <c r="BY36" s="116"/>
      <c r="BZ36" s="116"/>
      <c r="CB36" s="116">
        <v>0</v>
      </c>
      <c r="CC36" s="116"/>
      <c r="CD36" s="116"/>
      <c r="CE36" s="116"/>
      <c r="CF36" s="116"/>
      <c r="CG36" s="116"/>
      <c r="CI36" s="116">
        <v>0</v>
      </c>
      <c r="CJ36" s="116"/>
      <c r="CK36" s="116"/>
      <c r="CL36" s="116"/>
      <c r="CM36" s="116"/>
      <c r="CN36" s="116"/>
      <c r="CP36" s="115"/>
      <c r="CQ36" s="107"/>
      <c r="CR36" s="118">
        <f t="shared" si="0"/>
        <v>1.2304321260771548E-2</v>
      </c>
      <c r="CS36" s="118">
        <f t="shared" si="1"/>
        <v>0</v>
      </c>
      <c r="CT36" s="118">
        <f t="shared" si="2"/>
        <v>0</v>
      </c>
      <c r="CU36" s="118">
        <f t="shared" si="3"/>
        <v>0</v>
      </c>
      <c r="CV36" s="118">
        <f t="shared" si="4"/>
        <v>0</v>
      </c>
      <c r="CW36" s="118">
        <f t="shared" si="5"/>
        <v>0</v>
      </c>
      <c r="CX36" s="118">
        <f t="shared" si="6"/>
        <v>0</v>
      </c>
      <c r="CY36" s="118">
        <f t="shared" si="7"/>
        <v>0</v>
      </c>
      <c r="CZ36" s="118">
        <f t="shared" si="8"/>
        <v>0</v>
      </c>
      <c r="DA36" s="118">
        <f t="shared" si="9"/>
        <v>0</v>
      </c>
      <c r="DB36" s="118">
        <f t="shared" si="10"/>
        <v>0</v>
      </c>
      <c r="DC36" s="118">
        <f t="shared" si="11"/>
        <v>0</v>
      </c>
    </row>
    <row r="37" spans="2:107" x14ac:dyDescent="0.2">
      <c r="B37" s="10" t="s">
        <v>137</v>
      </c>
      <c r="C37" s="191" t="s">
        <v>136</v>
      </c>
      <c r="D37" s="115"/>
      <c r="E37" s="115"/>
      <c r="F37" s="115"/>
      <c r="G37" s="116"/>
      <c r="H37" s="116"/>
      <c r="I37" s="116"/>
      <c r="J37" s="116">
        <v>0</v>
      </c>
      <c r="K37" s="115"/>
      <c r="L37" s="115"/>
      <c r="M37" s="115"/>
      <c r="N37" s="116"/>
      <c r="O37" s="116"/>
      <c r="P37" s="116"/>
      <c r="Q37" s="115">
        <v>0</v>
      </c>
      <c r="R37" s="116"/>
      <c r="S37" s="116"/>
      <c r="T37" s="116"/>
      <c r="U37" s="116"/>
      <c r="V37" s="116"/>
      <c r="X37" s="116">
        <v>0</v>
      </c>
      <c r="Y37" s="116"/>
      <c r="Z37" s="116"/>
      <c r="AA37" s="116"/>
      <c r="AB37" s="116"/>
      <c r="AC37" s="116"/>
      <c r="AE37" s="116">
        <v>0</v>
      </c>
      <c r="AF37" s="116"/>
      <c r="AG37" s="116"/>
      <c r="AH37" s="116"/>
      <c r="AI37" s="116"/>
      <c r="AJ37" s="116"/>
      <c r="AL37" s="116">
        <v>0</v>
      </c>
      <c r="AM37" s="116"/>
      <c r="AN37" s="116"/>
      <c r="AO37" s="116"/>
      <c r="AP37" s="116"/>
      <c r="AQ37" s="116"/>
      <c r="AS37" s="116">
        <v>0</v>
      </c>
      <c r="AT37" s="116"/>
      <c r="AU37" s="116"/>
      <c r="AV37" s="116"/>
      <c r="AW37" s="116"/>
      <c r="AX37" s="116"/>
      <c r="AZ37" s="116">
        <v>0</v>
      </c>
      <c r="BA37" s="116"/>
      <c r="BB37" s="116"/>
      <c r="BC37" s="116"/>
      <c r="BD37" s="116"/>
      <c r="BE37" s="116"/>
      <c r="BG37" s="116">
        <v>0</v>
      </c>
      <c r="BH37" s="116"/>
      <c r="BI37" s="116"/>
      <c r="BJ37" s="116"/>
      <c r="BK37" s="116"/>
      <c r="BL37" s="116"/>
      <c r="BN37" s="116">
        <v>0</v>
      </c>
      <c r="BO37" s="116"/>
      <c r="BP37" s="116"/>
      <c r="BQ37" s="116"/>
      <c r="BR37" s="116"/>
      <c r="BS37" s="116"/>
      <c r="BU37" s="116">
        <v>0</v>
      </c>
      <c r="BV37" s="116"/>
      <c r="BW37" s="116"/>
      <c r="BX37" s="116"/>
      <c r="BY37" s="116"/>
      <c r="BZ37" s="116"/>
      <c r="CB37" s="116">
        <v>0</v>
      </c>
      <c r="CC37" s="116"/>
      <c r="CD37" s="116"/>
      <c r="CE37" s="116"/>
      <c r="CF37" s="116"/>
      <c r="CG37" s="116"/>
      <c r="CI37" s="116">
        <v>250000</v>
      </c>
      <c r="CJ37" s="116"/>
      <c r="CK37" s="116"/>
      <c r="CL37" s="116"/>
      <c r="CM37" s="116"/>
      <c r="CN37" s="116"/>
      <c r="CP37" s="115"/>
      <c r="CQ37" s="107"/>
      <c r="CR37" s="118">
        <f t="shared" si="0"/>
        <v>0</v>
      </c>
      <c r="CS37" s="118">
        <f t="shared" si="1"/>
        <v>0</v>
      </c>
      <c r="CT37" s="118">
        <f t="shared" si="2"/>
        <v>0</v>
      </c>
      <c r="CU37" s="118">
        <f t="shared" si="3"/>
        <v>0</v>
      </c>
      <c r="CV37" s="118">
        <f t="shared" si="4"/>
        <v>0</v>
      </c>
      <c r="CW37" s="118">
        <f t="shared" si="5"/>
        <v>0</v>
      </c>
      <c r="CX37" s="118">
        <f t="shared" si="6"/>
        <v>0</v>
      </c>
      <c r="CY37" s="118">
        <f t="shared" si="7"/>
        <v>0</v>
      </c>
      <c r="CZ37" s="118">
        <f t="shared" si="8"/>
        <v>0</v>
      </c>
      <c r="DA37" s="118">
        <f t="shared" si="9"/>
        <v>0</v>
      </c>
      <c r="DB37" s="118">
        <f t="shared" si="10"/>
        <v>0</v>
      </c>
      <c r="DC37" s="118">
        <f t="shared" si="11"/>
        <v>2.4054604491017751E-2</v>
      </c>
    </row>
    <row r="38" spans="2:107" x14ac:dyDescent="0.2">
      <c r="B38" s="10" t="s">
        <v>156</v>
      </c>
      <c r="C38" s="191" t="s">
        <v>136</v>
      </c>
      <c r="D38" s="115"/>
      <c r="E38" s="115"/>
      <c r="F38" s="115"/>
      <c r="G38" s="116"/>
      <c r="H38" s="116"/>
      <c r="I38" s="116"/>
      <c r="J38" s="116">
        <v>461460</v>
      </c>
      <c r="K38" s="115"/>
      <c r="L38" s="115"/>
      <c r="M38" s="115"/>
      <c r="N38" s="116"/>
      <c r="O38" s="116"/>
      <c r="P38" s="116"/>
      <c r="Q38" s="115">
        <v>0</v>
      </c>
      <c r="R38" s="116"/>
      <c r="S38" s="116"/>
      <c r="T38" s="116"/>
      <c r="U38" s="116"/>
      <c r="V38" s="116"/>
      <c r="X38" s="116">
        <v>461460</v>
      </c>
      <c r="Y38" s="116"/>
      <c r="Z38" s="116"/>
      <c r="AA38" s="116"/>
      <c r="AB38" s="116"/>
      <c r="AC38" s="116"/>
      <c r="AE38" s="116">
        <v>461460</v>
      </c>
      <c r="AF38" s="116"/>
      <c r="AG38" s="116"/>
      <c r="AH38" s="116"/>
      <c r="AI38" s="116"/>
      <c r="AJ38" s="116"/>
      <c r="AL38" s="116">
        <v>461460</v>
      </c>
      <c r="AM38" s="116"/>
      <c r="AN38" s="116"/>
      <c r="AO38" s="116"/>
      <c r="AP38" s="116"/>
      <c r="AQ38" s="116"/>
      <c r="AS38" s="116">
        <v>461460</v>
      </c>
      <c r="AT38" s="116"/>
      <c r="AU38" s="116"/>
      <c r="AV38" s="116"/>
      <c r="AW38" s="116"/>
      <c r="AX38" s="116"/>
      <c r="AZ38" s="116">
        <v>461460</v>
      </c>
      <c r="BA38" s="116"/>
      <c r="BB38" s="116"/>
      <c r="BC38" s="116"/>
      <c r="BD38" s="116"/>
      <c r="BE38" s="116"/>
      <c r="BG38" s="116">
        <v>461460</v>
      </c>
      <c r="BH38" s="116"/>
      <c r="BI38" s="116"/>
      <c r="BJ38" s="116"/>
      <c r="BK38" s="116"/>
      <c r="BL38" s="116"/>
      <c r="BN38" s="116">
        <v>461460</v>
      </c>
      <c r="BO38" s="116"/>
      <c r="BP38" s="116"/>
      <c r="BQ38" s="116"/>
      <c r="BR38" s="116"/>
      <c r="BS38" s="116"/>
      <c r="BU38" s="116">
        <v>461460</v>
      </c>
      <c r="BV38" s="116"/>
      <c r="BW38" s="116"/>
      <c r="BX38" s="116"/>
      <c r="BY38" s="116"/>
      <c r="BZ38" s="116"/>
      <c r="CB38" s="116">
        <v>461460</v>
      </c>
      <c r="CC38" s="116"/>
      <c r="CD38" s="116"/>
      <c r="CE38" s="116"/>
      <c r="CF38" s="116"/>
      <c r="CG38" s="116"/>
      <c r="CI38" s="116">
        <v>461460</v>
      </c>
      <c r="CJ38" s="116"/>
      <c r="CK38" s="116"/>
      <c r="CL38" s="116"/>
      <c r="CM38" s="116"/>
      <c r="CN38" s="116"/>
      <c r="CP38" s="115"/>
      <c r="CQ38" s="107"/>
      <c r="CR38" s="118">
        <f t="shared" si="0"/>
        <v>4.8612603501674991E-2</v>
      </c>
      <c r="CS38" s="118">
        <f t="shared" si="1"/>
        <v>0</v>
      </c>
      <c r="CT38" s="118">
        <f t="shared" si="2"/>
        <v>4.8612603501674991E-2</v>
      </c>
      <c r="CU38" s="118">
        <f t="shared" si="3"/>
        <v>4.8612603501674991E-2</v>
      </c>
      <c r="CV38" s="118">
        <f t="shared" si="4"/>
        <v>4.8612603501674991E-2</v>
      </c>
      <c r="CW38" s="118">
        <f t="shared" si="5"/>
        <v>4.6376724202909475E-2</v>
      </c>
      <c r="CX38" s="118">
        <f t="shared" si="6"/>
        <v>4.4973870304152834E-2</v>
      </c>
      <c r="CY38" s="118">
        <f t="shared" si="7"/>
        <v>4.4777789564300639E-2</v>
      </c>
      <c r="CZ38" s="118">
        <f t="shared" si="8"/>
        <v>4.4777789564300639E-2</v>
      </c>
      <c r="DA38" s="118">
        <f t="shared" si="9"/>
        <v>4.4777789564300639E-2</v>
      </c>
      <c r="DB38" s="118">
        <f t="shared" si="10"/>
        <v>4.4777789564300639E-2</v>
      </c>
      <c r="DC38" s="118">
        <f t="shared" si="11"/>
        <v>4.4400951153700206E-2</v>
      </c>
    </row>
    <row r="39" spans="2:107" x14ac:dyDescent="0.2">
      <c r="B39" s="10" t="s">
        <v>510</v>
      </c>
      <c r="C39" s="191" t="s">
        <v>131</v>
      </c>
      <c r="D39" s="115"/>
      <c r="E39" s="115"/>
      <c r="F39" s="115"/>
      <c r="G39" s="116"/>
      <c r="H39" s="116"/>
      <c r="I39" s="116"/>
      <c r="J39" s="116">
        <v>0</v>
      </c>
      <c r="K39" s="115"/>
      <c r="L39" s="115"/>
      <c r="M39" s="115"/>
      <c r="N39" s="116"/>
      <c r="O39" s="116"/>
      <c r="P39" s="116"/>
      <c r="Q39" s="115">
        <v>0</v>
      </c>
      <c r="R39" s="116"/>
      <c r="S39" s="116"/>
      <c r="T39" s="116"/>
      <c r="U39" s="116"/>
      <c r="V39" s="116"/>
      <c r="X39" s="116">
        <v>119000</v>
      </c>
      <c r="Y39" s="116"/>
      <c r="Z39" s="116"/>
      <c r="AA39" s="116"/>
      <c r="AB39" s="116"/>
      <c r="AC39" s="116"/>
      <c r="AE39" s="116">
        <v>0</v>
      </c>
      <c r="AF39" s="116"/>
      <c r="AG39" s="116"/>
      <c r="AH39" s="116"/>
      <c r="AI39" s="116"/>
      <c r="AJ39" s="116"/>
      <c r="AL39" s="116">
        <v>0</v>
      </c>
      <c r="AM39" s="116"/>
      <c r="AN39" s="116"/>
      <c r="AO39" s="116"/>
      <c r="AP39" s="116"/>
      <c r="AQ39" s="116"/>
      <c r="AS39" s="116">
        <v>119000</v>
      </c>
      <c r="AT39" s="116"/>
      <c r="AU39" s="116"/>
      <c r="AV39" s="116"/>
      <c r="AW39" s="116"/>
      <c r="AX39" s="116"/>
      <c r="AZ39" s="116">
        <v>0</v>
      </c>
      <c r="BA39" s="116"/>
      <c r="BB39" s="116"/>
      <c r="BC39" s="116"/>
      <c r="BD39" s="116"/>
      <c r="BE39" s="116"/>
      <c r="BG39" s="116">
        <v>0</v>
      </c>
      <c r="BH39" s="116"/>
      <c r="BI39" s="116"/>
      <c r="BJ39" s="116"/>
      <c r="BK39" s="116"/>
      <c r="BL39" s="116"/>
      <c r="BN39" s="116">
        <v>119000</v>
      </c>
      <c r="BO39" s="116"/>
      <c r="BP39" s="116"/>
      <c r="BQ39" s="116"/>
      <c r="BR39" s="116"/>
      <c r="BS39" s="116"/>
      <c r="BU39" s="116">
        <v>0</v>
      </c>
      <c r="BV39" s="116"/>
      <c r="BW39" s="116"/>
      <c r="BX39" s="116"/>
      <c r="BY39" s="116"/>
      <c r="BZ39" s="116"/>
      <c r="CB39" s="116">
        <v>0</v>
      </c>
      <c r="CC39" s="116"/>
      <c r="CD39" s="116"/>
      <c r="CE39" s="116"/>
      <c r="CF39" s="116"/>
      <c r="CG39" s="116"/>
      <c r="CI39" s="116">
        <v>119000</v>
      </c>
      <c r="CJ39" s="116"/>
      <c r="CK39" s="116"/>
      <c r="CL39" s="116"/>
      <c r="CM39" s="116"/>
      <c r="CN39" s="116"/>
      <c r="CP39" s="115"/>
      <c r="CQ39" s="107"/>
      <c r="CR39" s="118">
        <f t="shared" si="0"/>
        <v>0</v>
      </c>
      <c r="CS39" s="118">
        <f t="shared" si="1"/>
        <v>0</v>
      </c>
      <c r="CT39" s="118">
        <f t="shared" si="2"/>
        <v>1.2536080736573751E-2</v>
      </c>
      <c r="CU39" s="118">
        <f t="shared" si="3"/>
        <v>0</v>
      </c>
      <c r="CV39" s="118">
        <f t="shared" si="4"/>
        <v>0</v>
      </c>
      <c r="CW39" s="118">
        <f t="shared" si="5"/>
        <v>1.1959498505062687E-2</v>
      </c>
      <c r="CX39" s="118">
        <f t="shared" si="6"/>
        <v>0</v>
      </c>
      <c r="CY39" s="118">
        <f t="shared" si="7"/>
        <v>0</v>
      </c>
      <c r="CZ39" s="118">
        <f t="shared" si="8"/>
        <v>1.154716976152164E-2</v>
      </c>
      <c r="DA39" s="118">
        <f t="shared" si="9"/>
        <v>0</v>
      </c>
      <c r="DB39" s="118">
        <f t="shared" si="10"/>
        <v>0</v>
      </c>
      <c r="DC39" s="118">
        <f t="shared" si="11"/>
        <v>1.1449991737724451E-2</v>
      </c>
    </row>
    <row r="40" spans="2:107" x14ac:dyDescent="0.2">
      <c r="B40" s="10" t="s">
        <v>522</v>
      </c>
      <c r="C40" s="191" t="s">
        <v>136</v>
      </c>
      <c r="D40" s="115"/>
      <c r="E40" s="115"/>
      <c r="F40" s="115"/>
      <c r="G40" s="116"/>
      <c r="H40" s="116"/>
      <c r="I40" s="116"/>
      <c r="J40" s="116">
        <v>0</v>
      </c>
      <c r="K40" s="115"/>
      <c r="L40" s="115"/>
      <c r="M40" s="115"/>
      <c r="N40" s="116"/>
      <c r="O40" s="116"/>
      <c r="P40" s="116"/>
      <c r="Q40" s="115">
        <v>0</v>
      </c>
      <c r="R40" s="116"/>
      <c r="S40" s="116"/>
      <c r="T40" s="116"/>
      <c r="U40" s="116"/>
      <c r="V40" s="116"/>
      <c r="X40" s="116">
        <v>0</v>
      </c>
      <c r="Y40" s="116"/>
      <c r="Z40" s="116"/>
      <c r="AA40" s="116"/>
      <c r="AB40" s="116"/>
      <c r="AC40" s="116"/>
      <c r="AE40" s="116">
        <v>0</v>
      </c>
      <c r="AF40" s="116"/>
      <c r="AG40" s="116"/>
      <c r="AH40" s="116"/>
      <c r="AI40" s="116"/>
      <c r="AJ40" s="116"/>
      <c r="AL40" s="116">
        <v>0</v>
      </c>
      <c r="AM40" s="116"/>
      <c r="AN40" s="116"/>
      <c r="AO40" s="116"/>
      <c r="AP40" s="116"/>
      <c r="AQ40" s="116"/>
      <c r="AS40" s="116">
        <v>0</v>
      </c>
      <c r="AT40" s="116"/>
      <c r="AU40" s="116"/>
      <c r="AV40" s="116"/>
      <c r="AW40" s="116"/>
      <c r="AX40" s="116"/>
      <c r="AZ40" s="116">
        <v>0</v>
      </c>
      <c r="BA40" s="116"/>
      <c r="BB40" s="116"/>
      <c r="BC40" s="116"/>
      <c r="BD40" s="116"/>
      <c r="BE40" s="116"/>
      <c r="BG40" s="116">
        <v>0</v>
      </c>
      <c r="BH40" s="116"/>
      <c r="BI40" s="116"/>
      <c r="BJ40" s="116"/>
      <c r="BK40" s="116"/>
      <c r="BL40" s="116"/>
      <c r="BN40" s="116">
        <v>0</v>
      </c>
      <c r="BO40" s="116"/>
      <c r="BP40" s="116"/>
      <c r="BQ40" s="116"/>
      <c r="BR40" s="116"/>
      <c r="BS40" s="116"/>
      <c r="BU40" s="116">
        <v>0</v>
      </c>
      <c r="BV40" s="116"/>
      <c r="BW40" s="116"/>
      <c r="BX40" s="116"/>
      <c r="BY40" s="116"/>
      <c r="BZ40" s="116"/>
      <c r="CB40" s="116">
        <v>0</v>
      </c>
      <c r="CC40" s="116"/>
      <c r="CD40" s="116"/>
      <c r="CE40" s="116"/>
      <c r="CF40" s="116"/>
      <c r="CG40" s="116"/>
      <c r="CI40" s="116">
        <v>0</v>
      </c>
      <c r="CJ40" s="116"/>
      <c r="CK40" s="116"/>
      <c r="CL40" s="116"/>
      <c r="CM40" s="116"/>
      <c r="CN40" s="116"/>
      <c r="CP40" s="115"/>
      <c r="CQ40" s="107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</row>
    <row r="41" spans="2:107" x14ac:dyDescent="0.2">
      <c r="B41" s="258" t="s">
        <v>542</v>
      </c>
      <c r="C41" s="259" t="s">
        <v>136</v>
      </c>
      <c r="D41" s="115"/>
      <c r="E41" s="115"/>
      <c r="F41" s="115"/>
      <c r="G41" s="116"/>
      <c r="H41" s="116"/>
      <c r="I41" s="116"/>
      <c r="J41" s="116">
        <v>2700</v>
      </c>
      <c r="K41" s="115"/>
      <c r="L41" s="115"/>
      <c r="M41" s="115"/>
      <c r="N41" s="116"/>
      <c r="O41" s="116"/>
      <c r="P41" s="116"/>
      <c r="Q41" s="116">
        <v>0</v>
      </c>
      <c r="R41" s="116"/>
      <c r="S41" s="116"/>
      <c r="T41" s="116"/>
      <c r="U41" s="116"/>
      <c r="V41" s="116"/>
      <c r="X41" s="116">
        <v>0</v>
      </c>
      <c r="Y41" s="116"/>
      <c r="Z41" s="116"/>
      <c r="AA41" s="116"/>
      <c r="AB41" s="116"/>
      <c r="AC41" s="116"/>
      <c r="AE41" s="116">
        <v>0</v>
      </c>
      <c r="AF41" s="116"/>
      <c r="AG41" s="116"/>
      <c r="AH41" s="116"/>
      <c r="AI41" s="116"/>
      <c r="AJ41" s="116"/>
      <c r="AL41" s="116">
        <v>0</v>
      </c>
      <c r="AM41" s="116"/>
      <c r="AN41" s="116"/>
      <c r="AO41" s="116"/>
      <c r="AP41" s="116"/>
      <c r="AQ41" s="116"/>
      <c r="AS41" s="116">
        <v>0</v>
      </c>
      <c r="AT41" s="116"/>
      <c r="AU41" s="116"/>
      <c r="AV41" s="116"/>
      <c r="AW41" s="116"/>
      <c r="AX41" s="116"/>
      <c r="AZ41" s="116">
        <v>0</v>
      </c>
      <c r="BA41" s="116"/>
      <c r="BB41" s="116"/>
      <c r="BC41" s="116"/>
      <c r="BD41" s="116"/>
      <c r="BE41" s="116"/>
      <c r="BG41" s="116">
        <v>0</v>
      </c>
      <c r="BH41" s="116"/>
      <c r="BI41" s="116"/>
      <c r="BJ41" s="116"/>
      <c r="BK41" s="116"/>
      <c r="BL41" s="116"/>
      <c r="BN41" s="116">
        <v>0</v>
      </c>
      <c r="BO41" s="116"/>
      <c r="BP41" s="116"/>
      <c r="BQ41" s="116"/>
      <c r="BR41" s="116"/>
      <c r="BS41" s="116"/>
      <c r="BU41" s="116">
        <v>0</v>
      </c>
      <c r="BV41" s="116"/>
      <c r="BW41" s="116"/>
      <c r="BX41" s="116"/>
      <c r="BY41" s="116"/>
      <c r="BZ41" s="116"/>
      <c r="CB41" s="116">
        <v>0</v>
      </c>
      <c r="CC41" s="116"/>
      <c r="CD41" s="116"/>
      <c r="CE41" s="116"/>
      <c r="CF41" s="116"/>
      <c r="CG41" s="116"/>
      <c r="CI41" s="116">
        <v>0</v>
      </c>
      <c r="CJ41" s="116"/>
      <c r="CK41" s="116"/>
      <c r="CL41" s="116"/>
      <c r="CM41" s="116"/>
      <c r="CN41" s="116"/>
      <c r="CP41" s="115"/>
      <c r="CQ41" s="107"/>
      <c r="CR41" s="118"/>
      <c r="CS41" s="118"/>
      <c r="CT41" s="118"/>
      <c r="CU41" s="118"/>
      <c r="CV41" s="118"/>
      <c r="CW41" s="118"/>
      <c r="CX41" s="118"/>
      <c r="CY41" s="118"/>
      <c r="CZ41" s="118"/>
      <c r="DA41" s="118"/>
      <c r="DB41" s="118"/>
      <c r="DC41" s="118"/>
    </row>
    <row r="42" spans="2:107" x14ac:dyDescent="0.2">
      <c r="B42" s="10" t="s">
        <v>216</v>
      </c>
      <c r="C42" s="191" t="s">
        <v>215</v>
      </c>
      <c r="D42" s="115"/>
      <c r="E42" s="115"/>
      <c r="F42" s="115"/>
      <c r="G42" s="116"/>
      <c r="H42" s="116"/>
      <c r="I42" s="116"/>
      <c r="J42" s="116">
        <v>0</v>
      </c>
      <c r="K42" s="115"/>
      <c r="L42" s="115"/>
      <c r="M42" s="115"/>
      <c r="N42" s="116"/>
      <c r="O42" s="116"/>
      <c r="P42" s="116"/>
      <c r="Q42" s="115">
        <v>0</v>
      </c>
      <c r="R42" s="116"/>
      <c r="S42" s="116"/>
      <c r="T42" s="116"/>
      <c r="U42" s="116"/>
      <c r="V42" s="116"/>
      <c r="X42" s="116">
        <v>0</v>
      </c>
      <c r="Y42" s="116"/>
      <c r="Z42" s="116"/>
      <c r="AA42" s="116"/>
      <c r="AB42" s="116"/>
      <c r="AC42" s="116"/>
      <c r="AE42" s="116">
        <v>0</v>
      </c>
      <c r="AF42" s="116"/>
      <c r="AG42" s="116"/>
      <c r="AH42" s="116"/>
      <c r="AI42" s="116"/>
      <c r="AJ42" s="116"/>
      <c r="AL42" s="116">
        <v>0</v>
      </c>
      <c r="AM42" s="116"/>
      <c r="AN42" s="116"/>
      <c r="AO42" s="116"/>
      <c r="AP42" s="116"/>
      <c r="AQ42" s="116"/>
      <c r="AS42" s="116">
        <v>0</v>
      </c>
      <c r="AT42" s="116"/>
      <c r="AU42" s="116"/>
      <c r="AV42" s="116"/>
      <c r="AW42" s="116"/>
      <c r="AX42" s="116"/>
      <c r="AZ42" s="116">
        <v>0</v>
      </c>
      <c r="BA42" s="116"/>
      <c r="BB42" s="116"/>
      <c r="BC42" s="116"/>
      <c r="BD42" s="116"/>
      <c r="BE42" s="116"/>
      <c r="BG42" s="116">
        <v>0</v>
      </c>
      <c r="BH42" s="116"/>
      <c r="BI42" s="116"/>
      <c r="BJ42" s="116"/>
      <c r="BK42" s="116"/>
      <c r="BL42" s="116"/>
      <c r="BN42" s="116">
        <v>0</v>
      </c>
      <c r="BO42" s="116"/>
      <c r="BP42" s="116"/>
      <c r="BQ42" s="116"/>
      <c r="BR42" s="116"/>
      <c r="BS42" s="116"/>
      <c r="BU42" s="116">
        <v>0</v>
      </c>
      <c r="BV42" s="116"/>
      <c r="BW42" s="116"/>
      <c r="BX42" s="116"/>
      <c r="BY42" s="116"/>
      <c r="BZ42" s="116"/>
      <c r="CB42" s="116">
        <v>0</v>
      </c>
      <c r="CC42" s="116"/>
      <c r="CD42" s="116"/>
      <c r="CE42" s="116"/>
      <c r="CF42" s="116"/>
      <c r="CG42" s="116"/>
      <c r="CI42" s="116">
        <v>0</v>
      </c>
      <c r="CJ42" s="116"/>
      <c r="CK42" s="116"/>
      <c r="CL42" s="116"/>
      <c r="CM42" s="116"/>
      <c r="CN42" s="116"/>
      <c r="CP42" s="115"/>
      <c r="CQ42" s="107"/>
      <c r="CR42" s="118">
        <f t="shared" si="0"/>
        <v>0</v>
      </c>
      <c r="CS42" s="118">
        <f t="shared" si="1"/>
        <v>0</v>
      </c>
      <c r="CT42" s="118">
        <f t="shared" si="2"/>
        <v>0</v>
      </c>
      <c r="CU42" s="118">
        <f t="shared" si="3"/>
        <v>0</v>
      </c>
      <c r="CV42" s="118">
        <f t="shared" si="4"/>
        <v>0</v>
      </c>
      <c r="CW42" s="118">
        <f t="shared" si="5"/>
        <v>0</v>
      </c>
      <c r="CX42" s="118">
        <f t="shared" si="6"/>
        <v>0</v>
      </c>
      <c r="CY42" s="118">
        <f t="shared" si="7"/>
        <v>0</v>
      </c>
      <c r="CZ42" s="118">
        <f t="shared" si="8"/>
        <v>0</v>
      </c>
      <c r="DA42" s="118">
        <f t="shared" si="9"/>
        <v>0</v>
      </c>
      <c r="DB42" s="118">
        <f t="shared" si="10"/>
        <v>0</v>
      </c>
      <c r="DC42" s="118">
        <f t="shared" si="11"/>
        <v>0</v>
      </c>
    </row>
    <row r="43" spans="2:107" x14ac:dyDescent="0.2">
      <c r="B43" s="107" t="s">
        <v>125</v>
      </c>
      <c r="C43" s="191" t="s">
        <v>124</v>
      </c>
      <c r="D43" s="115"/>
      <c r="E43" s="115"/>
      <c r="F43" s="122"/>
      <c r="G43" s="116"/>
      <c r="H43" s="116"/>
      <c r="I43" s="116"/>
      <c r="J43" s="116">
        <v>457514.65000000008</v>
      </c>
      <c r="K43" s="115"/>
      <c r="L43" s="115"/>
      <c r="M43" s="115"/>
      <c r="N43" s="116"/>
      <c r="O43" s="116"/>
      <c r="P43" s="115"/>
      <c r="Q43" s="116">
        <v>457514.65000000008</v>
      </c>
      <c r="R43" s="116"/>
      <c r="S43" s="116"/>
      <c r="T43" s="116"/>
      <c r="U43" s="116"/>
      <c r="V43" s="116"/>
      <c r="X43" s="116">
        <v>457514.65000000008</v>
      </c>
      <c r="Y43" s="116"/>
      <c r="Z43" s="116"/>
      <c r="AA43" s="116"/>
      <c r="AB43" s="116"/>
      <c r="AC43" s="116"/>
      <c r="AE43" s="116">
        <v>457514.65000000008</v>
      </c>
      <c r="AF43" s="116"/>
      <c r="AG43" s="116"/>
      <c r="AH43" s="116"/>
      <c r="AI43" s="116"/>
      <c r="AJ43" s="116"/>
      <c r="AL43" s="116">
        <v>457514.65000000008</v>
      </c>
      <c r="AM43" s="116"/>
      <c r="AN43" s="116"/>
      <c r="AO43" s="116"/>
      <c r="AP43" s="116"/>
      <c r="AQ43" s="116"/>
      <c r="AS43" s="116">
        <v>457514.65000000008</v>
      </c>
      <c r="AT43" s="116"/>
      <c r="AU43" s="116"/>
      <c r="AV43" s="116"/>
      <c r="AW43" s="116"/>
      <c r="AX43" s="116"/>
      <c r="AZ43" s="116">
        <v>457514.65000000008</v>
      </c>
      <c r="BA43" s="116"/>
      <c r="BB43" s="116"/>
      <c r="BC43" s="116"/>
      <c r="BD43" s="116"/>
      <c r="BE43" s="116"/>
      <c r="BG43" s="116">
        <v>457514.65000000008</v>
      </c>
      <c r="BH43" s="116"/>
      <c r="BI43" s="116"/>
      <c r="BJ43" s="116"/>
      <c r="BK43" s="116"/>
      <c r="BL43" s="116"/>
      <c r="BN43" s="116">
        <v>457514.65000000008</v>
      </c>
      <c r="BO43" s="116"/>
      <c r="BP43" s="116"/>
      <c r="BQ43" s="116"/>
      <c r="BR43" s="116"/>
      <c r="BS43" s="116"/>
      <c r="BU43" s="116">
        <v>457514.65000000008</v>
      </c>
      <c r="BV43" s="116"/>
      <c r="BW43" s="116"/>
      <c r="BX43" s="116"/>
      <c r="BY43" s="116"/>
      <c r="BZ43" s="116"/>
      <c r="CB43" s="116">
        <v>457514.65000000008</v>
      </c>
      <c r="CC43" s="116"/>
      <c r="CD43" s="116"/>
      <c r="CE43" s="116"/>
      <c r="CF43" s="116"/>
      <c r="CG43" s="116"/>
      <c r="CI43" s="116">
        <v>457514.65000000008</v>
      </c>
      <c r="CJ43" s="116"/>
      <c r="CK43" s="116"/>
      <c r="CL43" s="116"/>
      <c r="CM43" s="116"/>
      <c r="CN43" s="116"/>
      <c r="CP43" s="115"/>
      <c r="CQ43" s="107"/>
      <c r="CR43" s="118">
        <f t="shared" si="0"/>
        <v>4.8196979752649444E-2</v>
      </c>
      <c r="CS43" s="118">
        <f t="shared" si="1"/>
        <v>4.8196979752649444E-2</v>
      </c>
      <c r="CT43" s="118">
        <f t="shared" si="2"/>
        <v>4.8196979752649444E-2</v>
      </c>
      <c r="CU43" s="118">
        <f t="shared" si="3"/>
        <v>4.8196979752649444E-2</v>
      </c>
      <c r="CV43" s="118">
        <f t="shared" si="4"/>
        <v>4.8196979752649444E-2</v>
      </c>
      <c r="CW43" s="118">
        <f t="shared" si="5"/>
        <v>4.5980216577472935E-2</v>
      </c>
      <c r="CX43" s="118">
        <f t="shared" si="6"/>
        <v>4.4589356675226191E-2</v>
      </c>
      <c r="CY43" s="118">
        <f t="shared" si="7"/>
        <v>4.4394952369186197E-2</v>
      </c>
      <c r="CZ43" s="118">
        <f t="shared" si="8"/>
        <v>4.4394952369186197E-2</v>
      </c>
      <c r="DA43" s="118">
        <f t="shared" si="9"/>
        <v>4.4394952369186197E-2</v>
      </c>
      <c r="DB43" s="118">
        <f t="shared" si="10"/>
        <v>4.4394952369186197E-2</v>
      </c>
      <c r="DC43" s="118">
        <f t="shared" si="11"/>
        <v>4.4021335818385667E-2</v>
      </c>
    </row>
    <row r="44" spans="2:107" x14ac:dyDescent="0.2">
      <c r="B44" s="107" t="s">
        <v>155</v>
      </c>
      <c r="C44" s="191" t="s">
        <v>154</v>
      </c>
      <c r="D44" s="115"/>
      <c r="E44" s="115"/>
      <c r="F44" s="122"/>
      <c r="G44" s="116"/>
      <c r="H44" s="116"/>
      <c r="I44" s="116"/>
      <c r="J44" s="116">
        <v>0</v>
      </c>
      <c r="K44" s="115"/>
      <c r="L44" s="115"/>
      <c r="M44" s="115"/>
      <c r="N44" s="116"/>
      <c r="O44" s="116"/>
      <c r="P44" s="115"/>
      <c r="Q44" s="115">
        <v>0</v>
      </c>
      <c r="R44" s="116"/>
      <c r="S44" s="116"/>
      <c r="T44" s="116"/>
      <c r="U44" s="116"/>
      <c r="V44" s="116"/>
      <c r="X44" s="116">
        <v>0</v>
      </c>
      <c r="Y44" s="116"/>
      <c r="Z44" s="116"/>
      <c r="AA44" s="116"/>
      <c r="AB44" s="116"/>
      <c r="AC44" s="116"/>
      <c r="AE44" s="116">
        <v>0</v>
      </c>
      <c r="AF44" s="116"/>
      <c r="AG44" s="116"/>
      <c r="AH44" s="116"/>
      <c r="AI44" s="116"/>
      <c r="AJ44" s="116"/>
      <c r="AL44" s="116">
        <v>0</v>
      </c>
      <c r="AM44" s="116"/>
      <c r="AN44" s="116"/>
      <c r="AO44" s="116"/>
      <c r="AP44" s="116"/>
      <c r="AQ44" s="116"/>
      <c r="AS44" s="116">
        <v>0</v>
      </c>
      <c r="AT44" s="116"/>
      <c r="AU44" s="116"/>
      <c r="AV44" s="116"/>
      <c r="AW44" s="116"/>
      <c r="AX44" s="116"/>
      <c r="AZ44" s="116">
        <v>0</v>
      </c>
      <c r="BA44" s="116"/>
      <c r="BB44" s="116"/>
      <c r="BC44" s="116"/>
      <c r="BD44" s="116"/>
      <c r="BE44" s="116"/>
      <c r="BG44" s="116">
        <v>0</v>
      </c>
      <c r="BH44" s="116"/>
      <c r="BI44" s="116"/>
      <c r="BJ44" s="116"/>
      <c r="BK44" s="116"/>
      <c r="BL44" s="116"/>
      <c r="BN44" s="116">
        <v>0</v>
      </c>
      <c r="BO44" s="116"/>
      <c r="BP44" s="116"/>
      <c r="BQ44" s="116"/>
      <c r="BR44" s="116"/>
      <c r="BS44" s="116"/>
      <c r="BU44" s="116">
        <v>0</v>
      </c>
      <c r="BV44" s="116"/>
      <c r="BW44" s="116"/>
      <c r="BX44" s="116"/>
      <c r="BY44" s="116"/>
      <c r="BZ44" s="116"/>
      <c r="CB44" s="116">
        <v>0</v>
      </c>
      <c r="CC44" s="116"/>
      <c r="CD44" s="116"/>
      <c r="CE44" s="116"/>
      <c r="CF44" s="116"/>
      <c r="CG44" s="116"/>
      <c r="CI44" s="116">
        <v>0</v>
      </c>
      <c r="CJ44" s="116"/>
      <c r="CK44" s="116"/>
      <c r="CL44" s="116"/>
      <c r="CM44" s="116"/>
      <c r="CN44" s="116"/>
      <c r="CP44" s="115"/>
      <c r="CQ44" s="107"/>
      <c r="CR44" s="118">
        <f t="shared" si="0"/>
        <v>0</v>
      </c>
      <c r="CS44" s="118">
        <f t="shared" si="1"/>
        <v>0</v>
      </c>
      <c r="CT44" s="118">
        <f t="shared" si="2"/>
        <v>0</v>
      </c>
      <c r="CU44" s="118">
        <f t="shared" si="3"/>
        <v>0</v>
      </c>
      <c r="CV44" s="118">
        <f t="shared" si="4"/>
        <v>0</v>
      </c>
      <c r="CW44" s="118">
        <f t="shared" si="5"/>
        <v>0</v>
      </c>
      <c r="CX44" s="118">
        <f t="shared" si="6"/>
        <v>0</v>
      </c>
      <c r="CY44" s="118">
        <f t="shared" si="7"/>
        <v>0</v>
      </c>
      <c r="CZ44" s="118">
        <f t="shared" si="8"/>
        <v>0</v>
      </c>
      <c r="DA44" s="118">
        <f t="shared" si="9"/>
        <v>0</v>
      </c>
      <c r="DB44" s="118">
        <f t="shared" si="10"/>
        <v>0</v>
      </c>
      <c r="DC44" s="118">
        <f t="shared" si="11"/>
        <v>0</v>
      </c>
    </row>
    <row r="45" spans="2:107" x14ac:dyDescent="0.2">
      <c r="B45" s="107" t="s">
        <v>205</v>
      </c>
      <c r="C45" s="191" t="s">
        <v>154</v>
      </c>
      <c r="D45" s="115"/>
      <c r="E45" s="115"/>
      <c r="F45" s="122"/>
      <c r="G45" s="123"/>
      <c r="H45" s="123"/>
      <c r="I45" s="123"/>
      <c r="J45" s="116">
        <v>8610.1200000000008</v>
      </c>
      <c r="K45" s="115"/>
      <c r="L45" s="115"/>
      <c r="M45" s="115"/>
      <c r="N45" s="116"/>
      <c r="O45" s="116"/>
      <c r="P45" s="115"/>
      <c r="Q45" s="115">
        <v>0</v>
      </c>
      <c r="R45" s="116"/>
      <c r="S45" s="116"/>
      <c r="T45" s="116"/>
      <c r="U45" s="116"/>
      <c r="V45" s="116"/>
      <c r="X45" s="116">
        <v>8610.1200000000008</v>
      </c>
      <c r="Y45" s="116"/>
      <c r="Z45" s="116"/>
      <c r="AA45" s="116"/>
      <c r="AB45" s="116"/>
      <c r="AC45" s="116"/>
      <c r="AE45" s="116">
        <v>8610.1200000000008</v>
      </c>
      <c r="AF45" s="116"/>
      <c r="AG45" s="116"/>
      <c r="AH45" s="116"/>
      <c r="AI45" s="116"/>
      <c r="AJ45" s="116"/>
      <c r="AL45" s="116">
        <v>8610.1200000000008</v>
      </c>
      <c r="AM45" s="116"/>
      <c r="AN45" s="116"/>
      <c r="AO45" s="116"/>
      <c r="AP45" s="116"/>
      <c r="AQ45" s="116"/>
      <c r="AS45" s="116">
        <v>8610.1200000000008</v>
      </c>
      <c r="AT45" s="116"/>
      <c r="AU45" s="116"/>
      <c r="AV45" s="116"/>
      <c r="AW45" s="116"/>
      <c r="AX45" s="116"/>
      <c r="AZ45" s="116">
        <v>8610.1200000000008</v>
      </c>
      <c r="BA45" s="116"/>
      <c r="BB45" s="116"/>
      <c r="BC45" s="116"/>
      <c r="BD45" s="116"/>
      <c r="BE45" s="116"/>
      <c r="BG45" s="116">
        <v>8610.1200000000008</v>
      </c>
      <c r="BH45" s="116"/>
      <c r="BI45" s="116"/>
      <c r="BJ45" s="116"/>
      <c r="BK45" s="116"/>
      <c r="BL45" s="116"/>
      <c r="BN45" s="116">
        <v>8610.1200000000008</v>
      </c>
      <c r="BO45" s="116"/>
      <c r="BP45" s="116"/>
      <c r="BQ45" s="116"/>
      <c r="BR45" s="116"/>
      <c r="BS45" s="116"/>
      <c r="BU45" s="116">
        <v>8610.1200000000008</v>
      </c>
      <c r="BV45" s="116"/>
      <c r="BW45" s="116"/>
      <c r="BX45" s="116"/>
      <c r="BY45" s="116"/>
      <c r="BZ45" s="116"/>
      <c r="CB45" s="116">
        <v>8610.1200000000008</v>
      </c>
      <c r="CC45" s="116"/>
      <c r="CD45" s="116"/>
      <c r="CE45" s="116"/>
      <c r="CF45" s="116"/>
      <c r="CG45" s="116"/>
      <c r="CI45" s="116">
        <v>8610.1200000000008</v>
      </c>
      <c r="CJ45" s="116"/>
      <c r="CK45" s="123"/>
      <c r="CL45" s="123"/>
      <c r="CM45" s="123"/>
      <c r="CN45" s="123"/>
      <c r="CP45" s="115"/>
      <c r="CQ45" s="107"/>
      <c r="CR45" s="118">
        <f t="shared" si="0"/>
        <v>9.0703495354275976E-4</v>
      </c>
      <c r="CS45" s="118">
        <f t="shared" si="1"/>
        <v>0</v>
      </c>
      <c r="CT45" s="118">
        <f t="shared" si="2"/>
        <v>9.0703495354275976E-4</v>
      </c>
      <c r="CU45" s="118">
        <f t="shared" si="3"/>
        <v>9.0703495354275976E-4</v>
      </c>
      <c r="CV45" s="118">
        <f t="shared" si="4"/>
        <v>9.0703495354275976E-4</v>
      </c>
      <c r="CW45" s="118">
        <f t="shared" si="5"/>
        <v>8.6531695183538111E-4</v>
      </c>
      <c r="CX45" s="118">
        <f t="shared" si="6"/>
        <v>8.391418978528852E-4</v>
      </c>
      <c r="CY45" s="118">
        <f t="shared" si="7"/>
        <v>8.3548333871489677E-4</v>
      </c>
      <c r="CZ45" s="118">
        <f t="shared" si="8"/>
        <v>8.3548333871489677E-4</v>
      </c>
      <c r="DA45" s="118">
        <f t="shared" si="9"/>
        <v>8.3548333871489677E-4</v>
      </c>
      <c r="DB45" s="118">
        <f t="shared" si="10"/>
        <v>8.3548333871489677E-4</v>
      </c>
      <c r="DC45" s="118">
        <f t="shared" si="11"/>
        <v>8.2845212488080711E-4</v>
      </c>
    </row>
    <row r="46" spans="2:107" ht="16" x14ac:dyDescent="0.2">
      <c r="B46" s="199" t="s">
        <v>402</v>
      </c>
      <c r="C46" s="194"/>
      <c r="D46" s="124"/>
      <c r="E46" s="124"/>
      <c r="F46" s="124"/>
      <c r="G46" s="124"/>
      <c r="H46" s="124"/>
      <c r="I46" s="124"/>
      <c r="J46" s="263">
        <f>J16+J18-J19-J20-J21-J22-J23-J24-J25-J26-J27-J28-J29-J30-J31-J32-J33-J34-J35-J36-J37-J38-J39-J40-J41-J42+J43-J44-J45</f>
        <v>1809984.53</v>
      </c>
      <c r="K46" s="110"/>
      <c r="L46" s="110"/>
      <c r="M46" s="110"/>
      <c r="N46" s="110"/>
      <c r="O46" s="110"/>
      <c r="P46" s="110"/>
      <c r="Q46" s="263">
        <f>Q16+Q18-Q19-Q20-Q21-Q22-Q23-Q24-Q25-Q26-Q27-Q28-Q29-Q30-Q31-Q32-Q33-Q34-Q35-Q36-Q37-Q38-Q39-Q40-Q41-Q42+Q43-Q44-Q45</f>
        <v>-5163682.3499999996</v>
      </c>
      <c r="R46" s="110"/>
      <c r="S46" s="110"/>
      <c r="T46" s="110"/>
      <c r="U46" s="110"/>
      <c r="V46" s="110"/>
      <c r="W46" s="110"/>
      <c r="X46" s="263">
        <f>X16+X18-X19-X20-X21-X22-X23-X24-X25-X26-X27-X28-X29-X30-X31-X32-X33-X34-X35-X36-X37-X38-X39-X40-X41-X42+X43-X44-X45</f>
        <v>3078802.53</v>
      </c>
      <c r="Y46" s="110"/>
      <c r="Z46" s="110"/>
      <c r="AA46" s="110"/>
      <c r="AB46" s="110"/>
      <c r="AC46" s="110"/>
      <c r="AD46" s="110"/>
      <c r="AE46" s="263">
        <f>AE16+AE18-AE19-AE20-AE21-AE22-AE23-AE24-AE25-AE26-AE27-AE28-AE29-AE30-AE31-AE32-AE33-AE34-AE35-AE36-AE37-AE38-AE39-AE40-AE41-AE42+AE43-AE44-AE45</f>
        <v>5497802.5300000003</v>
      </c>
      <c r="AF46" s="110"/>
      <c r="AG46" s="110"/>
      <c r="AH46" s="110"/>
      <c r="AI46" s="110"/>
      <c r="AJ46" s="110"/>
      <c r="AK46" s="110"/>
      <c r="AL46" s="263">
        <f>AL16+AL18-AL19-AL20-AL21-AL22-AL23-AL24-AL25-AL26-AL27-AL28-AL29-AL30-AL31-AL32-AL33-AL34-AL35-AL36-AL37-AL38-AL39-AL40-AL41-AL42+AL43-AL44-AL45</f>
        <v>5073902.53</v>
      </c>
      <c r="AM46" s="110"/>
      <c r="AN46" s="110"/>
      <c r="AO46" s="110"/>
      <c r="AP46" s="110"/>
      <c r="AQ46" s="110"/>
      <c r="AR46" s="110"/>
      <c r="AS46" s="263">
        <f>AS16+AS18-AS19-AS20-AS21-AS22-AS23-AS24-AS25-AS26-AS27-AS28-AS29-AS30-AS31-AS32-AS33-AS34-AS35-AS36-AS37-AS38-AS39-AS40-AS41-AS42+AS43-AS44-AS45</f>
        <v>5336452.53</v>
      </c>
      <c r="AT46" s="110"/>
      <c r="AU46" s="110"/>
      <c r="AV46" s="110"/>
      <c r="AW46" s="110"/>
      <c r="AX46" s="110"/>
      <c r="AY46" s="110"/>
      <c r="AZ46" s="263">
        <f>AZ16+AZ18-AZ19-AZ20-AZ21-AZ22-AZ23-AZ24-AZ25-AZ26-AZ27-AZ28-AZ29-AZ30-AZ31-AZ32-AZ33-AZ34-AZ35-AZ36-AZ37-AZ38-AZ39-AZ40-AZ41-AZ42+AZ43-AZ44-AZ45</f>
        <v>4859127.13</v>
      </c>
      <c r="BA46" s="110"/>
      <c r="BB46" s="110"/>
      <c r="BC46" s="110"/>
      <c r="BD46" s="110"/>
      <c r="BE46" s="110"/>
      <c r="BF46" s="110"/>
      <c r="BG46" s="263">
        <f>BG16+BG18-BG19-BG20-BG21-BG22-BG23-BG24-BG25-BG26-BG27-BG28-BG29-BG30-BG31-BG32-BG33-BG34-BG35-BG36-BG37-BG38-BG39-BG40-BG41-BG42+BG43-BG44-BG45</f>
        <v>6604058.1299999999</v>
      </c>
      <c r="BH46" s="110"/>
      <c r="BI46" s="110"/>
      <c r="BJ46" s="110"/>
      <c r="BK46" s="110"/>
      <c r="BL46" s="110"/>
      <c r="BM46" s="110"/>
      <c r="BN46" s="263">
        <f>BN16+BN18-BN19-BN20-BN21-BN22-BN23-BN24-BN25-BN26-BN27-BN28-BN29-BN30-BN31-BN32-BN33-BN34-BN35-BN36-BN37-BN38-BN39-BN40-BN41-BN42+BN43-BN44-BN45</f>
        <v>5061158.13</v>
      </c>
      <c r="BO46" s="110"/>
      <c r="BP46" s="110"/>
      <c r="BQ46" s="110"/>
      <c r="BR46" s="110"/>
      <c r="BS46" s="110"/>
      <c r="BT46" s="110"/>
      <c r="BU46" s="263">
        <f>BU16+BU18-BU19-BU20-BU21-BU22-BU23-BU24-BU25-BU26-BU27-BU28-BU29-BU30-BU31-BU32-BU33-BU34-BU35-BU36-BU37-BU38-BU39-BU40-BU41-BU42+BU43-BU44-BU45</f>
        <v>3154058.1299999994</v>
      </c>
      <c r="BV46" s="110"/>
      <c r="BW46" s="110"/>
      <c r="BX46" s="110"/>
      <c r="BY46" s="110"/>
      <c r="BZ46" s="110"/>
      <c r="CA46" s="110"/>
      <c r="CB46" s="263">
        <f>CB16+CB18-CB19-CB20-CB21-CB22-CB23-CB24-CB25-CB26-CB27-CB28-CB29-CB30-CB31-CB32-CB33-CB34-CB35-CB36-CB37-CB38-CB39-CB40-CB41-CB42+CB43-CB44-CB45</f>
        <v>6604058.1299999999</v>
      </c>
      <c r="CC46" s="110"/>
      <c r="CD46" s="110"/>
      <c r="CE46" s="110"/>
      <c r="CF46" s="110"/>
      <c r="CG46" s="110"/>
      <c r="CH46" s="110"/>
      <c r="CI46" s="263">
        <f>CI16+CI18-CI19-CI20-CI21-CI22-CI23-CI24-CI25-CI26-CI27-CI28-CI29-CI30-CI31-CI32-CI33-CI34-CI35-CI36-CI37-CI38-CI39-CI40-CI41-CI42+CI43-CI44-CI45</f>
        <v>5822523.1299999999</v>
      </c>
      <c r="CJ46" s="110"/>
      <c r="CK46" s="110"/>
      <c r="CL46" s="110"/>
      <c r="CM46" s="110"/>
      <c r="CN46" s="110"/>
      <c r="CO46" s="110"/>
      <c r="CP46" s="263"/>
      <c r="CQ46" s="107"/>
      <c r="CR46" s="125">
        <f t="shared" si="0"/>
        <v>0.19067321176495375</v>
      </c>
      <c r="CS46" s="125">
        <f t="shared" si="1"/>
        <v>-0.54396923392958718</v>
      </c>
      <c r="CT46" s="125">
        <f t="shared" si="2"/>
        <v>0.324337118386954</v>
      </c>
      <c r="CU46" s="125">
        <f t="shared" si="3"/>
        <v>0.57916719655310456</v>
      </c>
      <c r="CV46" s="125">
        <f t="shared" si="4"/>
        <v>0.53451135937467087</v>
      </c>
      <c r="CW46" s="125">
        <f t="shared" si="5"/>
        <v>0.53631341222582352</v>
      </c>
      <c r="CX46" s="125">
        <f t="shared" si="6"/>
        <v>0.47357030584668308</v>
      </c>
      <c r="CY46" s="125">
        <f t="shared" si="7"/>
        <v>0.64082504489132053</v>
      </c>
      <c r="CZ46" s="125">
        <f t="shared" si="8"/>
        <v>0.49110968165559166</v>
      </c>
      <c r="DA46" s="125">
        <f t="shared" si="9"/>
        <v>0.30605415684720577</v>
      </c>
      <c r="DB46" s="125">
        <f t="shared" si="10"/>
        <v>0.64082504489132053</v>
      </c>
      <c r="DC46" s="125">
        <f t="shared" si="11"/>
        <v>0.5602339641278109</v>
      </c>
    </row>
    <row r="47" spans="2:107" ht="16" x14ac:dyDescent="0.2">
      <c r="B47" s="112" t="s">
        <v>90</v>
      </c>
      <c r="C47" s="192" t="s">
        <v>154</v>
      </c>
      <c r="D47" s="126"/>
      <c r="E47" s="126"/>
      <c r="F47" s="126"/>
      <c r="G47" s="127"/>
      <c r="H47" s="127"/>
      <c r="I47" s="127"/>
      <c r="J47" s="116">
        <f>SUMIFS(wallet_records!$D:$D,wallet_records!$B:$B,'EEFF 2026 Proyectado'!$C47,wallet_records!$O:$O,'EEFF 2026 Proyectado'!$B$1,wallet_records!$N:$N,'EEFF 2026 Proyectado'!J$2,wallet_records!$H:$H,'EEFF 2026 Proyectado'!$B47)</f>
        <v>0</v>
      </c>
      <c r="K47" s="115"/>
      <c r="L47" s="115"/>
      <c r="M47" s="115"/>
      <c r="N47" s="116"/>
      <c r="O47" s="116"/>
      <c r="P47" s="116"/>
      <c r="Q47" s="115">
        <f>SUMIFS(wallet_records!$D:$D,wallet_records!$B:$B,'EEFF 2026 Proyectado'!$C47,wallet_records!$O:$O,'EEFF 2026 Proyectado'!$B$1,wallet_records!$N:$N,'EEFF 2026 Proyectado'!Q$2,wallet_records!$H:$H,'EEFF 2026 Proyectado'!$B47)</f>
        <v>0</v>
      </c>
      <c r="R47" s="119"/>
      <c r="S47" s="119"/>
      <c r="T47" s="119"/>
      <c r="U47" s="128"/>
      <c r="V47" s="128"/>
      <c r="X47" s="116">
        <f>SUMIFS(wallet_records!$D:$D,wallet_records!$B:$B,'EEFF 2026 Proyectado'!$C47,wallet_records!$O:$O,'EEFF 2026 Proyectado'!$B$1,wallet_records!$N:$N,'EEFF 2026 Proyectado'!X$2,wallet_records!$H:$H,'EEFF 2026 Proyectado'!$B47)</f>
        <v>0</v>
      </c>
      <c r="Y47" s="128"/>
      <c r="Z47" s="128"/>
      <c r="AA47" s="128"/>
      <c r="AB47" s="128"/>
      <c r="AC47" s="128"/>
      <c r="AE47" s="116">
        <f>SUMIFS(wallet_records!$D:$D,wallet_records!$B:$B,'EEFF 2026 Proyectado'!$C47,wallet_records!$O:$O,'EEFF 2026 Proyectado'!$B$1,wallet_records!$N:$N,'EEFF 2026 Proyectado'!AE$2,wallet_records!$H:$H,'EEFF 2026 Proyectado'!$B47)</f>
        <v>0</v>
      </c>
      <c r="AF47" s="128"/>
      <c r="AG47" s="128"/>
      <c r="AH47" s="128"/>
      <c r="AI47" s="128"/>
      <c r="AJ47" s="128"/>
      <c r="AL47" s="116">
        <f>SUMIFS(wallet_records!$D:$D,wallet_records!$B:$B,'EEFF 2026 Proyectado'!$C47,wallet_records!$O:$O,'EEFF 2026 Proyectado'!$B$1,wallet_records!$N:$N,'EEFF 2026 Proyectado'!AL$2,wallet_records!$H:$H,'EEFF 2026 Proyectado'!$B47)</f>
        <v>0</v>
      </c>
      <c r="AM47" s="128"/>
      <c r="AN47" s="128"/>
      <c r="AO47" s="128"/>
      <c r="AP47" s="128"/>
      <c r="AQ47" s="128"/>
      <c r="AS47" s="116">
        <f>SUMIFS(wallet_records!$D:$D,wallet_records!$B:$B,'EEFF 2026 Proyectado'!$C47,wallet_records!$O:$O,'EEFF 2026 Proyectado'!$B$1,wallet_records!$N:$N,'EEFF 2026 Proyectado'!AS$2,wallet_records!$H:$H,'EEFF 2026 Proyectado'!$B47)</f>
        <v>0</v>
      </c>
      <c r="AT47" s="128"/>
      <c r="AU47" s="128"/>
      <c r="AV47" s="128"/>
      <c r="AW47" s="128"/>
      <c r="AX47" s="128"/>
      <c r="AZ47" s="116">
        <f>SUMIFS(wallet_records!$D:$D,wallet_records!$B:$B,'EEFF 2026 Proyectado'!$C47,wallet_records!$O:$O,'EEFF 2026 Proyectado'!$B$1,wallet_records!$N:$N,'EEFF 2026 Proyectado'!AZ$2,wallet_records!$H:$H,'EEFF 2026 Proyectado'!$B47)</f>
        <v>0</v>
      </c>
      <c r="BA47" s="128"/>
      <c r="BB47" s="128"/>
      <c r="BC47" s="128"/>
      <c r="BD47" s="128"/>
      <c r="BE47" s="128"/>
      <c r="BG47" s="116">
        <f>SUMIFS(wallet_records!$D:$D,wallet_records!$B:$B,'EEFF 2026 Proyectado'!$C47,wallet_records!$O:$O,'EEFF 2026 Proyectado'!$B$1,wallet_records!$N:$N,'EEFF 2026 Proyectado'!BG$2,wallet_records!$H:$H,'EEFF 2026 Proyectado'!$B47)</f>
        <v>0</v>
      </c>
      <c r="BH47" s="128"/>
      <c r="BI47" s="128"/>
      <c r="BJ47" s="128"/>
      <c r="BK47" s="128"/>
      <c r="BL47" s="128"/>
      <c r="BN47" s="116">
        <v>1000000</v>
      </c>
      <c r="BO47" s="128"/>
      <c r="BP47" s="128"/>
      <c r="BQ47" s="128"/>
      <c r="BR47" s="128"/>
      <c r="BS47" s="128"/>
      <c r="BU47" s="116">
        <f>SUMIFS(wallet_records!$D:$D,wallet_records!$B:$B,'EEFF 2026 Proyectado'!$C47,wallet_records!$O:$O,'EEFF 2026 Proyectado'!$B$1,wallet_records!$N:$N,'EEFF 2026 Proyectado'!BU$2,wallet_records!$H:$H,'EEFF 2026 Proyectado'!$B47)</f>
        <v>0</v>
      </c>
      <c r="BV47" s="128"/>
      <c r="BW47" s="128"/>
      <c r="BX47" s="128"/>
      <c r="BY47" s="128"/>
      <c r="BZ47" s="128"/>
      <c r="CB47" s="116">
        <f>SUMIFS(wallet_records!$D:$D,wallet_records!$B:$B,'EEFF 2026 Proyectado'!$C47,wallet_records!$O:$O,'EEFF 2026 Proyectado'!$B$1,wallet_records!$N:$N,'EEFF 2026 Proyectado'!CB$2,wallet_records!$H:$H,'EEFF 2026 Proyectado'!$B47)</f>
        <v>0</v>
      </c>
      <c r="CC47" s="128"/>
      <c r="CD47" s="128"/>
      <c r="CE47" s="128"/>
      <c r="CF47" s="128"/>
      <c r="CG47" s="128"/>
      <c r="CI47" s="116">
        <f>SUMIFS(wallet_records!$D:$D,wallet_records!$B:$B,'EEFF 2026 Proyectado'!$C47,wallet_records!$O:$O,'EEFF 2026 Proyectado'!$B$1,wallet_records!$N:$N,'EEFF 2026 Proyectado'!CI$2,wallet_records!$H:$H,'EEFF 2026 Proyectado'!$B47)</f>
        <v>0</v>
      </c>
      <c r="CJ47" s="128"/>
      <c r="CK47" s="128"/>
      <c r="CL47" s="128"/>
      <c r="CM47" s="128"/>
      <c r="CN47" s="128"/>
      <c r="CP47" s="115"/>
      <c r="CQ47" s="107"/>
      <c r="CR47" s="111">
        <f t="shared" si="0"/>
        <v>0</v>
      </c>
      <c r="CS47" s="111">
        <f t="shared" si="1"/>
        <v>0</v>
      </c>
      <c r="CT47" s="111">
        <f t="shared" si="2"/>
        <v>0</v>
      </c>
      <c r="CU47" s="111">
        <f t="shared" si="3"/>
        <v>0</v>
      </c>
      <c r="CV47" s="111">
        <f t="shared" si="4"/>
        <v>0</v>
      </c>
      <c r="CW47" s="111">
        <f t="shared" si="5"/>
        <v>0</v>
      </c>
      <c r="CX47" s="111">
        <f t="shared" si="6"/>
        <v>0</v>
      </c>
      <c r="CY47" s="111">
        <f t="shared" si="7"/>
        <v>0</v>
      </c>
      <c r="CZ47" s="111">
        <f t="shared" si="8"/>
        <v>9.7035040012786899E-2</v>
      </c>
      <c r="DA47" s="111">
        <f t="shared" si="9"/>
        <v>0</v>
      </c>
      <c r="DB47" s="111">
        <f t="shared" si="10"/>
        <v>0</v>
      </c>
      <c r="DC47" s="111">
        <f t="shared" si="11"/>
        <v>0</v>
      </c>
    </row>
    <row r="48" spans="2:107" ht="16" x14ac:dyDescent="0.2">
      <c r="B48" s="129" t="s">
        <v>352</v>
      </c>
      <c r="C48" s="206"/>
      <c r="D48" s="130"/>
      <c r="E48" s="130"/>
      <c r="F48" s="130"/>
      <c r="G48" s="130"/>
      <c r="H48" s="130"/>
      <c r="I48" s="130"/>
      <c r="J48" s="110">
        <f>J46-J47</f>
        <v>1809984.53</v>
      </c>
      <c r="K48" s="110"/>
      <c r="L48" s="110"/>
      <c r="M48" s="110"/>
      <c r="N48" s="110"/>
      <c r="O48" s="110"/>
      <c r="P48" s="110"/>
      <c r="Q48" s="110">
        <f>Q46-Q47</f>
        <v>-5163682.3499999996</v>
      </c>
      <c r="R48" s="110"/>
      <c r="S48" s="110"/>
      <c r="T48" s="110"/>
      <c r="U48" s="110"/>
      <c r="V48" s="110"/>
      <c r="W48" s="110"/>
      <c r="X48" s="110">
        <f>X46-X47</f>
        <v>3078802.53</v>
      </c>
      <c r="Y48" s="110"/>
      <c r="Z48" s="110"/>
      <c r="AA48" s="110"/>
      <c r="AB48" s="110"/>
      <c r="AC48" s="110"/>
      <c r="AD48" s="110"/>
      <c r="AE48" s="110">
        <f>AE46-AE47</f>
        <v>5497802.5300000003</v>
      </c>
      <c r="AF48" s="110"/>
      <c r="AG48" s="110"/>
      <c r="AH48" s="110"/>
      <c r="AI48" s="110"/>
      <c r="AJ48" s="110"/>
      <c r="AK48" s="110"/>
      <c r="AL48" s="110">
        <f>AL46-AL47</f>
        <v>5073902.53</v>
      </c>
      <c r="AM48" s="110"/>
      <c r="AN48" s="110"/>
      <c r="AO48" s="110"/>
      <c r="AP48" s="110"/>
      <c r="AQ48" s="110"/>
      <c r="AR48" s="110"/>
      <c r="AS48" s="110">
        <f>AS46-AS47</f>
        <v>5336452.53</v>
      </c>
      <c r="AT48" s="110"/>
      <c r="AU48" s="110"/>
      <c r="AV48" s="110"/>
      <c r="AW48" s="110"/>
      <c r="AX48" s="110"/>
      <c r="AY48" s="110"/>
      <c r="AZ48" s="110">
        <f>AZ46-AZ47</f>
        <v>4859127.13</v>
      </c>
      <c r="BA48" s="110"/>
      <c r="BB48" s="110"/>
      <c r="BC48" s="110"/>
      <c r="BD48" s="110"/>
      <c r="BE48" s="110"/>
      <c r="BF48" s="110"/>
      <c r="BG48" s="110">
        <f>BG46-BG47</f>
        <v>6604058.1299999999</v>
      </c>
      <c r="BH48" s="110"/>
      <c r="BI48" s="110"/>
      <c r="BJ48" s="110"/>
      <c r="BK48" s="110"/>
      <c r="BL48" s="110"/>
      <c r="BM48" s="110"/>
      <c r="BN48" s="110">
        <f>BN46-BN47</f>
        <v>4061158.13</v>
      </c>
      <c r="BO48" s="110"/>
      <c r="BP48" s="110"/>
      <c r="BQ48" s="110"/>
      <c r="BR48" s="110"/>
      <c r="BS48" s="110"/>
      <c r="BT48" s="110"/>
      <c r="BU48" s="110">
        <f>BU46-BU47</f>
        <v>3154058.1299999994</v>
      </c>
      <c r="BV48" s="110"/>
      <c r="BW48" s="110"/>
      <c r="BX48" s="110"/>
      <c r="BY48" s="110"/>
      <c r="BZ48" s="110"/>
      <c r="CA48" s="110"/>
      <c r="CB48" s="110">
        <f>CB46-CB47</f>
        <v>6604058.1299999999</v>
      </c>
      <c r="CC48" s="110"/>
      <c r="CD48" s="110"/>
      <c r="CE48" s="110"/>
      <c r="CF48" s="110"/>
      <c r="CG48" s="110"/>
      <c r="CH48" s="110"/>
      <c r="CI48" s="110">
        <f>CI46-CI47</f>
        <v>5822523.1299999999</v>
      </c>
      <c r="CJ48" s="110"/>
      <c r="CK48" s="110"/>
      <c r="CL48" s="110"/>
      <c r="CM48" s="110"/>
      <c r="CN48" s="110"/>
      <c r="CO48" s="110"/>
      <c r="CP48" s="110"/>
      <c r="CQ48" s="107"/>
      <c r="CR48" s="131">
        <f t="shared" si="0"/>
        <v>0.19067321176495375</v>
      </c>
      <c r="CS48" s="131">
        <f t="shared" si="1"/>
        <v>-0.54396923392958718</v>
      </c>
      <c r="CT48" s="131">
        <f>X48/X$6</f>
        <v>0.324337118386954</v>
      </c>
      <c r="CU48" s="131">
        <f>AE48/AE$6</f>
        <v>0.57916719655310456</v>
      </c>
      <c r="CV48" s="131">
        <f>AL48/AL$6</f>
        <v>0.53451135937467087</v>
      </c>
      <c r="CW48" s="131">
        <f>AS48/AS$6</f>
        <v>0.53631341222582352</v>
      </c>
      <c r="CX48" s="131">
        <f>AZ48/AZ$6</f>
        <v>0.47357030584668308</v>
      </c>
      <c r="CY48" s="131">
        <f>BG48/BG$6</f>
        <v>0.64082504489132053</v>
      </c>
      <c r="CZ48" s="131">
        <f>BN48/BN$6</f>
        <v>0.39407464164280476</v>
      </c>
      <c r="DA48" s="131">
        <f>BU48/BU$6</f>
        <v>0.30605415684720577</v>
      </c>
      <c r="DB48" s="131">
        <f>CB48/CB$6</f>
        <v>0.64082504489132053</v>
      </c>
      <c r="DC48" s="131">
        <f>CI48/CI$6</f>
        <v>0.5602339641278109</v>
      </c>
    </row>
    <row r="49" spans="2:107" x14ac:dyDescent="0.2">
      <c r="D49" s="106"/>
      <c r="E49" s="106"/>
      <c r="F49" s="132"/>
      <c r="I49" s="133"/>
      <c r="J49" s="133"/>
      <c r="K49" s="106"/>
      <c r="L49" s="106"/>
      <c r="M49" s="134"/>
      <c r="P49" s="116"/>
      <c r="Q49" s="133"/>
      <c r="R49" s="133"/>
      <c r="S49" s="133"/>
      <c r="T49" s="133"/>
      <c r="U49" s="133"/>
      <c r="V49" s="133"/>
      <c r="Y49" s="133"/>
      <c r="Z49" s="133"/>
      <c r="AA49" s="133"/>
      <c r="AB49" s="133"/>
      <c r="AC49" s="133"/>
      <c r="AF49" s="133"/>
      <c r="AG49" s="133"/>
      <c r="AH49" s="133"/>
      <c r="AI49" s="133"/>
      <c r="AJ49" s="133"/>
      <c r="AM49" s="133"/>
      <c r="AN49" s="133"/>
      <c r="AO49" s="133"/>
      <c r="AP49" s="133"/>
      <c r="AQ49" s="133"/>
      <c r="AT49" s="133"/>
      <c r="AU49" s="133"/>
      <c r="AV49" s="133"/>
      <c r="AW49" s="133"/>
      <c r="AX49" s="133"/>
      <c r="BA49" s="133"/>
      <c r="BB49" s="133"/>
      <c r="BC49" s="133"/>
      <c r="BD49" s="133"/>
      <c r="BE49" s="133"/>
      <c r="BH49" s="133"/>
      <c r="BI49" s="133"/>
      <c r="BJ49" s="133"/>
      <c r="BK49" s="133"/>
      <c r="BL49" s="133"/>
      <c r="BO49" s="133"/>
      <c r="BP49" s="133"/>
      <c r="BQ49" s="133"/>
      <c r="BR49" s="133"/>
      <c r="BS49" s="133"/>
      <c r="BV49" s="133"/>
      <c r="BW49" s="133"/>
      <c r="BX49" s="133"/>
      <c r="BY49" s="133"/>
      <c r="BZ49" s="133"/>
      <c r="CC49" s="133"/>
      <c r="CD49" s="133"/>
      <c r="CE49" s="133"/>
      <c r="CF49" s="133"/>
      <c r="CG49" s="133"/>
      <c r="CJ49" s="133"/>
      <c r="CK49" s="133"/>
      <c r="CL49" s="133"/>
      <c r="CM49" s="133"/>
      <c r="CN49" s="133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</row>
    <row r="50" spans="2:107" ht="16" x14ac:dyDescent="0.2">
      <c r="D50" s="106"/>
      <c r="E50" s="106"/>
      <c r="F50" s="106"/>
      <c r="K50" s="106"/>
      <c r="L50" s="106"/>
      <c r="M50" s="106"/>
      <c r="P50" s="120"/>
    </row>
    <row r="51" spans="2:107" s="181" customFormat="1" ht="16" x14ac:dyDescent="0.2">
      <c r="B51" s="183" t="s">
        <v>403</v>
      </c>
      <c r="C51" s="214"/>
      <c r="D51" s="184"/>
      <c r="E51" s="185"/>
      <c r="F51" s="185"/>
      <c r="G51" s="185"/>
      <c r="I51" s="186"/>
      <c r="J51" s="186"/>
      <c r="K51" s="184"/>
      <c r="L51" s="185"/>
      <c r="M51" s="185"/>
      <c r="N51" s="185"/>
      <c r="P51" s="115"/>
      <c r="Q51" s="186"/>
      <c r="R51" s="186"/>
      <c r="S51" s="186"/>
      <c r="T51" s="186"/>
      <c r="U51" s="186"/>
      <c r="V51" s="186"/>
      <c r="Y51" s="186"/>
      <c r="Z51" s="186"/>
      <c r="AA51" s="186"/>
      <c r="AB51" s="186"/>
      <c r="AC51" s="186"/>
      <c r="AF51" s="186"/>
      <c r="AG51" s="186"/>
      <c r="AH51" s="186"/>
      <c r="AI51" s="186"/>
      <c r="AJ51" s="186"/>
      <c r="AM51" s="186"/>
      <c r="AN51" s="186"/>
      <c r="AO51" s="186"/>
      <c r="AP51" s="186"/>
      <c r="AQ51" s="186"/>
      <c r="AT51" s="186"/>
      <c r="AU51" s="186"/>
      <c r="AV51" s="186"/>
      <c r="AW51" s="186"/>
      <c r="AX51" s="186"/>
      <c r="BA51" s="186"/>
      <c r="BB51" s="186"/>
      <c r="BC51" s="186"/>
      <c r="BD51" s="186"/>
      <c r="BE51" s="186"/>
      <c r="BH51" s="186"/>
      <c r="BI51" s="186"/>
      <c r="BJ51" s="186"/>
      <c r="BK51" s="186"/>
      <c r="BL51" s="186"/>
      <c r="BO51" s="186"/>
      <c r="BP51" s="186"/>
      <c r="BQ51" s="186"/>
      <c r="BR51" s="186"/>
      <c r="BS51" s="186"/>
      <c r="BV51" s="186"/>
      <c r="BW51" s="186"/>
      <c r="BX51" s="186"/>
      <c r="BY51" s="186"/>
      <c r="BZ51" s="186"/>
      <c r="CC51" s="186"/>
      <c r="CD51" s="186"/>
      <c r="CE51" s="186"/>
      <c r="CF51" s="186"/>
      <c r="CG51" s="186"/>
      <c r="CJ51" s="186"/>
      <c r="CK51" s="186"/>
      <c r="CL51" s="186"/>
      <c r="CM51" s="186"/>
      <c r="CN51" s="186"/>
    </row>
    <row r="52" spans="2:107" x14ac:dyDescent="0.2">
      <c r="B52" s="105" t="s">
        <v>404</v>
      </c>
      <c r="D52" s="136"/>
      <c r="E52" s="136"/>
      <c r="F52" s="136"/>
      <c r="G52" s="137"/>
      <c r="H52" s="137"/>
      <c r="I52" s="137"/>
      <c r="J52" s="137">
        <f>SUM(J53:J59)</f>
        <v>70384786.280000001</v>
      </c>
      <c r="K52" s="138"/>
      <c r="L52" s="138"/>
      <c r="M52" s="138"/>
      <c r="N52" s="137"/>
      <c r="O52" s="137"/>
      <c r="P52" s="115"/>
      <c r="Q52" s="137">
        <f>SUM(Q53:W58)</f>
        <v>61371886.280000001</v>
      </c>
      <c r="R52" s="137"/>
      <c r="S52" s="137"/>
      <c r="T52" s="137"/>
      <c r="U52" s="137"/>
      <c r="V52" s="137"/>
      <c r="X52" s="137">
        <f>SUM(X53:AD58)</f>
        <v>0</v>
      </c>
      <c r="Y52" s="137"/>
      <c r="Z52" s="137"/>
      <c r="AA52" s="137"/>
      <c r="AB52" s="137"/>
      <c r="AC52" s="137"/>
      <c r="AE52" s="137">
        <f>SUM(AE53:AK58)</f>
        <v>0</v>
      </c>
      <c r="AF52" s="137"/>
      <c r="AG52" s="137"/>
      <c r="AH52" s="137"/>
      <c r="AI52" s="137"/>
      <c r="AJ52" s="137"/>
      <c r="AL52" s="137">
        <f>SUM(AL53:AR58)</f>
        <v>0</v>
      </c>
      <c r="AM52" s="137"/>
      <c r="AN52" s="137"/>
      <c r="AO52" s="137"/>
      <c r="AP52" s="137"/>
      <c r="AQ52" s="137"/>
      <c r="AS52" s="137">
        <f>SUM(AS53:AY58)</f>
        <v>0</v>
      </c>
      <c r="AT52" s="137"/>
      <c r="AU52" s="137"/>
      <c r="AV52" s="137"/>
      <c r="AW52" s="137"/>
      <c r="AX52" s="137"/>
      <c r="AZ52" s="137">
        <f>SUM(AZ53:BF58)</f>
        <v>0</v>
      </c>
      <c r="BA52" s="137"/>
      <c r="BB52" s="137"/>
      <c r="BC52" s="137"/>
      <c r="BD52" s="137"/>
      <c r="BE52" s="137"/>
      <c r="BG52" s="137">
        <f>SUM(BG53:BM58)</f>
        <v>0</v>
      </c>
      <c r="BH52" s="137"/>
      <c r="BI52" s="137"/>
      <c r="BJ52" s="137"/>
      <c r="BK52" s="137"/>
      <c r="BL52" s="137"/>
      <c r="BN52" s="137">
        <f>SUM(BN53:BT58)</f>
        <v>0</v>
      </c>
      <c r="BO52" s="137"/>
      <c r="BP52" s="137"/>
      <c r="BQ52" s="137"/>
      <c r="BR52" s="137"/>
      <c r="BS52" s="137"/>
      <c r="BU52" s="137">
        <f>SUM(BU53:CA58)</f>
        <v>0</v>
      </c>
      <c r="BV52" s="137"/>
      <c r="BW52" s="137"/>
      <c r="BX52" s="137"/>
      <c r="BY52" s="137"/>
      <c r="BZ52" s="137"/>
      <c r="CB52" s="137">
        <f>SUM(CB53:CH58)</f>
        <v>0</v>
      </c>
      <c r="CC52" s="137"/>
      <c r="CD52" s="137"/>
      <c r="CE52" s="137"/>
      <c r="CF52" s="137"/>
      <c r="CG52" s="137"/>
      <c r="CI52" s="137">
        <f>SUM(CI53:CO58)</f>
        <v>0</v>
      </c>
      <c r="CJ52" s="137"/>
      <c r="CK52" s="137"/>
      <c r="CL52" s="137"/>
      <c r="CM52" s="137"/>
      <c r="CN52" s="137"/>
      <c r="CP52" s="137"/>
      <c r="CR52" s="139">
        <f>J52/J$66</f>
        <v>3.5981776393052223E-2</v>
      </c>
      <c r="CS52" s="139">
        <f>Q52/Q$66</f>
        <v>3.1519471402561693E-2</v>
      </c>
      <c r="CT52" s="139">
        <f>X52/X$66</f>
        <v>0</v>
      </c>
      <c r="CU52" s="139">
        <f>AE52/AE$66</f>
        <v>0</v>
      </c>
      <c r="CV52" s="139">
        <f>AL52/AL$66</f>
        <v>0</v>
      </c>
      <c r="CW52" s="139">
        <f>AS52/AS$66</f>
        <v>0</v>
      </c>
      <c r="CX52" s="139">
        <f>AZ52/AZ$66</f>
        <v>0</v>
      </c>
      <c r="CY52" s="139">
        <f>BG52/BG$66</f>
        <v>0</v>
      </c>
      <c r="CZ52" s="139">
        <f>BN52/BN$66</f>
        <v>0</v>
      </c>
      <c r="DA52" s="139">
        <f>BU52/BU$66</f>
        <v>0</v>
      </c>
      <c r="DB52" s="139">
        <f>CB52/CB$66</f>
        <v>0</v>
      </c>
      <c r="DC52" s="139">
        <f>CI52/CI$66</f>
        <v>0</v>
      </c>
    </row>
    <row r="53" spans="2:107" x14ac:dyDescent="0.2">
      <c r="C53" s="204" t="s">
        <v>505</v>
      </c>
      <c r="D53" s="136"/>
      <c r="E53" s="136"/>
      <c r="F53" s="136"/>
      <c r="G53" s="137"/>
      <c r="H53" s="137"/>
      <c r="I53" s="137"/>
      <c r="J53" s="137">
        <v>12900</v>
      </c>
      <c r="K53" s="138"/>
      <c r="L53" s="138"/>
      <c r="M53" s="138"/>
      <c r="N53" s="137"/>
      <c r="O53" s="137"/>
      <c r="P53" s="115"/>
      <c r="Q53" s="137">
        <v>0</v>
      </c>
      <c r="R53" s="137"/>
      <c r="S53" s="137"/>
      <c r="T53" s="137"/>
      <c r="U53" s="137"/>
      <c r="V53" s="137"/>
      <c r="X53" s="137">
        <v>0</v>
      </c>
      <c r="Y53" s="137"/>
      <c r="Z53" s="137"/>
      <c r="AA53" s="137"/>
      <c r="AB53" s="137"/>
      <c r="AC53" s="137"/>
      <c r="AE53" s="137">
        <v>0</v>
      </c>
      <c r="AF53" s="137"/>
      <c r="AG53" s="137"/>
      <c r="AH53" s="137"/>
      <c r="AI53" s="137"/>
      <c r="AJ53" s="137"/>
      <c r="AL53" s="137">
        <v>0</v>
      </c>
      <c r="AM53" s="137"/>
      <c r="AN53" s="137"/>
      <c r="AO53" s="137"/>
      <c r="AP53" s="137"/>
      <c r="AQ53" s="137"/>
      <c r="AS53" s="137">
        <v>0</v>
      </c>
      <c r="AT53" s="137"/>
      <c r="AU53" s="137"/>
      <c r="AV53" s="137"/>
      <c r="AW53" s="137"/>
      <c r="AX53" s="137"/>
      <c r="AZ53" s="137">
        <v>0</v>
      </c>
      <c r="BA53" s="137"/>
      <c r="BB53" s="137"/>
      <c r="BC53" s="137"/>
      <c r="BD53" s="137"/>
      <c r="BE53" s="137"/>
      <c r="BG53" s="137">
        <v>0</v>
      </c>
      <c r="BH53" s="137"/>
      <c r="BI53" s="137"/>
      <c r="BJ53" s="137"/>
      <c r="BK53" s="137"/>
      <c r="BL53" s="137"/>
      <c r="BN53" s="137">
        <v>0</v>
      </c>
      <c r="BO53" s="137"/>
      <c r="BP53" s="137"/>
      <c r="BQ53" s="137"/>
      <c r="BR53" s="137"/>
      <c r="BS53" s="137"/>
      <c r="BU53" s="137">
        <v>0</v>
      </c>
      <c r="BV53" s="137"/>
      <c r="BW53" s="137"/>
      <c r="BX53" s="137"/>
      <c r="BY53" s="137"/>
      <c r="BZ53" s="137"/>
      <c r="CB53" s="137">
        <v>0</v>
      </c>
      <c r="CC53" s="137"/>
      <c r="CD53" s="137"/>
      <c r="CE53" s="137"/>
      <c r="CF53" s="137"/>
      <c r="CG53" s="137"/>
      <c r="CI53" s="137">
        <v>0</v>
      </c>
      <c r="CJ53" s="137"/>
      <c r="CK53" s="137"/>
      <c r="CL53" s="137"/>
      <c r="CM53" s="137"/>
      <c r="CN53" s="137"/>
      <c r="CP53" s="137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</row>
    <row r="54" spans="2:107" x14ac:dyDescent="0.2">
      <c r="C54" s="204" t="s">
        <v>127</v>
      </c>
      <c r="D54" s="136"/>
      <c r="E54" s="136"/>
      <c r="F54" s="136"/>
      <c r="G54" s="137"/>
      <c r="H54" s="137"/>
      <c r="I54" s="137"/>
      <c r="J54" s="116">
        <f>SUMIFS(Saldos!$D:$D,Saldos!$B:$B,'EEFF 2026 Proyectado'!J$2,Saldos!$C:$C,'EEFF 2026 Proyectado'!$B$1)</f>
        <v>21288891.809999999</v>
      </c>
      <c r="K54" s="138"/>
      <c r="L54" s="138"/>
      <c r="M54" s="138"/>
      <c r="N54" s="137"/>
      <c r="O54" s="137"/>
      <c r="P54" s="115"/>
      <c r="Q54" s="115">
        <f>SUMIFS(Saldos!$D:$D,Saldos!$B:$B,'EEFF 2026 Proyectado'!Q$2,Saldos!$C:$C,'EEFF 2026 Proyectado'!$B$1)</f>
        <v>11288891.810000001</v>
      </c>
      <c r="R54" s="137"/>
      <c r="S54" s="137"/>
      <c r="T54" s="137"/>
      <c r="U54" s="137"/>
      <c r="V54" s="137"/>
      <c r="X54" s="115">
        <f>SUMIFS(Saldos!$D:$D,Saldos!$B:$B,'EEFF 2026 Proyectado'!X$2,Saldos!$C:$C,'EEFF 2026 Proyectado'!$B$1)</f>
        <v>0</v>
      </c>
      <c r="Y54" s="137"/>
      <c r="Z54" s="137"/>
      <c r="AA54" s="137"/>
      <c r="AB54" s="137"/>
      <c r="AC54" s="137"/>
      <c r="AE54" s="115">
        <f>SUMIFS(Saldos!$D:$D,Saldos!$B:$B,'EEFF 2026 Proyectado'!AE$2,Saldos!$C:$C,'EEFF 2026 Proyectado'!$B$1)</f>
        <v>0</v>
      </c>
      <c r="AF54" s="137"/>
      <c r="AG54" s="137"/>
      <c r="AH54" s="137"/>
      <c r="AI54" s="137"/>
      <c r="AJ54" s="137"/>
      <c r="AL54" s="115">
        <f>SUMIFS(Saldos!$D:$D,Saldos!$B:$B,'EEFF 2026 Proyectado'!AL$2,Saldos!$C:$C,'EEFF 2026 Proyectado'!$B$1)</f>
        <v>0</v>
      </c>
      <c r="AM54" s="137"/>
      <c r="AN54" s="137"/>
      <c r="AO54" s="137"/>
      <c r="AP54" s="137"/>
      <c r="AQ54" s="137"/>
      <c r="AS54" s="115">
        <f>SUMIFS(Saldos!$D:$D,Saldos!$B:$B,'EEFF 2026 Proyectado'!AS$2,Saldos!$C:$C,'EEFF 2026 Proyectado'!$B$1)</f>
        <v>0</v>
      </c>
      <c r="AT54" s="137"/>
      <c r="AU54" s="137"/>
      <c r="AV54" s="137"/>
      <c r="AW54" s="137"/>
      <c r="AX54" s="137"/>
      <c r="AZ54" s="115">
        <f>SUMIFS(Saldos!$D:$D,Saldos!$B:$B,'EEFF 2026 Proyectado'!AZ$2,Saldos!$C:$C,'EEFF 2026 Proyectado'!$B$1)</f>
        <v>0</v>
      </c>
      <c r="BA54" s="137"/>
      <c r="BB54" s="137"/>
      <c r="BC54" s="137"/>
      <c r="BD54" s="137"/>
      <c r="BE54" s="137"/>
      <c r="BG54" s="115">
        <f>SUMIFS(Saldos!$D:$D,Saldos!$B:$B,'EEFF 2026 Proyectado'!BG$2,Saldos!$C:$C,'EEFF 2026 Proyectado'!$B$1)</f>
        <v>0</v>
      </c>
      <c r="BH54" s="137"/>
      <c r="BI54" s="137"/>
      <c r="BJ54" s="137"/>
      <c r="BK54" s="137"/>
      <c r="BL54" s="137"/>
      <c r="BN54" s="115">
        <f>SUMIFS(Saldos!$D:$D,Saldos!$B:$B,'EEFF 2026 Proyectado'!BN$2,Saldos!$C:$C,'EEFF 2026 Proyectado'!$B$1)</f>
        <v>0</v>
      </c>
      <c r="BO54" s="137"/>
      <c r="BP54" s="137"/>
      <c r="BQ54" s="137"/>
      <c r="BR54" s="137"/>
      <c r="BS54" s="137"/>
      <c r="BU54" s="115">
        <f>SUMIFS(Saldos!$D:$D,Saldos!$B:$B,'EEFF 2026 Proyectado'!BU$2,Saldos!$C:$C,'EEFF 2026 Proyectado'!$B$1)</f>
        <v>0</v>
      </c>
      <c r="BV54" s="137"/>
      <c r="BW54" s="137"/>
      <c r="BX54" s="137"/>
      <c r="BY54" s="137"/>
      <c r="BZ54" s="137"/>
      <c r="CB54" s="115">
        <f>SUMIFS(Saldos!$D:$D,Saldos!$B:$B,'EEFF 2026 Proyectado'!CB$2,Saldos!$C:$C,'EEFF 2026 Proyectado'!$B$1)</f>
        <v>0</v>
      </c>
      <c r="CC54" s="137"/>
      <c r="CD54" s="137"/>
      <c r="CE54" s="137"/>
      <c r="CF54" s="137"/>
      <c r="CG54" s="137"/>
      <c r="CI54" s="115">
        <f>SUMIFS(Saldos!$D:$D,Saldos!$B:$B,'EEFF 2026 Proyectado'!CI$2,Saldos!$C:$C,'EEFF 2026 Proyectado'!$B$1)</f>
        <v>0</v>
      </c>
      <c r="CJ54" s="137"/>
      <c r="CK54" s="137"/>
      <c r="CL54" s="137"/>
      <c r="CM54" s="137"/>
      <c r="CN54" s="137"/>
      <c r="CP54" s="137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</row>
    <row r="55" spans="2:107" x14ac:dyDescent="0.2">
      <c r="C55" s="204" t="s">
        <v>118</v>
      </c>
      <c r="D55" s="136"/>
      <c r="E55" s="136"/>
      <c r="F55" s="136"/>
      <c r="G55" s="137"/>
      <c r="H55" s="137"/>
      <c r="I55" s="137"/>
      <c r="J55" s="116">
        <f>SUMIFS(Saldos!$E:$E,Saldos!$B:$B,'EEFF 2026 Proyectado'!J$2,Saldos!$C:$C,'EEFF 2026 Proyectado'!$B$1)</f>
        <v>5322606.37</v>
      </c>
      <c r="K55" s="138"/>
      <c r="L55" s="138"/>
      <c r="M55" s="138"/>
      <c r="N55" s="137"/>
      <c r="O55" s="137"/>
      <c r="P55" s="115"/>
      <c r="Q55" s="115">
        <f>SUMIFS(Saldos!$E:$E,Saldos!$B:$B,'EEFF 2026 Proyectado'!Q$2,Saldos!$C:$C,'EEFF 2026 Proyectado'!$B$1)</f>
        <v>5322606.37</v>
      </c>
      <c r="R55" s="137"/>
      <c r="S55" s="137"/>
      <c r="T55" s="137"/>
      <c r="U55" s="137"/>
      <c r="V55" s="137"/>
      <c r="X55" s="115">
        <f>SUMIFS(Saldos!$E:$E,Saldos!$B:$B,'EEFF 2026 Proyectado'!X$2,Saldos!$C:$C,'EEFF 2026 Proyectado'!$B$1)</f>
        <v>0</v>
      </c>
      <c r="Y55" s="137"/>
      <c r="Z55" s="137"/>
      <c r="AA55" s="137"/>
      <c r="AB55" s="137"/>
      <c r="AC55" s="137"/>
      <c r="AE55" s="115">
        <f>SUMIFS(Saldos!$E:$E,Saldos!$B:$B,'EEFF 2026 Proyectado'!AE$2,Saldos!$C:$C,'EEFF 2026 Proyectado'!$B$1)</f>
        <v>0</v>
      </c>
      <c r="AF55" s="137"/>
      <c r="AG55" s="137"/>
      <c r="AH55" s="137"/>
      <c r="AI55" s="137"/>
      <c r="AJ55" s="137"/>
      <c r="AL55" s="115">
        <f>SUMIFS(Saldos!$E:$E,Saldos!$B:$B,'EEFF 2026 Proyectado'!AL$2,Saldos!$C:$C,'EEFF 2026 Proyectado'!$B$1)</f>
        <v>0</v>
      </c>
      <c r="AM55" s="137"/>
      <c r="AN55" s="137"/>
      <c r="AO55" s="137"/>
      <c r="AP55" s="137"/>
      <c r="AQ55" s="137"/>
      <c r="AS55" s="115">
        <f>SUMIFS(Saldos!$E:$E,Saldos!$B:$B,'EEFF 2026 Proyectado'!AS$2,Saldos!$C:$C,'EEFF 2026 Proyectado'!$B$1)</f>
        <v>0</v>
      </c>
      <c r="AT55" s="137"/>
      <c r="AU55" s="137"/>
      <c r="AV55" s="137"/>
      <c r="AW55" s="137"/>
      <c r="AX55" s="137"/>
      <c r="AZ55" s="115">
        <f>SUMIFS(Saldos!$E:$E,Saldos!$B:$B,'EEFF 2026 Proyectado'!AZ$2,Saldos!$C:$C,'EEFF 2026 Proyectado'!$B$1)</f>
        <v>0</v>
      </c>
      <c r="BA55" s="137"/>
      <c r="BB55" s="137"/>
      <c r="BC55" s="137"/>
      <c r="BD55" s="137"/>
      <c r="BE55" s="137"/>
      <c r="BG55" s="115">
        <f>SUMIFS(Saldos!$E:$E,Saldos!$B:$B,'EEFF 2026 Proyectado'!BG$2,Saldos!$C:$C,'EEFF 2026 Proyectado'!$B$1)</f>
        <v>0</v>
      </c>
      <c r="BH55" s="137"/>
      <c r="BI55" s="137"/>
      <c r="BJ55" s="137"/>
      <c r="BK55" s="137"/>
      <c r="BL55" s="137"/>
      <c r="BN55" s="115">
        <f>SUMIFS(Saldos!$E:$E,Saldos!$B:$B,'EEFF 2026 Proyectado'!BN$2,Saldos!$C:$C,'EEFF 2026 Proyectado'!$B$1)</f>
        <v>0</v>
      </c>
      <c r="BO55" s="137"/>
      <c r="BP55" s="137"/>
      <c r="BQ55" s="137"/>
      <c r="BR55" s="137"/>
      <c r="BS55" s="137"/>
      <c r="BU55" s="115">
        <f>SUMIFS(Saldos!$E:$E,Saldos!$B:$B,'EEFF 2026 Proyectado'!BU$2,Saldos!$C:$C,'EEFF 2026 Proyectado'!$B$1)</f>
        <v>0</v>
      </c>
      <c r="BV55" s="137"/>
      <c r="BW55" s="137"/>
      <c r="BX55" s="137"/>
      <c r="BY55" s="137"/>
      <c r="BZ55" s="137"/>
      <c r="CB55" s="115">
        <f>SUMIFS(Saldos!$E:$E,Saldos!$B:$B,'EEFF 2026 Proyectado'!CB$2,Saldos!$C:$C,'EEFF 2026 Proyectado'!$B$1)</f>
        <v>0</v>
      </c>
      <c r="CC55" s="137"/>
      <c r="CD55" s="137"/>
      <c r="CE55" s="137"/>
      <c r="CF55" s="137"/>
      <c r="CG55" s="137"/>
      <c r="CI55" s="115">
        <f>SUMIFS(Saldos!$E:$E,Saldos!$B:$B,'EEFF 2026 Proyectado'!CI$2,Saldos!$C:$C,'EEFF 2026 Proyectado'!$B$1)</f>
        <v>0</v>
      </c>
      <c r="CJ55" s="137"/>
      <c r="CK55" s="137"/>
      <c r="CL55" s="137"/>
      <c r="CM55" s="137"/>
      <c r="CN55" s="137"/>
      <c r="CP55" s="137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</row>
    <row r="56" spans="2:107" x14ac:dyDescent="0.2">
      <c r="C56" s="204" t="s">
        <v>515</v>
      </c>
      <c r="D56" s="136"/>
      <c r="E56" s="136"/>
      <c r="F56" s="136"/>
      <c r="G56" s="137"/>
      <c r="H56" s="137"/>
      <c r="I56" s="137"/>
      <c r="J56" s="116">
        <f>SUMIFS(Saldos!$F:$F,Saldos!$B:$B,'EEFF 2026 Proyectado'!J$2,Saldos!$C:$C,'EEFF 2026 Proyectado'!$B$1)</f>
        <v>14349590.199999999</v>
      </c>
      <c r="K56" s="138"/>
      <c r="L56" s="138"/>
      <c r="M56" s="138"/>
      <c r="N56" s="137"/>
      <c r="O56" s="137"/>
      <c r="P56" s="115"/>
      <c r="Q56" s="115">
        <f>SUMIFS(Saldos!$F:$F,Saldos!$B:$B,'EEFF 2026 Proyectado'!Q$2,Saldos!$C:$C,'EEFF 2026 Proyectado'!$B$1)</f>
        <v>14349590.199999999</v>
      </c>
      <c r="R56" s="137"/>
      <c r="S56" s="137"/>
      <c r="T56" s="137"/>
      <c r="U56" s="137"/>
      <c r="V56" s="137"/>
      <c r="X56" s="115">
        <f>SUMIFS(Saldos!$F:$F,Saldos!$B:$B,'EEFF 2026 Proyectado'!X$2,Saldos!$C:$C,'EEFF 2026 Proyectado'!$B$1)</f>
        <v>0</v>
      </c>
      <c r="Y56" s="137"/>
      <c r="Z56" s="137"/>
      <c r="AA56" s="137"/>
      <c r="AB56" s="137"/>
      <c r="AC56" s="137"/>
      <c r="AE56" s="115">
        <f>SUMIFS(Saldos!$F:$F,Saldos!$B:$B,'EEFF 2026 Proyectado'!AE$2,Saldos!$C:$C,'EEFF 2026 Proyectado'!$B$1)</f>
        <v>0</v>
      </c>
      <c r="AF56" s="137"/>
      <c r="AG56" s="137"/>
      <c r="AH56" s="137"/>
      <c r="AI56" s="137"/>
      <c r="AJ56" s="137"/>
      <c r="AL56" s="115">
        <f>SUMIFS(Saldos!$F:$F,Saldos!$B:$B,'EEFF 2026 Proyectado'!AL$2,Saldos!$C:$C,'EEFF 2026 Proyectado'!$B$1)</f>
        <v>0</v>
      </c>
      <c r="AM56" s="137"/>
      <c r="AN56" s="137"/>
      <c r="AO56" s="137"/>
      <c r="AP56" s="137"/>
      <c r="AQ56" s="137"/>
      <c r="AS56" s="115">
        <f>SUMIFS(Saldos!$F:$F,Saldos!$B:$B,'EEFF 2026 Proyectado'!AS$2,Saldos!$C:$C,'EEFF 2026 Proyectado'!$B$1)</f>
        <v>0</v>
      </c>
      <c r="AT56" s="137"/>
      <c r="AU56" s="137"/>
      <c r="AV56" s="137"/>
      <c r="AW56" s="137"/>
      <c r="AX56" s="137"/>
      <c r="AZ56" s="115">
        <f>SUMIFS(Saldos!$F:$F,Saldos!$B:$B,'EEFF 2026 Proyectado'!AZ$2,Saldos!$C:$C,'EEFF 2026 Proyectado'!$B$1)</f>
        <v>0</v>
      </c>
      <c r="BA56" s="137"/>
      <c r="BB56" s="137"/>
      <c r="BC56" s="137"/>
      <c r="BD56" s="137"/>
      <c r="BE56" s="137"/>
      <c r="BG56" s="115">
        <f>SUMIFS(Saldos!$F:$F,Saldos!$B:$B,'EEFF 2026 Proyectado'!BG$2,Saldos!$C:$C,'EEFF 2026 Proyectado'!$B$1)</f>
        <v>0</v>
      </c>
      <c r="BH56" s="137"/>
      <c r="BI56" s="137"/>
      <c r="BJ56" s="137"/>
      <c r="BK56" s="137"/>
      <c r="BL56" s="137"/>
      <c r="BN56" s="115">
        <f>SUMIFS(Saldos!$F:$F,Saldos!$B:$B,'EEFF 2026 Proyectado'!BN$2,Saldos!$C:$C,'EEFF 2026 Proyectado'!$B$1)</f>
        <v>0</v>
      </c>
      <c r="BO56" s="137"/>
      <c r="BP56" s="137"/>
      <c r="BQ56" s="137"/>
      <c r="BR56" s="137"/>
      <c r="BS56" s="137"/>
      <c r="BU56" s="115">
        <f>SUMIFS(Saldos!$F:$F,Saldos!$B:$B,'EEFF 2026 Proyectado'!BU$2,Saldos!$C:$C,'EEFF 2026 Proyectado'!$B$1)</f>
        <v>0</v>
      </c>
      <c r="BV56" s="137"/>
      <c r="BW56" s="137"/>
      <c r="BX56" s="137"/>
      <c r="BY56" s="137"/>
      <c r="BZ56" s="137"/>
      <c r="CB56" s="115">
        <f>SUMIFS(Saldos!$F:$F,Saldos!$B:$B,'EEFF 2026 Proyectado'!CB$2,Saldos!$C:$C,'EEFF 2026 Proyectado'!$B$1)</f>
        <v>0</v>
      </c>
      <c r="CC56" s="137"/>
      <c r="CD56" s="137"/>
      <c r="CE56" s="137"/>
      <c r="CF56" s="137"/>
      <c r="CG56" s="137"/>
      <c r="CI56" s="115">
        <f>SUMIFS(Saldos!$F:$F,Saldos!$B:$B,'EEFF 2026 Proyectado'!CI$2,Saldos!$C:$C,'EEFF 2026 Proyectado'!$B$1)</f>
        <v>0</v>
      </c>
      <c r="CJ56" s="137"/>
      <c r="CK56" s="137"/>
      <c r="CL56" s="137"/>
      <c r="CM56" s="137"/>
      <c r="CN56" s="137"/>
      <c r="CP56" s="137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</row>
    <row r="57" spans="2:107" x14ac:dyDescent="0.2">
      <c r="C57" s="256" t="s">
        <v>59</v>
      </c>
      <c r="D57" s="136"/>
      <c r="E57" s="136"/>
      <c r="F57" s="136"/>
      <c r="G57" s="137"/>
      <c r="H57" s="137"/>
      <c r="I57" s="137"/>
      <c r="J57" s="116">
        <f>SUMIFS(Saldos!$G:$G,Saldos!$B:$B,'EEFF 2026 Proyectado'!J$2,Saldos!$C:$C,'EEFF 2026 Proyectado'!$B$1)</f>
        <v>14088854.789999999</v>
      </c>
      <c r="K57" s="138"/>
      <c r="L57" s="138"/>
      <c r="M57" s="138"/>
      <c r="N57" s="137"/>
      <c r="O57" s="137"/>
      <c r="P57" s="115"/>
      <c r="Q57" s="116">
        <f>SUMIFS(Saldos!$G:$G,Saldos!$B:$B,'EEFF 2026 Proyectado'!Q$2,Saldos!$C:$C,'EEFF 2026 Proyectado'!$B$1)</f>
        <v>14088854.789999999</v>
      </c>
      <c r="R57" s="137"/>
      <c r="S57" s="137"/>
      <c r="T57" s="137"/>
      <c r="U57" s="137"/>
      <c r="V57" s="137"/>
      <c r="X57" s="116">
        <f>SUMIFS(Saldos!$G:$G,Saldos!$B:$B,'EEFF 2026 Proyectado'!X$2,Saldos!$C:$C,'EEFF 2026 Proyectado'!$B$1)</f>
        <v>0</v>
      </c>
      <c r="Y57" s="137"/>
      <c r="Z57" s="137"/>
      <c r="AA57" s="137"/>
      <c r="AB57" s="137"/>
      <c r="AC57" s="137"/>
      <c r="AE57" s="116">
        <f>SUMIFS(Saldos!$G:$G,Saldos!$B:$B,'EEFF 2026 Proyectado'!AE$2,Saldos!$C:$C,'EEFF 2026 Proyectado'!$B$1)</f>
        <v>0</v>
      </c>
      <c r="AF57" s="137"/>
      <c r="AG57" s="137"/>
      <c r="AH57" s="137"/>
      <c r="AI57" s="137"/>
      <c r="AJ57" s="137"/>
      <c r="AL57" s="116">
        <f>SUMIFS(Saldos!$G:$G,Saldos!$B:$B,'EEFF 2026 Proyectado'!AL$2,Saldos!$C:$C,'EEFF 2026 Proyectado'!$B$1)</f>
        <v>0</v>
      </c>
      <c r="AM57" s="137"/>
      <c r="AN57" s="137"/>
      <c r="AO57" s="137"/>
      <c r="AP57" s="137"/>
      <c r="AQ57" s="137"/>
      <c r="AS57" s="116">
        <f>SUMIFS(Saldos!$G:$G,Saldos!$B:$B,'EEFF 2026 Proyectado'!AS$2,Saldos!$C:$C,'EEFF 2026 Proyectado'!$B$1)</f>
        <v>0</v>
      </c>
      <c r="AT57" s="137"/>
      <c r="AU57" s="137"/>
      <c r="AV57" s="137"/>
      <c r="AW57" s="137"/>
      <c r="AX57" s="137"/>
      <c r="AZ57" s="116">
        <f>SUMIFS(Saldos!$G:$G,Saldos!$B:$B,'EEFF 2026 Proyectado'!AZ$2,Saldos!$C:$C,'EEFF 2026 Proyectado'!$B$1)</f>
        <v>0</v>
      </c>
      <c r="BA57" s="137"/>
      <c r="BB57" s="137"/>
      <c r="BC57" s="137"/>
      <c r="BD57" s="137"/>
      <c r="BE57" s="137"/>
      <c r="BG57" s="116">
        <f>SUMIFS(Saldos!$G:$G,Saldos!$B:$B,'EEFF 2026 Proyectado'!BG$2,Saldos!$C:$C,'EEFF 2026 Proyectado'!$B$1)</f>
        <v>0</v>
      </c>
      <c r="BH57" s="137"/>
      <c r="BI57" s="137"/>
      <c r="BJ57" s="137"/>
      <c r="BK57" s="137"/>
      <c r="BL57" s="137"/>
      <c r="BN57" s="116">
        <f>SUMIFS(Saldos!$G:$G,Saldos!$B:$B,'EEFF 2026 Proyectado'!BN$2,Saldos!$C:$C,'EEFF 2026 Proyectado'!$B$1)</f>
        <v>0</v>
      </c>
      <c r="BO57" s="137"/>
      <c r="BP57" s="137"/>
      <c r="BQ57" s="137"/>
      <c r="BR57" s="137"/>
      <c r="BS57" s="137"/>
      <c r="BU57" s="116">
        <f>SUMIFS(Saldos!$G:$G,Saldos!$B:$B,'EEFF 2026 Proyectado'!BU$2,Saldos!$C:$C,'EEFF 2026 Proyectado'!$B$1)</f>
        <v>0</v>
      </c>
      <c r="BV57" s="137"/>
      <c r="BW57" s="137"/>
      <c r="BX57" s="137"/>
      <c r="BY57" s="137"/>
      <c r="BZ57" s="137"/>
      <c r="CB57" s="116">
        <f>SUMIFS(Saldos!$G:$G,Saldos!$B:$B,'EEFF 2026 Proyectado'!CB$2,Saldos!$C:$C,'EEFF 2026 Proyectado'!$B$1)</f>
        <v>0</v>
      </c>
      <c r="CC57" s="137"/>
      <c r="CD57" s="137"/>
      <c r="CE57" s="137"/>
      <c r="CF57" s="137"/>
      <c r="CG57" s="137"/>
      <c r="CI57" s="116">
        <f>SUMIFS(Saldos!$G:$G,Saldos!$B:$B,'EEFF 2026 Proyectado'!CI$2,Saldos!$C:$C,'EEFF 2026 Proyectado'!$B$1)</f>
        <v>0</v>
      </c>
      <c r="CJ57" s="137"/>
      <c r="CK57" s="137"/>
      <c r="CL57" s="137"/>
      <c r="CM57" s="137"/>
      <c r="CN57" s="137"/>
      <c r="CP57" s="137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</row>
    <row r="58" spans="2:107" x14ac:dyDescent="0.2">
      <c r="C58" s="204" t="s">
        <v>516</v>
      </c>
      <c r="D58" s="136"/>
      <c r="E58" s="136"/>
      <c r="F58" s="136"/>
      <c r="G58" s="137"/>
      <c r="H58" s="137"/>
      <c r="I58" s="137"/>
      <c r="J58" s="116">
        <f>SUMIFS(Saldos!$H:$H,Saldos!$B:$B,'EEFF 2026 Proyectado'!J$2,Saldos!$C:$C,'EEFF 2026 Proyectado'!$B$1)</f>
        <v>15321943.109999999</v>
      </c>
      <c r="K58" s="138"/>
      <c r="L58" s="138"/>
      <c r="M58" s="138"/>
      <c r="N58" s="137"/>
      <c r="O58" s="137"/>
      <c r="P58" s="115"/>
      <c r="Q58" s="115">
        <f>SUMIFS(Saldos!$H:$H,Saldos!$B:$B,'EEFF 2026 Proyectado'!Q$2,Saldos!$C:$C,'EEFF 2026 Proyectado'!$B$1)</f>
        <v>16321943.109999999</v>
      </c>
      <c r="R58" s="137"/>
      <c r="S58" s="137"/>
      <c r="T58" s="137"/>
      <c r="U58" s="137"/>
      <c r="V58" s="137"/>
      <c r="X58" s="115">
        <f>SUMIFS(Saldos!$H:$H,Saldos!$B:$B,'EEFF 2026 Proyectado'!X$2,Saldos!$C:$C,'EEFF 2026 Proyectado'!$B$1)</f>
        <v>0</v>
      </c>
      <c r="Y58" s="137"/>
      <c r="Z58" s="137"/>
      <c r="AA58" s="137"/>
      <c r="AB58" s="137"/>
      <c r="AC58" s="137"/>
      <c r="AE58" s="115">
        <f>SUMIFS(Saldos!$H:$H,Saldos!$B:$B,'EEFF 2026 Proyectado'!AE$2,Saldos!$C:$C,'EEFF 2026 Proyectado'!$B$1)</f>
        <v>0</v>
      </c>
      <c r="AF58" s="137"/>
      <c r="AG58" s="137"/>
      <c r="AH58" s="137"/>
      <c r="AI58" s="137"/>
      <c r="AJ58" s="137"/>
      <c r="AL58" s="115">
        <f>SUMIFS(Saldos!$H:$H,Saldos!$B:$B,'EEFF 2026 Proyectado'!AL$2,Saldos!$C:$C,'EEFF 2026 Proyectado'!$B$1)</f>
        <v>0</v>
      </c>
      <c r="AM58" s="137"/>
      <c r="AN58" s="137"/>
      <c r="AO58" s="137"/>
      <c r="AP58" s="137"/>
      <c r="AQ58" s="137"/>
      <c r="AS58" s="115">
        <f>SUMIFS(Saldos!$H:$H,Saldos!$B:$B,'EEFF 2026 Proyectado'!AS$2,Saldos!$C:$C,'EEFF 2026 Proyectado'!$B$1)</f>
        <v>0</v>
      </c>
      <c r="AT58" s="137"/>
      <c r="AU58" s="137"/>
      <c r="AV58" s="137"/>
      <c r="AW58" s="137"/>
      <c r="AX58" s="137"/>
      <c r="AZ58" s="115">
        <f>SUMIFS(Saldos!$H:$H,Saldos!$B:$B,'EEFF 2026 Proyectado'!AZ$2,Saldos!$C:$C,'EEFF 2026 Proyectado'!$B$1)</f>
        <v>0</v>
      </c>
      <c r="BA58" s="137"/>
      <c r="BB58" s="137"/>
      <c r="BC58" s="137"/>
      <c r="BD58" s="137"/>
      <c r="BE58" s="137"/>
      <c r="BG58" s="115">
        <f>SUMIFS(Saldos!$H:$H,Saldos!$B:$B,'EEFF 2026 Proyectado'!BG$2,Saldos!$C:$C,'EEFF 2026 Proyectado'!$B$1)</f>
        <v>0</v>
      </c>
      <c r="BH58" s="137"/>
      <c r="BI58" s="137"/>
      <c r="BJ58" s="137"/>
      <c r="BK58" s="137"/>
      <c r="BL58" s="137"/>
      <c r="BN58" s="115">
        <f>SUMIFS(Saldos!$H:$H,Saldos!$B:$B,'EEFF 2026 Proyectado'!BN$2,Saldos!$C:$C,'EEFF 2026 Proyectado'!$B$1)</f>
        <v>0</v>
      </c>
      <c r="BO58" s="137"/>
      <c r="BP58" s="137"/>
      <c r="BQ58" s="137"/>
      <c r="BR58" s="137"/>
      <c r="BS58" s="137"/>
      <c r="BU58" s="115">
        <f>SUMIFS(Saldos!$H:$H,Saldos!$B:$B,'EEFF 2026 Proyectado'!BU$2,Saldos!$C:$C,'EEFF 2026 Proyectado'!$B$1)</f>
        <v>0</v>
      </c>
      <c r="BV58" s="137"/>
      <c r="BW58" s="137"/>
      <c r="BX58" s="137"/>
      <c r="BY58" s="137"/>
      <c r="BZ58" s="137"/>
      <c r="CB58" s="115">
        <f>SUMIFS(Saldos!$H:$H,Saldos!$B:$B,'EEFF 2026 Proyectado'!CB$2,Saldos!$C:$C,'EEFF 2026 Proyectado'!$B$1)</f>
        <v>0</v>
      </c>
      <c r="CC58" s="137"/>
      <c r="CD58" s="137"/>
      <c r="CE58" s="137"/>
      <c r="CF58" s="137"/>
      <c r="CG58" s="137"/>
      <c r="CI58" s="115">
        <f>SUMIFS(Saldos!$H:$H,Saldos!$B:$B,'EEFF 2026 Proyectado'!CI$2,Saldos!$C:$C,'EEFF 2026 Proyectado'!$B$1)</f>
        <v>0</v>
      </c>
      <c r="CJ58" s="137"/>
      <c r="CK58" s="137"/>
      <c r="CL58" s="137"/>
      <c r="CM58" s="137"/>
      <c r="CN58" s="137"/>
      <c r="CP58" s="137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</row>
    <row r="59" spans="2:107" x14ac:dyDescent="0.2">
      <c r="C59" s="204" t="s">
        <v>126</v>
      </c>
      <c r="D59" s="136"/>
      <c r="E59" s="136"/>
      <c r="F59" s="136"/>
      <c r="G59" s="137"/>
      <c r="H59" s="137"/>
      <c r="I59" s="137"/>
      <c r="J59" s="116">
        <f>SUMIFS(Saldos!$I:$I,Saldos!$B:$B,'EEFF 2026 Proyectado'!J$2,Saldos!$C:$C,'EEFF 2026 Proyectado'!$B$1)</f>
        <v>0</v>
      </c>
      <c r="K59" s="138"/>
      <c r="L59" s="138"/>
      <c r="M59" s="138"/>
      <c r="N59" s="137"/>
      <c r="O59" s="137"/>
      <c r="P59" s="115"/>
      <c r="Q59" s="115">
        <f>SUMIFS(Saldos!$I:$I,Saldos!$B:$B,'EEFF 2026 Proyectado'!Q$2,Saldos!$C:$C,'EEFF 2026 Proyectado'!$B$1)</f>
        <v>0</v>
      </c>
      <c r="R59" s="115">
        <f>SUMIFS(Saldos!$I:$I,Saldos!$B:$B,'EEFF 2026 Proyectado'!R$2,Saldos!$C:$C,'EEFF 2026 Proyectado'!$B$1)</f>
        <v>0</v>
      </c>
      <c r="S59" s="115">
        <f>SUMIFS(Saldos!$I:$I,Saldos!$B:$B,'EEFF 2026 Proyectado'!S$2,Saldos!$C:$C,'EEFF 2026 Proyectado'!$B$1)</f>
        <v>0</v>
      </c>
      <c r="T59" s="115">
        <f>SUMIFS(Saldos!$I:$I,Saldos!$B:$B,'EEFF 2026 Proyectado'!T$2,Saldos!$C:$C,'EEFF 2026 Proyectado'!$B$1)</f>
        <v>0</v>
      </c>
      <c r="U59" s="115">
        <f>SUMIFS(Saldos!$I:$I,Saldos!$B:$B,'EEFF 2026 Proyectado'!U$2,Saldos!$C:$C,'EEFF 2026 Proyectado'!$B$1)</f>
        <v>0</v>
      </c>
      <c r="V59" s="115">
        <f>SUMIFS(Saldos!$I:$I,Saldos!$B:$B,'EEFF 2026 Proyectado'!V$2,Saldos!$C:$C,'EEFF 2026 Proyectado'!$B$1)</f>
        <v>0</v>
      </c>
      <c r="W59" s="115">
        <f>SUMIFS(Saldos!$I:$I,Saldos!$B:$B,'EEFF 2026 Proyectado'!W$2,Saldos!$C:$C,'EEFF 2026 Proyectado'!$B$1)</f>
        <v>0</v>
      </c>
      <c r="X59" s="115">
        <f>SUMIFS(Saldos!$I:$I,Saldos!$B:$B,'EEFF 2026 Proyectado'!X$2,Saldos!$C:$C,'EEFF 2026 Proyectado'!$B$1)</f>
        <v>0</v>
      </c>
      <c r="Y59" s="137"/>
      <c r="Z59" s="137"/>
      <c r="AA59" s="137"/>
      <c r="AB59" s="137"/>
      <c r="AC59" s="137"/>
      <c r="AE59" s="115">
        <f>SUMIFS(Saldos!$I:$I,Saldos!$B:$B,'EEFF 2026 Proyectado'!AE$2,Saldos!$C:$C,'EEFF 2026 Proyectado'!$B$1)</f>
        <v>0</v>
      </c>
      <c r="AF59" s="137"/>
      <c r="AG59" s="137"/>
      <c r="AH59" s="137"/>
      <c r="AI59" s="137"/>
      <c r="AJ59" s="137"/>
      <c r="AL59" s="115">
        <f>SUMIFS(Saldos!$I:$I,Saldos!$B:$B,'EEFF 2026 Proyectado'!AL$2,Saldos!$C:$C,'EEFF 2026 Proyectado'!$B$1)</f>
        <v>0</v>
      </c>
      <c r="AM59" s="137"/>
      <c r="AN59" s="137"/>
      <c r="AO59" s="137"/>
      <c r="AP59" s="137"/>
      <c r="AQ59" s="137"/>
      <c r="AS59" s="115">
        <f>SUMIFS(Saldos!$I:$I,Saldos!$B:$B,'EEFF 2026 Proyectado'!AS$2,Saldos!$C:$C,'EEFF 2026 Proyectado'!$B$1)</f>
        <v>0</v>
      </c>
      <c r="AT59" s="137"/>
      <c r="AU59" s="137"/>
      <c r="AV59" s="137"/>
      <c r="AW59" s="137"/>
      <c r="AX59" s="137"/>
      <c r="AZ59" s="115">
        <f>SUMIFS(Saldos!$I:$I,Saldos!$B:$B,'EEFF 2026 Proyectado'!AZ$2,Saldos!$C:$C,'EEFF 2026 Proyectado'!$B$1)</f>
        <v>0</v>
      </c>
      <c r="BA59" s="137"/>
      <c r="BB59" s="137"/>
      <c r="BC59" s="137"/>
      <c r="BD59" s="137"/>
      <c r="BE59" s="137"/>
      <c r="BG59" s="115">
        <f>SUMIFS(Saldos!$I:$I,Saldos!$B:$B,'EEFF 2026 Proyectado'!BG$2,Saldos!$C:$C,'EEFF 2026 Proyectado'!$B$1)</f>
        <v>0</v>
      </c>
      <c r="BH59" s="137"/>
      <c r="BI59" s="137"/>
      <c r="BJ59" s="137"/>
      <c r="BK59" s="137"/>
      <c r="BL59" s="137"/>
      <c r="BN59" s="115">
        <f>SUMIFS(Saldos!$I:$I,Saldos!$B:$B,'EEFF 2026 Proyectado'!BN$2,Saldos!$C:$C,'EEFF 2026 Proyectado'!$B$1)</f>
        <v>0</v>
      </c>
      <c r="BO59" s="137"/>
      <c r="BP59" s="137"/>
      <c r="BQ59" s="137"/>
      <c r="BR59" s="137"/>
      <c r="BS59" s="137"/>
      <c r="BU59" s="115">
        <f>SUMIFS(Saldos!$I:$I,Saldos!$B:$B,'EEFF 2026 Proyectado'!BU$2,Saldos!$C:$C,'EEFF 2026 Proyectado'!$B$1)</f>
        <v>0</v>
      </c>
      <c r="BV59" s="137"/>
      <c r="BW59" s="137"/>
      <c r="BX59" s="137"/>
      <c r="BY59" s="137"/>
      <c r="BZ59" s="137"/>
      <c r="CB59" s="115">
        <f>SUMIFS(Saldos!$I:$I,Saldos!$B:$B,'EEFF 2026 Proyectado'!CB$2,Saldos!$C:$C,'EEFF 2026 Proyectado'!$B$1)</f>
        <v>0</v>
      </c>
      <c r="CC59" s="137"/>
      <c r="CD59" s="137"/>
      <c r="CE59" s="137"/>
      <c r="CF59" s="137"/>
      <c r="CG59" s="137"/>
      <c r="CI59" s="115">
        <f>SUMIFS(Saldos!$I:$I,Saldos!$B:$B,'EEFF 2026 Proyectado'!CI$2,Saldos!$C:$C,'EEFF 2026 Proyectado'!$B$1)</f>
        <v>0</v>
      </c>
      <c r="CJ59" s="137"/>
      <c r="CK59" s="137"/>
      <c r="CL59" s="137"/>
      <c r="CM59" s="137"/>
      <c r="CN59" s="137"/>
      <c r="CP59" s="137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</row>
    <row r="60" spans="2:107" x14ac:dyDescent="0.2">
      <c r="B60" s="105" t="s">
        <v>405</v>
      </c>
      <c r="D60" s="136"/>
      <c r="E60" s="136"/>
      <c r="F60" s="136"/>
      <c r="G60" s="133"/>
      <c r="H60" s="133"/>
      <c r="I60" s="133"/>
      <c r="K60" s="138"/>
      <c r="L60" s="138"/>
      <c r="M60" s="138"/>
      <c r="N60" s="133"/>
      <c r="O60" s="133"/>
      <c r="P60" s="115"/>
      <c r="R60" s="133"/>
      <c r="S60" s="133"/>
      <c r="T60" s="133"/>
      <c r="U60" s="133"/>
      <c r="V60" s="133"/>
      <c r="Y60" s="133"/>
      <c r="Z60" s="133"/>
      <c r="AA60" s="133"/>
      <c r="AB60" s="133"/>
      <c r="AC60" s="133"/>
      <c r="AF60" s="133"/>
      <c r="AG60" s="133"/>
      <c r="AH60" s="133"/>
      <c r="AI60" s="133"/>
      <c r="AJ60" s="133"/>
      <c r="AM60" s="133"/>
      <c r="AN60" s="133"/>
      <c r="AO60" s="133"/>
      <c r="AP60" s="133"/>
      <c r="AQ60" s="133"/>
      <c r="AT60" s="133"/>
      <c r="AU60" s="133"/>
      <c r="AV60" s="133"/>
      <c r="AW60" s="133"/>
      <c r="AX60" s="133"/>
      <c r="BA60" s="133"/>
      <c r="BB60" s="133"/>
      <c r="BC60" s="133"/>
      <c r="BD60" s="133"/>
      <c r="BE60" s="133"/>
      <c r="BH60" s="133"/>
      <c r="BI60" s="133"/>
      <c r="BJ60" s="133"/>
      <c r="BK60" s="133"/>
      <c r="BL60" s="133"/>
      <c r="BO60" s="133"/>
      <c r="BP60" s="133"/>
      <c r="BQ60" s="133"/>
      <c r="BR60" s="133"/>
      <c r="BS60" s="133"/>
      <c r="BV60" s="133"/>
      <c r="BW60" s="133"/>
      <c r="BX60" s="133"/>
      <c r="BY60" s="133"/>
      <c r="BZ60" s="133"/>
      <c r="CC60" s="133"/>
      <c r="CD60" s="133"/>
      <c r="CE60" s="133"/>
      <c r="CF60" s="133"/>
      <c r="CG60" s="133"/>
      <c r="CJ60" s="133"/>
      <c r="CK60" s="133"/>
      <c r="CL60" s="133"/>
      <c r="CM60" s="133"/>
      <c r="CN60" s="133"/>
      <c r="CR60" s="139">
        <f>J60/J$66</f>
        <v>0</v>
      </c>
      <c r="CS60" s="139">
        <f>Q60/Q$66</f>
        <v>0</v>
      </c>
      <c r="CT60" s="139">
        <f>X60/X$66</f>
        <v>0</v>
      </c>
      <c r="CU60" s="139">
        <f>AE60/AE$66</f>
        <v>0</v>
      </c>
      <c r="CV60" s="139">
        <f>AL60/AL$66</f>
        <v>0</v>
      </c>
      <c r="CW60" s="139">
        <f>AS60/AS$66</f>
        <v>0</v>
      </c>
      <c r="CX60" s="139">
        <f>AZ60/AZ$66</f>
        <v>0</v>
      </c>
      <c r="CY60" s="139">
        <f>BG60/BG$66</f>
        <v>0</v>
      </c>
      <c r="CZ60" s="139">
        <f>BN60/BN$66</f>
        <v>0</v>
      </c>
      <c r="DA60" s="139">
        <f>BU60/BU$66</f>
        <v>0</v>
      </c>
      <c r="DB60" s="139">
        <f>CB60/CB$66</f>
        <v>0</v>
      </c>
      <c r="DC60" s="139">
        <f>CI60/CI$66</f>
        <v>0</v>
      </c>
    </row>
    <row r="61" spans="2:107" x14ac:dyDescent="0.2">
      <c r="B61" s="105" t="s">
        <v>406</v>
      </c>
      <c r="D61" s="136"/>
      <c r="E61" s="136"/>
      <c r="F61" s="136"/>
      <c r="G61" s="133"/>
      <c r="H61" s="133"/>
      <c r="I61" s="133"/>
      <c r="K61" s="138"/>
      <c r="L61" s="138"/>
      <c r="M61" s="138"/>
      <c r="N61" s="133"/>
      <c r="O61" s="133"/>
      <c r="P61" s="115"/>
      <c r="R61" s="133"/>
      <c r="S61" s="133"/>
      <c r="T61" s="133"/>
      <c r="U61" s="133"/>
      <c r="V61" s="133"/>
      <c r="Y61" s="133"/>
      <c r="Z61" s="133"/>
      <c r="AA61" s="133"/>
      <c r="AB61" s="133"/>
      <c r="AC61" s="133"/>
      <c r="AF61" s="133"/>
      <c r="AG61" s="133"/>
      <c r="AH61" s="133"/>
      <c r="AI61" s="133"/>
      <c r="AJ61" s="133"/>
      <c r="AM61" s="133"/>
      <c r="AN61" s="133"/>
      <c r="AO61" s="133"/>
      <c r="AP61" s="133"/>
      <c r="AQ61" s="133"/>
      <c r="AT61" s="133"/>
      <c r="AU61" s="133"/>
      <c r="AV61" s="133"/>
      <c r="AW61" s="133"/>
      <c r="AX61" s="133"/>
      <c r="BA61" s="133"/>
      <c r="BB61" s="133"/>
      <c r="BC61" s="133"/>
      <c r="BD61" s="133"/>
      <c r="BE61" s="133"/>
      <c r="BH61" s="133"/>
      <c r="BI61" s="133"/>
      <c r="BJ61" s="133"/>
      <c r="BK61" s="133"/>
      <c r="BL61" s="133"/>
      <c r="BO61" s="133"/>
      <c r="BP61" s="133"/>
      <c r="BQ61" s="133"/>
      <c r="BR61" s="133"/>
      <c r="BS61" s="133"/>
      <c r="BV61" s="133"/>
      <c r="BW61" s="133"/>
      <c r="BX61" s="133"/>
      <c r="BY61" s="133"/>
      <c r="BZ61" s="133"/>
      <c r="CC61" s="133"/>
      <c r="CD61" s="133"/>
      <c r="CE61" s="133"/>
      <c r="CF61" s="133"/>
      <c r="CG61" s="133"/>
      <c r="CJ61" s="133"/>
      <c r="CK61" s="133"/>
      <c r="CL61" s="133"/>
      <c r="CM61" s="133"/>
      <c r="CN61" s="133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</row>
    <row r="62" spans="2:107" ht="16" x14ac:dyDescent="0.2">
      <c r="B62" s="105" t="s">
        <v>407</v>
      </c>
      <c r="D62" s="136"/>
      <c r="E62" s="136"/>
      <c r="F62" s="136"/>
      <c r="G62" s="140"/>
      <c r="H62" s="140"/>
      <c r="I62" s="140"/>
      <c r="K62" s="138"/>
      <c r="L62" s="138"/>
      <c r="M62" s="138"/>
      <c r="N62" s="140"/>
      <c r="O62" s="140"/>
      <c r="P62" s="120"/>
      <c r="R62" s="140"/>
      <c r="S62" s="140"/>
      <c r="T62" s="140"/>
      <c r="U62" s="140"/>
      <c r="V62" s="140"/>
      <c r="Y62" s="140"/>
      <c r="Z62" s="140"/>
      <c r="AA62" s="140"/>
      <c r="AB62" s="140"/>
      <c r="AC62" s="140"/>
      <c r="AF62" s="140"/>
      <c r="AG62" s="140"/>
      <c r="AH62" s="140"/>
      <c r="AI62" s="140"/>
      <c r="AJ62" s="140"/>
      <c r="AM62" s="140"/>
      <c r="AN62" s="140"/>
      <c r="AO62" s="140"/>
      <c r="AP62" s="140"/>
      <c r="AQ62" s="140"/>
      <c r="AT62" s="140"/>
      <c r="AU62" s="140"/>
      <c r="AV62" s="140"/>
      <c r="AW62" s="140"/>
      <c r="AX62" s="140"/>
      <c r="BA62" s="140"/>
      <c r="BB62" s="140"/>
      <c r="BC62" s="140"/>
      <c r="BD62" s="140"/>
      <c r="BE62" s="140"/>
      <c r="BH62" s="140"/>
      <c r="BI62" s="140"/>
      <c r="BJ62" s="140"/>
      <c r="BK62" s="140"/>
      <c r="BL62" s="140"/>
      <c r="BO62" s="140"/>
      <c r="BP62" s="140"/>
      <c r="BQ62" s="140"/>
      <c r="BR62" s="140"/>
      <c r="BS62" s="140"/>
      <c r="BV62" s="140"/>
      <c r="BW62" s="140"/>
      <c r="BX62" s="140"/>
      <c r="BY62" s="140"/>
      <c r="BZ62" s="140"/>
      <c r="CC62" s="140"/>
      <c r="CD62" s="140"/>
      <c r="CE62" s="140"/>
      <c r="CF62" s="140"/>
      <c r="CG62" s="140"/>
      <c r="CJ62" s="140"/>
      <c r="CK62" s="140"/>
      <c r="CL62" s="140"/>
      <c r="CM62" s="140"/>
      <c r="CN62" s="140"/>
      <c r="CR62" s="139">
        <f>J62/J$66</f>
        <v>0</v>
      </c>
      <c r="CS62" s="139">
        <f>Q62/Q$66</f>
        <v>0</v>
      </c>
      <c r="CT62" s="139">
        <f>X62/X$66</f>
        <v>0</v>
      </c>
      <c r="CU62" s="139">
        <f>AE62/AE$66</f>
        <v>0</v>
      </c>
      <c r="CV62" s="139">
        <f>AL62/AL$66</f>
        <v>0</v>
      </c>
      <c r="CW62" s="139">
        <f>AS62/AS$66</f>
        <v>0</v>
      </c>
      <c r="CX62" s="139">
        <f>AZ62/AZ$66</f>
        <v>0</v>
      </c>
      <c r="CY62" s="139">
        <f>BG62/BG$66</f>
        <v>0</v>
      </c>
      <c r="CZ62" s="139">
        <f>BN62/BN$66</f>
        <v>0</v>
      </c>
      <c r="DA62" s="139">
        <f t="shared" ref="DA62:DA82" si="17">BU62/BU$66</f>
        <v>0</v>
      </c>
      <c r="DB62" s="139">
        <f t="shared" ref="DB62:DB82" si="18">CB62/CB$66</f>
        <v>0</v>
      </c>
      <c r="DC62" s="139">
        <f t="shared" ref="DC62:DC82" si="19">CI62/CI$66</f>
        <v>0</v>
      </c>
    </row>
    <row r="63" spans="2:107" ht="16" x14ac:dyDescent="0.2">
      <c r="B63" s="141" t="s">
        <v>408</v>
      </c>
      <c r="C63" s="207"/>
      <c r="D63" s="142"/>
      <c r="E63" s="142"/>
      <c r="F63" s="142"/>
      <c r="G63" s="142"/>
      <c r="H63" s="142"/>
      <c r="I63" s="142"/>
      <c r="J63" s="143">
        <f>SUM(J60:J62)+J52</f>
        <v>70384786.280000001</v>
      </c>
      <c r="K63" s="142"/>
      <c r="L63" s="142"/>
      <c r="M63" s="142"/>
      <c r="N63" s="142"/>
      <c r="O63" s="142"/>
      <c r="P63" s="142"/>
      <c r="Q63" s="142">
        <f>SUM(Q60:Q62)+Q52</f>
        <v>61371886.280000001</v>
      </c>
      <c r="R63" s="142"/>
      <c r="S63" s="142"/>
      <c r="T63" s="142"/>
      <c r="U63" s="142"/>
      <c r="V63" s="142"/>
      <c r="W63" s="142"/>
      <c r="X63" s="142">
        <f>SUM(X60:X62)+X52</f>
        <v>0</v>
      </c>
      <c r="Y63" s="142"/>
      <c r="Z63" s="142"/>
      <c r="AA63" s="142"/>
      <c r="AB63" s="142"/>
      <c r="AC63" s="142"/>
      <c r="AD63" s="142"/>
      <c r="AE63" s="142">
        <f>SUM(AE60:AE62)+AE52</f>
        <v>0</v>
      </c>
      <c r="AF63" s="142"/>
      <c r="AG63" s="142"/>
      <c r="AH63" s="142"/>
      <c r="AI63" s="142"/>
      <c r="AJ63" s="142"/>
      <c r="AK63" s="142"/>
      <c r="AL63" s="142">
        <f>SUM(AL60:AL62)+AL52</f>
        <v>0</v>
      </c>
      <c r="AM63" s="142"/>
      <c r="AN63" s="142"/>
      <c r="AO63" s="142"/>
      <c r="AP63" s="142"/>
      <c r="AQ63" s="142"/>
      <c r="AR63" s="142"/>
      <c r="AS63" s="142">
        <f>SUM(AS60:AS62)+AS52</f>
        <v>0</v>
      </c>
      <c r="AT63" s="142"/>
      <c r="AU63" s="142"/>
      <c r="AV63" s="142"/>
      <c r="AW63" s="142"/>
      <c r="AX63" s="142"/>
      <c r="AY63" s="142"/>
      <c r="AZ63" s="142">
        <f>SUM(AZ60:AZ62)+AZ52</f>
        <v>0</v>
      </c>
      <c r="BA63" s="142"/>
      <c r="BB63" s="142"/>
      <c r="BC63" s="142"/>
      <c r="BD63" s="142"/>
      <c r="BE63" s="142"/>
      <c r="BF63" s="142"/>
      <c r="BG63" s="142">
        <f>SUM(BG60:BG62)+BG52</f>
        <v>0</v>
      </c>
      <c r="BH63" s="142"/>
      <c r="BI63" s="142"/>
      <c r="BJ63" s="142"/>
      <c r="BK63" s="142"/>
      <c r="BL63" s="142"/>
      <c r="BM63" s="142"/>
      <c r="BN63" s="142">
        <f>SUM(BN60:BN62)+BN52</f>
        <v>0</v>
      </c>
      <c r="BO63" s="142"/>
      <c r="BP63" s="142"/>
      <c r="BQ63" s="142"/>
      <c r="BR63" s="142"/>
      <c r="BS63" s="142"/>
      <c r="BT63" s="142"/>
      <c r="BU63" s="142">
        <f>SUM(BU60:BU62)+BU52</f>
        <v>0</v>
      </c>
      <c r="BV63" s="142"/>
      <c r="BW63" s="142"/>
      <c r="BX63" s="142"/>
      <c r="BY63" s="142"/>
      <c r="BZ63" s="142"/>
      <c r="CA63" s="142"/>
      <c r="CB63" s="142">
        <f>SUM(CB60:CB62)+CB52</f>
        <v>0</v>
      </c>
      <c r="CC63" s="142"/>
      <c r="CD63" s="142"/>
      <c r="CE63" s="142"/>
      <c r="CF63" s="142"/>
      <c r="CG63" s="142"/>
      <c r="CH63" s="142"/>
      <c r="CI63" s="142">
        <f>SUM(CI60:CI62)+CI52</f>
        <v>0</v>
      </c>
      <c r="CJ63" s="142"/>
      <c r="CK63" s="142"/>
      <c r="CL63" s="142"/>
      <c r="CM63" s="142"/>
      <c r="CN63" s="142"/>
      <c r="CO63" s="142"/>
      <c r="CP63" s="142"/>
      <c r="CR63" s="145">
        <f t="shared" ref="CR63:CR82" si="20">J63/J$66</f>
        <v>3.5981776393052223E-2</v>
      </c>
      <c r="CS63" s="145">
        <f t="shared" ref="CS63:CS82" si="21">Q63/Q$66</f>
        <v>3.1519471402561693E-2</v>
      </c>
      <c r="CT63" s="145">
        <f t="shared" ref="CT63:CT82" si="22">X63/X$66</f>
        <v>0</v>
      </c>
      <c r="CU63" s="145">
        <f t="shared" ref="CU63:CU82" si="23">AE63/AE$66</f>
        <v>0</v>
      </c>
      <c r="CV63" s="145">
        <f t="shared" ref="CV63:CV82" si="24">AL63/AL$66</f>
        <v>0</v>
      </c>
      <c r="CW63" s="145">
        <f t="shared" ref="CW63:CW82" si="25">AS63/AS$66</f>
        <v>0</v>
      </c>
      <c r="CX63" s="145">
        <f t="shared" ref="CX63:CX82" si="26">AZ63/AZ$66</f>
        <v>0</v>
      </c>
      <c r="CY63" s="145">
        <f t="shared" ref="CY63:CY82" si="27">BG63/BG$66</f>
        <v>0</v>
      </c>
      <c r="CZ63" s="145">
        <f t="shared" ref="CZ63:CZ82" si="28">BN63/BN$66</f>
        <v>0</v>
      </c>
      <c r="DA63" s="145">
        <f t="shared" si="17"/>
        <v>0</v>
      </c>
      <c r="DB63" s="145">
        <f t="shared" si="18"/>
        <v>0</v>
      </c>
      <c r="DC63" s="145">
        <f t="shared" si="19"/>
        <v>0</v>
      </c>
    </row>
    <row r="64" spans="2:107" x14ac:dyDescent="0.2">
      <c r="B64" s="147" t="s">
        <v>409</v>
      </c>
      <c r="C64" s="208"/>
      <c r="D64" s="148">
        <f>Activos!$H$129</f>
        <v>269047800</v>
      </c>
      <c r="E64" s="148">
        <f>Activos!$H$110</f>
        <v>993789999.99999988</v>
      </c>
      <c r="F64" s="148">
        <f>Activos!$H$34</f>
        <v>239852199.99999997</v>
      </c>
      <c r="G64" s="148">
        <f>Activos!$H$91</f>
        <v>56763000</v>
      </c>
      <c r="H64" s="148">
        <f>Activos!$H$53</f>
        <v>215607000</v>
      </c>
      <c r="I64" s="148">
        <f>Activos!$H$72</f>
        <v>110678377.59999999</v>
      </c>
      <c r="J64" s="148">
        <f>SUM(D64:I64)</f>
        <v>1885738377.5999999</v>
      </c>
      <c r="K64" s="148">
        <f>Activos!$H$129</f>
        <v>269047800</v>
      </c>
      <c r="L64" s="148">
        <f>Activos!$H$110</f>
        <v>993789999.99999988</v>
      </c>
      <c r="M64" s="148">
        <f>Activos!$H$34</f>
        <v>239852199.99999997</v>
      </c>
      <c r="N64" s="148">
        <f>Activos!$H$91</f>
        <v>56763000</v>
      </c>
      <c r="O64" s="148">
        <f>Activos!$H$53</f>
        <v>215607000</v>
      </c>
      <c r="P64" s="148">
        <f>Activos!$H$72</f>
        <v>110678377.59999999</v>
      </c>
      <c r="Q64" s="148">
        <f>SUM(K64:P64)</f>
        <v>1885738377.5999999</v>
      </c>
      <c r="R64" s="148">
        <f>Activos!$H$129</f>
        <v>269047800</v>
      </c>
      <c r="S64" s="148">
        <f>Activos!$H$110</f>
        <v>993789999.99999988</v>
      </c>
      <c r="T64" s="148">
        <f>Activos!$H$34</f>
        <v>239852199.99999997</v>
      </c>
      <c r="U64" s="148">
        <f>Activos!$H$91</f>
        <v>56763000</v>
      </c>
      <c r="V64" s="148">
        <f>Activos!$H$53</f>
        <v>215607000</v>
      </c>
      <c r="W64" s="148">
        <f>Activos!$H$72</f>
        <v>110678377.59999999</v>
      </c>
      <c r="X64" s="148">
        <f>SUM(R64:W64)</f>
        <v>1885738377.5999999</v>
      </c>
      <c r="Y64" s="148">
        <f>Activos!$H$129</f>
        <v>269047800</v>
      </c>
      <c r="Z64" s="148">
        <f>Activos!$H$110</f>
        <v>993789999.99999988</v>
      </c>
      <c r="AA64" s="148">
        <f>Activos!$H$34</f>
        <v>239852199.99999997</v>
      </c>
      <c r="AB64" s="148">
        <f>Activos!$H$91</f>
        <v>56763000</v>
      </c>
      <c r="AC64" s="148">
        <f>Activos!$H$53</f>
        <v>215607000</v>
      </c>
      <c r="AD64" s="148">
        <f>Activos!$H$72</f>
        <v>110678377.59999999</v>
      </c>
      <c r="AE64" s="148">
        <f>SUM(Y64:AD64)</f>
        <v>1885738377.5999999</v>
      </c>
      <c r="AF64" s="148">
        <f>Activos!$H$129</f>
        <v>269047800</v>
      </c>
      <c r="AG64" s="148">
        <f>Activos!$H$110</f>
        <v>993789999.99999988</v>
      </c>
      <c r="AH64" s="148">
        <f>Activos!$H$34</f>
        <v>239852199.99999997</v>
      </c>
      <c r="AI64" s="148">
        <f>Activos!$H$91</f>
        <v>56763000</v>
      </c>
      <c r="AJ64" s="148">
        <f>Activos!$H$53</f>
        <v>215607000</v>
      </c>
      <c r="AK64" s="148">
        <f>Activos!$H$72</f>
        <v>110678377.59999999</v>
      </c>
      <c r="AL64" s="148">
        <f>SUM(AF64:AK64)</f>
        <v>1885738377.5999999</v>
      </c>
      <c r="AM64" s="148">
        <f>Activos!$H$129</f>
        <v>269047800</v>
      </c>
      <c r="AN64" s="148">
        <f>Activos!$H$110</f>
        <v>993789999.99999988</v>
      </c>
      <c r="AO64" s="148">
        <f>Activos!$H$34</f>
        <v>239852199.99999997</v>
      </c>
      <c r="AP64" s="148">
        <f>Activos!$H$91</f>
        <v>56763000</v>
      </c>
      <c r="AQ64" s="148">
        <f>Activos!$H$53</f>
        <v>215607000</v>
      </c>
      <c r="AR64" s="148">
        <f>Activos!$H$72</f>
        <v>110678377.59999999</v>
      </c>
      <c r="AS64" s="148">
        <f>SUM(AM64:AR64)</f>
        <v>1885738377.5999999</v>
      </c>
      <c r="AT64" s="148">
        <f>Activos!$H$129</f>
        <v>269047800</v>
      </c>
      <c r="AU64" s="148">
        <f>Activos!$H$110</f>
        <v>993789999.99999988</v>
      </c>
      <c r="AV64" s="148">
        <f>Activos!$H$34</f>
        <v>239852199.99999997</v>
      </c>
      <c r="AW64" s="148">
        <f>Activos!$H$91</f>
        <v>56763000</v>
      </c>
      <c r="AX64" s="148">
        <f>Activos!$H$53</f>
        <v>215607000</v>
      </c>
      <c r="AY64" s="148">
        <f>Activos!$H$72</f>
        <v>110678377.59999999</v>
      </c>
      <c r="AZ64" s="148">
        <f>SUM(AT64:AY64)</f>
        <v>1885738377.5999999</v>
      </c>
      <c r="BA64" s="148">
        <f>Activos!$H$129</f>
        <v>269047800</v>
      </c>
      <c r="BB64" s="148">
        <f>Activos!$H$110</f>
        <v>993789999.99999988</v>
      </c>
      <c r="BC64" s="148">
        <f>Activos!$H$34</f>
        <v>239852199.99999997</v>
      </c>
      <c r="BD64" s="148">
        <f>Activos!$H$91</f>
        <v>56763000</v>
      </c>
      <c r="BE64" s="148">
        <f>Activos!$H$53</f>
        <v>215607000</v>
      </c>
      <c r="BF64" s="148">
        <f>Activos!$H$72</f>
        <v>110678377.59999999</v>
      </c>
      <c r="BG64" s="148">
        <f>SUM(BA64:BF64)</f>
        <v>1885738377.5999999</v>
      </c>
      <c r="BH64" s="148">
        <f>Activos!$H$129</f>
        <v>269047800</v>
      </c>
      <c r="BI64" s="148">
        <f>Activos!$H$110</f>
        <v>993789999.99999988</v>
      </c>
      <c r="BJ64" s="148">
        <f>Activos!$H$34</f>
        <v>239852199.99999997</v>
      </c>
      <c r="BK64" s="148">
        <f>Activos!$H$91</f>
        <v>56763000</v>
      </c>
      <c r="BL64" s="148">
        <f>Activos!$H$53</f>
        <v>215607000</v>
      </c>
      <c r="BM64" s="148">
        <f>Activos!$H$72</f>
        <v>110678377.59999999</v>
      </c>
      <c r="BN64" s="148">
        <f>SUM(BH64:BM64)</f>
        <v>1885738377.5999999</v>
      </c>
      <c r="BO64" s="148">
        <f>Activos!$H$129</f>
        <v>269047800</v>
      </c>
      <c r="BP64" s="148">
        <f>Activos!$H$110</f>
        <v>993789999.99999988</v>
      </c>
      <c r="BQ64" s="148">
        <f>Activos!$H$34</f>
        <v>239852199.99999997</v>
      </c>
      <c r="BR64" s="148">
        <f>Activos!$H$91</f>
        <v>56763000</v>
      </c>
      <c r="BS64" s="148">
        <f>Activos!$H$53</f>
        <v>215607000</v>
      </c>
      <c r="BT64" s="148">
        <f>Activos!$H$72</f>
        <v>110678377.59999999</v>
      </c>
      <c r="BU64" s="148">
        <f>SUM(BO64:BT64)</f>
        <v>1885738377.5999999</v>
      </c>
      <c r="BV64" s="148">
        <f>Activos!$H$129</f>
        <v>269047800</v>
      </c>
      <c r="BW64" s="148">
        <f>Activos!$H$110</f>
        <v>993789999.99999988</v>
      </c>
      <c r="BX64" s="148">
        <f>Activos!$H$34</f>
        <v>239852199.99999997</v>
      </c>
      <c r="BY64" s="148">
        <f>Activos!$H$91</f>
        <v>56763000</v>
      </c>
      <c r="BZ64" s="148">
        <f>Activos!$H$53</f>
        <v>215607000</v>
      </c>
      <c r="CA64" s="148">
        <f>Activos!$H$72</f>
        <v>110678377.59999999</v>
      </c>
      <c r="CB64" s="148">
        <f>SUM(BV64:CA64)</f>
        <v>1885738377.5999999</v>
      </c>
      <c r="CC64" s="148">
        <f>Activos!$H$129</f>
        <v>269047800</v>
      </c>
      <c r="CD64" s="148">
        <f>Activos!$H$110</f>
        <v>993789999.99999988</v>
      </c>
      <c r="CE64" s="148">
        <f>Activos!$H$34</f>
        <v>239852199.99999997</v>
      </c>
      <c r="CF64" s="148">
        <f>Activos!$H$91</f>
        <v>56763000</v>
      </c>
      <c r="CG64" s="148">
        <f>Activos!$H$53</f>
        <v>215607000</v>
      </c>
      <c r="CH64" s="148">
        <f>Activos!$H$72</f>
        <v>110678377.59999999</v>
      </c>
      <c r="CI64" s="148">
        <f>SUM(CC64:CH64)</f>
        <v>1885738377.5999999</v>
      </c>
      <c r="CJ64" s="148">
        <f>Activos!$H$129</f>
        <v>269047800</v>
      </c>
      <c r="CK64" s="148">
        <f>Activos!$H$110</f>
        <v>993789999.99999988</v>
      </c>
      <c r="CL64" s="148">
        <f>Activos!$H$34</f>
        <v>239852199.99999997</v>
      </c>
      <c r="CM64" s="148">
        <f>Activos!$H$91</f>
        <v>56763000</v>
      </c>
      <c r="CN64" s="148">
        <f>Activos!$H$53</f>
        <v>215607000</v>
      </c>
      <c r="CO64" s="148">
        <f>Activos!$H$72</f>
        <v>110678377.59999999</v>
      </c>
      <c r="CP64" s="148"/>
      <c r="CR64" s="149">
        <f t="shared" si="20"/>
        <v>0.96401822360694778</v>
      </c>
      <c r="CS64" s="149">
        <f t="shared" si="21"/>
        <v>0.96848052859743827</v>
      </c>
      <c r="CT64" s="149">
        <f t="shared" si="22"/>
        <v>1</v>
      </c>
      <c r="CU64" s="149">
        <f t="shared" si="23"/>
        <v>1</v>
      </c>
      <c r="CV64" s="149">
        <f t="shared" si="24"/>
        <v>1</v>
      </c>
      <c r="CW64" s="149">
        <f t="shared" si="25"/>
        <v>1</v>
      </c>
      <c r="CX64" s="149">
        <f t="shared" si="26"/>
        <v>1</v>
      </c>
      <c r="CY64" s="149">
        <f t="shared" si="27"/>
        <v>1</v>
      </c>
      <c r="CZ64" s="149">
        <f t="shared" si="28"/>
        <v>1</v>
      </c>
      <c r="DA64" s="149">
        <f t="shared" si="17"/>
        <v>1</v>
      </c>
      <c r="DB64" s="149">
        <f t="shared" si="18"/>
        <v>1</v>
      </c>
      <c r="DC64" s="149">
        <f t="shared" si="19"/>
        <v>1</v>
      </c>
    </row>
    <row r="65" spans="2:107" ht="16" x14ac:dyDescent="0.2">
      <c r="B65" s="141" t="s">
        <v>410</v>
      </c>
      <c r="C65" s="207"/>
      <c r="D65" s="142"/>
      <c r="E65" s="142"/>
      <c r="F65" s="142"/>
      <c r="G65" s="142"/>
      <c r="H65" s="142"/>
      <c r="I65" s="142"/>
      <c r="J65" s="142">
        <f>J64</f>
        <v>1885738377.5999999</v>
      </c>
      <c r="K65" s="142"/>
      <c r="L65" s="142"/>
      <c r="M65" s="142"/>
      <c r="N65" s="142"/>
      <c r="O65" s="142"/>
      <c r="P65" s="142"/>
      <c r="Q65" s="142">
        <f>Q64</f>
        <v>1885738377.5999999</v>
      </c>
      <c r="R65" s="142"/>
      <c r="S65" s="142"/>
      <c r="T65" s="142"/>
      <c r="U65" s="142"/>
      <c r="V65" s="142"/>
      <c r="W65" s="142"/>
      <c r="X65" s="142">
        <f>X64</f>
        <v>1885738377.5999999</v>
      </c>
      <c r="Y65" s="142"/>
      <c r="Z65" s="142"/>
      <c r="AA65" s="142"/>
      <c r="AB65" s="142"/>
      <c r="AC65" s="142"/>
      <c r="AD65" s="142"/>
      <c r="AE65" s="142">
        <f>AE64</f>
        <v>1885738377.5999999</v>
      </c>
      <c r="AF65" s="143"/>
      <c r="AG65" s="143"/>
      <c r="AH65" s="143"/>
      <c r="AI65" s="143"/>
      <c r="AJ65" s="143"/>
      <c r="AK65" s="143"/>
      <c r="AL65" s="142">
        <f>AL64</f>
        <v>1885738377.5999999</v>
      </c>
      <c r="AM65" s="142"/>
      <c r="AN65" s="142"/>
      <c r="AO65" s="142"/>
      <c r="AP65" s="142"/>
      <c r="AQ65" s="142"/>
      <c r="AR65" s="142"/>
      <c r="AS65" s="142">
        <f>AS64</f>
        <v>1885738377.5999999</v>
      </c>
      <c r="AT65" s="143"/>
      <c r="AU65" s="143"/>
      <c r="AV65" s="143"/>
      <c r="AW65" s="143"/>
      <c r="AX65" s="143"/>
      <c r="AY65" s="143"/>
      <c r="AZ65" s="142">
        <f>AZ64</f>
        <v>1885738377.5999999</v>
      </c>
      <c r="BA65" s="143"/>
      <c r="BB65" s="143"/>
      <c r="BC65" s="143"/>
      <c r="BD65" s="143"/>
      <c r="BE65" s="143"/>
      <c r="BF65" s="143"/>
      <c r="BG65" s="142">
        <f>BG64</f>
        <v>1885738377.5999999</v>
      </c>
      <c r="BH65" s="143"/>
      <c r="BI65" s="143"/>
      <c r="BJ65" s="143"/>
      <c r="BK65" s="143"/>
      <c r="BL65" s="143"/>
      <c r="BM65" s="143"/>
      <c r="BN65" s="142">
        <f>BN64</f>
        <v>1885738377.5999999</v>
      </c>
      <c r="BO65" s="143"/>
      <c r="BP65" s="143"/>
      <c r="BQ65" s="143"/>
      <c r="BR65" s="143"/>
      <c r="BS65" s="143"/>
      <c r="BT65" s="143"/>
      <c r="BU65" s="142">
        <f>BU64</f>
        <v>1885738377.5999999</v>
      </c>
      <c r="BV65" s="143"/>
      <c r="BW65" s="143"/>
      <c r="BX65" s="143"/>
      <c r="BY65" s="143"/>
      <c r="BZ65" s="143"/>
      <c r="CA65" s="143"/>
      <c r="CB65" s="142">
        <f>CB64</f>
        <v>1885738377.5999999</v>
      </c>
      <c r="CC65" s="142"/>
      <c r="CD65" s="142"/>
      <c r="CE65" s="142"/>
      <c r="CF65" s="142"/>
      <c r="CG65" s="142"/>
      <c r="CH65" s="143"/>
      <c r="CI65" s="142">
        <f>CI64</f>
        <v>1885738377.5999999</v>
      </c>
      <c r="CJ65" s="142"/>
      <c r="CK65" s="142"/>
      <c r="CL65" s="142"/>
      <c r="CM65" s="142"/>
      <c r="CN65" s="142"/>
      <c r="CO65" s="142"/>
      <c r="CP65" s="142"/>
      <c r="CR65" s="145">
        <f t="shared" si="20"/>
        <v>0.96401822360694778</v>
      </c>
      <c r="CS65" s="145">
        <f t="shared" si="21"/>
        <v>0.96848052859743827</v>
      </c>
      <c r="CT65" s="145">
        <f t="shared" si="22"/>
        <v>1</v>
      </c>
      <c r="CU65" s="145">
        <f t="shared" si="23"/>
        <v>1</v>
      </c>
      <c r="CV65" s="145">
        <f t="shared" si="24"/>
        <v>1</v>
      </c>
      <c r="CW65" s="145">
        <f t="shared" si="25"/>
        <v>1</v>
      </c>
      <c r="CX65" s="145">
        <f t="shared" si="26"/>
        <v>1</v>
      </c>
      <c r="CY65" s="145">
        <f t="shared" si="27"/>
        <v>1</v>
      </c>
      <c r="CZ65" s="145">
        <f t="shared" si="28"/>
        <v>1</v>
      </c>
      <c r="DA65" s="145">
        <f t="shared" si="17"/>
        <v>1</v>
      </c>
      <c r="DB65" s="145">
        <f t="shared" si="18"/>
        <v>1</v>
      </c>
      <c r="DC65" s="145">
        <f t="shared" si="19"/>
        <v>1</v>
      </c>
    </row>
    <row r="66" spans="2:107" ht="16" x14ac:dyDescent="0.2">
      <c r="B66" s="150" t="s">
        <v>411</v>
      </c>
      <c r="C66" s="209"/>
      <c r="D66" s="151"/>
      <c r="E66" s="151"/>
      <c r="F66" s="151"/>
      <c r="G66" s="151"/>
      <c r="H66" s="151"/>
      <c r="I66" s="151"/>
      <c r="J66" s="151">
        <f>J63+J65</f>
        <v>1956123163.8799999</v>
      </c>
      <c r="K66" s="151"/>
      <c r="L66" s="151"/>
      <c r="M66" s="151"/>
      <c r="N66" s="151"/>
      <c r="O66" s="151"/>
      <c r="P66" s="151"/>
      <c r="Q66" s="151">
        <f>Q63+Q65</f>
        <v>1947110263.8799999</v>
      </c>
      <c r="R66" s="151"/>
      <c r="S66" s="151"/>
      <c r="T66" s="151"/>
      <c r="U66" s="151"/>
      <c r="V66" s="151"/>
      <c r="W66" s="151"/>
      <c r="X66" s="151">
        <f>X63+X65</f>
        <v>1885738377.5999999</v>
      </c>
      <c r="Y66" s="151"/>
      <c r="Z66" s="151"/>
      <c r="AA66" s="151"/>
      <c r="AB66" s="151"/>
      <c r="AC66" s="151"/>
      <c r="AD66" s="151"/>
      <c r="AE66" s="151">
        <f>AE63+AE65</f>
        <v>1885738377.5999999</v>
      </c>
      <c r="AF66" s="152"/>
      <c r="AG66" s="152"/>
      <c r="AH66" s="152"/>
      <c r="AI66" s="152"/>
      <c r="AJ66" s="152"/>
      <c r="AK66" s="152"/>
      <c r="AL66" s="151">
        <f>AL63+AL65</f>
        <v>1885738377.5999999</v>
      </c>
      <c r="AM66" s="151"/>
      <c r="AN66" s="151"/>
      <c r="AO66" s="151"/>
      <c r="AP66" s="151"/>
      <c r="AQ66" s="151"/>
      <c r="AR66" s="151"/>
      <c r="AS66" s="151">
        <f>AS63+AS65</f>
        <v>1885738377.5999999</v>
      </c>
      <c r="AT66" s="152"/>
      <c r="AU66" s="152"/>
      <c r="AV66" s="152"/>
      <c r="AW66" s="152"/>
      <c r="AX66" s="152"/>
      <c r="AY66" s="152"/>
      <c r="AZ66" s="151">
        <f>AZ63+AZ65</f>
        <v>1885738377.5999999</v>
      </c>
      <c r="BA66" s="152"/>
      <c r="BB66" s="152"/>
      <c r="BC66" s="152"/>
      <c r="BD66" s="152"/>
      <c r="BE66" s="152"/>
      <c r="BF66" s="152"/>
      <c r="BG66" s="151">
        <f>BG63+BG65</f>
        <v>1885738377.5999999</v>
      </c>
      <c r="BH66" s="152"/>
      <c r="BI66" s="152"/>
      <c r="BJ66" s="152"/>
      <c r="BK66" s="152"/>
      <c r="BL66" s="152"/>
      <c r="BM66" s="152"/>
      <c r="BN66" s="151">
        <f>BN63+BN65</f>
        <v>1885738377.5999999</v>
      </c>
      <c r="BO66" s="152"/>
      <c r="BP66" s="152"/>
      <c r="BQ66" s="152"/>
      <c r="BR66" s="152"/>
      <c r="BS66" s="152"/>
      <c r="BT66" s="152"/>
      <c r="BU66" s="151">
        <f>BU63+BU65</f>
        <v>1885738377.5999999</v>
      </c>
      <c r="BV66" s="152"/>
      <c r="BW66" s="152"/>
      <c r="BX66" s="152"/>
      <c r="BY66" s="152"/>
      <c r="BZ66" s="152"/>
      <c r="CA66" s="152"/>
      <c r="CB66" s="151">
        <f>CB63+CB65</f>
        <v>1885738377.5999999</v>
      </c>
      <c r="CC66" s="151"/>
      <c r="CD66" s="151"/>
      <c r="CE66" s="151"/>
      <c r="CF66" s="151"/>
      <c r="CG66" s="151"/>
      <c r="CH66" s="152"/>
      <c r="CI66" s="151">
        <f>CI63+CI65</f>
        <v>1885738377.5999999</v>
      </c>
      <c r="CJ66" s="151"/>
      <c r="CK66" s="151"/>
      <c r="CL66" s="151"/>
      <c r="CM66" s="151"/>
      <c r="CN66" s="151"/>
      <c r="CO66" s="151"/>
      <c r="CP66" s="151"/>
      <c r="CR66" s="153">
        <f t="shared" si="20"/>
        <v>1</v>
      </c>
      <c r="CS66" s="153">
        <f t="shared" si="21"/>
        <v>1</v>
      </c>
      <c r="CT66" s="153">
        <f t="shared" si="22"/>
        <v>1</v>
      </c>
      <c r="CU66" s="153">
        <f t="shared" si="23"/>
        <v>1</v>
      </c>
      <c r="CV66" s="153">
        <f t="shared" si="24"/>
        <v>1</v>
      </c>
      <c r="CW66" s="153">
        <f t="shared" si="25"/>
        <v>1</v>
      </c>
      <c r="CX66" s="153">
        <f t="shared" si="26"/>
        <v>1</v>
      </c>
      <c r="CY66" s="153">
        <f t="shared" si="27"/>
        <v>1</v>
      </c>
      <c r="CZ66" s="153">
        <f t="shared" si="28"/>
        <v>1</v>
      </c>
      <c r="DA66" s="153">
        <f t="shared" si="17"/>
        <v>1</v>
      </c>
      <c r="DB66" s="153">
        <f t="shared" si="18"/>
        <v>1</v>
      </c>
      <c r="DC66" s="153">
        <f t="shared" si="19"/>
        <v>1</v>
      </c>
    </row>
    <row r="67" spans="2:107" x14ac:dyDescent="0.2">
      <c r="B67" s="105" t="s">
        <v>412</v>
      </c>
      <c r="D67" s="134"/>
      <c r="E67" s="134"/>
      <c r="F67" s="132"/>
      <c r="G67" s="133"/>
      <c r="H67" s="133"/>
      <c r="I67" s="133"/>
      <c r="K67" s="134"/>
      <c r="L67" s="134"/>
      <c r="M67" s="134"/>
      <c r="N67" s="133"/>
      <c r="O67" s="133"/>
      <c r="P67" s="133"/>
      <c r="R67" s="133"/>
      <c r="S67" s="133"/>
      <c r="T67" s="133"/>
      <c r="U67" s="133"/>
      <c r="V67" s="133"/>
      <c r="Y67" s="133"/>
      <c r="Z67" s="133"/>
      <c r="AA67" s="133"/>
      <c r="AB67" s="133"/>
      <c r="AC67" s="133"/>
      <c r="AF67" s="133"/>
      <c r="AG67" s="133"/>
      <c r="AH67" s="133"/>
      <c r="AI67" s="133"/>
      <c r="AJ67" s="133"/>
      <c r="AM67" s="133"/>
      <c r="AN67" s="133"/>
      <c r="AO67" s="133"/>
      <c r="AP67" s="133"/>
      <c r="AQ67" s="133"/>
      <c r="AT67" s="133"/>
      <c r="AU67" s="133"/>
      <c r="AV67" s="133"/>
      <c r="AW67" s="133"/>
      <c r="AX67" s="133"/>
      <c r="BA67" s="133"/>
      <c r="BB67" s="133"/>
      <c r="BC67" s="133"/>
      <c r="BD67" s="133"/>
      <c r="BE67" s="133"/>
      <c r="BH67" s="133"/>
      <c r="BI67" s="133"/>
      <c r="BJ67" s="133"/>
      <c r="BK67" s="133"/>
      <c r="BL67" s="133"/>
      <c r="BO67" s="133"/>
      <c r="BP67" s="133"/>
      <c r="BQ67" s="133"/>
      <c r="BR67" s="133"/>
      <c r="BS67" s="133"/>
      <c r="BV67" s="133"/>
      <c r="BW67" s="133"/>
      <c r="BX67" s="133"/>
      <c r="BY67" s="133"/>
      <c r="BZ67" s="133"/>
      <c r="CC67" s="133"/>
      <c r="CD67" s="133"/>
      <c r="CE67" s="133"/>
      <c r="CF67" s="133"/>
      <c r="CG67" s="133"/>
      <c r="CJ67" s="133"/>
      <c r="CK67" s="133"/>
      <c r="CL67" s="133"/>
      <c r="CM67" s="133"/>
      <c r="CN67" s="133"/>
      <c r="CR67" s="139">
        <f t="shared" si="20"/>
        <v>0</v>
      </c>
      <c r="CS67" s="139">
        <f t="shared" si="21"/>
        <v>0</v>
      </c>
      <c r="CT67" s="139">
        <f t="shared" si="22"/>
        <v>0</v>
      </c>
      <c r="CU67" s="139">
        <f t="shared" si="23"/>
        <v>0</v>
      </c>
      <c r="CV67" s="139">
        <f t="shared" si="24"/>
        <v>0</v>
      </c>
      <c r="CW67" s="139">
        <f t="shared" si="25"/>
        <v>0</v>
      </c>
      <c r="CX67" s="139">
        <f t="shared" si="26"/>
        <v>0</v>
      </c>
      <c r="CY67" s="139">
        <f t="shared" si="27"/>
        <v>0</v>
      </c>
      <c r="CZ67" s="139">
        <f t="shared" si="28"/>
        <v>0</v>
      </c>
      <c r="DA67" s="139">
        <f t="shared" si="17"/>
        <v>0</v>
      </c>
      <c r="DB67" s="139">
        <f t="shared" si="18"/>
        <v>0</v>
      </c>
      <c r="DC67" s="139">
        <f t="shared" si="19"/>
        <v>0</v>
      </c>
    </row>
    <row r="68" spans="2:107" x14ac:dyDescent="0.2">
      <c r="B68" s="105" t="s">
        <v>413</v>
      </c>
      <c r="D68" s="134"/>
      <c r="E68" s="134"/>
      <c r="F68" s="132"/>
      <c r="G68" s="133"/>
      <c r="H68" s="133"/>
      <c r="I68" s="133"/>
      <c r="K68" s="134"/>
      <c r="L68" s="134"/>
      <c r="M68" s="134"/>
      <c r="N68" s="133"/>
      <c r="O68" s="133"/>
      <c r="P68" s="133"/>
      <c r="R68" s="133"/>
      <c r="S68" s="133"/>
      <c r="T68" s="133"/>
      <c r="U68" s="133"/>
      <c r="V68" s="133"/>
      <c r="Y68" s="133"/>
      <c r="Z68" s="133"/>
      <c r="AA68" s="133"/>
      <c r="AB68" s="133"/>
      <c r="AC68" s="133"/>
      <c r="AF68" s="133"/>
      <c r="AG68" s="133"/>
      <c r="AH68" s="133"/>
      <c r="AI68" s="133"/>
      <c r="AJ68" s="133"/>
      <c r="AM68" s="133"/>
      <c r="AN68" s="133"/>
      <c r="AO68" s="133"/>
      <c r="AP68" s="133"/>
      <c r="AQ68" s="133"/>
      <c r="AT68" s="133"/>
      <c r="AU68" s="133"/>
      <c r="AV68" s="133"/>
      <c r="AW68" s="133"/>
      <c r="AX68" s="133"/>
      <c r="BA68" s="133"/>
      <c r="BB68" s="133"/>
      <c r="BC68" s="133"/>
      <c r="BD68" s="133"/>
      <c r="BE68" s="133"/>
      <c r="BH68" s="133"/>
      <c r="BI68" s="133"/>
      <c r="BJ68" s="133"/>
      <c r="BK68" s="133"/>
      <c r="BL68" s="133"/>
      <c r="BO68" s="133"/>
      <c r="BP68" s="133"/>
      <c r="BQ68" s="133"/>
      <c r="BR68" s="133"/>
      <c r="BS68" s="133"/>
      <c r="BV68" s="133"/>
      <c r="BW68" s="133"/>
      <c r="BX68" s="133"/>
      <c r="BY68" s="133"/>
      <c r="BZ68" s="133"/>
      <c r="CC68" s="133"/>
      <c r="CD68" s="133"/>
      <c r="CE68" s="133"/>
      <c r="CF68" s="133"/>
      <c r="CG68" s="133"/>
      <c r="CJ68" s="133"/>
      <c r="CK68" s="133"/>
      <c r="CL68" s="133"/>
      <c r="CM68" s="133"/>
      <c r="CN68" s="133"/>
      <c r="CR68" s="139">
        <f t="shared" si="20"/>
        <v>0</v>
      </c>
      <c r="CS68" s="139">
        <f t="shared" si="21"/>
        <v>0</v>
      </c>
      <c r="CT68" s="139">
        <f t="shared" si="22"/>
        <v>0</v>
      </c>
      <c r="CU68" s="139">
        <f t="shared" si="23"/>
        <v>0</v>
      </c>
      <c r="CV68" s="139">
        <f t="shared" si="24"/>
        <v>0</v>
      </c>
      <c r="CW68" s="139">
        <f t="shared" si="25"/>
        <v>0</v>
      </c>
      <c r="CX68" s="139">
        <f t="shared" si="26"/>
        <v>0</v>
      </c>
      <c r="CY68" s="139">
        <f t="shared" si="27"/>
        <v>0</v>
      </c>
      <c r="CZ68" s="139">
        <f t="shared" si="28"/>
        <v>0</v>
      </c>
      <c r="DA68" s="139">
        <f t="shared" si="17"/>
        <v>0</v>
      </c>
      <c r="DB68" s="139">
        <f t="shared" si="18"/>
        <v>0</v>
      </c>
      <c r="DC68" s="139">
        <f t="shared" si="19"/>
        <v>0</v>
      </c>
    </row>
    <row r="69" spans="2:107" x14ac:dyDescent="0.2">
      <c r="B69" s="105" t="s">
        <v>414</v>
      </c>
      <c r="D69" s="134"/>
      <c r="E69" s="134"/>
      <c r="F69" s="132"/>
      <c r="G69" s="133"/>
      <c r="H69" s="133"/>
      <c r="I69" s="133"/>
      <c r="J69" s="137"/>
      <c r="K69" s="134"/>
      <c r="L69" s="134"/>
      <c r="M69" s="134"/>
      <c r="N69" s="133"/>
      <c r="O69" s="133"/>
      <c r="P69" s="133"/>
      <c r="R69" s="133"/>
      <c r="S69" s="133"/>
      <c r="T69" s="133"/>
      <c r="U69" s="133"/>
      <c r="V69" s="133"/>
      <c r="Y69" s="133"/>
      <c r="Z69" s="133"/>
      <c r="AA69" s="133"/>
      <c r="AB69" s="133"/>
      <c r="AC69" s="133"/>
      <c r="AF69" s="133"/>
      <c r="AG69" s="133"/>
      <c r="AH69" s="133"/>
      <c r="AI69" s="133"/>
      <c r="AJ69" s="133"/>
      <c r="AM69" s="133"/>
      <c r="AN69" s="133"/>
      <c r="AO69" s="133"/>
      <c r="AP69" s="133"/>
      <c r="AQ69" s="133"/>
      <c r="AT69" s="133"/>
      <c r="AU69" s="133"/>
      <c r="AV69" s="133"/>
      <c r="AW69" s="133"/>
      <c r="AX69" s="133"/>
      <c r="BA69" s="133"/>
      <c r="BB69" s="133"/>
      <c r="BC69" s="133"/>
      <c r="BD69" s="133"/>
      <c r="BE69" s="133"/>
      <c r="BH69" s="133"/>
      <c r="BI69" s="133"/>
      <c r="BJ69" s="133"/>
      <c r="BK69" s="133"/>
      <c r="BL69" s="133"/>
      <c r="BO69" s="133"/>
      <c r="BP69" s="133"/>
      <c r="BQ69" s="133"/>
      <c r="BR69" s="133"/>
      <c r="BS69" s="133"/>
      <c r="BV69" s="133"/>
      <c r="BW69" s="133"/>
      <c r="BX69" s="133"/>
      <c r="BY69" s="133"/>
      <c r="BZ69" s="133"/>
      <c r="CC69" s="133"/>
      <c r="CD69" s="133"/>
      <c r="CE69" s="133"/>
      <c r="CF69" s="133"/>
      <c r="CG69" s="133"/>
      <c r="CJ69" s="133"/>
      <c r="CK69" s="133"/>
      <c r="CL69" s="133"/>
      <c r="CM69" s="133"/>
      <c r="CN69" s="133"/>
      <c r="CQ69" s="154"/>
      <c r="CR69" s="139">
        <f t="shared" si="20"/>
        <v>0</v>
      </c>
      <c r="CS69" s="139">
        <f t="shared" si="21"/>
        <v>0</v>
      </c>
      <c r="CT69" s="139">
        <f t="shared" si="22"/>
        <v>0</v>
      </c>
      <c r="CU69" s="139">
        <f t="shared" si="23"/>
        <v>0</v>
      </c>
      <c r="CV69" s="139">
        <f t="shared" si="24"/>
        <v>0</v>
      </c>
      <c r="CW69" s="139">
        <f t="shared" si="25"/>
        <v>0</v>
      </c>
      <c r="CX69" s="139">
        <f t="shared" si="26"/>
        <v>0</v>
      </c>
      <c r="CY69" s="139">
        <f t="shared" si="27"/>
        <v>0</v>
      </c>
      <c r="CZ69" s="139">
        <f t="shared" si="28"/>
        <v>0</v>
      </c>
      <c r="DA69" s="139">
        <f t="shared" si="17"/>
        <v>0</v>
      </c>
      <c r="DB69" s="139">
        <f t="shared" si="18"/>
        <v>0</v>
      </c>
      <c r="DC69" s="139">
        <f t="shared" si="19"/>
        <v>0</v>
      </c>
    </row>
    <row r="70" spans="2:107" ht="16" x14ac:dyDescent="0.2">
      <c r="B70" s="105" t="s">
        <v>415</v>
      </c>
      <c r="D70" s="134"/>
      <c r="E70" s="134"/>
      <c r="F70" s="132"/>
      <c r="G70" s="155"/>
      <c r="H70" s="156"/>
      <c r="I70" s="156"/>
      <c r="J70" s="267">
        <v>0</v>
      </c>
      <c r="K70" s="134"/>
      <c r="L70" s="134"/>
      <c r="M70" s="134"/>
      <c r="N70" s="155"/>
      <c r="O70" s="144"/>
      <c r="P70" s="144"/>
      <c r="Q70" s="267">
        <f>J70</f>
        <v>0</v>
      </c>
      <c r="R70" s="144"/>
      <c r="S70" s="144"/>
      <c r="T70" s="144"/>
      <c r="U70" s="144"/>
      <c r="V70" s="144"/>
      <c r="X70" s="267">
        <f>Q70</f>
        <v>0</v>
      </c>
      <c r="Y70" s="144"/>
      <c r="Z70" s="144"/>
      <c r="AA70" s="144"/>
      <c r="AB70" s="144"/>
      <c r="AC70" s="144"/>
      <c r="AE70" s="267">
        <f>X70</f>
        <v>0</v>
      </c>
      <c r="AF70" s="144"/>
      <c r="AG70" s="144"/>
      <c r="AH70" s="144"/>
      <c r="AI70" s="144"/>
      <c r="AJ70" s="144"/>
      <c r="AL70" s="267">
        <f>AE70</f>
        <v>0</v>
      </c>
      <c r="AM70" s="144"/>
      <c r="AN70" s="144"/>
      <c r="AO70" s="144"/>
      <c r="AP70" s="144"/>
      <c r="AQ70" s="144"/>
      <c r="AS70" s="267">
        <f>AL70</f>
        <v>0</v>
      </c>
      <c r="AT70" s="144"/>
      <c r="AU70" s="144"/>
      <c r="AV70" s="144"/>
      <c r="AW70" s="144"/>
      <c r="AX70" s="144"/>
      <c r="AZ70" s="267">
        <f>AS70</f>
        <v>0</v>
      </c>
      <c r="BA70" s="144"/>
      <c r="BB70" s="144"/>
      <c r="BC70" s="144"/>
      <c r="BD70" s="144"/>
      <c r="BE70" s="144"/>
      <c r="BG70" s="267">
        <f>AZ70</f>
        <v>0</v>
      </c>
      <c r="BH70" s="144"/>
      <c r="BI70" s="144"/>
      <c r="BJ70" s="144"/>
      <c r="BK70" s="144"/>
      <c r="BL70" s="144"/>
      <c r="BN70" s="267">
        <f>BG70</f>
        <v>0</v>
      </c>
      <c r="BO70" s="144"/>
      <c r="BP70" s="144"/>
      <c r="BQ70" s="144"/>
      <c r="BR70" s="144"/>
      <c r="BS70" s="144"/>
      <c r="BU70" s="267">
        <f>BN70</f>
        <v>0</v>
      </c>
      <c r="BV70" s="144"/>
      <c r="BW70" s="144"/>
      <c r="BX70" s="144"/>
      <c r="BY70" s="144"/>
      <c r="BZ70" s="144"/>
      <c r="CB70" s="267">
        <f>BU70</f>
        <v>0</v>
      </c>
      <c r="CC70" s="144"/>
      <c r="CD70" s="144"/>
      <c r="CE70" s="144"/>
      <c r="CF70" s="144"/>
      <c r="CG70" s="144"/>
      <c r="CI70" s="267">
        <f>CB70</f>
        <v>0</v>
      </c>
      <c r="CJ70" s="144"/>
      <c r="CK70" s="156"/>
      <c r="CL70" s="156"/>
      <c r="CM70" s="156"/>
      <c r="CN70" s="156"/>
      <c r="CQ70" s="154"/>
      <c r="CR70" s="139">
        <f t="shared" si="20"/>
        <v>0</v>
      </c>
      <c r="CS70" s="139">
        <f t="shared" si="21"/>
        <v>0</v>
      </c>
      <c r="CT70" s="139">
        <f t="shared" si="22"/>
        <v>0</v>
      </c>
      <c r="CU70" s="139">
        <f t="shared" si="23"/>
        <v>0</v>
      </c>
      <c r="CV70" s="139">
        <f t="shared" si="24"/>
        <v>0</v>
      </c>
      <c r="CW70" s="139">
        <f t="shared" si="25"/>
        <v>0</v>
      </c>
      <c r="CX70" s="139">
        <f t="shared" si="26"/>
        <v>0</v>
      </c>
      <c r="CY70" s="139">
        <f t="shared" si="27"/>
        <v>0</v>
      </c>
      <c r="CZ70" s="139">
        <f t="shared" si="28"/>
        <v>0</v>
      </c>
      <c r="DA70" s="139">
        <f t="shared" si="17"/>
        <v>0</v>
      </c>
      <c r="DB70" s="139">
        <f t="shared" si="18"/>
        <v>0</v>
      </c>
      <c r="DC70" s="139">
        <f t="shared" si="19"/>
        <v>0</v>
      </c>
    </row>
    <row r="71" spans="2:107" x14ac:dyDescent="0.2">
      <c r="B71" s="105" t="s">
        <v>416</v>
      </c>
      <c r="D71" s="134"/>
      <c r="E71" s="134"/>
      <c r="F71" s="132"/>
      <c r="G71" s="133"/>
      <c r="H71" s="133"/>
      <c r="I71" s="133"/>
      <c r="K71" s="134"/>
      <c r="L71" s="134"/>
      <c r="M71" s="134"/>
      <c r="N71" s="133"/>
      <c r="O71" s="133"/>
      <c r="P71" s="133"/>
      <c r="R71" s="133"/>
      <c r="S71" s="133"/>
      <c r="T71" s="133"/>
      <c r="U71" s="133"/>
      <c r="V71" s="133"/>
      <c r="Y71" s="133"/>
      <c r="Z71" s="133"/>
      <c r="AA71" s="133"/>
      <c r="AB71" s="133"/>
      <c r="AC71" s="133"/>
      <c r="AF71" s="133"/>
      <c r="AG71" s="133"/>
      <c r="AH71" s="133"/>
      <c r="AI71" s="133"/>
      <c r="AJ71" s="133"/>
      <c r="AM71" s="133"/>
      <c r="AN71" s="133"/>
      <c r="AO71" s="133"/>
      <c r="AP71" s="133"/>
      <c r="AQ71" s="133"/>
      <c r="AT71" s="133"/>
      <c r="AU71" s="133"/>
      <c r="AV71" s="133"/>
      <c r="AW71" s="133"/>
      <c r="AX71" s="133"/>
      <c r="BA71" s="133"/>
      <c r="BB71" s="133"/>
      <c r="BC71" s="133"/>
      <c r="BD71" s="133"/>
      <c r="BE71" s="133"/>
      <c r="BH71" s="133"/>
      <c r="BI71" s="133"/>
      <c r="BJ71" s="133"/>
      <c r="BK71" s="133"/>
      <c r="BL71" s="133"/>
      <c r="BO71" s="133"/>
      <c r="BP71" s="133"/>
      <c r="BQ71" s="133"/>
      <c r="BR71" s="133"/>
      <c r="BS71" s="133"/>
      <c r="BV71" s="133"/>
      <c r="BW71" s="133"/>
      <c r="BX71" s="133"/>
      <c r="BY71" s="133"/>
      <c r="BZ71" s="133"/>
      <c r="CC71" s="133"/>
      <c r="CD71" s="133"/>
      <c r="CE71" s="133"/>
      <c r="CF71" s="133"/>
      <c r="CG71" s="133"/>
      <c r="CJ71" s="133"/>
      <c r="CK71" s="133"/>
      <c r="CL71" s="133"/>
      <c r="CM71" s="133"/>
      <c r="CN71" s="133"/>
      <c r="CQ71" s="154"/>
      <c r="CR71" s="139">
        <f t="shared" si="20"/>
        <v>0</v>
      </c>
      <c r="CS71" s="139">
        <f t="shared" si="21"/>
        <v>0</v>
      </c>
      <c r="CT71" s="139">
        <f t="shared" si="22"/>
        <v>0</v>
      </c>
      <c r="CU71" s="139">
        <f t="shared" si="23"/>
        <v>0</v>
      </c>
      <c r="CV71" s="139">
        <f t="shared" si="24"/>
        <v>0</v>
      </c>
      <c r="CW71" s="139">
        <f t="shared" si="25"/>
        <v>0</v>
      </c>
      <c r="CX71" s="139">
        <f t="shared" si="26"/>
        <v>0</v>
      </c>
      <c r="CY71" s="139">
        <f t="shared" si="27"/>
        <v>0</v>
      </c>
      <c r="CZ71" s="139">
        <f t="shared" si="28"/>
        <v>0</v>
      </c>
      <c r="DA71" s="139">
        <f t="shared" si="17"/>
        <v>0</v>
      </c>
      <c r="DB71" s="139">
        <f t="shared" si="18"/>
        <v>0</v>
      </c>
      <c r="DC71" s="139">
        <f t="shared" si="19"/>
        <v>0</v>
      </c>
    </row>
    <row r="72" spans="2:107" ht="16" x14ac:dyDescent="0.2">
      <c r="B72" s="141" t="s">
        <v>417</v>
      </c>
      <c r="C72" s="207"/>
      <c r="D72" s="142"/>
      <c r="E72" s="142"/>
      <c r="F72" s="142"/>
      <c r="G72" s="142"/>
      <c r="H72" s="142"/>
      <c r="I72" s="142"/>
      <c r="J72" s="142">
        <f>SUM(J67:J71)</f>
        <v>0</v>
      </c>
      <c r="K72" s="143"/>
      <c r="L72" s="143"/>
      <c r="M72" s="143"/>
      <c r="N72" s="143"/>
      <c r="O72" s="143"/>
      <c r="P72" s="143"/>
      <c r="Q72" s="142">
        <f>SUM(Q67:Q71)</f>
        <v>0</v>
      </c>
      <c r="R72" s="143"/>
      <c r="S72" s="143"/>
      <c r="T72" s="143"/>
      <c r="U72" s="143"/>
      <c r="V72" s="143"/>
      <c r="W72" s="143"/>
      <c r="X72" s="142">
        <f>SUM(X67:X71)</f>
        <v>0</v>
      </c>
      <c r="Y72" s="143"/>
      <c r="Z72" s="143"/>
      <c r="AA72" s="143"/>
      <c r="AB72" s="143"/>
      <c r="AC72" s="143"/>
      <c r="AD72" s="143"/>
      <c r="AE72" s="142">
        <f>SUM(AE67:AE71)</f>
        <v>0</v>
      </c>
      <c r="AF72" s="143"/>
      <c r="AG72" s="143"/>
      <c r="AH72" s="143"/>
      <c r="AI72" s="143"/>
      <c r="AJ72" s="143"/>
      <c r="AK72" s="143"/>
      <c r="AL72" s="142">
        <f>SUM(AL67:AL71)</f>
        <v>0</v>
      </c>
      <c r="AM72" s="143"/>
      <c r="AN72" s="143"/>
      <c r="AO72" s="143"/>
      <c r="AP72" s="143"/>
      <c r="AQ72" s="143"/>
      <c r="AR72" s="143"/>
      <c r="AS72" s="142">
        <f>SUM(AS67:AS71)</f>
        <v>0</v>
      </c>
      <c r="AT72" s="143"/>
      <c r="AU72" s="143"/>
      <c r="AV72" s="143"/>
      <c r="AW72" s="143"/>
      <c r="AX72" s="143"/>
      <c r="AY72" s="143"/>
      <c r="AZ72" s="142">
        <f>SUM(AZ67:AZ71)</f>
        <v>0</v>
      </c>
      <c r="BA72" s="143"/>
      <c r="BB72" s="143"/>
      <c r="BC72" s="143"/>
      <c r="BD72" s="143"/>
      <c r="BE72" s="143"/>
      <c r="BF72" s="143"/>
      <c r="BG72" s="142">
        <f>SUM(BG67:BG71)</f>
        <v>0</v>
      </c>
      <c r="BH72" s="143"/>
      <c r="BI72" s="143"/>
      <c r="BJ72" s="143"/>
      <c r="BK72" s="143"/>
      <c r="BL72" s="143"/>
      <c r="BM72" s="143"/>
      <c r="BN72" s="142">
        <f>SUM(BN67:BN71)</f>
        <v>0</v>
      </c>
      <c r="BO72" s="143"/>
      <c r="BP72" s="143"/>
      <c r="BQ72" s="143"/>
      <c r="BR72" s="143"/>
      <c r="BS72" s="143"/>
      <c r="BT72" s="143"/>
      <c r="BU72" s="142">
        <f>SUM(BU67:BU71)</f>
        <v>0</v>
      </c>
      <c r="BV72" s="143"/>
      <c r="BW72" s="143"/>
      <c r="BX72" s="143"/>
      <c r="BY72" s="143"/>
      <c r="BZ72" s="143"/>
      <c r="CA72" s="143"/>
      <c r="CB72" s="142">
        <f>SUM(CB67:CB71)</f>
        <v>0</v>
      </c>
      <c r="CC72" s="143"/>
      <c r="CD72" s="143"/>
      <c r="CE72" s="143"/>
      <c r="CF72" s="143"/>
      <c r="CG72" s="143"/>
      <c r="CH72" s="143"/>
      <c r="CI72" s="142">
        <f>SUM(CI67:CI71)</f>
        <v>0</v>
      </c>
      <c r="CJ72" s="143"/>
      <c r="CK72" s="143"/>
      <c r="CL72" s="143"/>
      <c r="CM72" s="143"/>
      <c r="CN72" s="143"/>
      <c r="CO72" s="143"/>
      <c r="CP72" s="142"/>
      <c r="CQ72" s="154"/>
      <c r="CR72" s="145">
        <f t="shared" si="20"/>
        <v>0</v>
      </c>
      <c r="CS72" s="145">
        <f t="shared" si="21"/>
        <v>0</v>
      </c>
      <c r="CT72" s="145">
        <f t="shared" si="22"/>
        <v>0</v>
      </c>
      <c r="CU72" s="145">
        <f t="shared" si="23"/>
        <v>0</v>
      </c>
      <c r="CV72" s="145">
        <f t="shared" si="24"/>
        <v>0</v>
      </c>
      <c r="CW72" s="145">
        <f t="shared" si="25"/>
        <v>0</v>
      </c>
      <c r="CX72" s="145">
        <f t="shared" si="26"/>
        <v>0</v>
      </c>
      <c r="CY72" s="145">
        <f t="shared" si="27"/>
        <v>0</v>
      </c>
      <c r="CZ72" s="145">
        <f t="shared" si="28"/>
        <v>0</v>
      </c>
      <c r="DA72" s="145">
        <f t="shared" si="17"/>
        <v>0</v>
      </c>
      <c r="DB72" s="145">
        <f t="shared" si="18"/>
        <v>0</v>
      </c>
      <c r="DC72" s="145">
        <f t="shared" si="19"/>
        <v>0</v>
      </c>
    </row>
    <row r="73" spans="2:107" x14ac:dyDescent="0.2">
      <c r="B73" s="105" t="s">
        <v>418</v>
      </c>
      <c r="C73" s="210"/>
      <c r="D73" s="157"/>
      <c r="E73" s="157"/>
      <c r="F73" s="157"/>
      <c r="G73" s="133"/>
      <c r="H73" s="133"/>
      <c r="I73" s="133"/>
      <c r="J73" s="212">
        <f>'EEFF 2025'!CI71+J17</f>
        <v>104971798.32999998</v>
      </c>
      <c r="K73" s="116"/>
      <c r="L73" s="116"/>
      <c r="M73" s="116"/>
      <c r="N73" s="116"/>
      <c r="O73" s="116"/>
      <c r="P73" s="116"/>
      <c r="Q73" s="212">
        <f>J73+Q17</f>
        <v>104971798.32999998</v>
      </c>
      <c r="R73" s="116"/>
      <c r="S73" s="116"/>
      <c r="T73" s="116"/>
      <c r="U73" s="116"/>
      <c r="V73" s="116"/>
      <c r="W73" s="116"/>
      <c r="X73" s="212">
        <f>Q73+X17</f>
        <v>104971798.32999998</v>
      </c>
      <c r="Y73" s="116"/>
      <c r="Z73" s="116"/>
      <c r="AA73" s="116"/>
      <c r="AB73" s="116"/>
      <c r="AC73" s="116"/>
      <c r="AD73" s="116"/>
      <c r="AE73" s="212">
        <f>X73+AE17</f>
        <v>104971798.32999998</v>
      </c>
      <c r="AF73" s="116"/>
      <c r="AG73" s="116"/>
      <c r="AH73" s="116"/>
      <c r="AI73" s="116"/>
      <c r="AJ73" s="116"/>
      <c r="AK73" s="116"/>
      <c r="AL73" s="212">
        <f>AE73+AL17</f>
        <v>104971798.32999998</v>
      </c>
      <c r="AM73" s="116"/>
      <c r="AN73" s="116"/>
      <c r="AO73" s="116"/>
      <c r="AP73" s="116"/>
      <c r="AQ73" s="116"/>
      <c r="AR73" s="116"/>
      <c r="AS73" s="212">
        <f>AL73+AS17</f>
        <v>104971798.32999998</v>
      </c>
      <c r="AT73" s="116"/>
      <c r="AU73" s="116"/>
      <c r="AV73" s="116"/>
      <c r="AW73" s="116"/>
      <c r="AX73" s="116"/>
      <c r="AY73" s="116"/>
      <c r="AZ73" s="212">
        <f>AS73+AZ17</f>
        <v>104971798.32999998</v>
      </c>
      <c r="BA73" s="116"/>
      <c r="BB73" s="116"/>
      <c r="BC73" s="116"/>
      <c r="BD73" s="116"/>
      <c r="BE73" s="116"/>
      <c r="BF73" s="116"/>
      <c r="BG73" s="212">
        <f>AZ73+BG17</f>
        <v>104971798.32999998</v>
      </c>
      <c r="BH73" s="116"/>
      <c r="BI73" s="116"/>
      <c r="BJ73" s="116"/>
      <c r="BK73" s="116"/>
      <c r="BL73" s="116"/>
      <c r="BM73" s="116"/>
      <c r="BN73" s="212">
        <f>BG73+BN17</f>
        <v>104971798.32999998</v>
      </c>
      <c r="BO73" s="116"/>
      <c r="BP73" s="116"/>
      <c r="BQ73" s="116"/>
      <c r="BR73" s="116"/>
      <c r="BS73" s="116"/>
      <c r="BT73" s="116"/>
      <c r="BU73" s="212">
        <f>BN73+BU17</f>
        <v>104971798.32999998</v>
      </c>
      <c r="BV73" s="116"/>
      <c r="BW73" s="116"/>
      <c r="BX73" s="116"/>
      <c r="BY73" s="116"/>
      <c r="BZ73" s="116"/>
      <c r="CA73" s="116"/>
      <c r="CB73" s="212">
        <f>BU73+CB17</f>
        <v>104971798.32999998</v>
      </c>
      <c r="CC73" s="116"/>
      <c r="CD73" s="116"/>
      <c r="CE73" s="116"/>
      <c r="CF73" s="116"/>
      <c r="CG73" s="116"/>
      <c r="CH73" s="116"/>
      <c r="CI73" s="212">
        <f>CB73+CI17</f>
        <v>104971798.32999998</v>
      </c>
      <c r="CJ73" s="116"/>
      <c r="CK73" s="116"/>
      <c r="CL73" s="116"/>
      <c r="CM73" s="116"/>
      <c r="CN73" s="116"/>
      <c r="CO73" s="116"/>
      <c r="CP73" s="212"/>
      <c r="CQ73" s="154"/>
      <c r="CR73" s="146">
        <f t="shared" si="20"/>
        <v>5.366318454191138E-2</v>
      </c>
      <c r="CS73" s="146">
        <f t="shared" si="21"/>
        <v>5.3911583887818991E-2</v>
      </c>
      <c r="CT73" s="146">
        <f t="shared" si="22"/>
        <v>5.5666151560005241E-2</v>
      </c>
      <c r="CU73" s="146">
        <f t="shared" si="23"/>
        <v>5.5666151560005241E-2</v>
      </c>
      <c r="CV73" s="146">
        <f t="shared" si="24"/>
        <v>5.5666151560005241E-2</v>
      </c>
      <c r="CW73" s="146">
        <f t="shared" si="25"/>
        <v>5.5666151560005241E-2</v>
      </c>
      <c r="CX73" s="146">
        <f t="shared" si="26"/>
        <v>5.5666151560005241E-2</v>
      </c>
      <c r="CY73" s="146">
        <f t="shared" si="27"/>
        <v>5.5666151560005241E-2</v>
      </c>
      <c r="CZ73" s="146">
        <f t="shared" si="28"/>
        <v>5.5666151560005241E-2</v>
      </c>
      <c r="DA73" s="146">
        <f t="shared" si="17"/>
        <v>5.5666151560005241E-2</v>
      </c>
      <c r="DB73" s="146">
        <f t="shared" si="18"/>
        <v>5.5666151560005241E-2</v>
      </c>
      <c r="DC73" s="146">
        <f t="shared" si="19"/>
        <v>5.5666151560005241E-2</v>
      </c>
    </row>
    <row r="74" spans="2:107" ht="16" x14ac:dyDescent="0.2">
      <c r="B74" s="141" t="s">
        <v>419</v>
      </c>
      <c r="C74" s="207"/>
      <c r="D74" s="142"/>
      <c r="E74" s="142"/>
      <c r="F74" s="142"/>
      <c r="G74" s="142"/>
      <c r="H74" s="142"/>
      <c r="I74" s="142"/>
      <c r="J74" s="142">
        <f>J73</f>
        <v>104971798.32999998</v>
      </c>
      <c r="K74" s="143"/>
      <c r="L74" s="143"/>
      <c r="M74" s="143"/>
      <c r="N74" s="143"/>
      <c r="O74" s="143"/>
      <c r="P74" s="143"/>
      <c r="Q74" s="142">
        <f>Q73</f>
        <v>104971798.32999998</v>
      </c>
      <c r="R74" s="143"/>
      <c r="S74" s="143"/>
      <c r="T74" s="143"/>
      <c r="U74" s="143"/>
      <c r="V74" s="143"/>
      <c r="W74" s="143"/>
      <c r="X74" s="142">
        <f>X73</f>
        <v>104971798.32999998</v>
      </c>
      <c r="Y74" s="143"/>
      <c r="Z74" s="143"/>
      <c r="AA74" s="143"/>
      <c r="AB74" s="143"/>
      <c r="AC74" s="143"/>
      <c r="AD74" s="143"/>
      <c r="AE74" s="142">
        <f>AE73</f>
        <v>104971798.32999998</v>
      </c>
      <c r="AF74" s="143"/>
      <c r="AG74" s="143"/>
      <c r="AH74" s="143"/>
      <c r="AI74" s="143"/>
      <c r="AJ74" s="143"/>
      <c r="AK74" s="143"/>
      <c r="AL74" s="142">
        <f>AL73</f>
        <v>104971798.32999998</v>
      </c>
      <c r="AM74" s="143"/>
      <c r="AN74" s="143"/>
      <c r="AO74" s="143"/>
      <c r="AP74" s="143"/>
      <c r="AQ74" s="143"/>
      <c r="AR74" s="143"/>
      <c r="AS74" s="142">
        <f>AS73</f>
        <v>104971798.32999998</v>
      </c>
      <c r="AT74" s="143"/>
      <c r="AU74" s="143"/>
      <c r="AV74" s="143"/>
      <c r="AW74" s="143"/>
      <c r="AX74" s="143"/>
      <c r="AY74" s="143"/>
      <c r="AZ74" s="142">
        <f>AZ73</f>
        <v>104971798.32999998</v>
      </c>
      <c r="BA74" s="143"/>
      <c r="BB74" s="143"/>
      <c r="BC74" s="143"/>
      <c r="BD74" s="143"/>
      <c r="BE74" s="143"/>
      <c r="BF74" s="143"/>
      <c r="BG74" s="142">
        <f>BG73</f>
        <v>104971798.32999998</v>
      </c>
      <c r="BH74" s="143"/>
      <c r="BI74" s="143"/>
      <c r="BJ74" s="143"/>
      <c r="BK74" s="143"/>
      <c r="BL74" s="143"/>
      <c r="BM74" s="143"/>
      <c r="BN74" s="142">
        <f>BN73</f>
        <v>104971798.32999998</v>
      </c>
      <c r="BO74" s="143"/>
      <c r="BP74" s="143"/>
      <c r="BQ74" s="143"/>
      <c r="BR74" s="143"/>
      <c r="BS74" s="143"/>
      <c r="BT74" s="143"/>
      <c r="BU74" s="142">
        <f>BU73</f>
        <v>104971798.32999998</v>
      </c>
      <c r="BV74" s="143"/>
      <c r="BW74" s="143"/>
      <c r="BX74" s="143"/>
      <c r="BY74" s="143"/>
      <c r="BZ74" s="143"/>
      <c r="CA74" s="143"/>
      <c r="CB74" s="142">
        <f>CB73</f>
        <v>104971798.32999998</v>
      </c>
      <c r="CC74" s="143"/>
      <c r="CD74" s="143"/>
      <c r="CE74" s="143"/>
      <c r="CF74" s="143"/>
      <c r="CG74" s="143"/>
      <c r="CH74" s="143"/>
      <c r="CI74" s="142">
        <f>CI73</f>
        <v>104971798.32999998</v>
      </c>
      <c r="CJ74" s="143"/>
      <c r="CK74" s="143"/>
      <c r="CL74" s="143"/>
      <c r="CM74" s="143"/>
      <c r="CN74" s="143"/>
      <c r="CO74" s="143"/>
      <c r="CP74" s="142"/>
      <c r="CQ74" s="154"/>
      <c r="CR74" s="146">
        <f t="shared" si="20"/>
        <v>5.366318454191138E-2</v>
      </c>
      <c r="CS74" s="146">
        <f t="shared" si="21"/>
        <v>5.3911583887818991E-2</v>
      </c>
      <c r="CT74" s="146">
        <f t="shared" si="22"/>
        <v>5.5666151560005241E-2</v>
      </c>
      <c r="CU74" s="146">
        <f t="shared" si="23"/>
        <v>5.5666151560005241E-2</v>
      </c>
      <c r="CV74" s="146">
        <f t="shared" si="24"/>
        <v>5.5666151560005241E-2</v>
      </c>
      <c r="CW74" s="146">
        <f t="shared" si="25"/>
        <v>5.5666151560005241E-2</v>
      </c>
      <c r="CX74" s="146">
        <f t="shared" si="26"/>
        <v>5.5666151560005241E-2</v>
      </c>
      <c r="CY74" s="146">
        <f t="shared" si="27"/>
        <v>5.5666151560005241E-2</v>
      </c>
      <c r="CZ74" s="146">
        <f t="shared" si="28"/>
        <v>5.5666151560005241E-2</v>
      </c>
      <c r="DA74" s="146">
        <f t="shared" si="17"/>
        <v>5.5666151560005241E-2</v>
      </c>
      <c r="DB74" s="146">
        <f t="shared" si="18"/>
        <v>5.5666151560005241E-2</v>
      </c>
      <c r="DC74" s="146">
        <f t="shared" si="19"/>
        <v>5.5666151560005241E-2</v>
      </c>
    </row>
    <row r="75" spans="2:107" ht="16" x14ac:dyDescent="0.2">
      <c r="B75" s="141" t="s">
        <v>420</v>
      </c>
      <c r="C75" s="207"/>
      <c r="D75" s="142"/>
      <c r="E75" s="142"/>
      <c r="F75" s="142"/>
      <c r="G75" s="142"/>
      <c r="H75" s="142"/>
      <c r="I75" s="142"/>
      <c r="J75" s="142">
        <f>J72+J74</f>
        <v>104971798.32999998</v>
      </c>
      <c r="K75" s="143"/>
      <c r="L75" s="143"/>
      <c r="M75" s="143"/>
      <c r="N75" s="143"/>
      <c r="O75" s="143"/>
      <c r="P75" s="143"/>
      <c r="Q75" s="142">
        <f>Q72+Q74</f>
        <v>104971798.32999998</v>
      </c>
      <c r="R75" s="143"/>
      <c r="S75" s="143"/>
      <c r="T75" s="143"/>
      <c r="U75" s="143"/>
      <c r="V75" s="143"/>
      <c r="W75" s="143"/>
      <c r="X75" s="142">
        <f>X72+X74</f>
        <v>104971798.32999998</v>
      </c>
      <c r="Y75" s="143"/>
      <c r="Z75" s="143"/>
      <c r="AA75" s="143"/>
      <c r="AB75" s="143"/>
      <c r="AC75" s="143"/>
      <c r="AD75" s="143"/>
      <c r="AE75" s="142">
        <f>AE72+AE74</f>
        <v>104971798.32999998</v>
      </c>
      <c r="AF75" s="143"/>
      <c r="AG75" s="143"/>
      <c r="AH75" s="143"/>
      <c r="AI75" s="143"/>
      <c r="AJ75" s="143"/>
      <c r="AK75" s="143"/>
      <c r="AL75" s="142">
        <f>AL72+AL74</f>
        <v>104971798.32999998</v>
      </c>
      <c r="AM75" s="143"/>
      <c r="AN75" s="143"/>
      <c r="AO75" s="143"/>
      <c r="AP75" s="143"/>
      <c r="AQ75" s="143"/>
      <c r="AR75" s="143"/>
      <c r="AS75" s="142">
        <f>AS72+AS74</f>
        <v>104971798.32999998</v>
      </c>
      <c r="AT75" s="143"/>
      <c r="AU75" s="143"/>
      <c r="AV75" s="143"/>
      <c r="AW75" s="143"/>
      <c r="AX75" s="143"/>
      <c r="AY75" s="143"/>
      <c r="AZ75" s="142">
        <f>AZ72+AZ74</f>
        <v>104971798.32999998</v>
      </c>
      <c r="BA75" s="143"/>
      <c r="BB75" s="143"/>
      <c r="BC75" s="143"/>
      <c r="BD75" s="143"/>
      <c r="BE75" s="143"/>
      <c r="BF75" s="143"/>
      <c r="BG75" s="142">
        <f>BG72+BG74</f>
        <v>104971798.32999998</v>
      </c>
      <c r="BH75" s="143"/>
      <c r="BI75" s="143"/>
      <c r="BJ75" s="143"/>
      <c r="BK75" s="143"/>
      <c r="BL75" s="143"/>
      <c r="BM75" s="143"/>
      <c r="BN75" s="142">
        <f>BN72+BN74</f>
        <v>104971798.32999998</v>
      </c>
      <c r="BO75" s="143"/>
      <c r="BP75" s="143"/>
      <c r="BQ75" s="143"/>
      <c r="BR75" s="143"/>
      <c r="BS75" s="143"/>
      <c r="BT75" s="143"/>
      <c r="BU75" s="142">
        <f>BU72+BU74</f>
        <v>104971798.32999998</v>
      </c>
      <c r="BV75" s="143"/>
      <c r="BW75" s="143"/>
      <c r="BX75" s="143"/>
      <c r="BY75" s="143"/>
      <c r="BZ75" s="143"/>
      <c r="CA75" s="143"/>
      <c r="CB75" s="142">
        <f>CB72+CB74</f>
        <v>104971798.32999998</v>
      </c>
      <c r="CC75" s="143"/>
      <c r="CD75" s="143"/>
      <c r="CE75" s="143"/>
      <c r="CF75" s="143"/>
      <c r="CG75" s="143"/>
      <c r="CH75" s="143"/>
      <c r="CI75" s="142">
        <f>CI72+CI74</f>
        <v>104971798.32999998</v>
      </c>
      <c r="CJ75" s="143"/>
      <c r="CK75" s="143"/>
      <c r="CL75" s="143"/>
      <c r="CM75" s="143"/>
      <c r="CN75" s="143"/>
      <c r="CO75" s="143"/>
      <c r="CP75" s="142"/>
      <c r="CQ75" s="154"/>
      <c r="CR75" s="145">
        <f t="shared" si="20"/>
        <v>5.366318454191138E-2</v>
      </c>
      <c r="CS75" s="145">
        <f t="shared" si="21"/>
        <v>5.3911583887818991E-2</v>
      </c>
      <c r="CT75" s="145">
        <f t="shared" si="22"/>
        <v>5.5666151560005241E-2</v>
      </c>
      <c r="CU75" s="145">
        <f t="shared" si="23"/>
        <v>5.5666151560005241E-2</v>
      </c>
      <c r="CV75" s="145">
        <f t="shared" si="24"/>
        <v>5.5666151560005241E-2</v>
      </c>
      <c r="CW75" s="145">
        <f t="shared" si="25"/>
        <v>5.5666151560005241E-2</v>
      </c>
      <c r="CX75" s="145">
        <f t="shared" si="26"/>
        <v>5.5666151560005241E-2</v>
      </c>
      <c r="CY75" s="145">
        <f t="shared" si="27"/>
        <v>5.5666151560005241E-2</v>
      </c>
      <c r="CZ75" s="145">
        <f t="shared" si="28"/>
        <v>5.5666151560005241E-2</v>
      </c>
      <c r="DA75" s="145">
        <f t="shared" si="17"/>
        <v>5.5666151560005241E-2</v>
      </c>
      <c r="DB75" s="145">
        <f t="shared" si="18"/>
        <v>5.5666151560005241E-2</v>
      </c>
      <c r="DC75" s="145">
        <f t="shared" si="19"/>
        <v>5.5666151560005241E-2</v>
      </c>
    </row>
    <row r="76" spans="2:107" ht="16" x14ac:dyDescent="0.2">
      <c r="B76" s="105" t="s">
        <v>421</v>
      </c>
      <c r="D76" s="134"/>
      <c r="E76" s="134"/>
      <c r="F76" s="134"/>
      <c r="G76" s="158"/>
      <c r="H76" s="158"/>
      <c r="I76" s="158"/>
      <c r="J76" s="158">
        <f>J64</f>
        <v>1885738377.5999999</v>
      </c>
      <c r="K76" s="134"/>
      <c r="L76" s="134"/>
      <c r="M76" s="134"/>
      <c r="N76" s="158"/>
      <c r="O76" s="158"/>
      <c r="P76" s="158"/>
      <c r="Q76" s="158">
        <f>Q64</f>
        <v>1885738377.5999999</v>
      </c>
      <c r="R76" s="158"/>
      <c r="S76" s="158"/>
      <c r="T76" s="158"/>
      <c r="U76" s="158"/>
      <c r="V76" s="158"/>
      <c r="W76" s="158"/>
      <c r="X76" s="158">
        <f>X64</f>
        <v>1885738377.5999999</v>
      </c>
      <c r="Y76" s="158"/>
      <c r="Z76" s="158"/>
      <c r="AA76" s="158"/>
      <c r="AB76" s="158"/>
      <c r="AC76" s="158"/>
      <c r="AD76" s="158"/>
      <c r="AE76" s="158">
        <f>AE64</f>
        <v>1885738377.5999999</v>
      </c>
      <c r="AF76" s="158"/>
      <c r="AG76" s="158"/>
      <c r="AH76" s="158"/>
      <c r="AI76" s="158"/>
      <c r="AJ76" s="158"/>
      <c r="AK76" s="158"/>
      <c r="AL76" s="158">
        <f>AL64</f>
        <v>1885738377.5999999</v>
      </c>
      <c r="AM76" s="158"/>
      <c r="AN76" s="158"/>
      <c r="AO76" s="158"/>
      <c r="AP76" s="158"/>
      <c r="AQ76" s="158"/>
      <c r="AR76" s="158"/>
      <c r="AS76" s="158">
        <f>AS64</f>
        <v>1885738377.5999999</v>
      </c>
      <c r="AT76" s="158"/>
      <c r="AU76" s="158"/>
      <c r="AV76" s="158"/>
      <c r="AW76" s="158"/>
      <c r="AX76" s="158"/>
      <c r="AY76" s="158"/>
      <c r="AZ76" s="158">
        <f>AZ64</f>
        <v>1885738377.5999999</v>
      </c>
      <c r="BA76" s="158"/>
      <c r="BB76" s="158"/>
      <c r="BC76" s="158"/>
      <c r="BD76" s="158"/>
      <c r="BE76" s="158"/>
      <c r="BF76" s="158"/>
      <c r="BG76" s="158">
        <f>BG64</f>
        <v>1885738377.5999999</v>
      </c>
      <c r="BH76" s="158"/>
      <c r="BI76" s="158"/>
      <c r="BJ76" s="158"/>
      <c r="BK76" s="158"/>
      <c r="BL76" s="158"/>
      <c r="BM76" s="158"/>
      <c r="BN76" s="158">
        <f>BN64</f>
        <v>1885738377.5999999</v>
      </c>
      <c r="BO76" s="158"/>
      <c r="BP76" s="158"/>
      <c r="BQ76" s="158"/>
      <c r="BR76" s="158"/>
      <c r="BS76" s="158"/>
      <c r="BT76" s="158"/>
      <c r="BU76" s="158">
        <f>BU64</f>
        <v>1885738377.5999999</v>
      </c>
      <c r="BV76" s="158"/>
      <c r="BW76" s="158"/>
      <c r="BX76" s="158"/>
      <c r="BY76" s="158"/>
      <c r="BZ76" s="158"/>
      <c r="CA76" s="158"/>
      <c r="CB76" s="158">
        <f>CB64</f>
        <v>1885738377.5999999</v>
      </c>
      <c r="CC76" s="158"/>
      <c r="CD76" s="158"/>
      <c r="CE76" s="158"/>
      <c r="CF76" s="158"/>
      <c r="CG76" s="158"/>
      <c r="CH76" s="158"/>
      <c r="CI76" s="158">
        <f>CI64</f>
        <v>1885738377.5999999</v>
      </c>
      <c r="CJ76" s="158"/>
      <c r="CK76" s="158"/>
      <c r="CL76" s="158"/>
      <c r="CM76" s="158"/>
      <c r="CN76" s="158"/>
      <c r="CO76" s="158"/>
      <c r="CP76" s="158"/>
      <c r="CQ76" s="154"/>
      <c r="CR76" s="139">
        <f t="shared" si="20"/>
        <v>0.96401822360694778</v>
      </c>
      <c r="CS76" s="139">
        <f t="shared" si="21"/>
        <v>0.96848052859743827</v>
      </c>
      <c r="CT76" s="139">
        <f t="shared" si="22"/>
        <v>1</v>
      </c>
      <c r="CU76" s="139">
        <f t="shared" si="23"/>
        <v>1</v>
      </c>
      <c r="CV76" s="139">
        <f t="shared" si="24"/>
        <v>1</v>
      </c>
      <c r="CW76" s="139">
        <f t="shared" si="25"/>
        <v>1</v>
      </c>
      <c r="CX76" s="139">
        <f t="shared" si="26"/>
        <v>1</v>
      </c>
      <c r="CY76" s="139">
        <f t="shared" si="27"/>
        <v>1</v>
      </c>
      <c r="CZ76" s="139">
        <f t="shared" si="28"/>
        <v>1</v>
      </c>
      <c r="DA76" s="139">
        <f t="shared" si="17"/>
        <v>1</v>
      </c>
      <c r="DB76" s="139">
        <f t="shared" si="18"/>
        <v>1</v>
      </c>
      <c r="DC76" s="139">
        <f t="shared" si="19"/>
        <v>1</v>
      </c>
    </row>
    <row r="77" spans="2:107" ht="16" x14ac:dyDescent="0.2">
      <c r="B77" s="105" t="s">
        <v>422</v>
      </c>
      <c r="D77" s="134"/>
      <c r="E77" s="134"/>
      <c r="F77" s="134"/>
      <c r="G77" s="158"/>
      <c r="H77" s="158"/>
      <c r="I77" s="158"/>
      <c r="K77" s="134"/>
      <c r="L77" s="134"/>
      <c r="M77" s="134"/>
      <c r="N77" s="158"/>
      <c r="O77" s="158"/>
      <c r="P77" s="158"/>
      <c r="R77" s="158"/>
      <c r="S77" s="158"/>
      <c r="T77" s="158"/>
      <c r="U77" s="158"/>
      <c r="V77" s="158"/>
      <c r="Y77" s="158"/>
      <c r="Z77" s="158"/>
      <c r="AA77" s="158"/>
      <c r="AB77" s="158"/>
      <c r="AC77" s="158"/>
      <c r="AF77" s="158"/>
      <c r="AG77" s="158"/>
      <c r="AH77" s="158"/>
      <c r="AI77" s="158"/>
      <c r="AJ77" s="158"/>
      <c r="AM77" s="158"/>
      <c r="AN77" s="158"/>
      <c r="AO77" s="158"/>
      <c r="AP77" s="158"/>
      <c r="AQ77" s="158"/>
      <c r="AT77" s="158"/>
      <c r="AU77" s="158"/>
      <c r="AV77" s="158"/>
      <c r="AW77" s="158"/>
      <c r="AX77" s="158"/>
      <c r="BA77" s="158"/>
      <c r="BB77" s="158"/>
      <c r="BC77" s="158"/>
      <c r="BD77" s="158"/>
      <c r="BE77" s="158"/>
      <c r="BH77" s="158"/>
      <c r="BI77" s="158"/>
      <c r="BJ77" s="158"/>
      <c r="BK77" s="158"/>
      <c r="BL77" s="158"/>
      <c r="BO77" s="158"/>
      <c r="BP77" s="158"/>
      <c r="BQ77" s="158"/>
      <c r="BR77" s="158"/>
      <c r="BS77" s="158"/>
      <c r="BV77" s="158"/>
      <c r="BW77" s="158"/>
      <c r="BX77" s="158"/>
      <c r="BY77" s="158"/>
      <c r="BZ77" s="158"/>
      <c r="CC77" s="158"/>
      <c r="CD77" s="158"/>
      <c r="CE77" s="158"/>
      <c r="CF77" s="158"/>
      <c r="CG77" s="158"/>
      <c r="CJ77" s="158"/>
      <c r="CK77" s="158"/>
      <c r="CL77" s="158"/>
      <c r="CM77" s="158"/>
      <c r="CN77" s="158"/>
      <c r="CQ77" s="154"/>
      <c r="CR77" s="139">
        <f t="shared" si="20"/>
        <v>0</v>
      </c>
      <c r="CS77" s="139">
        <f t="shared" si="21"/>
        <v>0</v>
      </c>
      <c r="CT77" s="139">
        <f t="shared" si="22"/>
        <v>0</v>
      </c>
      <c r="CU77" s="139">
        <f t="shared" si="23"/>
        <v>0</v>
      </c>
      <c r="CV77" s="139">
        <f t="shared" si="24"/>
        <v>0</v>
      </c>
      <c r="CW77" s="139">
        <f t="shared" si="25"/>
        <v>0</v>
      </c>
      <c r="CX77" s="139">
        <f t="shared" si="26"/>
        <v>0</v>
      </c>
      <c r="CY77" s="139">
        <f t="shared" si="27"/>
        <v>0</v>
      </c>
      <c r="CZ77" s="139">
        <f t="shared" si="28"/>
        <v>0</v>
      </c>
      <c r="DA77" s="139">
        <f t="shared" si="17"/>
        <v>0</v>
      </c>
      <c r="DB77" s="139">
        <f t="shared" si="18"/>
        <v>0</v>
      </c>
      <c r="DC77" s="139">
        <f t="shared" si="19"/>
        <v>0</v>
      </c>
    </row>
    <row r="78" spans="2:107" ht="16" x14ac:dyDescent="0.2">
      <c r="B78" s="105" t="s">
        <v>423</v>
      </c>
      <c r="D78" s="134"/>
      <c r="E78" s="134"/>
      <c r="F78" s="134"/>
      <c r="G78" s="158"/>
      <c r="H78" s="158"/>
      <c r="I78" s="158"/>
      <c r="K78" s="134"/>
      <c r="L78" s="134"/>
      <c r="M78" s="134"/>
      <c r="N78" s="158"/>
      <c r="O78" s="158"/>
      <c r="P78" s="158"/>
      <c r="R78" s="158"/>
      <c r="S78" s="158"/>
      <c r="T78" s="158"/>
      <c r="U78" s="158"/>
      <c r="V78" s="158"/>
      <c r="Y78" s="158"/>
      <c r="Z78" s="158"/>
      <c r="AA78" s="158"/>
      <c r="AB78" s="158"/>
      <c r="AC78" s="158"/>
      <c r="AF78" s="158"/>
      <c r="AG78" s="158"/>
      <c r="AH78" s="158"/>
      <c r="AI78" s="158"/>
      <c r="AJ78" s="158"/>
      <c r="AM78" s="158"/>
      <c r="AN78" s="158"/>
      <c r="AO78" s="158"/>
      <c r="AP78" s="158"/>
      <c r="AQ78" s="158"/>
      <c r="AT78" s="158"/>
      <c r="AU78" s="158"/>
      <c r="AV78" s="158"/>
      <c r="AW78" s="158"/>
      <c r="AX78" s="158"/>
      <c r="BA78" s="158"/>
      <c r="BB78" s="158"/>
      <c r="BC78" s="158"/>
      <c r="BD78" s="158"/>
      <c r="BE78" s="158"/>
      <c r="BH78" s="158"/>
      <c r="BI78" s="158"/>
      <c r="BJ78" s="158"/>
      <c r="BK78" s="158"/>
      <c r="BL78" s="158"/>
      <c r="BO78" s="158"/>
      <c r="BP78" s="158"/>
      <c r="BQ78" s="158"/>
      <c r="BR78" s="158"/>
      <c r="BS78" s="158"/>
      <c r="BV78" s="158"/>
      <c r="BW78" s="158"/>
      <c r="BX78" s="158"/>
      <c r="BY78" s="158"/>
      <c r="BZ78" s="158"/>
      <c r="CC78" s="158"/>
      <c r="CD78" s="158"/>
      <c r="CE78" s="158"/>
      <c r="CF78" s="158"/>
      <c r="CG78" s="158"/>
      <c r="CJ78" s="158"/>
      <c r="CK78" s="158"/>
      <c r="CL78" s="158"/>
      <c r="CM78" s="158"/>
      <c r="CN78" s="158"/>
      <c r="CQ78" s="154"/>
      <c r="CR78" s="139">
        <f t="shared" si="20"/>
        <v>0</v>
      </c>
      <c r="CS78" s="139">
        <f t="shared" si="21"/>
        <v>0</v>
      </c>
      <c r="CT78" s="139">
        <f t="shared" si="22"/>
        <v>0</v>
      </c>
      <c r="CU78" s="139">
        <f t="shared" si="23"/>
        <v>0</v>
      </c>
      <c r="CV78" s="139">
        <f t="shared" si="24"/>
        <v>0</v>
      </c>
      <c r="CW78" s="139">
        <f t="shared" si="25"/>
        <v>0</v>
      </c>
      <c r="CX78" s="139">
        <f t="shared" si="26"/>
        <v>0</v>
      </c>
      <c r="CY78" s="139">
        <f t="shared" si="27"/>
        <v>0</v>
      </c>
      <c r="CZ78" s="139">
        <f t="shared" si="28"/>
        <v>0</v>
      </c>
      <c r="DA78" s="139">
        <f t="shared" si="17"/>
        <v>0</v>
      </c>
      <c r="DB78" s="139">
        <f t="shared" si="18"/>
        <v>0</v>
      </c>
      <c r="DC78" s="139">
        <f t="shared" si="19"/>
        <v>0</v>
      </c>
    </row>
    <row r="79" spans="2:107" x14ac:dyDescent="0.2">
      <c r="B79" s="105" t="s">
        <v>424</v>
      </c>
      <c r="D79" s="134"/>
      <c r="E79" s="134"/>
      <c r="F79" s="134"/>
      <c r="G79" s="159"/>
      <c r="H79" s="159"/>
      <c r="I79" s="159"/>
      <c r="J79" s="137">
        <f>J48</f>
        <v>1809984.53</v>
      </c>
      <c r="K79" s="137"/>
      <c r="L79" s="137"/>
      <c r="M79" s="137"/>
      <c r="N79" s="137"/>
      <c r="O79" s="137"/>
      <c r="P79" s="137"/>
      <c r="Q79" s="137">
        <f>Q48</f>
        <v>-5163682.3499999996</v>
      </c>
      <c r="R79" s="137"/>
      <c r="S79" s="137"/>
      <c r="T79" s="137"/>
      <c r="U79" s="137"/>
      <c r="V79" s="137"/>
      <c r="W79" s="137"/>
      <c r="X79" s="137">
        <f>X48</f>
        <v>3078802.53</v>
      </c>
      <c r="Y79" s="137"/>
      <c r="Z79" s="137"/>
      <c r="AA79" s="137"/>
      <c r="AB79" s="137"/>
      <c r="AC79" s="137"/>
      <c r="AD79" s="137"/>
      <c r="AE79" s="137">
        <f>AE48</f>
        <v>5497802.5300000003</v>
      </c>
      <c r="AF79" s="137"/>
      <c r="AG79" s="137"/>
      <c r="AH79" s="137"/>
      <c r="AI79" s="137"/>
      <c r="AJ79" s="137"/>
      <c r="AK79" s="137"/>
      <c r="AL79" s="137">
        <f>AL48</f>
        <v>5073902.53</v>
      </c>
      <c r="AM79" s="137"/>
      <c r="AN79" s="137"/>
      <c r="AO79" s="137"/>
      <c r="AP79" s="137"/>
      <c r="AQ79" s="137"/>
      <c r="AR79" s="137"/>
      <c r="AS79" s="137">
        <f>AS48</f>
        <v>5336452.53</v>
      </c>
      <c r="AT79" s="137"/>
      <c r="AU79" s="137"/>
      <c r="AV79" s="137"/>
      <c r="AW79" s="137"/>
      <c r="AX79" s="137"/>
      <c r="AY79" s="137"/>
      <c r="AZ79" s="137">
        <f>AZ48</f>
        <v>4859127.13</v>
      </c>
      <c r="BA79" s="137"/>
      <c r="BB79" s="137"/>
      <c r="BC79" s="137"/>
      <c r="BD79" s="137"/>
      <c r="BE79" s="137"/>
      <c r="BF79" s="137"/>
      <c r="BG79" s="137">
        <f>BG48</f>
        <v>6604058.1299999999</v>
      </c>
      <c r="BH79" s="137"/>
      <c r="BI79" s="137"/>
      <c r="BJ79" s="137"/>
      <c r="BK79" s="137"/>
      <c r="BL79" s="137"/>
      <c r="BM79" s="137"/>
      <c r="BN79" s="137">
        <f>BN48</f>
        <v>4061158.13</v>
      </c>
      <c r="BO79" s="137"/>
      <c r="BP79" s="137"/>
      <c r="BQ79" s="137"/>
      <c r="BR79" s="137"/>
      <c r="BS79" s="137"/>
      <c r="BT79" s="137"/>
      <c r="BU79" s="137">
        <f>BU48</f>
        <v>3154058.1299999994</v>
      </c>
      <c r="BV79" s="137"/>
      <c r="BW79" s="137"/>
      <c r="BX79" s="137"/>
      <c r="BY79" s="137"/>
      <c r="BZ79" s="137"/>
      <c r="CA79" s="137"/>
      <c r="CB79" s="137">
        <f>CB48</f>
        <v>6604058.1299999999</v>
      </c>
      <c r="CC79" s="137"/>
      <c r="CD79" s="137"/>
      <c r="CE79" s="137"/>
      <c r="CF79" s="137"/>
      <c r="CG79" s="137"/>
      <c r="CH79" s="137"/>
      <c r="CI79" s="137">
        <f>CI48</f>
        <v>5822523.1299999999</v>
      </c>
      <c r="CJ79" s="137"/>
      <c r="CK79" s="137"/>
      <c r="CL79" s="137"/>
      <c r="CM79" s="137"/>
      <c r="CN79" s="137"/>
      <c r="CO79" s="137"/>
      <c r="CP79" s="137"/>
      <c r="CQ79" s="154"/>
      <c r="CR79" s="139">
        <f t="shared" si="20"/>
        <v>9.2529170116766491E-4</v>
      </c>
      <c r="CS79" s="139">
        <f t="shared" si="21"/>
        <v>-2.6519722307407224E-3</v>
      </c>
      <c r="CT79" s="139">
        <f t="shared" si="22"/>
        <v>1.6326774522765061E-3</v>
      </c>
      <c r="CU79" s="139">
        <f t="shared" si="23"/>
        <v>2.9154640936974057E-3</v>
      </c>
      <c r="CV79" s="139">
        <f t="shared" si="24"/>
        <v>2.6906715111019866E-3</v>
      </c>
      <c r="CW79" s="139">
        <f t="shared" si="25"/>
        <v>2.8299007929147428E-3</v>
      </c>
      <c r="CX79" s="139">
        <f t="shared" si="26"/>
        <v>2.5767769207647269E-3</v>
      </c>
      <c r="CY79" s="139">
        <f t="shared" si="27"/>
        <v>3.5021072957135539E-3</v>
      </c>
      <c r="CZ79" s="139">
        <f t="shared" si="28"/>
        <v>2.1536169482686569E-3</v>
      </c>
      <c r="DA79" s="139">
        <f t="shared" si="17"/>
        <v>1.6725852151422001E-3</v>
      </c>
      <c r="DB79" s="139">
        <f t="shared" si="18"/>
        <v>3.5021072957135539E-3</v>
      </c>
      <c r="DC79" s="139">
        <f t="shared" si="19"/>
        <v>3.0876622118760659E-3</v>
      </c>
    </row>
    <row r="80" spans="2:107" x14ac:dyDescent="0.2">
      <c r="B80" s="105" t="s">
        <v>425</v>
      </c>
      <c r="D80" s="134"/>
      <c r="E80" s="134"/>
      <c r="F80" s="134"/>
      <c r="G80" s="133"/>
      <c r="H80" s="133"/>
      <c r="I80" s="133"/>
      <c r="J80" s="137">
        <f>'EEFF 2025'!CI78+'EEFF 2025'!CI77-12108994.05</f>
        <v>-36391019.379999988</v>
      </c>
      <c r="K80" s="137">
        <f t="shared" ref="K80:P80" si="29">D80+K79</f>
        <v>0</v>
      </c>
      <c r="L80" s="137">
        <f t="shared" si="29"/>
        <v>0</v>
      </c>
      <c r="M80" s="137">
        <f t="shared" si="29"/>
        <v>0</v>
      </c>
      <c r="N80" s="137">
        <f t="shared" si="29"/>
        <v>0</v>
      </c>
      <c r="O80" s="137">
        <f t="shared" si="29"/>
        <v>0</v>
      </c>
      <c r="P80" s="137">
        <f t="shared" si="29"/>
        <v>0</v>
      </c>
      <c r="Q80" s="137">
        <f>J80+J79</f>
        <v>-34581034.849999987</v>
      </c>
      <c r="R80" s="133"/>
      <c r="S80" s="133"/>
      <c r="T80" s="133"/>
      <c r="U80" s="133"/>
      <c r="V80" s="133"/>
      <c r="X80" s="137">
        <f>Q80+Q79</f>
        <v>-39744717.199999988</v>
      </c>
      <c r="Y80" s="133"/>
      <c r="Z80" s="133"/>
      <c r="AA80" s="133"/>
      <c r="AB80" s="133"/>
      <c r="AC80" s="133"/>
      <c r="AE80" s="137">
        <f>X80+X79</f>
        <v>-36665914.669999987</v>
      </c>
      <c r="AF80" s="133"/>
      <c r="AG80" s="133"/>
      <c r="AH80" s="133"/>
      <c r="AI80" s="133"/>
      <c r="AJ80" s="133"/>
      <c r="AL80" s="137">
        <f>AE80+AE79</f>
        <v>-31168112.139999986</v>
      </c>
      <c r="AM80" s="133"/>
      <c r="AN80" s="133"/>
      <c r="AO80" s="133"/>
      <c r="AP80" s="133"/>
      <c r="AQ80" s="133"/>
      <c r="AS80" s="137">
        <f>AL80+AL79</f>
        <v>-26094209.609999985</v>
      </c>
      <c r="AT80" s="133"/>
      <c r="AU80" s="133"/>
      <c r="AV80" s="133"/>
      <c r="AW80" s="133"/>
      <c r="AX80" s="133"/>
      <c r="AZ80" s="137">
        <f>AS80+AS79</f>
        <v>-20757757.079999983</v>
      </c>
      <c r="BA80" s="133"/>
      <c r="BB80" s="133"/>
      <c r="BC80" s="133"/>
      <c r="BD80" s="133"/>
      <c r="BE80" s="133"/>
      <c r="BG80" s="137">
        <f>AZ80+AZ79</f>
        <v>-15898629.949999984</v>
      </c>
      <c r="BH80" s="133"/>
      <c r="BI80" s="133"/>
      <c r="BJ80" s="133"/>
      <c r="BK80" s="133"/>
      <c r="BL80" s="133"/>
      <c r="BN80" s="137">
        <f>BG80+BG79</f>
        <v>-9294571.8199999854</v>
      </c>
      <c r="BO80" s="133"/>
      <c r="BP80" s="133"/>
      <c r="BQ80" s="133"/>
      <c r="BR80" s="133"/>
      <c r="BS80" s="133"/>
      <c r="BU80" s="137">
        <f>BN80+BN79</f>
        <v>-5233413.6899999855</v>
      </c>
      <c r="BV80" s="133"/>
      <c r="BW80" s="133"/>
      <c r="BX80" s="133"/>
      <c r="BY80" s="133"/>
      <c r="BZ80" s="133"/>
      <c r="CB80" s="137">
        <f>BU80+BU79</f>
        <v>-2079355.5599999861</v>
      </c>
      <c r="CC80" s="133"/>
      <c r="CD80" s="133"/>
      <c r="CE80" s="133"/>
      <c r="CF80" s="133"/>
      <c r="CG80" s="133"/>
      <c r="CI80" s="137">
        <f>CB80+CB79</f>
        <v>4524702.5700000133</v>
      </c>
      <c r="CJ80" s="133"/>
      <c r="CK80" s="133"/>
      <c r="CL80" s="133"/>
      <c r="CM80" s="133"/>
      <c r="CN80" s="133"/>
      <c r="CP80" s="137"/>
      <c r="CR80" s="139">
        <f t="shared" si="20"/>
        <v>-1.8603644214210853E-2</v>
      </c>
      <c r="CS80" s="139">
        <f t="shared" si="21"/>
        <v>-1.7760183124447444E-2</v>
      </c>
      <c r="CT80" s="139">
        <f t="shared" si="22"/>
        <v>-2.1076474696656241E-2</v>
      </c>
      <c r="CU80" s="139">
        <f t="shared" si="23"/>
        <v>-1.9443797244379734E-2</v>
      </c>
      <c r="CV80" s="139">
        <f t="shared" si="24"/>
        <v>-1.6528333150682327E-2</v>
      </c>
      <c r="CW80" s="139">
        <f t="shared" si="25"/>
        <v>-1.3837661639580339E-2</v>
      </c>
      <c r="CX80" s="139">
        <f t="shared" si="26"/>
        <v>-1.1007760846665597E-2</v>
      </c>
      <c r="CY80" s="139">
        <f t="shared" si="27"/>
        <v>-8.4309839259008694E-3</v>
      </c>
      <c r="CZ80" s="139">
        <f t="shared" si="28"/>
        <v>-4.9288766301873168E-3</v>
      </c>
      <c r="DA80" s="139">
        <f t="shared" si="17"/>
        <v>-2.77525968191866E-3</v>
      </c>
      <c r="DB80" s="139">
        <f t="shared" si="18"/>
        <v>-1.1026744667764596E-3</v>
      </c>
      <c r="DC80" s="139">
        <f t="shared" si="19"/>
        <v>2.3994328289370938E-3</v>
      </c>
    </row>
    <row r="81" spans="2:107" ht="16" x14ac:dyDescent="0.2">
      <c r="B81" s="141" t="s">
        <v>426</v>
      </c>
      <c r="C81" s="207"/>
      <c r="D81" s="142"/>
      <c r="E81" s="142"/>
      <c r="F81" s="142"/>
      <c r="G81" s="142"/>
      <c r="H81" s="142"/>
      <c r="I81" s="142"/>
      <c r="J81" s="142">
        <f>SUM(J76:J80)</f>
        <v>1851157342.75</v>
      </c>
      <c r="K81" s="142"/>
      <c r="L81" s="142"/>
      <c r="M81" s="142"/>
      <c r="N81" s="142"/>
      <c r="O81" s="142"/>
      <c r="P81" s="142"/>
      <c r="Q81" s="142">
        <f>SUM(Q76:Q80)</f>
        <v>1845993660.4000001</v>
      </c>
      <c r="R81" s="142"/>
      <c r="S81" s="142"/>
      <c r="T81" s="142"/>
      <c r="U81" s="142"/>
      <c r="V81" s="142"/>
      <c r="W81" s="142"/>
      <c r="X81" s="142">
        <f>SUM(X76:X80)</f>
        <v>1849072462.9299998</v>
      </c>
      <c r="Y81" s="143"/>
      <c r="Z81" s="143"/>
      <c r="AA81" s="143"/>
      <c r="AB81" s="143"/>
      <c r="AC81" s="143"/>
      <c r="AD81" s="143"/>
      <c r="AE81" s="142">
        <f>SUM(AE76:AE80)</f>
        <v>1854570265.4599998</v>
      </c>
      <c r="AF81" s="143"/>
      <c r="AG81" s="143"/>
      <c r="AH81" s="143"/>
      <c r="AI81" s="143"/>
      <c r="AJ81" s="143"/>
      <c r="AK81" s="143"/>
      <c r="AL81" s="142">
        <f>SUM(AL76:AL80)</f>
        <v>1859644167.9899998</v>
      </c>
      <c r="AM81" s="143"/>
      <c r="AN81" s="143"/>
      <c r="AO81" s="143"/>
      <c r="AP81" s="143"/>
      <c r="AQ81" s="143"/>
      <c r="AR81" s="143"/>
      <c r="AS81" s="142">
        <f>SUM(AS76:AS80)</f>
        <v>1864980620.52</v>
      </c>
      <c r="AT81" s="143"/>
      <c r="AU81" s="143"/>
      <c r="AV81" s="143"/>
      <c r="AW81" s="143"/>
      <c r="AX81" s="143"/>
      <c r="AY81" s="143"/>
      <c r="AZ81" s="142">
        <f>SUM(AZ76:AZ80)</f>
        <v>1869839747.6500001</v>
      </c>
      <c r="BA81" s="143"/>
      <c r="BB81" s="143"/>
      <c r="BC81" s="143"/>
      <c r="BD81" s="143"/>
      <c r="BE81" s="143"/>
      <c r="BF81" s="143"/>
      <c r="BG81" s="142">
        <f>SUM(BG76:BG80)</f>
        <v>1876443805.78</v>
      </c>
      <c r="BH81" s="143"/>
      <c r="BI81" s="143"/>
      <c r="BJ81" s="143"/>
      <c r="BK81" s="143"/>
      <c r="BL81" s="143"/>
      <c r="BM81" s="143"/>
      <c r="BN81" s="142">
        <f>SUM(BN76:BN80)</f>
        <v>1880504963.9100001</v>
      </c>
      <c r="BO81" s="143"/>
      <c r="BP81" s="143"/>
      <c r="BQ81" s="143"/>
      <c r="BR81" s="143"/>
      <c r="BS81" s="143"/>
      <c r="BT81" s="143"/>
      <c r="BU81" s="142">
        <f>SUM(BU76:BU80)</f>
        <v>1883659022.04</v>
      </c>
      <c r="BV81" s="143"/>
      <c r="BW81" s="143"/>
      <c r="BX81" s="143"/>
      <c r="BY81" s="143"/>
      <c r="BZ81" s="143"/>
      <c r="CA81" s="143"/>
      <c r="CB81" s="142">
        <f>SUM(CB76:CB80)</f>
        <v>1890263080.1700001</v>
      </c>
      <c r="CC81" s="143"/>
      <c r="CD81" s="143"/>
      <c r="CE81" s="143"/>
      <c r="CF81" s="143"/>
      <c r="CG81" s="143"/>
      <c r="CH81" s="143"/>
      <c r="CI81" s="142">
        <f>SUM(CI76:CI80)</f>
        <v>1896085603.3</v>
      </c>
      <c r="CJ81" s="143"/>
      <c r="CK81" s="143"/>
      <c r="CL81" s="143"/>
      <c r="CM81" s="143"/>
      <c r="CN81" s="143"/>
      <c r="CO81" s="143"/>
      <c r="CP81" s="142"/>
      <c r="CR81" s="145">
        <f t="shared" si="20"/>
        <v>0.94633987109390461</v>
      </c>
      <c r="CS81" s="145">
        <f t="shared" si="21"/>
        <v>0.94806837324225024</v>
      </c>
      <c r="CT81" s="145">
        <f t="shared" si="22"/>
        <v>0.98055620275562017</v>
      </c>
      <c r="CU81" s="145">
        <f t="shared" si="23"/>
        <v>0.98347166684931764</v>
      </c>
      <c r="CV81" s="145">
        <f t="shared" si="24"/>
        <v>0.98616233836041955</v>
      </c>
      <c r="CW81" s="145">
        <f t="shared" si="25"/>
        <v>0.98899223915333445</v>
      </c>
      <c r="CX81" s="145">
        <f t="shared" si="26"/>
        <v>0.9915690160740992</v>
      </c>
      <c r="CY81" s="145">
        <f t="shared" si="27"/>
        <v>0.99507112336981274</v>
      </c>
      <c r="CZ81" s="145">
        <f t="shared" si="28"/>
        <v>0.99722474031808139</v>
      </c>
      <c r="DA81" s="145">
        <f t="shared" si="17"/>
        <v>0.99889732553322352</v>
      </c>
      <c r="DB81" s="145">
        <f t="shared" si="18"/>
        <v>1.0023994328289372</v>
      </c>
      <c r="DC81" s="145">
        <f t="shared" si="19"/>
        <v>1.0054870950408132</v>
      </c>
    </row>
    <row r="82" spans="2:107" ht="16" x14ac:dyDescent="0.2">
      <c r="B82" s="141" t="s">
        <v>427</v>
      </c>
      <c r="C82" s="207"/>
      <c r="D82" s="142"/>
      <c r="E82" s="142"/>
      <c r="F82" s="142"/>
      <c r="G82" s="142"/>
      <c r="H82" s="142"/>
      <c r="I82" s="142"/>
      <c r="J82" s="142">
        <f>J75+J81</f>
        <v>1956129141.0799999</v>
      </c>
      <c r="K82" s="142"/>
      <c r="L82" s="142"/>
      <c r="M82" s="142"/>
      <c r="N82" s="142"/>
      <c r="O82" s="142"/>
      <c r="P82" s="142"/>
      <c r="Q82" s="142">
        <f>Q75+Q81</f>
        <v>1950965458.73</v>
      </c>
      <c r="R82" s="142"/>
      <c r="S82" s="142"/>
      <c r="T82" s="142"/>
      <c r="U82" s="142"/>
      <c r="V82" s="142"/>
      <c r="W82" s="142"/>
      <c r="X82" s="142">
        <f>X75+X81</f>
        <v>1954044261.2599998</v>
      </c>
      <c r="Y82" s="143"/>
      <c r="Z82" s="143"/>
      <c r="AA82" s="143"/>
      <c r="AB82" s="143"/>
      <c r="AC82" s="143"/>
      <c r="AD82" s="143"/>
      <c r="AE82" s="142">
        <f>AE75+AE81</f>
        <v>1959542063.7899997</v>
      </c>
      <c r="AF82" s="143"/>
      <c r="AG82" s="143"/>
      <c r="AH82" s="143"/>
      <c r="AI82" s="143"/>
      <c r="AJ82" s="143"/>
      <c r="AK82" s="143"/>
      <c r="AL82" s="142">
        <f>AL75+AL81</f>
        <v>1964615966.3199997</v>
      </c>
      <c r="AM82" s="143"/>
      <c r="AN82" s="143"/>
      <c r="AO82" s="143"/>
      <c r="AP82" s="143"/>
      <c r="AQ82" s="143"/>
      <c r="AR82" s="143"/>
      <c r="AS82" s="142">
        <f>AS75+AS81</f>
        <v>1969952418.8499999</v>
      </c>
      <c r="AT82" s="143"/>
      <c r="AU82" s="143"/>
      <c r="AV82" s="143"/>
      <c r="AW82" s="143"/>
      <c r="AX82" s="143"/>
      <c r="AY82" s="143"/>
      <c r="AZ82" s="142">
        <f>AZ75+AZ81</f>
        <v>1974811545.98</v>
      </c>
      <c r="BA82" s="143"/>
      <c r="BB82" s="143"/>
      <c r="BC82" s="143"/>
      <c r="BD82" s="143"/>
      <c r="BE82" s="143"/>
      <c r="BF82" s="143"/>
      <c r="BG82" s="142">
        <f>BG75+BG81</f>
        <v>1981415604.1099999</v>
      </c>
      <c r="BH82" s="143"/>
      <c r="BI82" s="143"/>
      <c r="BJ82" s="143"/>
      <c r="BK82" s="143"/>
      <c r="BL82" s="143"/>
      <c r="BM82" s="143"/>
      <c r="BN82" s="142">
        <f>BN75+BN81</f>
        <v>1985476762.24</v>
      </c>
      <c r="BO82" s="143"/>
      <c r="BP82" s="143"/>
      <c r="BQ82" s="143"/>
      <c r="BR82" s="143"/>
      <c r="BS82" s="143"/>
      <c r="BT82" s="143"/>
      <c r="BU82" s="142">
        <f>BU75+BU81</f>
        <v>1988630820.3699999</v>
      </c>
      <c r="BV82" s="143"/>
      <c r="BW82" s="143"/>
      <c r="BX82" s="143"/>
      <c r="BY82" s="143"/>
      <c r="BZ82" s="143"/>
      <c r="CA82" s="143"/>
      <c r="CB82" s="142">
        <f>CB75+CB81</f>
        <v>1995234878.5</v>
      </c>
      <c r="CC82" s="143"/>
      <c r="CD82" s="143"/>
      <c r="CE82" s="143"/>
      <c r="CF82" s="143"/>
      <c r="CG82" s="143"/>
      <c r="CH82" s="143"/>
      <c r="CI82" s="142">
        <f>CI75+CI81</f>
        <v>2001057401.6299999</v>
      </c>
      <c r="CJ82" s="143"/>
      <c r="CK82" s="143"/>
      <c r="CL82" s="143"/>
      <c r="CM82" s="143"/>
      <c r="CN82" s="143"/>
      <c r="CO82" s="143"/>
      <c r="CP82" s="142"/>
      <c r="CR82" s="145">
        <f t="shared" si="20"/>
        <v>1.0000030556358159</v>
      </c>
      <c r="CS82" s="145">
        <f t="shared" si="21"/>
        <v>1.0019799571300692</v>
      </c>
      <c r="CT82" s="145">
        <f t="shared" si="22"/>
        <v>1.0362223543156255</v>
      </c>
      <c r="CU82" s="145">
        <f t="shared" si="23"/>
        <v>1.0391378184093227</v>
      </c>
      <c r="CV82" s="145">
        <f t="shared" si="24"/>
        <v>1.0418284899204249</v>
      </c>
      <c r="CW82" s="145">
        <f t="shared" si="25"/>
        <v>1.0446583907133395</v>
      </c>
      <c r="CX82" s="145">
        <f t="shared" si="26"/>
        <v>1.0472351676341045</v>
      </c>
      <c r="CY82" s="145">
        <f t="shared" si="27"/>
        <v>1.0507372749298178</v>
      </c>
      <c r="CZ82" s="145">
        <f t="shared" si="28"/>
        <v>1.0528908918780866</v>
      </c>
      <c r="DA82" s="145">
        <f t="shared" si="17"/>
        <v>1.0545634770932288</v>
      </c>
      <c r="DB82" s="145">
        <f t="shared" si="18"/>
        <v>1.0580655843889424</v>
      </c>
      <c r="DC82" s="145">
        <f t="shared" si="19"/>
        <v>1.0611532466008184</v>
      </c>
    </row>
    <row r="83" spans="2:107" ht="16" x14ac:dyDescent="0.2">
      <c r="B83" s="160" t="s">
        <v>428</v>
      </c>
      <c r="D83" s="161"/>
      <c r="E83" s="161"/>
      <c r="F83" s="161"/>
      <c r="G83" s="161"/>
      <c r="H83" s="161"/>
      <c r="I83" s="161"/>
      <c r="J83" s="234">
        <f>J66-J82</f>
        <v>-5977.2000000476837</v>
      </c>
      <c r="K83" s="234"/>
      <c r="L83" s="234"/>
      <c r="M83" s="234"/>
      <c r="N83" s="234"/>
      <c r="O83" s="234"/>
      <c r="P83" s="234"/>
      <c r="Q83" s="234">
        <f>Q66-Q82</f>
        <v>-3855194.8500001431</v>
      </c>
      <c r="R83" s="234"/>
      <c r="S83" s="234"/>
      <c r="T83" s="234"/>
      <c r="U83" s="234"/>
      <c r="V83" s="234"/>
      <c r="W83" s="234"/>
      <c r="X83" s="234">
        <f>X66-X82</f>
        <v>-68305883.659999847</v>
      </c>
      <c r="Y83" s="234"/>
      <c r="Z83" s="234"/>
      <c r="AA83" s="234"/>
      <c r="AB83" s="234"/>
      <c r="AC83" s="234"/>
      <c r="AD83" s="234"/>
      <c r="AE83" s="234">
        <f>AE66-AE82</f>
        <v>-73803686.189999819</v>
      </c>
      <c r="AF83" s="234"/>
      <c r="AG83" s="234"/>
      <c r="AH83" s="234"/>
      <c r="AI83" s="234"/>
      <c r="AJ83" s="234"/>
      <c r="AK83" s="234"/>
      <c r="AL83" s="234">
        <f>AL66-AL82</f>
        <v>-78877588.71999979</v>
      </c>
      <c r="AM83" s="234"/>
      <c r="AN83" s="234"/>
      <c r="AO83" s="234"/>
      <c r="AP83" s="234"/>
      <c r="AQ83" s="234"/>
      <c r="AR83" s="234"/>
      <c r="AS83" s="234">
        <f>AS66-AS82</f>
        <v>-84214041.25</v>
      </c>
      <c r="AT83" s="234"/>
      <c r="AU83" s="234"/>
      <c r="AV83" s="234"/>
      <c r="AW83" s="234"/>
      <c r="AX83" s="234"/>
      <c r="AY83" s="234"/>
      <c r="AZ83" s="234">
        <f>AZ66-AZ82</f>
        <v>-89073168.380000114</v>
      </c>
      <c r="BA83" s="234"/>
      <c r="BB83" s="234"/>
      <c r="BC83" s="234"/>
      <c r="BD83" s="234"/>
      <c r="BE83" s="234"/>
      <c r="BF83" s="234"/>
      <c r="BG83" s="234">
        <f>BG66-BG82</f>
        <v>-95677226.50999999</v>
      </c>
      <c r="BH83" s="234"/>
      <c r="BI83" s="234"/>
      <c r="BJ83" s="234"/>
      <c r="BK83" s="234"/>
      <c r="BL83" s="234"/>
      <c r="BM83" s="234"/>
      <c r="BN83" s="234">
        <f>BN66-BN82</f>
        <v>-99738384.640000105</v>
      </c>
      <c r="BO83" s="234"/>
      <c r="BP83" s="234"/>
      <c r="BQ83" s="234"/>
      <c r="BR83" s="234"/>
      <c r="BS83" s="234"/>
      <c r="BT83" s="234"/>
      <c r="BU83" s="234">
        <f>BU66-BU82</f>
        <v>-102892442.76999998</v>
      </c>
      <c r="BV83" s="234"/>
      <c r="BW83" s="234"/>
      <c r="BX83" s="234"/>
      <c r="BY83" s="234"/>
      <c r="BZ83" s="234"/>
      <c r="CA83" s="234"/>
      <c r="CB83" s="234">
        <f>CB66-CB82</f>
        <v>-109496500.9000001</v>
      </c>
      <c r="CC83" s="234"/>
      <c r="CD83" s="234"/>
      <c r="CE83" s="234"/>
      <c r="CF83" s="234"/>
      <c r="CG83" s="234"/>
      <c r="CH83" s="234"/>
      <c r="CI83" s="234">
        <f>CI66-CI82</f>
        <v>-115319024.02999997</v>
      </c>
      <c r="CJ83" s="213"/>
      <c r="CK83" s="213"/>
      <c r="CL83" s="213"/>
      <c r="CM83" s="213"/>
      <c r="CN83" s="213"/>
      <c r="CO83" s="213"/>
      <c r="CP83" s="234"/>
    </row>
    <row r="84" spans="2:107" x14ac:dyDescent="0.2">
      <c r="D84" s="106"/>
      <c r="E84" s="106"/>
      <c r="F84" s="106"/>
      <c r="G84" s="133"/>
      <c r="H84" s="133"/>
      <c r="K84" s="106"/>
      <c r="L84" s="106"/>
      <c r="M84" s="106"/>
      <c r="N84" s="133"/>
      <c r="O84" s="133"/>
      <c r="Q84" s="137"/>
    </row>
    <row r="85" spans="2:107" x14ac:dyDescent="0.2">
      <c r="D85" s="106"/>
      <c r="E85" s="106"/>
      <c r="K85" s="106"/>
      <c r="L85" s="106"/>
    </row>
    <row r="86" spans="2:107" s="181" customFormat="1" ht="16" x14ac:dyDescent="0.2">
      <c r="B86" s="183" t="s">
        <v>353</v>
      </c>
      <c r="C86" s="211"/>
      <c r="E86" s="186"/>
      <c r="L86" s="186"/>
    </row>
    <row r="87" spans="2:107" x14ac:dyDescent="0.2">
      <c r="B87" s="105" t="s">
        <v>352</v>
      </c>
      <c r="D87" s="137"/>
      <c r="E87" s="137"/>
      <c r="F87" s="137"/>
      <c r="G87" s="137"/>
      <c r="H87" s="137"/>
      <c r="I87" s="137"/>
      <c r="J87" s="137">
        <f>J48</f>
        <v>1809984.53</v>
      </c>
      <c r="K87" s="137"/>
      <c r="L87" s="137"/>
      <c r="M87" s="137"/>
      <c r="N87" s="137"/>
      <c r="O87" s="137"/>
      <c r="P87" s="137"/>
      <c r="Q87" s="137">
        <f>Q48</f>
        <v>-5163682.3499999996</v>
      </c>
      <c r="R87" s="137"/>
      <c r="S87" s="137"/>
      <c r="T87" s="137"/>
      <c r="U87" s="137"/>
      <c r="V87" s="137"/>
      <c r="W87" s="137"/>
      <c r="X87" s="137">
        <f>X48</f>
        <v>3078802.53</v>
      </c>
      <c r="Y87" s="137"/>
      <c r="Z87" s="137"/>
      <c r="AA87" s="137"/>
      <c r="AB87" s="137"/>
      <c r="AC87" s="137"/>
      <c r="AD87" s="137"/>
      <c r="AE87" s="137">
        <f>AE48</f>
        <v>5497802.5300000003</v>
      </c>
      <c r="AF87" s="137"/>
      <c r="AG87" s="137"/>
      <c r="AH87" s="137"/>
      <c r="AI87" s="137"/>
      <c r="AJ87" s="137"/>
      <c r="AK87" s="137"/>
      <c r="AL87" s="137">
        <f>AL48</f>
        <v>5073902.53</v>
      </c>
      <c r="AM87" s="137"/>
      <c r="AN87" s="137"/>
      <c r="AO87" s="137"/>
      <c r="AP87" s="137"/>
      <c r="AQ87" s="137"/>
      <c r="AR87" s="137"/>
      <c r="AS87" s="137">
        <f>AS48</f>
        <v>5336452.53</v>
      </c>
      <c r="AT87" s="137"/>
      <c r="AU87" s="137"/>
      <c r="AV87" s="137"/>
      <c r="AW87" s="137"/>
      <c r="AX87" s="137"/>
      <c r="AY87" s="137"/>
      <c r="AZ87" s="137">
        <f>AZ48</f>
        <v>4859127.13</v>
      </c>
      <c r="BA87" s="137"/>
      <c r="BB87" s="137"/>
      <c r="BC87" s="137"/>
      <c r="BD87" s="137"/>
      <c r="BE87" s="137"/>
      <c r="BF87" s="137"/>
      <c r="BG87" s="137">
        <f>BG48</f>
        <v>6604058.1299999999</v>
      </c>
      <c r="BH87" s="137"/>
      <c r="BI87" s="137"/>
      <c r="BJ87" s="137"/>
      <c r="BK87" s="137"/>
      <c r="BL87" s="137"/>
      <c r="BM87" s="137"/>
      <c r="BN87" s="137">
        <f>BN48</f>
        <v>4061158.13</v>
      </c>
      <c r="BO87" s="137"/>
      <c r="BP87" s="137"/>
      <c r="BQ87" s="137"/>
      <c r="BR87" s="137"/>
      <c r="BS87" s="137"/>
      <c r="BT87" s="137"/>
      <c r="BU87" s="137">
        <f>BU48</f>
        <v>3154058.1299999994</v>
      </c>
      <c r="BV87" s="137"/>
      <c r="BW87" s="137"/>
      <c r="BX87" s="137"/>
      <c r="BY87" s="137"/>
      <c r="BZ87" s="137"/>
      <c r="CA87" s="137"/>
      <c r="CB87" s="137">
        <f>CB48</f>
        <v>6604058.1299999999</v>
      </c>
      <c r="CC87" s="137"/>
      <c r="CD87" s="137"/>
      <c r="CE87" s="137"/>
      <c r="CF87" s="137"/>
      <c r="CG87" s="137"/>
      <c r="CH87" s="137"/>
      <c r="CI87" s="137">
        <f>CI48</f>
        <v>5822523.1299999999</v>
      </c>
      <c r="CJ87" s="137"/>
      <c r="CK87" s="137"/>
      <c r="CL87" s="137"/>
      <c r="CM87" s="137"/>
      <c r="CN87" s="137"/>
    </row>
    <row r="88" spans="2:107" x14ac:dyDescent="0.2">
      <c r="B88" s="105" t="s">
        <v>429</v>
      </c>
      <c r="D88" s="137"/>
      <c r="E88" s="137"/>
      <c r="F88" s="137"/>
      <c r="G88" s="137"/>
      <c r="H88" s="137"/>
      <c r="I88" s="137"/>
      <c r="J88" s="137">
        <f>+J15</f>
        <v>0</v>
      </c>
      <c r="K88" s="137"/>
      <c r="L88" s="137"/>
      <c r="M88" s="137"/>
      <c r="N88" s="137"/>
      <c r="O88" s="137"/>
      <c r="P88" s="137"/>
      <c r="Q88" s="137">
        <f>+Q15</f>
        <v>0</v>
      </c>
      <c r="R88" s="137"/>
      <c r="S88" s="137"/>
      <c r="T88" s="137"/>
      <c r="U88" s="137"/>
      <c r="V88" s="137"/>
      <c r="W88" s="137"/>
      <c r="X88" s="137">
        <f>+X15</f>
        <v>0</v>
      </c>
      <c r="Y88" s="137"/>
      <c r="Z88" s="137"/>
      <c r="AA88" s="137"/>
      <c r="AB88" s="137"/>
      <c r="AC88" s="137"/>
      <c r="AD88" s="137"/>
      <c r="AE88" s="137">
        <f>+AE15</f>
        <v>0</v>
      </c>
      <c r="AF88" s="137"/>
      <c r="AG88" s="137"/>
      <c r="AH88" s="137"/>
      <c r="AI88" s="137"/>
      <c r="AJ88" s="137"/>
      <c r="AK88" s="137"/>
      <c r="AL88" s="137">
        <f>+AL15</f>
        <v>0</v>
      </c>
      <c r="AM88" s="137"/>
      <c r="AN88" s="137"/>
      <c r="AO88" s="137"/>
      <c r="AP88" s="137"/>
      <c r="AQ88" s="137"/>
      <c r="AR88" s="137"/>
      <c r="AS88" s="137">
        <f>+AS15</f>
        <v>0</v>
      </c>
      <c r="AT88" s="137"/>
      <c r="AU88" s="137"/>
      <c r="AV88" s="137"/>
      <c r="AW88" s="137"/>
      <c r="AX88" s="137"/>
      <c r="AY88" s="137"/>
      <c r="AZ88" s="137">
        <f>+AZ15</f>
        <v>0</v>
      </c>
      <c r="BA88" s="137"/>
      <c r="BB88" s="137"/>
      <c r="BC88" s="137"/>
      <c r="BD88" s="137"/>
      <c r="BE88" s="137"/>
      <c r="BF88" s="137"/>
      <c r="BG88" s="137">
        <f>+BG15</f>
        <v>0</v>
      </c>
      <c r="BH88" s="137"/>
      <c r="BI88" s="137"/>
      <c r="BJ88" s="137"/>
      <c r="BK88" s="137"/>
      <c r="BL88" s="137"/>
      <c r="BM88" s="137"/>
      <c r="BN88" s="137">
        <f>+BN15</f>
        <v>0</v>
      </c>
      <c r="BO88" s="137"/>
      <c r="BP88" s="137"/>
      <c r="BQ88" s="137"/>
      <c r="BR88" s="137"/>
      <c r="BS88" s="137"/>
      <c r="BT88" s="137"/>
      <c r="BU88" s="137">
        <f>+BU15</f>
        <v>0</v>
      </c>
      <c r="BV88" s="137"/>
      <c r="BW88" s="137"/>
      <c r="BX88" s="137"/>
      <c r="BY88" s="137"/>
      <c r="BZ88" s="137"/>
      <c r="CA88" s="137"/>
      <c r="CB88" s="137">
        <f>+CB15</f>
        <v>0</v>
      </c>
      <c r="CC88" s="137"/>
      <c r="CD88" s="137"/>
      <c r="CE88" s="137"/>
      <c r="CF88" s="137"/>
      <c r="CG88" s="137"/>
      <c r="CH88" s="137"/>
      <c r="CI88" s="137">
        <f>+CI15</f>
        <v>0</v>
      </c>
      <c r="CJ88" s="137"/>
      <c r="CK88" s="137"/>
      <c r="CL88" s="137"/>
      <c r="CM88" s="137"/>
      <c r="CN88" s="137"/>
    </row>
    <row r="89" spans="2:107" x14ac:dyDescent="0.2">
      <c r="B89" s="105" t="s">
        <v>430</v>
      </c>
      <c r="D89" s="137"/>
      <c r="E89" s="137"/>
      <c r="F89" s="137"/>
      <c r="G89" s="137"/>
      <c r="H89" s="137"/>
      <c r="I89" s="137"/>
      <c r="J89" s="137">
        <f>-(J60-C60)</f>
        <v>0</v>
      </c>
      <c r="K89" s="137"/>
      <c r="L89" s="137"/>
      <c r="M89" s="137"/>
      <c r="N89" s="137"/>
      <c r="O89" s="137"/>
      <c r="P89" s="137"/>
      <c r="Q89" s="137">
        <f>-(Q60-J60)</f>
        <v>0</v>
      </c>
      <c r="R89" s="137"/>
      <c r="S89" s="137"/>
      <c r="T89" s="137"/>
      <c r="U89" s="137"/>
      <c r="V89" s="137"/>
      <c r="W89" s="137"/>
      <c r="X89" s="137">
        <f>-(X60-Q60)</f>
        <v>0</v>
      </c>
      <c r="Y89" s="137"/>
      <c r="Z89" s="137"/>
      <c r="AA89" s="137"/>
      <c r="AB89" s="137"/>
      <c r="AC89" s="137"/>
      <c r="AD89" s="137"/>
      <c r="AE89" s="137">
        <f>-(AE60-X60)</f>
        <v>0</v>
      </c>
      <c r="AF89" s="137"/>
      <c r="AG89" s="137"/>
      <c r="AH89" s="137"/>
      <c r="AI89" s="137"/>
      <c r="AJ89" s="137"/>
      <c r="AK89" s="137"/>
      <c r="AL89" s="137">
        <f>-(AL60-AE60)</f>
        <v>0</v>
      </c>
      <c r="AM89" s="137"/>
      <c r="AN89" s="137"/>
      <c r="AO89" s="137"/>
      <c r="AP89" s="137"/>
      <c r="AQ89" s="137"/>
      <c r="AR89" s="137"/>
      <c r="AS89" s="137">
        <f>-(AS60-AL60)</f>
        <v>0</v>
      </c>
      <c r="AT89" s="137"/>
      <c r="AU89" s="137"/>
      <c r="AV89" s="137"/>
      <c r="AW89" s="137"/>
      <c r="AX89" s="137"/>
      <c r="AY89" s="137"/>
      <c r="AZ89" s="137">
        <f>-(AZ60-AS60)</f>
        <v>0</v>
      </c>
      <c r="BA89" s="137"/>
      <c r="BB89" s="137"/>
      <c r="BC89" s="137"/>
      <c r="BD89" s="137"/>
      <c r="BE89" s="137"/>
      <c r="BF89" s="137"/>
      <c r="BG89" s="137">
        <f>-(BG60-AZ60)</f>
        <v>0</v>
      </c>
      <c r="BH89" s="137"/>
      <c r="BI89" s="137"/>
      <c r="BJ89" s="137"/>
      <c r="BK89" s="137"/>
      <c r="BL89" s="137"/>
      <c r="BM89" s="137"/>
      <c r="BN89" s="137">
        <f>-(BN60-BG60)</f>
        <v>0</v>
      </c>
      <c r="BO89" s="137"/>
      <c r="BP89" s="137"/>
      <c r="BQ89" s="137"/>
      <c r="BR89" s="137"/>
      <c r="BS89" s="137"/>
      <c r="BT89" s="137"/>
      <c r="BU89" s="137">
        <f>-(BU60-BN60)</f>
        <v>0</v>
      </c>
      <c r="BV89" s="137"/>
      <c r="BW89" s="137"/>
      <c r="BX89" s="137"/>
      <c r="BY89" s="137"/>
      <c r="BZ89" s="137"/>
      <c r="CA89" s="137"/>
      <c r="CB89" s="137">
        <f>-(CB60-BU60)</f>
        <v>0</v>
      </c>
      <c r="CC89" s="137"/>
      <c r="CD89" s="137"/>
      <c r="CE89" s="137"/>
      <c r="CF89" s="137"/>
      <c r="CG89" s="137"/>
      <c r="CH89" s="137"/>
      <c r="CI89" s="137">
        <f>-(CI60-CB60)</f>
        <v>0</v>
      </c>
      <c r="CJ89" s="137"/>
      <c r="CK89" s="137"/>
      <c r="CL89" s="137"/>
      <c r="CM89" s="137"/>
      <c r="CN89" s="137"/>
    </row>
    <row r="90" spans="2:107" x14ac:dyDescent="0.2">
      <c r="B90" s="105" t="s">
        <v>431</v>
      </c>
      <c r="D90" s="137"/>
      <c r="E90" s="137"/>
      <c r="F90" s="137"/>
      <c r="G90" s="137"/>
      <c r="H90" s="137"/>
      <c r="I90" s="137"/>
      <c r="J90" s="137">
        <f>-(J61-C61)</f>
        <v>0</v>
      </c>
      <c r="K90" s="137"/>
      <c r="L90" s="137"/>
      <c r="M90" s="137"/>
      <c r="N90" s="137"/>
      <c r="O90" s="137"/>
      <c r="P90" s="137"/>
      <c r="Q90" s="137">
        <f>-(Q61-J61)</f>
        <v>0</v>
      </c>
      <c r="R90" s="137"/>
      <c r="S90" s="137"/>
      <c r="T90" s="137"/>
      <c r="U90" s="137"/>
      <c r="V90" s="137"/>
      <c r="W90" s="137"/>
      <c r="X90" s="137">
        <f>-(X61-Q61)</f>
        <v>0</v>
      </c>
      <c r="Y90" s="137"/>
      <c r="Z90" s="137"/>
      <c r="AA90" s="137"/>
      <c r="AB90" s="137"/>
      <c r="AC90" s="137"/>
      <c r="AD90" s="137"/>
      <c r="AE90" s="137">
        <f>-(AE61-X61)</f>
        <v>0</v>
      </c>
      <c r="AF90" s="137"/>
      <c r="AG90" s="137"/>
      <c r="AH90" s="137"/>
      <c r="AI90" s="137"/>
      <c r="AJ90" s="137"/>
      <c r="AK90" s="137"/>
      <c r="AL90" s="137">
        <f>-(AL61-AE61)</f>
        <v>0</v>
      </c>
      <c r="AM90" s="137"/>
      <c r="AN90" s="137"/>
      <c r="AO90" s="137"/>
      <c r="AP90" s="137"/>
      <c r="AQ90" s="137"/>
      <c r="AR90" s="137"/>
      <c r="AS90" s="137">
        <f>-(AS61-AL61)</f>
        <v>0</v>
      </c>
      <c r="AT90" s="137"/>
      <c r="AU90" s="137"/>
      <c r="AV90" s="137"/>
      <c r="AW90" s="137"/>
      <c r="AX90" s="137"/>
      <c r="AY90" s="137"/>
      <c r="AZ90" s="137">
        <f>-(AZ61-AS61)</f>
        <v>0</v>
      </c>
      <c r="BA90" s="137"/>
      <c r="BB90" s="137"/>
      <c r="BC90" s="137"/>
      <c r="BD90" s="137"/>
      <c r="BE90" s="137"/>
      <c r="BF90" s="137"/>
      <c r="BG90" s="137">
        <f>-(BG61-AZ61)</f>
        <v>0</v>
      </c>
      <c r="BH90" s="137"/>
      <c r="BI90" s="137"/>
      <c r="BJ90" s="137"/>
      <c r="BK90" s="137"/>
      <c r="BL90" s="137"/>
      <c r="BM90" s="137"/>
      <c r="BN90" s="137">
        <f>-(BN61-BG61)</f>
        <v>0</v>
      </c>
      <c r="BO90" s="137"/>
      <c r="BP90" s="137"/>
      <c r="BQ90" s="137"/>
      <c r="BR90" s="137"/>
      <c r="BS90" s="137"/>
      <c r="BT90" s="137"/>
      <c r="BU90" s="137">
        <f>-(BU61-BN61)</f>
        <v>0</v>
      </c>
      <c r="BV90" s="137"/>
      <c r="BW90" s="137"/>
      <c r="BX90" s="137"/>
      <c r="BY90" s="137"/>
      <c r="BZ90" s="137"/>
      <c r="CA90" s="137"/>
      <c r="CB90" s="137">
        <f>-(CB61-BU61)</f>
        <v>0</v>
      </c>
      <c r="CC90" s="137"/>
      <c r="CD90" s="137"/>
      <c r="CE90" s="137"/>
      <c r="CF90" s="137"/>
      <c r="CG90" s="137"/>
      <c r="CH90" s="137"/>
      <c r="CI90" s="137">
        <f>-(CI61-CB61)</f>
        <v>0</v>
      </c>
      <c r="CJ90" s="137"/>
      <c r="CK90" s="137"/>
      <c r="CL90" s="137"/>
      <c r="CM90" s="137"/>
      <c r="CN90" s="137"/>
    </row>
    <row r="91" spans="2:107" x14ac:dyDescent="0.2">
      <c r="B91" s="105" t="s">
        <v>432</v>
      </c>
      <c r="D91" s="137"/>
      <c r="E91" s="137"/>
      <c r="F91" s="137"/>
      <c r="G91" s="137"/>
      <c r="H91" s="137"/>
      <c r="I91" s="137"/>
      <c r="J91" s="137">
        <f>-(J62-C62)</f>
        <v>0</v>
      </c>
      <c r="K91" s="137"/>
      <c r="L91" s="137"/>
      <c r="M91" s="137"/>
      <c r="N91" s="137"/>
      <c r="O91" s="137"/>
      <c r="P91" s="137"/>
      <c r="Q91" s="137">
        <f>-(Q62-J62)</f>
        <v>0</v>
      </c>
      <c r="R91" s="137"/>
      <c r="S91" s="137"/>
      <c r="T91" s="137"/>
      <c r="U91" s="137"/>
      <c r="V91" s="137"/>
      <c r="W91" s="137"/>
      <c r="X91" s="137">
        <f>-(X62-Q62)</f>
        <v>0</v>
      </c>
      <c r="Y91" s="137"/>
      <c r="Z91" s="137"/>
      <c r="AA91" s="137"/>
      <c r="AB91" s="137"/>
      <c r="AC91" s="137"/>
      <c r="AD91" s="137"/>
      <c r="AE91" s="137">
        <f>-(AE62-X62)</f>
        <v>0</v>
      </c>
      <c r="AF91" s="137"/>
      <c r="AG91" s="137"/>
      <c r="AH91" s="137"/>
      <c r="AI91" s="137"/>
      <c r="AJ91" s="137"/>
      <c r="AK91" s="137"/>
      <c r="AL91" s="137">
        <f>-(AL62-AE62)</f>
        <v>0</v>
      </c>
      <c r="AM91" s="137"/>
      <c r="AN91" s="137"/>
      <c r="AO91" s="137"/>
      <c r="AP91" s="137"/>
      <c r="AQ91" s="137"/>
      <c r="AR91" s="137"/>
      <c r="AS91" s="137">
        <f>-(AS62-AL62)</f>
        <v>0</v>
      </c>
      <c r="AT91" s="137"/>
      <c r="AU91" s="137"/>
      <c r="AV91" s="137"/>
      <c r="AW91" s="137"/>
      <c r="AX91" s="137"/>
      <c r="AY91" s="137"/>
      <c r="AZ91" s="137">
        <f>-(AZ62-AS62)</f>
        <v>0</v>
      </c>
      <c r="BA91" s="137"/>
      <c r="BB91" s="137"/>
      <c r="BC91" s="137"/>
      <c r="BD91" s="137"/>
      <c r="BE91" s="137"/>
      <c r="BF91" s="137"/>
      <c r="BG91" s="137">
        <f>-(BG62-AZ62)</f>
        <v>0</v>
      </c>
      <c r="BH91" s="137"/>
      <c r="BI91" s="137"/>
      <c r="BJ91" s="137"/>
      <c r="BK91" s="137"/>
      <c r="BL91" s="137"/>
      <c r="BM91" s="137"/>
      <c r="BN91" s="137">
        <f>-(BN62-BG62)</f>
        <v>0</v>
      </c>
      <c r="BO91" s="137"/>
      <c r="BP91" s="137"/>
      <c r="BQ91" s="137"/>
      <c r="BR91" s="137"/>
      <c r="BS91" s="137"/>
      <c r="BT91" s="137"/>
      <c r="BU91" s="137">
        <f>-(BU62-BN62)</f>
        <v>0</v>
      </c>
      <c r="BV91" s="137"/>
      <c r="BW91" s="137"/>
      <c r="BX91" s="137"/>
      <c r="BY91" s="137"/>
      <c r="BZ91" s="137"/>
      <c r="CA91" s="137"/>
      <c r="CB91" s="137">
        <f>-(CB62-BU62)</f>
        <v>0</v>
      </c>
      <c r="CC91" s="137"/>
      <c r="CD91" s="137"/>
      <c r="CE91" s="137"/>
      <c r="CF91" s="137"/>
      <c r="CG91" s="137"/>
      <c r="CH91" s="137"/>
      <c r="CI91" s="137">
        <f>-(CI62-CB62)</f>
        <v>0</v>
      </c>
      <c r="CJ91" s="137"/>
      <c r="CK91" s="137"/>
      <c r="CL91" s="137"/>
      <c r="CM91" s="137"/>
      <c r="CN91" s="137"/>
    </row>
    <row r="92" spans="2:107" x14ac:dyDescent="0.2">
      <c r="B92" s="105" t="s">
        <v>433</v>
      </c>
      <c r="D92" s="137"/>
      <c r="E92" s="137"/>
      <c r="F92" s="137"/>
      <c r="G92" s="137"/>
      <c r="H92" s="137"/>
      <c r="I92" s="137"/>
      <c r="J92" s="137">
        <f>(J68-C68)</f>
        <v>0</v>
      </c>
      <c r="K92" s="137"/>
      <c r="L92" s="137"/>
      <c r="M92" s="137"/>
      <c r="N92" s="137"/>
      <c r="O92" s="137"/>
      <c r="P92" s="137"/>
      <c r="Q92" s="137">
        <f>(Q68-J68)</f>
        <v>0</v>
      </c>
      <c r="R92" s="137"/>
      <c r="S92" s="137"/>
      <c r="T92" s="137"/>
      <c r="U92" s="137"/>
      <c r="V92" s="137"/>
      <c r="W92" s="137"/>
      <c r="X92" s="137">
        <f>(X68-Q68)</f>
        <v>0</v>
      </c>
      <c r="Y92" s="137"/>
      <c r="Z92" s="137"/>
      <c r="AA92" s="137"/>
      <c r="AB92" s="137"/>
      <c r="AC92" s="137"/>
      <c r="AD92" s="137"/>
      <c r="AE92" s="137">
        <f>(AE68-X68)</f>
        <v>0</v>
      </c>
      <c r="AF92" s="137"/>
      <c r="AG92" s="137"/>
      <c r="AH92" s="137"/>
      <c r="AI92" s="137"/>
      <c r="AJ92" s="137"/>
      <c r="AK92" s="137"/>
      <c r="AL92" s="137">
        <f>(AL68-AE68)</f>
        <v>0</v>
      </c>
      <c r="AM92" s="137"/>
      <c r="AN92" s="137"/>
      <c r="AO92" s="137"/>
      <c r="AP92" s="137"/>
      <c r="AQ92" s="137"/>
      <c r="AR92" s="137"/>
      <c r="AS92" s="137">
        <f>(AS68-AL68)</f>
        <v>0</v>
      </c>
      <c r="AT92" s="137"/>
      <c r="AU92" s="137"/>
      <c r="AV92" s="137"/>
      <c r="AW92" s="137"/>
      <c r="AX92" s="137"/>
      <c r="AY92" s="137"/>
      <c r="AZ92" s="137">
        <f>(AZ68-AS68)</f>
        <v>0</v>
      </c>
      <c r="BA92" s="137"/>
      <c r="BB92" s="137"/>
      <c r="BC92" s="137"/>
      <c r="BD92" s="137"/>
      <c r="BE92" s="137"/>
      <c r="BF92" s="137"/>
      <c r="BG92" s="137">
        <f>(BG68-AZ68)</f>
        <v>0</v>
      </c>
      <c r="BH92" s="137"/>
      <c r="BI92" s="137"/>
      <c r="BJ92" s="137"/>
      <c r="BK92" s="137"/>
      <c r="BL92" s="137"/>
      <c r="BM92" s="137"/>
      <c r="BN92" s="137">
        <f>(BN68-BG68)</f>
        <v>0</v>
      </c>
      <c r="BO92" s="137"/>
      <c r="BP92" s="137"/>
      <c r="BQ92" s="137"/>
      <c r="BR92" s="137"/>
      <c r="BS92" s="137"/>
      <c r="BT92" s="137"/>
      <c r="BU92" s="137">
        <f>(BU68-BN68)</f>
        <v>0</v>
      </c>
      <c r="BV92" s="137"/>
      <c r="BW92" s="137"/>
      <c r="BX92" s="137"/>
      <c r="BY92" s="137"/>
      <c r="BZ92" s="137"/>
      <c r="CA92" s="137"/>
      <c r="CB92" s="137">
        <f>(CB68-BU68)</f>
        <v>0</v>
      </c>
      <c r="CC92" s="137"/>
      <c r="CD92" s="137"/>
      <c r="CE92" s="137"/>
      <c r="CF92" s="137"/>
      <c r="CG92" s="137"/>
      <c r="CH92" s="137"/>
      <c r="CI92" s="137">
        <f>(CI68-CB68)</f>
        <v>0</v>
      </c>
      <c r="CJ92" s="137"/>
      <c r="CK92" s="137"/>
      <c r="CL92" s="137"/>
      <c r="CM92" s="137"/>
      <c r="CN92" s="137"/>
    </row>
    <row r="93" spans="2:107" x14ac:dyDescent="0.2">
      <c r="B93" s="105" t="s">
        <v>434</v>
      </c>
      <c r="D93" s="137"/>
      <c r="E93" s="137"/>
      <c r="F93" s="137"/>
      <c r="G93" s="137"/>
      <c r="H93" s="137"/>
      <c r="I93" s="137"/>
      <c r="J93" s="137">
        <f>(J67-C67)</f>
        <v>0</v>
      </c>
      <c r="K93" s="137"/>
      <c r="L93" s="137"/>
      <c r="M93" s="137"/>
      <c r="N93" s="137"/>
      <c r="O93" s="137"/>
      <c r="P93" s="137"/>
      <c r="Q93" s="137">
        <f>(Q67-J67)</f>
        <v>0</v>
      </c>
      <c r="R93" s="137"/>
      <c r="S93" s="137"/>
      <c r="T93" s="137"/>
      <c r="U93" s="137"/>
      <c r="V93" s="137"/>
      <c r="W93" s="137"/>
      <c r="X93" s="137">
        <f>(X67-Q67)</f>
        <v>0</v>
      </c>
      <c r="Y93" s="137"/>
      <c r="Z93" s="137"/>
      <c r="AA93" s="137"/>
      <c r="AB93" s="137"/>
      <c r="AC93" s="137"/>
      <c r="AD93" s="137"/>
      <c r="AE93" s="137">
        <f>(AE67-X67)</f>
        <v>0</v>
      </c>
      <c r="AF93" s="137"/>
      <c r="AG93" s="137"/>
      <c r="AH93" s="137"/>
      <c r="AI93" s="137"/>
      <c r="AJ93" s="137"/>
      <c r="AK93" s="137"/>
      <c r="AL93" s="137">
        <f>(AL67-AE67)</f>
        <v>0</v>
      </c>
      <c r="AM93" s="137"/>
      <c r="AN93" s="137"/>
      <c r="AO93" s="137"/>
      <c r="AP93" s="137"/>
      <c r="AQ93" s="137"/>
      <c r="AR93" s="137"/>
      <c r="AS93" s="137">
        <f>(AS67-AL67)</f>
        <v>0</v>
      </c>
      <c r="AT93" s="137"/>
      <c r="AU93" s="137"/>
      <c r="AV93" s="137"/>
      <c r="AW93" s="137"/>
      <c r="AX93" s="137"/>
      <c r="AY93" s="137"/>
      <c r="AZ93" s="137">
        <f>(AZ67-AS67)</f>
        <v>0</v>
      </c>
      <c r="BA93" s="137"/>
      <c r="BB93" s="137"/>
      <c r="BC93" s="137"/>
      <c r="BD93" s="137"/>
      <c r="BE93" s="137"/>
      <c r="BF93" s="137"/>
      <c r="BG93" s="137">
        <f>(BG67-AZ67)</f>
        <v>0</v>
      </c>
      <c r="BH93" s="137"/>
      <c r="BI93" s="137"/>
      <c r="BJ93" s="137"/>
      <c r="BK93" s="137"/>
      <c r="BL93" s="137"/>
      <c r="BM93" s="137"/>
      <c r="BN93" s="137">
        <f>(BN67-BG67)</f>
        <v>0</v>
      </c>
      <c r="BO93" s="137"/>
      <c r="BP93" s="137"/>
      <c r="BQ93" s="137"/>
      <c r="BR93" s="137"/>
      <c r="BS93" s="137"/>
      <c r="BT93" s="137"/>
      <c r="BU93" s="137">
        <f>(BU67-BN67)</f>
        <v>0</v>
      </c>
      <c r="BV93" s="137"/>
      <c r="BW93" s="137"/>
      <c r="BX93" s="137"/>
      <c r="BY93" s="137"/>
      <c r="BZ93" s="137"/>
      <c r="CA93" s="137"/>
      <c r="CB93" s="137">
        <f>(CB67-BU67)</f>
        <v>0</v>
      </c>
      <c r="CC93" s="137"/>
      <c r="CD93" s="137"/>
      <c r="CE93" s="137"/>
      <c r="CF93" s="137"/>
      <c r="CG93" s="137"/>
      <c r="CH93" s="137"/>
      <c r="CI93" s="137">
        <f>(CI67-CB67)</f>
        <v>0</v>
      </c>
      <c r="CJ93" s="137"/>
      <c r="CK93" s="137"/>
      <c r="CL93" s="137"/>
      <c r="CM93" s="137"/>
      <c r="CN93" s="137"/>
    </row>
    <row r="94" spans="2:107" x14ac:dyDescent="0.2">
      <c r="B94" s="105" t="s">
        <v>435</v>
      </c>
      <c r="D94" s="137"/>
      <c r="E94" s="137"/>
      <c r="F94" s="137"/>
      <c r="G94" s="137"/>
      <c r="H94" s="137"/>
      <c r="I94" s="137"/>
      <c r="J94" s="137">
        <f>(J69-C69)</f>
        <v>0</v>
      </c>
      <c r="K94" s="137"/>
      <c r="L94" s="137"/>
      <c r="M94" s="137"/>
      <c r="N94" s="137"/>
      <c r="O94" s="137"/>
      <c r="P94" s="137"/>
      <c r="Q94" s="137">
        <f>(Q69-J69)</f>
        <v>0</v>
      </c>
      <c r="R94" s="137"/>
      <c r="S94" s="137"/>
      <c r="T94" s="137"/>
      <c r="U94" s="137"/>
      <c r="V94" s="137"/>
      <c r="W94" s="137"/>
      <c r="X94" s="137">
        <f>(X69-Q69)</f>
        <v>0</v>
      </c>
      <c r="Y94" s="137"/>
      <c r="Z94" s="137"/>
      <c r="AA94" s="137"/>
      <c r="AB94" s="137"/>
      <c r="AC94" s="137"/>
      <c r="AD94" s="137"/>
      <c r="AE94" s="137">
        <f>(AE69-X69)</f>
        <v>0</v>
      </c>
      <c r="AF94" s="137"/>
      <c r="AG94" s="137"/>
      <c r="AH94" s="137"/>
      <c r="AI94" s="137"/>
      <c r="AJ94" s="137"/>
      <c r="AK94" s="137"/>
      <c r="AL94" s="137">
        <f>(AL69-AE69)</f>
        <v>0</v>
      </c>
      <c r="AM94" s="137"/>
      <c r="AN94" s="137"/>
      <c r="AO94" s="137"/>
      <c r="AP94" s="137"/>
      <c r="AQ94" s="137"/>
      <c r="AR94" s="137"/>
      <c r="AS94" s="137">
        <f>(AS69-AL69)</f>
        <v>0</v>
      </c>
      <c r="AT94" s="137"/>
      <c r="AU94" s="137"/>
      <c r="AV94" s="137"/>
      <c r="AW94" s="137"/>
      <c r="AX94" s="137"/>
      <c r="AY94" s="137"/>
      <c r="AZ94" s="137">
        <f>(AZ69-AS69)</f>
        <v>0</v>
      </c>
      <c r="BA94" s="137"/>
      <c r="BB94" s="137"/>
      <c r="BC94" s="137"/>
      <c r="BD94" s="137"/>
      <c r="BE94" s="137"/>
      <c r="BF94" s="137"/>
      <c r="BG94" s="137">
        <f>(BG69-AZ69)</f>
        <v>0</v>
      </c>
      <c r="BH94" s="137"/>
      <c r="BI94" s="137"/>
      <c r="BJ94" s="137"/>
      <c r="BK94" s="137"/>
      <c r="BL94" s="137"/>
      <c r="BM94" s="137"/>
      <c r="BN94" s="137">
        <f>(BN69-BG69)</f>
        <v>0</v>
      </c>
      <c r="BO94" s="137"/>
      <c r="BP94" s="137"/>
      <c r="BQ94" s="137"/>
      <c r="BR94" s="137"/>
      <c r="BS94" s="137"/>
      <c r="BT94" s="137"/>
      <c r="BU94" s="137">
        <f>(BU69-BN69)</f>
        <v>0</v>
      </c>
      <c r="BV94" s="137"/>
      <c r="BW94" s="137"/>
      <c r="BX94" s="137"/>
      <c r="BY94" s="137"/>
      <c r="BZ94" s="137"/>
      <c r="CA94" s="137"/>
      <c r="CB94" s="137">
        <f>(CB69-BU69)</f>
        <v>0</v>
      </c>
      <c r="CC94" s="137"/>
      <c r="CD94" s="137"/>
      <c r="CE94" s="137"/>
      <c r="CF94" s="137"/>
      <c r="CG94" s="137"/>
      <c r="CH94" s="137"/>
      <c r="CI94" s="137">
        <f>(CI69-CB69)</f>
        <v>0</v>
      </c>
      <c r="CJ94" s="137"/>
      <c r="CK94" s="137"/>
      <c r="CL94" s="137"/>
      <c r="CM94" s="137"/>
      <c r="CN94" s="137"/>
    </row>
    <row r="95" spans="2:107" x14ac:dyDescent="0.2">
      <c r="B95" s="105" t="s">
        <v>436</v>
      </c>
      <c r="D95" s="137"/>
      <c r="E95" s="137"/>
      <c r="F95" s="137"/>
      <c r="G95" s="137"/>
      <c r="H95" s="137"/>
      <c r="I95" s="137"/>
      <c r="J95" s="137">
        <f>(J71-C71)</f>
        <v>0</v>
      </c>
      <c r="K95" s="137"/>
      <c r="L95" s="137"/>
      <c r="M95" s="137"/>
      <c r="N95" s="137"/>
      <c r="O95" s="137"/>
      <c r="P95" s="137"/>
      <c r="Q95" s="137">
        <f>(Q71-J71)</f>
        <v>0</v>
      </c>
      <c r="R95" s="137"/>
      <c r="S95" s="137"/>
      <c r="T95" s="137"/>
      <c r="U95" s="137"/>
      <c r="V95" s="137"/>
      <c r="W95" s="137"/>
      <c r="X95" s="137">
        <f>(X71-Q71)</f>
        <v>0</v>
      </c>
      <c r="Y95" s="137"/>
      <c r="Z95" s="137"/>
      <c r="AA95" s="137"/>
      <c r="AB95" s="137"/>
      <c r="AC95" s="137"/>
      <c r="AD95" s="137"/>
      <c r="AE95" s="137">
        <f>(AE71-X71)</f>
        <v>0</v>
      </c>
      <c r="AF95" s="137"/>
      <c r="AG95" s="137"/>
      <c r="AH95" s="137"/>
      <c r="AI95" s="137"/>
      <c r="AJ95" s="137"/>
      <c r="AK95" s="137"/>
      <c r="AL95" s="137">
        <f>(AL71-AE71)</f>
        <v>0</v>
      </c>
      <c r="AM95" s="137"/>
      <c r="AN95" s="137"/>
      <c r="AO95" s="137"/>
      <c r="AP95" s="137"/>
      <c r="AQ95" s="137"/>
      <c r="AR95" s="137"/>
      <c r="AS95" s="137">
        <f>(AS71-AL71)</f>
        <v>0</v>
      </c>
      <c r="AT95" s="137"/>
      <c r="AU95" s="137"/>
      <c r="AV95" s="137"/>
      <c r="AW95" s="137"/>
      <c r="AX95" s="137"/>
      <c r="AY95" s="137"/>
      <c r="AZ95" s="137">
        <f>(AZ71-AS71)</f>
        <v>0</v>
      </c>
      <c r="BA95" s="137"/>
      <c r="BB95" s="137"/>
      <c r="BC95" s="137"/>
      <c r="BD95" s="137"/>
      <c r="BE95" s="137"/>
      <c r="BF95" s="137"/>
      <c r="BG95" s="137">
        <f>(BG71-AZ71)</f>
        <v>0</v>
      </c>
      <c r="BH95" s="137"/>
      <c r="BI95" s="137"/>
      <c r="BJ95" s="137"/>
      <c r="BK95" s="137"/>
      <c r="BL95" s="137"/>
      <c r="BM95" s="137"/>
      <c r="BN95" s="137">
        <f>(BN71-BG71)</f>
        <v>0</v>
      </c>
      <c r="BO95" s="137"/>
      <c r="BP95" s="137"/>
      <c r="BQ95" s="137"/>
      <c r="BR95" s="137"/>
      <c r="BS95" s="137"/>
      <c r="BT95" s="137"/>
      <c r="BU95" s="137">
        <f>(BU71-BN71)</f>
        <v>0</v>
      </c>
      <c r="BV95" s="137"/>
      <c r="BW95" s="137"/>
      <c r="BX95" s="137"/>
      <c r="BY95" s="137"/>
      <c r="BZ95" s="137"/>
      <c r="CA95" s="137"/>
      <c r="CB95" s="137">
        <f>(CB71-BU71)</f>
        <v>0</v>
      </c>
      <c r="CC95" s="137"/>
      <c r="CD95" s="137"/>
      <c r="CE95" s="137"/>
      <c r="CF95" s="137"/>
      <c r="CG95" s="137"/>
      <c r="CH95" s="137"/>
      <c r="CI95" s="137">
        <f>(CI71-CB71)</f>
        <v>0</v>
      </c>
      <c r="CJ95" s="137"/>
      <c r="CK95" s="137"/>
      <c r="CL95" s="137"/>
      <c r="CM95" s="137"/>
      <c r="CN95" s="137"/>
    </row>
    <row r="96" spans="2:107" ht="16" x14ac:dyDescent="0.2">
      <c r="B96" s="141" t="s">
        <v>354</v>
      </c>
      <c r="C96" s="207"/>
      <c r="D96" s="162"/>
      <c r="E96" s="162"/>
      <c r="F96" s="162"/>
      <c r="G96" s="162"/>
      <c r="H96" s="162"/>
      <c r="I96" s="162"/>
      <c r="J96" s="162">
        <f>SUM(J87:J95)</f>
        <v>1809984.53</v>
      </c>
      <c r="K96" s="162"/>
      <c r="L96" s="162"/>
      <c r="M96" s="162"/>
      <c r="N96" s="162"/>
      <c r="O96" s="162"/>
      <c r="P96" s="162"/>
      <c r="Q96" s="162">
        <f>SUM(Q87:Q95)</f>
        <v>-5163682.3499999996</v>
      </c>
      <c r="R96" s="162"/>
      <c r="S96" s="162"/>
      <c r="T96" s="162"/>
      <c r="U96" s="162"/>
      <c r="V96" s="162"/>
      <c r="W96" s="162"/>
      <c r="X96" s="162">
        <f>SUM(X87:X95)</f>
        <v>3078802.53</v>
      </c>
      <c r="Y96" s="162"/>
      <c r="Z96" s="162"/>
      <c r="AA96" s="162"/>
      <c r="AB96" s="162"/>
      <c r="AC96" s="162"/>
      <c r="AD96" s="162"/>
      <c r="AE96" s="162">
        <f>SUM(AE87:AE95)</f>
        <v>5497802.5300000003</v>
      </c>
      <c r="AF96" s="162"/>
      <c r="AG96" s="162"/>
      <c r="AH96" s="162"/>
      <c r="AI96" s="162"/>
      <c r="AJ96" s="162"/>
      <c r="AK96" s="162"/>
      <c r="AL96" s="162">
        <f>SUM(AL87:AL95)</f>
        <v>5073902.53</v>
      </c>
      <c r="AM96" s="162"/>
      <c r="AN96" s="162"/>
      <c r="AO96" s="162"/>
      <c r="AP96" s="162"/>
      <c r="AQ96" s="162"/>
      <c r="AR96" s="162"/>
      <c r="AS96" s="162">
        <f>SUM(AS87:AS95)</f>
        <v>5336452.53</v>
      </c>
      <c r="AT96" s="162"/>
      <c r="AU96" s="162"/>
      <c r="AV96" s="162"/>
      <c r="AW96" s="162"/>
      <c r="AX96" s="162"/>
      <c r="AY96" s="162"/>
      <c r="AZ96" s="162">
        <f>SUM(AZ87:AZ95)</f>
        <v>4859127.13</v>
      </c>
      <c r="BA96" s="162"/>
      <c r="BB96" s="162"/>
      <c r="BC96" s="162"/>
      <c r="BD96" s="162"/>
      <c r="BE96" s="162"/>
      <c r="BF96" s="162"/>
      <c r="BG96" s="162">
        <f>SUM(BG87:BG95)</f>
        <v>6604058.1299999999</v>
      </c>
      <c r="BH96" s="162"/>
      <c r="BI96" s="162"/>
      <c r="BJ96" s="162"/>
      <c r="BK96" s="162"/>
      <c r="BL96" s="162"/>
      <c r="BM96" s="162"/>
      <c r="BN96" s="162">
        <f>SUM(BN87:BN95)</f>
        <v>4061158.13</v>
      </c>
      <c r="BO96" s="162"/>
      <c r="BP96" s="162"/>
      <c r="BQ96" s="162"/>
      <c r="BR96" s="162"/>
      <c r="BS96" s="162"/>
      <c r="BT96" s="162"/>
      <c r="BU96" s="162">
        <f>SUM(BU87:BU95)</f>
        <v>3154058.1299999994</v>
      </c>
      <c r="BV96" s="162"/>
      <c r="BW96" s="162"/>
      <c r="BX96" s="162"/>
      <c r="BY96" s="162"/>
      <c r="BZ96" s="162"/>
      <c r="CA96" s="162"/>
      <c r="CB96" s="162">
        <f>SUM(CB87:CB95)</f>
        <v>6604058.1299999999</v>
      </c>
      <c r="CC96" s="162"/>
      <c r="CD96" s="162"/>
      <c r="CE96" s="162"/>
      <c r="CF96" s="162"/>
      <c r="CG96" s="162"/>
      <c r="CH96" s="162"/>
      <c r="CI96" s="162">
        <f>SUM(CI87:CI95)</f>
        <v>5822523.1299999999</v>
      </c>
      <c r="CJ96" s="163"/>
      <c r="CK96" s="163"/>
      <c r="CL96" s="163"/>
      <c r="CM96" s="163"/>
      <c r="CN96" s="163"/>
    </row>
    <row r="97" spans="2:94" x14ac:dyDescent="0.2">
      <c r="B97" s="105" t="s">
        <v>437</v>
      </c>
      <c r="D97" s="137"/>
      <c r="E97" s="137"/>
      <c r="F97" s="137"/>
      <c r="G97" s="137"/>
      <c r="H97" s="137"/>
      <c r="I97" s="137"/>
      <c r="J97" s="137">
        <f>-(J64-'EEFF 2025'!CI62+J15)</f>
        <v>0</v>
      </c>
      <c r="K97" s="137"/>
      <c r="L97" s="137"/>
      <c r="M97" s="137"/>
      <c r="N97" s="137"/>
      <c r="O97" s="137"/>
      <c r="P97" s="137"/>
      <c r="Q97" s="137">
        <f>-(Q64-J64+Q15)</f>
        <v>0</v>
      </c>
      <c r="R97" s="137"/>
      <c r="S97" s="137"/>
      <c r="T97" s="137"/>
      <c r="U97" s="137"/>
      <c r="V97" s="137"/>
      <c r="W97" s="137"/>
      <c r="X97" s="137">
        <f>-(X64-Q64+X15)</f>
        <v>0</v>
      </c>
      <c r="Y97" s="137"/>
      <c r="Z97" s="137"/>
      <c r="AA97" s="137"/>
      <c r="AB97" s="137"/>
      <c r="AC97" s="137"/>
      <c r="AD97" s="137"/>
      <c r="AE97" s="137">
        <f>-(AE64-X64+AE15)</f>
        <v>0</v>
      </c>
      <c r="AF97" s="137"/>
      <c r="AG97" s="137"/>
      <c r="AH97" s="137"/>
      <c r="AI97" s="137"/>
      <c r="AJ97" s="137"/>
      <c r="AK97" s="137"/>
      <c r="AL97" s="137">
        <f>-(AL64-AE64+AL15)</f>
        <v>0</v>
      </c>
      <c r="AM97" s="137"/>
      <c r="AN97" s="137"/>
      <c r="AO97" s="137"/>
      <c r="AP97" s="137"/>
      <c r="AQ97" s="137"/>
      <c r="AR97" s="137"/>
      <c r="AS97" s="137">
        <f>-(AS64-AL64+AS15)</f>
        <v>0</v>
      </c>
      <c r="AT97" s="137"/>
      <c r="AU97" s="137"/>
      <c r="AV97" s="137"/>
      <c r="AW97" s="137"/>
      <c r="AX97" s="137"/>
      <c r="AY97" s="137"/>
      <c r="AZ97" s="137">
        <f>-(AZ64-AS64+AZ15)</f>
        <v>0</v>
      </c>
      <c r="BA97" s="137"/>
      <c r="BB97" s="137"/>
      <c r="BC97" s="137"/>
      <c r="BD97" s="137"/>
      <c r="BE97" s="137"/>
      <c r="BF97" s="137"/>
      <c r="BG97" s="137">
        <f>-(BG64-AZ64+BG15)</f>
        <v>0</v>
      </c>
      <c r="BH97" s="137"/>
      <c r="BI97" s="137"/>
      <c r="BJ97" s="137"/>
      <c r="BK97" s="137"/>
      <c r="BL97" s="137"/>
      <c r="BM97" s="137"/>
      <c r="BN97" s="137">
        <f>-(BN64-BG64+BN15)</f>
        <v>0</v>
      </c>
      <c r="BO97" s="137"/>
      <c r="BP97" s="137"/>
      <c r="BQ97" s="137"/>
      <c r="BR97" s="137"/>
      <c r="BS97" s="137"/>
      <c r="BT97" s="137"/>
      <c r="BU97" s="137">
        <f>-(BU64-BN64+BU15)</f>
        <v>0</v>
      </c>
      <c r="BV97" s="137"/>
      <c r="BW97" s="137"/>
      <c r="BX97" s="137"/>
      <c r="BY97" s="137"/>
      <c r="BZ97" s="137"/>
      <c r="CA97" s="137"/>
      <c r="CB97" s="137">
        <f>-(CB64-BU64+CB15)</f>
        <v>0</v>
      </c>
      <c r="CC97" s="137"/>
      <c r="CD97" s="137"/>
      <c r="CE97" s="137"/>
      <c r="CF97" s="137"/>
      <c r="CG97" s="137"/>
      <c r="CH97" s="137"/>
      <c r="CI97" s="137">
        <f>-(CI64-CB64+CI15)</f>
        <v>0</v>
      </c>
      <c r="CJ97" s="137"/>
      <c r="CK97" s="137"/>
      <c r="CL97" s="137"/>
      <c r="CM97" s="137"/>
      <c r="CN97" s="137"/>
    </row>
    <row r="98" spans="2:94" ht="16" x14ac:dyDescent="0.2">
      <c r="B98" s="141" t="s">
        <v>355</v>
      </c>
      <c r="C98" s="207"/>
      <c r="D98" s="162"/>
      <c r="E98" s="162"/>
      <c r="F98" s="162"/>
      <c r="G98" s="162"/>
      <c r="H98" s="162"/>
      <c r="I98" s="162"/>
      <c r="J98" s="162">
        <f>SUM(J97)</f>
        <v>0</v>
      </c>
      <c r="K98" s="162"/>
      <c r="L98" s="162"/>
      <c r="M98" s="162"/>
      <c r="N98" s="162"/>
      <c r="O98" s="162"/>
      <c r="P98" s="162"/>
      <c r="Q98" s="162">
        <f>SUM(Q97)</f>
        <v>0</v>
      </c>
      <c r="R98" s="162"/>
      <c r="S98" s="162"/>
      <c r="T98" s="162"/>
      <c r="U98" s="162"/>
      <c r="V98" s="162"/>
      <c r="W98" s="162"/>
      <c r="X98" s="162">
        <f>SUM(X97)</f>
        <v>0</v>
      </c>
      <c r="Y98" s="162"/>
      <c r="Z98" s="162"/>
      <c r="AA98" s="162"/>
      <c r="AB98" s="162"/>
      <c r="AC98" s="162"/>
      <c r="AD98" s="162"/>
      <c r="AE98" s="162">
        <f>SUM(AE97)</f>
        <v>0</v>
      </c>
      <c r="AF98" s="162"/>
      <c r="AG98" s="162"/>
      <c r="AH98" s="162"/>
      <c r="AI98" s="162"/>
      <c r="AJ98" s="162"/>
      <c r="AK98" s="162"/>
      <c r="AL98" s="162">
        <f>SUM(AL97)</f>
        <v>0</v>
      </c>
      <c r="AM98" s="162"/>
      <c r="AN98" s="162"/>
      <c r="AO98" s="162"/>
      <c r="AP98" s="162"/>
      <c r="AQ98" s="162"/>
      <c r="AR98" s="162"/>
      <c r="AS98" s="162">
        <f>SUM(AS97)</f>
        <v>0</v>
      </c>
      <c r="AT98" s="162"/>
      <c r="AU98" s="162"/>
      <c r="AV98" s="162"/>
      <c r="AW98" s="162"/>
      <c r="AX98" s="162"/>
      <c r="AY98" s="162"/>
      <c r="AZ98" s="162">
        <f>SUM(AZ97)</f>
        <v>0</v>
      </c>
      <c r="BA98" s="162"/>
      <c r="BB98" s="162"/>
      <c r="BC98" s="162"/>
      <c r="BD98" s="162"/>
      <c r="BE98" s="162"/>
      <c r="BF98" s="162"/>
      <c r="BG98" s="162">
        <f>SUM(BG97)</f>
        <v>0</v>
      </c>
      <c r="BH98" s="162"/>
      <c r="BI98" s="162"/>
      <c r="BJ98" s="162"/>
      <c r="BK98" s="162"/>
      <c r="BL98" s="162"/>
      <c r="BM98" s="162"/>
      <c r="BN98" s="162">
        <f>SUM(BN97)</f>
        <v>0</v>
      </c>
      <c r="BO98" s="162"/>
      <c r="BP98" s="162"/>
      <c r="BQ98" s="162"/>
      <c r="BR98" s="162"/>
      <c r="BS98" s="162"/>
      <c r="BT98" s="162"/>
      <c r="BU98" s="162">
        <f>SUM(BU97)</f>
        <v>0</v>
      </c>
      <c r="BV98" s="162"/>
      <c r="BW98" s="162"/>
      <c r="BX98" s="162"/>
      <c r="BY98" s="162"/>
      <c r="BZ98" s="162"/>
      <c r="CA98" s="162"/>
      <c r="CB98" s="162">
        <f>SUM(CB97)</f>
        <v>0</v>
      </c>
      <c r="CC98" s="162"/>
      <c r="CD98" s="162"/>
      <c r="CE98" s="162"/>
      <c r="CF98" s="162"/>
      <c r="CG98" s="162"/>
      <c r="CH98" s="162"/>
      <c r="CI98" s="162">
        <f>SUM(CI97)</f>
        <v>0</v>
      </c>
      <c r="CJ98" s="163"/>
      <c r="CK98" s="163"/>
      <c r="CL98" s="163"/>
      <c r="CM98" s="163"/>
      <c r="CN98" s="163"/>
    </row>
    <row r="99" spans="2:94" x14ac:dyDescent="0.2">
      <c r="B99" s="105" t="s">
        <v>438</v>
      </c>
      <c r="D99" s="137"/>
      <c r="E99" s="137"/>
      <c r="F99" s="137"/>
      <c r="G99" s="137"/>
      <c r="H99" s="137"/>
      <c r="I99" s="137"/>
      <c r="J99" s="137">
        <f>((J70+J73)-('EEFF 2025'!CI68+'EEFF 2025'!CI71))</f>
        <v>0</v>
      </c>
      <c r="K99" s="137"/>
      <c r="L99" s="137"/>
      <c r="M99" s="137"/>
      <c r="N99" s="137"/>
      <c r="O99" s="137"/>
      <c r="P99" s="137"/>
      <c r="Q99" s="137">
        <f>((Q70+Q73)-(J70+J73))</f>
        <v>0</v>
      </c>
      <c r="R99" s="137"/>
      <c r="S99" s="137"/>
      <c r="T99" s="137"/>
      <c r="U99" s="137"/>
      <c r="V99" s="137"/>
      <c r="W99" s="137"/>
      <c r="X99" s="137">
        <f>((X70+X73)-(Q70+Q73))</f>
        <v>0</v>
      </c>
      <c r="Y99" s="137"/>
      <c r="Z99" s="137"/>
      <c r="AA99" s="137"/>
      <c r="AB99" s="137"/>
      <c r="AC99" s="137"/>
      <c r="AD99" s="137"/>
      <c r="AE99" s="137">
        <f>((AE70+AE73)-(X70+X73))</f>
        <v>0</v>
      </c>
      <c r="AF99" s="137"/>
      <c r="AG99" s="137"/>
      <c r="AH99" s="137"/>
      <c r="AI99" s="137"/>
      <c r="AJ99" s="137"/>
      <c r="AK99" s="137"/>
      <c r="AL99" s="137">
        <f>((AL70+AL73)-(AE70+AE73))</f>
        <v>0</v>
      </c>
      <c r="AM99" s="137"/>
      <c r="AN99" s="137"/>
      <c r="AO99" s="137"/>
      <c r="AP99" s="137"/>
      <c r="AQ99" s="137"/>
      <c r="AR99" s="137"/>
      <c r="AS99" s="137">
        <f>((AS70+AS73)-(AL70+AL73))</f>
        <v>0</v>
      </c>
      <c r="AT99" s="137"/>
      <c r="AU99" s="137"/>
      <c r="AV99" s="137"/>
      <c r="AW99" s="137"/>
      <c r="AX99" s="137"/>
      <c r="AY99" s="137"/>
      <c r="AZ99" s="137">
        <f>((AZ70+AZ73)-(AS70+AS73))</f>
        <v>0</v>
      </c>
      <c r="BA99" s="137"/>
      <c r="BB99" s="137"/>
      <c r="BC99" s="137"/>
      <c r="BD99" s="137"/>
      <c r="BE99" s="137"/>
      <c r="BF99" s="137"/>
      <c r="BG99" s="137">
        <f>((BG70+BG73)-(AZ70+AZ73))</f>
        <v>0</v>
      </c>
      <c r="BH99" s="137"/>
      <c r="BI99" s="137"/>
      <c r="BJ99" s="137"/>
      <c r="BK99" s="137"/>
      <c r="BL99" s="137"/>
      <c r="BM99" s="137"/>
      <c r="BN99" s="137">
        <f>((BN70+BN73)-(BG70+BG73))</f>
        <v>0</v>
      </c>
      <c r="BO99" s="137"/>
      <c r="BP99" s="137"/>
      <c r="BQ99" s="137"/>
      <c r="BR99" s="137"/>
      <c r="BS99" s="137"/>
      <c r="BT99" s="137"/>
      <c r="BU99" s="137">
        <f>((BU70+BU73)-(BN70+BN73))</f>
        <v>0</v>
      </c>
      <c r="BV99" s="137"/>
      <c r="BW99" s="137"/>
      <c r="BX99" s="137"/>
      <c r="BY99" s="137"/>
      <c r="BZ99" s="137"/>
      <c r="CA99" s="137"/>
      <c r="CB99" s="137">
        <f>((CB70+CB73)-(BU70+BU73))</f>
        <v>0</v>
      </c>
      <c r="CC99" s="137"/>
      <c r="CD99" s="137"/>
      <c r="CE99" s="137"/>
      <c r="CF99" s="137"/>
      <c r="CG99" s="137"/>
      <c r="CH99" s="137"/>
      <c r="CI99" s="137">
        <f>((CI70+CI73)-(CB70+CB73))</f>
        <v>0</v>
      </c>
      <c r="CJ99" s="137"/>
      <c r="CK99" s="137"/>
      <c r="CL99" s="137"/>
      <c r="CM99" s="137"/>
      <c r="CN99" s="137"/>
    </row>
    <row r="100" spans="2:94" x14ac:dyDescent="0.2">
      <c r="B100" s="105" t="s">
        <v>356</v>
      </c>
      <c r="D100" s="137"/>
      <c r="E100" s="137"/>
      <c r="F100" s="137"/>
      <c r="G100" s="137"/>
      <c r="H100" s="137"/>
      <c r="I100" s="137"/>
      <c r="J100" s="137">
        <f>(J80-('EEFF 2025'!CI77+'EEFF 2025'!CI78))</f>
        <v>-12108994.050000001</v>
      </c>
      <c r="K100" s="137"/>
      <c r="L100" s="137"/>
      <c r="M100" s="137"/>
      <c r="N100" s="137"/>
      <c r="O100" s="137"/>
      <c r="P100" s="137"/>
      <c r="Q100" s="137">
        <f>(Q80-(J79+J80))</f>
        <v>0</v>
      </c>
      <c r="R100" s="137"/>
      <c r="S100" s="137"/>
      <c r="T100" s="137"/>
      <c r="U100" s="137"/>
      <c r="V100" s="137"/>
      <c r="W100" s="137"/>
      <c r="X100" s="137">
        <f>(X80-(Q79+Q80))</f>
        <v>0</v>
      </c>
      <c r="Y100" s="137"/>
      <c r="Z100" s="137"/>
      <c r="AA100" s="137"/>
      <c r="AB100" s="137"/>
      <c r="AC100" s="137"/>
      <c r="AD100" s="137"/>
      <c r="AE100" s="137">
        <f>(AE80-(X79+X80))</f>
        <v>0</v>
      </c>
      <c r="AF100" s="137"/>
      <c r="AG100" s="137"/>
      <c r="AH100" s="137"/>
      <c r="AI100" s="137"/>
      <c r="AJ100" s="137"/>
      <c r="AK100" s="137"/>
      <c r="AL100" s="137">
        <f>(AL80-(AE79+AE80))</f>
        <v>0</v>
      </c>
      <c r="AM100" s="137"/>
      <c r="AN100" s="137"/>
      <c r="AO100" s="137"/>
      <c r="AP100" s="137"/>
      <c r="AQ100" s="137"/>
      <c r="AR100" s="137"/>
      <c r="AS100" s="137">
        <f>(AS80-(AL79+AL80))</f>
        <v>0</v>
      </c>
      <c r="AT100" s="137"/>
      <c r="AU100" s="137"/>
      <c r="AV100" s="137"/>
      <c r="AW100" s="137"/>
      <c r="AX100" s="137"/>
      <c r="AY100" s="137"/>
      <c r="AZ100" s="137">
        <f>(AZ80-(AS79+AS80))</f>
        <v>0</v>
      </c>
      <c r="BA100" s="137"/>
      <c r="BB100" s="137"/>
      <c r="BC100" s="137"/>
      <c r="BD100" s="137"/>
      <c r="BE100" s="137"/>
      <c r="BF100" s="137"/>
      <c r="BG100" s="137">
        <f>(BG80-(AZ79+AZ80))</f>
        <v>0</v>
      </c>
      <c r="BH100" s="137"/>
      <c r="BI100" s="137"/>
      <c r="BJ100" s="137"/>
      <c r="BK100" s="137"/>
      <c r="BL100" s="137"/>
      <c r="BM100" s="137"/>
      <c r="BN100" s="137">
        <f>(BN80-(BG79+BG80))</f>
        <v>0</v>
      </c>
      <c r="BO100" s="137"/>
      <c r="BP100" s="137"/>
      <c r="BQ100" s="137"/>
      <c r="BR100" s="137"/>
      <c r="BS100" s="137"/>
      <c r="BT100" s="137"/>
      <c r="BU100" s="137">
        <f>(BU80-(BN79+BN80))</f>
        <v>0</v>
      </c>
      <c r="BV100" s="137"/>
      <c r="BW100" s="137"/>
      <c r="BX100" s="137"/>
      <c r="BY100" s="137"/>
      <c r="BZ100" s="137"/>
      <c r="CA100" s="137"/>
      <c r="CB100" s="137">
        <f>(CB80-(BU79+BU80))</f>
        <v>0</v>
      </c>
      <c r="CC100" s="137"/>
      <c r="CD100" s="137"/>
      <c r="CE100" s="137"/>
      <c r="CF100" s="137"/>
      <c r="CG100" s="137"/>
      <c r="CH100" s="137"/>
      <c r="CI100" s="137">
        <f>(CI80-(CB79+CB80))</f>
        <v>0</v>
      </c>
      <c r="CJ100" s="137"/>
      <c r="CK100" s="137"/>
      <c r="CL100" s="137"/>
      <c r="CM100" s="137"/>
      <c r="CN100" s="137"/>
    </row>
    <row r="101" spans="2:94" ht="16" x14ac:dyDescent="0.2">
      <c r="B101" s="141" t="s">
        <v>357</v>
      </c>
      <c r="C101" s="207"/>
      <c r="D101" s="162"/>
      <c r="E101" s="162"/>
      <c r="F101" s="162"/>
      <c r="G101" s="162"/>
      <c r="H101" s="162"/>
      <c r="I101" s="162"/>
      <c r="J101" s="162">
        <f>SUM(J99:J100)</f>
        <v>-12108994.050000001</v>
      </c>
      <c r="K101" s="162"/>
      <c r="L101" s="162"/>
      <c r="M101" s="162"/>
      <c r="N101" s="162"/>
      <c r="O101" s="162"/>
      <c r="P101" s="162"/>
      <c r="Q101" s="162">
        <f>SUM(Q99:Q100)</f>
        <v>0</v>
      </c>
      <c r="R101" s="162"/>
      <c r="S101" s="162"/>
      <c r="T101" s="162"/>
      <c r="U101" s="162"/>
      <c r="V101" s="162"/>
      <c r="W101" s="162"/>
      <c r="X101" s="162">
        <f>SUM(X99:X100)</f>
        <v>0</v>
      </c>
      <c r="Y101" s="162"/>
      <c r="Z101" s="162"/>
      <c r="AA101" s="162"/>
      <c r="AB101" s="162"/>
      <c r="AC101" s="162"/>
      <c r="AD101" s="162"/>
      <c r="AE101" s="162">
        <f>SUM(AE99:AE100)</f>
        <v>0</v>
      </c>
      <c r="AF101" s="162"/>
      <c r="AG101" s="162"/>
      <c r="AH101" s="162"/>
      <c r="AI101" s="162"/>
      <c r="AJ101" s="162"/>
      <c r="AK101" s="162"/>
      <c r="AL101" s="162">
        <f>SUM(AL99:AL100)</f>
        <v>0</v>
      </c>
      <c r="AM101" s="162"/>
      <c r="AN101" s="162"/>
      <c r="AO101" s="162"/>
      <c r="AP101" s="162"/>
      <c r="AQ101" s="162"/>
      <c r="AR101" s="162"/>
      <c r="AS101" s="162">
        <f>SUM(AS99:AS100)</f>
        <v>0</v>
      </c>
      <c r="AT101" s="162"/>
      <c r="AU101" s="162"/>
      <c r="AV101" s="162"/>
      <c r="AW101" s="162"/>
      <c r="AX101" s="162"/>
      <c r="AY101" s="162"/>
      <c r="AZ101" s="162">
        <f>SUM(AZ99:AZ100)</f>
        <v>0</v>
      </c>
      <c r="BA101" s="162"/>
      <c r="BB101" s="162"/>
      <c r="BC101" s="162"/>
      <c r="BD101" s="162"/>
      <c r="BE101" s="162"/>
      <c r="BF101" s="162"/>
      <c r="BG101" s="162">
        <f>SUM(BG99:BG100)</f>
        <v>0</v>
      </c>
      <c r="BH101" s="162"/>
      <c r="BI101" s="162"/>
      <c r="BJ101" s="162"/>
      <c r="BK101" s="162"/>
      <c r="BL101" s="162"/>
      <c r="BM101" s="162"/>
      <c r="BN101" s="162">
        <f>SUM(BN99:BN100)</f>
        <v>0</v>
      </c>
      <c r="BO101" s="162"/>
      <c r="BP101" s="162"/>
      <c r="BQ101" s="162"/>
      <c r="BR101" s="162"/>
      <c r="BS101" s="162"/>
      <c r="BT101" s="162"/>
      <c r="BU101" s="162">
        <f>SUM(BU99:BU100)</f>
        <v>0</v>
      </c>
      <c r="BV101" s="162"/>
      <c r="BW101" s="162"/>
      <c r="BX101" s="162"/>
      <c r="BY101" s="162"/>
      <c r="BZ101" s="162"/>
      <c r="CA101" s="162"/>
      <c r="CB101" s="162">
        <f>SUM(CB99:CB100)</f>
        <v>0</v>
      </c>
      <c r="CC101" s="162"/>
      <c r="CD101" s="162"/>
      <c r="CE101" s="162"/>
      <c r="CF101" s="162"/>
      <c r="CG101" s="162"/>
      <c r="CH101" s="162"/>
      <c r="CI101" s="162">
        <f>SUM(CI99:CI100)</f>
        <v>0</v>
      </c>
      <c r="CJ101" s="163"/>
      <c r="CK101" s="163"/>
      <c r="CL101" s="163"/>
      <c r="CM101" s="163"/>
      <c r="CN101" s="163"/>
    </row>
    <row r="102" spans="2:94" ht="16" x14ac:dyDescent="0.2">
      <c r="B102" s="141" t="s">
        <v>353</v>
      </c>
      <c r="C102" s="207"/>
      <c r="D102" s="162"/>
      <c r="E102" s="162"/>
      <c r="F102" s="162"/>
      <c r="G102" s="162"/>
      <c r="H102" s="162"/>
      <c r="I102" s="162"/>
      <c r="J102" s="162">
        <f>J96+J98+J101</f>
        <v>-10299009.520000001</v>
      </c>
      <c r="K102" s="162"/>
      <c r="L102" s="162"/>
      <c r="M102" s="162"/>
      <c r="N102" s="162"/>
      <c r="O102" s="162"/>
      <c r="P102" s="162"/>
      <c r="Q102" s="162">
        <f>Q96+Q98+Q101</f>
        <v>-5163682.3499999996</v>
      </c>
      <c r="R102" s="162"/>
      <c r="S102" s="162"/>
      <c r="T102" s="162"/>
      <c r="U102" s="162"/>
      <c r="V102" s="162"/>
      <c r="W102" s="162"/>
      <c r="X102" s="162">
        <f>X96+X98+X101</f>
        <v>3078802.53</v>
      </c>
      <c r="Y102" s="162"/>
      <c r="Z102" s="162"/>
      <c r="AA102" s="162"/>
      <c r="AB102" s="162"/>
      <c r="AC102" s="162"/>
      <c r="AD102" s="162"/>
      <c r="AE102" s="162">
        <f>AE96+AE98+AE101</f>
        <v>5497802.5300000003</v>
      </c>
      <c r="AF102" s="162"/>
      <c r="AG102" s="162"/>
      <c r="AH102" s="162"/>
      <c r="AI102" s="162"/>
      <c r="AJ102" s="162"/>
      <c r="AK102" s="162"/>
      <c r="AL102" s="162">
        <f>AL96+AL98+AL101</f>
        <v>5073902.53</v>
      </c>
      <c r="AM102" s="162"/>
      <c r="AN102" s="162"/>
      <c r="AO102" s="162"/>
      <c r="AP102" s="162"/>
      <c r="AQ102" s="162"/>
      <c r="AR102" s="162"/>
      <c r="AS102" s="162">
        <f>AS96+AS98+AS101</f>
        <v>5336452.53</v>
      </c>
      <c r="AT102" s="162"/>
      <c r="AU102" s="162"/>
      <c r="AV102" s="162"/>
      <c r="AW102" s="162"/>
      <c r="AX102" s="162"/>
      <c r="AY102" s="162"/>
      <c r="AZ102" s="162">
        <f>AZ96+AZ98+AZ101</f>
        <v>4859127.13</v>
      </c>
      <c r="BA102" s="162"/>
      <c r="BB102" s="162"/>
      <c r="BC102" s="162"/>
      <c r="BD102" s="162"/>
      <c r="BE102" s="162"/>
      <c r="BF102" s="162"/>
      <c r="BG102" s="162">
        <f>BG96+BG98+BG101</f>
        <v>6604058.1299999999</v>
      </c>
      <c r="BH102" s="162"/>
      <c r="BI102" s="162"/>
      <c r="BJ102" s="162"/>
      <c r="BK102" s="162"/>
      <c r="BL102" s="162"/>
      <c r="BM102" s="162"/>
      <c r="BN102" s="162">
        <f>BN96+BN98+BN101</f>
        <v>4061158.13</v>
      </c>
      <c r="BO102" s="162"/>
      <c r="BP102" s="162"/>
      <c r="BQ102" s="162"/>
      <c r="BR102" s="162"/>
      <c r="BS102" s="162"/>
      <c r="BT102" s="162"/>
      <c r="BU102" s="162">
        <f>BU96+BU98+BU101</f>
        <v>3154058.1299999994</v>
      </c>
      <c r="BV102" s="162"/>
      <c r="BW102" s="162"/>
      <c r="BX102" s="162"/>
      <c r="BY102" s="162"/>
      <c r="BZ102" s="162"/>
      <c r="CA102" s="162"/>
      <c r="CB102" s="162">
        <f>CB96+CB98+CB101</f>
        <v>6604058.1299999999</v>
      </c>
      <c r="CC102" s="162"/>
      <c r="CD102" s="162"/>
      <c r="CE102" s="162"/>
      <c r="CF102" s="162"/>
      <c r="CG102" s="162"/>
      <c r="CH102" s="162"/>
      <c r="CI102" s="162">
        <f>CI96+CI98+CI101</f>
        <v>5822523.1299999999</v>
      </c>
      <c r="CJ102" s="163"/>
      <c r="CK102" s="163"/>
      <c r="CL102" s="163"/>
      <c r="CM102" s="163"/>
      <c r="CN102" s="163"/>
    </row>
    <row r="103" spans="2:94" x14ac:dyDescent="0.2">
      <c r="B103" s="105" t="s">
        <v>358</v>
      </c>
      <c r="D103" s="137"/>
      <c r="E103" s="137"/>
      <c r="F103" s="137"/>
      <c r="G103" s="137"/>
      <c r="H103" s="137"/>
      <c r="I103" s="137"/>
      <c r="J103" s="137">
        <f>'EEFF 2025'!CI51</f>
        <v>80689773</v>
      </c>
      <c r="K103" s="137"/>
      <c r="L103" s="137"/>
      <c r="M103" s="137"/>
      <c r="N103" s="137"/>
      <c r="O103" s="137"/>
      <c r="P103" s="137"/>
      <c r="Q103" s="137">
        <f>J52</f>
        <v>70384786.280000001</v>
      </c>
      <c r="R103" s="137"/>
      <c r="S103" s="137"/>
      <c r="T103" s="137"/>
      <c r="U103" s="137"/>
      <c r="V103" s="137"/>
      <c r="W103" s="137"/>
      <c r="X103" s="137">
        <f>Q52</f>
        <v>61371886.280000001</v>
      </c>
      <c r="Y103" s="137"/>
      <c r="Z103" s="137"/>
      <c r="AA103" s="137"/>
      <c r="AB103" s="137"/>
      <c r="AC103" s="137"/>
      <c r="AD103" s="137"/>
      <c r="AE103" s="137">
        <f>X52</f>
        <v>0</v>
      </c>
      <c r="AF103" s="137"/>
      <c r="AG103" s="137"/>
      <c r="AH103" s="137"/>
      <c r="AI103" s="137"/>
      <c r="AJ103" s="137"/>
      <c r="AK103" s="137"/>
      <c r="AL103" s="137">
        <f>AE52</f>
        <v>0</v>
      </c>
      <c r="AM103" s="137"/>
      <c r="AN103" s="137"/>
      <c r="AO103" s="137"/>
      <c r="AP103" s="137"/>
      <c r="AQ103" s="137"/>
      <c r="AR103" s="137"/>
      <c r="AS103" s="137">
        <f>AL52</f>
        <v>0</v>
      </c>
      <c r="AT103" s="137"/>
      <c r="AU103" s="137"/>
      <c r="AV103" s="137"/>
      <c r="AW103" s="137"/>
      <c r="AX103" s="137"/>
      <c r="AY103" s="137"/>
      <c r="AZ103" s="137">
        <f>AS52</f>
        <v>0</v>
      </c>
      <c r="BA103" s="137"/>
      <c r="BB103" s="137"/>
      <c r="BC103" s="137"/>
      <c r="BD103" s="137"/>
      <c r="BE103" s="137"/>
      <c r="BF103" s="137"/>
      <c r="BG103" s="137">
        <f>AZ52</f>
        <v>0</v>
      </c>
      <c r="BH103" s="137"/>
      <c r="BI103" s="137"/>
      <c r="BJ103" s="137"/>
      <c r="BK103" s="137"/>
      <c r="BL103" s="137"/>
      <c r="BM103" s="137"/>
      <c r="BN103" s="137">
        <f>BG52</f>
        <v>0</v>
      </c>
      <c r="BO103" s="137"/>
      <c r="BP103" s="137"/>
      <c r="BQ103" s="137"/>
      <c r="BR103" s="137"/>
      <c r="BS103" s="137"/>
      <c r="BT103" s="137"/>
      <c r="BU103" s="137">
        <f>BN52</f>
        <v>0</v>
      </c>
      <c r="BV103" s="137"/>
      <c r="BW103" s="137"/>
      <c r="BX103" s="137"/>
      <c r="BY103" s="137"/>
      <c r="BZ103" s="137"/>
      <c r="CA103" s="137"/>
      <c r="CB103" s="137">
        <f>BU52</f>
        <v>0</v>
      </c>
      <c r="CC103" s="137"/>
      <c r="CD103" s="137"/>
      <c r="CE103" s="137"/>
      <c r="CF103" s="137"/>
      <c r="CG103" s="137"/>
      <c r="CH103" s="137"/>
      <c r="CI103" s="137">
        <f>CB52</f>
        <v>0</v>
      </c>
      <c r="CJ103" s="137"/>
      <c r="CK103" s="137"/>
      <c r="CL103" s="137"/>
      <c r="CM103" s="137"/>
      <c r="CN103" s="137"/>
    </row>
    <row r="104" spans="2:94" ht="16" x14ac:dyDescent="0.2">
      <c r="B104" s="141" t="s">
        <v>359</v>
      </c>
      <c r="C104" s="207"/>
      <c r="D104" s="162"/>
      <c r="E104" s="162"/>
      <c r="F104" s="162"/>
      <c r="G104" s="162"/>
      <c r="H104" s="162"/>
      <c r="I104" s="162"/>
      <c r="J104" s="162">
        <f>+J102+J103</f>
        <v>70390763.480000004</v>
      </c>
      <c r="K104" s="162"/>
      <c r="L104" s="162"/>
      <c r="M104" s="162"/>
      <c r="N104" s="162"/>
      <c r="O104" s="162"/>
      <c r="P104" s="162"/>
      <c r="Q104" s="162">
        <f>+Q102+Q103</f>
        <v>65221103.93</v>
      </c>
      <c r="R104" s="162"/>
      <c r="S104" s="162"/>
      <c r="T104" s="162"/>
      <c r="U104" s="162"/>
      <c r="V104" s="162"/>
      <c r="W104" s="162"/>
      <c r="X104" s="162">
        <f>+X102+X103</f>
        <v>64450688.810000002</v>
      </c>
      <c r="Y104" s="162"/>
      <c r="Z104" s="162"/>
      <c r="AA104" s="162"/>
      <c r="AB104" s="162"/>
      <c r="AC104" s="162"/>
      <c r="AD104" s="162"/>
      <c r="AE104" s="162">
        <f>+AE102+AE103</f>
        <v>5497802.5300000003</v>
      </c>
      <c r="AF104" s="162"/>
      <c r="AG104" s="162"/>
      <c r="AH104" s="162"/>
      <c r="AI104" s="162"/>
      <c r="AJ104" s="162"/>
      <c r="AK104" s="162"/>
      <c r="AL104" s="162">
        <f>+AL102+AL103</f>
        <v>5073902.53</v>
      </c>
      <c r="AM104" s="162"/>
      <c r="AN104" s="162"/>
      <c r="AO104" s="162"/>
      <c r="AP104" s="162"/>
      <c r="AQ104" s="162"/>
      <c r="AR104" s="162"/>
      <c r="AS104" s="162">
        <f>+AS102+AS103</f>
        <v>5336452.53</v>
      </c>
      <c r="AT104" s="162"/>
      <c r="AU104" s="162"/>
      <c r="AV104" s="162"/>
      <c r="AW104" s="162"/>
      <c r="AX104" s="162"/>
      <c r="AY104" s="162"/>
      <c r="AZ104" s="162">
        <f>+AZ102+AZ103</f>
        <v>4859127.13</v>
      </c>
      <c r="BA104" s="162"/>
      <c r="BB104" s="162"/>
      <c r="BC104" s="162"/>
      <c r="BD104" s="162"/>
      <c r="BE104" s="162"/>
      <c r="BF104" s="162"/>
      <c r="BG104" s="162">
        <f>+BG102+BG103</f>
        <v>6604058.1299999999</v>
      </c>
      <c r="BH104" s="162"/>
      <c r="BI104" s="162"/>
      <c r="BJ104" s="162"/>
      <c r="BK104" s="162"/>
      <c r="BL104" s="162"/>
      <c r="BM104" s="162"/>
      <c r="BN104" s="162">
        <f>+BN102+BN103</f>
        <v>4061158.13</v>
      </c>
      <c r="BO104" s="162"/>
      <c r="BP104" s="162"/>
      <c r="BQ104" s="162"/>
      <c r="BR104" s="162"/>
      <c r="BS104" s="162"/>
      <c r="BT104" s="162"/>
      <c r="BU104" s="162">
        <f>+BU102+BU103</f>
        <v>3154058.1299999994</v>
      </c>
      <c r="BV104" s="162"/>
      <c r="BW104" s="162"/>
      <c r="BX104" s="162"/>
      <c r="BY104" s="162"/>
      <c r="BZ104" s="162"/>
      <c r="CA104" s="162"/>
      <c r="CB104" s="162">
        <f>+CB102+CB103</f>
        <v>6604058.1299999999</v>
      </c>
      <c r="CC104" s="162"/>
      <c r="CD104" s="162"/>
      <c r="CE104" s="162"/>
      <c r="CF104" s="162"/>
      <c r="CG104" s="162"/>
      <c r="CH104" s="162"/>
      <c r="CI104" s="162">
        <f>+CI102+CI103</f>
        <v>5822523.1299999999</v>
      </c>
      <c r="CJ104" s="163"/>
      <c r="CK104" s="163"/>
      <c r="CL104" s="163"/>
      <c r="CM104" s="163"/>
      <c r="CN104" s="163"/>
    </row>
    <row r="105" spans="2:94" x14ac:dyDescent="0.2">
      <c r="B105" s="105" t="s">
        <v>350</v>
      </c>
      <c r="D105" s="137"/>
      <c r="E105" s="137"/>
      <c r="F105" s="137"/>
      <c r="G105" s="137"/>
      <c r="H105" s="137"/>
      <c r="I105" s="137"/>
      <c r="J105" s="233">
        <f>J104-J52</f>
        <v>5977.2000000029802</v>
      </c>
      <c r="K105" s="233"/>
      <c r="L105" s="233"/>
      <c r="M105" s="233"/>
      <c r="N105" s="233"/>
      <c r="O105" s="233"/>
      <c r="P105" s="233"/>
      <c r="Q105" s="233">
        <f>Q104-Q52</f>
        <v>3849217.6499999985</v>
      </c>
      <c r="R105" s="233"/>
      <c r="S105" s="233"/>
      <c r="T105" s="233"/>
      <c r="U105" s="233"/>
      <c r="V105" s="233"/>
      <c r="W105" s="233"/>
      <c r="X105" s="233">
        <f>X104-X52</f>
        <v>64450688.810000002</v>
      </c>
      <c r="Y105" s="233"/>
      <c r="Z105" s="233"/>
      <c r="AA105" s="233"/>
      <c r="AB105" s="233"/>
      <c r="AC105" s="233"/>
      <c r="AD105" s="233"/>
      <c r="AE105" s="233">
        <f>AE104-AE52</f>
        <v>5497802.5300000003</v>
      </c>
      <c r="AF105" s="233"/>
      <c r="AG105" s="233"/>
      <c r="AH105" s="233"/>
      <c r="AI105" s="233"/>
      <c r="AJ105" s="233"/>
      <c r="AK105" s="233"/>
      <c r="AL105" s="233">
        <f>AL104-AL52</f>
        <v>5073902.53</v>
      </c>
      <c r="AM105" s="233"/>
      <c r="AN105" s="233"/>
      <c r="AO105" s="233"/>
      <c r="AP105" s="233"/>
      <c r="AQ105" s="233"/>
      <c r="AR105" s="233"/>
      <c r="AS105" s="233">
        <f>AS104-AS52</f>
        <v>5336452.53</v>
      </c>
      <c r="AT105" s="233"/>
      <c r="AU105" s="233"/>
      <c r="AV105" s="233"/>
      <c r="AW105" s="233"/>
      <c r="AX105" s="233"/>
      <c r="AY105" s="233"/>
      <c r="AZ105" s="233">
        <f>AZ104-AZ52</f>
        <v>4859127.13</v>
      </c>
      <c r="BA105" s="233"/>
      <c r="BB105" s="233"/>
      <c r="BC105" s="233"/>
      <c r="BD105" s="233"/>
      <c r="BE105" s="233"/>
      <c r="BF105" s="233"/>
      <c r="BG105" s="233">
        <f>BG104-BG52</f>
        <v>6604058.1299999999</v>
      </c>
      <c r="BH105" s="233"/>
      <c r="BI105" s="233"/>
      <c r="BJ105" s="233"/>
      <c r="BK105" s="233"/>
      <c r="BL105" s="233"/>
      <c r="BM105" s="233"/>
      <c r="BN105" s="233">
        <f>BN104-BN52</f>
        <v>4061158.13</v>
      </c>
      <c r="BO105" s="233"/>
      <c r="BP105" s="233"/>
      <c r="BQ105" s="233"/>
      <c r="BR105" s="233"/>
      <c r="BS105" s="233"/>
      <c r="BT105" s="233"/>
      <c r="BU105" s="233">
        <f>BU104-BU52</f>
        <v>3154058.1299999994</v>
      </c>
      <c r="BV105" s="233"/>
      <c r="BW105" s="233"/>
      <c r="BX105" s="233"/>
      <c r="BY105" s="233"/>
      <c r="BZ105" s="233"/>
      <c r="CA105" s="233"/>
      <c r="CB105" s="233">
        <f>CB104-CB52</f>
        <v>6604058.1299999999</v>
      </c>
      <c r="CC105" s="233"/>
      <c r="CD105" s="233"/>
      <c r="CE105" s="233"/>
      <c r="CF105" s="233"/>
      <c r="CG105" s="233"/>
      <c r="CH105" s="233"/>
      <c r="CI105" s="233">
        <f>CI104-CI52</f>
        <v>5822523.1299999999</v>
      </c>
      <c r="CJ105" s="137"/>
      <c r="CK105" s="137"/>
      <c r="CL105" s="137"/>
      <c r="CM105" s="137"/>
      <c r="CN105" s="137"/>
    </row>
    <row r="106" spans="2:94" x14ac:dyDescent="0.2"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  <c r="BV106" s="137"/>
      <c r="BW106" s="137"/>
      <c r="BX106" s="137"/>
      <c r="BY106" s="137"/>
      <c r="BZ106" s="137"/>
      <c r="CA106" s="137"/>
      <c r="CB106" s="137"/>
      <c r="CC106" s="137"/>
      <c r="CD106" s="137"/>
      <c r="CE106" s="137"/>
      <c r="CF106" s="137"/>
      <c r="CG106" s="137"/>
      <c r="CH106" s="137"/>
      <c r="CI106" s="137"/>
    </row>
    <row r="108" spans="2:94" ht="16" x14ac:dyDescent="0.2">
      <c r="B108" s="183" t="s">
        <v>360</v>
      </c>
      <c r="C108" s="220"/>
      <c r="CJ108" s="164" t="e">
        <f t="shared" ref="CJ108:CO108" si="30">CJ63/CJ72</f>
        <v>#DIV/0!</v>
      </c>
      <c r="CK108" s="164" t="e">
        <f t="shared" si="30"/>
        <v>#DIV/0!</v>
      </c>
      <c r="CL108" s="164" t="e">
        <f t="shared" si="30"/>
        <v>#DIV/0!</v>
      </c>
      <c r="CM108" s="164" t="e">
        <f t="shared" si="30"/>
        <v>#DIV/0!</v>
      </c>
      <c r="CN108" s="164" t="e">
        <f t="shared" si="30"/>
        <v>#DIV/0!</v>
      </c>
      <c r="CO108" s="164" t="e">
        <f t="shared" si="30"/>
        <v>#DIV/0!</v>
      </c>
      <c r="CP108" s="164"/>
    </row>
    <row r="109" spans="2:94" x14ac:dyDescent="0.2">
      <c r="B109" s="105" t="s">
        <v>439</v>
      </c>
      <c r="D109" s="164"/>
      <c r="E109" s="164"/>
      <c r="F109" s="164"/>
      <c r="G109" s="164"/>
      <c r="H109" s="164"/>
      <c r="I109" s="164"/>
      <c r="J109" s="164" t="e">
        <f>J63/J72</f>
        <v>#DIV/0!</v>
      </c>
      <c r="K109" s="164"/>
      <c r="L109" s="164"/>
      <c r="M109" s="164"/>
      <c r="N109" s="164"/>
      <c r="O109" s="164"/>
      <c r="P109" s="164"/>
      <c r="Q109" s="164" t="e">
        <f>Q63/Q72</f>
        <v>#DIV/0!</v>
      </c>
      <c r="R109" s="164"/>
      <c r="S109" s="164"/>
      <c r="T109" s="164"/>
      <c r="U109" s="164"/>
      <c r="V109" s="164"/>
      <c r="W109" s="164"/>
      <c r="X109" s="164" t="e">
        <f>X63/X72</f>
        <v>#DIV/0!</v>
      </c>
      <c r="Y109" s="164"/>
      <c r="Z109" s="164"/>
      <c r="AA109" s="164"/>
      <c r="AB109" s="164"/>
      <c r="AC109" s="164"/>
      <c r="AD109" s="164"/>
      <c r="AE109" s="164" t="e">
        <f>AE63/AE72</f>
        <v>#DIV/0!</v>
      </c>
      <c r="AF109" s="164"/>
      <c r="AG109" s="164"/>
      <c r="AH109" s="164"/>
      <c r="AI109" s="164"/>
      <c r="AJ109" s="164"/>
      <c r="AK109" s="164"/>
      <c r="AL109" s="164" t="e">
        <f>AL63/AL72</f>
        <v>#DIV/0!</v>
      </c>
      <c r="AM109" s="164"/>
      <c r="AN109" s="164"/>
      <c r="AO109" s="164"/>
      <c r="AP109" s="164"/>
      <c r="AQ109" s="164"/>
      <c r="AR109" s="164"/>
      <c r="AS109" s="164" t="e">
        <f>AS63/AS72</f>
        <v>#DIV/0!</v>
      </c>
      <c r="AT109" s="164"/>
      <c r="AU109" s="164"/>
      <c r="AV109" s="164"/>
      <c r="AW109" s="164"/>
      <c r="AX109" s="164"/>
      <c r="AY109" s="164"/>
      <c r="AZ109" s="164" t="e">
        <f>AZ63/AZ72</f>
        <v>#DIV/0!</v>
      </c>
      <c r="BA109" s="164"/>
      <c r="BB109" s="164"/>
      <c r="BC109" s="164"/>
      <c r="BD109" s="164"/>
      <c r="BE109" s="164"/>
      <c r="BF109" s="164"/>
      <c r="BG109" s="164" t="e">
        <f>BG63/BG72</f>
        <v>#DIV/0!</v>
      </c>
      <c r="BH109" s="164"/>
      <c r="BI109" s="164"/>
      <c r="BJ109" s="164"/>
      <c r="BK109" s="164"/>
      <c r="BL109" s="164"/>
      <c r="BM109" s="164"/>
      <c r="BN109" s="164" t="e">
        <f>BN63/BN72</f>
        <v>#DIV/0!</v>
      </c>
      <c r="BO109" s="164"/>
      <c r="BP109" s="164"/>
      <c r="BQ109" s="164"/>
      <c r="BR109" s="164"/>
      <c r="BS109" s="164"/>
      <c r="BT109" s="164"/>
      <c r="BU109" s="164" t="e">
        <f>BU63/BU72</f>
        <v>#DIV/0!</v>
      </c>
      <c r="BV109" s="164"/>
      <c r="BW109" s="164"/>
      <c r="BX109" s="164"/>
      <c r="BY109" s="164"/>
      <c r="BZ109" s="164"/>
      <c r="CA109" s="164"/>
      <c r="CB109" s="164" t="e">
        <f>CB63/CB72</f>
        <v>#DIV/0!</v>
      </c>
      <c r="CC109" s="164"/>
      <c r="CD109" s="164"/>
      <c r="CE109" s="164"/>
      <c r="CF109" s="164"/>
      <c r="CG109" s="164"/>
      <c r="CH109" s="164"/>
      <c r="CI109" s="164" t="e">
        <f>CI63/CI72</f>
        <v>#DIV/0!</v>
      </c>
      <c r="CJ109" s="164" t="e">
        <f>(CJ63-#REF!)/CJ72</f>
        <v>#REF!</v>
      </c>
      <c r="CK109" s="164" t="e">
        <f>(CK63-#REF!)/CK72</f>
        <v>#REF!</v>
      </c>
      <c r="CL109" s="164" t="e">
        <f>(CL63-#REF!)/CL72</f>
        <v>#REF!</v>
      </c>
      <c r="CM109" s="164" t="e">
        <f>(CM63-#REF!)/CM72</f>
        <v>#REF!</v>
      </c>
      <c r="CN109" s="164" t="e">
        <f>(CN63-#REF!)/CN72</f>
        <v>#REF!</v>
      </c>
      <c r="CO109" s="164" t="e">
        <f>(CO63-#REF!)/CO72</f>
        <v>#REF!</v>
      </c>
      <c r="CP109" s="164"/>
    </row>
    <row r="110" spans="2:94" x14ac:dyDescent="0.2">
      <c r="B110" s="105" t="s">
        <v>361</v>
      </c>
      <c r="D110" s="164"/>
      <c r="E110" s="164"/>
      <c r="F110" s="164"/>
      <c r="G110" s="164"/>
      <c r="H110" s="164"/>
      <c r="I110" s="164"/>
      <c r="J110" s="164" t="e">
        <f>(J63-J61)/J72</f>
        <v>#DIV/0!</v>
      </c>
      <c r="K110" s="164"/>
      <c r="L110" s="164"/>
      <c r="M110" s="164"/>
      <c r="N110" s="164"/>
      <c r="O110" s="164"/>
      <c r="P110" s="164"/>
      <c r="Q110" s="164" t="e">
        <f>(Q63-Q61)/Q72</f>
        <v>#DIV/0!</v>
      </c>
      <c r="R110" s="164"/>
      <c r="S110" s="164"/>
      <c r="T110" s="164"/>
      <c r="U110" s="164"/>
      <c r="V110" s="164"/>
      <c r="W110" s="164"/>
      <c r="X110" s="164" t="e">
        <f>(X63-X61)/X72</f>
        <v>#DIV/0!</v>
      </c>
      <c r="Y110" s="164"/>
      <c r="Z110" s="164"/>
      <c r="AA110" s="164"/>
      <c r="AB110" s="164"/>
      <c r="AC110" s="164"/>
      <c r="AD110" s="164"/>
      <c r="AE110" s="164" t="e">
        <f>(AE63-AE61)/AE72</f>
        <v>#DIV/0!</v>
      </c>
      <c r="AF110" s="164"/>
      <c r="AG110" s="164"/>
      <c r="AH110" s="164"/>
      <c r="AI110" s="164"/>
      <c r="AJ110" s="164"/>
      <c r="AK110" s="164"/>
      <c r="AL110" s="164" t="e">
        <f>(AL63-AL61)/AL72</f>
        <v>#DIV/0!</v>
      </c>
      <c r="AM110" s="164"/>
      <c r="AN110" s="164"/>
      <c r="AO110" s="164"/>
      <c r="AP110" s="164"/>
      <c r="AQ110" s="164"/>
      <c r="AR110" s="164"/>
      <c r="AS110" s="164" t="e">
        <f>(AS63-AS61)/AS72</f>
        <v>#DIV/0!</v>
      </c>
      <c r="AT110" s="164"/>
      <c r="AU110" s="164"/>
      <c r="AV110" s="164"/>
      <c r="AW110" s="164"/>
      <c r="AX110" s="164"/>
      <c r="AY110" s="164"/>
      <c r="AZ110" s="164" t="e">
        <f>(AZ63-AZ61)/AZ72</f>
        <v>#DIV/0!</v>
      </c>
      <c r="BA110" s="164"/>
      <c r="BB110" s="164"/>
      <c r="BC110" s="164"/>
      <c r="BD110" s="164"/>
      <c r="BE110" s="164"/>
      <c r="BF110" s="164"/>
      <c r="BG110" s="164" t="e">
        <f>(BG63-BG61)/BG72</f>
        <v>#DIV/0!</v>
      </c>
      <c r="BH110" s="164"/>
      <c r="BI110" s="164"/>
      <c r="BJ110" s="164"/>
      <c r="BK110" s="164"/>
      <c r="BL110" s="164"/>
      <c r="BM110" s="164"/>
      <c r="BN110" s="164" t="e">
        <f>(BN63-BN61)/BN72</f>
        <v>#DIV/0!</v>
      </c>
      <c r="BO110" s="164"/>
      <c r="BP110" s="164"/>
      <c r="BQ110" s="164"/>
      <c r="BR110" s="164"/>
      <c r="BS110" s="164"/>
      <c r="BT110" s="164"/>
      <c r="BU110" s="164" t="e">
        <f>(BU63-BU61)/BU72</f>
        <v>#DIV/0!</v>
      </c>
      <c r="BV110" s="164"/>
      <c r="BW110" s="164"/>
      <c r="BX110" s="164"/>
      <c r="BY110" s="164"/>
      <c r="BZ110" s="164"/>
      <c r="CA110" s="164"/>
      <c r="CB110" s="164" t="e">
        <f>(CB63-CB61)/CB72</f>
        <v>#DIV/0!</v>
      </c>
      <c r="CC110" s="164"/>
      <c r="CD110" s="164"/>
      <c r="CE110" s="164"/>
      <c r="CF110" s="164"/>
      <c r="CG110" s="164"/>
      <c r="CH110" s="164"/>
      <c r="CI110" s="164" t="e">
        <f>(CI63-CI61)/CI72</f>
        <v>#DIV/0!</v>
      </c>
      <c r="CJ110" s="137">
        <f t="shared" ref="CJ110:CO110" si="31">CJ63-CJ72</f>
        <v>0</v>
      </c>
      <c r="CK110" s="137">
        <f t="shared" si="31"/>
        <v>0</v>
      </c>
      <c r="CL110" s="137">
        <f t="shared" si="31"/>
        <v>0</v>
      </c>
      <c r="CM110" s="137">
        <f t="shared" si="31"/>
        <v>0</v>
      </c>
      <c r="CN110" s="137">
        <f t="shared" si="31"/>
        <v>0</v>
      </c>
      <c r="CO110" s="137">
        <f t="shared" si="31"/>
        <v>0</v>
      </c>
      <c r="CP110" s="137"/>
    </row>
    <row r="111" spans="2:94" x14ac:dyDescent="0.2">
      <c r="B111" s="105" t="s">
        <v>362</v>
      </c>
      <c r="D111" s="137"/>
      <c r="E111" s="137"/>
      <c r="F111" s="137"/>
      <c r="G111" s="137"/>
      <c r="H111" s="137"/>
      <c r="I111" s="137"/>
      <c r="J111" s="137">
        <f>J63-J72</f>
        <v>70384786.280000001</v>
      </c>
      <c r="K111" s="137"/>
      <c r="L111" s="137"/>
      <c r="M111" s="137"/>
      <c r="N111" s="137"/>
      <c r="O111" s="137"/>
      <c r="P111" s="137"/>
      <c r="Q111" s="137">
        <f>Q63-Q72</f>
        <v>61371886.280000001</v>
      </c>
      <c r="R111" s="137"/>
      <c r="S111" s="137"/>
      <c r="T111" s="137"/>
      <c r="U111" s="137"/>
      <c r="V111" s="137"/>
      <c r="W111" s="137"/>
      <c r="X111" s="137">
        <f>X63-X72</f>
        <v>0</v>
      </c>
      <c r="Y111" s="137"/>
      <c r="Z111" s="137"/>
      <c r="AA111" s="137"/>
      <c r="AB111" s="137"/>
      <c r="AC111" s="137"/>
      <c r="AD111" s="137"/>
      <c r="AE111" s="137">
        <f>AE63-AE72</f>
        <v>0</v>
      </c>
      <c r="AF111" s="137"/>
      <c r="AG111" s="137"/>
      <c r="AH111" s="137"/>
      <c r="AI111" s="137"/>
      <c r="AJ111" s="137"/>
      <c r="AK111" s="137"/>
      <c r="AL111" s="137">
        <f>AL63-AL72</f>
        <v>0</v>
      </c>
      <c r="AM111" s="137"/>
      <c r="AN111" s="137"/>
      <c r="AO111" s="137"/>
      <c r="AP111" s="137"/>
      <c r="AQ111" s="137"/>
      <c r="AR111" s="137"/>
      <c r="AS111" s="137">
        <f>AS63-AS72</f>
        <v>0</v>
      </c>
      <c r="AT111" s="137"/>
      <c r="AU111" s="137"/>
      <c r="AV111" s="137"/>
      <c r="AW111" s="137"/>
      <c r="AX111" s="137"/>
      <c r="AY111" s="137"/>
      <c r="AZ111" s="137">
        <f>AZ63-AZ72</f>
        <v>0</v>
      </c>
      <c r="BA111" s="137"/>
      <c r="BB111" s="137"/>
      <c r="BC111" s="137"/>
      <c r="BD111" s="137"/>
      <c r="BE111" s="137"/>
      <c r="BF111" s="137"/>
      <c r="BG111" s="137">
        <f>BG63-BG72</f>
        <v>0</v>
      </c>
      <c r="BH111" s="137"/>
      <c r="BI111" s="137"/>
      <c r="BJ111" s="137"/>
      <c r="BK111" s="137"/>
      <c r="BL111" s="137"/>
      <c r="BM111" s="137"/>
      <c r="BN111" s="137">
        <f>BN63-BN72</f>
        <v>0</v>
      </c>
      <c r="BO111" s="137"/>
      <c r="BP111" s="137"/>
      <c r="BQ111" s="137"/>
      <c r="BR111" s="137"/>
      <c r="BS111" s="137"/>
      <c r="BT111" s="137"/>
      <c r="BU111" s="137">
        <f>BU63-BU72</f>
        <v>0</v>
      </c>
      <c r="BV111" s="137"/>
      <c r="BW111" s="137"/>
      <c r="BX111" s="137"/>
      <c r="BY111" s="137"/>
      <c r="BZ111" s="137"/>
      <c r="CA111" s="137"/>
      <c r="CB111" s="137">
        <f>CB63-CB72</f>
        <v>0</v>
      </c>
      <c r="CC111" s="137"/>
      <c r="CD111" s="137"/>
      <c r="CE111" s="137"/>
      <c r="CF111" s="137"/>
      <c r="CG111" s="137"/>
      <c r="CH111" s="137"/>
      <c r="CI111" s="137">
        <f>CI63-CI72</f>
        <v>0</v>
      </c>
      <c r="CJ111" s="137" t="e">
        <f>CJ60+#REF!-CJ68</f>
        <v>#REF!</v>
      </c>
      <c r="CK111" s="137" t="e">
        <f>CK60+#REF!-CK68</f>
        <v>#REF!</v>
      </c>
      <c r="CL111" s="137" t="e">
        <f>CL60+#REF!-CL68</f>
        <v>#REF!</v>
      </c>
      <c r="CM111" s="137" t="e">
        <f>CM60+#REF!-CM68</f>
        <v>#REF!</v>
      </c>
      <c r="CN111" s="137" t="e">
        <f>CN60+#REF!-CN68</f>
        <v>#REF!</v>
      </c>
      <c r="CO111" s="137" t="e">
        <f>CO60+#REF!-CO68</f>
        <v>#REF!</v>
      </c>
      <c r="CP111" s="137"/>
    </row>
    <row r="112" spans="2:94" x14ac:dyDescent="0.2">
      <c r="B112" s="105" t="s">
        <v>363</v>
      </c>
      <c r="D112" s="137"/>
      <c r="E112" s="137"/>
      <c r="F112" s="137"/>
      <c r="G112" s="137"/>
      <c r="H112" s="137"/>
      <c r="I112" s="137"/>
      <c r="J112" s="137">
        <f>J60+J61-J68</f>
        <v>0</v>
      </c>
      <c r="K112" s="137"/>
      <c r="L112" s="137"/>
      <c r="M112" s="137"/>
      <c r="N112" s="137"/>
      <c r="O112" s="137"/>
      <c r="P112" s="137"/>
      <c r="Q112" s="137">
        <f>Q60+Q61-Q68</f>
        <v>0</v>
      </c>
      <c r="R112" s="137"/>
      <c r="S112" s="137"/>
      <c r="T112" s="137"/>
      <c r="U112" s="137"/>
      <c r="V112" s="137"/>
      <c r="W112" s="137"/>
      <c r="X112" s="137">
        <f>X60+X61-X68</f>
        <v>0</v>
      </c>
      <c r="Y112" s="137"/>
      <c r="Z112" s="137"/>
      <c r="AA112" s="137"/>
      <c r="AB112" s="137"/>
      <c r="AC112" s="137"/>
      <c r="AD112" s="137"/>
      <c r="AE112" s="137">
        <f>AE60+AE61-AE68</f>
        <v>0</v>
      </c>
      <c r="AF112" s="137"/>
      <c r="AG112" s="137"/>
      <c r="AH112" s="137"/>
      <c r="AI112" s="137"/>
      <c r="AJ112" s="137"/>
      <c r="AK112" s="137"/>
      <c r="AL112" s="137">
        <f>AL60+AL61-AL68</f>
        <v>0</v>
      </c>
      <c r="AM112" s="137"/>
      <c r="AN112" s="137"/>
      <c r="AO112" s="137"/>
      <c r="AP112" s="137"/>
      <c r="AQ112" s="137"/>
      <c r="AR112" s="137"/>
      <c r="AS112" s="137">
        <f>AS60+AS61-AS68</f>
        <v>0</v>
      </c>
      <c r="AT112" s="137"/>
      <c r="AU112" s="137"/>
      <c r="AV112" s="137"/>
      <c r="AW112" s="137"/>
      <c r="AX112" s="137"/>
      <c r="AY112" s="137"/>
      <c r="AZ112" s="137">
        <f>AZ60+AZ61-AZ68</f>
        <v>0</v>
      </c>
      <c r="BA112" s="137"/>
      <c r="BB112" s="137"/>
      <c r="BC112" s="137"/>
      <c r="BD112" s="137"/>
      <c r="BE112" s="137"/>
      <c r="BF112" s="137"/>
      <c r="BG112" s="137">
        <f>BG60+BG61-BG68</f>
        <v>0</v>
      </c>
      <c r="BH112" s="137"/>
      <c r="BI112" s="137"/>
      <c r="BJ112" s="137"/>
      <c r="BK112" s="137"/>
      <c r="BL112" s="137"/>
      <c r="BM112" s="137"/>
      <c r="BN112" s="137">
        <f>BN60+BN61-BN68</f>
        <v>0</v>
      </c>
      <c r="BO112" s="137"/>
      <c r="BP112" s="137"/>
      <c r="BQ112" s="137"/>
      <c r="BR112" s="137"/>
      <c r="BS112" s="137"/>
      <c r="BT112" s="137"/>
      <c r="BU112" s="137">
        <f>BU60+BU61-BU68</f>
        <v>0</v>
      </c>
      <c r="BV112" s="137"/>
      <c r="BW112" s="137"/>
      <c r="BX112" s="137"/>
      <c r="BY112" s="137"/>
      <c r="BZ112" s="137"/>
      <c r="CA112" s="137"/>
      <c r="CB112" s="137">
        <f>CB60+CB61-CB68</f>
        <v>0</v>
      </c>
      <c r="CC112" s="137"/>
      <c r="CD112" s="137"/>
      <c r="CE112" s="137"/>
      <c r="CF112" s="137"/>
      <c r="CG112" s="137"/>
      <c r="CH112" s="137"/>
      <c r="CI112" s="137">
        <f>CI60+CI61-CI68</f>
        <v>0</v>
      </c>
    </row>
    <row r="114" spans="2:94" ht="16" x14ac:dyDescent="0.2">
      <c r="B114" s="183" t="s">
        <v>364</v>
      </c>
      <c r="C114" s="214"/>
      <c r="CJ114" s="165">
        <f t="shared" ref="CJ114:CO114" si="32">CJ60*365/CJ6</f>
        <v>0</v>
      </c>
      <c r="CK114" s="165">
        <f t="shared" si="32"/>
        <v>0</v>
      </c>
      <c r="CL114" s="165">
        <f t="shared" si="32"/>
        <v>0</v>
      </c>
      <c r="CM114" s="165">
        <f t="shared" si="32"/>
        <v>0</v>
      </c>
      <c r="CN114" s="165">
        <f t="shared" si="32"/>
        <v>0</v>
      </c>
      <c r="CO114" s="165">
        <f t="shared" si="32"/>
        <v>0</v>
      </c>
      <c r="CP114" s="165"/>
    </row>
    <row r="115" spans="2:94" x14ac:dyDescent="0.2">
      <c r="B115" s="105" t="s">
        <v>440</v>
      </c>
      <c r="D115" s="165"/>
      <c r="E115" s="165"/>
      <c r="F115" s="165"/>
      <c r="G115" s="165"/>
      <c r="H115" s="165"/>
      <c r="I115" s="165"/>
      <c r="J115" s="165">
        <f>J60*365/J6</f>
        <v>0</v>
      </c>
      <c r="K115" s="165"/>
      <c r="L115" s="165"/>
      <c r="M115" s="165"/>
      <c r="N115" s="165"/>
      <c r="O115" s="165"/>
      <c r="P115" s="165"/>
      <c r="Q115" s="165">
        <f>Q60*365/Q6</f>
        <v>0</v>
      </c>
      <c r="R115" s="165"/>
      <c r="S115" s="165"/>
      <c r="T115" s="165"/>
      <c r="U115" s="165"/>
      <c r="V115" s="165"/>
      <c r="W115" s="165"/>
      <c r="X115" s="165">
        <f>X60*365/X6</f>
        <v>0</v>
      </c>
      <c r="Y115" s="165"/>
      <c r="Z115" s="165"/>
      <c r="AA115" s="165"/>
      <c r="AB115" s="165"/>
      <c r="AC115" s="165"/>
      <c r="AD115" s="165"/>
      <c r="AE115" s="165">
        <f>AE60*365/AE6</f>
        <v>0</v>
      </c>
      <c r="AF115" s="165"/>
      <c r="AG115" s="165"/>
      <c r="AH115" s="165"/>
      <c r="AI115" s="165"/>
      <c r="AJ115" s="165"/>
      <c r="AK115" s="165"/>
      <c r="AL115" s="165">
        <f>AL60*365/AL6</f>
        <v>0</v>
      </c>
      <c r="AM115" s="165"/>
      <c r="AN115" s="165"/>
      <c r="AO115" s="165"/>
      <c r="AP115" s="165"/>
      <c r="AQ115" s="165"/>
      <c r="AR115" s="165"/>
      <c r="AS115" s="165">
        <f>AS60*365/AS6</f>
        <v>0</v>
      </c>
      <c r="AT115" s="165"/>
      <c r="AU115" s="165"/>
      <c r="AV115" s="165"/>
      <c r="AW115" s="165"/>
      <c r="AX115" s="165"/>
      <c r="AY115" s="165"/>
      <c r="AZ115" s="165">
        <f>AZ60*365/AZ6</f>
        <v>0</v>
      </c>
      <c r="BA115" s="165"/>
      <c r="BB115" s="165"/>
      <c r="BC115" s="165"/>
      <c r="BD115" s="165"/>
      <c r="BE115" s="165"/>
      <c r="BF115" s="165"/>
      <c r="BG115" s="165">
        <f>BG60*365/BG6</f>
        <v>0</v>
      </c>
      <c r="BH115" s="165"/>
      <c r="BI115" s="165"/>
      <c r="BJ115" s="165"/>
      <c r="BK115" s="165"/>
      <c r="BL115" s="165"/>
      <c r="BM115" s="165"/>
      <c r="BN115" s="165">
        <f>BN60*365/BN6</f>
        <v>0</v>
      </c>
      <c r="BO115" s="165"/>
      <c r="BP115" s="165"/>
      <c r="BQ115" s="165"/>
      <c r="BR115" s="165"/>
      <c r="BS115" s="165"/>
      <c r="BT115" s="165"/>
      <c r="BU115" s="165">
        <f>BU60*365/BU6</f>
        <v>0</v>
      </c>
      <c r="BV115" s="165"/>
      <c r="BW115" s="165"/>
      <c r="BX115" s="165"/>
      <c r="BY115" s="165"/>
      <c r="BZ115" s="165"/>
      <c r="CA115" s="165"/>
      <c r="CB115" s="165">
        <f>CB60*365/CB6</f>
        <v>0</v>
      </c>
      <c r="CC115" s="165"/>
      <c r="CD115" s="165"/>
      <c r="CE115" s="165"/>
      <c r="CF115" s="165"/>
      <c r="CG115" s="165"/>
      <c r="CH115" s="165"/>
      <c r="CI115" s="165">
        <f>CI60*365/CI6</f>
        <v>0</v>
      </c>
      <c r="CJ115" s="165" t="e">
        <f>#REF!*365/CJ7</f>
        <v>#REF!</v>
      </c>
      <c r="CK115" s="165" t="e">
        <f>#REF!*365/CK7</f>
        <v>#REF!</v>
      </c>
      <c r="CL115" s="165" t="e">
        <f>#REF!*365/CL7</f>
        <v>#REF!</v>
      </c>
      <c r="CM115" s="165" t="e">
        <f>#REF!*365/CM7</f>
        <v>#REF!</v>
      </c>
      <c r="CN115" s="165" t="e">
        <f>#REF!*365/CN7</f>
        <v>#REF!</v>
      </c>
      <c r="CO115" s="165" t="e">
        <f>#REF!*365/CO7</f>
        <v>#REF!</v>
      </c>
      <c r="CP115" s="165"/>
    </row>
    <row r="116" spans="2:94" x14ac:dyDescent="0.2">
      <c r="B116" s="105" t="s">
        <v>441</v>
      </c>
      <c r="D116" s="165"/>
      <c r="E116" s="165"/>
      <c r="F116" s="165"/>
      <c r="G116" s="165"/>
      <c r="H116" s="165"/>
      <c r="I116" s="165"/>
      <c r="J116" s="105" t="e">
        <f>J61*365/J7</f>
        <v>#DIV/0!</v>
      </c>
      <c r="K116" s="165"/>
      <c r="L116" s="165"/>
      <c r="M116" s="165"/>
      <c r="N116" s="165"/>
      <c r="O116" s="165"/>
      <c r="P116" s="165"/>
      <c r="Q116" s="165" t="e">
        <f>Q61*365/Q7</f>
        <v>#DIV/0!</v>
      </c>
      <c r="R116" s="165"/>
      <c r="S116" s="165"/>
      <c r="T116" s="165"/>
      <c r="U116" s="165"/>
      <c r="V116" s="165"/>
      <c r="W116" s="165"/>
      <c r="X116" s="165" t="e">
        <f>X61*365/X7</f>
        <v>#DIV/0!</v>
      </c>
      <c r="Y116" s="165"/>
      <c r="Z116" s="165"/>
      <c r="AA116" s="165"/>
      <c r="AB116" s="165"/>
      <c r="AC116" s="165"/>
      <c r="AD116" s="165"/>
      <c r="AE116" s="165" t="e">
        <f>AE61*365/AE7</f>
        <v>#DIV/0!</v>
      </c>
      <c r="AF116" s="165"/>
      <c r="AG116" s="165"/>
      <c r="AH116" s="165"/>
      <c r="AI116" s="165"/>
      <c r="AJ116" s="165"/>
      <c r="AK116" s="165"/>
      <c r="AL116" s="165" t="e">
        <f>AL61*365/AL7</f>
        <v>#DIV/0!</v>
      </c>
      <c r="AM116" s="165"/>
      <c r="AN116" s="165"/>
      <c r="AO116" s="165"/>
      <c r="AP116" s="165"/>
      <c r="AQ116" s="165"/>
      <c r="AR116" s="165"/>
      <c r="AS116" s="165" t="e">
        <f>AS61*365/AS7</f>
        <v>#DIV/0!</v>
      </c>
      <c r="AT116" s="165"/>
      <c r="AU116" s="165"/>
      <c r="AV116" s="165"/>
      <c r="AW116" s="165"/>
      <c r="AX116" s="165"/>
      <c r="AY116" s="165"/>
      <c r="AZ116" s="165" t="e">
        <f>AZ61*365/AZ7</f>
        <v>#DIV/0!</v>
      </c>
      <c r="BA116" s="165"/>
      <c r="BB116" s="165"/>
      <c r="BC116" s="165"/>
      <c r="BD116" s="165"/>
      <c r="BE116" s="165"/>
      <c r="BF116" s="165"/>
      <c r="BG116" s="165" t="e">
        <f>BG61*365/BG7</f>
        <v>#DIV/0!</v>
      </c>
      <c r="BH116" s="165"/>
      <c r="BI116" s="165"/>
      <c r="BJ116" s="165"/>
      <c r="BK116" s="165"/>
      <c r="BL116" s="165"/>
      <c r="BM116" s="165"/>
      <c r="BN116" s="165" t="e">
        <f>BN61*365/BN7</f>
        <v>#DIV/0!</v>
      </c>
      <c r="BO116" s="165"/>
      <c r="BP116" s="165"/>
      <c r="BQ116" s="165"/>
      <c r="BR116" s="165"/>
      <c r="BS116" s="165"/>
      <c r="BT116" s="165"/>
      <c r="BU116" s="165" t="e">
        <f>BU61*365/BU7</f>
        <v>#DIV/0!</v>
      </c>
      <c r="BV116" s="165"/>
      <c r="BW116" s="165"/>
      <c r="BX116" s="165"/>
      <c r="BY116" s="165"/>
      <c r="BZ116" s="165"/>
      <c r="CA116" s="165"/>
      <c r="CB116" s="165" t="e">
        <f>CB61*365/CB7</f>
        <v>#DIV/0!</v>
      </c>
      <c r="CC116" s="165"/>
      <c r="CD116" s="165"/>
      <c r="CE116" s="165"/>
      <c r="CF116" s="165"/>
      <c r="CG116" s="165"/>
      <c r="CH116" s="165"/>
      <c r="CI116" s="165" t="e">
        <f>CI61*365/CI7</f>
        <v>#DIV/0!</v>
      </c>
      <c r="CJ116" s="165" t="e">
        <f t="shared" ref="CJ116:CO116" si="33">CJ68*365/CJ7</f>
        <v>#DIV/0!</v>
      </c>
      <c r="CK116" s="165" t="e">
        <f t="shared" si="33"/>
        <v>#DIV/0!</v>
      </c>
      <c r="CL116" s="165" t="e">
        <f t="shared" si="33"/>
        <v>#DIV/0!</v>
      </c>
      <c r="CM116" s="165" t="e">
        <f t="shared" si="33"/>
        <v>#DIV/0!</v>
      </c>
      <c r="CN116" s="165" t="e">
        <f t="shared" si="33"/>
        <v>#DIV/0!</v>
      </c>
      <c r="CO116" s="165" t="e">
        <f t="shared" si="33"/>
        <v>#DIV/0!</v>
      </c>
      <c r="CP116" s="165"/>
    </row>
    <row r="117" spans="2:94" x14ac:dyDescent="0.2">
      <c r="B117" s="105" t="s">
        <v>442</v>
      </c>
      <c r="D117" s="165"/>
      <c r="E117" s="165"/>
      <c r="F117" s="165"/>
      <c r="G117" s="165"/>
      <c r="H117" s="165"/>
      <c r="I117" s="165"/>
      <c r="J117" s="165" t="e">
        <f>J68*365/J7</f>
        <v>#DIV/0!</v>
      </c>
      <c r="K117" s="165"/>
      <c r="L117" s="165"/>
      <c r="M117" s="165"/>
      <c r="N117" s="165"/>
      <c r="O117" s="165"/>
      <c r="P117" s="165"/>
      <c r="Q117" s="165" t="e">
        <f>Q68*365/Q7</f>
        <v>#DIV/0!</v>
      </c>
      <c r="R117" s="165"/>
      <c r="S117" s="165"/>
      <c r="T117" s="165"/>
      <c r="U117" s="165"/>
      <c r="V117" s="165"/>
      <c r="W117" s="165"/>
      <c r="X117" s="165" t="e">
        <f>X68*365/X7</f>
        <v>#DIV/0!</v>
      </c>
      <c r="Y117" s="165"/>
      <c r="Z117" s="165"/>
      <c r="AA117" s="165"/>
      <c r="AB117" s="165"/>
      <c r="AC117" s="165"/>
      <c r="AD117" s="165"/>
      <c r="AE117" s="165" t="e">
        <f>AE68*365/AE7</f>
        <v>#DIV/0!</v>
      </c>
      <c r="AF117" s="165"/>
      <c r="AG117" s="165"/>
      <c r="AH117" s="165"/>
      <c r="AI117" s="165"/>
      <c r="AJ117" s="165"/>
      <c r="AK117" s="165"/>
      <c r="AL117" s="165" t="e">
        <f>AL68*365/AL7</f>
        <v>#DIV/0!</v>
      </c>
      <c r="AM117" s="165"/>
      <c r="AN117" s="165"/>
      <c r="AO117" s="165"/>
      <c r="AP117" s="165"/>
      <c r="AQ117" s="165"/>
      <c r="AR117" s="165"/>
      <c r="AS117" s="165" t="e">
        <f>AS68*365/AS7</f>
        <v>#DIV/0!</v>
      </c>
      <c r="AT117" s="165"/>
      <c r="AU117" s="165"/>
      <c r="AV117" s="165"/>
      <c r="AW117" s="165"/>
      <c r="AX117" s="165"/>
      <c r="AY117" s="165"/>
      <c r="AZ117" s="165" t="e">
        <f>AZ68*365/AZ7</f>
        <v>#DIV/0!</v>
      </c>
      <c r="BA117" s="165"/>
      <c r="BB117" s="165"/>
      <c r="BC117" s="165"/>
      <c r="BD117" s="165"/>
      <c r="BE117" s="165"/>
      <c r="BF117" s="165"/>
      <c r="BG117" s="165" t="e">
        <f>BG68*365/BG7</f>
        <v>#DIV/0!</v>
      </c>
      <c r="BH117" s="165"/>
      <c r="BI117" s="165"/>
      <c r="BJ117" s="165"/>
      <c r="BK117" s="165"/>
      <c r="BL117" s="165"/>
      <c r="BM117" s="165"/>
      <c r="BN117" s="165" t="e">
        <f>BN68*365/BN7</f>
        <v>#DIV/0!</v>
      </c>
      <c r="BO117" s="165"/>
      <c r="BP117" s="165"/>
      <c r="BQ117" s="165"/>
      <c r="BR117" s="165"/>
      <c r="BS117" s="165"/>
      <c r="BT117" s="165"/>
      <c r="BU117" s="165" t="e">
        <f>BU68*365/BU7</f>
        <v>#DIV/0!</v>
      </c>
      <c r="BV117" s="165"/>
      <c r="BW117" s="165"/>
      <c r="BX117" s="165"/>
      <c r="BY117" s="165"/>
      <c r="BZ117" s="165"/>
      <c r="CA117" s="165"/>
      <c r="CB117" s="165" t="e">
        <f>CB68*365/CB7</f>
        <v>#DIV/0!</v>
      </c>
      <c r="CC117" s="165"/>
      <c r="CD117" s="165"/>
      <c r="CE117" s="165"/>
      <c r="CF117" s="165"/>
      <c r="CG117" s="165"/>
      <c r="CH117" s="165"/>
      <c r="CI117" s="165" t="e">
        <f>CI68*365/CI7</f>
        <v>#DIV/0!</v>
      </c>
      <c r="CJ117" s="165" t="e">
        <f t="shared" ref="CJ117:CO117" si="34">CJ114+CJ115-CJ116</f>
        <v>#REF!</v>
      </c>
      <c r="CK117" s="165" t="e">
        <f t="shared" si="34"/>
        <v>#REF!</v>
      </c>
      <c r="CL117" s="165" t="e">
        <f t="shared" si="34"/>
        <v>#REF!</v>
      </c>
      <c r="CM117" s="165" t="e">
        <f t="shared" si="34"/>
        <v>#REF!</v>
      </c>
      <c r="CN117" s="165" t="e">
        <f t="shared" si="34"/>
        <v>#REF!</v>
      </c>
      <c r="CO117" s="165" t="e">
        <f t="shared" si="34"/>
        <v>#REF!</v>
      </c>
      <c r="CP117" s="165"/>
    </row>
    <row r="118" spans="2:94" x14ac:dyDescent="0.2">
      <c r="B118" s="105" t="s">
        <v>365</v>
      </c>
      <c r="D118" s="165"/>
      <c r="E118" s="165"/>
      <c r="F118" s="165"/>
      <c r="G118" s="165"/>
      <c r="H118" s="165"/>
      <c r="I118" s="165"/>
      <c r="J118" s="165" t="e">
        <f>J115+J116-J117</f>
        <v>#DIV/0!</v>
      </c>
      <c r="K118" s="165"/>
      <c r="L118" s="165"/>
      <c r="M118" s="165"/>
      <c r="N118" s="165"/>
      <c r="O118" s="165"/>
      <c r="P118" s="165"/>
      <c r="Q118" s="165" t="e">
        <f>Q115+Q116-Q117</f>
        <v>#DIV/0!</v>
      </c>
      <c r="R118" s="165"/>
      <c r="S118" s="165"/>
      <c r="T118" s="165"/>
      <c r="U118" s="165"/>
      <c r="V118" s="165"/>
      <c r="W118" s="165"/>
      <c r="X118" s="165" t="e">
        <f>X115+X116-X117</f>
        <v>#DIV/0!</v>
      </c>
      <c r="Y118" s="165"/>
      <c r="Z118" s="165"/>
      <c r="AA118" s="165"/>
      <c r="AB118" s="165"/>
      <c r="AC118" s="165"/>
      <c r="AD118" s="165"/>
      <c r="AE118" s="165" t="e">
        <f>AE115+AE116-AE117</f>
        <v>#DIV/0!</v>
      </c>
      <c r="AF118" s="165"/>
      <c r="AG118" s="165"/>
      <c r="AH118" s="165"/>
      <c r="AI118" s="165"/>
      <c r="AJ118" s="165"/>
      <c r="AK118" s="165"/>
      <c r="AL118" s="165" t="e">
        <f>AL115+AL116-AL117</f>
        <v>#DIV/0!</v>
      </c>
      <c r="AM118" s="165"/>
      <c r="AN118" s="165"/>
      <c r="AO118" s="165"/>
      <c r="AP118" s="165"/>
      <c r="AQ118" s="165"/>
      <c r="AR118" s="165"/>
      <c r="AS118" s="165" t="e">
        <f>AS115+AS116-AS117</f>
        <v>#DIV/0!</v>
      </c>
      <c r="AT118" s="165"/>
      <c r="AU118" s="165"/>
      <c r="AV118" s="165"/>
      <c r="AW118" s="165"/>
      <c r="AX118" s="165"/>
      <c r="AY118" s="165"/>
      <c r="AZ118" s="165" t="e">
        <f>AZ115+AZ116-AZ117</f>
        <v>#DIV/0!</v>
      </c>
      <c r="BA118" s="165"/>
      <c r="BB118" s="165"/>
      <c r="BC118" s="165"/>
      <c r="BD118" s="165"/>
      <c r="BE118" s="165"/>
      <c r="BF118" s="165"/>
      <c r="BG118" s="165" t="e">
        <f>BG115+BG116-BG117</f>
        <v>#DIV/0!</v>
      </c>
      <c r="BH118" s="165"/>
      <c r="BI118" s="165"/>
      <c r="BJ118" s="165"/>
      <c r="BK118" s="165"/>
      <c r="BL118" s="165"/>
      <c r="BM118" s="165"/>
      <c r="BN118" s="165" t="e">
        <f>BN115+BN116-BN117</f>
        <v>#DIV/0!</v>
      </c>
      <c r="BO118" s="165"/>
      <c r="BP118" s="165"/>
      <c r="BQ118" s="165"/>
      <c r="BR118" s="165"/>
      <c r="BS118" s="165"/>
      <c r="BT118" s="165"/>
      <c r="BU118" s="165" t="e">
        <f>BU115+BU116-BU117</f>
        <v>#DIV/0!</v>
      </c>
      <c r="BV118" s="165"/>
      <c r="BW118" s="165"/>
      <c r="BX118" s="165"/>
      <c r="BY118" s="165"/>
      <c r="BZ118" s="165"/>
      <c r="CA118" s="165"/>
      <c r="CB118" s="165" t="e">
        <f>CB115+CB116-CB117</f>
        <v>#DIV/0!</v>
      </c>
      <c r="CC118" s="165"/>
      <c r="CD118" s="165"/>
      <c r="CE118" s="165"/>
      <c r="CF118" s="165"/>
      <c r="CG118" s="165"/>
      <c r="CH118" s="165"/>
      <c r="CI118" s="165" t="e">
        <f>CI115+CI116-CI117</f>
        <v>#DIV/0!</v>
      </c>
    </row>
    <row r="120" spans="2:94" ht="16" x14ac:dyDescent="0.2">
      <c r="B120" s="183" t="s">
        <v>366</v>
      </c>
      <c r="C120" s="214"/>
      <c r="CJ120" s="166">
        <f t="shared" ref="CJ120:CO120" si="35">CJ8/CJ6</f>
        <v>1</v>
      </c>
      <c r="CK120" s="166">
        <f t="shared" si="35"/>
        <v>1</v>
      </c>
      <c r="CL120" s="166">
        <f t="shared" si="35"/>
        <v>1</v>
      </c>
      <c r="CM120" s="166">
        <f t="shared" si="35"/>
        <v>1</v>
      </c>
      <c r="CN120" s="166">
        <f t="shared" si="35"/>
        <v>1</v>
      </c>
      <c r="CO120" s="166">
        <f t="shared" si="35"/>
        <v>1</v>
      </c>
      <c r="CP120" s="166"/>
    </row>
    <row r="121" spans="2:94" x14ac:dyDescent="0.2">
      <c r="B121" s="105" t="s">
        <v>367</v>
      </c>
      <c r="D121" s="166"/>
      <c r="E121" s="166"/>
      <c r="F121" s="166"/>
      <c r="G121" s="166"/>
      <c r="H121" s="166"/>
      <c r="I121" s="166"/>
      <c r="J121" s="166">
        <f>J8/J6</f>
        <v>1</v>
      </c>
      <c r="K121" s="166"/>
      <c r="L121" s="166"/>
      <c r="M121" s="166"/>
      <c r="N121" s="166"/>
      <c r="O121" s="166"/>
      <c r="P121" s="166"/>
      <c r="Q121" s="166">
        <f>Q8/Q6</f>
        <v>1</v>
      </c>
      <c r="R121" s="166"/>
      <c r="S121" s="166"/>
      <c r="T121" s="166"/>
      <c r="U121" s="166"/>
      <c r="V121" s="166"/>
      <c r="W121" s="166"/>
      <c r="X121" s="166">
        <f>X8/X6</f>
        <v>1</v>
      </c>
      <c r="Y121" s="166"/>
      <c r="Z121" s="166"/>
      <c r="AA121" s="166"/>
      <c r="AB121" s="166"/>
      <c r="AC121" s="166"/>
      <c r="AD121" s="166"/>
      <c r="AE121" s="166">
        <f>AE8/AE6</f>
        <v>1</v>
      </c>
      <c r="AF121" s="166"/>
      <c r="AG121" s="166"/>
      <c r="AH121" s="166"/>
      <c r="AI121" s="166"/>
      <c r="AJ121" s="166"/>
      <c r="AK121" s="166"/>
      <c r="AL121" s="166">
        <f>AL8/AL6</f>
        <v>1</v>
      </c>
      <c r="AM121" s="166"/>
      <c r="AN121" s="166"/>
      <c r="AO121" s="166"/>
      <c r="AP121" s="166"/>
      <c r="AQ121" s="166"/>
      <c r="AR121" s="166"/>
      <c r="AS121" s="166">
        <f>AS8/AS6</f>
        <v>1</v>
      </c>
      <c r="AT121" s="166"/>
      <c r="AU121" s="166"/>
      <c r="AV121" s="166"/>
      <c r="AW121" s="166"/>
      <c r="AX121" s="166"/>
      <c r="AY121" s="166"/>
      <c r="AZ121" s="166">
        <f>AZ8/AZ6</f>
        <v>1</v>
      </c>
      <c r="BA121" s="166"/>
      <c r="BB121" s="166"/>
      <c r="BC121" s="166"/>
      <c r="BD121" s="166"/>
      <c r="BE121" s="166"/>
      <c r="BF121" s="166"/>
      <c r="BG121" s="166">
        <f>BG8/BG6</f>
        <v>1</v>
      </c>
      <c r="BH121" s="166"/>
      <c r="BI121" s="166"/>
      <c r="BJ121" s="166"/>
      <c r="BK121" s="166"/>
      <c r="BL121" s="166"/>
      <c r="BM121" s="166"/>
      <c r="BN121" s="166">
        <f>BN8/BN6</f>
        <v>1</v>
      </c>
      <c r="BO121" s="166"/>
      <c r="BP121" s="166"/>
      <c r="BQ121" s="166"/>
      <c r="BR121" s="166"/>
      <c r="BS121" s="166"/>
      <c r="BT121" s="166"/>
      <c r="BU121" s="166">
        <f>BU8/BU6</f>
        <v>1</v>
      </c>
      <c r="BV121" s="166"/>
      <c r="BW121" s="166"/>
      <c r="BX121" s="166"/>
      <c r="BY121" s="166"/>
      <c r="BZ121" s="166"/>
      <c r="CA121" s="166"/>
      <c r="CB121" s="166">
        <f>CB8/CB6</f>
        <v>1</v>
      </c>
      <c r="CC121" s="166"/>
      <c r="CD121" s="166"/>
      <c r="CE121" s="166"/>
      <c r="CF121" s="166"/>
      <c r="CG121" s="166"/>
      <c r="CH121" s="166"/>
      <c r="CI121" s="166">
        <f>CI8/CI6</f>
        <v>1</v>
      </c>
      <c r="CJ121" s="166" t="e">
        <f>#REF!/CJ6</f>
        <v>#REF!</v>
      </c>
      <c r="CK121" s="166">
        <f>CJ16/CK6</f>
        <v>9.5142375897794441E-3</v>
      </c>
      <c r="CL121" s="166">
        <f>CL16/CL6</f>
        <v>7.0243092105263152E-2</v>
      </c>
      <c r="CM121" s="166" t="e">
        <f>#REF!/CM6</f>
        <v>#REF!</v>
      </c>
      <c r="CN121" s="166">
        <f>CM16/CN6</f>
        <v>7.8917784256559764E-2</v>
      </c>
      <c r="CO121" s="166">
        <f>CO16/CO6</f>
        <v>1</v>
      </c>
      <c r="CP121" s="166"/>
    </row>
    <row r="122" spans="2:94" x14ac:dyDescent="0.2">
      <c r="B122" s="105" t="s">
        <v>443</v>
      </c>
      <c r="D122" s="166"/>
      <c r="E122" s="166"/>
      <c r="F122" s="166"/>
      <c r="G122" s="166"/>
      <c r="H122" s="166"/>
      <c r="I122" s="166"/>
      <c r="J122" s="166">
        <f>J16/J6</f>
        <v>0.90178223036891891</v>
      </c>
      <c r="K122" s="166"/>
      <c r="L122" s="166"/>
      <c r="M122" s="166"/>
      <c r="N122" s="166"/>
      <c r="O122" s="166"/>
      <c r="P122" s="166"/>
      <c r="Q122" s="166">
        <f>Q16/Q6</f>
        <v>-0.26314149969449885</v>
      </c>
      <c r="R122" s="166"/>
      <c r="S122" s="166"/>
      <c r="T122" s="166"/>
      <c r="U122" s="166"/>
      <c r="V122" s="166"/>
      <c r="W122" s="166"/>
      <c r="X122" s="166">
        <f>X16/X6</f>
        <v>0.71272970524408485</v>
      </c>
      <c r="Y122" s="166"/>
      <c r="Z122" s="166"/>
      <c r="AA122" s="166"/>
      <c r="AB122" s="166"/>
      <c r="AC122" s="166"/>
      <c r="AD122" s="166"/>
      <c r="AE122" s="166">
        <f>AE16/AE6</f>
        <v>0.88128205128205128</v>
      </c>
      <c r="AF122" s="166"/>
      <c r="AG122" s="166"/>
      <c r="AH122" s="166"/>
      <c r="AI122" s="166"/>
      <c r="AJ122" s="166"/>
      <c r="AK122" s="166"/>
      <c r="AL122" s="166">
        <f>AL16/AL6</f>
        <v>0.88128205128205128</v>
      </c>
      <c r="AM122" s="166"/>
      <c r="AN122" s="166"/>
      <c r="AO122" s="166"/>
      <c r="AP122" s="166"/>
      <c r="AQ122" s="166"/>
      <c r="AR122" s="166"/>
      <c r="AS122" s="166">
        <f>AS16/AS6</f>
        <v>0.88674234315720712</v>
      </c>
      <c r="AT122" s="166"/>
      <c r="AU122" s="166"/>
      <c r="AV122" s="166"/>
      <c r="AW122" s="166"/>
      <c r="AX122" s="166"/>
      <c r="AY122" s="166"/>
      <c r="AZ122" s="166">
        <f>AZ16/AZ6</f>
        <v>0.89016828468707454</v>
      </c>
      <c r="BA122" s="166"/>
      <c r="BB122" s="166"/>
      <c r="BC122" s="166"/>
      <c r="BD122" s="166"/>
      <c r="BE122" s="166"/>
      <c r="BF122" s="166"/>
      <c r="BG122" s="166">
        <f>BG16/BG6</f>
        <v>0.89064713793790995</v>
      </c>
      <c r="BH122" s="166"/>
      <c r="BI122" s="166"/>
      <c r="BJ122" s="166"/>
      <c r="BK122" s="166"/>
      <c r="BL122" s="166"/>
      <c r="BM122" s="166"/>
      <c r="BN122" s="166">
        <f>BN16/BN6</f>
        <v>0.89064713793790995</v>
      </c>
      <c r="BO122" s="166"/>
      <c r="BP122" s="166"/>
      <c r="BQ122" s="166"/>
      <c r="BR122" s="166"/>
      <c r="BS122" s="166"/>
      <c r="BT122" s="166"/>
      <c r="BU122" s="166">
        <f>BU16/BU6</f>
        <v>0.89064713793790995</v>
      </c>
      <c r="BV122" s="166"/>
      <c r="BW122" s="166"/>
      <c r="BX122" s="166"/>
      <c r="BY122" s="166"/>
      <c r="BZ122" s="166"/>
      <c r="CA122" s="166"/>
      <c r="CB122" s="166">
        <f>CB16/CB6</f>
        <v>0.89064713793790995</v>
      </c>
      <c r="CC122" s="166"/>
      <c r="CD122" s="166"/>
      <c r="CE122" s="166"/>
      <c r="CF122" s="166"/>
      <c r="CG122" s="166"/>
      <c r="CH122" s="166"/>
      <c r="CI122" s="166">
        <f>CI16/CI6</f>
        <v>0.89156742362273389</v>
      </c>
      <c r="CJ122" s="168" t="e">
        <f>#REF!+CJ14</f>
        <v>#REF!</v>
      </c>
      <c r="CK122" s="169">
        <f>CJ16+CK14</f>
        <v>59875</v>
      </c>
      <c r="CL122" s="169">
        <f>CL16+CL14</f>
        <v>213539</v>
      </c>
      <c r="CM122" s="168" t="e">
        <f>#REF!+CM14</f>
        <v>#REF!</v>
      </c>
      <c r="CN122" s="169">
        <f>CM16+CN14</f>
        <v>135344</v>
      </c>
      <c r="CO122" s="169">
        <f>CO16+CO14</f>
        <v>881000</v>
      </c>
      <c r="CP122" s="168"/>
    </row>
    <row r="123" spans="2:94" x14ac:dyDescent="0.2">
      <c r="B123" s="105" t="s">
        <v>368</v>
      </c>
      <c r="D123" s="168"/>
      <c r="E123" s="169"/>
      <c r="F123" s="169"/>
      <c r="G123" s="168"/>
      <c r="H123" s="169"/>
      <c r="I123" s="169"/>
      <c r="J123" s="168">
        <f>J16+J15</f>
        <v>8560258</v>
      </c>
      <c r="K123" s="169"/>
      <c r="L123" s="169"/>
      <c r="M123" s="168"/>
      <c r="N123" s="169"/>
      <c r="O123" s="169"/>
      <c r="P123" s="168"/>
      <c r="Q123" s="168">
        <f>Q16+Q15</f>
        <v>-2497897</v>
      </c>
      <c r="R123" s="169"/>
      <c r="S123" s="168"/>
      <c r="T123" s="169"/>
      <c r="U123" s="169"/>
      <c r="V123" s="168"/>
      <c r="W123" s="169"/>
      <c r="X123" s="168">
        <f>X16+X15</f>
        <v>6765658</v>
      </c>
      <c r="Y123" s="168"/>
      <c r="Z123" s="169"/>
      <c r="AA123" s="169"/>
      <c r="AB123" s="168"/>
      <c r="AC123" s="169"/>
      <c r="AD123" s="169"/>
      <c r="AE123" s="168">
        <f>AE16+AE15</f>
        <v>8365658</v>
      </c>
      <c r="AF123" s="169"/>
      <c r="AG123" s="169"/>
      <c r="AH123" s="168"/>
      <c r="AI123" s="169"/>
      <c r="AJ123" s="169"/>
      <c r="AK123" s="168"/>
      <c r="AL123" s="168">
        <f>AL16+AL15</f>
        <v>8365658</v>
      </c>
      <c r="AM123" s="169"/>
      <c r="AN123" s="168"/>
      <c r="AO123" s="169"/>
      <c r="AP123" s="169"/>
      <c r="AQ123" s="168"/>
      <c r="AR123" s="169"/>
      <c r="AS123" s="168">
        <f>AS16+AS15</f>
        <v>8823308</v>
      </c>
      <c r="AT123" s="168"/>
      <c r="AU123" s="169"/>
      <c r="AV123" s="169"/>
      <c r="AW123" s="168"/>
      <c r="AX123" s="169"/>
      <c r="AY123" s="169"/>
      <c r="AZ123" s="168">
        <f>AZ16+AZ15</f>
        <v>9133682.5999999996</v>
      </c>
      <c r="BA123" s="169"/>
      <c r="BB123" s="169"/>
      <c r="BC123" s="168"/>
      <c r="BD123" s="169"/>
      <c r="BE123" s="169"/>
      <c r="BF123" s="168"/>
      <c r="BG123" s="168">
        <f>BG16+BG15</f>
        <v>9178613.5999999996</v>
      </c>
      <c r="BH123" s="169"/>
      <c r="BI123" s="168"/>
      <c r="BJ123" s="169"/>
      <c r="BK123" s="169"/>
      <c r="BL123" s="168"/>
      <c r="BM123" s="169"/>
      <c r="BN123" s="168">
        <f>BN16+BN15</f>
        <v>9178613.5999999996</v>
      </c>
      <c r="BO123" s="168"/>
      <c r="BP123" s="169"/>
      <c r="BQ123" s="169"/>
      <c r="BR123" s="168"/>
      <c r="BS123" s="169"/>
      <c r="BT123" s="169"/>
      <c r="BU123" s="168">
        <f>BU16+BU15</f>
        <v>9178613.5999999996</v>
      </c>
      <c r="BV123" s="169"/>
      <c r="BW123" s="169"/>
      <c r="BX123" s="168"/>
      <c r="BY123" s="169"/>
      <c r="BZ123" s="169"/>
      <c r="CA123" s="168"/>
      <c r="CB123" s="168">
        <f>CB16+CB15</f>
        <v>9178613.5999999996</v>
      </c>
      <c r="CC123" s="169"/>
      <c r="CD123" s="168"/>
      <c r="CE123" s="169"/>
      <c r="CF123" s="169"/>
      <c r="CG123" s="168"/>
      <c r="CH123" s="169"/>
      <c r="CI123" s="168">
        <f>CI16+CI15</f>
        <v>9266078.5999999996</v>
      </c>
      <c r="CJ123" s="166" t="e">
        <f t="shared" ref="CJ123:CO123" si="36">CJ122/CJ6</f>
        <v>#REF!</v>
      </c>
      <c r="CK123" s="166">
        <f t="shared" si="36"/>
        <v>9.5142375897794441E-3</v>
      </c>
      <c r="CL123" s="166">
        <f t="shared" si="36"/>
        <v>7.0243092105263152E-2</v>
      </c>
      <c r="CM123" s="166" t="e">
        <f t="shared" si="36"/>
        <v>#REF!</v>
      </c>
      <c r="CN123" s="166">
        <f t="shared" si="36"/>
        <v>7.8917784256559764E-2</v>
      </c>
      <c r="CO123" s="166">
        <f t="shared" si="36"/>
        <v>1</v>
      </c>
      <c r="CP123" s="166"/>
    </row>
    <row r="124" spans="2:94" x14ac:dyDescent="0.2">
      <c r="B124" s="105" t="s">
        <v>369</v>
      </c>
      <c r="D124" s="166"/>
      <c r="E124" s="166"/>
      <c r="F124" s="166"/>
      <c r="G124" s="166"/>
      <c r="H124" s="166"/>
      <c r="I124" s="166"/>
      <c r="J124" s="166">
        <f>J123/J6</f>
        <v>0.90178223036891891</v>
      </c>
      <c r="K124" s="166"/>
      <c r="L124" s="166"/>
      <c r="M124" s="166"/>
      <c r="N124" s="166"/>
      <c r="O124" s="166"/>
      <c r="P124" s="166"/>
      <c r="Q124" s="166">
        <f>Q123/Q6</f>
        <v>-0.26314149969449885</v>
      </c>
      <c r="R124" s="166"/>
      <c r="S124" s="166"/>
      <c r="T124" s="166"/>
      <c r="U124" s="166"/>
      <c r="V124" s="166"/>
      <c r="W124" s="166"/>
      <c r="X124" s="166">
        <f>X123/X6</f>
        <v>0.71272970524408485</v>
      </c>
      <c r="Y124" s="166"/>
      <c r="Z124" s="166"/>
      <c r="AA124" s="166"/>
      <c r="AB124" s="166"/>
      <c r="AC124" s="166"/>
      <c r="AD124" s="166"/>
      <c r="AE124" s="166">
        <f>AE123/AE6</f>
        <v>0.88128205128205128</v>
      </c>
      <c r="AF124" s="166"/>
      <c r="AG124" s="166"/>
      <c r="AH124" s="166"/>
      <c r="AI124" s="166"/>
      <c r="AJ124" s="166"/>
      <c r="AK124" s="166"/>
      <c r="AL124" s="166">
        <f>AL123/AL6</f>
        <v>0.88128205128205128</v>
      </c>
      <c r="AM124" s="166"/>
      <c r="AN124" s="166"/>
      <c r="AO124" s="166"/>
      <c r="AP124" s="166"/>
      <c r="AQ124" s="166"/>
      <c r="AR124" s="166"/>
      <c r="AS124" s="166">
        <f>AS123/AS6</f>
        <v>0.88674234315720712</v>
      </c>
      <c r="AT124" s="166"/>
      <c r="AU124" s="166"/>
      <c r="AV124" s="166"/>
      <c r="AW124" s="166"/>
      <c r="AX124" s="166"/>
      <c r="AY124" s="166"/>
      <c r="AZ124" s="166">
        <f>AZ123/AZ6</f>
        <v>0.89016828468707454</v>
      </c>
      <c r="BA124" s="166"/>
      <c r="BB124" s="166"/>
      <c r="BC124" s="166"/>
      <c r="BD124" s="166"/>
      <c r="BE124" s="166"/>
      <c r="BF124" s="166"/>
      <c r="BG124" s="166">
        <f>BG123/BG6</f>
        <v>0.89064713793790995</v>
      </c>
      <c r="BH124" s="166"/>
      <c r="BI124" s="166"/>
      <c r="BJ124" s="166"/>
      <c r="BK124" s="166"/>
      <c r="BL124" s="166"/>
      <c r="BM124" s="166"/>
      <c r="BN124" s="166">
        <f>BN123/BN6</f>
        <v>0.89064713793790995</v>
      </c>
      <c r="BO124" s="166"/>
      <c r="BP124" s="166"/>
      <c r="BQ124" s="166"/>
      <c r="BR124" s="166"/>
      <c r="BS124" s="166"/>
      <c r="BT124" s="166"/>
      <c r="BU124" s="166">
        <f>BU123/BU6</f>
        <v>0.89064713793790995</v>
      </c>
      <c r="BV124" s="166"/>
      <c r="BW124" s="166"/>
      <c r="BX124" s="166"/>
      <c r="BY124" s="166"/>
      <c r="BZ124" s="166"/>
      <c r="CA124" s="166"/>
      <c r="CB124" s="166">
        <f>CB123/CB6</f>
        <v>0.89064713793790995</v>
      </c>
      <c r="CC124" s="166"/>
      <c r="CD124" s="166"/>
      <c r="CE124" s="166"/>
      <c r="CF124" s="166"/>
      <c r="CG124" s="166"/>
      <c r="CH124" s="166"/>
      <c r="CI124" s="166">
        <f>CI123/CI6</f>
        <v>0.89156742362273389</v>
      </c>
      <c r="CJ124" s="166">
        <f t="shared" ref="CJ124:CO124" si="37">CJ48/CJ6</f>
        <v>0</v>
      </c>
      <c r="CK124" s="166">
        <f t="shared" si="37"/>
        <v>0</v>
      </c>
      <c r="CL124" s="166">
        <f t="shared" si="37"/>
        <v>0</v>
      </c>
      <c r="CM124" s="166">
        <f t="shared" si="37"/>
        <v>0</v>
      </c>
      <c r="CN124" s="166">
        <f t="shared" si="37"/>
        <v>0</v>
      </c>
      <c r="CO124" s="166">
        <f t="shared" si="37"/>
        <v>0</v>
      </c>
      <c r="CP124" s="166"/>
    </row>
    <row r="125" spans="2:94" x14ac:dyDescent="0.2">
      <c r="B125" s="170" t="s">
        <v>370</v>
      </c>
      <c r="D125" s="166"/>
      <c r="E125" s="166"/>
      <c r="F125" s="166"/>
      <c r="G125" s="166"/>
      <c r="H125" s="166"/>
      <c r="I125" s="166"/>
      <c r="J125" s="166">
        <f>J48/J6</f>
        <v>0.19067321176495375</v>
      </c>
      <c r="K125" s="166"/>
      <c r="L125" s="166"/>
      <c r="M125" s="166"/>
      <c r="N125" s="166"/>
      <c r="O125" s="166"/>
      <c r="P125" s="166"/>
      <c r="Q125" s="166">
        <f>Q48/Q6</f>
        <v>-0.54396923392958718</v>
      </c>
      <c r="R125" s="166"/>
      <c r="S125" s="166"/>
      <c r="T125" s="166"/>
      <c r="U125" s="166"/>
      <c r="V125" s="166"/>
      <c r="W125" s="166"/>
      <c r="X125" s="166">
        <f>X48/X6</f>
        <v>0.324337118386954</v>
      </c>
      <c r="Y125" s="166"/>
      <c r="Z125" s="166"/>
      <c r="AA125" s="166"/>
      <c r="AB125" s="166"/>
      <c r="AC125" s="166"/>
      <c r="AD125" s="166"/>
      <c r="AE125" s="166">
        <f>AE48/AE6</f>
        <v>0.57916719655310456</v>
      </c>
      <c r="AF125" s="166"/>
      <c r="AG125" s="166"/>
      <c r="AH125" s="166"/>
      <c r="AI125" s="166"/>
      <c r="AJ125" s="166"/>
      <c r="AK125" s="166"/>
      <c r="AL125" s="166">
        <f>AL48/AL6</f>
        <v>0.53451135937467087</v>
      </c>
      <c r="AM125" s="166"/>
      <c r="AN125" s="166"/>
      <c r="AO125" s="166"/>
      <c r="AP125" s="166"/>
      <c r="AQ125" s="166"/>
      <c r="AR125" s="166"/>
      <c r="AS125" s="166">
        <f>AS48/AS6</f>
        <v>0.53631341222582352</v>
      </c>
      <c r="AT125" s="166"/>
      <c r="AU125" s="166"/>
      <c r="AV125" s="166"/>
      <c r="AW125" s="166"/>
      <c r="AX125" s="166"/>
      <c r="AY125" s="166"/>
      <c r="AZ125" s="166">
        <f>AZ48/AZ6</f>
        <v>0.47357030584668308</v>
      </c>
      <c r="BA125" s="166"/>
      <c r="BB125" s="166"/>
      <c r="BC125" s="166"/>
      <c r="BD125" s="166"/>
      <c r="BE125" s="166"/>
      <c r="BF125" s="166"/>
      <c r="BG125" s="166">
        <f>BG48/BG6</f>
        <v>0.64082504489132053</v>
      </c>
      <c r="BH125" s="166"/>
      <c r="BI125" s="166"/>
      <c r="BJ125" s="166"/>
      <c r="BK125" s="166"/>
      <c r="BL125" s="166"/>
      <c r="BM125" s="166"/>
      <c r="BN125" s="166">
        <f>BN48/BN6</f>
        <v>0.39407464164280476</v>
      </c>
      <c r="BO125" s="166"/>
      <c r="BP125" s="166"/>
      <c r="BQ125" s="166"/>
      <c r="BR125" s="166"/>
      <c r="BS125" s="166"/>
      <c r="BT125" s="166"/>
      <c r="BU125" s="166">
        <f>BU48/BU6</f>
        <v>0.30605415684720577</v>
      </c>
      <c r="BV125" s="166"/>
      <c r="BW125" s="166"/>
      <c r="BX125" s="166"/>
      <c r="BY125" s="166"/>
      <c r="BZ125" s="166"/>
      <c r="CA125" s="166"/>
      <c r="CB125" s="166">
        <f>CB48/CB6</f>
        <v>0.64082504489132053</v>
      </c>
      <c r="CC125" s="166"/>
      <c r="CD125" s="166"/>
      <c r="CE125" s="166"/>
      <c r="CF125" s="166"/>
      <c r="CG125" s="166"/>
      <c r="CH125" s="166"/>
      <c r="CI125" s="166">
        <f>CI48/CI6</f>
        <v>0.5602339641278109</v>
      </c>
      <c r="CJ125" s="171" t="e">
        <f t="shared" ref="CJ125:CO125" si="38">CJ48/CJ66</f>
        <v>#DIV/0!</v>
      </c>
      <c r="CK125" s="171" t="e">
        <f t="shared" si="38"/>
        <v>#DIV/0!</v>
      </c>
      <c r="CL125" s="171" t="e">
        <f t="shared" si="38"/>
        <v>#DIV/0!</v>
      </c>
      <c r="CM125" s="171" t="e">
        <f t="shared" si="38"/>
        <v>#DIV/0!</v>
      </c>
      <c r="CN125" s="171" t="e">
        <f t="shared" si="38"/>
        <v>#DIV/0!</v>
      </c>
      <c r="CO125" s="171" t="e">
        <f t="shared" si="38"/>
        <v>#DIV/0!</v>
      </c>
      <c r="CP125" s="171"/>
    </row>
    <row r="126" spans="2:94" x14ac:dyDescent="0.2">
      <c r="B126" s="105" t="s">
        <v>371</v>
      </c>
      <c r="D126" s="171"/>
      <c r="E126" s="171"/>
      <c r="F126" s="171"/>
      <c r="G126" s="171"/>
      <c r="H126" s="171"/>
      <c r="I126" s="171"/>
      <c r="J126" s="244">
        <f>J48/J66</f>
        <v>9.2529170116766491E-4</v>
      </c>
      <c r="K126" s="171"/>
      <c r="L126" s="171"/>
      <c r="M126" s="171"/>
      <c r="N126" s="171"/>
      <c r="O126" s="171"/>
      <c r="P126" s="171"/>
      <c r="Q126" s="171">
        <f>Q48/Q66</f>
        <v>-2.6519722307407224E-3</v>
      </c>
      <c r="R126" s="171"/>
      <c r="S126" s="171"/>
      <c r="T126" s="171"/>
      <c r="U126" s="171"/>
      <c r="V126" s="171"/>
      <c r="W126" s="171"/>
      <c r="X126" s="171">
        <f>X48/X66</f>
        <v>1.6326774522765061E-3</v>
      </c>
      <c r="Y126" s="171"/>
      <c r="Z126" s="171"/>
      <c r="AA126" s="171"/>
      <c r="AB126" s="171"/>
      <c r="AC126" s="171"/>
      <c r="AD126" s="171"/>
      <c r="AE126" s="171">
        <f>AE48/AE66</f>
        <v>2.9154640936974057E-3</v>
      </c>
      <c r="AF126" s="171"/>
      <c r="AG126" s="171"/>
      <c r="AH126" s="171"/>
      <c r="AI126" s="171"/>
      <c r="AJ126" s="171"/>
      <c r="AK126" s="171"/>
      <c r="AL126" s="171">
        <f>AL48/AL66</f>
        <v>2.6906715111019866E-3</v>
      </c>
      <c r="AM126" s="171"/>
      <c r="AN126" s="171"/>
      <c r="AO126" s="171"/>
      <c r="AP126" s="171"/>
      <c r="AQ126" s="171"/>
      <c r="AR126" s="171"/>
      <c r="AS126" s="171">
        <f>AS48/AS66</f>
        <v>2.8299007929147428E-3</v>
      </c>
      <c r="AT126" s="171"/>
      <c r="AU126" s="171"/>
      <c r="AV126" s="171"/>
      <c r="AW126" s="171"/>
      <c r="AX126" s="171"/>
      <c r="AY126" s="171"/>
      <c r="AZ126" s="171">
        <f>AZ48/AZ66</f>
        <v>2.5767769207647269E-3</v>
      </c>
      <c r="BA126" s="171"/>
      <c r="BB126" s="171"/>
      <c r="BC126" s="171"/>
      <c r="BD126" s="171"/>
      <c r="BE126" s="171"/>
      <c r="BF126" s="171"/>
      <c r="BG126" s="171">
        <f>BG48/BG66</f>
        <v>3.5021072957135539E-3</v>
      </c>
      <c r="BH126" s="171"/>
      <c r="BI126" s="171"/>
      <c r="BJ126" s="171"/>
      <c r="BK126" s="171"/>
      <c r="BL126" s="171"/>
      <c r="BM126" s="171"/>
      <c r="BN126" s="171">
        <f>BN48/BN66</f>
        <v>2.1536169482686569E-3</v>
      </c>
      <c r="BO126" s="171"/>
      <c r="BP126" s="171"/>
      <c r="BQ126" s="171"/>
      <c r="BR126" s="171"/>
      <c r="BS126" s="171"/>
      <c r="BT126" s="171"/>
      <c r="BU126" s="171">
        <f>BU48/BU66</f>
        <v>1.6725852151422001E-3</v>
      </c>
      <c r="BV126" s="171"/>
      <c r="BW126" s="171"/>
      <c r="BX126" s="171"/>
      <c r="BY126" s="171"/>
      <c r="BZ126" s="171"/>
      <c r="CA126" s="171"/>
      <c r="CB126" s="171">
        <f>CB48/CB66</f>
        <v>3.5021072957135539E-3</v>
      </c>
      <c r="CC126" s="171"/>
      <c r="CD126" s="171"/>
      <c r="CE126" s="171"/>
      <c r="CF126" s="171"/>
      <c r="CG126" s="171"/>
      <c r="CH126" s="171"/>
      <c r="CI126" s="171">
        <f>CI48/CI66</f>
        <v>3.0876622118760659E-3</v>
      </c>
      <c r="CJ126" s="171" t="e">
        <f t="shared" ref="CJ126:CO126" si="39">CJ48/CJ81</f>
        <v>#DIV/0!</v>
      </c>
      <c r="CK126" s="171" t="e">
        <f t="shared" si="39"/>
        <v>#DIV/0!</v>
      </c>
      <c r="CL126" s="171" t="e">
        <f t="shared" si="39"/>
        <v>#DIV/0!</v>
      </c>
      <c r="CM126" s="171" t="e">
        <f t="shared" si="39"/>
        <v>#DIV/0!</v>
      </c>
      <c r="CN126" s="171" t="e">
        <f t="shared" si="39"/>
        <v>#DIV/0!</v>
      </c>
      <c r="CO126" s="171" t="e">
        <f t="shared" si="39"/>
        <v>#DIV/0!</v>
      </c>
      <c r="CP126" s="171"/>
    </row>
    <row r="127" spans="2:94" x14ac:dyDescent="0.2">
      <c r="B127" s="105" t="s">
        <v>372</v>
      </c>
      <c r="D127" s="171"/>
      <c r="E127" s="171"/>
      <c r="F127" s="171"/>
      <c r="G127" s="171"/>
      <c r="H127" s="171"/>
      <c r="I127" s="171"/>
      <c r="J127" s="244">
        <f>J48/J81</f>
        <v>9.777583397158258E-4</v>
      </c>
      <c r="K127" s="171"/>
      <c r="L127" s="171"/>
      <c r="M127" s="171"/>
      <c r="N127" s="171"/>
      <c r="O127" s="171"/>
      <c r="P127" s="171"/>
      <c r="Q127" s="171">
        <f>Q48/Q81</f>
        <v>-2.7972373149326552E-3</v>
      </c>
      <c r="R127" s="171"/>
      <c r="S127" s="171"/>
      <c r="T127" s="171"/>
      <c r="U127" s="171"/>
      <c r="V127" s="171"/>
      <c r="W127" s="171"/>
      <c r="X127" s="171">
        <f>X48/X81</f>
        <v>1.6650523934153433E-3</v>
      </c>
      <c r="Y127" s="171"/>
      <c r="Z127" s="171"/>
      <c r="AA127" s="171"/>
      <c r="AB127" s="171"/>
      <c r="AC127" s="171"/>
      <c r="AD127" s="171"/>
      <c r="AE127" s="171">
        <f>AE48/AE81</f>
        <v>2.9644617043594994E-3</v>
      </c>
      <c r="AF127" s="171"/>
      <c r="AG127" s="171"/>
      <c r="AH127" s="171"/>
      <c r="AI127" s="171"/>
      <c r="AJ127" s="171"/>
      <c r="AK127" s="171"/>
      <c r="AL127" s="171">
        <f>AL48/AL81</f>
        <v>2.7284265545726087E-3</v>
      </c>
      <c r="AM127" s="171"/>
      <c r="AN127" s="171"/>
      <c r="AO127" s="171"/>
      <c r="AP127" s="171"/>
      <c r="AQ127" s="171"/>
      <c r="AR127" s="171"/>
      <c r="AS127" s="171">
        <f>AS48/AS81</f>
        <v>2.8613983819907327E-3</v>
      </c>
      <c r="AT127" s="171"/>
      <c r="AU127" s="171"/>
      <c r="AV127" s="171"/>
      <c r="AW127" s="171"/>
      <c r="AX127" s="171"/>
      <c r="AY127" s="171"/>
      <c r="AZ127" s="171">
        <f>AZ48/AZ81</f>
        <v>2.598686404065863E-3</v>
      </c>
      <c r="BA127" s="171"/>
      <c r="BB127" s="171"/>
      <c r="BC127" s="171"/>
      <c r="BD127" s="171"/>
      <c r="BE127" s="171"/>
      <c r="BF127" s="171"/>
      <c r="BG127" s="171">
        <f>BG48/BG81</f>
        <v>3.5194542515249081E-3</v>
      </c>
      <c r="BH127" s="171"/>
      <c r="BI127" s="171"/>
      <c r="BJ127" s="171"/>
      <c r="BK127" s="171"/>
      <c r="BL127" s="171"/>
      <c r="BM127" s="171"/>
      <c r="BN127" s="171">
        <f>BN48/BN81</f>
        <v>2.1596104280181866E-3</v>
      </c>
      <c r="BO127" s="171"/>
      <c r="BP127" s="171"/>
      <c r="BQ127" s="171"/>
      <c r="BR127" s="171"/>
      <c r="BS127" s="171"/>
      <c r="BT127" s="171"/>
      <c r="BU127" s="171">
        <f>BU48/BU81</f>
        <v>1.6744315680786851E-3</v>
      </c>
      <c r="BV127" s="171"/>
      <c r="BW127" s="171"/>
      <c r="BX127" s="171"/>
      <c r="BY127" s="171"/>
      <c r="BZ127" s="171"/>
      <c r="CA127" s="171"/>
      <c r="CB127" s="171">
        <f>CB48/CB81</f>
        <v>3.4937243388396847E-3</v>
      </c>
      <c r="CC127" s="171"/>
      <c r="CD127" s="171"/>
      <c r="CE127" s="171"/>
      <c r="CF127" s="171"/>
      <c r="CG127" s="171"/>
      <c r="CH127" s="171"/>
      <c r="CI127" s="171">
        <f>CI48/CI81</f>
        <v>3.0708123725354591E-3</v>
      </c>
    </row>
    <row r="129" spans="2:94" ht="16" x14ac:dyDescent="0.2">
      <c r="B129" s="183" t="s">
        <v>373</v>
      </c>
      <c r="C129" s="214"/>
      <c r="CJ129" s="166" t="e">
        <f t="shared" ref="CJ129:CO129" si="40">CJ75/CJ66</f>
        <v>#DIV/0!</v>
      </c>
      <c r="CK129" s="166" t="e">
        <f t="shared" si="40"/>
        <v>#DIV/0!</v>
      </c>
      <c r="CL129" s="166" t="e">
        <f t="shared" si="40"/>
        <v>#DIV/0!</v>
      </c>
      <c r="CM129" s="166" t="e">
        <f t="shared" si="40"/>
        <v>#DIV/0!</v>
      </c>
      <c r="CN129" s="166" t="e">
        <f t="shared" si="40"/>
        <v>#DIV/0!</v>
      </c>
      <c r="CO129" s="166" t="e">
        <f t="shared" si="40"/>
        <v>#DIV/0!</v>
      </c>
      <c r="CP129" s="166"/>
    </row>
    <row r="130" spans="2:94" x14ac:dyDescent="0.2">
      <c r="B130" s="105" t="s">
        <v>374</v>
      </c>
      <c r="D130" s="166"/>
      <c r="E130" s="166"/>
      <c r="F130" s="166"/>
      <c r="G130" s="166"/>
      <c r="H130" s="166"/>
      <c r="I130" s="166"/>
      <c r="J130" s="166">
        <f>J75/J66</f>
        <v>5.366318454191138E-2</v>
      </c>
      <c r="K130" s="166"/>
      <c r="L130" s="166"/>
      <c r="M130" s="166"/>
      <c r="N130" s="166"/>
      <c r="O130" s="166"/>
      <c r="P130" s="166"/>
      <c r="Q130" s="166">
        <f>Q75/Q66</f>
        <v>5.3911583887818991E-2</v>
      </c>
      <c r="R130" s="166"/>
      <c r="S130" s="166"/>
      <c r="T130" s="166"/>
      <c r="U130" s="166"/>
      <c r="V130" s="166"/>
      <c r="W130" s="166"/>
      <c r="X130" s="166">
        <f>X75/X66</f>
        <v>5.5666151560005241E-2</v>
      </c>
      <c r="Y130" s="166"/>
      <c r="Z130" s="166"/>
      <c r="AA130" s="166"/>
      <c r="AB130" s="166"/>
      <c r="AC130" s="166"/>
      <c r="AD130" s="166"/>
      <c r="AE130" s="166">
        <f>AE75/AE66</f>
        <v>5.5666151560005241E-2</v>
      </c>
      <c r="AF130" s="166"/>
      <c r="AG130" s="166"/>
      <c r="AH130" s="166"/>
      <c r="AI130" s="166"/>
      <c r="AJ130" s="166"/>
      <c r="AK130" s="166"/>
      <c r="AL130" s="166">
        <f>AL75/AL66</f>
        <v>5.5666151560005241E-2</v>
      </c>
      <c r="AM130" s="166"/>
      <c r="AN130" s="166"/>
      <c r="AO130" s="166"/>
      <c r="AP130" s="166"/>
      <c r="AQ130" s="166"/>
      <c r="AR130" s="166"/>
      <c r="AS130" s="166">
        <f>AS75/AS66</f>
        <v>5.5666151560005241E-2</v>
      </c>
      <c r="AT130" s="166"/>
      <c r="AU130" s="166"/>
      <c r="AV130" s="166"/>
      <c r="AW130" s="166"/>
      <c r="AX130" s="166"/>
      <c r="AY130" s="166"/>
      <c r="AZ130" s="166">
        <f>AZ75/AZ66</f>
        <v>5.5666151560005241E-2</v>
      </c>
      <c r="BA130" s="166"/>
      <c r="BB130" s="166"/>
      <c r="BC130" s="166"/>
      <c r="BD130" s="166"/>
      <c r="BE130" s="166"/>
      <c r="BF130" s="166"/>
      <c r="BG130" s="166">
        <f>BG75/BG66</f>
        <v>5.5666151560005241E-2</v>
      </c>
      <c r="BH130" s="166"/>
      <c r="BI130" s="166"/>
      <c r="BJ130" s="166"/>
      <c r="BK130" s="166"/>
      <c r="BL130" s="166"/>
      <c r="BM130" s="166"/>
      <c r="BN130" s="166">
        <f>BN75/BN66</f>
        <v>5.5666151560005241E-2</v>
      </c>
      <c r="BO130" s="166"/>
      <c r="BP130" s="166"/>
      <c r="BQ130" s="166"/>
      <c r="BR130" s="166"/>
      <c r="BS130" s="166"/>
      <c r="BT130" s="166"/>
      <c r="BU130" s="166">
        <f>BU75/BU66</f>
        <v>5.5666151560005241E-2</v>
      </c>
      <c r="BV130" s="166"/>
      <c r="BW130" s="166"/>
      <c r="BX130" s="166"/>
      <c r="BY130" s="166"/>
      <c r="BZ130" s="166"/>
      <c r="CA130" s="166"/>
      <c r="CB130" s="166">
        <f>CB75/CB66</f>
        <v>5.5666151560005241E-2</v>
      </c>
      <c r="CC130" s="166"/>
      <c r="CD130" s="166"/>
      <c r="CE130" s="166"/>
      <c r="CF130" s="166"/>
      <c r="CG130" s="166"/>
      <c r="CH130" s="166"/>
      <c r="CI130" s="166">
        <f>CI75/CI66</f>
        <v>5.5666151560005241E-2</v>
      </c>
      <c r="CJ130" s="164" t="e">
        <f t="shared" ref="CJ130:CO130" si="41">CJ75/CJ81</f>
        <v>#DIV/0!</v>
      </c>
      <c r="CK130" s="164" t="e">
        <f t="shared" si="41"/>
        <v>#DIV/0!</v>
      </c>
      <c r="CL130" s="164" t="e">
        <f t="shared" si="41"/>
        <v>#DIV/0!</v>
      </c>
      <c r="CM130" s="164" t="e">
        <f t="shared" si="41"/>
        <v>#DIV/0!</v>
      </c>
      <c r="CN130" s="164" t="e">
        <f t="shared" si="41"/>
        <v>#DIV/0!</v>
      </c>
      <c r="CO130" s="164" t="e">
        <f t="shared" si="41"/>
        <v>#DIV/0!</v>
      </c>
      <c r="CP130" s="164"/>
    </row>
    <row r="131" spans="2:94" x14ac:dyDescent="0.2">
      <c r="B131" s="105" t="s">
        <v>375</v>
      </c>
      <c r="D131" s="164"/>
      <c r="E131" s="164"/>
      <c r="F131" s="164"/>
      <c r="G131" s="164"/>
      <c r="H131" s="164"/>
      <c r="I131" s="164"/>
      <c r="J131" s="164">
        <f>J75/J81</f>
        <v>5.6706037842282161E-2</v>
      </c>
      <c r="K131" s="164"/>
      <c r="L131" s="164"/>
      <c r="M131" s="164"/>
      <c r="N131" s="164"/>
      <c r="O131" s="164"/>
      <c r="P131" s="164"/>
      <c r="Q131" s="164">
        <f>Q75/Q81</f>
        <v>5.6864658087316569E-2</v>
      </c>
      <c r="R131" s="164"/>
      <c r="S131" s="164"/>
      <c r="T131" s="164"/>
      <c r="U131" s="164"/>
      <c r="V131" s="164"/>
      <c r="W131" s="164"/>
      <c r="X131" s="164">
        <f>X75/X81</f>
        <v>5.6769975452267543E-2</v>
      </c>
      <c r="Y131" s="164"/>
      <c r="Z131" s="164"/>
      <c r="AA131" s="164"/>
      <c r="AB131" s="164"/>
      <c r="AC131" s="164"/>
      <c r="AD131" s="164"/>
      <c r="AE131" s="164">
        <f>AE75/AE81</f>
        <v>5.6601683034081869E-2</v>
      </c>
      <c r="AF131" s="164"/>
      <c r="AG131" s="164"/>
      <c r="AH131" s="164"/>
      <c r="AI131" s="164"/>
      <c r="AJ131" s="164"/>
      <c r="AK131" s="164"/>
      <c r="AL131" s="164">
        <f>AL75/AL81</f>
        <v>5.6447249499058182E-2</v>
      </c>
      <c r="AM131" s="164"/>
      <c r="AN131" s="164"/>
      <c r="AO131" s="164"/>
      <c r="AP131" s="164"/>
      <c r="AQ131" s="164"/>
      <c r="AR131" s="164"/>
      <c r="AS131" s="164">
        <f>AS75/AS81</f>
        <v>5.6285731430673745E-2</v>
      </c>
      <c r="AT131" s="164"/>
      <c r="AU131" s="164"/>
      <c r="AV131" s="164"/>
      <c r="AW131" s="164"/>
      <c r="AX131" s="164"/>
      <c r="AY131" s="164"/>
      <c r="AZ131" s="164">
        <f>AZ75/AZ81</f>
        <v>5.6139462465661948E-2</v>
      </c>
      <c r="BA131" s="164"/>
      <c r="BB131" s="164"/>
      <c r="BC131" s="164"/>
      <c r="BD131" s="164"/>
      <c r="BE131" s="164"/>
      <c r="BF131" s="164"/>
      <c r="BG131" s="164">
        <f>BG75/BG81</f>
        <v>5.5941882195808854E-2</v>
      </c>
      <c r="BH131" s="164"/>
      <c r="BI131" s="164"/>
      <c r="BJ131" s="164"/>
      <c r="BK131" s="164"/>
      <c r="BL131" s="164"/>
      <c r="BM131" s="164"/>
      <c r="BN131" s="164">
        <f>BN75/BN81</f>
        <v>5.5821069523655814E-2</v>
      </c>
      <c r="BO131" s="164"/>
      <c r="BP131" s="164"/>
      <c r="BQ131" s="164"/>
      <c r="BR131" s="164"/>
      <c r="BS131" s="164"/>
      <c r="BT131" s="164"/>
      <c r="BU131" s="164">
        <f>BU75/BU81</f>
        <v>5.5727600962681492E-2</v>
      </c>
      <c r="BV131" s="164"/>
      <c r="BW131" s="164"/>
      <c r="BX131" s="164"/>
      <c r="BY131" s="164"/>
      <c r="BZ131" s="164"/>
      <c r="CA131" s="164"/>
      <c r="CB131" s="164">
        <f>CB75/CB81</f>
        <v>5.5532904086853026E-2</v>
      </c>
      <c r="CC131" s="164"/>
      <c r="CD131" s="164"/>
      <c r="CE131" s="164"/>
      <c r="CF131" s="164"/>
      <c r="CG131" s="164"/>
      <c r="CH131" s="164"/>
      <c r="CI131" s="164">
        <f>CI75/CI81</f>
        <v>5.5362372957900294E-2</v>
      </c>
      <c r="CJ131" s="139" t="e">
        <f t="shared" ref="CJ131:CO131" si="42">CJ45/CJ122</f>
        <v>#REF!</v>
      </c>
      <c r="CK131" s="139">
        <f t="shared" si="42"/>
        <v>0</v>
      </c>
      <c r="CL131" s="139">
        <f t="shared" si="42"/>
        <v>0</v>
      </c>
      <c r="CM131" s="139" t="e">
        <f t="shared" si="42"/>
        <v>#REF!</v>
      </c>
      <c r="CN131" s="139">
        <f t="shared" si="42"/>
        <v>0</v>
      </c>
      <c r="CO131" s="139">
        <f t="shared" si="42"/>
        <v>0</v>
      </c>
      <c r="CP131" s="139"/>
    </row>
    <row r="132" spans="2:94" x14ac:dyDescent="0.2">
      <c r="B132" s="105" t="s">
        <v>376</v>
      </c>
      <c r="D132" s="139"/>
      <c r="E132" s="139"/>
      <c r="F132" s="139"/>
      <c r="G132" s="139"/>
      <c r="H132" s="139"/>
      <c r="I132" s="139"/>
      <c r="J132" s="217">
        <f>J45/J123</f>
        <v>1.0058248244387029E-3</v>
      </c>
      <c r="K132" s="139"/>
      <c r="L132" s="139"/>
      <c r="M132" s="139"/>
      <c r="N132" s="139"/>
      <c r="O132" s="139"/>
      <c r="P132" s="139"/>
      <c r="Q132" s="217">
        <f>Q45/Q123</f>
        <v>0</v>
      </c>
      <c r="R132" s="139"/>
      <c r="S132" s="139"/>
      <c r="T132" s="139"/>
      <c r="U132" s="139"/>
      <c r="V132" s="139"/>
      <c r="W132" s="139"/>
      <c r="X132" s="217">
        <f>X45/X123</f>
        <v>1.2726212291546515E-3</v>
      </c>
      <c r="Y132" s="139"/>
      <c r="Z132" s="139"/>
      <c r="AA132" s="139"/>
      <c r="AB132" s="139"/>
      <c r="AC132" s="139"/>
      <c r="AD132" s="139"/>
      <c r="AE132" s="217">
        <f>AE45/AE123</f>
        <v>1.0292220886868673E-3</v>
      </c>
      <c r="AF132" s="139"/>
      <c r="AG132" s="139"/>
      <c r="AH132" s="139"/>
      <c r="AI132" s="139"/>
      <c r="AJ132" s="139"/>
      <c r="AK132" s="139"/>
      <c r="AL132" s="217">
        <f>AL45/AL123</f>
        <v>1.0292220886868673E-3</v>
      </c>
      <c r="AM132" s="139"/>
      <c r="AN132" s="139"/>
      <c r="AO132" s="139"/>
      <c r="AP132" s="139"/>
      <c r="AQ132" s="139"/>
      <c r="AR132" s="139"/>
      <c r="AS132" s="217">
        <f>AS45/AS123</f>
        <v>9.7583808703039735E-4</v>
      </c>
      <c r="AT132" s="139"/>
      <c r="AU132" s="139"/>
      <c r="AV132" s="139"/>
      <c r="AW132" s="139"/>
      <c r="AX132" s="139"/>
      <c r="AY132" s="139"/>
      <c r="AZ132" s="217">
        <f>AZ45/AZ123</f>
        <v>9.4267781978760689E-4</v>
      </c>
      <c r="BA132" s="139"/>
      <c r="BB132" s="139"/>
      <c r="BC132" s="139"/>
      <c r="BD132" s="139"/>
      <c r="BE132" s="139"/>
      <c r="BF132" s="139"/>
      <c r="BG132" s="217">
        <f>BG45/BG123</f>
        <v>9.3806323865730675E-4</v>
      </c>
      <c r="BH132" s="139"/>
      <c r="BI132" s="139"/>
      <c r="BJ132" s="139"/>
      <c r="BK132" s="139"/>
      <c r="BL132" s="139"/>
      <c r="BM132" s="139"/>
      <c r="BN132" s="217">
        <f>BN45/BN123</f>
        <v>9.3806323865730675E-4</v>
      </c>
      <c r="BO132" s="139"/>
      <c r="BP132" s="139"/>
      <c r="BQ132" s="139"/>
      <c r="BR132" s="139"/>
      <c r="BS132" s="139"/>
      <c r="BT132" s="139"/>
      <c r="BU132" s="217">
        <f>BU45/BU123</f>
        <v>9.3806323865730675E-4</v>
      </c>
      <c r="BV132" s="139"/>
      <c r="BW132" s="139"/>
      <c r="BX132" s="139"/>
      <c r="BY132" s="139"/>
      <c r="BZ132" s="139"/>
      <c r="CA132" s="139"/>
      <c r="CB132" s="217">
        <f>CB45/CB123</f>
        <v>9.3806323865730675E-4</v>
      </c>
      <c r="CC132" s="139"/>
      <c r="CD132" s="139"/>
      <c r="CE132" s="139"/>
      <c r="CF132" s="139"/>
      <c r="CG132" s="139"/>
      <c r="CH132" s="139"/>
      <c r="CI132" s="217">
        <f>CI45/CI123</f>
        <v>9.2920860826714775E-4</v>
      </c>
      <c r="CJ132" s="164" t="e">
        <f t="shared" ref="CJ132:CO132" si="43">CJ122/(CJ45+CJ70)</f>
        <v>#REF!</v>
      </c>
      <c r="CK132" s="164" t="e">
        <f t="shared" si="43"/>
        <v>#DIV/0!</v>
      </c>
      <c r="CL132" s="164" t="e">
        <f t="shared" si="43"/>
        <v>#DIV/0!</v>
      </c>
      <c r="CM132" s="164" t="e">
        <f t="shared" si="43"/>
        <v>#REF!</v>
      </c>
      <c r="CN132" s="164" t="e">
        <f t="shared" si="43"/>
        <v>#DIV/0!</v>
      </c>
      <c r="CO132" s="164" t="e">
        <f t="shared" si="43"/>
        <v>#DIV/0!</v>
      </c>
      <c r="CP132" s="164"/>
    </row>
    <row r="133" spans="2:94" x14ac:dyDescent="0.2">
      <c r="B133" s="105" t="s">
        <v>377</v>
      </c>
      <c r="D133" s="164"/>
      <c r="E133" s="164"/>
      <c r="F133" s="164"/>
      <c r="G133" s="164"/>
      <c r="H133" s="164"/>
      <c r="I133" s="164"/>
      <c r="J133" s="218">
        <f>J123/(J45+J70)</f>
        <v>994.20890765750062</v>
      </c>
      <c r="K133" s="164"/>
      <c r="L133" s="164"/>
      <c r="M133" s="164"/>
      <c r="N133" s="164"/>
      <c r="O133" s="164"/>
      <c r="P133" s="164"/>
      <c r="Q133" s="218" t="e">
        <f>Q123/(Q45+Q70)</f>
        <v>#DIV/0!</v>
      </c>
      <c r="R133" s="164"/>
      <c r="S133" s="164"/>
      <c r="T133" s="164"/>
      <c r="U133" s="164"/>
      <c r="V133" s="164"/>
      <c r="W133" s="164"/>
      <c r="X133" s="218">
        <f>X123/(X45+X70)</f>
        <v>785.77975684427156</v>
      </c>
      <c r="Y133" s="164"/>
      <c r="Z133" s="164"/>
      <c r="AA133" s="164"/>
      <c r="AB133" s="164"/>
      <c r="AC133" s="164"/>
      <c r="AD133" s="164"/>
      <c r="AE133" s="218">
        <f>AE123/(AE45+AE70)</f>
        <v>971.60759664209081</v>
      </c>
      <c r="AF133" s="164"/>
      <c r="AG133" s="164"/>
      <c r="AH133" s="164"/>
      <c r="AI133" s="164"/>
      <c r="AJ133" s="164"/>
      <c r="AK133" s="164"/>
      <c r="AL133" s="218">
        <f>AL123/(AL45+AL70)</f>
        <v>971.60759664209081</v>
      </c>
      <c r="AM133" s="164"/>
      <c r="AN133" s="164"/>
      <c r="AO133" s="164"/>
      <c r="AP133" s="164"/>
      <c r="AQ133" s="164"/>
      <c r="AR133" s="164"/>
      <c r="AS133" s="218">
        <f>AS123/(AS45+AS70)</f>
        <v>1024.7601659442607</v>
      </c>
      <c r="AT133" s="164"/>
      <c r="AU133" s="164"/>
      <c r="AV133" s="164"/>
      <c r="AW133" s="164"/>
      <c r="AX133" s="164"/>
      <c r="AY133" s="164"/>
      <c r="AZ133" s="218">
        <f>AZ123/(AZ45+AZ70)</f>
        <v>1060.8078168480808</v>
      </c>
      <c r="BA133" s="164"/>
      <c r="BB133" s="164"/>
      <c r="BC133" s="164"/>
      <c r="BD133" s="164"/>
      <c r="BE133" s="164"/>
      <c r="BF133" s="164"/>
      <c r="BG133" s="218">
        <f>BG123/(BG45+BG70)</f>
        <v>1066.0262110168032</v>
      </c>
      <c r="BH133" s="164"/>
      <c r="BI133" s="164"/>
      <c r="BJ133" s="164"/>
      <c r="BK133" s="164"/>
      <c r="BL133" s="164"/>
      <c r="BM133" s="164"/>
      <c r="BN133" s="218">
        <f>BN123/(BN45+BN70)</f>
        <v>1066.0262110168032</v>
      </c>
      <c r="BO133" s="164"/>
      <c r="BP133" s="164"/>
      <c r="BQ133" s="164"/>
      <c r="BR133" s="164"/>
      <c r="BS133" s="164"/>
      <c r="BT133" s="164"/>
      <c r="BU133" s="218">
        <f>BU123/(BU45+BU70)</f>
        <v>1066.0262110168032</v>
      </c>
      <c r="BV133" s="164"/>
      <c r="BW133" s="164"/>
      <c r="BX133" s="164"/>
      <c r="BY133" s="164"/>
      <c r="BZ133" s="164"/>
      <c r="CA133" s="164"/>
      <c r="CB133" s="218">
        <f>CB123/(CB45+CB70)</f>
        <v>1066.0262110168032</v>
      </c>
      <c r="CC133" s="164"/>
      <c r="CD133" s="164"/>
      <c r="CE133" s="164"/>
      <c r="CF133" s="164"/>
      <c r="CG133" s="164"/>
      <c r="CH133" s="164"/>
      <c r="CI133" s="218">
        <f>CI123/(CI45+CI70)</f>
        <v>1076.1846060217511</v>
      </c>
    </row>
    <row r="135" spans="2:94" ht="16" x14ac:dyDescent="0.2">
      <c r="B135" s="183" t="s">
        <v>378</v>
      </c>
      <c r="C135" s="220"/>
      <c r="CJ135" s="164" t="e">
        <f t="shared" ref="CJ135:CO135" si="44">CJ111/CJ6</f>
        <v>#REF!</v>
      </c>
      <c r="CK135" s="164" t="e">
        <f t="shared" si="44"/>
        <v>#REF!</v>
      </c>
      <c r="CL135" s="164" t="e">
        <f t="shared" si="44"/>
        <v>#REF!</v>
      </c>
      <c r="CM135" s="164" t="e">
        <f t="shared" si="44"/>
        <v>#REF!</v>
      </c>
      <c r="CN135" s="164" t="e">
        <f t="shared" si="44"/>
        <v>#REF!</v>
      </c>
      <c r="CO135" s="164" t="e">
        <f t="shared" si="44"/>
        <v>#REF!</v>
      </c>
      <c r="CP135" s="164"/>
    </row>
    <row r="136" spans="2:94" x14ac:dyDescent="0.2">
      <c r="B136" s="105" t="s">
        <v>379</v>
      </c>
      <c r="D136" s="164"/>
      <c r="E136" s="164"/>
      <c r="F136" s="164"/>
      <c r="G136" s="164"/>
      <c r="H136" s="164"/>
      <c r="I136" s="164"/>
      <c r="J136" s="164">
        <f>J112/J6</f>
        <v>0</v>
      </c>
      <c r="K136" s="164"/>
      <c r="L136" s="164"/>
      <c r="M136" s="164"/>
      <c r="N136" s="164"/>
      <c r="O136" s="164"/>
      <c r="P136" s="164"/>
      <c r="Q136" s="164">
        <f>Q112/Q6</f>
        <v>0</v>
      </c>
      <c r="R136" s="164"/>
      <c r="S136" s="164"/>
      <c r="T136" s="164"/>
      <c r="U136" s="164"/>
      <c r="V136" s="164"/>
      <c r="W136" s="164"/>
      <c r="X136" s="164">
        <f>X112/X6</f>
        <v>0</v>
      </c>
      <c r="Y136" s="164"/>
      <c r="Z136" s="164"/>
      <c r="AA136" s="164"/>
      <c r="AB136" s="164"/>
      <c r="AC136" s="164"/>
      <c r="AD136" s="164"/>
      <c r="AE136" s="164">
        <f>AE112/AE6</f>
        <v>0</v>
      </c>
      <c r="AF136" s="164"/>
      <c r="AG136" s="164"/>
      <c r="AH136" s="164"/>
      <c r="AI136" s="164"/>
      <c r="AJ136" s="164"/>
      <c r="AK136" s="164"/>
      <c r="AL136" s="164">
        <f>AL112/AL6</f>
        <v>0</v>
      </c>
      <c r="AM136" s="164"/>
      <c r="AN136" s="164"/>
      <c r="AO136" s="164"/>
      <c r="AP136" s="164"/>
      <c r="AQ136" s="164"/>
      <c r="AR136" s="164"/>
      <c r="AS136" s="164">
        <f>AS112/AS6</f>
        <v>0</v>
      </c>
      <c r="AT136" s="164"/>
      <c r="AU136" s="164"/>
      <c r="AV136" s="164"/>
      <c r="AW136" s="164"/>
      <c r="AX136" s="164"/>
      <c r="AY136" s="164"/>
      <c r="AZ136" s="164">
        <f>AZ112/AZ6</f>
        <v>0</v>
      </c>
      <c r="BA136" s="164"/>
      <c r="BB136" s="164"/>
      <c r="BC136" s="164"/>
      <c r="BD136" s="164"/>
      <c r="BE136" s="164"/>
      <c r="BF136" s="164"/>
      <c r="BG136" s="164">
        <f>BG112/BG6</f>
        <v>0</v>
      </c>
      <c r="BH136" s="164"/>
      <c r="BI136" s="164"/>
      <c r="BJ136" s="164"/>
      <c r="BK136" s="164"/>
      <c r="BL136" s="164"/>
      <c r="BM136" s="164"/>
      <c r="BN136" s="164">
        <f>BN112/BN6</f>
        <v>0</v>
      </c>
      <c r="BO136" s="164"/>
      <c r="BP136" s="164"/>
      <c r="BQ136" s="164"/>
      <c r="BR136" s="164"/>
      <c r="BS136" s="164"/>
      <c r="BT136" s="164"/>
      <c r="BU136" s="164">
        <f>BU112/BU6</f>
        <v>0</v>
      </c>
      <c r="BV136" s="164"/>
      <c r="BW136" s="164"/>
      <c r="BX136" s="164"/>
      <c r="BY136" s="164"/>
      <c r="BZ136" s="164"/>
      <c r="CA136" s="164"/>
      <c r="CB136" s="164">
        <f>CB112/CB6</f>
        <v>0</v>
      </c>
      <c r="CC136" s="164"/>
      <c r="CD136" s="164"/>
      <c r="CE136" s="164"/>
      <c r="CF136" s="164"/>
      <c r="CG136" s="164"/>
      <c r="CH136" s="164"/>
      <c r="CI136" s="164">
        <f>CI112/CI6</f>
        <v>0</v>
      </c>
      <c r="CJ136" s="174">
        <f t="shared" ref="CJ136:CO136" si="45">CJ6/CJ64</f>
        <v>1.3008840808213261E-2</v>
      </c>
      <c r="CK136" s="174">
        <f t="shared" si="45"/>
        <v>6.3325249801265866E-3</v>
      </c>
      <c r="CL136" s="174">
        <f t="shared" si="45"/>
        <v>1.2674472029024542E-2</v>
      </c>
      <c r="CM136" s="174">
        <f t="shared" si="45"/>
        <v>8.8085548684882758E-3</v>
      </c>
      <c r="CN136" s="174">
        <f t="shared" si="45"/>
        <v>7.9542871984675818E-3</v>
      </c>
      <c r="CO136" s="174">
        <f t="shared" si="45"/>
        <v>7.9600010327581829E-3</v>
      </c>
      <c r="CP136" s="174"/>
    </row>
    <row r="137" spans="2:94" x14ac:dyDescent="0.2">
      <c r="B137" s="105" t="s">
        <v>444</v>
      </c>
      <c r="D137" s="174"/>
      <c r="E137" s="174"/>
      <c r="F137" s="174"/>
      <c r="G137" s="174"/>
      <c r="H137" s="174"/>
      <c r="I137" s="174"/>
      <c r="J137" s="219">
        <f>J6/J64</f>
        <v>5.0338902324729359E-3</v>
      </c>
      <c r="K137" s="174"/>
      <c r="L137" s="174"/>
      <c r="M137" s="174"/>
      <c r="N137" s="174"/>
      <c r="O137" s="174"/>
      <c r="P137" s="174"/>
      <c r="Q137" s="219">
        <f>Q6/Q64</f>
        <v>5.0338902324729359E-3</v>
      </c>
      <c r="R137" s="174"/>
      <c r="S137" s="174"/>
      <c r="T137" s="174"/>
      <c r="U137" s="174"/>
      <c r="V137" s="174"/>
      <c r="W137" s="174"/>
      <c r="X137" s="219">
        <f>X6/X64</f>
        <v>5.0338902324729359E-3</v>
      </c>
      <c r="Y137" s="174"/>
      <c r="Z137" s="174"/>
      <c r="AA137" s="174"/>
      <c r="AB137" s="174"/>
      <c r="AC137" s="174"/>
      <c r="AD137" s="174"/>
      <c r="AE137" s="219">
        <f>AE6/AE64</f>
        <v>5.0338902324729359E-3</v>
      </c>
      <c r="AF137" s="174"/>
      <c r="AG137" s="174"/>
      <c r="AH137" s="174"/>
      <c r="AI137" s="174"/>
      <c r="AJ137" s="174"/>
      <c r="AK137" s="174"/>
      <c r="AL137" s="219">
        <f>AL6/AL64</f>
        <v>5.0338902324729359E-3</v>
      </c>
      <c r="AM137" s="174"/>
      <c r="AN137" s="174"/>
      <c r="AO137" s="174"/>
      <c r="AP137" s="174"/>
      <c r="AQ137" s="174"/>
      <c r="AR137" s="174"/>
      <c r="AS137" s="219">
        <f>AS6/AS64</f>
        <v>5.2765803136826401E-3</v>
      </c>
      <c r="AT137" s="174"/>
      <c r="AU137" s="174"/>
      <c r="AV137" s="174"/>
      <c r="AW137" s="174"/>
      <c r="AX137" s="174"/>
      <c r="AY137" s="174"/>
      <c r="AZ137" s="219">
        <f>AZ6/AZ64</f>
        <v>5.4411708017836546E-3</v>
      </c>
      <c r="BA137" s="174"/>
      <c r="BB137" s="174"/>
      <c r="BC137" s="174"/>
      <c r="BD137" s="174"/>
      <c r="BE137" s="174"/>
      <c r="BF137" s="174"/>
      <c r="BG137" s="219">
        <f>BG6/BG64</f>
        <v>5.4649975428277568E-3</v>
      </c>
      <c r="BH137" s="174"/>
      <c r="BI137" s="174"/>
      <c r="BJ137" s="174"/>
      <c r="BK137" s="174"/>
      <c r="BL137" s="174"/>
      <c r="BM137" s="174"/>
      <c r="BN137" s="219">
        <f>BN6/BN64</f>
        <v>5.4649975428277568E-3</v>
      </c>
      <c r="BO137" s="174"/>
      <c r="BP137" s="174"/>
      <c r="BQ137" s="174"/>
      <c r="BR137" s="174"/>
      <c r="BS137" s="174"/>
      <c r="BT137" s="174"/>
      <c r="BU137" s="219">
        <f>BU6/BU64</f>
        <v>5.4649975428277568E-3</v>
      </c>
      <c r="BV137" s="174"/>
      <c r="BW137" s="174"/>
      <c r="BX137" s="174"/>
      <c r="BY137" s="174"/>
      <c r="BZ137" s="174"/>
      <c r="CA137" s="174"/>
      <c r="CB137" s="219">
        <f>CB6/CB64</f>
        <v>5.4649975428277568E-3</v>
      </c>
      <c r="CC137" s="174"/>
      <c r="CD137" s="174"/>
      <c r="CE137" s="174"/>
      <c r="CF137" s="174"/>
      <c r="CG137" s="174"/>
      <c r="CH137" s="174"/>
      <c r="CI137" s="219">
        <f>CI6/CI64</f>
        <v>5.5113799047921547E-3</v>
      </c>
    </row>
    <row r="139" spans="2:94" ht="16" x14ac:dyDescent="0.2">
      <c r="B139" s="183" t="s">
        <v>380</v>
      </c>
      <c r="C139" s="220"/>
      <c r="CJ139" s="171" t="e">
        <f t="shared" ref="CJ139:CO139" si="46">CJ47/CJ46</f>
        <v>#DIV/0!</v>
      </c>
      <c r="CK139" s="171" t="e">
        <f t="shared" si="46"/>
        <v>#DIV/0!</v>
      </c>
      <c r="CL139" s="171" t="e">
        <f t="shared" si="46"/>
        <v>#DIV/0!</v>
      </c>
      <c r="CM139" s="171" t="e">
        <f t="shared" si="46"/>
        <v>#DIV/0!</v>
      </c>
      <c r="CN139" s="171" t="e">
        <f t="shared" si="46"/>
        <v>#DIV/0!</v>
      </c>
      <c r="CO139" s="171" t="e">
        <f t="shared" si="46"/>
        <v>#DIV/0!</v>
      </c>
      <c r="CP139" s="171"/>
    </row>
    <row r="140" spans="2:94" x14ac:dyDescent="0.2">
      <c r="B140" s="105" t="s">
        <v>381</v>
      </c>
      <c r="D140" s="171"/>
      <c r="E140" s="171"/>
      <c r="F140" s="171"/>
      <c r="G140" s="171"/>
      <c r="H140" s="171"/>
      <c r="I140" s="171"/>
      <c r="J140" s="171">
        <f>J47/J46</f>
        <v>0</v>
      </c>
      <c r="K140" s="171"/>
      <c r="L140" s="171"/>
      <c r="M140" s="171"/>
      <c r="N140" s="171"/>
      <c r="O140" s="171"/>
      <c r="P140" s="171"/>
      <c r="Q140" s="171">
        <f>Q47/Q46</f>
        <v>0</v>
      </c>
      <c r="R140" s="171"/>
      <c r="S140" s="171"/>
      <c r="T140" s="171"/>
      <c r="U140" s="171"/>
      <c r="V140" s="171"/>
      <c r="W140" s="171"/>
      <c r="X140" s="171">
        <f>X47/X46</f>
        <v>0</v>
      </c>
      <c r="Y140" s="171"/>
      <c r="Z140" s="171"/>
      <c r="AA140" s="171"/>
      <c r="AB140" s="171"/>
      <c r="AC140" s="171"/>
      <c r="AD140" s="171"/>
      <c r="AE140" s="171">
        <f>AE47/AE46</f>
        <v>0</v>
      </c>
      <c r="AF140" s="171"/>
      <c r="AG140" s="171"/>
      <c r="AH140" s="171"/>
      <c r="AI140" s="171"/>
      <c r="AJ140" s="171"/>
      <c r="AK140" s="171"/>
      <c r="AL140" s="171">
        <f>AL47/AL46</f>
        <v>0</v>
      </c>
      <c r="AM140" s="171"/>
      <c r="AN140" s="171"/>
      <c r="AO140" s="171"/>
      <c r="AP140" s="171"/>
      <c r="AQ140" s="171"/>
      <c r="AR140" s="171"/>
      <c r="AS140" s="171">
        <f>AS47/AS46</f>
        <v>0</v>
      </c>
      <c r="AT140" s="171"/>
      <c r="AU140" s="171"/>
      <c r="AV140" s="171"/>
      <c r="AW140" s="171"/>
      <c r="AX140" s="171"/>
      <c r="AY140" s="171"/>
      <c r="AZ140" s="171">
        <f>AZ47/AZ46</f>
        <v>0</v>
      </c>
      <c r="BA140" s="171"/>
      <c r="BB140" s="171"/>
      <c r="BC140" s="171"/>
      <c r="BD140" s="171"/>
      <c r="BE140" s="171"/>
      <c r="BF140" s="171"/>
      <c r="BG140" s="171">
        <f>BG47/BG46</f>
        <v>0</v>
      </c>
      <c r="BH140" s="171"/>
      <c r="BI140" s="171"/>
      <c r="BJ140" s="171"/>
      <c r="BK140" s="171"/>
      <c r="BL140" s="171"/>
      <c r="BM140" s="171"/>
      <c r="BN140" s="171">
        <f>BN47/BN46</f>
        <v>0.19758323575635839</v>
      </c>
      <c r="BO140" s="171"/>
      <c r="BP140" s="171"/>
      <c r="BQ140" s="171"/>
      <c r="BR140" s="171"/>
      <c r="BS140" s="171"/>
      <c r="BT140" s="171"/>
      <c r="BU140" s="171">
        <f>BU47/BU46</f>
        <v>0</v>
      </c>
      <c r="BV140" s="171"/>
      <c r="BW140" s="171"/>
      <c r="BX140" s="171"/>
      <c r="BY140" s="171"/>
      <c r="BZ140" s="171"/>
      <c r="CA140" s="171"/>
      <c r="CB140" s="171">
        <f>CB47/CB46</f>
        <v>0</v>
      </c>
      <c r="CC140" s="171"/>
      <c r="CD140" s="171"/>
      <c r="CE140" s="171"/>
      <c r="CF140" s="171"/>
      <c r="CG140" s="171"/>
      <c r="CH140" s="171"/>
      <c r="CI140" s="171">
        <f>CI47/CI46</f>
        <v>0</v>
      </c>
      <c r="CJ140" s="137" t="e">
        <f>#REF!*(1-CJ139)</f>
        <v>#REF!</v>
      </c>
      <c r="CK140" s="137" t="e">
        <f>CJ16*(1-CK139)</f>
        <v>#DIV/0!</v>
      </c>
      <c r="CL140" s="137" t="e">
        <f>CL16*(1-CL139)</f>
        <v>#DIV/0!</v>
      </c>
      <c r="CM140" s="137" t="e">
        <f>#REF!*(1-CM139)</f>
        <v>#REF!</v>
      </c>
      <c r="CN140" s="137" t="e">
        <f>CM16*(1-CN139)</f>
        <v>#DIV/0!</v>
      </c>
      <c r="CO140" s="137" t="e">
        <f>CO16*(1-CO139)</f>
        <v>#DIV/0!</v>
      </c>
      <c r="CP140" s="137"/>
    </row>
    <row r="141" spans="2:94" x14ac:dyDescent="0.2">
      <c r="B141" s="105" t="s">
        <v>382</v>
      </c>
      <c r="D141" s="137"/>
      <c r="E141" s="137"/>
      <c r="F141" s="137"/>
      <c r="G141" s="137"/>
      <c r="H141" s="137"/>
      <c r="I141" s="137"/>
      <c r="J141" s="137">
        <f>J16*(1-J140)</f>
        <v>8560258</v>
      </c>
      <c r="K141" s="137"/>
      <c r="L141" s="137"/>
      <c r="M141" s="137"/>
      <c r="N141" s="137"/>
      <c r="O141" s="137"/>
      <c r="P141" s="137"/>
      <c r="Q141" s="137">
        <f>Q16*(1-Q140)</f>
        <v>-2497897</v>
      </c>
      <c r="R141" s="137"/>
      <c r="S141" s="137"/>
      <c r="T141" s="137"/>
      <c r="U141" s="137"/>
      <c r="V141" s="137"/>
      <c r="W141" s="137"/>
      <c r="X141" s="137">
        <f>X16*(1-X140)</f>
        <v>6765658</v>
      </c>
      <c r="Y141" s="137"/>
      <c r="Z141" s="137"/>
      <c r="AA141" s="137"/>
      <c r="AB141" s="137"/>
      <c r="AC141" s="137"/>
      <c r="AD141" s="137"/>
      <c r="AE141" s="137">
        <f>AE16*(1-AE140)</f>
        <v>8365658</v>
      </c>
      <c r="AF141" s="137"/>
      <c r="AG141" s="137"/>
      <c r="AH141" s="137"/>
      <c r="AI141" s="137"/>
      <c r="AJ141" s="137"/>
      <c r="AK141" s="137"/>
      <c r="AL141" s="137">
        <f>AL16*(1-AL140)</f>
        <v>8365658</v>
      </c>
      <c r="AM141" s="137"/>
      <c r="AN141" s="137"/>
      <c r="AO141" s="137"/>
      <c r="AP141" s="137"/>
      <c r="AQ141" s="137"/>
      <c r="AR141" s="137"/>
      <c r="AS141" s="137">
        <f>AS16*(1-AS140)</f>
        <v>8823308</v>
      </c>
      <c r="AT141" s="137"/>
      <c r="AU141" s="137"/>
      <c r="AV141" s="137"/>
      <c r="AW141" s="137"/>
      <c r="AX141" s="137"/>
      <c r="AY141" s="137"/>
      <c r="AZ141" s="137">
        <f>AZ16*(1-AZ140)</f>
        <v>9133682.5999999996</v>
      </c>
      <c r="BA141" s="137"/>
      <c r="BB141" s="137"/>
      <c r="BC141" s="137"/>
      <c r="BD141" s="137"/>
      <c r="BE141" s="137"/>
      <c r="BF141" s="137"/>
      <c r="BG141" s="137">
        <f>BG16*(1-BG140)</f>
        <v>9178613.5999999996</v>
      </c>
      <c r="BH141" s="137"/>
      <c r="BI141" s="137"/>
      <c r="BJ141" s="137"/>
      <c r="BK141" s="137"/>
      <c r="BL141" s="137"/>
      <c r="BM141" s="137"/>
      <c r="BN141" s="137">
        <f>BN16*(1-BN140)</f>
        <v>7365073.4251546822</v>
      </c>
      <c r="BO141" s="137"/>
      <c r="BP141" s="137"/>
      <c r="BQ141" s="137"/>
      <c r="BR141" s="137"/>
      <c r="BS141" s="137"/>
      <c r="BT141" s="137"/>
      <c r="BU141" s="137">
        <f>BU16*(1-BU140)</f>
        <v>9178613.5999999996</v>
      </c>
      <c r="BV141" s="137"/>
      <c r="BW141" s="137"/>
      <c r="BX141" s="137"/>
      <c r="BY141" s="137"/>
      <c r="BZ141" s="137"/>
      <c r="CA141" s="137"/>
      <c r="CB141" s="137">
        <f>CB16*(1-CB140)</f>
        <v>9178613.5999999996</v>
      </c>
      <c r="CC141" s="137"/>
      <c r="CD141" s="137"/>
      <c r="CE141" s="137"/>
      <c r="CF141" s="137"/>
      <c r="CG141" s="137"/>
      <c r="CH141" s="137"/>
      <c r="CI141" s="137">
        <f>CI16*(1-CI140)</f>
        <v>9266078.5999999996</v>
      </c>
      <c r="CJ141" s="137" t="e">
        <f t="shared" ref="CJ141:CO141" si="47">CJ111+CJ64</f>
        <v>#REF!</v>
      </c>
      <c r="CK141" s="137" t="e">
        <f t="shared" si="47"/>
        <v>#REF!</v>
      </c>
      <c r="CL141" s="137" t="e">
        <f t="shared" si="47"/>
        <v>#REF!</v>
      </c>
      <c r="CM141" s="137" t="e">
        <f t="shared" si="47"/>
        <v>#REF!</v>
      </c>
      <c r="CN141" s="137" t="e">
        <f t="shared" si="47"/>
        <v>#REF!</v>
      </c>
      <c r="CO141" s="137" t="e">
        <f t="shared" si="47"/>
        <v>#REF!</v>
      </c>
      <c r="CP141" s="137"/>
    </row>
    <row r="142" spans="2:94" x14ac:dyDescent="0.2">
      <c r="B142" s="105" t="s">
        <v>383</v>
      </c>
      <c r="D142" s="137"/>
      <c r="E142" s="137"/>
      <c r="F142" s="137"/>
      <c r="G142" s="137"/>
      <c r="H142" s="137"/>
      <c r="I142" s="137"/>
      <c r="J142" s="137">
        <f>J112+J64</f>
        <v>1885738377.5999999</v>
      </c>
      <c r="K142" s="137"/>
      <c r="L142" s="137"/>
      <c r="M142" s="137"/>
      <c r="N142" s="137"/>
      <c r="O142" s="137"/>
      <c r="P142" s="137"/>
      <c r="Q142" s="137">
        <f>Q112+Q64</f>
        <v>1885738377.5999999</v>
      </c>
      <c r="R142" s="137"/>
      <c r="S142" s="137"/>
      <c r="T142" s="137"/>
      <c r="U142" s="137"/>
      <c r="V142" s="137"/>
      <c r="W142" s="137"/>
      <c r="X142" s="137">
        <f>X112+X64</f>
        <v>1885738377.5999999</v>
      </c>
      <c r="Y142" s="137"/>
      <c r="Z142" s="137"/>
      <c r="AA142" s="137"/>
      <c r="AB142" s="137"/>
      <c r="AC142" s="137"/>
      <c r="AD142" s="137"/>
      <c r="AE142" s="137">
        <f>AE112+AE64</f>
        <v>1885738377.5999999</v>
      </c>
      <c r="AF142" s="137"/>
      <c r="AG142" s="137"/>
      <c r="AH142" s="137"/>
      <c r="AI142" s="137"/>
      <c r="AJ142" s="137"/>
      <c r="AK142" s="137"/>
      <c r="AL142" s="137">
        <f>AL112+AL64</f>
        <v>1885738377.5999999</v>
      </c>
      <c r="AM142" s="137"/>
      <c r="AN142" s="137"/>
      <c r="AO142" s="137"/>
      <c r="AP142" s="137"/>
      <c r="AQ142" s="137"/>
      <c r="AR142" s="137"/>
      <c r="AS142" s="137">
        <f>AS112+AS64</f>
        <v>1885738377.5999999</v>
      </c>
      <c r="AT142" s="137"/>
      <c r="AU142" s="137"/>
      <c r="AV142" s="137"/>
      <c r="AW142" s="137"/>
      <c r="AX142" s="137"/>
      <c r="AY142" s="137"/>
      <c r="AZ142" s="137">
        <f>AZ112+AZ64</f>
        <v>1885738377.5999999</v>
      </c>
      <c r="BA142" s="137"/>
      <c r="BB142" s="137"/>
      <c r="BC142" s="137"/>
      <c r="BD142" s="137"/>
      <c r="BE142" s="137"/>
      <c r="BF142" s="137"/>
      <c r="BG142" s="137">
        <f>BG112+BG64</f>
        <v>1885738377.5999999</v>
      </c>
      <c r="BH142" s="137"/>
      <c r="BI142" s="137"/>
      <c r="BJ142" s="137"/>
      <c r="BK142" s="137"/>
      <c r="BL142" s="137"/>
      <c r="BM142" s="137"/>
      <c r="BN142" s="137">
        <f>BN112+BN64</f>
        <v>1885738377.5999999</v>
      </c>
      <c r="BO142" s="137"/>
      <c r="BP142" s="137"/>
      <c r="BQ142" s="137"/>
      <c r="BR142" s="137"/>
      <c r="BS142" s="137"/>
      <c r="BT142" s="137"/>
      <c r="BU142" s="137">
        <f>BU112+BU64</f>
        <v>1885738377.5999999</v>
      </c>
      <c r="BV142" s="137"/>
      <c r="BW142" s="137"/>
      <c r="BX142" s="137"/>
      <c r="BY142" s="137"/>
      <c r="BZ142" s="137"/>
      <c r="CA142" s="137"/>
      <c r="CB142" s="137">
        <f>CB112+CB64</f>
        <v>1885738377.5999999</v>
      </c>
      <c r="CC142" s="137"/>
      <c r="CD142" s="137"/>
      <c r="CE142" s="137"/>
      <c r="CF142" s="137"/>
      <c r="CG142" s="137"/>
      <c r="CH142" s="137"/>
      <c r="CI142" s="137">
        <f>CI112+CI64</f>
        <v>1885738377.5999999</v>
      </c>
      <c r="CJ142" s="166" t="e">
        <f t="shared" ref="CJ142:CO142" si="48">CJ140/CJ141</f>
        <v>#REF!</v>
      </c>
      <c r="CK142" s="166" t="e">
        <f t="shared" si="48"/>
        <v>#DIV/0!</v>
      </c>
      <c r="CL142" s="166" t="e">
        <f t="shared" si="48"/>
        <v>#DIV/0!</v>
      </c>
      <c r="CM142" s="166" t="e">
        <f t="shared" si="48"/>
        <v>#REF!</v>
      </c>
      <c r="CN142" s="166" t="e">
        <f t="shared" si="48"/>
        <v>#DIV/0!</v>
      </c>
      <c r="CO142" s="166" t="e">
        <f t="shared" si="48"/>
        <v>#DIV/0!</v>
      </c>
      <c r="CP142" s="166"/>
    </row>
    <row r="143" spans="2:94" x14ac:dyDescent="0.2">
      <c r="B143" s="105" t="s">
        <v>384</v>
      </c>
      <c r="D143" s="166"/>
      <c r="E143" s="166"/>
      <c r="F143" s="166"/>
      <c r="G143" s="166"/>
      <c r="H143" s="166"/>
      <c r="I143" s="166"/>
      <c r="J143" s="139">
        <f>J141/J142</f>
        <v>4.5394727612717602E-3</v>
      </c>
      <c r="K143" s="166"/>
      <c r="L143" s="166"/>
      <c r="M143" s="166"/>
      <c r="N143" s="166"/>
      <c r="O143" s="166"/>
      <c r="P143" s="166"/>
      <c r="Q143" s="139">
        <f>Q141/Q142</f>
        <v>-1.3246254250704179E-3</v>
      </c>
      <c r="R143" s="166"/>
      <c r="S143" s="166"/>
      <c r="T143" s="166"/>
      <c r="U143" s="166"/>
      <c r="V143" s="166"/>
      <c r="W143" s="166"/>
      <c r="X143" s="139">
        <f>X141/X142</f>
        <v>3.5878031016215134E-3</v>
      </c>
      <c r="Y143" s="166"/>
      <c r="Z143" s="166"/>
      <c r="AA143" s="166"/>
      <c r="AB143" s="166"/>
      <c r="AC143" s="166"/>
      <c r="AD143" s="166"/>
      <c r="AE143" s="139">
        <f>AE141/AE142</f>
        <v>4.4362771100024305E-3</v>
      </c>
      <c r="AF143" s="166"/>
      <c r="AG143" s="166"/>
      <c r="AH143" s="166"/>
      <c r="AI143" s="166"/>
      <c r="AJ143" s="166"/>
      <c r="AK143" s="166"/>
      <c r="AL143" s="139">
        <f>AL141/AL142</f>
        <v>4.4362771100024305E-3</v>
      </c>
      <c r="AM143" s="166"/>
      <c r="AN143" s="166"/>
      <c r="AO143" s="166"/>
      <c r="AP143" s="166"/>
      <c r="AQ143" s="166"/>
      <c r="AR143" s="166"/>
      <c r="AS143" s="139">
        <f>AS141/AS142</f>
        <v>4.6789671912121347E-3</v>
      </c>
      <c r="AT143" s="166"/>
      <c r="AU143" s="166"/>
      <c r="AV143" s="166"/>
      <c r="AW143" s="166"/>
      <c r="AX143" s="166"/>
      <c r="AY143" s="166"/>
      <c r="AZ143" s="139">
        <f>AZ141/AZ142</f>
        <v>4.8435576793131501E-3</v>
      </c>
      <c r="BA143" s="166"/>
      <c r="BB143" s="166"/>
      <c r="BC143" s="166"/>
      <c r="BD143" s="166"/>
      <c r="BE143" s="166"/>
      <c r="BF143" s="166"/>
      <c r="BG143" s="139">
        <f>BG141/BG142</f>
        <v>4.8673844203572514E-3</v>
      </c>
      <c r="BH143" s="166"/>
      <c r="BI143" s="166"/>
      <c r="BJ143" s="166"/>
      <c r="BK143" s="166"/>
      <c r="BL143" s="166"/>
      <c r="BM143" s="166"/>
      <c r="BN143" s="139">
        <f>BN141/BN142</f>
        <v>3.9056708569129789E-3</v>
      </c>
      <c r="BO143" s="166"/>
      <c r="BP143" s="166"/>
      <c r="BQ143" s="166"/>
      <c r="BR143" s="166"/>
      <c r="BS143" s="166"/>
      <c r="BT143" s="166"/>
      <c r="BU143" s="139">
        <f>BU141/BU142</f>
        <v>4.8673844203572514E-3</v>
      </c>
      <c r="BV143" s="166"/>
      <c r="BW143" s="166"/>
      <c r="BX143" s="166"/>
      <c r="BY143" s="166"/>
      <c r="BZ143" s="166"/>
      <c r="CA143" s="166"/>
      <c r="CB143" s="139">
        <f>CB141/CB142</f>
        <v>4.8673844203572514E-3</v>
      </c>
      <c r="CC143" s="166"/>
      <c r="CD143" s="166"/>
      <c r="CE143" s="166"/>
      <c r="CF143" s="166"/>
      <c r="CG143" s="166"/>
      <c r="CH143" s="166"/>
      <c r="CI143" s="139">
        <f>CI141/CI142</f>
        <v>4.9137667823216501E-3</v>
      </c>
      <c r="CJ143" s="137">
        <f t="shared" ref="CJ143:CO143" si="49">CJ73+CJ70</f>
        <v>0</v>
      </c>
      <c r="CK143" s="137">
        <f t="shared" si="49"/>
        <v>0</v>
      </c>
      <c r="CL143" s="137">
        <f t="shared" si="49"/>
        <v>0</v>
      </c>
      <c r="CM143" s="137">
        <f t="shared" si="49"/>
        <v>0</v>
      </c>
      <c r="CN143" s="137">
        <f t="shared" si="49"/>
        <v>0</v>
      </c>
      <c r="CO143" s="137">
        <f t="shared" si="49"/>
        <v>0</v>
      </c>
      <c r="CP143" s="137"/>
    </row>
    <row r="144" spans="2:94" x14ac:dyDescent="0.2">
      <c r="B144" s="105" t="s">
        <v>385</v>
      </c>
      <c r="D144" s="137"/>
      <c r="E144" s="137"/>
      <c r="F144" s="137"/>
      <c r="G144" s="137"/>
      <c r="H144" s="137"/>
      <c r="I144" s="137"/>
      <c r="J144" s="137">
        <f>J73+J70</f>
        <v>104971798.32999998</v>
      </c>
      <c r="K144" s="137"/>
      <c r="L144" s="137"/>
      <c r="M144" s="137"/>
      <c r="N144" s="137"/>
      <c r="O144" s="137"/>
      <c r="P144" s="137"/>
      <c r="Q144" s="137">
        <f>Q73+Q70</f>
        <v>104971798.32999998</v>
      </c>
      <c r="R144" s="137"/>
      <c r="S144" s="137"/>
      <c r="T144" s="137"/>
      <c r="U144" s="137"/>
      <c r="V144" s="137"/>
      <c r="W144" s="137"/>
      <c r="X144" s="137">
        <f>X73+X70</f>
        <v>104971798.32999998</v>
      </c>
      <c r="Y144" s="137"/>
      <c r="Z144" s="137"/>
      <c r="AA144" s="137"/>
      <c r="AB144" s="137"/>
      <c r="AC144" s="137"/>
      <c r="AD144" s="137"/>
      <c r="AE144" s="137">
        <f>AE73+AE70</f>
        <v>104971798.32999998</v>
      </c>
      <c r="AF144" s="137"/>
      <c r="AG144" s="137"/>
      <c r="AH144" s="137"/>
      <c r="AI144" s="137"/>
      <c r="AJ144" s="137"/>
      <c r="AK144" s="137"/>
      <c r="AL144" s="137">
        <f>AL73+AL70</f>
        <v>104971798.32999998</v>
      </c>
      <c r="AM144" s="137"/>
      <c r="AN144" s="137"/>
      <c r="AO144" s="137"/>
      <c r="AP144" s="137"/>
      <c r="AQ144" s="137"/>
      <c r="AR144" s="137"/>
      <c r="AS144" s="137">
        <f>AS73+AS70</f>
        <v>104971798.32999998</v>
      </c>
      <c r="AT144" s="137"/>
      <c r="AU144" s="137"/>
      <c r="AV144" s="137"/>
      <c r="AW144" s="137"/>
      <c r="AX144" s="137"/>
      <c r="AY144" s="137"/>
      <c r="AZ144" s="137">
        <f>AZ73+AZ70</f>
        <v>104971798.32999998</v>
      </c>
      <c r="BA144" s="137"/>
      <c r="BB144" s="137"/>
      <c r="BC144" s="137"/>
      <c r="BD144" s="137"/>
      <c r="BE144" s="137"/>
      <c r="BF144" s="137"/>
      <c r="BG144" s="137">
        <f>BG73+BG70</f>
        <v>104971798.32999998</v>
      </c>
      <c r="BH144" s="137"/>
      <c r="BI144" s="137"/>
      <c r="BJ144" s="137"/>
      <c r="BK144" s="137"/>
      <c r="BL144" s="137"/>
      <c r="BM144" s="137"/>
      <c r="BN144" s="137">
        <f>BN73+BN70</f>
        <v>104971798.32999998</v>
      </c>
      <c r="BO144" s="137"/>
      <c r="BP144" s="137"/>
      <c r="BQ144" s="137"/>
      <c r="BR144" s="137"/>
      <c r="BS144" s="137"/>
      <c r="BT144" s="137"/>
      <c r="BU144" s="137">
        <f>BU73+BU70</f>
        <v>104971798.32999998</v>
      </c>
      <c r="BV144" s="137"/>
      <c r="BW144" s="137"/>
      <c r="BX144" s="137"/>
      <c r="BY144" s="137"/>
      <c r="BZ144" s="137"/>
      <c r="CA144" s="137"/>
      <c r="CB144" s="137">
        <f>CB73+CB70</f>
        <v>104971798.32999998</v>
      </c>
      <c r="CC144" s="137"/>
      <c r="CD144" s="137"/>
      <c r="CE144" s="137"/>
      <c r="CF144" s="137"/>
      <c r="CG144" s="137"/>
      <c r="CH144" s="137"/>
      <c r="CI144" s="137">
        <f>CI73+CI70</f>
        <v>104971798.32999998</v>
      </c>
      <c r="CJ144" s="137">
        <f t="shared" ref="CJ144:CO144" si="50">CJ81</f>
        <v>0</v>
      </c>
      <c r="CK144" s="137">
        <f t="shared" si="50"/>
        <v>0</v>
      </c>
      <c r="CL144" s="137">
        <f t="shared" si="50"/>
        <v>0</v>
      </c>
      <c r="CM144" s="137">
        <f t="shared" si="50"/>
        <v>0</v>
      </c>
      <c r="CN144" s="137">
        <f t="shared" si="50"/>
        <v>0</v>
      </c>
      <c r="CO144" s="137">
        <f t="shared" si="50"/>
        <v>0</v>
      </c>
      <c r="CP144" s="137"/>
    </row>
    <row r="145" spans="2:94" x14ac:dyDescent="0.2">
      <c r="B145" s="105" t="s">
        <v>386</v>
      </c>
      <c r="D145" s="137"/>
      <c r="E145" s="137"/>
      <c r="F145" s="137"/>
      <c r="G145" s="137"/>
      <c r="H145" s="137"/>
      <c r="I145" s="137"/>
      <c r="J145" s="137">
        <f>J81</f>
        <v>1851157342.75</v>
      </c>
      <c r="K145" s="137"/>
      <c r="L145" s="137"/>
      <c r="M145" s="137"/>
      <c r="N145" s="137"/>
      <c r="O145" s="137"/>
      <c r="P145" s="137"/>
      <c r="Q145" s="137">
        <f>Q81</f>
        <v>1845993660.4000001</v>
      </c>
      <c r="R145" s="137"/>
      <c r="S145" s="137"/>
      <c r="T145" s="137"/>
      <c r="U145" s="137"/>
      <c r="V145" s="137"/>
      <c r="W145" s="137"/>
      <c r="X145" s="137">
        <f>X81</f>
        <v>1849072462.9299998</v>
      </c>
      <c r="Y145" s="137"/>
      <c r="Z145" s="137"/>
      <c r="AA145" s="137"/>
      <c r="AB145" s="137"/>
      <c r="AC145" s="137"/>
      <c r="AD145" s="137"/>
      <c r="AE145" s="137">
        <f>AE81</f>
        <v>1854570265.4599998</v>
      </c>
      <c r="AF145" s="137"/>
      <c r="AG145" s="137"/>
      <c r="AH145" s="137"/>
      <c r="AI145" s="137"/>
      <c r="AJ145" s="137"/>
      <c r="AK145" s="137"/>
      <c r="AL145" s="137">
        <f>AL81</f>
        <v>1859644167.9899998</v>
      </c>
      <c r="AM145" s="137"/>
      <c r="AN145" s="137"/>
      <c r="AO145" s="137"/>
      <c r="AP145" s="137"/>
      <c r="AQ145" s="137"/>
      <c r="AR145" s="137"/>
      <c r="AS145" s="137">
        <f>AS81</f>
        <v>1864980620.52</v>
      </c>
      <c r="AT145" s="137"/>
      <c r="AU145" s="137"/>
      <c r="AV145" s="137"/>
      <c r="AW145" s="137"/>
      <c r="AX145" s="137"/>
      <c r="AY145" s="137"/>
      <c r="AZ145" s="137">
        <f>AZ81</f>
        <v>1869839747.6500001</v>
      </c>
      <c r="BA145" s="137"/>
      <c r="BB145" s="137"/>
      <c r="BC145" s="137"/>
      <c r="BD145" s="137"/>
      <c r="BE145" s="137"/>
      <c r="BF145" s="137"/>
      <c r="BG145" s="137">
        <f>BG81</f>
        <v>1876443805.78</v>
      </c>
      <c r="BH145" s="137"/>
      <c r="BI145" s="137"/>
      <c r="BJ145" s="137"/>
      <c r="BK145" s="137"/>
      <c r="BL145" s="137"/>
      <c r="BM145" s="137"/>
      <c r="BN145" s="137">
        <f>BN81</f>
        <v>1880504963.9100001</v>
      </c>
      <c r="BO145" s="137"/>
      <c r="BP145" s="137"/>
      <c r="BQ145" s="137"/>
      <c r="BR145" s="137"/>
      <c r="BS145" s="137"/>
      <c r="BT145" s="137"/>
      <c r="BU145" s="137">
        <f>BU81</f>
        <v>1883659022.04</v>
      </c>
      <c r="BV145" s="137"/>
      <c r="BW145" s="137"/>
      <c r="BX145" s="137"/>
      <c r="BY145" s="137"/>
      <c r="BZ145" s="137"/>
      <c r="CA145" s="137"/>
      <c r="CB145" s="137">
        <f>CB81</f>
        <v>1890263080.1700001</v>
      </c>
      <c r="CC145" s="137"/>
      <c r="CD145" s="137"/>
      <c r="CE145" s="137"/>
      <c r="CF145" s="137"/>
      <c r="CG145" s="137"/>
      <c r="CH145" s="137"/>
      <c r="CI145" s="137">
        <f>CI81</f>
        <v>1896085603.3</v>
      </c>
      <c r="CJ145" s="139" t="e">
        <f t="shared" ref="CJ145:CO145" si="51">CJ143/(CJ143+CJ144)</f>
        <v>#DIV/0!</v>
      </c>
      <c r="CK145" s="139" t="e">
        <f t="shared" si="51"/>
        <v>#DIV/0!</v>
      </c>
      <c r="CL145" s="139" t="e">
        <f t="shared" si="51"/>
        <v>#DIV/0!</v>
      </c>
      <c r="CM145" s="139" t="e">
        <f t="shared" si="51"/>
        <v>#DIV/0!</v>
      </c>
      <c r="CN145" s="139" t="e">
        <f t="shared" si="51"/>
        <v>#DIV/0!</v>
      </c>
      <c r="CO145" s="139" t="e">
        <f t="shared" si="51"/>
        <v>#DIV/0!</v>
      </c>
      <c r="CP145" s="139"/>
    </row>
    <row r="146" spans="2:94" x14ac:dyDescent="0.2">
      <c r="B146" s="105" t="s">
        <v>387</v>
      </c>
      <c r="D146" s="139"/>
      <c r="E146" s="139"/>
      <c r="F146" s="139"/>
      <c r="G146" s="139"/>
      <c r="H146" s="139"/>
      <c r="I146" s="139"/>
      <c r="J146" s="139">
        <f>J144/(J144+J145)</f>
        <v>5.3663020567263735E-2</v>
      </c>
      <c r="K146" s="139"/>
      <c r="L146" s="139"/>
      <c r="M146" s="139"/>
      <c r="N146" s="139"/>
      <c r="O146" s="139"/>
      <c r="P146" s="139"/>
      <c r="Q146" s="139">
        <f>Q144/(Q144+Q145)</f>
        <v>5.3805052191099476E-2</v>
      </c>
      <c r="R146" s="139"/>
      <c r="S146" s="139"/>
      <c r="T146" s="139"/>
      <c r="U146" s="139"/>
      <c r="V146" s="139"/>
      <c r="W146" s="139"/>
      <c r="X146" s="139">
        <f>X144/(X144+X145)</f>
        <v>5.3720276664722247E-2</v>
      </c>
      <c r="Y146" s="139"/>
      <c r="Z146" s="139"/>
      <c r="AA146" s="139"/>
      <c r="AB146" s="139"/>
      <c r="AC146" s="139"/>
      <c r="AD146" s="139"/>
      <c r="AE146" s="139">
        <f>AE144/(AE144+AE145)</f>
        <v>5.3569556004820523E-2</v>
      </c>
      <c r="AF146" s="139"/>
      <c r="AG146" s="139"/>
      <c r="AH146" s="139"/>
      <c r="AI146" s="139"/>
      <c r="AJ146" s="139"/>
      <c r="AK146" s="139"/>
      <c r="AL146" s="139">
        <f>AL144/(AL144+AL145)</f>
        <v>5.3431204942626438E-2</v>
      </c>
      <c r="AM146" s="139"/>
      <c r="AN146" s="139"/>
      <c r="AO146" s="139"/>
      <c r="AP146" s="139"/>
      <c r="AQ146" s="139"/>
      <c r="AR146" s="139"/>
      <c r="AS146" s="139">
        <f>AS144/(AS144+AS145)</f>
        <v>5.3286463838187227E-2</v>
      </c>
      <c r="AT146" s="139"/>
      <c r="AU146" s="139"/>
      <c r="AV146" s="139"/>
      <c r="AW146" s="139"/>
      <c r="AX146" s="139"/>
      <c r="AY146" s="139"/>
      <c r="AZ146" s="139">
        <f>AZ144/(AZ144+AZ145)</f>
        <v>5.3155349705993206E-2</v>
      </c>
      <c r="BA146" s="139"/>
      <c r="BB146" s="139"/>
      <c r="BC146" s="139"/>
      <c r="BD146" s="139"/>
      <c r="BE146" s="139"/>
      <c r="BF146" s="139"/>
      <c r="BG146" s="139">
        <f>BG144/(BG144+BG145)</f>
        <v>5.2978182927529011E-2</v>
      </c>
      <c r="BH146" s="139"/>
      <c r="BI146" s="139"/>
      <c r="BJ146" s="139"/>
      <c r="BK146" s="139"/>
      <c r="BL146" s="139"/>
      <c r="BM146" s="139"/>
      <c r="BN146" s="139">
        <f>BN144/(BN144+BN145)</f>
        <v>5.2869819645520094E-2</v>
      </c>
      <c r="BO146" s="139"/>
      <c r="BP146" s="139"/>
      <c r="BQ146" s="139"/>
      <c r="BR146" s="139"/>
      <c r="BS146" s="139"/>
      <c r="BT146" s="139"/>
      <c r="BU146" s="139">
        <f>BU144/(BU144+BU145)</f>
        <v>5.2785965728153195E-2</v>
      </c>
      <c r="BV146" s="139"/>
      <c r="BW146" s="139"/>
      <c r="BX146" s="139"/>
      <c r="BY146" s="139"/>
      <c r="BZ146" s="139"/>
      <c r="CA146" s="139"/>
      <c r="CB146" s="139">
        <f>CB144/(CB144+CB145)</f>
        <v>5.2611248661068345E-2</v>
      </c>
      <c r="CC146" s="139"/>
      <c r="CD146" s="139"/>
      <c r="CE146" s="139"/>
      <c r="CF146" s="139"/>
      <c r="CG146" s="139"/>
      <c r="CH146" s="139"/>
      <c r="CI146" s="139">
        <f>CI144/(CI144+CI145)</f>
        <v>5.2458164490680366E-2</v>
      </c>
      <c r="CJ146" s="139" t="e">
        <f t="shared" ref="CJ146:CO146" si="52">CJ144/(CJ143+CJ144)</f>
        <v>#DIV/0!</v>
      </c>
      <c r="CK146" s="139" t="e">
        <f t="shared" si="52"/>
        <v>#DIV/0!</v>
      </c>
      <c r="CL146" s="139" t="e">
        <f t="shared" si="52"/>
        <v>#DIV/0!</v>
      </c>
      <c r="CM146" s="139" t="e">
        <f t="shared" si="52"/>
        <v>#DIV/0!</v>
      </c>
      <c r="CN146" s="139" t="e">
        <f t="shared" si="52"/>
        <v>#DIV/0!</v>
      </c>
      <c r="CO146" s="139" t="e">
        <f t="shared" si="52"/>
        <v>#DIV/0!</v>
      </c>
      <c r="CP146" s="139"/>
    </row>
    <row r="147" spans="2:94" x14ac:dyDescent="0.2">
      <c r="B147" s="105" t="s">
        <v>388</v>
      </c>
      <c r="D147" s="139"/>
      <c r="E147" s="139"/>
      <c r="F147" s="139"/>
      <c r="G147" s="139"/>
      <c r="H147" s="139"/>
      <c r="I147" s="139"/>
      <c r="J147" s="139">
        <f>J145/(J144+J145)</f>
        <v>0.94633697943273631</v>
      </c>
      <c r="K147" s="139"/>
      <c r="L147" s="139"/>
      <c r="M147" s="139"/>
      <c r="N147" s="139"/>
      <c r="O147" s="139"/>
      <c r="P147" s="139"/>
      <c r="Q147" s="139">
        <f>Q145/(Q144+Q145)</f>
        <v>0.94619494780890057</v>
      </c>
      <c r="R147" s="139"/>
      <c r="S147" s="139"/>
      <c r="T147" s="139"/>
      <c r="U147" s="139"/>
      <c r="V147" s="139"/>
      <c r="W147" s="139"/>
      <c r="X147" s="139">
        <f>X145/(X144+X145)</f>
        <v>0.94627972333527777</v>
      </c>
      <c r="Y147" s="139"/>
      <c r="Z147" s="139"/>
      <c r="AA147" s="139"/>
      <c r="AB147" s="139"/>
      <c r="AC147" s="139"/>
      <c r="AD147" s="139"/>
      <c r="AE147" s="139">
        <f>AE145/(AE144+AE145)</f>
        <v>0.9464304439951795</v>
      </c>
      <c r="AF147" s="139"/>
      <c r="AG147" s="139"/>
      <c r="AH147" s="139"/>
      <c r="AI147" s="139"/>
      <c r="AJ147" s="139"/>
      <c r="AK147" s="139"/>
      <c r="AL147" s="139">
        <f>AL145/(AL144+AL145)</f>
        <v>0.94656879505737357</v>
      </c>
      <c r="AM147" s="139"/>
      <c r="AN147" s="139"/>
      <c r="AO147" s="139"/>
      <c r="AP147" s="139"/>
      <c r="AQ147" s="139"/>
      <c r="AR147" s="139"/>
      <c r="AS147" s="139">
        <f>AS145/(AS144+AS145)</f>
        <v>0.94671353616181275</v>
      </c>
      <c r="AT147" s="139"/>
      <c r="AU147" s="139"/>
      <c r="AV147" s="139"/>
      <c r="AW147" s="139"/>
      <c r="AX147" s="139"/>
      <c r="AY147" s="139"/>
      <c r="AZ147" s="139">
        <f>AZ145/(AZ144+AZ145)</f>
        <v>0.94684465029400677</v>
      </c>
      <c r="BA147" s="139"/>
      <c r="BB147" s="139"/>
      <c r="BC147" s="139"/>
      <c r="BD147" s="139"/>
      <c r="BE147" s="139"/>
      <c r="BF147" s="139"/>
      <c r="BG147" s="139">
        <f>BG145/(BG144+BG145)</f>
        <v>0.94702181707247102</v>
      </c>
      <c r="BH147" s="139"/>
      <c r="BI147" s="139"/>
      <c r="BJ147" s="139"/>
      <c r="BK147" s="139"/>
      <c r="BL147" s="139"/>
      <c r="BM147" s="139"/>
      <c r="BN147" s="139">
        <f>BN145/(BN144+BN145)</f>
        <v>0.94713018035447993</v>
      </c>
      <c r="BO147" s="139"/>
      <c r="BP147" s="139"/>
      <c r="BQ147" s="139"/>
      <c r="BR147" s="139"/>
      <c r="BS147" s="139"/>
      <c r="BT147" s="139"/>
      <c r="BU147" s="139">
        <f>BU145/(BU144+BU145)</f>
        <v>0.94721403427184681</v>
      </c>
      <c r="BV147" s="139"/>
      <c r="BW147" s="139"/>
      <c r="BX147" s="139"/>
      <c r="BY147" s="139"/>
      <c r="BZ147" s="139"/>
      <c r="CA147" s="139"/>
      <c r="CB147" s="139">
        <f>CB145/(CB144+CB145)</f>
        <v>0.94738875133893163</v>
      </c>
      <c r="CC147" s="139"/>
      <c r="CD147" s="139"/>
      <c r="CE147" s="139"/>
      <c r="CF147" s="139"/>
      <c r="CG147" s="139"/>
      <c r="CH147" s="139"/>
      <c r="CI147" s="139">
        <f>CI145/(CI144+CI145)</f>
        <v>0.9475418355093197</v>
      </c>
      <c r="CJ147" s="139" t="e">
        <f t="shared" ref="CJ147:CO147" si="53">CJ45/CJ143</f>
        <v>#DIV/0!</v>
      </c>
      <c r="CK147" s="139" t="e">
        <f t="shared" si="53"/>
        <v>#DIV/0!</v>
      </c>
      <c r="CL147" s="139" t="e">
        <f t="shared" si="53"/>
        <v>#DIV/0!</v>
      </c>
      <c r="CM147" s="139" t="e">
        <f t="shared" si="53"/>
        <v>#DIV/0!</v>
      </c>
      <c r="CN147" s="139" t="e">
        <f t="shared" si="53"/>
        <v>#DIV/0!</v>
      </c>
      <c r="CO147" s="139" t="e">
        <f t="shared" si="53"/>
        <v>#DIV/0!</v>
      </c>
      <c r="CP147" s="139"/>
    </row>
    <row r="148" spans="2:94" x14ac:dyDescent="0.2">
      <c r="B148" s="105" t="s">
        <v>389</v>
      </c>
      <c r="D148" s="139"/>
      <c r="E148" s="139"/>
      <c r="F148" s="139"/>
      <c r="G148" s="139"/>
      <c r="H148" s="139"/>
      <c r="I148" s="139"/>
      <c r="J148" s="139">
        <f>J45/J144</f>
        <v>8.2023173242515627E-5</v>
      </c>
      <c r="K148" s="139"/>
      <c r="L148" s="139"/>
      <c r="M148" s="139"/>
      <c r="N148" s="139"/>
      <c r="O148" s="139"/>
      <c r="P148" s="139"/>
      <c r="Q148" s="139">
        <f>Q45/Q144</f>
        <v>0</v>
      </c>
      <c r="R148" s="139"/>
      <c r="S148" s="139"/>
      <c r="T148" s="139"/>
      <c r="U148" s="139"/>
      <c r="V148" s="139"/>
      <c r="W148" s="139"/>
      <c r="X148" s="139">
        <f>X45/X144</f>
        <v>8.2023173242515627E-5</v>
      </c>
      <c r="Y148" s="139"/>
      <c r="Z148" s="139"/>
      <c r="AA148" s="139"/>
      <c r="AB148" s="139"/>
      <c r="AC148" s="139"/>
      <c r="AD148" s="139"/>
      <c r="AE148" s="139">
        <f>AE45/AE144</f>
        <v>8.2023173242515627E-5</v>
      </c>
      <c r="AF148" s="139"/>
      <c r="AG148" s="139"/>
      <c r="AH148" s="139"/>
      <c r="AI148" s="139"/>
      <c r="AJ148" s="139"/>
      <c r="AK148" s="139"/>
      <c r="AL148" s="139">
        <f>AL45/AL144</f>
        <v>8.2023173242515627E-5</v>
      </c>
      <c r="AM148" s="139"/>
      <c r="AN148" s="139"/>
      <c r="AO148" s="139"/>
      <c r="AP148" s="139"/>
      <c r="AQ148" s="139"/>
      <c r="AR148" s="139"/>
      <c r="AS148" s="139">
        <f>AS45/AS144</f>
        <v>8.2023173242515627E-5</v>
      </c>
      <c r="AT148" s="139"/>
      <c r="AU148" s="139"/>
      <c r="AV148" s="139"/>
      <c r="AW148" s="139"/>
      <c r="AX148" s="139"/>
      <c r="AY148" s="139"/>
      <c r="AZ148" s="139">
        <f>AZ45/AZ144</f>
        <v>8.2023173242515627E-5</v>
      </c>
      <c r="BA148" s="139"/>
      <c r="BB148" s="139"/>
      <c r="BC148" s="139"/>
      <c r="BD148" s="139"/>
      <c r="BE148" s="139"/>
      <c r="BF148" s="139"/>
      <c r="BG148" s="139">
        <f>BG45/BG144</f>
        <v>8.2023173242515627E-5</v>
      </c>
      <c r="BH148" s="139"/>
      <c r="BI148" s="139"/>
      <c r="BJ148" s="139"/>
      <c r="BK148" s="139"/>
      <c r="BL148" s="139"/>
      <c r="BM148" s="139"/>
      <c r="BN148" s="139">
        <f>BN45/BN144</f>
        <v>8.2023173242515627E-5</v>
      </c>
      <c r="BO148" s="139"/>
      <c r="BP148" s="139"/>
      <c r="BQ148" s="139"/>
      <c r="BR148" s="139"/>
      <c r="BS148" s="139"/>
      <c r="BT148" s="139"/>
      <c r="BU148" s="139">
        <f>BU45/BU144</f>
        <v>8.2023173242515627E-5</v>
      </c>
      <c r="BV148" s="139"/>
      <c r="BW148" s="139"/>
      <c r="BX148" s="139"/>
      <c r="BY148" s="139"/>
      <c r="BZ148" s="139"/>
      <c r="CA148" s="139"/>
      <c r="CB148" s="139">
        <f>CB45/CB144</f>
        <v>8.2023173242515627E-5</v>
      </c>
      <c r="CC148" s="139"/>
      <c r="CD148" s="139"/>
      <c r="CE148" s="139"/>
      <c r="CF148" s="139"/>
      <c r="CG148" s="139"/>
      <c r="CH148" s="139"/>
      <c r="CI148" s="139">
        <f>CI45/CI144</f>
        <v>8.2023173242515627E-5</v>
      </c>
      <c r="CJ148" s="135" t="e">
        <f t="shared" ref="CJ148:CO148" si="54">CJ147*(1-CJ139)</f>
        <v>#DIV/0!</v>
      </c>
      <c r="CK148" s="135" t="e">
        <f t="shared" si="54"/>
        <v>#DIV/0!</v>
      </c>
      <c r="CL148" s="135" t="e">
        <f t="shared" si="54"/>
        <v>#DIV/0!</v>
      </c>
      <c r="CM148" s="135" t="e">
        <f t="shared" si="54"/>
        <v>#DIV/0!</v>
      </c>
      <c r="CN148" s="135" t="e">
        <f t="shared" si="54"/>
        <v>#DIV/0!</v>
      </c>
      <c r="CO148" s="135" t="e">
        <f t="shared" si="54"/>
        <v>#DIV/0!</v>
      </c>
      <c r="CP148" s="135"/>
    </row>
    <row r="149" spans="2:94" ht="16" x14ac:dyDescent="0.2">
      <c r="B149" s="105" t="s">
        <v>390</v>
      </c>
      <c r="D149" s="135"/>
      <c r="E149" s="135"/>
      <c r="F149" s="135"/>
      <c r="G149" s="135"/>
      <c r="H149" s="135"/>
      <c r="I149" s="135"/>
      <c r="J149" s="135">
        <f>J148*(1-J140)</f>
        <v>8.2023173242515627E-5</v>
      </c>
      <c r="K149" s="135"/>
      <c r="L149" s="135"/>
      <c r="M149" s="135"/>
      <c r="N149" s="135"/>
      <c r="O149" s="135"/>
      <c r="P149" s="135"/>
      <c r="Q149" s="135">
        <f>Q148*(1-Q140)</f>
        <v>0</v>
      </c>
      <c r="R149" s="135"/>
      <c r="S149" s="135"/>
      <c r="T149" s="135"/>
      <c r="U149" s="135"/>
      <c r="V149" s="135"/>
      <c r="W149" s="135"/>
      <c r="X149" s="135">
        <f>X148*(1-X140)</f>
        <v>8.2023173242515627E-5</v>
      </c>
      <c r="Y149" s="135"/>
      <c r="Z149" s="135"/>
      <c r="AA149" s="135"/>
      <c r="AB149" s="135"/>
      <c r="AC149" s="135"/>
      <c r="AD149" s="135"/>
      <c r="AE149" s="135">
        <f>AE148*(1-AE140)</f>
        <v>8.2023173242515627E-5</v>
      </c>
      <c r="AF149" s="135"/>
      <c r="AG149" s="135"/>
      <c r="AH149" s="135"/>
      <c r="AI149" s="135"/>
      <c r="AJ149" s="135"/>
      <c r="AK149" s="135"/>
      <c r="AL149" s="135">
        <f>AL148*(1-AL140)</f>
        <v>8.2023173242515627E-5</v>
      </c>
      <c r="AM149" s="135"/>
      <c r="AN149" s="135"/>
      <c r="AO149" s="135"/>
      <c r="AP149" s="135"/>
      <c r="AQ149" s="135"/>
      <c r="AR149" s="135"/>
      <c r="AS149" s="135">
        <f>AS148*(1-AS140)</f>
        <v>8.2023173242515627E-5</v>
      </c>
      <c r="AT149" s="135"/>
      <c r="AU149" s="135"/>
      <c r="AV149" s="135"/>
      <c r="AW149" s="135"/>
      <c r="AX149" s="135"/>
      <c r="AY149" s="135"/>
      <c r="AZ149" s="135">
        <f>AZ148*(1-AZ140)</f>
        <v>8.2023173242515627E-5</v>
      </c>
      <c r="BA149" s="135"/>
      <c r="BB149" s="135"/>
      <c r="BC149" s="135"/>
      <c r="BD149" s="135"/>
      <c r="BE149" s="135"/>
      <c r="BF149" s="135"/>
      <c r="BG149" s="135">
        <f>BG148*(1-BG140)</f>
        <v>8.2023173242515627E-5</v>
      </c>
      <c r="BH149" s="135"/>
      <c r="BI149" s="135"/>
      <c r="BJ149" s="135"/>
      <c r="BK149" s="135"/>
      <c r="BL149" s="135"/>
      <c r="BM149" s="135"/>
      <c r="BN149" s="135">
        <f>BN148*(1-BN140)</f>
        <v>6.5816769266255034E-5</v>
      </c>
      <c r="BO149" s="135"/>
      <c r="BP149" s="135"/>
      <c r="BQ149" s="135"/>
      <c r="BR149" s="135"/>
      <c r="BS149" s="135"/>
      <c r="BT149" s="135"/>
      <c r="BU149" s="135">
        <f>BU148*(1-BU140)</f>
        <v>8.2023173242515627E-5</v>
      </c>
      <c r="BV149" s="135"/>
      <c r="BW149" s="135"/>
      <c r="BX149" s="135"/>
      <c r="BY149" s="135"/>
      <c r="BZ149" s="135"/>
      <c r="CA149" s="135"/>
      <c r="CB149" s="135">
        <f>CB148*(1-CB140)</f>
        <v>8.2023173242515627E-5</v>
      </c>
      <c r="CC149" s="135"/>
      <c r="CD149" s="135"/>
      <c r="CE149" s="135"/>
      <c r="CF149" s="135"/>
      <c r="CG149" s="135"/>
      <c r="CH149" s="135"/>
      <c r="CI149" s="135">
        <f>CI148*(1-CI140)</f>
        <v>8.2023173242515627E-5</v>
      </c>
      <c r="CJ149" s="175">
        <v>28.73</v>
      </c>
      <c r="CK149" s="175">
        <f>CJ149</f>
        <v>28.73</v>
      </c>
      <c r="CL149" s="175">
        <f>CK149</f>
        <v>28.73</v>
      </c>
      <c r="CM149" s="175">
        <v>29.73</v>
      </c>
      <c r="CN149" s="175">
        <f>CM149</f>
        <v>29.73</v>
      </c>
      <c r="CO149" s="175">
        <f>CN149</f>
        <v>29.73</v>
      </c>
      <c r="CP149" s="175"/>
    </row>
    <row r="150" spans="2:94" ht="16" x14ac:dyDescent="0.2">
      <c r="B150" s="237" t="s">
        <v>445</v>
      </c>
      <c r="C150" s="238"/>
      <c r="D150" s="241"/>
      <c r="E150" s="241"/>
      <c r="F150" s="241"/>
      <c r="G150" s="241"/>
      <c r="H150" s="241"/>
      <c r="I150" s="241"/>
      <c r="J150" s="241">
        <v>0.89</v>
      </c>
      <c r="K150" s="241"/>
      <c r="L150" s="241"/>
      <c r="M150" s="241"/>
      <c r="N150" s="241"/>
      <c r="O150" s="241"/>
      <c r="P150" s="241"/>
      <c r="Q150" s="241">
        <v>0.89</v>
      </c>
      <c r="R150" s="241"/>
      <c r="S150" s="241"/>
      <c r="T150" s="241"/>
      <c r="U150" s="241"/>
      <c r="V150" s="241"/>
      <c r="W150" s="241"/>
      <c r="X150" s="241">
        <v>0.89</v>
      </c>
      <c r="Y150" s="241"/>
      <c r="Z150" s="241"/>
      <c r="AA150" s="241"/>
      <c r="AB150" s="241"/>
      <c r="AC150" s="241"/>
      <c r="AD150" s="241"/>
      <c r="AE150" s="241">
        <v>0.89</v>
      </c>
      <c r="AF150" s="241"/>
      <c r="AG150" s="241"/>
      <c r="AH150" s="241"/>
      <c r="AI150" s="241"/>
      <c r="AJ150" s="241"/>
      <c r="AK150" s="241"/>
      <c r="AL150" s="241">
        <v>0.89</v>
      </c>
      <c r="AM150" s="241"/>
      <c r="AN150" s="241"/>
      <c r="AO150" s="241"/>
      <c r="AP150" s="241"/>
      <c r="AQ150" s="241"/>
      <c r="AR150" s="241"/>
      <c r="AS150" s="241">
        <v>0.89</v>
      </c>
      <c r="AT150" s="241"/>
      <c r="AU150" s="241"/>
      <c r="AV150" s="241"/>
      <c r="AW150" s="241"/>
      <c r="AX150" s="241"/>
      <c r="AY150" s="241"/>
      <c r="AZ150" s="241">
        <v>0.89</v>
      </c>
      <c r="BA150" s="241"/>
      <c r="BB150" s="241"/>
      <c r="BC150" s="241"/>
      <c r="BD150" s="241"/>
      <c r="BE150" s="241"/>
      <c r="BF150" s="241"/>
      <c r="BG150" s="241">
        <v>0.89</v>
      </c>
      <c r="BH150" s="241"/>
      <c r="BI150" s="241"/>
      <c r="BJ150" s="241"/>
      <c r="BK150" s="241"/>
      <c r="BL150" s="241"/>
      <c r="BM150" s="241"/>
      <c r="BN150" s="241">
        <v>0.89</v>
      </c>
      <c r="BO150" s="241"/>
      <c r="BP150" s="241"/>
      <c r="BQ150" s="241"/>
      <c r="BR150" s="241"/>
      <c r="BS150" s="241"/>
      <c r="BT150" s="241"/>
      <c r="BU150" s="241">
        <v>0.89</v>
      </c>
      <c r="BV150" s="241"/>
      <c r="BW150" s="241"/>
      <c r="BX150" s="241"/>
      <c r="BY150" s="241"/>
      <c r="BZ150" s="241"/>
      <c r="CA150" s="241"/>
      <c r="CB150" s="241">
        <v>0.89</v>
      </c>
      <c r="CC150" s="241"/>
      <c r="CD150" s="241"/>
      <c r="CE150" s="241"/>
      <c r="CF150" s="241"/>
      <c r="CG150" s="241"/>
      <c r="CH150" s="241"/>
      <c r="CI150" s="241">
        <v>0.89</v>
      </c>
      <c r="CJ150" s="164" t="e">
        <f t="shared" ref="CJ150:CO150" si="55">CJ149*(1+(1-CJ139)*(CJ143/CJ144))</f>
        <v>#DIV/0!</v>
      </c>
      <c r="CK150" s="164" t="e">
        <f t="shared" si="55"/>
        <v>#DIV/0!</v>
      </c>
      <c r="CL150" s="164" t="e">
        <f t="shared" si="55"/>
        <v>#DIV/0!</v>
      </c>
      <c r="CM150" s="164" t="e">
        <f t="shared" si="55"/>
        <v>#DIV/0!</v>
      </c>
      <c r="CN150" s="164" t="e">
        <f t="shared" si="55"/>
        <v>#DIV/0!</v>
      </c>
      <c r="CO150" s="164" t="e">
        <f t="shared" si="55"/>
        <v>#DIV/0!</v>
      </c>
      <c r="CP150" s="164"/>
    </row>
    <row r="151" spans="2:94" ht="16" x14ac:dyDescent="0.2">
      <c r="B151" s="105" t="s">
        <v>446</v>
      </c>
      <c r="D151" s="164"/>
      <c r="E151" s="164"/>
      <c r="F151" s="164"/>
      <c r="G151" s="164"/>
      <c r="H151" s="164"/>
      <c r="I151" s="164"/>
      <c r="J151" s="164">
        <f>J150*(1+(1-J140)*(J144/J145))</f>
        <v>0.9404683736796311</v>
      </c>
      <c r="K151" s="164"/>
      <c r="L151" s="164"/>
      <c r="M151" s="164"/>
      <c r="N151" s="164"/>
      <c r="O151" s="164"/>
      <c r="P151" s="164"/>
      <c r="Q151" s="164">
        <f>Q150*(1+(1-Q140)*(Q144/Q145))</f>
        <v>0.94060954569771182</v>
      </c>
      <c r="R151" s="164"/>
      <c r="S151" s="164"/>
      <c r="T151" s="164"/>
      <c r="U151" s="164"/>
      <c r="V151" s="164"/>
      <c r="W151" s="164"/>
      <c r="X151" s="164">
        <f>X150*(1+(1-X140)*(X144/X145))</f>
        <v>0.94052527815251807</v>
      </c>
      <c r="Y151" s="164"/>
      <c r="Z151" s="164"/>
      <c r="AA151" s="164"/>
      <c r="AB151" s="164"/>
      <c r="AC151" s="164"/>
      <c r="AD151" s="164"/>
      <c r="AE151" s="164">
        <f>AE150*(1+(1-AE140)*(AE144/AE145))</f>
        <v>0.94037549790033292</v>
      </c>
      <c r="AF151" s="164"/>
      <c r="AG151" s="164"/>
      <c r="AH151" s="164"/>
      <c r="AI151" s="164"/>
      <c r="AJ151" s="164"/>
      <c r="AK151" s="164"/>
      <c r="AL151" s="164">
        <f>AL150*(1+(1-AL140)*(AL144/AL145))</f>
        <v>0.94023805205416178</v>
      </c>
      <c r="AM151" s="164"/>
      <c r="AN151" s="164"/>
      <c r="AO151" s="164"/>
      <c r="AP151" s="164"/>
      <c r="AQ151" s="164"/>
      <c r="AR151" s="164"/>
      <c r="AS151" s="164">
        <f>AS150*(1+(1-AS140)*(AS144/AS145))</f>
        <v>0.9400943009732996</v>
      </c>
      <c r="AT151" s="164"/>
      <c r="AU151" s="164"/>
      <c r="AV151" s="164"/>
      <c r="AW151" s="164"/>
      <c r="AX151" s="164"/>
      <c r="AY151" s="164"/>
      <c r="AZ151" s="164">
        <f>AZ150*(1+(1-AZ140)*(AZ144/AZ145))</f>
        <v>0.93996412159443909</v>
      </c>
      <c r="BA151" s="164"/>
      <c r="BB151" s="164"/>
      <c r="BC151" s="164"/>
      <c r="BD151" s="164"/>
      <c r="BE151" s="164"/>
      <c r="BF151" s="164"/>
      <c r="BG151" s="164">
        <f>BG150*(1+(1-BG140)*(BG144/BG145))</f>
        <v>0.93978827515426988</v>
      </c>
      <c r="BH151" s="164"/>
      <c r="BI151" s="164"/>
      <c r="BJ151" s="164"/>
      <c r="BK151" s="164"/>
      <c r="BL151" s="164"/>
      <c r="BM151" s="164"/>
      <c r="BN151" s="164">
        <f>BN150*(1+(1-BN140)*(BN144/BN145))</f>
        <v>0.92986466816557423</v>
      </c>
      <c r="BO151" s="164"/>
      <c r="BP151" s="164"/>
      <c r="BQ151" s="164"/>
      <c r="BR151" s="164"/>
      <c r="BS151" s="164"/>
      <c r="BT151" s="164"/>
      <c r="BU151" s="164">
        <f>BU150*(1+(1-BU140)*(BU144/BU145))</f>
        <v>0.93959756485678658</v>
      </c>
      <c r="BV151" s="164"/>
      <c r="BW151" s="164"/>
      <c r="BX151" s="164"/>
      <c r="BY151" s="164"/>
      <c r="BZ151" s="164"/>
      <c r="CA151" s="164"/>
      <c r="CB151" s="164">
        <f>CB150*(1+(1-CB140)*(CB144/CB145))</f>
        <v>0.93942428463729921</v>
      </c>
      <c r="CC151" s="164"/>
      <c r="CD151" s="164"/>
      <c r="CE151" s="164"/>
      <c r="CF151" s="164"/>
      <c r="CG151" s="164"/>
      <c r="CH151" s="164"/>
      <c r="CI151" s="164">
        <f>CI150*(1+(1-CI140)*(CI144/CI145))</f>
        <v>0.93927251193253125</v>
      </c>
      <c r="CJ151" s="176">
        <v>4.7899999999999998E-2</v>
      </c>
      <c r="CK151" s="176">
        <f>CJ151</f>
        <v>4.7899999999999998E-2</v>
      </c>
      <c r="CL151" s="176">
        <v>4.7899999999999998E-2</v>
      </c>
      <c r="CM151" s="176">
        <v>4.7899999999999998E-2</v>
      </c>
      <c r="CN151" s="176">
        <f>CM151</f>
        <v>4.7899999999999998E-2</v>
      </c>
      <c r="CO151" s="176">
        <v>4.7899999999999998E-2</v>
      </c>
      <c r="CP151" s="176"/>
    </row>
    <row r="152" spans="2:94" ht="16" x14ac:dyDescent="0.2">
      <c r="B152" s="237" t="s">
        <v>447</v>
      </c>
      <c r="C152" s="238"/>
      <c r="D152" s="239"/>
      <c r="E152" s="239"/>
      <c r="F152" s="239"/>
      <c r="G152" s="239"/>
      <c r="H152" s="239"/>
      <c r="I152" s="239"/>
      <c r="J152" s="239">
        <v>4.7899999999999998E-2</v>
      </c>
      <c r="K152" s="239"/>
      <c r="L152" s="239"/>
      <c r="M152" s="239"/>
      <c r="N152" s="239"/>
      <c r="O152" s="239"/>
      <c r="P152" s="239"/>
      <c r="Q152" s="239">
        <v>4.7899999999999998E-2</v>
      </c>
      <c r="R152" s="239"/>
      <c r="S152" s="239"/>
      <c r="T152" s="239"/>
      <c r="U152" s="239"/>
      <c r="V152" s="239"/>
      <c r="W152" s="239"/>
      <c r="X152" s="239">
        <v>4.7899999999999998E-2</v>
      </c>
      <c r="Y152" s="239"/>
      <c r="Z152" s="239"/>
      <c r="AA152" s="239"/>
      <c r="AB152" s="239"/>
      <c r="AC152" s="239"/>
      <c r="AD152" s="239"/>
      <c r="AE152" s="239">
        <v>4.7899999999999998E-2</v>
      </c>
      <c r="AF152" s="239"/>
      <c r="AG152" s="239"/>
      <c r="AH152" s="239"/>
      <c r="AI152" s="239"/>
      <c r="AJ152" s="239"/>
      <c r="AK152" s="239"/>
      <c r="AL152" s="239">
        <v>4.7899999999999998E-2</v>
      </c>
      <c r="AM152" s="239"/>
      <c r="AN152" s="239"/>
      <c r="AO152" s="239"/>
      <c r="AP152" s="239"/>
      <c r="AQ152" s="239"/>
      <c r="AR152" s="239"/>
      <c r="AS152" s="239">
        <v>4.7899999999999998E-2</v>
      </c>
      <c r="AT152" s="239"/>
      <c r="AU152" s="239"/>
      <c r="AV152" s="239"/>
      <c r="AW152" s="239"/>
      <c r="AX152" s="239"/>
      <c r="AY152" s="239"/>
      <c r="AZ152" s="239">
        <v>4.7899999999999998E-2</v>
      </c>
      <c r="BA152" s="239"/>
      <c r="BB152" s="239"/>
      <c r="BC152" s="239"/>
      <c r="BD152" s="239"/>
      <c r="BE152" s="239"/>
      <c r="BF152" s="239"/>
      <c r="BG152" s="239">
        <v>4.7899999999999998E-2</v>
      </c>
      <c r="BH152" s="239"/>
      <c r="BI152" s="239"/>
      <c r="BJ152" s="239"/>
      <c r="BK152" s="239"/>
      <c r="BL152" s="239"/>
      <c r="BM152" s="239"/>
      <c r="BN152" s="239">
        <v>4.7899999999999998E-2</v>
      </c>
      <c r="BO152" s="239"/>
      <c r="BP152" s="239"/>
      <c r="BQ152" s="239"/>
      <c r="BR152" s="239"/>
      <c r="BS152" s="239"/>
      <c r="BT152" s="239"/>
      <c r="BU152" s="239">
        <v>4.7899999999999998E-2</v>
      </c>
      <c r="BV152" s="239"/>
      <c r="BW152" s="239"/>
      <c r="BX152" s="239"/>
      <c r="BY152" s="239"/>
      <c r="BZ152" s="239"/>
      <c r="CA152" s="239"/>
      <c r="CB152" s="239">
        <v>4.7899999999999998E-2</v>
      </c>
      <c r="CC152" s="239"/>
      <c r="CD152" s="239"/>
      <c r="CE152" s="239"/>
      <c r="CF152" s="239"/>
      <c r="CG152" s="239"/>
      <c r="CH152" s="239"/>
      <c r="CI152" s="239">
        <v>4.7899999999999998E-2</v>
      </c>
      <c r="CJ152" s="176">
        <v>0.1179</v>
      </c>
      <c r="CK152" s="176">
        <f>CJ152</f>
        <v>0.1179</v>
      </c>
      <c r="CL152" s="176">
        <v>0.1179</v>
      </c>
      <c r="CM152" s="176">
        <v>0.1179</v>
      </c>
      <c r="CN152" s="176">
        <f>CM152</f>
        <v>0.1179</v>
      </c>
      <c r="CO152" s="176">
        <v>0.1179</v>
      </c>
      <c r="CP152" s="176"/>
    </row>
    <row r="153" spans="2:94" ht="16" x14ac:dyDescent="0.2">
      <c r="B153" s="105" t="s">
        <v>448</v>
      </c>
      <c r="D153" s="176"/>
      <c r="E153" s="176"/>
      <c r="F153" s="176"/>
      <c r="G153" s="176"/>
      <c r="H153" s="176"/>
      <c r="I153" s="176"/>
      <c r="J153" s="176">
        <v>0.1179</v>
      </c>
      <c r="K153" s="176"/>
      <c r="L153" s="176"/>
      <c r="M153" s="176"/>
      <c r="N153" s="176"/>
      <c r="O153" s="176"/>
      <c r="P153" s="176"/>
      <c r="Q153" s="176">
        <v>0.1179</v>
      </c>
      <c r="R153" s="176"/>
      <c r="S153" s="176"/>
      <c r="T153" s="176"/>
      <c r="U153" s="176"/>
      <c r="V153" s="176"/>
      <c r="W153" s="176"/>
      <c r="X153" s="176">
        <v>0.1179</v>
      </c>
      <c r="Y153" s="176"/>
      <c r="Z153" s="176"/>
      <c r="AA153" s="176"/>
      <c r="AB153" s="176"/>
      <c r="AC153" s="176"/>
      <c r="AD153" s="176"/>
      <c r="AE153" s="176">
        <v>0.1179</v>
      </c>
      <c r="AF153" s="176"/>
      <c r="AG153" s="176"/>
      <c r="AH153" s="176"/>
      <c r="AI153" s="176"/>
      <c r="AJ153" s="176"/>
      <c r="AK153" s="176"/>
      <c r="AL153" s="176">
        <v>0.1179</v>
      </c>
      <c r="AM153" s="176"/>
      <c r="AN153" s="176"/>
      <c r="AO153" s="176"/>
      <c r="AP153" s="176"/>
      <c r="AQ153" s="176"/>
      <c r="AR153" s="176"/>
      <c r="AS153" s="176">
        <v>0.1179</v>
      </c>
      <c r="AT153" s="176"/>
      <c r="AU153" s="176"/>
      <c r="AV153" s="176"/>
      <c r="AW153" s="176"/>
      <c r="AX153" s="176"/>
      <c r="AY153" s="176"/>
      <c r="AZ153" s="176">
        <v>0.1179</v>
      </c>
      <c r="BA153" s="176"/>
      <c r="BB153" s="176"/>
      <c r="BC153" s="176"/>
      <c r="BD153" s="176"/>
      <c r="BE153" s="176"/>
      <c r="BF153" s="176"/>
      <c r="BG153" s="176">
        <v>0.1179</v>
      </c>
      <c r="BH153" s="176"/>
      <c r="BI153" s="176"/>
      <c r="BJ153" s="176"/>
      <c r="BK153" s="176"/>
      <c r="BL153" s="176"/>
      <c r="BM153" s="176"/>
      <c r="BN153" s="176">
        <v>0.1179</v>
      </c>
      <c r="BO153" s="176"/>
      <c r="BP153" s="176"/>
      <c r="BQ153" s="176"/>
      <c r="BR153" s="176"/>
      <c r="BS153" s="176"/>
      <c r="BT153" s="176"/>
      <c r="BU153" s="176">
        <v>0.1179</v>
      </c>
      <c r="BV153" s="176"/>
      <c r="BW153" s="176"/>
      <c r="BX153" s="176"/>
      <c r="BY153" s="176"/>
      <c r="BZ153" s="176"/>
      <c r="CA153" s="176"/>
      <c r="CB153" s="176">
        <v>0.1179</v>
      </c>
      <c r="CC153" s="176"/>
      <c r="CD153" s="176"/>
      <c r="CE153" s="176"/>
      <c r="CF153" s="176"/>
      <c r="CG153" s="176"/>
      <c r="CH153" s="176"/>
      <c r="CI153" s="176">
        <v>0.1179</v>
      </c>
      <c r="CJ153" s="176">
        <v>7.2900000000000006E-2</v>
      </c>
      <c r="CK153" s="176">
        <f>CJ153</f>
        <v>7.2900000000000006E-2</v>
      </c>
      <c r="CL153" s="176">
        <v>7.2900000000000006E-2</v>
      </c>
      <c r="CM153" s="176">
        <v>7.2900000000000006E-2</v>
      </c>
      <c r="CN153" s="176">
        <f>CM153</f>
        <v>7.2900000000000006E-2</v>
      </c>
      <c r="CO153" s="176">
        <v>7.2900000000000006E-2</v>
      </c>
      <c r="CP153" s="176"/>
    </row>
    <row r="154" spans="2:94" ht="16" x14ac:dyDescent="0.2">
      <c r="B154" s="237" t="s">
        <v>449</v>
      </c>
      <c r="C154" s="240" t="s">
        <v>533</v>
      </c>
      <c r="D154" s="239"/>
      <c r="E154" s="239"/>
      <c r="F154" s="239"/>
      <c r="G154" s="239"/>
      <c r="H154" s="239"/>
      <c r="I154" s="239"/>
      <c r="J154" s="239">
        <v>8.6699999999999999E-2</v>
      </c>
      <c r="K154" s="239"/>
      <c r="L154" s="239"/>
      <c r="M154" s="239"/>
      <c r="N154" s="239"/>
      <c r="O154" s="239"/>
      <c r="P154" s="239"/>
      <c r="Q154" s="239">
        <v>7.2900000000000006E-2</v>
      </c>
      <c r="R154" s="239"/>
      <c r="S154" s="239"/>
      <c r="T154" s="239"/>
      <c r="U154" s="239"/>
      <c r="V154" s="239"/>
      <c r="W154" s="239"/>
      <c r="X154" s="239">
        <v>7.2900000000000006E-2</v>
      </c>
      <c r="Y154" s="239"/>
      <c r="Z154" s="239"/>
      <c r="AA154" s="239"/>
      <c r="AB154" s="239"/>
      <c r="AC154" s="239"/>
      <c r="AD154" s="239"/>
      <c r="AE154" s="239">
        <v>7.2900000000000006E-2</v>
      </c>
      <c r="AF154" s="239"/>
      <c r="AG154" s="239"/>
      <c r="AH154" s="239"/>
      <c r="AI154" s="239"/>
      <c r="AJ154" s="239"/>
      <c r="AK154" s="239"/>
      <c r="AL154" s="239">
        <v>7.2900000000000006E-2</v>
      </c>
      <c r="AM154" s="239"/>
      <c r="AN154" s="239"/>
      <c r="AO154" s="239"/>
      <c r="AP154" s="239"/>
      <c r="AQ154" s="239"/>
      <c r="AR154" s="239"/>
      <c r="AS154" s="239">
        <v>7.2900000000000006E-2</v>
      </c>
      <c r="AT154" s="239"/>
      <c r="AU154" s="239"/>
      <c r="AV154" s="239"/>
      <c r="AW154" s="239"/>
      <c r="AX154" s="239"/>
      <c r="AY154" s="239"/>
      <c r="AZ154" s="239">
        <v>7.2900000000000006E-2</v>
      </c>
      <c r="BA154" s="239"/>
      <c r="BB154" s="239"/>
      <c r="BC154" s="239"/>
      <c r="BD154" s="239"/>
      <c r="BE154" s="239"/>
      <c r="BF154" s="239"/>
      <c r="BG154" s="239">
        <v>7.2900000000000006E-2</v>
      </c>
      <c r="BH154" s="239"/>
      <c r="BI154" s="239"/>
      <c r="BJ154" s="239"/>
      <c r="BK154" s="239"/>
      <c r="BL154" s="239"/>
      <c r="BM154" s="239"/>
      <c r="BN154" s="239">
        <v>7.2900000000000006E-2</v>
      </c>
      <c r="BO154" s="239"/>
      <c r="BP154" s="239"/>
      <c r="BQ154" s="239"/>
      <c r="BR154" s="239"/>
      <c r="BS154" s="239"/>
      <c r="BT154" s="239"/>
      <c r="BU154" s="239">
        <v>7.2900000000000006E-2</v>
      </c>
      <c r="BV154" s="239"/>
      <c r="BW154" s="239"/>
      <c r="BX154" s="239"/>
      <c r="BY154" s="239"/>
      <c r="BZ154" s="239"/>
      <c r="CA154" s="239"/>
      <c r="CB154" s="239">
        <v>7.2900000000000006E-2</v>
      </c>
      <c r="CC154" s="239"/>
      <c r="CD154" s="239"/>
      <c r="CE154" s="239"/>
      <c r="CF154" s="239"/>
      <c r="CG154" s="239"/>
      <c r="CH154" s="239"/>
      <c r="CI154" s="239">
        <v>7.2900000000000006E-2</v>
      </c>
      <c r="CJ154" s="176">
        <v>4.7E-2</v>
      </c>
      <c r="CK154" s="176">
        <f>CJ154</f>
        <v>4.7E-2</v>
      </c>
      <c r="CL154" s="176">
        <v>4.7E-2</v>
      </c>
      <c r="CM154" s="176">
        <v>4.7E-2</v>
      </c>
      <c r="CN154" s="176">
        <f>CM154</f>
        <v>4.7E-2</v>
      </c>
      <c r="CO154" s="176">
        <v>4.7E-2</v>
      </c>
      <c r="CP154" s="176"/>
    </row>
    <row r="155" spans="2:94" ht="16" x14ac:dyDescent="0.2">
      <c r="B155" s="105" t="s">
        <v>450</v>
      </c>
      <c r="D155" s="176"/>
      <c r="E155" s="176"/>
      <c r="F155" s="176"/>
      <c r="G155" s="176"/>
      <c r="H155" s="176"/>
      <c r="I155" s="176"/>
      <c r="J155" s="176">
        <v>4.7E-2</v>
      </c>
      <c r="K155" s="176"/>
      <c r="L155" s="176"/>
      <c r="M155" s="176"/>
      <c r="N155" s="176"/>
      <c r="O155" s="176"/>
      <c r="P155" s="176"/>
      <c r="Q155" s="176">
        <v>4.7E-2</v>
      </c>
      <c r="R155" s="176"/>
      <c r="S155" s="176"/>
      <c r="T155" s="176"/>
      <c r="U155" s="176"/>
      <c r="V155" s="176"/>
      <c r="W155" s="176"/>
      <c r="X155" s="176">
        <v>4.7E-2</v>
      </c>
      <c r="Y155" s="176"/>
      <c r="Z155" s="176"/>
      <c r="AA155" s="176"/>
      <c r="AB155" s="176"/>
      <c r="AC155" s="176"/>
      <c r="AD155" s="176"/>
      <c r="AE155" s="176">
        <v>4.7E-2</v>
      </c>
      <c r="AF155" s="176"/>
      <c r="AG155" s="176"/>
      <c r="AH155" s="176"/>
      <c r="AI155" s="176"/>
      <c r="AJ155" s="176"/>
      <c r="AK155" s="176"/>
      <c r="AL155" s="176">
        <v>4.7E-2</v>
      </c>
      <c r="AM155" s="176"/>
      <c r="AN155" s="176"/>
      <c r="AO155" s="176"/>
      <c r="AP155" s="176"/>
      <c r="AQ155" s="176"/>
      <c r="AR155" s="176"/>
      <c r="AS155" s="176">
        <v>4.7E-2</v>
      </c>
      <c r="AT155" s="176"/>
      <c r="AU155" s="176"/>
      <c r="AV155" s="176"/>
      <c r="AW155" s="176"/>
      <c r="AX155" s="176"/>
      <c r="AY155" s="176"/>
      <c r="AZ155" s="176">
        <v>4.7E-2</v>
      </c>
      <c r="BA155" s="176"/>
      <c r="BB155" s="176"/>
      <c r="BC155" s="176"/>
      <c r="BD155" s="176"/>
      <c r="BE155" s="176"/>
      <c r="BF155" s="176"/>
      <c r="BG155" s="176">
        <v>4.7E-2</v>
      </c>
      <c r="BH155" s="176"/>
      <c r="BI155" s="176"/>
      <c r="BJ155" s="176"/>
      <c r="BK155" s="176"/>
      <c r="BL155" s="176"/>
      <c r="BM155" s="176"/>
      <c r="BN155" s="176">
        <v>4.7E-2</v>
      </c>
      <c r="BO155" s="176"/>
      <c r="BP155" s="176"/>
      <c r="BQ155" s="176"/>
      <c r="BR155" s="176"/>
      <c r="BS155" s="176"/>
      <c r="BT155" s="176"/>
      <c r="BU155" s="176">
        <v>4.7E-2</v>
      </c>
      <c r="BV155" s="176"/>
      <c r="BW155" s="176"/>
      <c r="BX155" s="176"/>
      <c r="BY155" s="176"/>
      <c r="BZ155" s="176"/>
      <c r="CA155" s="176"/>
      <c r="CB155" s="176">
        <v>4.7E-2</v>
      </c>
      <c r="CC155" s="176"/>
      <c r="CD155" s="176"/>
      <c r="CE155" s="176"/>
      <c r="CF155" s="176"/>
      <c r="CG155" s="176"/>
      <c r="CH155" s="176"/>
      <c r="CI155" s="176">
        <v>4.7E-2</v>
      </c>
      <c r="CJ155" s="176">
        <v>0.03</v>
      </c>
      <c r="CK155" s="176">
        <f>CJ155</f>
        <v>0.03</v>
      </c>
      <c r="CL155" s="176">
        <v>0.03</v>
      </c>
      <c r="CM155" s="176">
        <v>0.03</v>
      </c>
      <c r="CN155" s="176">
        <f>CM155</f>
        <v>0.03</v>
      </c>
      <c r="CO155" s="176">
        <v>0.03</v>
      </c>
      <c r="CP155" s="176"/>
    </row>
    <row r="156" spans="2:94" ht="16" x14ac:dyDescent="0.2">
      <c r="B156" s="105" t="s">
        <v>451</v>
      </c>
      <c r="D156" s="176"/>
      <c r="E156" s="176"/>
      <c r="F156" s="176"/>
      <c r="G156" s="176"/>
      <c r="H156" s="176"/>
      <c r="I156" s="176"/>
      <c r="J156" s="176">
        <v>0.03</v>
      </c>
      <c r="K156" s="176"/>
      <c r="L156" s="176"/>
      <c r="M156" s="176"/>
      <c r="N156" s="176"/>
      <c r="O156" s="176"/>
      <c r="P156" s="176"/>
      <c r="Q156" s="176">
        <v>0.03</v>
      </c>
      <c r="R156" s="176"/>
      <c r="S156" s="176"/>
      <c r="T156" s="176"/>
      <c r="U156" s="176"/>
      <c r="V156" s="176"/>
      <c r="W156" s="176"/>
      <c r="X156" s="176">
        <v>0.03</v>
      </c>
      <c r="Y156" s="176"/>
      <c r="Z156" s="176"/>
      <c r="AA156" s="176"/>
      <c r="AB156" s="176"/>
      <c r="AC156" s="176"/>
      <c r="AD156" s="176"/>
      <c r="AE156" s="176">
        <v>0.03</v>
      </c>
      <c r="AF156" s="176"/>
      <c r="AG156" s="176"/>
      <c r="AH156" s="176"/>
      <c r="AI156" s="176"/>
      <c r="AJ156" s="176"/>
      <c r="AK156" s="176"/>
      <c r="AL156" s="176">
        <v>0.03</v>
      </c>
      <c r="AM156" s="176"/>
      <c r="AN156" s="176"/>
      <c r="AO156" s="176"/>
      <c r="AP156" s="176"/>
      <c r="AQ156" s="176"/>
      <c r="AR156" s="176"/>
      <c r="AS156" s="176">
        <v>0.03</v>
      </c>
      <c r="AT156" s="176"/>
      <c r="AU156" s="176"/>
      <c r="AV156" s="176"/>
      <c r="AW156" s="176"/>
      <c r="AX156" s="176"/>
      <c r="AY156" s="176"/>
      <c r="AZ156" s="176">
        <v>0.03</v>
      </c>
      <c r="BA156" s="176"/>
      <c r="BB156" s="176"/>
      <c r="BC156" s="176"/>
      <c r="BD156" s="176"/>
      <c r="BE156" s="176"/>
      <c r="BF156" s="176"/>
      <c r="BG156" s="176">
        <v>0.03</v>
      </c>
      <c r="BH156" s="176"/>
      <c r="BI156" s="176"/>
      <c r="BJ156" s="176"/>
      <c r="BK156" s="176"/>
      <c r="BL156" s="176"/>
      <c r="BM156" s="176"/>
      <c r="BN156" s="176">
        <v>0.03</v>
      </c>
      <c r="BO156" s="176"/>
      <c r="BP156" s="176"/>
      <c r="BQ156" s="176"/>
      <c r="BR156" s="176"/>
      <c r="BS156" s="176"/>
      <c r="BT156" s="176"/>
      <c r="BU156" s="176">
        <v>0.03</v>
      </c>
      <c r="BV156" s="176"/>
      <c r="BW156" s="176"/>
      <c r="BX156" s="176"/>
      <c r="BY156" s="176"/>
      <c r="BZ156" s="176"/>
      <c r="CA156" s="176"/>
      <c r="CB156" s="176">
        <v>0.03</v>
      </c>
      <c r="CC156" s="176"/>
      <c r="CD156" s="176"/>
      <c r="CE156" s="176"/>
      <c r="CF156" s="176"/>
      <c r="CG156" s="176"/>
      <c r="CH156" s="176"/>
      <c r="CI156" s="176">
        <v>0.03</v>
      </c>
      <c r="CJ156" s="135">
        <f t="shared" ref="CJ156:CO156" si="56">((1+CJ154)/(1+CJ155))-1</f>
        <v>1.6504854368931898E-2</v>
      </c>
      <c r="CK156" s="135">
        <f t="shared" si="56"/>
        <v>1.6504854368931898E-2</v>
      </c>
      <c r="CL156" s="135">
        <f t="shared" si="56"/>
        <v>1.6504854368931898E-2</v>
      </c>
      <c r="CM156" s="135">
        <f t="shared" si="56"/>
        <v>1.6504854368931898E-2</v>
      </c>
      <c r="CN156" s="135">
        <f t="shared" si="56"/>
        <v>1.6504854368931898E-2</v>
      </c>
      <c r="CO156" s="135">
        <f t="shared" si="56"/>
        <v>1.6504854368931898E-2</v>
      </c>
      <c r="CP156" s="135"/>
    </row>
    <row r="157" spans="2:94" x14ac:dyDescent="0.2">
      <c r="B157" s="105" t="s">
        <v>452</v>
      </c>
      <c r="D157" s="135"/>
      <c r="E157" s="135"/>
      <c r="F157" s="135"/>
      <c r="G157" s="135"/>
      <c r="H157" s="135"/>
      <c r="I157" s="135"/>
      <c r="J157" s="135">
        <f>((1+J155)/(1+J156))-1</f>
        <v>1.6504854368931898E-2</v>
      </c>
      <c r="K157" s="135"/>
      <c r="L157" s="135"/>
      <c r="M157" s="135"/>
      <c r="N157" s="135"/>
      <c r="O157" s="135"/>
      <c r="P157" s="135"/>
      <c r="Q157" s="135">
        <f>((1+Q155)/(1+Q156))-1</f>
        <v>1.6504854368931898E-2</v>
      </c>
      <c r="R157" s="135"/>
      <c r="S157" s="135"/>
      <c r="T157" s="135"/>
      <c r="U157" s="135"/>
      <c r="V157" s="135"/>
      <c r="W157" s="135"/>
      <c r="X157" s="135">
        <f>((1+X155)/(1+X156))-1</f>
        <v>1.6504854368931898E-2</v>
      </c>
      <c r="Y157" s="135"/>
      <c r="Z157" s="135"/>
      <c r="AA157" s="135"/>
      <c r="AB157" s="135"/>
      <c r="AC157" s="135"/>
      <c r="AD157" s="135"/>
      <c r="AE157" s="135">
        <f>((1+AE155)/(1+AE156))-1</f>
        <v>1.6504854368931898E-2</v>
      </c>
      <c r="AF157" s="135"/>
      <c r="AG157" s="135"/>
      <c r="AH157" s="135"/>
      <c r="AI157" s="135"/>
      <c r="AJ157" s="135"/>
      <c r="AK157" s="135"/>
      <c r="AL157" s="135">
        <f>((1+AL155)/(1+AL156))-1</f>
        <v>1.6504854368931898E-2</v>
      </c>
      <c r="AM157" s="135"/>
      <c r="AN157" s="135"/>
      <c r="AO157" s="135"/>
      <c r="AP157" s="135"/>
      <c r="AQ157" s="135"/>
      <c r="AR157" s="135"/>
      <c r="AS157" s="135">
        <f>((1+AS155)/(1+AS156))-1</f>
        <v>1.6504854368931898E-2</v>
      </c>
      <c r="AT157" s="135"/>
      <c r="AU157" s="135"/>
      <c r="AV157" s="135"/>
      <c r="AW157" s="135"/>
      <c r="AX157" s="135"/>
      <c r="AY157" s="135"/>
      <c r="AZ157" s="135">
        <f>((1+AZ155)/(1+AZ156))-1</f>
        <v>1.6504854368931898E-2</v>
      </c>
      <c r="BA157" s="135"/>
      <c r="BB157" s="135"/>
      <c r="BC157" s="135"/>
      <c r="BD157" s="135"/>
      <c r="BE157" s="135"/>
      <c r="BF157" s="135"/>
      <c r="BG157" s="135">
        <f>((1+BG155)/(1+BG156))-1</f>
        <v>1.6504854368931898E-2</v>
      </c>
      <c r="BH157" s="135"/>
      <c r="BI157" s="135"/>
      <c r="BJ157" s="135"/>
      <c r="BK157" s="135"/>
      <c r="BL157" s="135"/>
      <c r="BM157" s="135"/>
      <c r="BN157" s="135">
        <f>((1+BN155)/(1+BN156))-1</f>
        <v>1.6504854368931898E-2</v>
      </c>
      <c r="BO157" s="135"/>
      <c r="BP157" s="135"/>
      <c r="BQ157" s="135"/>
      <c r="BR157" s="135"/>
      <c r="BS157" s="135"/>
      <c r="BT157" s="135"/>
      <c r="BU157" s="135">
        <f>((1+BU155)/(1+BU156))-1</f>
        <v>1.6504854368931898E-2</v>
      </c>
      <c r="BV157" s="135"/>
      <c r="BW157" s="135"/>
      <c r="BX157" s="135"/>
      <c r="BY157" s="135"/>
      <c r="BZ157" s="135"/>
      <c r="CA157" s="135"/>
      <c r="CB157" s="135">
        <f>((1+CB155)/(1+CB156))-1</f>
        <v>1.6504854368931898E-2</v>
      </c>
      <c r="CC157" s="135"/>
      <c r="CD157" s="135"/>
      <c r="CE157" s="135"/>
      <c r="CF157" s="135"/>
      <c r="CG157" s="135"/>
      <c r="CH157" s="135"/>
      <c r="CI157" s="135">
        <f>((1+CI155)/(1+CI156))-1</f>
        <v>1.6504854368931898E-2</v>
      </c>
      <c r="CJ157" s="135" t="e">
        <f t="shared" ref="CJ157:CO157" si="57">CJ151+(CJ150*(CJ152-CJ151))+CJ153</f>
        <v>#DIV/0!</v>
      </c>
      <c r="CK157" s="135" t="e">
        <f t="shared" si="57"/>
        <v>#DIV/0!</v>
      </c>
      <c r="CL157" s="135" t="e">
        <f t="shared" si="57"/>
        <v>#DIV/0!</v>
      </c>
      <c r="CM157" s="135" t="e">
        <f t="shared" si="57"/>
        <v>#DIV/0!</v>
      </c>
      <c r="CN157" s="135" t="e">
        <f t="shared" si="57"/>
        <v>#DIV/0!</v>
      </c>
      <c r="CO157" s="135" t="e">
        <f t="shared" si="57"/>
        <v>#DIV/0!</v>
      </c>
      <c r="CP157" s="135"/>
    </row>
    <row r="158" spans="2:94" x14ac:dyDescent="0.2">
      <c r="B158" s="105" t="s">
        <v>453</v>
      </c>
      <c r="D158" s="135"/>
      <c r="E158" s="135"/>
      <c r="F158" s="135"/>
      <c r="G158" s="135"/>
      <c r="H158" s="135"/>
      <c r="I158" s="135"/>
      <c r="J158" s="135">
        <f>J152+(J151*(J153-J152))+J154</f>
        <v>0.20043278615757418</v>
      </c>
      <c r="K158" s="135"/>
      <c r="L158" s="135"/>
      <c r="M158" s="135"/>
      <c r="N158" s="135"/>
      <c r="O158" s="135"/>
      <c r="P158" s="135"/>
      <c r="Q158" s="135">
        <f>Q152+(Q151*(Q153-Q152))+Q154</f>
        <v>0.18664266819883985</v>
      </c>
      <c r="R158" s="135"/>
      <c r="S158" s="135"/>
      <c r="T158" s="135"/>
      <c r="U158" s="135"/>
      <c r="V158" s="135"/>
      <c r="W158" s="135"/>
      <c r="X158" s="135">
        <f>X152+(X151*(X153-X152))+X154</f>
        <v>0.18663676947067626</v>
      </c>
      <c r="Y158" s="135"/>
      <c r="Z158" s="135"/>
      <c r="AA158" s="135"/>
      <c r="AB158" s="135"/>
      <c r="AC158" s="135"/>
      <c r="AD158" s="135"/>
      <c r="AE158" s="135">
        <f>AE152+(AE151*(AE153-AE152))+AE154</f>
        <v>0.18662628485302332</v>
      </c>
      <c r="AF158" s="135"/>
      <c r="AG158" s="135"/>
      <c r="AH158" s="135"/>
      <c r="AI158" s="135"/>
      <c r="AJ158" s="135"/>
      <c r="AK158" s="135"/>
      <c r="AL158" s="135">
        <f>AL152+(AL151*(AL153-AL152))+AL154</f>
        <v>0.18661666364379134</v>
      </c>
      <c r="AM158" s="135"/>
      <c r="AN158" s="135"/>
      <c r="AO158" s="135"/>
      <c r="AP158" s="135"/>
      <c r="AQ158" s="135"/>
      <c r="AR158" s="135"/>
      <c r="AS158" s="135">
        <f>AS152+(AS151*(AS153-AS152))+AS154</f>
        <v>0.18660660106813098</v>
      </c>
      <c r="AT158" s="135"/>
      <c r="AU158" s="135"/>
      <c r="AV158" s="135"/>
      <c r="AW158" s="135"/>
      <c r="AX158" s="135"/>
      <c r="AY158" s="135"/>
      <c r="AZ158" s="135">
        <f>AZ152+(AZ151*(AZ153-AZ152))+AZ154</f>
        <v>0.18659748851161073</v>
      </c>
      <c r="BA158" s="135"/>
      <c r="BB158" s="135"/>
      <c r="BC158" s="135"/>
      <c r="BD158" s="135"/>
      <c r="BE158" s="135"/>
      <c r="BF158" s="135"/>
      <c r="BG158" s="135">
        <f>BG152+(BG151*(BG153-BG152))+BG154</f>
        <v>0.1865851792607989</v>
      </c>
      <c r="BH158" s="135"/>
      <c r="BI158" s="135"/>
      <c r="BJ158" s="135"/>
      <c r="BK158" s="135"/>
      <c r="BL158" s="135"/>
      <c r="BM158" s="135"/>
      <c r="BN158" s="135">
        <f>BN152+(BN151*(BN153-BN152))+BN154</f>
        <v>0.18589052677159021</v>
      </c>
      <c r="BO158" s="135"/>
      <c r="BP158" s="135"/>
      <c r="BQ158" s="135"/>
      <c r="BR158" s="135"/>
      <c r="BS158" s="135"/>
      <c r="BT158" s="135"/>
      <c r="BU158" s="135">
        <f>BU152+(BU151*(BU153-BU152))+BU154</f>
        <v>0.18657182953997509</v>
      </c>
      <c r="BV158" s="135"/>
      <c r="BW158" s="135"/>
      <c r="BX158" s="135"/>
      <c r="BY158" s="135"/>
      <c r="BZ158" s="135"/>
      <c r="CA158" s="135"/>
      <c r="CB158" s="135">
        <f>CB152+(CB151*(CB153-CB152))+CB154</f>
        <v>0.18655969992461097</v>
      </c>
      <c r="CC158" s="135"/>
      <c r="CD158" s="135"/>
      <c r="CE158" s="135"/>
      <c r="CF158" s="135"/>
      <c r="CG158" s="135"/>
      <c r="CH158" s="135"/>
      <c r="CI158" s="135">
        <f>CI152+(CI151*(CI153-CI152))+CI154</f>
        <v>0.18654907583527719</v>
      </c>
      <c r="CJ158" s="135" t="e">
        <f t="shared" ref="CJ158:CO158" si="58">(1+CJ157)*(1+CJ156)-1</f>
        <v>#DIV/0!</v>
      </c>
      <c r="CK158" s="135" t="e">
        <f t="shared" si="58"/>
        <v>#DIV/0!</v>
      </c>
      <c r="CL158" s="135" t="e">
        <f t="shared" si="58"/>
        <v>#DIV/0!</v>
      </c>
      <c r="CM158" s="135" t="e">
        <f t="shared" si="58"/>
        <v>#DIV/0!</v>
      </c>
      <c r="CN158" s="135" t="e">
        <f t="shared" si="58"/>
        <v>#DIV/0!</v>
      </c>
      <c r="CO158" s="135" t="e">
        <f t="shared" si="58"/>
        <v>#DIV/0!</v>
      </c>
      <c r="CP158" s="135"/>
    </row>
    <row r="159" spans="2:94" x14ac:dyDescent="0.2">
      <c r="B159" s="105" t="s">
        <v>454</v>
      </c>
      <c r="D159" s="135"/>
      <c r="E159" s="135"/>
      <c r="F159" s="135"/>
      <c r="G159" s="135"/>
      <c r="H159" s="135"/>
      <c r="I159" s="135"/>
      <c r="J159" s="135">
        <f>(1+J158)*(1+J157)-1</f>
        <v>0.22024575447279604</v>
      </c>
      <c r="K159" s="135"/>
      <c r="L159" s="135"/>
      <c r="M159" s="135"/>
      <c r="N159" s="135"/>
      <c r="O159" s="135"/>
      <c r="P159" s="135"/>
      <c r="Q159" s="135">
        <f>(1+Q158)*(1+Q157)-1</f>
        <v>0.20622803262542244</v>
      </c>
      <c r="R159" s="135"/>
      <c r="S159" s="135"/>
      <c r="T159" s="135"/>
      <c r="U159" s="135"/>
      <c r="V159" s="135"/>
      <c r="W159" s="135"/>
      <c r="X159" s="135">
        <f>(1+X158)*(1+X157)-1</f>
        <v>0.20622203653960969</v>
      </c>
      <c r="Y159" s="135"/>
      <c r="Z159" s="135"/>
      <c r="AA159" s="135"/>
      <c r="AB159" s="135"/>
      <c r="AC159" s="135"/>
      <c r="AD159" s="135"/>
      <c r="AE159" s="135">
        <f>(1+AE158)*(1+AE157)-1</f>
        <v>0.20621137887486918</v>
      </c>
      <c r="AF159" s="135"/>
      <c r="AG159" s="135"/>
      <c r="AH159" s="135"/>
      <c r="AI159" s="135"/>
      <c r="AJ159" s="135"/>
      <c r="AK159" s="135"/>
      <c r="AL159" s="135">
        <f>(1+AL158)*(1+AL157)-1</f>
        <v>0.20620159886898004</v>
      </c>
      <c r="AM159" s="135"/>
      <c r="AN159" s="135"/>
      <c r="AO159" s="135"/>
      <c r="AP159" s="135"/>
      <c r="AQ159" s="135"/>
      <c r="AR159" s="135"/>
      <c r="AS159" s="135">
        <f>(1+AS158)*(1+AS157)-1</f>
        <v>0.20619137021197398</v>
      </c>
      <c r="AT159" s="135"/>
      <c r="AU159" s="135"/>
      <c r="AV159" s="135"/>
      <c r="AW159" s="135"/>
      <c r="AX159" s="135"/>
      <c r="AY159" s="135"/>
      <c r="AZ159" s="135">
        <f>(1+AZ158)*(1+AZ157)-1</f>
        <v>0.20618210725403507</v>
      </c>
      <c r="BA159" s="135"/>
      <c r="BB159" s="135"/>
      <c r="BC159" s="135"/>
      <c r="BD159" s="135"/>
      <c r="BE159" s="135"/>
      <c r="BF159" s="135"/>
      <c r="BG159" s="135">
        <f>(1+BG158)*(1+BG157)-1</f>
        <v>0.20616959484083131</v>
      </c>
      <c r="BH159" s="135"/>
      <c r="BI159" s="135"/>
      <c r="BJ159" s="135"/>
      <c r="BK159" s="135"/>
      <c r="BL159" s="135"/>
      <c r="BM159" s="135"/>
      <c r="BN159" s="135">
        <f>(1+BN158)*(1+BN157)-1</f>
        <v>0.20546347721345137</v>
      </c>
      <c r="BO159" s="135"/>
      <c r="BP159" s="135"/>
      <c r="BQ159" s="135"/>
      <c r="BR159" s="135"/>
      <c r="BS159" s="135"/>
      <c r="BT159" s="135"/>
      <c r="BU159" s="135">
        <f>(1+BU158)*(1+BU157)-1</f>
        <v>0.20615602478480954</v>
      </c>
      <c r="BV159" s="135"/>
      <c r="BW159" s="135"/>
      <c r="BX159" s="135"/>
      <c r="BY159" s="135"/>
      <c r="BZ159" s="135"/>
      <c r="CA159" s="135"/>
      <c r="CB159" s="135">
        <f>(1+CB158)*(1+CB157)-1</f>
        <v>0.20614369497191021</v>
      </c>
      <c r="CC159" s="135"/>
      <c r="CD159" s="135"/>
      <c r="CE159" s="135"/>
      <c r="CF159" s="135"/>
      <c r="CG159" s="135"/>
      <c r="CH159" s="135"/>
      <c r="CI159" s="135">
        <f>(1+CI158)*(1+CI157)-1</f>
        <v>0.20613289553352931</v>
      </c>
      <c r="CJ159" s="135" t="e">
        <f t="shared" ref="CJ159:CO159" si="59">CJ148*CJ145+CJ158*CJ146</f>
        <v>#DIV/0!</v>
      </c>
      <c r="CK159" s="135" t="e">
        <f t="shared" si="59"/>
        <v>#DIV/0!</v>
      </c>
      <c r="CL159" s="135" t="e">
        <f t="shared" si="59"/>
        <v>#DIV/0!</v>
      </c>
      <c r="CM159" s="135" t="e">
        <f t="shared" si="59"/>
        <v>#DIV/0!</v>
      </c>
      <c r="CN159" s="135" t="e">
        <f t="shared" si="59"/>
        <v>#DIV/0!</v>
      </c>
      <c r="CO159" s="135" t="e">
        <f t="shared" si="59"/>
        <v>#DIV/0!</v>
      </c>
      <c r="CP159" s="135"/>
    </row>
    <row r="160" spans="2:94" x14ac:dyDescent="0.2">
      <c r="B160" s="105" t="s">
        <v>391</v>
      </c>
      <c r="D160" s="135"/>
      <c r="E160" s="135"/>
      <c r="F160" s="135"/>
      <c r="G160" s="135"/>
      <c r="H160" s="135"/>
      <c r="I160" s="135"/>
      <c r="J160" s="135">
        <f>J149*J146+J159*J147</f>
        <v>0.20843110363190259</v>
      </c>
      <c r="K160" s="135"/>
      <c r="L160" s="135"/>
      <c r="M160" s="135"/>
      <c r="N160" s="135"/>
      <c r="O160" s="135"/>
      <c r="P160" s="135"/>
      <c r="Q160" s="135">
        <f>Q149*Q146+Q159*Q147</f>
        <v>0.19513192256674383</v>
      </c>
      <c r="R160" s="135"/>
      <c r="S160" s="135"/>
      <c r="T160" s="135"/>
      <c r="U160" s="135"/>
      <c r="V160" s="135"/>
      <c r="W160" s="135"/>
      <c r="X160" s="135">
        <f>X149*X146+X159*X147</f>
        <v>0.19514813798989891</v>
      </c>
      <c r="Y160" s="135"/>
      <c r="Z160" s="135"/>
      <c r="AA160" s="135"/>
      <c r="AB160" s="135"/>
      <c r="AC160" s="135"/>
      <c r="AD160" s="135"/>
      <c r="AE160" s="135">
        <f>AE149*AE146+AE159*AE147</f>
        <v>0.19516912081037333</v>
      </c>
      <c r="AF160" s="135"/>
      <c r="AG160" s="135"/>
      <c r="AH160" s="135"/>
      <c r="AI160" s="135"/>
      <c r="AJ160" s="135"/>
      <c r="AK160" s="135"/>
      <c r="AL160" s="135">
        <f>AL149*AL146+AL159*AL147</f>
        <v>0.1951883815772939</v>
      </c>
      <c r="AM160" s="135"/>
      <c r="AN160" s="135"/>
      <c r="AO160" s="135"/>
      <c r="AP160" s="135"/>
      <c r="AQ160" s="135"/>
      <c r="AR160" s="135"/>
      <c r="AS160" s="135">
        <f>AS149*AS146+AS159*AS147</f>
        <v>0.19520853194428223</v>
      </c>
      <c r="AT160" s="135"/>
      <c r="AU160" s="135"/>
      <c r="AV160" s="135"/>
      <c r="AW160" s="135"/>
      <c r="AX160" s="135"/>
      <c r="AY160" s="135"/>
      <c r="AZ160" s="135">
        <f>AZ149*AZ146+AZ159*AZ147</f>
        <v>0.19522678521028594</v>
      </c>
      <c r="BA160" s="135"/>
      <c r="BB160" s="135"/>
      <c r="BC160" s="135"/>
      <c r="BD160" s="135"/>
      <c r="BE160" s="135"/>
      <c r="BF160" s="135"/>
      <c r="BG160" s="135">
        <f>BG149*BG146+BG159*BG147</f>
        <v>0.19525144976993555</v>
      </c>
      <c r="BH160" s="135"/>
      <c r="BI160" s="135"/>
      <c r="BJ160" s="135"/>
      <c r="BK160" s="135"/>
      <c r="BL160" s="135"/>
      <c r="BM160" s="135"/>
      <c r="BN160" s="135">
        <f>BN149*BN146+BN159*BN147</f>
        <v>0.19460413995015555</v>
      </c>
      <c r="BO160" s="135"/>
      <c r="BP160" s="135"/>
      <c r="BQ160" s="135"/>
      <c r="BR160" s="135"/>
      <c r="BS160" s="135"/>
      <c r="BT160" s="135"/>
      <c r="BU160" s="135">
        <f>BU149*BU146+BU159*BU147</f>
        <v>0.19527820959827799</v>
      </c>
      <c r="BV160" s="135"/>
      <c r="BW160" s="135"/>
      <c r="BX160" s="135"/>
      <c r="BY160" s="135"/>
      <c r="BZ160" s="135"/>
      <c r="CA160" s="135"/>
      <c r="CB160" s="135">
        <f>CB149*CB146+CB159*CB147</f>
        <v>0.19530253311739504</v>
      </c>
      <c r="CC160" s="135"/>
      <c r="CD160" s="135"/>
      <c r="CE160" s="135"/>
      <c r="CF160" s="135"/>
      <c r="CG160" s="135"/>
      <c r="CH160" s="135"/>
      <c r="CI160" s="135">
        <f>CI149*CI146+CI159*CI147</f>
        <v>0.19532384497780522</v>
      </c>
      <c r="CJ160" s="177" t="e">
        <f t="shared" ref="CJ160:CO160" si="60">CJ142-CJ159</f>
        <v>#REF!</v>
      </c>
      <c r="CK160" s="177" t="e">
        <f t="shared" si="60"/>
        <v>#DIV/0!</v>
      </c>
      <c r="CL160" s="177" t="e">
        <f t="shared" si="60"/>
        <v>#DIV/0!</v>
      </c>
      <c r="CM160" s="177" t="e">
        <f t="shared" si="60"/>
        <v>#REF!</v>
      </c>
      <c r="CN160" s="177" t="e">
        <f t="shared" si="60"/>
        <v>#DIV/0!</v>
      </c>
      <c r="CO160" s="177" t="e">
        <f t="shared" si="60"/>
        <v>#DIV/0!</v>
      </c>
      <c r="CP160" s="177"/>
    </row>
    <row r="161" spans="2:94" x14ac:dyDescent="0.2">
      <c r="B161" s="105" t="s">
        <v>392</v>
      </c>
      <c r="D161" s="177"/>
      <c r="E161" s="177"/>
      <c r="F161" s="177"/>
      <c r="G161" s="177"/>
      <c r="H161" s="177"/>
      <c r="I161" s="177"/>
      <c r="J161" s="177">
        <f>J143-J160</f>
        <v>-0.20389163087063084</v>
      </c>
      <c r="K161" s="177"/>
      <c r="L161" s="177"/>
      <c r="M161" s="177"/>
      <c r="N161" s="177"/>
      <c r="O161" s="177"/>
      <c r="P161" s="177"/>
      <c r="Q161" s="177">
        <f>Q143-Q160</f>
        <v>-0.19645654799181425</v>
      </c>
      <c r="R161" s="177"/>
      <c r="S161" s="177"/>
      <c r="T161" s="177"/>
      <c r="U161" s="177"/>
      <c r="V161" s="177"/>
      <c r="W161" s="177"/>
      <c r="X161" s="177">
        <f>X143-X160</f>
        <v>-0.19156033488827739</v>
      </c>
      <c r="Y161" s="177"/>
      <c r="Z161" s="177"/>
      <c r="AA161" s="177"/>
      <c r="AB161" s="177"/>
      <c r="AC161" s="177"/>
      <c r="AD161" s="177"/>
      <c r="AE161" s="177">
        <f>AE143-AE160</f>
        <v>-0.19073284370037089</v>
      </c>
      <c r="AF161" s="177"/>
      <c r="AG161" s="177"/>
      <c r="AH161" s="177"/>
      <c r="AI161" s="177"/>
      <c r="AJ161" s="177"/>
      <c r="AK161" s="177"/>
      <c r="AL161" s="177">
        <f>AL143-AL160</f>
        <v>-0.19075210446729146</v>
      </c>
      <c r="AM161" s="177"/>
      <c r="AN161" s="177"/>
      <c r="AO161" s="177"/>
      <c r="AP161" s="177"/>
      <c r="AQ161" s="177"/>
      <c r="AR161" s="177"/>
      <c r="AS161" s="177">
        <f>AS143-AS160</f>
        <v>-0.19052956475307009</v>
      </c>
      <c r="AT161" s="177"/>
      <c r="AU161" s="177"/>
      <c r="AV161" s="177"/>
      <c r="AW161" s="177"/>
      <c r="AX161" s="177"/>
      <c r="AY161" s="177"/>
      <c r="AZ161" s="177">
        <f>AZ143-AZ160</f>
        <v>-0.19038322753097278</v>
      </c>
      <c r="BA161" s="177"/>
      <c r="BB161" s="177"/>
      <c r="BC161" s="177"/>
      <c r="BD161" s="177"/>
      <c r="BE161" s="177"/>
      <c r="BF161" s="177"/>
      <c r="BG161" s="177">
        <f>BG143-BG160</f>
        <v>-0.1903840653495783</v>
      </c>
      <c r="BH161" s="177"/>
      <c r="BI161" s="177"/>
      <c r="BJ161" s="177"/>
      <c r="BK161" s="177"/>
      <c r="BL161" s="177"/>
      <c r="BM161" s="177"/>
      <c r="BN161" s="177">
        <f>BN143-BN160</f>
        <v>-0.19069846909324256</v>
      </c>
      <c r="BO161" s="177"/>
      <c r="BP161" s="177"/>
      <c r="BQ161" s="177"/>
      <c r="BR161" s="177"/>
      <c r="BS161" s="177"/>
      <c r="BT161" s="177"/>
      <c r="BU161" s="177">
        <f>BU143-BU160</f>
        <v>-0.19041082517792074</v>
      </c>
      <c r="BV161" s="177"/>
      <c r="BW161" s="177"/>
      <c r="BX161" s="177"/>
      <c r="BY161" s="177"/>
      <c r="BZ161" s="177"/>
      <c r="CA161" s="177"/>
      <c r="CB161" s="177">
        <f>CB143-CB160</f>
        <v>-0.19043514869703779</v>
      </c>
      <c r="CC161" s="177"/>
      <c r="CD161" s="177"/>
      <c r="CE161" s="177"/>
      <c r="CF161" s="177"/>
      <c r="CG161" s="177"/>
      <c r="CH161" s="177"/>
      <c r="CI161" s="177">
        <f>CI143-CI160</f>
        <v>-0.19041007819548358</v>
      </c>
      <c r="CJ161" s="178" t="e">
        <f t="shared" ref="CJ161:CO161" si="61">CJ160*CJ141</f>
        <v>#REF!</v>
      </c>
      <c r="CK161" s="178" t="e">
        <f t="shared" si="61"/>
        <v>#DIV/0!</v>
      </c>
      <c r="CL161" s="178" t="e">
        <f t="shared" si="61"/>
        <v>#DIV/0!</v>
      </c>
      <c r="CM161" s="178" t="e">
        <f t="shared" si="61"/>
        <v>#REF!</v>
      </c>
      <c r="CN161" s="178" t="e">
        <f t="shared" si="61"/>
        <v>#DIV/0!</v>
      </c>
      <c r="CO161" s="178" t="e">
        <f t="shared" si="61"/>
        <v>#DIV/0!</v>
      </c>
      <c r="CP161" s="178"/>
    </row>
    <row r="162" spans="2:94" x14ac:dyDescent="0.2">
      <c r="B162" s="105" t="s">
        <v>393</v>
      </c>
      <c r="D162" s="178"/>
      <c r="E162" s="178"/>
      <c r="F162" s="178"/>
      <c r="G162" s="178"/>
      <c r="H162" s="178"/>
      <c r="I162" s="178"/>
      <c r="J162" s="178">
        <f>J161*J142</f>
        <v>-384486273.20420146</v>
      </c>
      <c r="K162" s="178"/>
      <c r="L162" s="178"/>
      <c r="M162" s="178"/>
      <c r="N162" s="178"/>
      <c r="O162" s="178"/>
      <c r="P162" s="178"/>
      <c r="Q162" s="178">
        <f>Q161*Q142</f>
        <v>-370465652.07898033</v>
      </c>
      <c r="R162" s="178"/>
      <c r="S162" s="178"/>
      <c r="T162" s="178"/>
      <c r="U162" s="178"/>
      <c r="V162" s="178"/>
      <c r="W162" s="178"/>
      <c r="X162" s="178">
        <f>X161*X142</f>
        <v>-361232675.12473285</v>
      </c>
      <c r="Y162" s="178"/>
      <c r="Z162" s="178"/>
      <c r="AA162" s="178"/>
      <c r="AB162" s="178"/>
      <c r="AC162" s="178"/>
      <c r="AD162" s="178"/>
      <c r="AE162" s="178">
        <f>AE161*AE142</f>
        <v>-359672243.23457175</v>
      </c>
      <c r="AF162" s="178"/>
      <c r="AG162" s="178"/>
      <c r="AH162" s="178"/>
      <c r="AI162" s="178"/>
      <c r="AJ162" s="178"/>
      <c r="AK162" s="178"/>
      <c r="AL162" s="178">
        <f>AL161*AL142</f>
        <v>-359708564.0019359</v>
      </c>
      <c r="AM162" s="178"/>
      <c r="AN162" s="178"/>
      <c r="AO162" s="178"/>
      <c r="AP162" s="178"/>
      <c r="AQ162" s="178"/>
      <c r="AR162" s="178"/>
      <c r="AS162" s="178">
        <f>AS161*AS142</f>
        <v>-359288912.32228851</v>
      </c>
      <c r="AT162" s="178"/>
      <c r="AU162" s="178"/>
      <c r="AV162" s="178"/>
      <c r="AW162" s="178"/>
      <c r="AX162" s="178"/>
      <c r="AY162" s="178"/>
      <c r="AZ162" s="178">
        <f>AZ161*AZ142</f>
        <v>-359012958.60650826</v>
      </c>
      <c r="BA162" s="178"/>
      <c r="BB162" s="178"/>
      <c r="BC162" s="178"/>
      <c r="BD162" s="178"/>
      <c r="BE162" s="178"/>
      <c r="BF162" s="178"/>
      <c r="BG162" s="178">
        <f>BG161*BG142</f>
        <v>-359014538.51320612</v>
      </c>
      <c r="BH162" s="178"/>
      <c r="BI162" s="178"/>
      <c r="BJ162" s="178"/>
      <c r="BK162" s="178"/>
      <c r="BL162" s="178"/>
      <c r="BM162" s="178"/>
      <c r="BN162" s="178">
        <f>BN161*BN142</f>
        <v>-359607421.71869493</v>
      </c>
      <c r="BO162" s="178"/>
      <c r="BP162" s="178"/>
      <c r="BQ162" s="178"/>
      <c r="BR162" s="178"/>
      <c r="BS162" s="178"/>
      <c r="BT162" s="178"/>
      <c r="BU162" s="178">
        <f>BU161*BU142</f>
        <v>-359065000.54848945</v>
      </c>
      <c r="BV162" s="178"/>
      <c r="BW162" s="178"/>
      <c r="BX162" s="178"/>
      <c r="BY162" s="178"/>
      <c r="BZ162" s="178"/>
      <c r="CA162" s="178"/>
      <c r="CB162" s="178">
        <f>CB161*CB142</f>
        <v>-359110868.34196675</v>
      </c>
      <c r="CC162" s="178"/>
      <c r="CD162" s="178"/>
      <c r="CE162" s="178"/>
      <c r="CF162" s="178"/>
      <c r="CG162" s="178"/>
      <c r="CH162" s="178"/>
      <c r="CI162" s="178">
        <f>CI161*CI142</f>
        <v>-359063591.93504035</v>
      </c>
    </row>
    <row r="163" spans="2:94" x14ac:dyDescent="0.2">
      <c r="CJ163" s="166">
        <f t="shared" ref="CJ163:CO163" si="62">CJ14/CJ64</f>
        <v>0</v>
      </c>
      <c r="CK163" s="166">
        <f t="shared" si="62"/>
        <v>0</v>
      </c>
      <c r="CL163" s="166">
        <f t="shared" si="62"/>
        <v>0</v>
      </c>
      <c r="CM163" s="166">
        <f t="shared" si="62"/>
        <v>0</v>
      </c>
      <c r="CN163" s="166">
        <f t="shared" si="62"/>
        <v>0</v>
      </c>
      <c r="CO163" s="166">
        <f t="shared" si="62"/>
        <v>0</v>
      </c>
      <c r="CP163" s="166"/>
    </row>
    <row r="164" spans="2:94" x14ac:dyDescent="0.2">
      <c r="B164" s="105" t="s">
        <v>394</v>
      </c>
      <c r="D164" s="166"/>
      <c r="E164" s="166"/>
      <c r="F164" s="166"/>
      <c r="G164" s="166"/>
      <c r="H164" s="166"/>
      <c r="I164" s="166"/>
      <c r="J164" s="166">
        <f>J14/J64</f>
        <v>0</v>
      </c>
      <c r="K164" s="166"/>
      <c r="L164" s="166"/>
      <c r="M164" s="166"/>
      <c r="N164" s="166"/>
      <c r="O164" s="166"/>
      <c r="P164" s="166"/>
      <c r="Q164" s="166">
        <f>Q14/Q64</f>
        <v>0</v>
      </c>
      <c r="R164" s="166"/>
      <c r="S164" s="166"/>
      <c r="T164" s="166"/>
      <c r="U164" s="166"/>
      <c r="V164" s="166"/>
      <c r="W164" s="166"/>
      <c r="X164" s="166">
        <f>X14/X64</f>
        <v>0</v>
      </c>
      <c r="Y164" s="166"/>
      <c r="Z164" s="166"/>
      <c r="AA164" s="166"/>
      <c r="AB164" s="166"/>
      <c r="AC164" s="166"/>
      <c r="AD164" s="166"/>
      <c r="AE164" s="166">
        <f>AE14/AE64</f>
        <v>0</v>
      </c>
      <c r="AF164" s="166"/>
      <c r="AG164" s="166"/>
      <c r="AH164" s="166"/>
      <c r="AI164" s="166"/>
      <c r="AJ164" s="166"/>
      <c r="AK164" s="166"/>
      <c r="AL164" s="166">
        <f>AL14/AL64</f>
        <v>0</v>
      </c>
      <c r="AM164" s="166"/>
      <c r="AN164" s="166"/>
      <c r="AO164" s="166"/>
      <c r="AP164" s="166"/>
      <c r="AQ164" s="166"/>
      <c r="AR164" s="166"/>
      <c r="AS164" s="166">
        <f>AS14/AS64</f>
        <v>0</v>
      </c>
      <c r="AT164" s="166"/>
      <c r="AU164" s="166"/>
      <c r="AV164" s="166"/>
      <c r="AW164" s="166"/>
      <c r="AX164" s="166"/>
      <c r="AY164" s="166"/>
      <c r="AZ164" s="166">
        <f>AZ14/AZ64</f>
        <v>0</v>
      </c>
      <c r="BA164" s="166"/>
      <c r="BB164" s="166"/>
      <c r="BC164" s="166"/>
      <c r="BD164" s="166"/>
      <c r="BE164" s="166"/>
      <c r="BF164" s="166"/>
      <c r="BG164" s="166">
        <f>BG14/BG64</f>
        <v>0</v>
      </c>
      <c r="BH164" s="166"/>
      <c r="BI164" s="166"/>
      <c r="BJ164" s="166"/>
      <c r="BK164" s="166"/>
      <c r="BL164" s="166"/>
      <c r="BM164" s="166"/>
      <c r="BN164" s="166">
        <f>BN14/BN64</f>
        <v>0</v>
      </c>
      <c r="BO164" s="166"/>
      <c r="BP164" s="166"/>
      <c r="BQ164" s="166"/>
      <c r="BR164" s="166"/>
      <c r="BS164" s="166"/>
      <c r="BT164" s="166"/>
      <c r="BU164" s="166">
        <f>BU14/BU64</f>
        <v>0</v>
      </c>
      <c r="BV164" s="166"/>
      <c r="BW164" s="166"/>
      <c r="BX164" s="166"/>
      <c r="BY164" s="166"/>
      <c r="BZ164" s="166"/>
      <c r="CA164" s="166"/>
      <c r="CB164" s="166">
        <f>CB14/CB64</f>
        <v>0</v>
      </c>
      <c r="CC164" s="166"/>
      <c r="CD164" s="166"/>
      <c r="CE164" s="166"/>
      <c r="CF164" s="166"/>
      <c r="CG164" s="166"/>
      <c r="CH164" s="166"/>
      <c r="CI164" s="166">
        <f>CI14/CI64</f>
        <v>0</v>
      </c>
      <c r="CJ164" s="137">
        <f t="shared" ref="CJ164:CO164" si="63">-CJ100</f>
        <v>0</v>
      </c>
      <c r="CK164" s="137">
        <f t="shared" si="63"/>
        <v>0</v>
      </c>
      <c r="CL164" s="137">
        <f t="shared" si="63"/>
        <v>0</v>
      </c>
      <c r="CM164" s="137">
        <f t="shared" si="63"/>
        <v>0</v>
      </c>
      <c r="CN164" s="137">
        <f t="shared" si="63"/>
        <v>0</v>
      </c>
      <c r="CO164" s="137">
        <f t="shared" si="63"/>
        <v>0</v>
      </c>
      <c r="CP164" s="137"/>
    </row>
    <row r="165" spans="2:94" x14ac:dyDescent="0.2">
      <c r="B165" s="105" t="s">
        <v>395</v>
      </c>
      <c r="D165" s="137"/>
      <c r="E165" s="137"/>
      <c r="F165" s="137"/>
      <c r="G165" s="137"/>
      <c r="H165" s="137"/>
      <c r="I165" s="137"/>
      <c r="J165" s="137">
        <f>-J100</f>
        <v>12108994.050000001</v>
      </c>
      <c r="K165" s="137"/>
      <c r="L165" s="137"/>
      <c r="M165" s="137"/>
      <c r="N165" s="137"/>
      <c r="O165" s="137"/>
      <c r="P165" s="137"/>
      <c r="Q165" s="137">
        <f>-Q100</f>
        <v>0</v>
      </c>
      <c r="R165" s="137"/>
      <c r="S165" s="137"/>
      <c r="T165" s="137"/>
      <c r="U165" s="137"/>
      <c r="V165" s="137"/>
      <c r="W165" s="137"/>
      <c r="X165" s="137">
        <f>-X100</f>
        <v>0</v>
      </c>
      <c r="Y165" s="137"/>
      <c r="Z165" s="137"/>
      <c r="AA165" s="137"/>
      <c r="AB165" s="137"/>
      <c r="AC165" s="137"/>
      <c r="AD165" s="137"/>
      <c r="AE165" s="137">
        <f>-AE100</f>
        <v>0</v>
      </c>
      <c r="AF165" s="137"/>
      <c r="AG165" s="137"/>
      <c r="AH165" s="137"/>
      <c r="AI165" s="137"/>
      <c r="AJ165" s="137"/>
      <c r="AK165" s="137"/>
      <c r="AL165" s="137">
        <f>-AL100</f>
        <v>0</v>
      </c>
      <c r="AM165" s="137"/>
      <c r="AN165" s="137"/>
      <c r="AO165" s="137"/>
      <c r="AP165" s="137"/>
      <c r="AQ165" s="137"/>
      <c r="AR165" s="137"/>
      <c r="AS165" s="137">
        <f>-AS100</f>
        <v>0</v>
      </c>
      <c r="AT165" s="137"/>
      <c r="AU165" s="137"/>
      <c r="AV165" s="137"/>
      <c r="AW165" s="137"/>
      <c r="AX165" s="137"/>
      <c r="AY165" s="137"/>
      <c r="AZ165" s="137">
        <f>-AZ100</f>
        <v>0</v>
      </c>
      <c r="BA165" s="137"/>
      <c r="BB165" s="137"/>
      <c r="BC165" s="137"/>
      <c r="BD165" s="137"/>
      <c r="BE165" s="137"/>
      <c r="BF165" s="137"/>
      <c r="BG165" s="137">
        <f>-BG100</f>
        <v>0</v>
      </c>
      <c r="BH165" s="137"/>
      <c r="BI165" s="137"/>
      <c r="BJ165" s="137"/>
      <c r="BK165" s="137"/>
      <c r="BL165" s="137"/>
      <c r="BM165" s="137"/>
      <c r="BN165" s="137">
        <f>-BN100</f>
        <v>0</v>
      </c>
      <c r="BO165" s="137"/>
      <c r="BP165" s="137"/>
      <c r="BQ165" s="137"/>
      <c r="BR165" s="137"/>
      <c r="BS165" s="137"/>
      <c r="BT165" s="137"/>
      <c r="BU165" s="137">
        <f>-BU100</f>
        <v>0</v>
      </c>
      <c r="BV165" s="137"/>
      <c r="BW165" s="137"/>
      <c r="BX165" s="137"/>
      <c r="BY165" s="137"/>
      <c r="BZ165" s="137"/>
      <c r="CA165" s="137"/>
      <c r="CB165" s="137">
        <f>-CB100</f>
        <v>0</v>
      </c>
      <c r="CC165" s="137"/>
      <c r="CD165" s="137"/>
      <c r="CE165" s="137"/>
      <c r="CF165" s="137"/>
      <c r="CG165" s="137"/>
      <c r="CH165" s="137"/>
      <c r="CI165" s="137">
        <f>-CI100</f>
        <v>0</v>
      </c>
      <c r="CK165" s="171" t="e">
        <f>CK164/CK48</f>
        <v>#DIV/0!</v>
      </c>
      <c r="CL165" s="171" t="e">
        <f>CL164/CL48</f>
        <v>#DIV/0!</v>
      </c>
      <c r="CN165" s="171" t="e">
        <f>CN164/CN48</f>
        <v>#DIV/0!</v>
      </c>
      <c r="CO165" s="171" t="e">
        <f>CO164/CO48</f>
        <v>#DIV/0!</v>
      </c>
    </row>
    <row r="166" spans="2:94" x14ac:dyDescent="0.2">
      <c r="B166" s="105" t="s">
        <v>396</v>
      </c>
      <c r="E166" s="171"/>
      <c r="F166" s="171"/>
      <c r="H166" s="171"/>
      <c r="I166" s="171"/>
      <c r="J166" s="171">
        <f>J165/J48</f>
        <v>6.6901091414300655</v>
      </c>
      <c r="K166" s="171"/>
      <c r="L166" s="171"/>
      <c r="N166" s="171"/>
      <c r="O166" s="171"/>
      <c r="Q166" s="171">
        <f>Q165/Q48</f>
        <v>0</v>
      </c>
      <c r="R166" s="171"/>
      <c r="T166" s="171"/>
      <c r="U166" s="171"/>
      <c r="W166" s="171"/>
      <c r="X166" s="171">
        <f>X165/X48</f>
        <v>0</v>
      </c>
      <c r="Z166" s="171"/>
      <c r="AA166" s="171"/>
      <c r="AC166" s="171"/>
      <c r="AD166" s="171"/>
      <c r="AE166" s="171">
        <f>AE165/AE48</f>
        <v>0</v>
      </c>
      <c r="AF166" s="171"/>
      <c r="AG166" s="171"/>
      <c r="AI166" s="171"/>
      <c r="AJ166" s="171"/>
      <c r="AL166" s="171">
        <f>AL165/AL48</f>
        <v>0</v>
      </c>
      <c r="AM166" s="171"/>
      <c r="AO166" s="171"/>
      <c r="AP166" s="171"/>
      <c r="AR166" s="171"/>
      <c r="AS166" s="171">
        <f>AS165/AS48</f>
        <v>0</v>
      </c>
      <c r="AU166" s="171"/>
      <c r="AV166" s="171"/>
      <c r="AX166" s="171"/>
      <c r="AY166" s="171"/>
      <c r="AZ166" s="171">
        <f>AZ165/AZ48</f>
        <v>0</v>
      </c>
      <c r="BA166" s="171"/>
      <c r="BB166" s="171"/>
      <c r="BD166" s="171"/>
      <c r="BE166" s="171"/>
      <c r="BG166" s="171">
        <f>BG165/BG48</f>
        <v>0</v>
      </c>
      <c r="BH166" s="171"/>
      <c r="BJ166" s="171"/>
      <c r="BK166" s="171"/>
      <c r="BM166" s="171"/>
      <c r="BN166" s="171">
        <f>BN165/BN48</f>
        <v>0</v>
      </c>
      <c r="BP166" s="171"/>
      <c r="BQ166" s="171"/>
      <c r="BS166" s="171"/>
      <c r="BT166" s="171"/>
      <c r="BU166" s="171">
        <f>BU165/BU48</f>
        <v>0</v>
      </c>
      <c r="BV166" s="171"/>
      <c r="BW166" s="171"/>
      <c r="BY166" s="171"/>
      <c r="BZ166" s="171"/>
      <c r="CB166" s="171">
        <f>CB165/CB48</f>
        <v>0</v>
      </c>
      <c r="CC166" s="171"/>
      <c r="CE166" s="171"/>
      <c r="CF166" s="171"/>
      <c r="CH166" s="171"/>
      <c r="CI166" s="171">
        <f>CI165/CI48</f>
        <v>0</v>
      </c>
    </row>
  </sheetData>
  <mergeCells count="2">
    <mergeCell ref="CR1:DC1"/>
    <mergeCell ref="DE1:DP1"/>
  </mergeCells>
  <conditionalFormatting sqref="A1:DB1 DC1:XFD2 CU2:DB2 A2:CT8 CU3:XFD12 CJ9:CT12 A9:W16 X9:CI40 CJ13:XFD25 A17:A18 D17:W18 A19:W40 CJ26:CT40 AS42:CT48 A42:AR51 AT49:CT51 A52:CA63">
    <cfRule type="cellIs" dxfId="10" priority="5" operator="lessThan">
      <formula>0</formula>
    </cfRule>
  </conditionalFormatting>
  <conditionalFormatting sqref="Y64:CA69 A167:XFD1048576">
    <cfRule type="cellIs" dxfId="9" priority="4" operator="lessThan">
      <formula>0</formula>
    </cfRule>
  </conditionalFormatting>
  <conditionalFormatting sqref="Y70:XFD166">
    <cfRule type="cellIs" dxfId="8" priority="1" operator="lessThan">
      <formula>0</formula>
    </cfRule>
  </conditionalFormatting>
  <conditionalFormatting sqref="CB52:XFD69">
    <cfRule type="cellIs" dxfId="7" priority="2" operator="lessThan">
      <formula>0</formula>
    </cfRule>
  </conditionalFormatting>
  <conditionalFormatting sqref="CU26:XFD51 A41 C41:CT41 A64:X166">
    <cfRule type="cellIs" dxfId="6" priority="3" operator="lessThan">
      <formula>0</formula>
    </cfRule>
  </conditionalFormatting>
  <hyperlinks>
    <hyperlink ref="C154" r:id="rId1" xr:uid="{6F4263AE-547B-B14C-8EDA-4425EA0B3F3D}"/>
  </hyperlinks>
  <pageMargins left="0.7" right="0.7" top="0.75" bottom="0.75" header="0.3" footer="0.3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1391A6-46F7-9945-9BCA-57D5B1A26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wallet_records</vt:lpstr>
      <vt:lpstr>Activos</vt:lpstr>
      <vt:lpstr>Saldos</vt:lpstr>
      <vt:lpstr>Presupuesto</vt:lpstr>
      <vt:lpstr>Tablero</vt:lpstr>
      <vt:lpstr>EEFF Anuales</vt:lpstr>
      <vt:lpstr>EEFF 2022</vt:lpstr>
      <vt:lpstr>EEFF 2023</vt:lpstr>
      <vt:lpstr>EEFF 2024</vt:lpstr>
      <vt:lpstr>EEFF 2025</vt:lpstr>
      <vt:lpstr>EEFF 2026</vt:lpstr>
      <vt:lpstr>EEFF 2026 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Restrepo Uribe</dc:creator>
  <cp:lastModifiedBy>Alejandro Restrepo Uribe</cp:lastModifiedBy>
  <dcterms:created xsi:type="dcterms:W3CDTF">2025-12-29T15:13:28Z</dcterms:created>
  <dcterms:modified xsi:type="dcterms:W3CDTF">2026-02-21T20:57:17Z</dcterms:modified>
</cp:coreProperties>
</file>